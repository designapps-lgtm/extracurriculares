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" sheetId="1" r:id="rId5"/>
    <sheet state="visible" name="Novedades_Diarias" sheetId="2" r:id="rId6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/MM/yyyy HH:mm"/>
    <numFmt numFmtId="165" formatCode="dd/MM/yyyy HH:mm:ss"/>
    <numFmt numFmtId="166" formatCode="m/d/yyyy h:mm:ss"/>
    <numFmt numFmtId="167" formatCode="yyyy-mm-dd hh:mm:ss"/>
    <numFmt numFmtId="168" formatCode="HH:mm"/>
    <numFmt numFmtId="169" formatCode="yyyy-mm-dd h:mm:ss"/>
    <numFmt numFmtId="170" formatCode="dd/mm/yyyy h:mm:ss"/>
    <numFmt numFmtId="171" formatCode="dd/mm/yyyy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u/>
      <color rgb="FF0000FF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1" numFmtId="1" xfId="0" applyFont="1" applyNumberFormat="1"/>
    <xf borderId="0" fillId="0" fontId="1" numFmtId="0" xfId="0" applyFont="1"/>
    <xf borderId="0" fillId="0" fontId="1" numFmtId="0" xfId="0" applyAlignment="1" applyFont="1">
      <alignment horizontal="center"/>
    </xf>
    <xf borderId="0" fillId="0" fontId="2" numFmtId="49" xfId="0" applyFont="1" applyNumberFormat="1"/>
    <xf borderId="0" fillId="0" fontId="3" numFmtId="0" xfId="0" applyFont="1"/>
    <xf borderId="0" fillId="0" fontId="3" numFmtId="0" xfId="0" applyAlignment="1" applyFont="1">
      <alignment horizontal="center"/>
    </xf>
    <xf borderId="0" fillId="0" fontId="3" numFmtId="164" xfId="0" applyFont="1" applyNumberFormat="1"/>
    <xf borderId="0" fillId="0" fontId="3" numFmtId="165" xfId="0" applyFont="1" applyNumberFormat="1"/>
    <xf borderId="0" fillId="0" fontId="3" numFmtId="166" xfId="0" applyFont="1" applyNumberFormat="1"/>
    <xf borderId="0" fillId="0" fontId="1" numFmtId="167" xfId="0" applyFont="1" applyNumberFormat="1"/>
    <xf borderId="0" fillId="0" fontId="3" numFmtId="49" xfId="0" applyFont="1" applyNumberFormat="1"/>
    <xf borderId="0" fillId="0" fontId="4" numFmtId="0" xfId="0" applyFont="1"/>
    <xf borderId="0" fillId="0" fontId="3" numFmtId="168" xfId="0" applyFont="1" applyNumberFormat="1"/>
    <xf borderId="0" fillId="0" fontId="3" numFmtId="167" xfId="0" applyFont="1" applyNumberFormat="1"/>
    <xf borderId="0" fillId="0" fontId="3" numFmtId="169" xfId="0" applyFont="1" applyNumberFormat="1"/>
    <xf borderId="0" fillId="0" fontId="3" numFmtId="170" xfId="0" applyFont="1" applyNumberFormat="1"/>
    <xf borderId="0" fillId="0" fontId="3" numFmtId="17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contact1.id" TargetMode="External"/><Relationship Id="rId2" Type="http://schemas.openxmlformats.org/officeDocument/2006/relationships/hyperlink" Target="http://contact2.id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appsheet.com/image/getimageurl?appName=Lector_Placas-745737628-25-08-10&amp;tableName=Demograficos&amp;fileName=Demograficos_Images%2F1345282051.Foto_Estudiante.163212.jpg&amp;appVersion=1.001101&amp;signature=77259c08c4b4172b251860b22b82a92f41b8a84e20bbae1c75f4e8a98d2b5110" TargetMode="External"/><Relationship Id="rId10" Type="http://schemas.openxmlformats.org/officeDocument/2006/relationships/hyperlink" Target="https://www.appsheet.com/image/getimageurl?appName=Lector_Placas-745737628-25-08-10&amp;tableName=Demograficos&amp;fileName=Demograficos_Images%2F1345282050.Foto_Estudiante.141138.jpg&amp;appVersion=1.001101&amp;signature=a8fe738c7e0f702a9446100ad214a4284e096a6afec819228d306d6f0051a4e3" TargetMode="External"/><Relationship Id="rId13" Type="http://schemas.openxmlformats.org/officeDocument/2006/relationships/hyperlink" Target="https://www.appsheet.com/image/getimageurl?appName=Lector_Placas-745737628-25-08-10&amp;tableName=Demograficos&amp;fileName=Demograficos_Images%2F1345282079.Foto_Estudiante.162615.jpg&amp;appVersion=1.001101&amp;signature=6978d44ad36366c30252dde26bdeae0b42c7ebd6193d954941ef0fb8a6dc9de4" TargetMode="External"/><Relationship Id="rId12" Type="http://schemas.openxmlformats.org/officeDocument/2006/relationships/hyperlink" Target="https://www.appsheet.com/image/getimageurl?appName=Lector_Placas-745737628-25-08-10&amp;tableName=Demograficos&amp;fileName=Demograficos_Images%2F1345282182.Foto_Estudiante.210453.jpg&amp;appVersion=1.001101&amp;signature=4034be1ba1f5ab42632382067e352aabfb1339210738f5b5d65f7b3ff01dda98" TargetMode="External"/><Relationship Id="rId1" Type="http://schemas.openxmlformats.org/officeDocument/2006/relationships/hyperlink" Target="https://www.appsheet.com/image/getimageurl?appName=Lector_Placas-745737628-25-08-10&amp;tableName=Demograficos&amp;fileName=Demograficos_Images%2F1345282496.Foto_Estudiante.182402.jpg&amp;appVersion=1.001094&amp;signature=3d51a53af94875f5a071b8c3e743e6d2e940d8254292a3e252d29d32a515618f" TargetMode="External"/><Relationship Id="rId2" Type="http://schemas.openxmlformats.org/officeDocument/2006/relationships/hyperlink" Target="https://www.appsheet.com/image/getimageurl?appName=Lector_Placas-745737628-25-08-10&amp;tableName=Demograficos&amp;fileName=Demograficos_Images%2F1345282548.Foto_Estudiante.183504.jpg&amp;appVersion=1.001094&amp;signature=114a3e43ce0f604513fc6b6a2081699a048d1fd92b18c6c20032d25bd9cb07e9" TargetMode="External"/><Relationship Id="rId3" Type="http://schemas.openxmlformats.org/officeDocument/2006/relationships/hyperlink" Target="https://www.appsheet.com/image/getimageurl?appName=Lector_Placas-745737628-25-08-10&amp;tableName=Demograficos&amp;fileName=Demograficos_Images%2F1345282515.Foto_Estudiante.182930.jpg&amp;appVersion=1.001094&amp;signature=d16760e09ba396601f774c29ae3d3ed5f3be43c8dfca361e564ff13bda33c129" TargetMode="External"/><Relationship Id="rId4" Type="http://schemas.openxmlformats.org/officeDocument/2006/relationships/hyperlink" Target="https://www.appsheet.com/image/getimageurl?appName=Lector_Placas-745737628-25-08-10&amp;tableName=Demograficos&amp;fileName=Demograficos_Images%2F1345282285.Foto_Estudiante.202845.jpg&amp;appVersion=1.001101&amp;signature=8a02bf867f885230aa543e2200f0036f7884cc90be23b06d293f07130d822b68" TargetMode="External"/><Relationship Id="rId9" Type="http://schemas.openxmlformats.org/officeDocument/2006/relationships/hyperlink" Target="https://www.appsheet.com/image/getimageurl?appName=Lector_Placas-745737628-25-08-10&amp;tableName=Demograficos&amp;fileName=Demograficos_Images%2F1345282051.Foto_Estudiante.163212.jpg&amp;appVersion=1.001101&amp;signature=77259c08c4b4172b251860b22b82a92f41b8a84e20bbae1c75f4e8a98d2b5110" TargetMode="External"/><Relationship Id="rId15" Type="http://schemas.openxmlformats.org/officeDocument/2006/relationships/hyperlink" Target="https://www.appsheet.com/image/getimageurl?appName=Lector_Placas-745737628-25-08-10&amp;tableName=Demograficos&amp;fileName=Demograficos_Images%2F1345282079.Foto_Estudiante.162615.jpg&amp;appVersion=1.001101&amp;signature=6978d44ad36366c30252dde26bdeae0b42c7ebd6193d954941ef0fb8a6dc9de4" TargetMode="External"/><Relationship Id="rId14" Type="http://schemas.openxmlformats.org/officeDocument/2006/relationships/hyperlink" Target="https://www.appsheet.com/image/getimageurl?appName=Lector_Placas-745737628-25-08-10&amp;tableName=Demograficos&amp;fileName=Demograficos_Images%2F1345282182.Foto_Estudiante.210453.jpg&amp;appVersion=1.001101&amp;signature=4034be1ba1f5ab42632382067e352aabfb1339210738f5b5d65f7b3ff01dda98" TargetMode="External"/><Relationship Id="rId16" Type="http://schemas.openxmlformats.org/officeDocument/2006/relationships/drawing" Target="../drawings/drawing2.xml"/><Relationship Id="rId5" Type="http://schemas.openxmlformats.org/officeDocument/2006/relationships/hyperlink" Target="https://www.appsheet.com/image/getimageurl?appName=Lector_Placas-745737628-25-08-10&amp;tableName=Demograficos&amp;fileName=Demograficos_Images%2F1345282198.Foto_Estudiante.140659.jpg&amp;appVersion=1.001101&amp;signature=f28268cf5c1a4497ea13582d9e3c07ca7717ff62a7e9749ac04ce0ff40784dac" TargetMode="External"/><Relationship Id="rId6" Type="http://schemas.openxmlformats.org/officeDocument/2006/relationships/hyperlink" Target="https://www.appsheet.com/image/getimageurl?appName=Lector_Placas-745737628-25-08-10&amp;tableName=Demograficos&amp;fileName=Demograficos_Images%2F1345282285.Foto_Estudiante.202845.jpg&amp;appVersion=1.001101&amp;signature=8a02bf867f885230aa543e2200f0036f7884cc90be23b06d293f07130d822b68" TargetMode="External"/><Relationship Id="rId7" Type="http://schemas.openxmlformats.org/officeDocument/2006/relationships/hyperlink" Target="https://www.appsheet.com/image/getimageurl?appName=Lector_Placas-745737628-25-08-10&amp;tableName=Demograficos&amp;fileName=Demograficos_Images%2F1345282198.Foto_Estudiante.140659.jpg&amp;appVersion=1.001101&amp;signature=f28268cf5c1a4497ea13582d9e3c07ca7717ff62a7e9749ac04ce0ff40784dac" TargetMode="External"/><Relationship Id="rId8" Type="http://schemas.openxmlformats.org/officeDocument/2006/relationships/hyperlink" Target="https://www.appsheet.com/image/getimageurl?appName=Lector_Placas-745737628-25-08-10&amp;tableName=Demograficos&amp;fileName=Demograficos_Images%2F1345282050.Foto_Estudiante.141138.jpg&amp;appVersion=1.001101&amp;signature=a8fe738c7e0f702a9446100ad214a4284e096a6afec819228d306d6f0051a4e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5" max="66" width="21.5"/>
    <col customWidth="1" min="69" max="69" width="18.38"/>
    <col customWidth="1" min="74" max="74" width="16.25"/>
    <col customWidth="1" min="75" max="75" width="25.38"/>
    <col customWidth="1" min="76" max="76" width="28.75"/>
    <col customWidth="1" min="77" max="77" width="28.0"/>
    <col customWidth="1" min="78" max="78" width="26.5"/>
  </cols>
  <sheetData>
    <row r="1">
      <c r="A1" s="1" t="str">
        <f>IFERROR(__xludf.DUMMYFUNCTION("IMPORTRANGE(""1EVDMeCPbqa1WZzGoMOpTgEzSL1sj51CDUOoev_GwUaY"",""DATOS ESTUDIANTE!A1:BZ"")"),"ID_NUMBER")</f>
        <v>ID_NUMBER</v>
      </c>
      <c r="B1" s="2" t="str">
        <f>IFERROR(__xludf.DUMMYFUNCTION("""COMPUTED_VALUE"""),"Numero")</f>
        <v>Numero</v>
      </c>
      <c r="C1" s="3" t="str">
        <f>IFERROR(__xludf.DUMMYFUNCTION("""COMPUTED_VALUE"""),"FIRST NAME")</f>
        <v>FIRST NAME</v>
      </c>
      <c r="D1" s="3" t="str">
        <f>IFERROR(__xludf.DUMMYFUNCTION("""COMPUTED_VALUE"""),"MIDDLE NAME")</f>
        <v>MIDDLE NAME</v>
      </c>
      <c r="E1" s="3" t="str">
        <f>IFERROR(__xludf.DUMMYFUNCTION("""COMPUTED_VALUE"""),"LAST NAME")</f>
        <v>LAST NAME</v>
      </c>
      <c r="F1" s="3" t="str">
        <f>IFERROR(__xludf.DUMMYFUNCTION("""COMPUTED_VALUE"""),"STUDENT STREET")</f>
        <v>STUDENT STREET</v>
      </c>
      <c r="G1" s="1" t="str">
        <f>IFERROR(__xludf.DUMMYFUNCTION("""COMPUTED_VALUE"""),"YEAR_OF_BIRTH")</f>
        <v>YEAR_OF_BIRTH</v>
      </c>
      <c r="H1" s="3" t="str">
        <f>IFERROR(__xludf.DUMMYFUNCTION("""COMPUTED_VALUE"""),"MONTH")</f>
        <v>MONTH</v>
      </c>
      <c r="I1" s="1" t="str">
        <f>IFERROR(__xludf.DUMMYFUNCTION("""COMPUTED_VALUE"""),"DAY OF BIRTH")</f>
        <v>DAY OF BIRTH</v>
      </c>
      <c r="J1" s="3" t="str">
        <f>IFERROR(__xludf.DUMMYFUNCTION("""COMPUTED_VALUE"""),"PLACE OF BIRTH")</f>
        <v>PLACE OF BIRTH</v>
      </c>
      <c r="K1" s="3" t="str">
        <f>IFERROR(__xludf.DUMMYFUNCTION("""COMPUTED_VALUE"""),"STUDENT_EMAIL")</f>
        <v>STUDENT_EMAIL</v>
      </c>
      <c r="L1" s="3" t="str">
        <f>IFERROR(__xludf.DUMMYFUNCTION("""COMPUTED_VALUE"""),"ID TYPE")</f>
        <v>ID TYPE</v>
      </c>
      <c r="M1" s="3" t="str">
        <f>IFERROR(__xludf.DUMMYFUNCTION("""COMPUTED_VALUE"""),"ID EXPEDICION")</f>
        <v>ID EXPEDICION</v>
      </c>
      <c r="N1" s="3" t="str">
        <f>IFERROR(__xludf.DUMMYFUNCTION("""COMPUTED_VALUE"""),"GENDER")</f>
        <v>GENDER</v>
      </c>
      <c r="O1" s="3" t="str">
        <f>IFERROR(__xludf.DUMMYFUNCTION("""COMPUTED_VALUE"""),"ACTIVE_INACTIVE")</f>
        <v>ACTIVE_INACTIVE</v>
      </c>
      <c r="P1" s="3" t="str">
        <f>IFERROR(__xludf.DUMMYFUNCTION("""COMPUTED_VALUE"""),"HERMANOS")</f>
        <v>HERMANOS</v>
      </c>
      <c r="Q1" s="3" t="str">
        <f>IFERROR(__xludf.DUMMYFUNCTION("""COMPUTED_VALUE"""),"STUDENT_CITY")</f>
        <v>STUDENT_CITY</v>
      </c>
      <c r="R1" s="1" t="str">
        <f>IFERROR(__xludf.DUMMYFUNCTION("""COMPUTED_VALUE"""),"USER_PSW")</f>
        <v>USER_PSW</v>
      </c>
      <c r="S1" s="3" t="str">
        <f>IFERROR(__xludf.DUMMYFUNCTION("""COMPUTED_VALUE"""),"FULL_NAME")</f>
        <v>FULL_NAME</v>
      </c>
      <c r="T1" s="3" t="str">
        <f>IFERROR(__xludf.DUMMYFUNCTION("""COMPUTED_VALUE"""),"RESPONSABLE_ECONÓMICO")</f>
        <v>RESPONSABLE_ECONÓMICO</v>
      </c>
      <c r="U1" s="1" t="str">
        <f>IFERROR(__xludf.DUMMYFUNCTION("""COMPUTED_VALUE"""),"ID_RESPONSABLE")</f>
        <v>ID_RESPONSABLE</v>
      </c>
      <c r="V1" s="3" t="str">
        <f>IFERROR(__xludf.DUMMYFUNCTION("""COMPUTED_VALUE"""),"Celular R_Eco")</f>
        <v>Celular R_Eco</v>
      </c>
      <c r="W1" s="3" t="str">
        <f>IFERROR(__xludf.DUMMYFUNCTION("""COMPUTED_VALUE"""),"Correo R_Eco")</f>
        <v>Correo R_Eco</v>
      </c>
      <c r="X1" s="1" t="str">
        <f>IFERROR(__xludf.DUMMYFUNCTION("""COMPUTED_VALUE"""),"RH")</f>
        <v>RH</v>
      </c>
      <c r="Y1" s="1" t="str">
        <f>IFERROR(__xludf.DUMMYFUNCTION("""COMPUTED_VALUE"""),"GRADE")</f>
        <v>GRADE</v>
      </c>
      <c r="Z1" s="1" t="str">
        <f>IFERROR(__xludf.DUMMYFUNCTION("""COMPUTED_VALUE"""),"UNIQUE_ID")</f>
        <v>UNIQUE_ID</v>
      </c>
      <c r="AA1" s="3" t="str">
        <f>IFERROR(__xludf.DUMMYFUNCTION("""COMPUTED_VALUE"""),"EPS")</f>
        <v>EPS</v>
      </c>
      <c r="AB1" s="3" t="str">
        <f>IFERROR(__xludf.DUMMYFUNCTION("""COMPUTED_VALUE"""),"SERV._AMBULATORIO")</f>
        <v>SERV._AMBULATORIO</v>
      </c>
      <c r="AC1" s="1" t="str">
        <f>IFERROR(__xludf.DUMMYFUNCTION("""COMPUTED_VALUE"""),"ALLERGIES")</f>
        <v>ALLERGIES</v>
      </c>
      <c r="AD1" s="1" t="str">
        <f>IFERROR(__xludf.DUMMYFUNCTION("""COMPUTED_VALUE"""),"HOMEROOM")</f>
        <v>HOMEROOM</v>
      </c>
      <c r="AE1" s="1" t="str">
        <f>IFERROR(__xludf.DUMMYFUNCTION("""COMPUTED_VALUE"""),"BARCODE")</f>
        <v>BARCODE</v>
      </c>
      <c r="AF1" s="1" t="str">
        <f>IFERROR(__xludf.DUMMYFUNCTION("""COMPUTED_VALUE"""),"RF_ID")</f>
        <v>RF_ID</v>
      </c>
      <c r="AG1" s="1" t="str">
        <f>IFERROR(__xludf.DUMMYFUNCTION("""COMPUTED_VALUE"""),"CONTACT1.FIRST NAME")</f>
        <v>CONTACT1.FIRST NAME</v>
      </c>
      <c r="AH1" s="1" t="str">
        <f>IFERROR(__xludf.DUMMYFUNCTION("""COMPUTED_VALUE"""),"CONTACT1.MIDDLE NAME")</f>
        <v>CONTACT1.MIDDLE NAME</v>
      </c>
      <c r="AI1" s="3" t="str">
        <f>IFERROR(__xludf.DUMMYFUNCTION("""COMPUTED_VALUE"""),"CONTACT1.LAST NAME")</f>
        <v>CONTACT1.LAST NAME</v>
      </c>
      <c r="AJ1" s="3" t="str">
        <f>IFERROR(__xludf.DUMMYFUNCTION("""COMPUTED_VALUE"""),"CORREO_C1")</f>
        <v>CORREO_C1</v>
      </c>
      <c r="AK1" s="3" t="str">
        <f>IFERROR(__xludf.DUMMYFUNCTION("""COMPUTED_VALUE"""),"CONTACT1.PROFESION")</f>
        <v>CONTACT1.PROFESION</v>
      </c>
      <c r="AL1" s="3" t="str">
        <f>IFERROR(__xludf.DUMMYFUNCTION("""COMPUTED_VALUE"""),"CONTACT1.EMPRESA")</f>
        <v>CONTACT1.EMPRESA</v>
      </c>
      <c r="AM1" s="5" t="str">
        <f>IFERROR(__xludf.DUMMYFUNCTION("""COMPUTED_VALUE"""),"CONTACT1.ID")</f>
        <v>CONTACT1.ID</v>
      </c>
      <c r="AN1" s="1" t="str">
        <f>IFERROR(__xludf.DUMMYFUNCTION("""COMPUTED_VALUE"""),"CONTACT1.WHATSAPP")</f>
        <v>CONTACT1.WHATSAPP</v>
      </c>
      <c r="AO1" s="3" t="str">
        <f>IFERROR(__xludf.DUMMYFUNCTION("""COMPUTED_VALUE"""),"CONTACT1.RELATIONSHIP")</f>
        <v>CONTACT1.RELATIONSHIP</v>
      </c>
      <c r="AP1" s="3" t="str">
        <f>IFERROR(__xludf.DUMMYFUNCTION("""COMPUTED_VALUE"""),"FAMILIAS")</f>
        <v>FAMILIAS</v>
      </c>
      <c r="AQ1" s="1" t="str">
        <f>IFERROR(__xludf.DUMMYFUNCTION("""COMPUTED_VALUE"""),"FAMILY_PSW")</f>
        <v>FAMILY_PSW</v>
      </c>
      <c r="AR1" s="1" t="str">
        <f>IFERROR(__xludf.DUMMYFUNCTION("""COMPUTED_VALUE"""),"CONTACT2.FIRST NAME")</f>
        <v>CONTACT2.FIRST NAME</v>
      </c>
      <c r="AS1" s="3" t="str">
        <f>IFERROR(__xludf.DUMMYFUNCTION("""COMPUTED_VALUE"""),"CONTACT2.MIDDLE NAME")</f>
        <v>CONTACT2.MIDDLE NAME</v>
      </c>
      <c r="AT1" s="3" t="str">
        <f>IFERROR(__xludf.DUMMYFUNCTION("""COMPUTED_VALUE"""),"CONTACT2.LAST NAME")</f>
        <v>CONTACT2.LAST NAME</v>
      </c>
      <c r="AU1" s="3" t="str">
        <f>IFERROR(__xludf.DUMMYFUNCTION("""COMPUTED_VALUE"""),"CORREO_C2")</f>
        <v>CORREO_C2</v>
      </c>
      <c r="AV1" s="3" t="str">
        <f>IFERROR(__xludf.DUMMYFUNCTION("""COMPUTED_VALUE"""),"CONTACT2.PROFESION")</f>
        <v>CONTACT2.PROFESION</v>
      </c>
      <c r="AW1" s="1" t="str">
        <f>IFERROR(__xludf.DUMMYFUNCTION("""COMPUTED_VALUE"""),"CONTACT2.EMPRESA")</f>
        <v>CONTACT2.EMPRESA</v>
      </c>
      <c r="AX1" s="5" t="str">
        <f>IFERROR(__xludf.DUMMYFUNCTION("""COMPUTED_VALUE"""),"CONTACT2.ID")</f>
        <v>CONTACT2.ID</v>
      </c>
      <c r="AY1" s="1" t="str">
        <f>IFERROR(__xludf.DUMMYFUNCTION("""COMPUTED_VALUE"""),"CONTACT2
WHATSAPP")</f>
        <v>CONTACT2
WHATSAPP</v>
      </c>
      <c r="AZ1" s="3" t="str">
        <f>IFERROR(__xludf.DUMMYFUNCTION("""COMPUTED_VALUE"""),"CONTACT2
RELATIONSHIP")</f>
        <v>CONTACT2
RELATIONSHIP</v>
      </c>
      <c r="BA1" s="3" t="str">
        <f>IFERROR(__xludf.DUMMYFUNCTION("""COMPUTED_VALUE"""),"NOMBRE_CONT_EXT")</f>
        <v>NOMBRE_CONT_EXT</v>
      </c>
      <c r="BB1" s="3" t="str">
        <f>IFERROR(__xludf.DUMMYFUNCTION("""COMPUTED_VALUE"""),"CEL_CONT_EXT")</f>
        <v>CEL_CONT_EXT</v>
      </c>
      <c r="BC1" s="3" t="str">
        <f>IFERROR(__xludf.DUMMYFUNCTION("""COMPUTED_VALUE"""),"Parentesco_CONT_EXT")</f>
        <v>Parentesco_CONT_EXT</v>
      </c>
      <c r="BD1" s="1" t="str">
        <f>IFERROR(__xludf.DUMMYFUNCTION("""COMPUTED_VALUE"""),"HOUSEHOLD_ID")</f>
        <v>HOUSEHOLD_ID</v>
      </c>
      <c r="BE1" s="1" t="str">
        <f>IFERROR(__xludf.DUMMYFUNCTION("""COMPUTED_VALUE"""),"PRE_MATRICULA")</f>
        <v>PRE_MATRICULA</v>
      </c>
      <c r="BF1" s="1" t="str">
        <f>IFERROR(__xludf.DUMMYFUNCTION("""COMPUTED_VALUE"""),"COLORS")</f>
        <v>COLORS</v>
      </c>
      <c r="BG1" s="3" t="str">
        <f>IFERROR(__xludf.DUMMYFUNCTION("""COMPUTED_VALUE"""),"GRADUATION_YEAR")</f>
        <v>GRADUATION_YEAR</v>
      </c>
      <c r="BH1" s="11" t="str">
        <f>IFERROR(__xludf.DUMMYFUNCTION("""COMPUTED_VALUE"""),"FECHA_MATRICULA")</f>
        <v>FECHA_MATRICULA</v>
      </c>
      <c r="BI1" s="3" t="str">
        <f>IFERROR(__xludf.DUMMYFUNCTION("""COMPUTED_VALUE"""),"Conteo")</f>
        <v>Conteo</v>
      </c>
      <c r="BJ1" s="3" t="str">
        <f>IFERROR(__xludf.DUMMYFUNCTION("""COMPUTED_VALUE"""),"Aprendizaje
SIMAT DANE")</f>
        <v>Aprendizaje
SIMAT DANE</v>
      </c>
      <c r="BK1" s="3" t="str">
        <f>IFERROR(__xludf.DUMMYFUNCTION("""COMPUTED_VALUE"""),"MED_PERMANENTE")</f>
        <v>MED_PERMANENTE</v>
      </c>
      <c r="BL1" s="1" t="str">
        <f>IFERROR(__xludf.DUMMYFUNCTION("""COMPUTED_VALUE"""),"ID FAMILIAS")</f>
        <v>ID FAMILIAS</v>
      </c>
      <c r="BM1" s="3" t="str">
        <f>IFERROR(__xludf.DUMMYFUNCTION("""COMPUTED_VALUE"""),"X_SPORT_DISCIPLINA 1")</f>
        <v>X_SPORT_DISCIPLINA 1</v>
      </c>
      <c r="BN1" s="3" t="str">
        <f>IFERROR(__xludf.DUMMYFUNCTION("""COMPUTED_VALUE"""),"X_SPORT_DISCIPLINA 2")</f>
        <v>X_SPORT_DISCIPLINA 2</v>
      </c>
      <c r="BO1" s="3" t="str">
        <f>IFERROR(__xludf.DUMMYFUNCTION("""COMPUTED_VALUE"""),"CC_LUNES")</f>
        <v>CC_LUNES</v>
      </c>
      <c r="BP1" s="3" t="str">
        <f>IFERROR(__xludf.DUMMYFUNCTION("""COMPUTED_VALUE"""),"CC_MARTES")</f>
        <v>CC_MARTES</v>
      </c>
      <c r="BQ1" s="3" t="str">
        <f>IFERROR(__xludf.DUMMYFUNCTION("""COMPUTED_VALUE"""),"CC_MIERCOLES")</f>
        <v>CC_MIERCOLES</v>
      </c>
      <c r="BR1" s="3" t="str">
        <f>IFERROR(__xludf.DUMMYFUNCTION("""COMPUTED_VALUE"""),"CC_JUEVES")</f>
        <v>CC_JUEVES</v>
      </c>
      <c r="BS1" s="3" t="str">
        <f>IFERROR(__xludf.DUMMYFUNCTION("""COMPUTED_VALUE"""),"CC_VIERNES")</f>
        <v>CC_VIERNES</v>
      </c>
      <c r="BT1" s="3" t="str">
        <f>IFERROR(__xludf.DUMMYFUNCTION("""COMPUTED_VALUE"""),"CC_SABADO")</f>
        <v>CC_SABADO</v>
      </c>
      <c r="BU1" s="3" t="str">
        <f>IFERROR(__xludf.DUMMYFUNCTION("""COMPUTED_VALUE"""),"RESTAURANTE")</f>
        <v>RESTAURANTE</v>
      </c>
      <c r="BV1" s="3" t="str">
        <f>IFERROR(__xludf.DUMMYFUNCTION("""COMPUTED_VALUE"""),"LIBRARY_USER")</f>
        <v>LIBRARY_USER</v>
      </c>
      <c r="BW1" s="3" t="str">
        <f>IFERROR(__xludf.DUMMYFUNCTION("""COMPUTED_VALUE"""),"RUTAS_EXTRACURR")</f>
        <v>RUTAS_EXTRACURR</v>
      </c>
      <c r="BX1" s="3" t="str">
        <f>IFERROR(__xludf.DUMMYFUNCTION("""COMPUTED_VALUE"""),"COMPL_AXM_BUSETA")</f>
        <v>COMPL_AXM_BUSETA</v>
      </c>
      <c r="BY1" s="3" t="str">
        <f>IFERROR(__xludf.DUMMYFUNCTION("""COMPUTED_VALUE"""),"MEDIO_AXM_BUSETA")</f>
        <v>MEDIO_AXM_BUSETA</v>
      </c>
      <c r="BZ1" s="3" t="str">
        <f>IFERROR(__xludf.DUMMYFUNCTION("""COMPUTED_VALUE"""),"MEDIO_AXM_BUS")</f>
        <v>MEDIO_AXM_BUS</v>
      </c>
      <c r="CA1" s="3"/>
      <c r="CB1" s="3"/>
      <c r="CC1" s="3"/>
      <c r="CD1" s="3"/>
      <c r="CE1" s="3"/>
      <c r="CF1" s="3"/>
      <c r="CG1" s="3"/>
      <c r="CH1" s="3"/>
      <c r="CI1" s="3"/>
      <c r="CJ1" s="3"/>
    </row>
    <row r="2">
      <c r="A2" s="12" t="str">
        <f>IFERROR(__xludf.DUMMYFUNCTION("""COMPUTED_VALUE"""),"1092867644")</f>
        <v>1092867644</v>
      </c>
      <c r="B2" s="6">
        <f>IFERROR(__xludf.DUMMYFUNCTION("""COMPUTED_VALUE"""),1.0)</f>
        <v>1</v>
      </c>
      <c r="C2" s="6" t="str">
        <f>IFERROR(__xludf.DUMMYFUNCTION("""COMPUTED_VALUE"""),"Gabriel")</f>
        <v>Gabriel</v>
      </c>
      <c r="D2" s="6"/>
      <c r="E2" s="6" t="str">
        <f>IFERROR(__xludf.DUMMYFUNCTION("""COMPUTED_VALUE"""),"Alzate González")</f>
        <v>Alzate González</v>
      </c>
      <c r="F2" s="6" t="str">
        <f>IFERROR(__xludf.DUMMYFUNCTION("""COMPUTED_VALUE"""),"carrera 11#9norte-01 barrio la castellana condominio colina del parque casa A13 - La castellana")</f>
        <v>carrera 11#9norte-01 barrio la castellana condominio colina del parque casa A13 - La castellana</v>
      </c>
      <c r="G2" s="12">
        <f>IFERROR(__xludf.DUMMYFUNCTION("""COMPUTED_VALUE"""),2024.0)</f>
        <v>2024</v>
      </c>
      <c r="H2" s="12" t="str">
        <f>IFERROR(__xludf.DUMMYFUNCTION("""COMPUTED_VALUE"""),"Agosto")</f>
        <v>Agosto</v>
      </c>
      <c r="I2" s="12">
        <f>IFERROR(__xludf.DUMMYFUNCTION("""COMPUTED_VALUE"""),10.0)</f>
        <v>10</v>
      </c>
      <c r="J2" s="6"/>
      <c r="K2" s="12" t="str">
        <f>IFERROR(__xludf.DUMMYFUNCTION("""COMPUTED_VALUE"""),"gabriel.ag2042@gi.edu.co")</f>
        <v>gabriel.ag2042@gi.edu.co</v>
      </c>
      <c r="L2" s="6" t="str">
        <f>IFERROR(__xludf.DUMMYFUNCTION("""COMPUTED_VALUE"""),"RC")</f>
        <v>RC</v>
      </c>
      <c r="M2" s="6" t="str">
        <f>IFERROR(__xludf.DUMMYFUNCTION("""COMPUTED_VALUE"""),"Armenia")</f>
        <v>Armenia</v>
      </c>
      <c r="N2" s="6" t="str">
        <f>IFERROR(__xludf.DUMMYFUNCTION("""COMPUTED_VALUE"""),"M")</f>
        <v>M</v>
      </c>
      <c r="O2" s="6" t="str">
        <f>IFERROR(__xludf.DUMMYFUNCTION("""COMPUTED_VALUE"""),"INACTIVE")</f>
        <v>INACTIVE</v>
      </c>
      <c r="P2" s="6"/>
      <c r="Q2" s="6"/>
      <c r="R2" s="12" t="str">
        <f>IFERROR(__xludf.DUMMYFUNCTION("""COMPUTED_VALUE"""),"GiC8Yj2M*")</f>
        <v>GiC8Yj2M*</v>
      </c>
      <c r="S2" s="6" t="str">
        <f>IFERROR(__xludf.DUMMYFUNCTION("""COMPUTED_VALUE"""),"Alzate González Gabriel ")</f>
        <v>Alzate González Gabriel </v>
      </c>
      <c r="T2" s="6" t="str">
        <f>IFERROR(__xludf.DUMMYFUNCTION("""COMPUTED_VALUE"""),"ENERGIZARQ CONSTRUCTORA S.A.S.")</f>
        <v>ENERGIZARQ CONSTRUCTORA S.A.S.</v>
      </c>
      <c r="U2" s="12" t="str">
        <f>IFERROR(__xludf.DUMMYFUNCTION("""COMPUTED_VALUE"""),"900712305-1")</f>
        <v>900712305-1</v>
      </c>
      <c r="V2" s="6">
        <f>IFERROR(__xludf.DUMMYFUNCTION("""COMPUTED_VALUE"""),3.127794435E9)</f>
        <v>3127794435</v>
      </c>
      <c r="W2" s="6" t="str">
        <f>IFERROR(__xludf.DUMMYFUNCTION("""COMPUTED_VALUE"""),"facturacionenergizarq@gmail.com")</f>
        <v>facturacionenergizarq@gmail.com</v>
      </c>
      <c r="X2" s="12" t="str">
        <f>IFERROR(__xludf.DUMMYFUNCTION("""COMPUTED_VALUE"""),"A+")</f>
        <v>A+</v>
      </c>
      <c r="Y2" s="12" t="str">
        <f>IFERROR(__xludf.DUMMYFUNCTION("""COMPUTED_VALUE"""),"PV")</f>
        <v>PV</v>
      </c>
      <c r="Z2" s="6">
        <f>IFERROR(__xludf.DUMMYFUNCTION("""COMPUTED_VALUE"""),120589.0)</f>
        <v>120589</v>
      </c>
      <c r="AA2" s="6" t="str">
        <f>IFERROR(__xludf.DUMMYFUNCTION("""COMPUTED_VALUE"""),"SURA")</f>
        <v>SURA</v>
      </c>
      <c r="AB2" s="6"/>
      <c r="AC2" s="6"/>
      <c r="AD2" s="12" t="str">
        <f>IFERROR(__xludf.DUMMYFUNCTION("""COMPUTED_VALUE"""),"PVA")</f>
        <v>PVA</v>
      </c>
      <c r="AE2" s="12" t="str">
        <f>IFERROR(__xludf.DUMMYFUNCTION("""COMPUTED_VALUE"""),"1345282586")</f>
        <v>1345282586</v>
      </c>
      <c r="AF2" s="12" t="str">
        <f>IFERROR(__xludf.DUMMYFUNCTION("""COMPUTED_VALUE"""),"1345282586")</f>
        <v>1345282586</v>
      </c>
      <c r="AG2" s="12" t="str">
        <f>IFERROR(__xludf.DUMMYFUNCTION("""COMPUTED_VALUE"""),"Johanna")</f>
        <v>Johanna</v>
      </c>
      <c r="AH2" s="12" t="str">
        <f>IFERROR(__xludf.DUMMYFUNCTION("""COMPUTED_VALUE"""),"Marcela")</f>
        <v>Marcela</v>
      </c>
      <c r="AI2" s="6" t="str">
        <f>IFERROR(__xludf.DUMMYFUNCTION("""COMPUTED_VALUE"""),"González Calle")</f>
        <v>González Calle</v>
      </c>
      <c r="AJ2" s="6" t="str">
        <f>IFERROR(__xludf.DUMMYFUNCTION("""COMPUTED_VALUE"""),"johamarcelita3089@gmail.com")</f>
        <v>johamarcelita3089@gmail.com</v>
      </c>
      <c r="AK2" s="6" t="str">
        <f>IFERROR(__xludf.DUMMYFUNCTION("""COMPUTED_VALUE"""),"intrumentadora quirurgica")</f>
        <v>intrumentadora quirurgica</v>
      </c>
      <c r="AL2" s="6"/>
      <c r="AM2" s="12" t="str">
        <f>IFERROR(__xludf.DUMMYFUNCTION("""COMPUTED_VALUE"""),"1097034695")</f>
        <v>1097034695</v>
      </c>
      <c r="AN2" s="12" t="str">
        <f>IFERROR(__xludf.DUMMYFUNCTION("""COMPUTED_VALUE"""),"3217327341")</f>
        <v>3217327341</v>
      </c>
      <c r="AO2" s="6" t="str">
        <f>IFERROR(__xludf.DUMMYFUNCTION("""COMPUTED_VALUE"""),"Madre")</f>
        <v>Madre</v>
      </c>
      <c r="AP2" s="6" t="str">
        <f>IFERROR(__xludf.DUMMYFUNCTION("""COMPUTED_VALUE"""),"Estudiante(s): Alzate González")</f>
        <v>Estudiante(s): Alzate González</v>
      </c>
      <c r="AQ2" s="6" t="str">
        <f>IFERROR(__xludf.DUMMYFUNCTION("""COMPUTED_VALUE"""),"120589*Gi")</f>
        <v>120589*Gi</v>
      </c>
      <c r="AR2" s="6" t="str">
        <f>IFERROR(__xludf.DUMMYFUNCTION("""COMPUTED_VALUE"""),"Mario")</f>
        <v>Mario</v>
      </c>
      <c r="AS2" s="6" t="str">
        <f>IFERROR(__xludf.DUMMYFUNCTION("""COMPUTED_VALUE"""),"Fernando")</f>
        <v>Fernando</v>
      </c>
      <c r="AT2" s="6" t="str">
        <f>IFERROR(__xludf.DUMMYFUNCTION("""COMPUTED_VALUE"""),"Alzate Osorio")</f>
        <v>Alzate Osorio</v>
      </c>
      <c r="AU2" s="6" t="str">
        <f>IFERROR(__xludf.DUMMYFUNCTION("""COMPUTED_VALUE"""),"marioalzate24@gmail.com")</f>
        <v>marioalzate24@gmail.com</v>
      </c>
      <c r="AV2" s="6" t="str">
        <f>IFERROR(__xludf.DUMMYFUNCTION("""COMPUTED_VALUE"""),"Arquitecto")</f>
        <v>Arquitecto</v>
      </c>
      <c r="AW2" s="6"/>
      <c r="AX2" s="12" t="str">
        <f>IFERROR(__xludf.DUMMYFUNCTION("""COMPUTED_VALUE"""),"1094918357")</f>
        <v>1094918357</v>
      </c>
      <c r="AY2" s="12" t="str">
        <f>IFERROR(__xludf.DUMMYFUNCTION("""COMPUTED_VALUE"""),"3127794435")</f>
        <v>3127794435</v>
      </c>
      <c r="AZ2" s="6" t="str">
        <f>IFERROR(__xludf.DUMMYFUNCTION("""COMPUTED_VALUE"""),"Padre")</f>
        <v>Padre</v>
      </c>
      <c r="BA2" s="6"/>
      <c r="BB2" s="6"/>
      <c r="BC2" s="6"/>
      <c r="BD2" s="12" t="str">
        <f>IFERROR(__xludf.DUMMYFUNCTION("""COMPUTED_VALUE"""),"alz0003")</f>
        <v>alz0003</v>
      </c>
      <c r="BE2" s="6" t="str">
        <f>IFERROR(__xludf.DUMMYFUNCTION("""COMPUTED_VALUE"""),"NUEVO(A)")</f>
        <v>NUEVO(A)</v>
      </c>
      <c r="BF2" s="12" t="str">
        <f>IFERROR(__xludf.DUMMYFUNCTION("""COMPUTED_VALUE"""),"FALTAN FIRMAS")</f>
        <v>FALTAN FIRMAS</v>
      </c>
      <c r="BG2" s="6">
        <f>IFERROR(__xludf.DUMMYFUNCTION("""COMPUTED_VALUE"""),2042.0)</f>
        <v>2042</v>
      </c>
      <c r="BH2" s="15">
        <f>IFERROR(__xludf.DUMMYFUNCTION("""COMPUTED_VALUE"""),46199.593506944446)</f>
        <v>46199.59351</v>
      </c>
      <c r="BI2" s="6">
        <f>IFERROR(__xludf.DUMMYFUNCTION("""COMPUTED_VALUE"""),1.0)</f>
        <v>1</v>
      </c>
      <c r="BJ2" s="6"/>
      <c r="BK2" s="6"/>
      <c r="BL2" s="6" t="str">
        <f>IFERROR(__xludf.DUMMYFUNCTION("""COMPUTED_VALUE"""),"GISALZ0003")</f>
        <v>GISALZ0003</v>
      </c>
      <c r="BM2" s="6"/>
      <c r="BN2" s="6"/>
      <c r="BO2" s="6"/>
      <c r="BP2" s="6"/>
      <c r="BQ2" s="6"/>
      <c r="BR2" s="6"/>
      <c r="BS2" s="6"/>
      <c r="BT2" s="6"/>
      <c r="BU2" s="6" t="str">
        <f>IFERROR(__xludf.DUMMYFUNCTION("""COMPUTED_VALUE"""),"SI")</f>
        <v>SI</v>
      </c>
      <c r="BV2" s="12" t="str">
        <f>IFERROR(__xludf.DUMMYFUNCTION("""COMPUTED_VALUE"""),"gabriel.ag2042")</f>
        <v>gabriel.ag2042</v>
      </c>
      <c r="BW2" s="6"/>
      <c r="BX2" s="6"/>
      <c r="BY2" s="6"/>
      <c r="BZ2" s="6"/>
    </row>
    <row r="3">
      <c r="A3" s="12" t="str">
        <f>IFERROR(__xludf.DUMMYFUNCTION("""COMPUTED_VALUE"""),"1092867402")</f>
        <v>1092867402</v>
      </c>
      <c r="B3" s="6">
        <f>IFERROR(__xludf.DUMMYFUNCTION("""COMPUTED_VALUE"""),2.0)</f>
        <v>2</v>
      </c>
      <c r="C3" s="6" t="str">
        <f>IFERROR(__xludf.DUMMYFUNCTION("""COMPUTED_VALUE"""),"Samuel")</f>
        <v>Samuel</v>
      </c>
      <c r="D3" s="6"/>
      <c r="E3" s="6" t="str">
        <f>IFERROR(__xludf.DUMMYFUNCTION("""COMPUTED_VALUE"""),"Botero García")</f>
        <v>Botero García</v>
      </c>
      <c r="F3" s="6" t="str">
        <f>IFERROR(__xludf.DUMMYFUNCTION("""COMPUTED_VALUE"""),"Lagos de Iraka Casa 68 - Km 12 Via Armenia - El Caimo")</f>
        <v>Lagos de Iraka Casa 68 - Km 12 Via Armenia - El Caimo</v>
      </c>
      <c r="G3" s="12">
        <f>IFERROR(__xludf.DUMMYFUNCTION("""COMPUTED_VALUE"""),2023.0)</f>
        <v>2023</v>
      </c>
      <c r="H3" s="12" t="str">
        <f>IFERROR(__xludf.DUMMYFUNCTION("""COMPUTED_VALUE"""),"Marzo")</f>
        <v>Marzo</v>
      </c>
      <c r="I3" s="12">
        <f>IFERROR(__xludf.DUMMYFUNCTION("""COMPUTED_VALUE"""),20.0)</f>
        <v>20</v>
      </c>
      <c r="J3" s="6"/>
      <c r="K3" s="12" t="str">
        <f>IFERROR(__xludf.DUMMYFUNCTION("""COMPUTED_VALUE"""),"samuel.b2042@gi.edu.co")</f>
        <v>samuel.b2042@gi.edu.co</v>
      </c>
      <c r="L3" s="6" t="str">
        <f>IFERROR(__xludf.DUMMYFUNCTION("""COMPUTED_VALUE"""),"RC")</f>
        <v>RC</v>
      </c>
      <c r="M3" s="6" t="str">
        <f>IFERROR(__xludf.DUMMYFUNCTION("""COMPUTED_VALUE"""),"Circasia")</f>
        <v>Circasia</v>
      </c>
      <c r="N3" s="6" t="str">
        <f>IFERROR(__xludf.DUMMYFUNCTION("""COMPUTED_VALUE"""),"M")</f>
        <v>M</v>
      </c>
      <c r="O3" s="6" t="str">
        <f>IFERROR(__xludf.DUMMYFUNCTION("""COMPUTED_VALUE"""),"ACTIVE")</f>
        <v>ACTIVE</v>
      </c>
      <c r="P3" s="6" t="str">
        <f>IFERROR(__xludf.DUMMYFUNCTION("""COMPUTED_VALUE"""),"2°Hermano")</f>
        <v>2°Hermano</v>
      </c>
      <c r="Q3" s="6" t="str">
        <f>IFERROR(__xludf.DUMMYFUNCTION("""COMPUTED_VALUE"""),"Armenia")</f>
        <v>Armenia</v>
      </c>
      <c r="R3" s="12" t="str">
        <f>IFERROR(__xludf.DUMMYFUNCTION("""COMPUTED_VALUE"""),"GiU7Lq4V*")</f>
        <v>GiU7Lq4V*</v>
      </c>
      <c r="S3" s="6" t="str">
        <f>IFERROR(__xludf.DUMMYFUNCTION("""COMPUTED_VALUE"""),"Botero García Samuel ")</f>
        <v>Botero García Samuel </v>
      </c>
      <c r="T3" s="6" t="str">
        <f>IFERROR(__xludf.DUMMYFUNCTION("""COMPUTED_VALUE"""),"SEBASTIAN BOTERO BUENO")</f>
        <v>SEBASTIAN BOTERO BUENO</v>
      </c>
      <c r="U3" s="12" t="str">
        <f>IFERROR(__xludf.DUMMYFUNCTION("""COMPUTED_VALUE"""),"1094898447")</f>
        <v>1094898447</v>
      </c>
      <c r="V3" s="6">
        <f>IFERROR(__xludf.DUMMYFUNCTION("""COMPUTED_VALUE"""),3.128225327E9)</f>
        <v>3128225327</v>
      </c>
      <c r="W3" s="6" t="str">
        <f>IFERROR(__xludf.DUMMYFUNCTION("""COMPUTED_VALUE"""),"polo400@hotmail.com")</f>
        <v>polo400@hotmail.com</v>
      </c>
      <c r="X3" s="12" t="str">
        <f>IFERROR(__xludf.DUMMYFUNCTION("""COMPUTED_VALUE"""),"O+")</f>
        <v>O+</v>
      </c>
      <c r="Y3" s="12" t="str">
        <f>IFERROR(__xludf.DUMMYFUNCTION("""COMPUTED_VALUE"""),"PV")</f>
        <v>PV</v>
      </c>
      <c r="Z3" s="6">
        <f>IFERROR(__xludf.DUMMYFUNCTION("""COMPUTED_VALUE"""),120599.0)</f>
        <v>120599</v>
      </c>
      <c r="AA3" s="6" t="str">
        <f>IFERROR(__xludf.DUMMYFUNCTION("""COMPUTED_VALUE"""),"SALUD TOTAL")</f>
        <v>SALUD TOTAL</v>
      </c>
      <c r="AB3" s="6"/>
      <c r="AC3" s="6"/>
      <c r="AD3" s="12" t="str">
        <f>IFERROR(__xludf.DUMMYFUNCTION("""COMPUTED_VALUE"""),"PVA")</f>
        <v>PVA</v>
      </c>
      <c r="AE3" s="12" t="str">
        <f>IFERROR(__xludf.DUMMYFUNCTION("""COMPUTED_VALUE"""),"1345282596")</f>
        <v>1345282596</v>
      </c>
      <c r="AF3" s="12" t="str">
        <f>IFERROR(__xludf.DUMMYFUNCTION("""COMPUTED_VALUE"""),"1345282596")</f>
        <v>1345282596</v>
      </c>
      <c r="AG3" s="12" t="str">
        <f>IFERROR(__xludf.DUMMYFUNCTION("""COMPUTED_VALUE"""),"Melina")</f>
        <v>Melina</v>
      </c>
      <c r="AH3" s="6"/>
      <c r="AI3" s="6" t="str">
        <f>IFERROR(__xludf.DUMMYFUNCTION("""COMPUTED_VALUE"""),"García Cruz")</f>
        <v>García Cruz</v>
      </c>
      <c r="AJ3" s="6" t="str">
        <f>IFERROR(__xludf.DUMMYFUNCTION("""COMPUTED_VALUE"""),"meligarciacruz@hotmail.com")</f>
        <v>meligarciacruz@hotmail.com</v>
      </c>
      <c r="AK3" s="6" t="str">
        <f>IFERROR(__xludf.DUMMYFUNCTION("""COMPUTED_VALUE"""),"Economista")</f>
        <v>Economista</v>
      </c>
      <c r="AL3" s="6"/>
      <c r="AM3" s="12" t="str">
        <f>IFERROR(__xludf.DUMMYFUNCTION("""COMPUTED_VALUE"""),"1094943750")</f>
        <v>1094943750</v>
      </c>
      <c r="AN3" s="12" t="str">
        <f>IFERROR(__xludf.DUMMYFUNCTION("""COMPUTED_VALUE"""),"3153502776")</f>
        <v>3153502776</v>
      </c>
      <c r="AO3" s="6" t="str">
        <f>IFERROR(__xludf.DUMMYFUNCTION("""COMPUTED_VALUE"""),"Madre")</f>
        <v>Madre</v>
      </c>
      <c r="AP3" s="12" t="str">
        <f>IFERROR(__xludf.DUMMYFUNCTION("""COMPUTED_VALUE"""),"Estudiante(s): Botero García")</f>
        <v>Estudiante(s): Botero García</v>
      </c>
      <c r="AQ3" s="6" t="str">
        <f>IFERROR(__xludf.DUMMYFUNCTION("""COMPUTED_VALUE"""),"120423*Gi")</f>
        <v>120423*Gi</v>
      </c>
      <c r="AR3" s="6" t="str">
        <f>IFERROR(__xludf.DUMMYFUNCTION("""COMPUTED_VALUE"""),"Sebastián")</f>
        <v>Sebastián</v>
      </c>
      <c r="AS3" s="6"/>
      <c r="AT3" s="6" t="str">
        <f>IFERROR(__xludf.DUMMYFUNCTION("""COMPUTED_VALUE"""),"Botero Bueno")</f>
        <v>Botero Bueno</v>
      </c>
      <c r="AU3" s="6" t="str">
        <f>IFERROR(__xludf.DUMMYFUNCTION("""COMPUTED_VALUE"""),"polo400@hotmail.com")</f>
        <v>polo400@hotmail.com</v>
      </c>
      <c r="AV3" s="6" t="str">
        <f>IFERROR(__xludf.DUMMYFUNCTION("""COMPUTED_VALUE"""),"Abogado")</f>
        <v>Abogado</v>
      </c>
      <c r="AW3" s="6" t="str">
        <f>IFERROR(__xludf.DUMMYFUNCTION("""COMPUTED_VALUE"""),"Only muebles ")</f>
        <v>Only muebles </v>
      </c>
      <c r="AX3" s="12" t="str">
        <f>IFERROR(__xludf.DUMMYFUNCTION("""COMPUTED_VALUE"""),"1094898447")</f>
        <v>1094898447</v>
      </c>
      <c r="AY3" s="12" t="str">
        <f>IFERROR(__xludf.DUMMYFUNCTION("""COMPUTED_VALUE"""),"3128225327")</f>
        <v>3128225327</v>
      </c>
      <c r="AZ3" s="6" t="str">
        <f>IFERROR(__xludf.DUMMYFUNCTION("""COMPUTED_VALUE"""),"Padre")</f>
        <v>Padre</v>
      </c>
      <c r="BA3" s="6"/>
      <c r="BB3" s="6"/>
      <c r="BC3" s="6"/>
      <c r="BD3" s="12" t="str">
        <f>IFERROR(__xludf.DUMMYFUNCTION("""COMPUTED_VALUE"""),"bot0022")</f>
        <v>bot0022</v>
      </c>
      <c r="BE3" s="6" t="str">
        <f>IFERROR(__xludf.DUMMYFUNCTION("""COMPUTED_VALUE"""),"NUEVO(A)")</f>
        <v>NUEVO(A)</v>
      </c>
      <c r="BF3" s="6"/>
      <c r="BG3" s="6">
        <f>IFERROR(__xludf.DUMMYFUNCTION("""COMPUTED_VALUE"""),2042.0)</f>
        <v>2042</v>
      </c>
      <c r="BH3" s="15">
        <f>IFERROR(__xludf.DUMMYFUNCTION("""COMPUTED_VALUE"""),46196.47715277778)</f>
        <v>46196.47715</v>
      </c>
      <c r="BI3" s="6">
        <f>IFERROR(__xludf.DUMMYFUNCTION("""COMPUTED_VALUE"""),2.0)</f>
        <v>2</v>
      </c>
      <c r="BJ3" s="6"/>
      <c r="BK3" s="6"/>
      <c r="BL3" s="6" t="str">
        <f>IFERROR(__xludf.DUMMYFUNCTION("""COMPUTED_VALUE"""),"GISBOT0022")</f>
        <v>GISBOT0022</v>
      </c>
      <c r="BM3" s="6"/>
      <c r="BN3" s="6"/>
      <c r="BO3" s="6"/>
      <c r="BP3" s="6"/>
      <c r="BQ3" s="6"/>
      <c r="BR3" s="6"/>
      <c r="BS3" s="6"/>
      <c r="BT3" s="6"/>
      <c r="BU3" s="6" t="str">
        <f>IFERROR(__xludf.DUMMYFUNCTION("""COMPUTED_VALUE"""),"SI")</f>
        <v>SI</v>
      </c>
      <c r="BV3" s="12" t="str">
        <f>IFERROR(__xludf.DUMMYFUNCTION("""COMPUTED_VALUE"""),"samuel.b2042")</f>
        <v>samuel.b2042</v>
      </c>
      <c r="BW3" s="6"/>
      <c r="BX3" s="6"/>
      <c r="BY3" s="6"/>
      <c r="BZ3" s="6"/>
    </row>
    <row r="4">
      <c r="A4" s="12">
        <f>IFERROR(__xludf.DUMMYFUNCTION("""COMPUTED_VALUE"""),2.82748851E8)</f>
        <v>282748851</v>
      </c>
      <c r="B4" s="6">
        <f>IFERROR(__xludf.DUMMYFUNCTION("""COMPUTED_VALUE"""),3.0)</f>
        <v>3</v>
      </c>
      <c r="C4" s="6" t="str">
        <f>IFERROR(__xludf.DUMMYFUNCTION("""COMPUTED_VALUE"""),"Matheo")</f>
        <v>Matheo</v>
      </c>
      <c r="D4" s="6" t="str">
        <f>IFERROR(__xludf.DUMMYFUNCTION("""COMPUTED_VALUE"""),"Santino")</f>
        <v>Santino</v>
      </c>
      <c r="E4" s="6" t="str">
        <f>IFERROR(__xludf.DUMMYFUNCTION("""COMPUTED_VALUE"""),"Durán Hernández")</f>
        <v>Durán Hernández</v>
      </c>
      <c r="F4" s="6" t="str">
        <f>IFERROR(__xludf.DUMMYFUNCTION("""COMPUTED_VALUE"""),"Km2 vía el caimo, ananda casa 27 - Caimo")</f>
        <v>Km2 vía el caimo, ananda casa 27 - Caimo</v>
      </c>
      <c r="G4" s="12">
        <f>IFERROR(__xludf.DUMMYFUNCTION("""COMPUTED_VALUE"""),2023.0)</f>
        <v>2023</v>
      </c>
      <c r="H4" s="12" t="str">
        <f>IFERROR(__xludf.DUMMYFUNCTION("""COMPUTED_VALUE"""),"Octubre")</f>
        <v>Octubre</v>
      </c>
      <c r="I4" s="12">
        <f>IFERROR(__xludf.DUMMYFUNCTION("""COMPUTED_VALUE"""),25.0)</f>
        <v>25</v>
      </c>
      <c r="J4" s="6"/>
      <c r="K4" s="12" t="str">
        <f>IFERROR(__xludf.DUMMYFUNCTION("""COMPUTED_VALUE"""),"matheo.d2042@gi.edu.co")</f>
        <v>matheo.d2042@gi.edu.co</v>
      </c>
      <c r="L4" s="6" t="str">
        <f>IFERROR(__xludf.DUMMYFUNCTION("""COMPUTED_VALUE"""),"RC")</f>
        <v>RC</v>
      </c>
      <c r="M4" s="6" t="str">
        <f>IFERROR(__xludf.DUMMYFUNCTION("""COMPUTED_VALUE"""),"CiudadSantiago")</f>
        <v>CiudadSantiago</v>
      </c>
      <c r="N4" s="6" t="str">
        <f>IFERROR(__xludf.DUMMYFUNCTION("""COMPUTED_VALUE"""),"M")</f>
        <v>M</v>
      </c>
      <c r="O4" s="6" t="str">
        <f>IFERROR(__xludf.DUMMYFUNCTION("""COMPUTED_VALUE"""),"INACTIVE")</f>
        <v>INACTIVE</v>
      </c>
      <c r="P4" s="6"/>
      <c r="Q4" s="6"/>
      <c r="R4" s="12" t="str">
        <f>IFERROR(__xludf.DUMMYFUNCTION("""COMPUTED_VALUE"""),"GiP9Tk3C*")</f>
        <v>GiP9Tk3C*</v>
      </c>
      <c r="S4" s="6" t="str">
        <f>IFERROR(__xludf.DUMMYFUNCTION("""COMPUTED_VALUE"""),"Durán Hernández Matheo Santino")</f>
        <v>Durán Hernández Matheo Santino</v>
      </c>
      <c r="T4" s="6" t="str">
        <f>IFERROR(__xludf.DUMMYFUNCTION("""COMPUTED_VALUE"""),"LAURA NATALIA HERNANDEZ ARBELAEZ")</f>
        <v>LAURA NATALIA HERNANDEZ ARBELAEZ</v>
      </c>
      <c r="U4" s="12" t="str">
        <f>IFERROR(__xludf.DUMMYFUNCTION("""COMPUTED_VALUE"""),"1094889211")</f>
        <v>1094889211</v>
      </c>
      <c r="V4" s="6">
        <f>IFERROR(__xludf.DUMMYFUNCTION("""COMPUTED_VALUE"""),3.151240211E9)</f>
        <v>3151240211</v>
      </c>
      <c r="W4" s="6" t="str">
        <f>IFERROR(__xludf.DUMMYFUNCTION("""COMPUTED_VALUE"""),"natalia_3482@icloud.com")</f>
        <v>natalia_3482@icloud.com</v>
      </c>
      <c r="X4" s="12" t="str">
        <f>IFERROR(__xludf.DUMMYFUNCTION("""COMPUTED_VALUE"""),"O+")</f>
        <v>O+</v>
      </c>
      <c r="Y4" s="12" t="str">
        <f>IFERROR(__xludf.DUMMYFUNCTION("""COMPUTED_VALUE"""),"PV")</f>
        <v>PV</v>
      </c>
      <c r="Z4" s="6">
        <f>IFERROR(__xludf.DUMMYFUNCTION("""COMPUTED_VALUE"""),120597.0)</f>
        <v>120597</v>
      </c>
      <c r="AA4" s="6" t="str">
        <f>IFERROR(__xludf.DUMMYFUNCTION("""COMPUTED_VALUE"""),"NUEVA EPS")</f>
        <v>NUEVA EPS</v>
      </c>
      <c r="AB4" s="6"/>
      <c r="AC4" s="6"/>
      <c r="AD4" s="12" t="str">
        <f>IFERROR(__xludf.DUMMYFUNCTION("""COMPUTED_VALUE"""),"PVA")</f>
        <v>PVA</v>
      </c>
      <c r="AE4" s="12" t="str">
        <f>IFERROR(__xludf.DUMMYFUNCTION("""COMPUTED_VALUE"""),"1345282594")</f>
        <v>1345282594</v>
      </c>
      <c r="AF4" s="12" t="str">
        <f>IFERROR(__xludf.DUMMYFUNCTION("""COMPUTED_VALUE"""),"1345282594")</f>
        <v>1345282594</v>
      </c>
      <c r="AG4" s="12" t="str">
        <f>IFERROR(__xludf.DUMMYFUNCTION("""COMPUTED_VALUE"""),"Laura")</f>
        <v>Laura</v>
      </c>
      <c r="AH4" s="12" t="str">
        <f>IFERROR(__xludf.DUMMYFUNCTION("""COMPUTED_VALUE"""),"Natalia")</f>
        <v>Natalia</v>
      </c>
      <c r="AI4" s="6" t="str">
        <f>IFERROR(__xludf.DUMMYFUNCTION("""COMPUTED_VALUE"""),"Hernández Arbeláez")</f>
        <v>Hernández Arbeláez</v>
      </c>
      <c r="AJ4" s="6" t="str">
        <f>IFERROR(__xludf.DUMMYFUNCTION("""COMPUTED_VALUE"""),"natalia_3482@icloud.com")</f>
        <v>natalia_3482@icloud.com</v>
      </c>
      <c r="AK4" s="6" t="str">
        <f>IFERROR(__xludf.DUMMYFUNCTION("""COMPUTED_VALUE"""),"Psicologa")</f>
        <v>Psicologa</v>
      </c>
      <c r="AL4" s="6"/>
      <c r="AM4" s="12" t="str">
        <f>IFERROR(__xludf.DUMMYFUNCTION("""COMPUTED_VALUE"""),"1094889211")</f>
        <v>1094889211</v>
      </c>
      <c r="AN4" s="12" t="str">
        <f>IFERROR(__xludf.DUMMYFUNCTION("""COMPUTED_VALUE"""),"3151240211")</f>
        <v>3151240211</v>
      </c>
      <c r="AO4" s="6" t="str">
        <f>IFERROR(__xludf.DUMMYFUNCTION("""COMPUTED_VALUE"""),"Madre")</f>
        <v>Madre</v>
      </c>
      <c r="AP4" s="6" t="str">
        <f>IFERROR(__xludf.DUMMYFUNCTION("""COMPUTED_VALUE"""),"Estudiante(s): Durán Hernández")</f>
        <v>Estudiante(s): Durán Hernández</v>
      </c>
      <c r="AQ4" s="6" t="str">
        <f>IFERROR(__xludf.DUMMYFUNCTION("""COMPUTED_VALUE"""),"120597-Gi")</f>
        <v>120597-Gi</v>
      </c>
      <c r="AR4" s="6" t="str">
        <f>IFERROR(__xludf.DUMMYFUNCTION("""COMPUTED_VALUE"""),"Celso")</f>
        <v>Celso</v>
      </c>
      <c r="AS4" s="6" t="str">
        <f>IFERROR(__xludf.DUMMYFUNCTION("""COMPUTED_VALUE"""),"Ariel")</f>
        <v>Ariel</v>
      </c>
      <c r="AT4" s="6" t="str">
        <f>IFERROR(__xludf.DUMMYFUNCTION("""COMPUTED_VALUE"""),"Durán Maturana")</f>
        <v>Durán Maturana</v>
      </c>
      <c r="AU4" s="6" t="str">
        <f>IFERROR(__xludf.DUMMYFUNCTION("""COMPUTED_VALUE"""),"celso.dm@gmail.com")</f>
        <v>celso.dm@gmail.com</v>
      </c>
      <c r="AV4" s="6" t="str">
        <f>IFERROR(__xludf.DUMMYFUNCTION("""COMPUTED_VALUE"""),"Ingeniero comercial ")</f>
        <v>Ingeniero comercial </v>
      </c>
      <c r="AW4" s="6"/>
      <c r="AX4" s="12" t="str">
        <f>IFERROR(__xludf.DUMMYFUNCTION("""COMPUTED_VALUE"""),"130352030")</f>
        <v>130352030</v>
      </c>
      <c r="AY4" s="12" t="str">
        <f>IFERROR(__xludf.DUMMYFUNCTION("""COMPUTED_VALUE"""),"971410418")</f>
        <v>971410418</v>
      </c>
      <c r="AZ4" s="6" t="str">
        <f>IFERROR(__xludf.DUMMYFUNCTION("""COMPUTED_VALUE"""),"Padre")</f>
        <v>Padre</v>
      </c>
      <c r="BA4" s="6"/>
      <c r="BB4" s="6"/>
      <c r="BC4" s="6"/>
      <c r="BD4" s="12" t="str">
        <f>IFERROR(__xludf.DUMMYFUNCTION("""COMPUTED_VALUE"""),"dur0003")</f>
        <v>dur0003</v>
      </c>
      <c r="BE4" s="6" t="str">
        <f>IFERROR(__xludf.DUMMYFUNCTION("""COMPUTED_VALUE"""),"NUEVO(A)")</f>
        <v>NUEVO(A)</v>
      </c>
      <c r="BF4" s="12" t="str">
        <f>IFERROR(__xludf.DUMMYFUNCTION("""COMPUTED_VALUE"""),"FALTAN FIRMAS")</f>
        <v>FALTAN FIRMAS</v>
      </c>
      <c r="BG4" s="6">
        <f>IFERROR(__xludf.DUMMYFUNCTION("""COMPUTED_VALUE"""),2042.0)</f>
        <v>2042</v>
      </c>
      <c r="BH4" s="15">
        <f>IFERROR(__xludf.DUMMYFUNCTION("""COMPUTED_VALUE"""),46205.600324074076)</f>
        <v>46205.60032</v>
      </c>
      <c r="BI4" s="6">
        <f>IFERROR(__xludf.DUMMYFUNCTION("""COMPUTED_VALUE"""),3.0)</f>
        <v>3</v>
      </c>
      <c r="BJ4" s="6"/>
      <c r="BK4" s="6"/>
      <c r="BL4" s="6" t="str">
        <f>IFERROR(__xludf.DUMMYFUNCTION("""COMPUTED_VALUE"""),"GISDUR0003")</f>
        <v>GISDUR0003</v>
      </c>
      <c r="BM4" s="6"/>
      <c r="BN4" s="6"/>
      <c r="BO4" s="6"/>
      <c r="BP4" s="6"/>
      <c r="BQ4" s="6"/>
      <c r="BR4" s="6"/>
      <c r="BS4" s="6"/>
      <c r="BT4" s="6"/>
      <c r="BU4" s="6" t="str">
        <f>IFERROR(__xludf.DUMMYFUNCTION("""COMPUTED_VALUE"""),"SI")</f>
        <v>SI</v>
      </c>
      <c r="BV4" s="12" t="str">
        <f>IFERROR(__xludf.DUMMYFUNCTION("""COMPUTED_VALUE"""),"matheo.d2042")</f>
        <v>matheo.d2042</v>
      </c>
      <c r="BW4" s="6"/>
      <c r="BX4" s="6"/>
      <c r="BY4" s="6"/>
      <c r="BZ4" s="6"/>
    </row>
    <row r="5">
      <c r="A5" s="12" t="str">
        <f>IFERROR(__xludf.DUMMYFUNCTION("""COMPUTED_VALUE"""),"1125814046")</f>
        <v>1125814046</v>
      </c>
      <c r="B5" s="6">
        <f>IFERROR(__xludf.DUMMYFUNCTION("""COMPUTED_VALUE"""),4.0)</f>
        <v>4</v>
      </c>
      <c r="C5" s="6" t="str">
        <f>IFERROR(__xludf.DUMMYFUNCTION("""COMPUTED_VALUE"""),"Arianna")</f>
        <v>Arianna</v>
      </c>
      <c r="D5" s="6"/>
      <c r="E5" s="6" t="str">
        <f>IFERROR(__xludf.DUMMYFUNCTION("""COMPUTED_VALUE"""),"Gaitán")</f>
        <v>Gaitán</v>
      </c>
      <c r="F5" s="6" t="str">
        <f>IFERROR(__xludf.DUMMYFUNCTION("""COMPUTED_VALUE"""),"Parque Residencial Botanika - Calle 3 No7 -51")</f>
        <v>Parque Residencial Botanika - Calle 3 No7 -51</v>
      </c>
      <c r="G5" s="12">
        <f>IFERROR(__xludf.DUMMYFUNCTION("""COMPUTED_VALUE"""),2024.0)</f>
        <v>2024</v>
      </c>
      <c r="H5" s="12" t="str">
        <f>IFERROR(__xludf.DUMMYFUNCTION("""COMPUTED_VALUE"""),"Abril")</f>
        <v>Abril</v>
      </c>
      <c r="I5" s="12">
        <f>IFERROR(__xludf.DUMMYFUNCTION("""COMPUTED_VALUE"""),29.0)</f>
        <v>29</v>
      </c>
      <c r="J5" s="6"/>
      <c r="K5" s="12" t="str">
        <f>IFERROR(__xludf.DUMMYFUNCTION("""COMPUTED_VALUE"""),"arianna.g2042@gi.edu.co")</f>
        <v>arianna.g2042@gi.edu.co</v>
      </c>
      <c r="L5" s="6" t="str">
        <f>IFERROR(__xludf.DUMMYFUNCTION("""COMPUTED_VALUE"""),"RC")</f>
        <v>RC</v>
      </c>
      <c r="M5" s="6" t="str">
        <f>IFERROR(__xludf.DUMMYFUNCTION("""COMPUTED_VALUE"""),"New York")</f>
        <v>New York</v>
      </c>
      <c r="N5" s="6" t="str">
        <f>IFERROR(__xludf.DUMMYFUNCTION("""COMPUTED_VALUE"""),"F")</f>
        <v>F</v>
      </c>
      <c r="O5" s="6" t="str">
        <f>IFERROR(__xludf.DUMMYFUNCTION("""COMPUTED_VALUE"""),"ACTIVE")</f>
        <v>ACTIVE</v>
      </c>
      <c r="P5" s="6" t="str">
        <f>IFERROR(__xludf.DUMMYFUNCTION("""COMPUTED_VALUE"""),"2°Hermano")</f>
        <v>2°Hermano</v>
      </c>
      <c r="Q5" s="6"/>
      <c r="R5" s="12" t="str">
        <f>IFERROR(__xludf.DUMMYFUNCTION("""COMPUTED_VALUE"""),"GiX5Dk8n*")</f>
        <v>GiX5Dk8n*</v>
      </c>
      <c r="S5" s="6" t="str">
        <f>IFERROR(__xludf.DUMMYFUNCTION("""COMPUTED_VALUE"""),"Gaitán Arianna ")</f>
        <v>Gaitán Arianna </v>
      </c>
      <c r="T5" s="6" t="str">
        <f>IFERROR(__xludf.DUMMYFUNCTION("""COMPUTED_VALUE"""),"FARID VLADIMIR GAITÁN")</f>
        <v>FARID VLADIMIR GAITÁN</v>
      </c>
      <c r="U5" s="12" t="str">
        <f>IFERROR(__xludf.DUMMYFUNCTION("""COMPUTED_VALUE"""),"19473368")</f>
        <v>19473368</v>
      </c>
      <c r="V5" s="6">
        <f>IFERROR(__xludf.DUMMYFUNCTION("""COMPUTED_VALUE"""),7.184407021E9)</f>
        <v>7184407021</v>
      </c>
      <c r="W5" s="6" t="str">
        <f>IFERROR(__xludf.DUMMYFUNCTION("""COMPUTED_VALUE"""),"faridgaitan@gmail.com")</f>
        <v>faridgaitan@gmail.com</v>
      </c>
      <c r="X5" s="12" t="str">
        <f>IFERROR(__xludf.DUMMYFUNCTION("""COMPUTED_VALUE"""),"A+")</f>
        <v>A+</v>
      </c>
      <c r="Y5" s="12" t="str">
        <f>IFERROR(__xludf.DUMMYFUNCTION("""COMPUTED_VALUE"""),"PV")</f>
        <v>PV</v>
      </c>
      <c r="Z5" s="6">
        <f>IFERROR(__xludf.DUMMYFUNCTION("""COMPUTED_VALUE"""),120621.0)</f>
        <v>120621</v>
      </c>
      <c r="AA5" s="6" t="str">
        <f>IFERROR(__xludf.DUMMYFUNCTION("""COMPUTED_VALUE"""),"SALUD TOTAL")</f>
        <v>SALUD TOTAL</v>
      </c>
      <c r="AB5" s="6"/>
      <c r="AC5" s="6"/>
      <c r="AD5" s="12" t="str">
        <f>IFERROR(__xludf.DUMMYFUNCTION("""COMPUTED_VALUE"""),"PVA")</f>
        <v>PVA</v>
      </c>
      <c r="AE5" s="12" t="str">
        <f>IFERROR(__xludf.DUMMYFUNCTION("""COMPUTED_VALUE"""),"1345282619")</f>
        <v>1345282619</v>
      </c>
      <c r="AF5" s="12" t="str">
        <f>IFERROR(__xludf.DUMMYFUNCTION("""COMPUTED_VALUE"""),"1345282619")</f>
        <v>1345282619</v>
      </c>
      <c r="AG5" s="12" t="str">
        <f>IFERROR(__xludf.DUMMYFUNCTION("""COMPUTED_VALUE"""),"Diana")</f>
        <v>Diana</v>
      </c>
      <c r="AH5" s="12" t="str">
        <f>IFERROR(__xludf.DUMMYFUNCTION("""COMPUTED_VALUE"""),"María")</f>
        <v>María</v>
      </c>
      <c r="AI5" s="6" t="str">
        <f>IFERROR(__xludf.DUMMYFUNCTION("""COMPUTED_VALUE"""),"Giraldo Aguirre")</f>
        <v>Giraldo Aguirre</v>
      </c>
      <c r="AJ5" s="6" t="str">
        <f>IFERROR(__xludf.DUMMYFUNCTION("""COMPUTED_VALUE"""),"ivannaarianna27@gmail.com")</f>
        <v>ivannaarianna27@gmail.com</v>
      </c>
      <c r="AK5" s="6" t="str">
        <f>IFERROR(__xludf.DUMMYFUNCTION("""COMPUTED_VALUE"""),"Enfermera")</f>
        <v>Enfermera</v>
      </c>
      <c r="AL5" s="6" t="str">
        <f>IFERROR(__xludf.DUMMYFUNCTION("""COMPUTED_VALUE"""),"Casa")</f>
        <v>Casa</v>
      </c>
      <c r="AM5" s="12" t="str">
        <f>IFERROR(__xludf.DUMMYFUNCTION("""COMPUTED_VALUE"""),"1053804008")</f>
        <v>1053804008</v>
      </c>
      <c r="AN5" s="12" t="str">
        <f>IFERROR(__xludf.DUMMYFUNCTION("""COMPUTED_VALUE"""),"3246052767")</f>
        <v>3246052767</v>
      </c>
      <c r="AO5" s="6" t="str">
        <f>IFERROR(__xludf.DUMMYFUNCTION("""COMPUTED_VALUE"""),"Madre")</f>
        <v>Madre</v>
      </c>
      <c r="AP5" s="12" t="str">
        <f>IFERROR(__xludf.DUMMYFUNCTION("""COMPUTED_VALUE"""),"Estudiante(s): Gaitán Giraldo")</f>
        <v>Estudiante(s): Gaitán Giraldo</v>
      </c>
      <c r="AQ5" s="6" t="str">
        <f>IFERROR(__xludf.DUMMYFUNCTION("""COMPUTED_VALUE"""),"120514*Gi")</f>
        <v>120514*Gi</v>
      </c>
      <c r="AR5" s="6" t="str">
        <f>IFERROR(__xludf.DUMMYFUNCTION("""COMPUTED_VALUE"""),"Farid")</f>
        <v>Farid</v>
      </c>
      <c r="AS5" s="6" t="str">
        <f>IFERROR(__xludf.DUMMYFUNCTION("""COMPUTED_VALUE"""),"Vladimir")</f>
        <v>Vladimir</v>
      </c>
      <c r="AT5" s="6" t="str">
        <f>IFERROR(__xludf.DUMMYFUNCTION("""COMPUTED_VALUE"""),"Gaitán")</f>
        <v>Gaitán</v>
      </c>
      <c r="AU5" s="6" t="str">
        <f>IFERROR(__xludf.DUMMYFUNCTION("""COMPUTED_VALUE"""),"faridgaitan@gmail.com")</f>
        <v>faridgaitan@gmail.com</v>
      </c>
      <c r="AV5" s="6" t="str">
        <f>IFERROR(__xludf.DUMMYFUNCTION("""COMPUTED_VALUE"""),"Admin Empresa")</f>
        <v>Admin Empresa</v>
      </c>
      <c r="AW5" s="6" t="str">
        <f>IFERROR(__xludf.DUMMYFUNCTION("""COMPUTED_VALUE"""),"New York ")</f>
        <v>New York </v>
      </c>
      <c r="AX5" s="12" t="str">
        <f>IFERROR(__xludf.DUMMYFUNCTION("""COMPUTED_VALUE"""),"19473368")</f>
        <v>19473368</v>
      </c>
      <c r="AY5" s="12" t="str">
        <f>IFERROR(__xludf.DUMMYFUNCTION("""COMPUTED_VALUE""")," +17184407021")</f>
        <v> +17184407021</v>
      </c>
      <c r="AZ5" s="6" t="str">
        <f>IFERROR(__xludf.DUMMYFUNCTION("""COMPUTED_VALUE"""),"Padre")</f>
        <v>Padre</v>
      </c>
      <c r="BA5" s="6"/>
      <c r="BB5" s="6"/>
      <c r="BC5" s="6"/>
      <c r="BD5" s="12" t="str">
        <f>IFERROR(__xludf.DUMMYFUNCTION("""COMPUTED_VALUE"""),"gai0001")</f>
        <v>gai0001</v>
      </c>
      <c r="BE5" s="6" t="str">
        <f>IFERROR(__xludf.DUMMYFUNCTION("""COMPUTED_VALUE"""),"NUEVO(A)")</f>
        <v>NUEVO(A)</v>
      </c>
      <c r="BF5" s="12" t="str">
        <f>IFERROR(__xludf.DUMMYFUNCTION("""COMPUTED_VALUE"""),"HIJA DOCENTE")</f>
        <v>HIJA DOCENTE</v>
      </c>
      <c r="BG5" s="6">
        <f>IFERROR(__xludf.DUMMYFUNCTION("""COMPUTED_VALUE"""),2042.0)</f>
        <v>2042</v>
      </c>
      <c r="BH5" s="15">
        <f>IFERROR(__xludf.DUMMYFUNCTION("""COMPUTED_VALUE"""),46185.47881944444)</f>
        <v>46185.47882</v>
      </c>
      <c r="BI5" s="6">
        <f>IFERROR(__xludf.DUMMYFUNCTION("""COMPUTED_VALUE"""),4.0)</f>
        <v>4</v>
      </c>
      <c r="BJ5" s="6"/>
      <c r="BK5" s="6"/>
      <c r="BL5" s="6" t="str">
        <f>IFERROR(__xludf.DUMMYFUNCTION("""COMPUTED_VALUE"""),"GISGAI0001")</f>
        <v>GISGAI0001</v>
      </c>
      <c r="BM5" s="6"/>
      <c r="BN5" s="6"/>
      <c r="BO5" s="6"/>
      <c r="BP5" s="6"/>
      <c r="BQ5" s="6"/>
      <c r="BR5" s="6"/>
      <c r="BS5" s="6"/>
      <c r="BT5" s="6"/>
      <c r="BU5" s="6" t="str">
        <f>IFERROR(__xludf.DUMMYFUNCTION("""COMPUTED_VALUE"""),"SI")</f>
        <v>SI</v>
      </c>
      <c r="BV5" s="12" t="str">
        <f>IFERROR(__xludf.DUMMYFUNCTION("""COMPUTED_VALUE"""),"arianna.g2042")</f>
        <v>arianna.g2042</v>
      </c>
      <c r="BW5" s="6"/>
      <c r="BX5" s="6"/>
      <c r="BY5" s="6"/>
      <c r="BZ5" s="6"/>
    </row>
    <row r="6">
      <c r="A6" s="12" t="str">
        <f>IFERROR(__xludf.DUMMYFUNCTION("""COMPUTED_VALUE"""),"1092867224")</f>
        <v>1092867224</v>
      </c>
      <c r="B6" s="6">
        <f>IFERROR(__xludf.DUMMYFUNCTION("""COMPUTED_VALUE"""),5.0)</f>
        <v>5</v>
      </c>
      <c r="C6" s="6" t="str">
        <f>IFERROR(__xludf.DUMMYFUNCTION("""COMPUTED_VALUE"""),"Alma")</f>
        <v>Alma</v>
      </c>
      <c r="D6" s="6"/>
      <c r="E6" s="6" t="str">
        <f>IFERROR(__xludf.DUMMYFUNCTION("""COMPUTED_VALUE"""),"Gómez Beltrán")</f>
        <v>Gómez Beltrán</v>
      </c>
      <c r="F6" s="6" t="str">
        <f>IFERROR(__xludf.DUMMYFUNCTION("""COMPUTED_VALUE"""),"Carrera 6 8n-30 casa 30 Jordan casas - jordan")</f>
        <v>Carrera 6 8n-30 casa 30 Jordan casas - jordan</v>
      </c>
      <c r="G6" s="12">
        <f>IFERROR(__xludf.DUMMYFUNCTION("""COMPUTED_VALUE"""),2023.0)</f>
        <v>2023</v>
      </c>
      <c r="H6" s="12" t="str">
        <f>IFERROR(__xludf.DUMMYFUNCTION("""COMPUTED_VALUE"""),"Diciembre")</f>
        <v>Diciembre</v>
      </c>
      <c r="I6" s="12">
        <f>IFERROR(__xludf.DUMMYFUNCTION("""COMPUTED_VALUE"""),22.0)</f>
        <v>22</v>
      </c>
      <c r="J6" s="6"/>
      <c r="K6" s="12" t="str">
        <f>IFERROR(__xludf.DUMMYFUNCTION("""COMPUTED_VALUE"""),"alma.g2042@gi.edu.co")</f>
        <v>alma.g2042@gi.edu.co</v>
      </c>
      <c r="L6" s="6" t="str">
        <f>IFERROR(__xludf.DUMMYFUNCTION("""COMPUTED_VALUE"""),"RC")</f>
        <v>RC</v>
      </c>
      <c r="M6" s="6" t="str">
        <f>IFERROR(__xludf.DUMMYFUNCTION("""COMPUTED_VALUE"""),"Armenia")</f>
        <v>Armenia</v>
      </c>
      <c r="N6" s="6" t="str">
        <f>IFERROR(__xludf.DUMMYFUNCTION("""COMPUTED_VALUE"""),"F")</f>
        <v>F</v>
      </c>
      <c r="O6" s="6" t="str">
        <f>IFERROR(__xludf.DUMMYFUNCTION("""COMPUTED_VALUE"""),"ACTIVE")</f>
        <v>ACTIVE</v>
      </c>
      <c r="P6" s="6"/>
      <c r="Q6" s="6"/>
      <c r="R6" s="12" t="str">
        <f>IFERROR(__xludf.DUMMYFUNCTION("""COMPUTED_VALUE"""),"GiF9rM4Y*")</f>
        <v>GiF9rM4Y*</v>
      </c>
      <c r="S6" s="6" t="str">
        <f>IFERROR(__xludf.DUMMYFUNCTION("""COMPUTED_VALUE"""),"Gómez Beltrán Alma ")</f>
        <v>Gómez Beltrán Alma </v>
      </c>
      <c r="T6" s="6" t="str">
        <f>IFERROR(__xludf.DUMMYFUNCTION("""COMPUTED_VALUE"""),"JULIAN GOMEZ HERRERA")</f>
        <v>JULIAN GOMEZ HERRERA</v>
      </c>
      <c r="U6" s="12" t="str">
        <f>IFERROR(__xludf.DUMMYFUNCTION("""COMPUTED_VALUE"""),"80816015")</f>
        <v>80816015</v>
      </c>
      <c r="V6" s="6">
        <f>IFERROR(__xludf.DUMMYFUNCTION("""COMPUTED_VALUE"""),3.102242259E9)</f>
        <v>3102242259</v>
      </c>
      <c r="W6" s="6" t="str">
        <f>IFERROR(__xludf.DUMMYFUNCTION("""COMPUTED_VALUE"""),"drjuliangomez@gmail.com")</f>
        <v>drjuliangomez@gmail.com</v>
      </c>
      <c r="X6" s="12" t="str">
        <f>IFERROR(__xludf.DUMMYFUNCTION("""COMPUTED_VALUE"""),"A+")</f>
        <v>A+</v>
      </c>
      <c r="Y6" s="12" t="str">
        <f>IFERROR(__xludf.DUMMYFUNCTION("""COMPUTED_VALUE"""),"PV")</f>
        <v>PV</v>
      </c>
      <c r="Z6" s="6">
        <f>IFERROR(__xludf.DUMMYFUNCTION("""COMPUTED_VALUE"""),120584.0)</f>
        <v>120584</v>
      </c>
      <c r="AA6" s="6" t="str">
        <f>IFERROR(__xludf.DUMMYFUNCTION("""COMPUTED_VALUE"""),"SANITAS")</f>
        <v>SANITAS</v>
      </c>
      <c r="AB6" s="6"/>
      <c r="AC6" s="6"/>
      <c r="AD6" s="12" t="str">
        <f>IFERROR(__xludf.DUMMYFUNCTION("""COMPUTED_VALUE"""),"PVA")</f>
        <v>PVA</v>
      </c>
      <c r="AE6" s="12" t="str">
        <f>IFERROR(__xludf.DUMMYFUNCTION("""COMPUTED_VALUE"""),"1345282581")</f>
        <v>1345282581</v>
      </c>
      <c r="AF6" s="12" t="str">
        <f>IFERROR(__xludf.DUMMYFUNCTION("""COMPUTED_VALUE"""),"1345282581")</f>
        <v>1345282581</v>
      </c>
      <c r="AG6" s="12" t="str">
        <f>IFERROR(__xludf.DUMMYFUNCTION("""COMPUTED_VALUE"""),"Juanita")</f>
        <v>Juanita</v>
      </c>
      <c r="AH6" s="12" t="str">
        <f>IFERROR(__xludf.DUMMYFUNCTION("""COMPUTED_VALUE"""),"María")</f>
        <v>María</v>
      </c>
      <c r="AI6" s="6" t="str">
        <f>IFERROR(__xludf.DUMMYFUNCTION("""COMPUTED_VALUE"""),"Beltrán Henríquez")</f>
        <v>Beltrán Henríquez</v>
      </c>
      <c r="AJ6" s="6" t="str">
        <f>IFERROR(__xludf.DUMMYFUNCTION("""COMPUTED_VALUE"""),"juanitabeltran17@gmail.com")</f>
        <v>juanitabeltran17@gmail.com</v>
      </c>
      <c r="AK6" s="6" t="str">
        <f>IFERROR(__xludf.DUMMYFUNCTION("""COMPUTED_VALUE"""),"Otorrinolaringologa")</f>
        <v>Otorrinolaringologa</v>
      </c>
      <c r="AL6" s="6"/>
      <c r="AM6" s="12" t="str">
        <f>IFERROR(__xludf.DUMMYFUNCTION("""COMPUTED_VALUE"""),"1094933607")</f>
        <v>1094933607</v>
      </c>
      <c r="AN6" s="12" t="str">
        <f>IFERROR(__xludf.DUMMYFUNCTION("""COMPUTED_VALUE"""),"3113359835")</f>
        <v>3113359835</v>
      </c>
      <c r="AO6" s="6" t="str">
        <f>IFERROR(__xludf.DUMMYFUNCTION("""COMPUTED_VALUE"""),"Madre")</f>
        <v>Madre</v>
      </c>
      <c r="AP6" s="12" t="str">
        <f>IFERROR(__xludf.DUMMYFUNCTION("""COMPUTED_VALUE"""),"Estudiante(s): Gómez Beltrán")</f>
        <v>Estudiante(s): Gómez Beltrán</v>
      </c>
      <c r="AQ6" s="6" t="str">
        <f>IFERROR(__xludf.DUMMYFUNCTION("""COMPUTED_VALUE"""),"120584*Gi")</f>
        <v>120584*Gi</v>
      </c>
      <c r="AR6" s="6" t="str">
        <f>IFERROR(__xludf.DUMMYFUNCTION("""COMPUTED_VALUE"""),"Julián")</f>
        <v>Julián</v>
      </c>
      <c r="AS6" s="6"/>
      <c r="AT6" s="6" t="str">
        <f>IFERROR(__xludf.DUMMYFUNCTION("""COMPUTED_VALUE"""),"Gómez Herrera")</f>
        <v>Gómez Herrera</v>
      </c>
      <c r="AU6" s="6" t="str">
        <f>IFERROR(__xludf.DUMMYFUNCTION("""COMPUTED_VALUE"""),"drjuliangomez@gmail.com")</f>
        <v>drjuliangomez@gmail.com</v>
      </c>
      <c r="AV6" s="6" t="str">
        <f>IFERROR(__xludf.DUMMYFUNCTION("""COMPUTED_VALUE"""),"Cirujano de cabeza y cuello")</f>
        <v>Cirujano de cabeza y cuello</v>
      </c>
      <c r="AW6" s="6"/>
      <c r="AX6" s="12" t="str">
        <f>IFERROR(__xludf.DUMMYFUNCTION("""COMPUTED_VALUE"""),"80816015")</f>
        <v>80816015</v>
      </c>
      <c r="AY6" s="12" t="str">
        <f>IFERROR(__xludf.DUMMYFUNCTION("""COMPUTED_VALUE"""),"3102242259")</f>
        <v>3102242259</v>
      </c>
      <c r="AZ6" s="6" t="str">
        <f>IFERROR(__xludf.DUMMYFUNCTION("""COMPUTED_VALUE"""),"Padre")</f>
        <v>Padre</v>
      </c>
      <c r="BA6" s="6"/>
      <c r="BB6" s="6"/>
      <c r="BC6" s="6"/>
      <c r="BD6" s="12" t="str">
        <f>IFERROR(__xludf.DUMMYFUNCTION("""COMPUTED_VALUE"""),"gom0014")</f>
        <v>gom0014</v>
      </c>
      <c r="BE6" s="6" t="str">
        <f>IFERROR(__xludf.DUMMYFUNCTION("""COMPUTED_VALUE"""),"NUEVO(A)")</f>
        <v>NUEVO(A)</v>
      </c>
      <c r="BF6" s="12" t="str">
        <f>IFERROR(__xludf.DUMMYFUNCTION("""COMPUTED_VALUE"""),"HIJA DE EGRESADA")</f>
        <v>HIJA DE EGRESADA</v>
      </c>
      <c r="BG6" s="6">
        <f>IFERROR(__xludf.DUMMYFUNCTION("""COMPUTED_VALUE"""),2042.0)</f>
        <v>2042</v>
      </c>
      <c r="BH6" s="15">
        <f>IFERROR(__xludf.DUMMYFUNCTION("""COMPUTED_VALUE"""),46205.48861111111)</f>
        <v>46205.48861</v>
      </c>
      <c r="BI6" s="6">
        <f>IFERROR(__xludf.DUMMYFUNCTION("""COMPUTED_VALUE"""),5.0)</f>
        <v>5</v>
      </c>
      <c r="BJ6" s="6"/>
      <c r="BK6" s="6"/>
      <c r="BL6" s="6" t="str">
        <f>IFERROR(__xludf.DUMMYFUNCTION("""COMPUTED_VALUE"""),"GISGOM0014")</f>
        <v>GISGOM0014</v>
      </c>
      <c r="BM6" s="6"/>
      <c r="BN6" s="6"/>
      <c r="BO6" s="6"/>
      <c r="BP6" s="6"/>
      <c r="BQ6" s="6"/>
      <c r="BR6" s="6"/>
      <c r="BS6" s="6"/>
      <c r="BT6" s="6"/>
      <c r="BU6" s="6" t="str">
        <f>IFERROR(__xludf.DUMMYFUNCTION("""COMPUTED_VALUE"""),"SI")</f>
        <v>SI</v>
      </c>
      <c r="BV6" s="12" t="str">
        <f>IFERROR(__xludf.DUMMYFUNCTION("""COMPUTED_VALUE"""),"alma.g2042")</f>
        <v>alma.g2042</v>
      </c>
      <c r="BW6" s="6"/>
      <c r="BX6" s="6"/>
      <c r="BY6" s="6"/>
      <c r="BZ6" s="6"/>
    </row>
    <row r="7">
      <c r="A7" s="12" t="str">
        <f>IFERROR(__xludf.DUMMYFUNCTION("""COMPUTED_VALUE"""),"1092867307")</f>
        <v>1092867307</v>
      </c>
      <c r="B7" s="6">
        <f>IFERROR(__xludf.DUMMYFUNCTION("""COMPUTED_VALUE"""),6.0)</f>
        <v>6</v>
      </c>
      <c r="C7" s="6" t="str">
        <f>IFERROR(__xludf.DUMMYFUNCTION("""COMPUTED_VALUE"""),"Elisa")</f>
        <v>Elisa</v>
      </c>
      <c r="D7" s="6"/>
      <c r="E7" s="6" t="str">
        <f>IFERROR(__xludf.DUMMYFUNCTION("""COMPUTED_VALUE"""),"Gómez Gómez")</f>
        <v>Gómez Gómez</v>
      </c>
      <c r="F7" s="6" t="str">
        <f>IFERROR(__xludf.DUMMYFUNCTION("""COMPUTED_VALUE"""),"Lagos de Iraka Homesuites Casa 156B Km 12 Via Glorieta Club Campestre al Caimo")</f>
        <v>Lagos de Iraka Homesuites Casa 156B Km 12 Via Glorieta Club Campestre al Caimo</v>
      </c>
      <c r="G7" s="12">
        <f>IFERROR(__xludf.DUMMYFUNCTION("""COMPUTED_VALUE"""),2024.0)</f>
        <v>2024</v>
      </c>
      <c r="H7" s="12" t="str">
        <f>IFERROR(__xludf.DUMMYFUNCTION("""COMPUTED_VALUE"""),"Febrero")</f>
        <v>Febrero</v>
      </c>
      <c r="I7" s="12">
        <f>IFERROR(__xludf.DUMMYFUNCTION("""COMPUTED_VALUE"""),6.0)</f>
        <v>6</v>
      </c>
      <c r="J7" s="6"/>
      <c r="K7" s="12" t="str">
        <f>IFERROR(__xludf.DUMMYFUNCTION("""COMPUTED_VALUE"""),"elisa.g2042@gi.edu.co")</f>
        <v>elisa.g2042@gi.edu.co</v>
      </c>
      <c r="L7" s="6" t="str">
        <f>IFERROR(__xludf.DUMMYFUNCTION("""COMPUTED_VALUE"""),"RC")</f>
        <v>RC</v>
      </c>
      <c r="M7" s="6" t="str">
        <f>IFERROR(__xludf.DUMMYFUNCTION("""COMPUTED_VALUE"""),"Armenia")</f>
        <v>Armenia</v>
      </c>
      <c r="N7" s="6" t="str">
        <f>IFERROR(__xludf.DUMMYFUNCTION("""COMPUTED_VALUE"""),"F")</f>
        <v>F</v>
      </c>
      <c r="O7" s="6" t="str">
        <f>IFERROR(__xludf.DUMMYFUNCTION("""COMPUTED_VALUE"""),"ACTIVE")</f>
        <v>ACTIVE</v>
      </c>
      <c r="P7" s="6" t="str">
        <f>IFERROR(__xludf.DUMMYFUNCTION("""COMPUTED_VALUE"""),"2°Hermano")</f>
        <v>2°Hermano</v>
      </c>
      <c r="Q7" s="6" t="str">
        <f>IFERROR(__xludf.DUMMYFUNCTION("""COMPUTED_VALUE"""),"Armenia")</f>
        <v>Armenia</v>
      </c>
      <c r="R7" s="12" t="str">
        <f>IFERROR(__xludf.DUMMYFUNCTION("""COMPUTED_VALUE"""),"GiJ7Qv3T*")</f>
        <v>GiJ7Qv3T*</v>
      </c>
      <c r="S7" s="6" t="str">
        <f>IFERROR(__xludf.DUMMYFUNCTION("""COMPUTED_VALUE"""),"Gómez Gómez Elisa ")</f>
        <v>Gómez Gómez Elisa </v>
      </c>
      <c r="T7" s="6" t="str">
        <f>IFERROR(__xludf.DUMMYFUNCTION("""COMPUTED_VALUE"""),"ANDRES GOMEZ JARAMILLO")</f>
        <v>ANDRES GOMEZ JARAMILLO</v>
      </c>
      <c r="U7" s="12" t="str">
        <f>IFERROR(__xludf.DUMMYFUNCTION("""COMPUTED_VALUE"""),"1094906595")</f>
        <v>1094906595</v>
      </c>
      <c r="V7" s="6">
        <f>IFERROR(__xludf.DUMMYFUNCTION("""COMPUTED_VALUE"""),3.136490114E9)</f>
        <v>3136490114</v>
      </c>
      <c r="W7" s="6" t="str">
        <f>IFERROR(__xludf.DUMMYFUNCTION("""COMPUTED_VALUE"""),"andresgoja89@hotmail.com")</f>
        <v>andresgoja89@hotmail.com</v>
      </c>
      <c r="X7" s="12" t="str">
        <f>IFERROR(__xludf.DUMMYFUNCTION("""COMPUTED_VALUE"""),"O-")</f>
        <v>O-</v>
      </c>
      <c r="Y7" s="12" t="str">
        <f>IFERROR(__xludf.DUMMYFUNCTION("""COMPUTED_VALUE"""),"PV")</f>
        <v>PV</v>
      </c>
      <c r="Z7" s="6">
        <f>IFERROR(__xludf.DUMMYFUNCTION("""COMPUTED_VALUE"""),120587.0)</f>
        <v>120587</v>
      </c>
      <c r="AA7" s="6" t="str">
        <f>IFERROR(__xludf.DUMMYFUNCTION("""COMPUTED_VALUE"""),"SURA")</f>
        <v>SURA</v>
      </c>
      <c r="AB7" s="6"/>
      <c r="AC7" s="6"/>
      <c r="AD7" s="12" t="str">
        <f>IFERROR(__xludf.DUMMYFUNCTION("""COMPUTED_VALUE"""),"PVA")</f>
        <v>PVA</v>
      </c>
      <c r="AE7" s="12" t="str">
        <f>IFERROR(__xludf.DUMMYFUNCTION("""COMPUTED_VALUE"""),"1345282584")</f>
        <v>1345282584</v>
      </c>
      <c r="AF7" s="12" t="str">
        <f>IFERROR(__xludf.DUMMYFUNCTION("""COMPUTED_VALUE"""),"1345282584")</f>
        <v>1345282584</v>
      </c>
      <c r="AG7" s="12" t="str">
        <f>IFERROR(__xludf.DUMMYFUNCTION("""COMPUTED_VALUE"""),"Luisa")</f>
        <v>Luisa</v>
      </c>
      <c r="AH7" s="12" t="str">
        <f>IFERROR(__xludf.DUMMYFUNCTION("""COMPUTED_VALUE"""),"Fernanda")</f>
        <v>Fernanda</v>
      </c>
      <c r="AI7" s="6" t="str">
        <f>IFERROR(__xludf.DUMMYFUNCTION("""COMPUTED_VALUE"""),"Gómez Rendón")</f>
        <v>Gómez Rendón</v>
      </c>
      <c r="AJ7" s="6" t="str">
        <f>IFERROR(__xludf.DUMMYFUNCTION("""COMPUTED_VALUE"""),"luisagomez93_2@hotmail.com")</f>
        <v>luisagomez93_2@hotmail.com</v>
      </c>
      <c r="AK7" s="6" t="str">
        <f>IFERROR(__xludf.DUMMYFUNCTION("""COMPUTED_VALUE"""),"Administradora de Empresas")</f>
        <v>Administradora de Empresas</v>
      </c>
      <c r="AL7" s="6" t="str">
        <f>IFERROR(__xludf.DUMMYFUNCTION("""COMPUTED_VALUE"""),"Centro Automotor Ltda")</f>
        <v>Centro Automotor Ltda</v>
      </c>
      <c r="AM7" s="12" t="str">
        <f>IFERROR(__xludf.DUMMYFUNCTION("""COMPUTED_VALUE"""),"1094933197")</f>
        <v>1094933197</v>
      </c>
      <c r="AN7" s="12" t="str">
        <f>IFERROR(__xludf.DUMMYFUNCTION("""COMPUTED_VALUE"""),"3136588655")</f>
        <v>3136588655</v>
      </c>
      <c r="AO7" s="6" t="str">
        <f>IFERROR(__xludf.DUMMYFUNCTION("""COMPUTED_VALUE"""),"Madre")</f>
        <v>Madre</v>
      </c>
      <c r="AP7" s="12" t="str">
        <f>IFERROR(__xludf.DUMMYFUNCTION("""COMPUTED_VALUE"""),"Estudiante(s): Gomez Gomez")</f>
        <v>Estudiante(s): Gomez Gomez</v>
      </c>
      <c r="AQ7" s="6" t="str">
        <f>IFERROR(__xludf.DUMMYFUNCTION("""COMPUTED_VALUE"""),"120337*Gi")</f>
        <v>120337*Gi</v>
      </c>
      <c r="AR7" s="6" t="str">
        <f>IFERROR(__xludf.DUMMYFUNCTION("""COMPUTED_VALUE"""),"Andrés")</f>
        <v>Andrés</v>
      </c>
      <c r="AS7" s="6"/>
      <c r="AT7" s="6" t="str">
        <f>IFERROR(__xludf.DUMMYFUNCTION("""COMPUTED_VALUE"""),"Gómez Jaramillo")</f>
        <v>Gómez Jaramillo</v>
      </c>
      <c r="AU7" s="6" t="str">
        <f>IFERROR(__xludf.DUMMYFUNCTION("""COMPUTED_VALUE"""),"andresgoja89@hotmail.com")</f>
        <v>andresgoja89@hotmail.com</v>
      </c>
      <c r="AV7" s="6" t="str">
        <f>IFERROR(__xludf.DUMMYFUNCTION("""COMPUTED_VALUE"""),"Administracion de Empresas Agropecuarias")</f>
        <v>Administracion de Empresas Agropecuarias</v>
      </c>
      <c r="AW7" s="6" t="str">
        <f>IFERROR(__xludf.DUMMYFUNCTION("""COMPUTED_VALUE"""),"Entrópicos SAS")</f>
        <v>Entrópicos SAS</v>
      </c>
      <c r="AX7" s="12" t="str">
        <f>IFERROR(__xludf.DUMMYFUNCTION("""COMPUTED_VALUE"""),"1094906595")</f>
        <v>1094906595</v>
      </c>
      <c r="AY7" s="12">
        <f>IFERROR(__xludf.DUMMYFUNCTION("""COMPUTED_VALUE"""),3.136490114E9)</f>
        <v>3136490114</v>
      </c>
      <c r="AZ7" s="6" t="str">
        <f>IFERROR(__xludf.DUMMYFUNCTION("""COMPUTED_VALUE"""),"Padre")</f>
        <v>Padre</v>
      </c>
      <c r="BA7" s="6"/>
      <c r="BB7" s="6"/>
      <c r="BC7" s="6"/>
      <c r="BD7" s="12" t="str">
        <f>IFERROR(__xludf.DUMMYFUNCTION("""COMPUTED_VALUE"""),"gom0011")</f>
        <v>gom0011</v>
      </c>
      <c r="BE7" s="6" t="str">
        <f>IFERROR(__xludf.DUMMYFUNCTION("""COMPUTED_VALUE"""),"NUEVO(A)")</f>
        <v>NUEVO(A)</v>
      </c>
      <c r="BF7" s="6"/>
      <c r="BG7" s="6">
        <f>IFERROR(__xludf.DUMMYFUNCTION("""COMPUTED_VALUE"""),2042.0)</f>
        <v>2042</v>
      </c>
      <c r="BH7" s="15">
        <f>IFERROR(__xludf.DUMMYFUNCTION("""COMPUTED_VALUE"""),46201.79420138889)</f>
        <v>46201.7942</v>
      </c>
      <c r="BI7" s="6">
        <f>IFERROR(__xludf.DUMMYFUNCTION("""COMPUTED_VALUE"""),6.0)</f>
        <v>6</v>
      </c>
      <c r="BJ7" s="6"/>
      <c r="BK7" s="6"/>
      <c r="BL7" s="6" t="str">
        <f>IFERROR(__xludf.DUMMYFUNCTION("""COMPUTED_VALUE"""),"GISGOM0011")</f>
        <v>GISGOM0011</v>
      </c>
      <c r="BM7" s="6"/>
      <c r="BN7" s="6"/>
      <c r="BO7" s="6"/>
      <c r="BP7" s="6"/>
      <c r="BQ7" s="6"/>
      <c r="BR7" s="6"/>
      <c r="BS7" s="6"/>
      <c r="BT7" s="6"/>
      <c r="BU7" s="6" t="str">
        <f>IFERROR(__xludf.DUMMYFUNCTION("""COMPUTED_VALUE"""),"SI")</f>
        <v>SI</v>
      </c>
      <c r="BV7" s="12" t="str">
        <f>IFERROR(__xludf.DUMMYFUNCTION("""COMPUTED_VALUE"""),"elisa.g2042")</f>
        <v>elisa.g2042</v>
      </c>
      <c r="BW7" s="6"/>
      <c r="BX7" s="6"/>
      <c r="BY7" s="6"/>
      <c r="BZ7" s="6"/>
    </row>
    <row r="8">
      <c r="A8" s="12">
        <f>IFERROR(__xludf.DUMMYFUNCTION("""COMPUTED_VALUE"""),1.09189044E9)</f>
        <v>1091890440</v>
      </c>
      <c r="B8" s="6">
        <f>IFERROR(__xludf.DUMMYFUNCTION("""COMPUTED_VALUE"""),7.0)</f>
        <v>7</v>
      </c>
      <c r="C8" s="6" t="str">
        <f>IFERROR(__xludf.DUMMYFUNCTION("""COMPUTED_VALUE"""),"Gabriel")</f>
        <v>Gabriel</v>
      </c>
      <c r="D8" s="6"/>
      <c r="E8" s="6" t="str">
        <f>IFERROR(__xludf.DUMMYFUNCTION("""COMPUTED_VALUE"""),"Gutiérrez Botero")</f>
        <v>Gutiérrez Botero</v>
      </c>
      <c r="F8" s="6" t="str">
        <f>IFERROR(__xludf.DUMMYFUNCTION("""COMPUTED_VALUE"""),"km 12 20 00 via el caimo - Lagos de Iraka casa 18B")</f>
        <v>km 12 20 00 via el caimo - Lagos de Iraka casa 18B</v>
      </c>
      <c r="G8" s="12">
        <f>IFERROR(__xludf.DUMMYFUNCTION("""COMPUTED_VALUE"""),2024.0)</f>
        <v>2024</v>
      </c>
      <c r="H8" s="12" t="str">
        <f>IFERROR(__xludf.DUMMYFUNCTION("""COMPUTED_VALUE"""),"Marzo")</f>
        <v>Marzo</v>
      </c>
      <c r="I8" s="12">
        <f>IFERROR(__xludf.DUMMYFUNCTION("""COMPUTED_VALUE"""),8.0)</f>
        <v>8</v>
      </c>
      <c r="J8" s="6"/>
      <c r="K8" s="12" t="str">
        <f>IFERROR(__xludf.DUMMYFUNCTION("""COMPUTED_VALUE"""),"gabriel.gb2042@gi.edu.co")</f>
        <v>gabriel.gb2042@gi.edu.co</v>
      </c>
      <c r="L8" s="6" t="str">
        <f>IFERROR(__xludf.DUMMYFUNCTION("""COMPUTED_VALUE"""),"RC")</f>
        <v>RC</v>
      </c>
      <c r="M8" s="6" t="str">
        <f>IFERROR(__xludf.DUMMYFUNCTION("""COMPUTED_VALUE"""),"Armenia")</f>
        <v>Armenia</v>
      </c>
      <c r="N8" s="6" t="str">
        <f>IFERROR(__xludf.DUMMYFUNCTION("""COMPUTED_VALUE"""),"M")</f>
        <v>M</v>
      </c>
      <c r="O8" s="6" t="str">
        <f>IFERROR(__xludf.DUMMYFUNCTION("""COMPUTED_VALUE"""),"ACTIVE")</f>
        <v>ACTIVE</v>
      </c>
      <c r="P8" s="6"/>
      <c r="Q8" s="6"/>
      <c r="R8" s="12" t="str">
        <f>IFERROR(__xludf.DUMMYFUNCTION("""COMPUTED_VALUE"""),"GiV3Kq7N*")</f>
        <v>GiV3Kq7N*</v>
      </c>
      <c r="S8" s="6" t="str">
        <f>IFERROR(__xludf.DUMMYFUNCTION("""COMPUTED_VALUE"""),"Gutiérrez Botero Gabriel ")</f>
        <v>Gutiérrez Botero Gabriel </v>
      </c>
      <c r="T8" s="6" t="str">
        <f>IFERROR(__xludf.DUMMYFUNCTION("""COMPUTED_VALUE"""),"DANIEL GUTIERREZ AGUDELO")</f>
        <v>DANIEL GUTIERREZ AGUDELO</v>
      </c>
      <c r="U8" s="12" t="str">
        <f>IFERROR(__xludf.DUMMYFUNCTION("""COMPUTED_VALUE"""),"1094901081")</f>
        <v>1094901081</v>
      </c>
      <c r="V8" s="6">
        <f>IFERROR(__xludf.DUMMYFUNCTION("""COMPUTED_VALUE"""),3.104247332E9)</f>
        <v>3104247332</v>
      </c>
      <c r="W8" s="6" t="str">
        <f>IFERROR(__xludf.DUMMYFUNCTION("""COMPUTED_VALUE"""),"danielguti21@gmail.com")</f>
        <v>danielguti21@gmail.com</v>
      </c>
      <c r="X8" s="12" t="str">
        <f>IFERROR(__xludf.DUMMYFUNCTION("""COMPUTED_VALUE"""),"O+")</f>
        <v>O+</v>
      </c>
      <c r="Y8" s="12" t="str">
        <f>IFERROR(__xludf.DUMMYFUNCTION("""COMPUTED_VALUE"""),"PV")</f>
        <v>PV</v>
      </c>
      <c r="Z8" s="6">
        <f>IFERROR(__xludf.DUMMYFUNCTION("""COMPUTED_VALUE"""),120590.0)</f>
        <v>120590</v>
      </c>
      <c r="AA8" s="6" t="str">
        <f>IFERROR(__xludf.DUMMYFUNCTION("""COMPUTED_VALUE"""),"SURA")</f>
        <v>SURA</v>
      </c>
      <c r="AB8" s="6"/>
      <c r="AC8" s="6"/>
      <c r="AD8" s="12" t="str">
        <f>IFERROR(__xludf.DUMMYFUNCTION("""COMPUTED_VALUE"""),"PVA")</f>
        <v>PVA</v>
      </c>
      <c r="AE8" s="12" t="str">
        <f>IFERROR(__xludf.DUMMYFUNCTION("""COMPUTED_VALUE"""),"1345282587")</f>
        <v>1345282587</v>
      </c>
      <c r="AF8" s="12" t="str">
        <f>IFERROR(__xludf.DUMMYFUNCTION("""COMPUTED_VALUE"""),"1345282587")</f>
        <v>1345282587</v>
      </c>
      <c r="AG8" s="12" t="str">
        <f>IFERROR(__xludf.DUMMYFUNCTION("""COMPUTED_VALUE"""),"María")</f>
        <v>María</v>
      </c>
      <c r="AH8" s="12" t="str">
        <f>IFERROR(__xludf.DUMMYFUNCTION("""COMPUTED_VALUE"""),"Alejandra")</f>
        <v>Alejandra</v>
      </c>
      <c r="AI8" s="6" t="str">
        <f>IFERROR(__xludf.DUMMYFUNCTION("""COMPUTED_VALUE"""),"Botero Bueno")</f>
        <v>Botero Bueno</v>
      </c>
      <c r="AJ8" s="6" t="str">
        <f>IFERROR(__xludf.DUMMYFUNCTION("""COMPUTED_VALUE"""),"mariale42@hotmail.com")</f>
        <v>mariale42@hotmail.com</v>
      </c>
      <c r="AK8" s="6" t="str">
        <f>IFERROR(__xludf.DUMMYFUNCTION("""COMPUTED_VALUE"""),"Diseñadora de interiores")</f>
        <v>Diseñadora de interiores</v>
      </c>
      <c r="AL8" s="6"/>
      <c r="AM8" s="12" t="str">
        <f>IFERROR(__xludf.DUMMYFUNCTION("""COMPUTED_VALUE"""),"1094941564")</f>
        <v>1094941564</v>
      </c>
      <c r="AN8" s="12" t="str">
        <f>IFERROR(__xludf.DUMMYFUNCTION("""COMPUTED_VALUE"""),"3226452721")</f>
        <v>3226452721</v>
      </c>
      <c r="AO8" s="6" t="str">
        <f>IFERROR(__xludf.DUMMYFUNCTION("""COMPUTED_VALUE"""),"Madre")</f>
        <v>Madre</v>
      </c>
      <c r="AP8" s="6" t="str">
        <f>IFERROR(__xludf.DUMMYFUNCTION("""COMPUTED_VALUE"""),"Estudiante(s): Gutiérrez Botero")</f>
        <v>Estudiante(s): Gutiérrez Botero</v>
      </c>
      <c r="AQ8" s="6" t="str">
        <f>IFERROR(__xludf.DUMMYFUNCTION("""COMPUTED_VALUE"""),"120590*Gi")</f>
        <v>120590*Gi</v>
      </c>
      <c r="AR8" s="6" t="str">
        <f>IFERROR(__xludf.DUMMYFUNCTION("""COMPUTED_VALUE"""),"Daniel")</f>
        <v>Daniel</v>
      </c>
      <c r="AS8" s="6"/>
      <c r="AT8" s="6" t="str">
        <f>IFERROR(__xludf.DUMMYFUNCTION("""COMPUTED_VALUE"""),"Gutiérrez Agudelo")</f>
        <v>Gutiérrez Agudelo</v>
      </c>
      <c r="AU8" s="6" t="str">
        <f>IFERROR(__xludf.DUMMYFUNCTION("""COMPUTED_VALUE"""),"danielguti21@gmail.com")</f>
        <v>danielguti21@gmail.com</v>
      </c>
      <c r="AV8" s="6" t="str">
        <f>IFERROR(__xludf.DUMMYFUNCTION("""COMPUTED_VALUE"""),"Agricultor Ganadero")</f>
        <v>Agricultor Ganadero</v>
      </c>
      <c r="AW8" s="6"/>
      <c r="AX8" s="12" t="str">
        <f>IFERROR(__xludf.DUMMYFUNCTION("""COMPUTED_VALUE"""),"1094901081")</f>
        <v>1094901081</v>
      </c>
      <c r="AY8" s="12" t="str">
        <f>IFERROR(__xludf.DUMMYFUNCTION("""COMPUTED_VALUE"""),"3104247332")</f>
        <v>3104247332</v>
      </c>
      <c r="AZ8" s="6" t="str">
        <f>IFERROR(__xludf.DUMMYFUNCTION("""COMPUTED_VALUE"""),"Padre")</f>
        <v>Padre</v>
      </c>
      <c r="BA8" s="6"/>
      <c r="BB8" s="6"/>
      <c r="BC8" s="6"/>
      <c r="BD8" s="12" t="str">
        <f>IFERROR(__xludf.DUMMYFUNCTION("""COMPUTED_VALUE"""),"gut0013")</f>
        <v>gut0013</v>
      </c>
      <c r="BE8" s="6" t="str">
        <f>IFERROR(__xludf.DUMMYFUNCTION("""COMPUTED_VALUE"""),"NUEVO(A)")</f>
        <v>NUEVO(A)</v>
      </c>
      <c r="BF8" s="12" t="str">
        <f>IFERROR(__xludf.DUMMYFUNCTION("""COMPUTED_VALUE"""),"HIJO DE EGRESADA")</f>
        <v>HIJO DE EGRESADA</v>
      </c>
      <c r="BG8" s="6">
        <f>IFERROR(__xludf.DUMMYFUNCTION("""COMPUTED_VALUE"""),2042.0)</f>
        <v>2042</v>
      </c>
      <c r="BH8" s="15">
        <f>IFERROR(__xludf.DUMMYFUNCTION("""COMPUTED_VALUE"""),46199.59798611111)</f>
        <v>46199.59799</v>
      </c>
      <c r="BI8" s="6">
        <f>IFERROR(__xludf.DUMMYFUNCTION("""COMPUTED_VALUE"""),7.0)</f>
        <v>7</v>
      </c>
      <c r="BJ8" s="6"/>
      <c r="BK8" s="6"/>
      <c r="BL8" s="6" t="str">
        <f>IFERROR(__xludf.DUMMYFUNCTION("""COMPUTED_VALUE"""),"GISGUT0013")</f>
        <v>GISGUT0013</v>
      </c>
      <c r="BM8" s="6"/>
      <c r="BN8" s="6"/>
      <c r="BO8" s="6"/>
      <c r="BP8" s="6"/>
      <c r="BQ8" s="6"/>
      <c r="BR8" s="6"/>
      <c r="BS8" s="6"/>
      <c r="BT8" s="6"/>
      <c r="BU8" s="6" t="str">
        <f>IFERROR(__xludf.DUMMYFUNCTION("""COMPUTED_VALUE"""),"SI")</f>
        <v>SI</v>
      </c>
      <c r="BV8" s="12" t="str">
        <f>IFERROR(__xludf.DUMMYFUNCTION("""COMPUTED_VALUE"""),"gabriel.gb2042")</f>
        <v>gabriel.gb2042</v>
      </c>
      <c r="BW8" s="6"/>
      <c r="BX8" s="6"/>
      <c r="BY8" s="6"/>
      <c r="BZ8" s="6"/>
    </row>
    <row r="9">
      <c r="A9" s="12" t="str">
        <f>IFERROR(__xludf.DUMMYFUNCTION("""COMPUTED_VALUE"""),"1013041587")</f>
        <v>1013041587</v>
      </c>
      <c r="B9" s="6">
        <f>IFERROR(__xludf.DUMMYFUNCTION("""COMPUTED_VALUE"""),8.0)</f>
        <v>8</v>
      </c>
      <c r="C9" s="6" t="str">
        <f>IFERROR(__xludf.DUMMYFUNCTION("""COMPUTED_VALUE"""),"Noah")</f>
        <v>Noah</v>
      </c>
      <c r="D9" s="6"/>
      <c r="E9" s="6" t="str">
        <f>IFERROR(__xludf.DUMMYFUNCTION("""COMPUTED_VALUE"""),"Izquierdo Muñoz")</f>
        <v>Izquierdo Muñoz</v>
      </c>
      <c r="F9" s="6" t="str">
        <f>IFERROR(__xludf.DUMMYFUNCTION("""COMPUTED_VALUE"""),"Km 2.2 Via El Caimo Aeropuerto - La Tebaida")</f>
        <v>Km 2.2 Via El Caimo Aeropuerto - La Tebaida</v>
      </c>
      <c r="G9" s="12">
        <f>IFERROR(__xludf.DUMMYFUNCTION("""COMPUTED_VALUE"""),2024.0)</f>
        <v>2024</v>
      </c>
      <c r="H9" s="12" t="str">
        <f>IFERROR(__xludf.DUMMYFUNCTION("""COMPUTED_VALUE"""),"Febrero")</f>
        <v>Febrero</v>
      </c>
      <c r="I9" s="12">
        <f>IFERROR(__xludf.DUMMYFUNCTION("""COMPUTED_VALUE"""),23.0)</f>
        <v>23</v>
      </c>
      <c r="J9" s="6"/>
      <c r="K9" s="12" t="str">
        <f>IFERROR(__xludf.DUMMYFUNCTION("""COMPUTED_VALUE"""),"noah.im2042@gi.edu.co")</f>
        <v>noah.im2042@gi.edu.co</v>
      </c>
      <c r="L9" s="6" t="str">
        <f>IFERROR(__xludf.DUMMYFUNCTION("""COMPUTED_VALUE"""),"RC")</f>
        <v>RC</v>
      </c>
      <c r="M9" s="6" t="str">
        <f>IFERROR(__xludf.DUMMYFUNCTION("""COMPUTED_VALUE"""),"Cundinamarca")</f>
        <v>Cundinamarca</v>
      </c>
      <c r="N9" s="6" t="str">
        <f>IFERROR(__xludf.DUMMYFUNCTION("""COMPUTED_VALUE"""),"M")</f>
        <v>M</v>
      </c>
      <c r="O9" s="6" t="str">
        <f>IFERROR(__xludf.DUMMYFUNCTION("""COMPUTED_VALUE"""),"ACTIVE")</f>
        <v>ACTIVE</v>
      </c>
      <c r="P9" s="6" t="str">
        <f>IFERROR(__xludf.DUMMYFUNCTION("""COMPUTED_VALUE"""),"2°Hermano")</f>
        <v>2°Hermano</v>
      </c>
      <c r="Q9" s="6" t="str">
        <f>IFERROR(__xludf.DUMMYFUNCTION("""COMPUTED_VALUE"""),"Armenia")</f>
        <v>Armenia</v>
      </c>
      <c r="R9" s="12" t="str">
        <f>IFERROR(__xludf.DUMMYFUNCTION("""COMPUTED_VALUE"""),"GiS2Yj6R*")</f>
        <v>GiS2Yj6R*</v>
      </c>
      <c r="S9" s="6" t="str">
        <f>IFERROR(__xludf.DUMMYFUNCTION("""COMPUTED_VALUE"""),"Izquierdo Muñoz Noah ")</f>
        <v>Izquierdo Muñoz Noah </v>
      </c>
      <c r="T9" s="6" t="str">
        <f>IFERROR(__xludf.DUMMYFUNCTION("""COMPUTED_VALUE"""),"NICOLAS IZQUIERDO MONTOYA")</f>
        <v>NICOLAS IZQUIERDO MONTOYA</v>
      </c>
      <c r="U9" s="12" t="str">
        <f>IFERROR(__xludf.DUMMYFUNCTION("""COMPUTED_VALUE"""),"1020757302")</f>
        <v>1020757302</v>
      </c>
      <c r="V9" s="6">
        <f>IFERROR(__xludf.DUMMYFUNCTION("""COMPUTED_VALUE"""),3.138355011E9)</f>
        <v>3138355011</v>
      </c>
      <c r="W9" s="6" t="str">
        <f>IFERROR(__xludf.DUMMYFUNCTION("""COMPUTED_VALUE"""),"nizquierdo1115@hotmail.com")</f>
        <v>nizquierdo1115@hotmail.com</v>
      </c>
      <c r="X9" s="12" t="str">
        <f>IFERROR(__xludf.DUMMYFUNCTION("""COMPUTED_VALUE"""),"O+")</f>
        <v>O+</v>
      </c>
      <c r="Y9" s="12" t="str">
        <f>IFERROR(__xludf.DUMMYFUNCTION("""COMPUTED_VALUE"""),"PV")</f>
        <v>PV</v>
      </c>
      <c r="Z9" s="6">
        <f>IFERROR(__xludf.DUMMYFUNCTION("""COMPUTED_VALUE"""),120598.0)</f>
        <v>120598</v>
      </c>
      <c r="AA9" s="6" t="str">
        <f>IFERROR(__xludf.DUMMYFUNCTION("""COMPUTED_VALUE"""),"SANITAS")</f>
        <v>SANITAS</v>
      </c>
      <c r="AB9" s="6"/>
      <c r="AC9" s="6"/>
      <c r="AD9" s="12" t="str">
        <f>IFERROR(__xludf.DUMMYFUNCTION("""COMPUTED_VALUE"""),"PVA")</f>
        <v>PVA</v>
      </c>
      <c r="AE9" s="12" t="str">
        <f>IFERROR(__xludf.DUMMYFUNCTION("""COMPUTED_VALUE"""),"1345282595")</f>
        <v>1345282595</v>
      </c>
      <c r="AF9" s="12" t="str">
        <f>IFERROR(__xludf.DUMMYFUNCTION("""COMPUTED_VALUE"""),"1345282595")</f>
        <v>1345282595</v>
      </c>
      <c r="AG9" s="12" t="str">
        <f>IFERROR(__xludf.DUMMYFUNCTION("""COMPUTED_VALUE"""),"Andrea")</f>
        <v>Andrea</v>
      </c>
      <c r="AH9" s="12" t="str">
        <f>IFERROR(__xludf.DUMMYFUNCTION("""COMPUTED_VALUE"""),"Catalina")</f>
        <v>Catalina</v>
      </c>
      <c r="AI9" s="6" t="str">
        <f>IFERROR(__xludf.DUMMYFUNCTION("""COMPUTED_VALUE"""),"Muñoz  Diaz")</f>
        <v>Muñoz  Diaz</v>
      </c>
      <c r="AJ9" s="6" t="str">
        <f>IFERROR(__xludf.DUMMYFUNCTION("""COMPUTED_VALUE"""),"andremu.diaz@gmail.com")</f>
        <v>andremu.diaz@gmail.com</v>
      </c>
      <c r="AK9" s="6" t="str">
        <f>IFERROR(__xludf.DUMMYFUNCTION("""COMPUTED_VALUE"""),"ADMINISTRADORA")</f>
        <v>ADMINISTRADORA</v>
      </c>
      <c r="AL9" s="6" t="str">
        <f>IFERROR(__xludf.DUMMYFUNCTION("""COMPUTED_VALUE"""),"BOSEM")</f>
        <v>BOSEM</v>
      </c>
      <c r="AM9" s="12" t="str">
        <f>IFERROR(__xludf.DUMMYFUNCTION("""COMPUTED_VALUE"""),"1136883588")</f>
        <v>1136883588</v>
      </c>
      <c r="AN9" s="12" t="str">
        <f>IFERROR(__xludf.DUMMYFUNCTION("""COMPUTED_VALUE"""),"3138193867")</f>
        <v>3138193867</v>
      </c>
      <c r="AO9" s="6" t="str">
        <f>IFERROR(__xludf.DUMMYFUNCTION("""COMPUTED_VALUE"""),"Madre")</f>
        <v>Madre</v>
      </c>
      <c r="AP9" s="6" t="str">
        <f>IFERROR(__xludf.DUMMYFUNCTION("""COMPUTED_VALUE"""),"Estudiante(s): Izquierdo Muñoz")</f>
        <v>Estudiante(s): Izquierdo Muñoz</v>
      </c>
      <c r="AQ9" s="6" t="str">
        <f>IFERROR(__xludf.DUMMYFUNCTION("""COMPUTED_VALUE"""),"120357*Gi")</f>
        <v>120357*Gi</v>
      </c>
      <c r="AR9" s="6" t="str">
        <f>IFERROR(__xludf.DUMMYFUNCTION("""COMPUTED_VALUE"""),"Nicolas")</f>
        <v>Nicolas</v>
      </c>
      <c r="AS9" s="6"/>
      <c r="AT9" s="6" t="str">
        <f>IFERROR(__xludf.DUMMYFUNCTION("""COMPUTED_VALUE"""),"Izquierdo Montoya")</f>
        <v>Izquierdo Montoya</v>
      </c>
      <c r="AU9" s="6" t="str">
        <f>IFERROR(__xludf.DUMMYFUNCTION("""COMPUTED_VALUE"""),"nizquierdo1115@hotmail.com")</f>
        <v>nizquierdo1115@hotmail.com</v>
      </c>
      <c r="AV9" s="6" t="str">
        <f>IFERROR(__xludf.DUMMYFUNCTION("""COMPUTED_VALUE"""),"ADMINISTRACION")</f>
        <v>ADMINISTRACION</v>
      </c>
      <c r="AW9" s="6" t="str">
        <f>IFERROR(__xludf.DUMMYFUNCTION("""COMPUTED_VALUE"""),"CAMBA")</f>
        <v>CAMBA</v>
      </c>
      <c r="AX9" s="12" t="str">
        <f>IFERROR(__xludf.DUMMYFUNCTION("""COMPUTED_VALUE"""),"1020757302")</f>
        <v>1020757302</v>
      </c>
      <c r="AY9" s="12">
        <f>IFERROR(__xludf.DUMMYFUNCTION("""COMPUTED_VALUE"""),3.138355011E9)</f>
        <v>3138355011</v>
      </c>
      <c r="AZ9" s="6" t="str">
        <f>IFERROR(__xludf.DUMMYFUNCTION("""COMPUTED_VALUE"""),"Padre")</f>
        <v>Padre</v>
      </c>
      <c r="BA9" s="6"/>
      <c r="BB9" s="6"/>
      <c r="BC9" s="6"/>
      <c r="BD9" s="12" t="str">
        <f>IFERROR(__xludf.DUMMYFUNCTION("""COMPUTED_VALUE"""),"izq0001")</f>
        <v>izq0001</v>
      </c>
      <c r="BE9" s="6" t="str">
        <f>IFERROR(__xludf.DUMMYFUNCTION("""COMPUTED_VALUE"""),"NUEVO(A)")</f>
        <v>NUEVO(A)</v>
      </c>
      <c r="BF9" s="6"/>
      <c r="BG9" s="6">
        <f>IFERROR(__xludf.DUMMYFUNCTION("""COMPUTED_VALUE"""),2042.0)</f>
        <v>2042</v>
      </c>
      <c r="BH9" s="15">
        <f>IFERROR(__xludf.DUMMYFUNCTION("""COMPUTED_VALUE"""),46211.365277777775)</f>
        <v>46211.36528</v>
      </c>
      <c r="BI9" s="6">
        <f>IFERROR(__xludf.DUMMYFUNCTION("""COMPUTED_VALUE"""),8.0)</f>
        <v>8</v>
      </c>
      <c r="BJ9" s="6"/>
      <c r="BK9" s="6"/>
      <c r="BL9" s="6" t="str">
        <f>IFERROR(__xludf.DUMMYFUNCTION("""COMPUTED_VALUE"""),"GISIZQ0001")</f>
        <v>GISIZQ0001</v>
      </c>
      <c r="BM9" s="6"/>
      <c r="BN9" s="6"/>
      <c r="BO9" s="6"/>
      <c r="BP9" s="6"/>
      <c r="BQ9" s="6"/>
      <c r="BR9" s="6"/>
      <c r="BS9" s="6"/>
      <c r="BT9" s="6"/>
      <c r="BU9" s="6" t="str">
        <f>IFERROR(__xludf.DUMMYFUNCTION("""COMPUTED_VALUE"""),"SI")</f>
        <v>SI</v>
      </c>
      <c r="BV9" s="12" t="str">
        <f>IFERROR(__xludf.DUMMYFUNCTION("""COMPUTED_VALUE"""),"noah.im2042")</f>
        <v>noah.im2042</v>
      </c>
      <c r="BW9" s="6"/>
      <c r="BX9" s="6"/>
      <c r="BY9" s="6"/>
      <c r="BZ9" s="6"/>
    </row>
    <row r="10">
      <c r="A10" s="12">
        <f>IFERROR(__xludf.DUMMYFUNCTION("""COMPUTED_VALUE"""),1.094985593E9)</f>
        <v>1094985593</v>
      </c>
      <c r="B10" s="6">
        <f>IFERROR(__xludf.DUMMYFUNCTION("""COMPUTED_VALUE"""),9.0)</f>
        <v>9</v>
      </c>
      <c r="C10" s="6" t="str">
        <f>IFERROR(__xludf.DUMMYFUNCTION("""COMPUTED_VALUE"""),"Martina")</f>
        <v>Martina</v>
      </c>
      <c r="D10" s="6"/>
      <c r="E10" s="6" t="str">
        <f>IFERROR(__xludf.DUMMYFUNCTION("""COMPUTED_VALUE"""),"López Ramírez")</f>
        <v>López Ramírez</v>
      </c>
      <c r="F10" s="6" t="str">
        <f>IFERROR(__xludf.DUMMYFUNCTION("""COMPUTED_VALUE"""),"edf horeb torre 1 apto 907 - castellana")</f>
        <v>edf horeb torre 1 apto 907 - castellana</v>
      </c>
      <c r="G10" s="12">
        <f>IFERROR(__xludf.DUMMYFUNCTION("""COMPUTED_VALUE"""),2024.0)</f>
        <v>2024</v>
      </c>
      <c r="H10" s="12" t="str">
        <f>IFERROR(__xludf.DUMMYFUNCTION("""COMPUTED_VALUE"""),"Enero")</f>
        <v>Enero</v>
      </c>
      <c r="I10" s="12">
        <f>IFERROR(__xludf.DUMMYFUNCTION("""COMPUTED_VALUE"""),16.0)</f>
        <v>16</v>
      </c>
      <c r="J10" s="6"/>
      <c r="K10" s="12" t="str">
        <f>IFERROR(__xludf.DUMMYFUNCTION("""COMPUTED_VALUE"""),"martina.l2042@gi.edu.co")</f>
        <v>martina.l2042@gi.edu.co</v>
      </c>
      <c r="L10" s="6" t="str">
        <f>IFERROR(__xludf.DUMMYFUNCTION("""COMPUTED_VALUE"""),"RC")</f>
        <v>RC</v>
      </c>
      <c r="M10" s="6" t="str">
        <f>IFERROR(__xludf.DUMMYFUNCTION("""COMPUTED_VALUE"""),"Armenia")</f>
        <v>Armenia</v>
      </c>
      <c r="N10" s="6" t="str">
        <f>IFERROR(__xludf.DUMMYFUNCTION("""COMPUTED_VALUE"""),"F")</f>
        <v>F</v>
      </c>
      <c r="O10" s="6" t="str">
        <f>IFERROR(__xludf.DUMMYFUNCTION("""COMPUTED_VALUE"""),"ACTIVE")</f>
        <v>ACTIVE</v>
      </c>
      <c r="P10" s="6"/>
      <c r="Q10" s="6"/>
      <c r="R10" s="12" t="str">
        <f>IFERROR(__xludf.DUMMYFUNCTION("""COMPUTED_VALUE"""),"GiM4Jv7L*")</f>
        <v>GiM4Jv7L*</v>
      </c>
      <c r="S10" s="6" t="str">
        <f>IFERROR(__xludf.DUMMYFUNCTION("""COMPUTED_VALUE"""),"López Ramírez Martina ")</f>
        <v>López Ramírez Martina </v>
      </c>
      <c r="T10" s="6" t="str">
        <f>IFERROR(__xludf.DUMMYFUNCTION("""COMPUTED_VALUE"""),"NATALIA LOPEZ RAMIREZ")</f>
        <v>NATALIA LOPEZ RAMIREZ</v>
      </c>
      <c r="U10" s="12" t="str">
        <f>IFERROR(__xludf.DUMMYFUNCTION("""COMPUTED_VALUE"""),"1020786336")</f>
        <v>1020786336</v>
      </c>
      <c r="V10" s="6">
        <f>IFERROR(__xludf.DUMMYFUNCTION("""COMPUTED_VALUE"""),3.117232953E9)</f>
        <v>3117232953</v>
      </c>
      <c r="W10" s="6" t="str">
        <f>IFERROR(__xludf.DUMMYFUNCTION("""COMPUTED_VALUE"""),"nati1193@hotmail.com")</f>
        <v>nati1193@hotmail.com</v>
      </c>
      <c r="X10" s="12" t="str">
        <f>IFERROR(__xludf.DUMMYFUNCTION("""COMPUTED_VALUE"""),"A+")</f>
        <v>A+</v>
      </c>
      <c r="Y10" s="12" t="str">
        <f>IFERROR(__xludf.DUMMYFUNCTION("""COMPUTED_VALUE"""),"PV")</f>
        <v>PV</v>
      </c>
      <c r="Z10" s="6">
        <f>IFERROR(__xludf.DUMMYFUNCTION("""COMPUTED_VALUE"""),120596.0)</f>
        <v>120596</v>
      </c>
      <c r="AA10" s="6" t="str">
        <f>IFERROR(__xludf.DUMMYFUNCTION("""COMPUTED_VALUE"""),"SANITAS")</f>
        <v>SANITAS</v>
      </c>
      <c r="AB10" s="6"/>
      <c r="AC10" s="6"/>
      <c r="AD10" s="12" t="str">
        <f>IFERROR(__xludf.DUMMYFUNCTION("""COMPUTED_VALUE"""),"PVA")</f>
        <v>PVA</v>
      </c>
      <c r="AE10" s="12" t="str">
        <f>IFERROR(__xludf.DUMMYFUNCTION("""COMPUTED_VALUE"""),"1345282593")</f>
        <v>1345282593</v>
      </c>
      <c r="AF10" s="12" t="str">
        <f>IFERROR(__xludf.DUMMYFUNCTION("""COMPUTED_VALUE"""),"1345282593")</f>
        <v>1345282593</v>
      </c>
      <c r="AG10" s="12" t="str">
        <f>IFERROR(__xludf.DUMMYFUNCTION("""COMPUTED_VALUE"""),"Natalia")</f>
        <v>Natalia</v>
      </c>
      <c r="AH10" s="6"/>
      <c r="AI10" s="6" t="str">
        <f>IFERROR(__xludf.DUMMYFUNCTION("""COMPUTED_VALUE"""),"López Ramírez")</f>
        <v>López Ramírez</v>
      </c>
      <c r="AJ10" s="6" t="str">
        <f>IFERROR(__xludf.DUMMYFUNCTION("""COMPUTED_VALUE"""),"nati1193@hotmail.com")</f>
        <v>nati1193@hotmail.com</v>
      </c>
      <c r="AK10" s="6" t="str">
        <f>IFERROR(__xludf.DUMMYFUNCTION("""COMPUTED_VALUE"""),"Odontologa")</f>
        <v>Odontologa</v>
      </c>
      <c r="AL10" s="6"/>
      <c r="AM10" s="12" t="str">
        <f>IFERROR(__xludf.DUMMYFUNCTION("""COMPUTED_VALUE"""),"1020786336")</f>
        <v>1020786336</v>
      </c>
      <c r="AN10" s="12" t="str">
        <f>IFERROR(__xludf.DUMMYFUNCTION("""COMPUTED_VALUE"""),"3117232953")</f>
        <v>3117232953</v>
      </c>
      <c r="AO10" s="6" t="str">
        <f>IFERROR(__xludf.DUMMYFUNCTION("""COMPUTED_VALUE"""),"Madre")</f>
        <v>Madre</v>
      </c>
      <c r="AP10" s="6" t="str">
        <f>IFERROR(__xludf.DUMMYFUNCTION("""COMPUTED_VALUE"""),"Estudiante(s): López Ramírez")</f>
        <v>Estudiante(s): López Ramírez</v>
      </c>
      <c r="AQ10" s="6" t="str">
        <f>IFERROR(__xludf.DUMMYFUNCTION("""COMPUTED_VALUE"""),"120596*Gi")</f>
        <v>120596*Gi</v>
      </c>
      <c r="AR10" s="6" t="str">
        <f>IFERROR(__xludf.DUMMYFUNCTION("""COMPUTED_VALUE"""),"Alicia")</f>
        <v>Alicia</v>
      </c>
      <c r="AS10" s="6" t="str">
        <f>IFERROR(__xludf.DUMMYFUNCTION("""COMPUTED_VALUE"""),"Janeth")</f>
        <v>Janeth</v>
      </c>
      <c r="AT10" s="6" t="str">
        <f>IFERROR(__xludf.DUMMYFUNCTION("""COMPUTED_VALUE"""),"López Agreda")</f>
        <v>López Agreda</v>
      </c>
      <c r="AU10" s="6" t="str">
        <f>IFERROR(__xludf.DUMMYFUNCTION("""COMPUTED_VALUE"""),"alicialopez_890@hotmail.com")</f>
        <v>alicialopez_890@hotmail.com</v>
      </c>
      <c r="AV10" s="6" t="str">
        <f>IFERROR(__xludf.DUMMYFUNCTION("""COMPUTED_VALUE"""),"Chef")</f>
        <v>Chef</v>
      </c>
      <c r="AW10" s="6"/>
      <c r="AX10" s="12" t="str">
        <f>IFERROR(__xludf.DUMMYFUNCTION("""COMPUTED_VALUE"""),"1094912450")</f>
        <v>1094912450</v>
      </c>
      <c r="AY10" s="12" t="str">
        <f>IFERROR(__xludf.DUMMYFUNCTION("""COMPUTED_VALUE"""),"3206411629")</f>
        <v>3206411629</v>
      </c>
      <c r="AZ10" s="6" t="str">
        <f>IFERROR(__xludf.DUMMYFUNCTION("""COMPUTED_VALUE"""),"Abuela")</f>
        <v>Abuela</v>
      </c>
      <c r="BA10" s="6"/>
      <c r="BB10" s="6"/>
      <c r="BC10" s="6"/>
      <c r="BD10" s="12" t="str">
        <f>IFERROR(__xludf.DUMMYFUNCTION("""COMPUTED_VALUE"""),"lop0012")</f>
        <v>lop0012</v>
      </c>
      <c r="BE10" s="6" t="str">
        <f>IFERROR(__xludf.DUMMYFUNCTION("""COMPUTED_VALUE"""),"NUEVO(A)")</f>
        <v>NUEVO(A)</v>
      </c>
      <c r="BF10" s="6"/>
      <c r="BG10" s="6">
        <f>IFERROR(__xludf.DUMMYFUNCTION("""COMPUTED_VALUE"""),2042.0)</f>
        <v>2042</v>
      </c>
      <c r="BH10" s="15">
        <f>IFERROR(__xludf.DUMMYFUNCTION("""COMPUTED_VALUE"""),46198.563425925924)</f>
        <v>46198.56343</v>
      </c>
      <c r="BI10" s="6">
        <f>IFERROR(__xludf.DUMMYFUNCTION("""COMPUTED_VALUE"""),9.0)</f>
        <v>9</v>
      </c>
      <c r="BJ10" s="6"/>
      <c r="BK10" s="6"/>
      <c r="BL10" s="6" t="str">
        <f>IFERROR(__xludf.DUMMYFUNCTION("""COMPUTED_VALUE"""),"GISLOP0012")</f>
        <v>GISLOP0012</v>
      </c>
      <c r="BM10" s="6"/>
      <c r="BN10" s="6"/>
      <c r="BO10" s="6"/>
      <c r="BP10" s="6"/>
      <c r="BQ10" s="6"/>
      <c r="BR10" s="6"/>
      <c r="BS10" s="6"/>
      <c r="BT10" s="6"/>
      <c r="BU10" s="6" t="str">
        <f>IFERROR(__xludf.DUMMYFUNCTION("""COMPUTED_VALUE"""),"SI")</f>
        <v>SI</v>
      </c>
      <c r="BV10" s="12" t="str">
        <f>IFERROR(__xludf.DUMMYFUNCTION("""COMPUTED_VALUE"""),"martina.l2042")</f>
        <v>martina.l2042</v>
      </c>
      <c r="BW10" s="6"/>
      <c r="BX10" s="6"/>
      <c r="BY10" s="6"/>
      <c r="BZ10" s="6"/>
    </row>
    <row r="11">
      <c r="A11" s="12" t="str">
        <f>IFERROR(__xludf.DUMMYFUNCTION("""COMPUTED_VALUE"""),"1092867586")</f>
        <v>1092867586</v>
      </c>
      <c r="B11" s="6">
        <f>IFERROR(__xludf.DUMMYFUNCTION("""COMPUTED_VALUE"""),10.0)</f>
        <v>10</v>
      </c>
      <c r="C11" s="6" t="str">
        <f>IFERROR(__xludf.DUMMYFUNCTION("""COMPUTED_VALUE"""),"Leah")</f>
        <v>Leah</v>
      </c>
      <c r="D11" s="6" t="str">
        <f>IFERROR(__xludf.DUMMYFUNCTION("""COMPUTED_VALUE"""),"Alexandrina")</f>
        <v>Alexandrina</v>
      </c>
      <c r="E11" s="6" t="str">
        <f>IFERROR(__xludf.DUMMYFUNCTION("""COMPUTED_VALUE"""),"Ortíz Jones")</f>
        <v>Ortíz Jones</v>
      </c>
      <c r="F11" s="6" t="str">
        <f>IFERROR(__xludf.DUMMYFUNCTION("""COMPUTED_VALUE"""),"Carrera 14 #49N-09 Hacienda el Cortijo Torre 1 Apto 908 - Oro Negro")</f>
        <v>Carrera 14 #49N-09 Hacienda el Cortijo Torre 1 Apto 908 - Oro Negro</v>
      </c>
      <c r="G11" s="12">
        <f>IFERROR(__xludf.DUMMYFUNCTION("""COMPUTED_VALUE"""),2023.0)</f>
        <v>2023</v>
      </c>
      <c r="H11" s="12" t="str">
        <f>IFERROR(__xludf.DUMMYFUNCTION("""COMPUTED_VALUE"""),"Diciembre")</f>
        <v>Diciembre</v>
      </c>
      <c r="I11" s="12">
        <f>IFERROR(__xludf.DUMMYFUNCTION("""COMPUTED_VALUE"""),15.0)</f>
        <v>15</v>
      </c>
      <c r="J11" s="6"/>
      <c r="K11" s="12" t="str">
        <f>IFERROR(__xludf.DUMMYFUNCTION("""COMPUTED_VALUE"""),"leah.o2042@gi.edu.co")</f>
        <v>leah.o2042@gi.edu.co</v>
      </c>
      <c r="L11" s="6" t="str">
        <f>IFERROR(__xludf.DUMMYFUNCTION("""COMPUTED_VALUE"""),"RC")</f>
        <v>RC</v>
      </c>
      <c r="M11" s="6" t="str">
        <f>IFERROR(__xludf.DUMMYFUNCTION("""COMPUTED_VALUE"""),"Armenia")</f>
        <v>Armenia</v>
      </c>
      <c r="N11" s="6" t="str">
        <f>IFERROR(__xludf.DUMMYFUNCTION("""COMPUTED_VALUE"""),"F")</f>
        <v>F</v>
      </c>
      <c r="O11" s="6" t="str">
        <f>IFERROR(__xludf.DUMMYFUNCTION("""COMPUTED_VALUE"""),"ACTIVE")</f>
        <v>ACTIVE</v>
      </c>
      <c r="P11" s="6"/>
      <c r="Q11" s="6"/>
      <c r="R11" s="12" t="str">
        <f>IFERROR(__xludf.DUMMYFUNCTION("""COMPUTED_VALUE"""),"GiA6mL4Q*")</f>
        <v>GiA6mL4Q*</v>
      </c>
      <c r="S11" s="6" t="str">
        <f>IFERROR(__xludf.DUMMYFUNCTION("""COMPUTED_VALUE"""),"Ortíz Jones Leah Alexandrina")</f>
        <v>Ortíz Jones Leah Alexandrina</v>
      </c>
      <c r="T11" s="6" t="str">
        <f>IFERROR(__xludf.DUMMYFUNCTION("""COMPUTED_VALUE"""),"LUCIE ALEXANDRINA JONES")</f>
        <v>LUCIE ALEXANDRINA JONES</v>
      </c>
      <c r="U11" s="12" t="str">
        <f>IFERROR(__xludf.DUMMYFUNCTION("""COMPUTED_VALUE"""),"709654")</f>
        <v>709654</v>
      </c>
      <c r="V11" s="6">
        <f>IFERROR(__xludf.DUMMYFUNCTION("""COMPUTED_VALUE"""),3.175367223E9)</f>
        <v>3175367223</v>
      </c>
      <c r="W11" s="6" t="str">
        <f>IFERROR(__xludf.DUMMYFUNCTION("""COMPUTED_VALUE"""),"luciej@gi.edu.co")</f>
        <v>luciej@gi.edu.co</v>
      </c>
      <c r="X11" s="12" t="str">
        <f>IFERROR(__xludf.DUMMYFUNCTION("""COMPUTED_VALUE"""),"A+")</f>
        <v>A+</v>
      </c>
      <c r="Y11" s="12" t="str">
        <f>IFERROR(__xludf.DUMMYFUNCTION("""COMPUTED_VALUE"""),"PV")</f>
        <v>PV</v>
      </c>
      <c r="Z11" s="6">
        <f>IFERROR(__xludf.DUMMYFUNCTION("""COMPUTED_VALUE"""),120593.0)</f>
        <v>120593</v>
      </c>
      <c r="AA11" s="6"/>
      <c r="AB11" s="6"/>
      <c r="AC11" s="6"/>
      <c r="AD11" s="12" t="str">
        <f>IFERROR(__xludf.DUMMYFUNCTION("""COMPUTED_VALUE"""),"PVA")</f>
        <v>PVA</v>
      </c>
      <c r="AE11" s="12" t="str">
        <f>IFERROR(__xludf.DUMMYFUNCTION("""COMPUTED_VALUE"""),"1345282590")</f>
        <v>1345282590</v>
      </c>
      <c r="AF11" s="12" t="str">
        <f>IFERROR(__xludf.DUMMYFUNCTION("""COMPUTED_VALUE"""),"1345282590")</f>
        <v>1345282590</v>
      </c>
      <c r="AG11" s="12" t="str">
        <f>IFERROR(__xludf.DUMMYFUNCTION("""COMPUTED_VALUE"""),"Lucie")</f>
        <v>Lucie</v>
      </c>
      <c r="AH11" s="12" t="str">
        <f>IFERROR(__xludf.DUMMYFUNCTION("""COMPUTED_VALUE"""),"Alexandrina")</f>
        <v>Alexandrina</v>
      </c>
      <c r="AI11" s="6" t="str">
        <f>IFERROR(__xludf.DUMMYFUNCTION("""COMPUTED_VALUE"""),"Jones")</f>
        <v>Jones</v>
      </c>
      <c r="AJ11" s="6" t="str">
        <f>IFERROR(__xludf.DUMMYFUNCTION("""COMPUTED_VALUE"""),"luciej@gi.edu.co")</f>
        <v>luciej@gi.edu.co</v>
      </c>
      <c r="AK11" s="6" t="str">
        <f>IFERROR(__xludf.DUMMYFUNCTION("""COMPUTED_VALUE"""),"Profesora")</f>
        <v>Profesora</v>
      </c>
      <c r="AL11" s="6"/>
      <c r="AM11" s="12" t="str">
        <f>IFERROR(__xludf.DUMMYFUNCTION("""COMPUTED_VALUE"""),"709654")</f>
        <v>709654</v>
      </c>
      <c r="AN11" s="12" t="str">
        <f>IFERROR(__xludf.DUMMYFUNCTION("""COMPUTED_VALUE"""),"3175367223")</f>
        <v>3175367223</v>
      </c>
      <c r="AO11" s="6" t="str">
        <f>IFERROR(__xludf.DUMMYFUNCTION("""COMPUTED_VALUE"""),"Madre")</f>
        <v>Madre</v>
      </c>
      <c r="AP11" s="6" t="str">
        <f>IFERROR(__xludf.DUMMYFUNCTION("""COMPUTED_VALUE"""),"Estudiante(s): Ortíz Jones")</f>
        <v>Estudiante(s): Ortíz Jones</v>
      </c>
      <c r="AQ11" s="6" t="str">
        <f>IFERROR(__xludf.DUMMYFUNCTION("""COMPUTED_VALUE"""),"120593*Gi")</f>
        <v>120593*Gi</v>
      </c>
      <c r="AR11" s="6" t="str">
        <f>IFERROR(__xludf.DUMMYFUNCTION("""COMPUTED_VALUE"""),"Juan")</f>
        <v>Juan</v>
      </c>
      <c r="AS11" s="6" t="str">
        <f>IFERROR(__xludf.DUMMYFUNCTION("""COMPUTED_VALUE"""),"Pablo")</f>
        <v>Pablo</v>
      </c>
      <c r="AT11" s="6" t="str">
        <f>IFERROR(__xludf.DUMMYFUNCTION("""COMPUTED_VALUE"""),"Ortiz León")</f>
        <v>Ortiz León</v>
      </c>
      <c r="AU11" s="6" t="str">
        <f>IFERROR(__xludf.DUMMYFUNCTION("""COMPUTED_VALUE"""),"juanpiortiz90@gmail.com")</f>
        <v>juanpiortiz90@gmail.com</v>
      </c>
      <c r="AV11" s="6" t="str">
        <f>IFERROR(__xludf.DUMMYFUNCTION("""COMPUTED_VALUE"""),"Gerente de operaciones")</f>
        <v>Gerente de operaciones</v>
      </c>
      <c r="AW11" s="6"/>
      <c r="AX11" s="12" t="str">
        <f>IFERROR(__xludf.DUMMYFUNCTION("""COMPUTED_VALUE"""),"80039548")</f>
        <v>80039548</v>
      </c>
      <c r="AY11" s="12" t="str">
        <f>IFERROR(__xludf.DUMMYFUNCTION("""COMPUTED_VALUE"""),"3184305049")</f>
        <v>3184305049</v>
      </c>
      <c r="AZ11" s="6" t="str">
        <f>IFERROR(__xludf.DUMMYFUNCTION("""COMPUTED_VALUE"""),"Padre")</f>
        <v>Padre</v>
      </c>
      <c r="BA11" s="6"/>
      <c r="BB11" s="6"/>
      <c r="BC11" s="6"/>
      <c r="BD11" s="12" t="str">
        <f>IFERROR(__xludf.DUMMYFUNCTION("""COMPUTED_VALUE"""),"ort0006")</f>
        <v>ort0006</v>
      </c>
      <c r="BE11" s="6" t="str">
        <f>IFERROR(__xludf.DUMMYFUNCTION("""COMPUTED_VALUE"""),"NUEVO(A)")</f>
        <v>NUEVO(A)</v>
      </c>
      <c r="BF11" s="12" t="str">
        <f>IFERROR(__xludf.DUMMYFUNCTION("""COMPUTED_VALUE"""),"HIJA DOCENTE")</f>
        <v>HIJA DOCENTE</v>
      </c>
      <c r="BG11" s="6">
        <f>IFERROR(__xludf.DUMMYFUNCTION("""COMPUTED_VALUE"""),2042.0)</f>
        <v>2042</v>
      </c>
      <c r="BH11" s="15">
        <f>IFERROR(__xludf.DUMMYFUNCTION("""COMPUTED_VALUE"""),46189.5790162037)</f>
        <v>46189.57902</v>
      </c>
      <c r="BI11" s="6">
        <f>IFERROR(__xludf.DUMMYFUNCTION("""COMPUTED_VALUE"""),10.0)</f>
        <v>10</v>
      </c>
      <c r="BJ11" s="6"/>
      <c r="BK11" s="6"/>
      <c r="BL11" s="6" t="str">
        <f>IFERROR(__xludf.DUMMYFUNCTION("""COMPUTED_VALUE"""),"GISORT0006")</f>
        <v>GISORT0006</v>
      </c>
      <c r="BM11" s="6"/>
      <c r="BN11" s="6"/>
      <c r="BO11" s="6"/>
      <c r="BP11" s="6"/>
      <c r="BQ11" s="6"/>
      <c r="BR11" s="6"/>
      <c r="BS11" s="6"/>
      <c r="BT11" s="6"/>
      <c r="BU11" s="6" t="str">
        <f>IFERROR(__xludf.DUMMYFUNCTION("""COMPUTED_VALUE"""),"SI")</f>
        <v>SI</v>
      </c>
      <c r="BV11" s="6" t="str">
        <f>IFERROR(__xludf.DUMMYFUNCTION("""COMPUTED_VALUE"""),"leah.o2042")</f>
        <v>leah.o2042</v>
      </c>
      <c r="BW11" s="6"/>
      <c r="BX11" s="6"/>
      <c r="BY11" s="6"/>
      <c r="BZ11" s="6"/>
    </row>
    <row r="12">
      <c r="A12" s="12" t="str">
        <f>IFERROR(__xludf.DUMMYFUNCTION("""COMPUTED_VALUE"""),"1091211523")</f>
        <v>1091211523</v>
      </c>
      <c r="B12" s="6">
        <f>IFERROR(__xludf.DUMMYFUNCTION("""COMPUTED_VALUE"""),11.0)</f>
        <v>11</v>
      </c>
      <c r="C12" s="6" t="str">
        <f>IFERROR(__xludf.DUMMYFUNCTION("""COMPUTED_VALUE"""),"Milagros")</f>
        <v>Milagros</v>
      </c>
      <c r="D12" s="6"/>
      <c r="E12" s="6" t="str">
        <f>IFERROR(__xludf.DUMMYFUNCTION("""COMPUTED_VALUE"""),"Suárez Merchán")</f>
        <v>Suárez Merchán</v>
      </c>
      <c r="F12" s="6" t="str">
        <f>IFERROR(__xludf.DUMMYFUNCTION("""COMPUTED_VALUE"""),"Barrio Rojas Pinilla 2 etapa - Barrio Rojas Pinilla 2 etapa")</f>
        <v>Barrio Rojas Pinilla 2 etapa - Barrio Rojas Pinilla 2 etapa</v>
      </c>
      <c r="G12" s="12">
        <f>IFERROR(__xludf.DUMMYFUNCTION("""COMPUTED_VALUE"""),2023.0)</f>
        <v>2023</v>
      </c>
      <c r="H12" s="12" t="str">
        <f>IFERROR(__xludf.DUMMYFUNCTION("""COMPUTED_VALUE"""),"Diciembre")</f>
        <v>Diciembre</v>
      </c>
      <c r="I12" s="12">
        <f>IFERROR(__xludf.DUMMYFUNCTION("""COMPUTED_VALUE"""),21.0)</f>
        <v>21</v>
      </c>
      <c r="J12" s="6"/>
      <c r="K12" s="12" t="str">
        <f>IFERROR(__xludf.DUMMYFUNCTION("""COMPUTED_VALUE"""),"milagros.sm2042@gi.edu.co")</f>
        <v>milagros.sm2042@gi.edu.co</v>
      </c>
      <c r="L12" s="6" t="str">
        <f>IFERROR(__xludf.DUMMYFUNCTION("""COMPUTED_VALUE"""),"RC")</f>
        <v>RC</v>
      </c>
      <c r="M12" s="6" t="str">
        <f>IFERROR(__xludf.DUMMYFUNCTION("""COMPUTED_VALUE"""),"Armenia")</f>
        <v>Armenia</v>
      </c>
      <c r="N12" s="6" t="str">
        <f>IFERROR(__xludf.DUMMYFUNCTION("""COMPUTED_VALUE"""),"F")</f>
        <v>F</v>
      </c>
      <c r="O12" s="6" t="str">
        <f>IFERROR(__xludf.DUMMYFUNCTION("""COMPUTED_VALUE"""),"ACTIVE")</f>
        <v>ACTIVE</v>
      </c>
      <c r="P12" s="6"/>
      <c r="Q12" s="6"/>
      <c r="R12" s="12" t="str">
        <f>IFERROR(__xludf.DUMMYFUNCTION("""COMPUTED_VALUE"""),"GiQ5Xh8N*")</f>
        <v>GiQ5Xh8N*</v>
      </c>
      <c r="S12" s="6" t="str">
        <f>IFERROR(__xludf.DUMMYFUNCTION("""COMPUTED_VALUE"""),"Suárez Merchán Milagros ")</f>
        <v>Suárez Merchán Milagros </v>
      </c>
      <c r="T12" s="6" t="str">
        <f>IFERROR(__xludf.DUMMYFUNCTION("""COMPUTED_VALUE"""),"DIANA ALEJANDRA MERCHAN VILLEGAS")</f>
        <v>DIANA ALEJANDRA MERCHAN VILLEGAS</v>
      </c>
      <c r="U12" s="12" t="str">
        <f>IFERROR(__xludf.DUMMYFUNCTION("""COMPUTED_VALUE"""),"1094892527")</f>
        <v>1094892527</v>
      </c>
      <c r="V12" s="6">
        <f>IFERROR(__xludf.DUMMYFUNCTION("""COMPUTED_VALUE"""),3.103725925E9)</f>
        <v>3103725925</v>
      </c>
      <c r="W12" s="6" t="str">
        <f>IFERROR(__xludf.DUMMYFUNCTION("""COMPUTED_VALUE"""),"dianmerchis@hotmail.com")</f>
        <v>dianmerchis@hotmail.com</v>
      </c>
      <c r="X12" s="12" t="str">
        <f>IFERROR(__xludf.DUMMYFUNCTION("""COMPUTED_VALUE"""),"O+")</f>
        <v>O+</v>
      </c>
      <c r="Y12" s="12" t="str">
        <f>IFERROR(__xludf.DUMMYFUNCTION("""COMPUTED_VALUE"""),"PV")</f>
        <v>PV</v>
      </c>
      <c r="Z12" s="6">
        <f>IFERROR(__xludf.DUMMYFUNCTION("""COMPUTED_VALUE"""),120625.0)</f>
        <v>120625</v>
      </c>
      <c r="AA12" s="6" t="str">
        <f>IFERROR(__xludf.DUMMYFUNCTION("""COMPUTED_VALUE"""),"SANITAS")</f>
        <v>SANITAS</v>
      </c>
      <c r="AB12" s="6"/>
      <c r="AC12" s="6"/>
      <c r="AD12" s="12" t="str">
        <f>IFERROR(__xludf.DUMMYFUNCTION("""COMPUTED_VALUE"""),"PVA")</f>
        <v>PVA</v>
      </c>
      <c r="AE12" s="12" t="str">
        <f>IFERROR(__xludf.DUMMYFUNCTION("""COMPUTED_VALUE"""),"1345282621")</f>
        <v>1345282621</v>
      </c>
      <c r="AF12" s="12" t="str">
        <f>IFERROR(__xludf.DUMMYFUNCTION("""COMPUTED_VALUE"""),"1345282621")</f>
        <v>1345282621</v>
      </c>
      <c r="AG12" s="12" t="str">
        <f>IFERROR(__xludf.DUMMYFUNCTION("""COMPUTED_VALUE"""),"Diana")</f>
        <v>Diana</v>
      </c>
      <c r="AH12" s="12" t="str">
        <f>IFERROR(__xludf.DUMMYFUNCTION("""COMPUTED_VALUE"""),"Alejandra")</f>
        <v>Alejandra</v>
      </c>
      <c r="AI12" s="6" t="str">
        <f>IFERROR(__xludf.DUMMYFUNCTION("""COMPUTED_VALUE"""),"Merchán Villegas")</f>
        <v>Merchán Villegas</v>
      </c>
      <c r="AJ12" s="6" t="str">
        <f>IFERROR(__xludf.DUMMYFUNCTION("""COMPUTED_VALUE"""),"dianmerchis@hotmail.com")</f>
        <v>dianmerchis@hotmail.com</v>
      </c>
      <c r="AK12" s="6" t="str">
        <f>IFERROR(__xludf.DUMMYFUNCTION("""COMPUTED_VALUE"""),"Licenciada en pedagogía infantil y magister en educación especial")</f>
        <v>Licenciada en pedagogía infantil y magister en educación especial</v>
      </c>
      <c r="AL12" s="6"/>
      <c r="AM12" s="12" t="str">
        <f>IFERROR(__xludf.DUMMYFUNCTION("""COMPUTED_VALUE"""),"1094892527")</f>
        <v>1094892527</v>
      </c>
      <c r="AN12" s="12" t="str">
        <f>IFERROR(__xludf.DUMMYFUNCTION("""COMPUTED_VALUE"""),"3103725925")</f>
        <v>3103725925</v>
      </c>
      <c r="AO12" s="6" t="str">
        <f>IFERROR(__xludf.DUMMYFUNCTION("""COMPUTED_VALUE"""),"Madre")</f>
        <v>Madre</v>
      </c>
      <c r="AP12" s="6" t="str">
        <f>IFERROR(__xludf.DUMMYFUNCTION("""COMPUTED_VALUE"""),"Estudiante(s): Suárez Merchán")</f>
        <v>Estudiante(s): Suárez Merchán</v>
      </c>
      <c r="AQ12" s="6" t="str">
        <f>IFERROR(__xludf.DUMMYFUNCTION("""COMPUTED_VALUE"""),"120625*Gi")</f>
        <v>120625*Gi</v>
      </c>
      <c r="AR12" s="6"/>
      <c r="AS12" s="6"/>
      <c r="AT12" s="6"/>
      <c r="AU12" s="6"/>
      <c r="AV12" s="6"/>
      <c r="AW12" s="6"/>
      <c r="AX12" s="6"/>
      <c r="AY12" s="6"/>
      <c r="AZ12" s="6" t="str">
        <f>IFERROR(__xludf.DUMMYFUNCTION("""COMPUTED_VALUE"""),"Padre")</f>
        <v>Padre</v>
      </c>
      <c r="BA12" s="6"/>
      <c r="BB12" s="6"/>
      <c r="BC12" s="6"/>
      <c r="BD12" s="12" t="str">
        <f>IFERROR(__xludf.DUMMYFUNCTION("""COMPUTED_VALUE"""),"sua0005")</f>
        <v>sua0005</v>
      </c>
      <c r="BE12" s="6" t="str">
        <f>IFERROR(__xludf.DUMMYFUNCTION("""COMPUTED_VALUE"""),"NUEVO(A)")</f>
        <v>NUEVO(A)</v>
      </c>
      <c r="BF12" s="6"/>
      <c r="BG12" s="6">
        <f>IFERROR(__xludf.DUMMYFUNCTION("""COMPUTED_VALUE"""),2042.0)</f>
        <v>2042</v>
      </c>
      <c r="BH12" s="15">
        <f>IFERROR(__xludf.DUMMYFUNCTION("""COMPUTED_VALUE"""),46189.49466435185)</f>
        <v>46189.49466</v>
      </c>
      <c r="BI12" s="6">
        <f>IFERROR(__xludf.DUMMYFUNCTION("""COMPUTED_VALUE"""),11.0)</f>
        <v>11</v>
      </c>
      <c r="BJ12" s="6"/>
      <c r="BK12" s="6"/>
      <c r="BL12" s="6" t="str">
        <f>IFERROR(__xludf.DUMMYFUNCTION("""COMPUTED_VALUE"""),"GISSUA0005")</f>
        <v>GISSUA0005</v>
      </c>
      <c r="BM12" s="6"/>
      <c r="BN12" s="6"/>
      <c r="BO12" s="6"/>
      <c r="BP12" s="6"/>
      <c r="BQ12" s="6"/>
      <c r="BR12" s="6"/>
      <c r="BS12" s="6"/>
      <c r="BT12" s="6"/>
      <c r="BU12" s="6" t="str">
        <f>IFERROR(__xludf.DUMMYFUNCTION("""COMPUTED_VALUE"""),"SI")</f>
        <v>SI</v>
      </c>
      <c r="BV12" s="12" t="str">
        <f>IFERROR(__xludf.DUMMYFUNCTION("""COMPUTED_VALUE"""),"milagros.sm2042")</f>
        <v>milagros.sm2042</v>
      </c>
      <c r="BW12" s="6"/>
      <c r="BX12" s="6"/>
      <c r="BY12" s="6"/>
      <c r="BZ12" s="6"/>
    </row>
    <row r="13">
      <c r="A13" s="12" t="str">
        <f>IFERROR(__xludf.DUMMYFUNCTION("""COMPUTED_VALUE"""),"1095212483")</f>
        <v>1095212483</v>
      </c>
      <c r="B13" s="6">
        <f>IFERROR(__xludf.DUMMYFUNCTION("""COMPUTED_VALUE"""),12.0)</f>
        <v>12</v>
      </c>
      <c r="C13" s="6" t="str">
        <f>IFERROR(__xludf.DUMMYFUNCTION("""COMPUTED_VALUE"""),"Rio")</f>
        <v>Rio</v>
      </c>
      <c r="D13" s="6"/>
      <c r="E13" s="6" t="str">
        <f>IFERROR(__xludf.DUMMYFUNCTION("""COMPUTED_VALUE"""),"Tobón Alzate")</f>
        <v>Tobón Alzate</v>
      </c>
      <c r="F13" s="6" t="str">
        <f>IFERROR(__xludf.DUMMYFUNCTION("""COMPUTED_VALUE"""),"Km 10 Vía Armenia La Tebaida - Entrada Restaurante Rancho Edén")</f>
        <v>Km 10 Vía Armenia La Tebaida - Entrada Restaurante Rancho Edén</v>
      </c>
      <c r="G13" s="12" t="str">
        <f>IFERROR(__xludf.DUMMYFUNCTION("""COMPUTED_VALUE"""),"2024")</f>
        <v>2024</v>
      </c>
      <c r="H13" s="12" t="str">
        <f>IFERROR(__xludf.DUMMYFUNCTION("""COMPUTED_VALUE"""),"Junio")</f>
        <v>Junio</v>
      </c>
      <c r="I13" s="12" t="str">
        <f>IFERROR(__xludf.DUMMYFUNCTION("""COMPUTED_VALUE"""),"19")</f>
        <v>19</v>
      </c>
      <c r="J13" s="6" t="str">
        <f>IFERROR(__xludf.DUMMYFUNCTION("""COMPUTED_VALUE"""),"Armenia")</f>
        <v>Armenia</v>
      </c>
      <c r="K13" s="12" t="str">
        <f>IFERROR(__xludf.DUMMYFUNCTION("""COMPUTED_VALUE"""),"rio.t2042@gi.edu.co")</f>
        <v>rio.t2042@gi.edu.co</v>
      </c>
      <c r="L13" s="6" t="str">
        <f>IFERROR(__xludf.DUMMYFUNCTION("""COMPUTED_VALUE"""),"RC")</f>
        <v>RC</v>
      </c>
      <c r="M13" s="6" t="str">
        <f>IFERROR(__xludf.DUMMYFUNCTION("""COMPUTED_VALUE"""),"Armenia")</f>
        <v>Armenia</v>
      </c>
      <c r="N13" s="6" t="str">
        <f>IFERROR(__xludf.DUMMYFUNCTION("""COMPUTED_VALUE"""),"M")</f>
        <v>M</v>
      </c>
      <c r="O13" s="6" t="str">
        <f>IFERROR(__xludf.DUMMYFUNCTION("""COMPUTED_VALUE"""),"ACTIVE")</f>
        <v>ACTIVE</v>
      </c>
      <c r="P13" s="6" t="str">
        <f>IFERROR(__xludf.DUMMYFUNCTION("""COMPUTED_VALUE"""),"2°Hermano")</f>
        <v>2°Hermano</v>
      </c>
      <c r="Q13" s="6" t="str">
        <f>IFERROR(__xludf.DUMMYFUNCTION("""COMPUTED_VALUE"""),"Armenia")</f>
        <v>Armenia</v>
      </c>
      <c r="R13" s="12" t="str">
        <f>IFERROR(__xludf.DUMMYFUNCTION("""COMPUTED_VALUE"""),"Giawn95x*")</f>
        <v>Giawn95x*</v>
      </c>
      <c r="S13" s="6" t="str">
        <f>IFERROR(__xludf.DUMMYFUNCTION("""COMPUTED_VALUE"""),"Tobón Alzate Rio ")</f>
        <v>Tobón Alzate Rio </v>
      </c>
      <c r="T13" s="6" t="str">
        <f>IFERROR(__xludf.DUMMYFUNCTION("""COMPUTED_VALUE"""),"DANIEL TOBON FAJARDO")</f>
        <v>DANIEL TOBON FAJARDO</v>
      </c>
      <c r="U13" s="12" t="str">
        <f>IFERROR(__xludf.DUMMYFUNCTION("""COMPUTED_VALUE"""),"1094897587")</f>
        <v>1094897587</v>
      </c>
      <c r="V13" s="6">
        <f>IFERROR(__xludf.DUMMYFUNCTION("""COMPUTED_VALUE"""),3.187079596E9)</f>
        <v>3187079596</v>
      </c>
      <c r="W13" s="6" t="str">
        <f>IFERROR(__xludf.DUMMYFUNCTION("""COMPUTED_VALUE"""),"tobon11@gmail.com")</f>
        <v>tobon11@gmail.com</v>
      </c>
      <c r="X13" s="12" t="str">
        <f>IFERROR(__xludf.DUMMYFUNCTION("""COMPUTED_VALUE"""),"O+")</f>
        <v>O+</v>
      </c>
      <c r="Y13" s="12" t="str">
        <f>IFERROR(__xludf.DUMMYFUNCTION("""COMPUTED_VALUE"""),"PV")</f>
        <v>PV</v>
      </c>
      <c r="Z13" s="6">
        <f>IFERROR(__xludf.DUMMYFUNCTION("""COMPUTED_VALUE"""),120639.0)</f>
        <v>120639</v>
      </c>
      <c r="AA13" s="6"/>
      <c r="AB13" s="6"/>
      <c r="AC13" s="6"/>
      <c r="AD13" s="12" t="str">
        <f>IFERROR(__xludf.DUMMYFUNCTION("""COMPUTED_VALUE"""),"PVA")</f>
        <v>PVA</v>
      </c>
      <c r="AE13" s="12" t="str">
        <f>IFERROR(__xludf.DUMMYFUNCTION("""COMPUTED_VALUE"""),"1345282633")</f>
        <v>1345282633</v>
      </c>
      <c r="AF13" s="12" t="str">
        <f>IFERROR(__xludf.DUMMYFUNCTION("""COMPUTED_VALUE"""),"1345282633")</f>
        <v>1345282633</v>
      </c>
      <c r="AG13" s="12" t="str">
        <f>IFERROR(__xludf.DUMMYFUNCTION("""COMPUTED_VALUE"""),"Susana")</f>
        <v>Susana</v>
      </c>
      <c r="AH13" s="12" t="str">
        <f>IFERROR(__xludf.DUMMYFUNCTION("""COMPUTED_VALUE"""),"Andrea")</f>
        <v>Andrea</v>
      </c>
      <c r="AI13" s="6" t="str">
        <f>IFERROR(__xludf.DUMMYFUNCTION("""COMPUTED_VALUE"""),"Alzate Ramos")</f>
        <v>Alzate Ramos</v>
      </c>
      <c r="AJ13" s="6" t="str">
        <f>IFERROR(__xludf.DUMMYFUNCTION("""COMPUTED_VALUE"""),"susalzate@hotmail.com")</f>
        <v>susalzate@hotmail.com</v>
      </c>
      <c r="AK13" s="6" t="str">
        <f>IFERROR(__xludf.DUMMYFUNCTION("""COMPUTED_VALUE"""),"Médico Estético ")</f>
        <v>Médico Estético </v>
      </c>
      <c r="AL13" s="6" t="str">
        <f>IFERROR(__xludf.DUMMYFUNCTION("""COMPUTED_VALUE"""),"ANTI Medicina Estética ")</f>
        <v>ANTI Medicina Estética </v>
      </c>
      <c r="AM13" s="12" t="str">
        <f>IFERROR(__xludf.DUMMYFUNCTION("""COMPUTED_VALUE"""),"1094912248")</f>
        <v>1094912248</v>
      </c>
      <c r="AN13" s="12" t="str">
        <f>IFERROR(__xludf.DUMMYFUNCTION("""COMPUTED_VALUE"""),"3155358513")</f>
        <v>3155358513</v>
      </c>
      <c r="AO13" s="6" t="str">
        <f>IFERROR(__xludf.DUMMYFUNCTION("""COMPUTED_VALUE"""),"Madre")</f>
        <v>Madre</v>
      </c>
      <c r="AP13" s="6" t="str">
        <f>IFERROR(__xludf.DUMMYFUNCTION("""COMPUTED_VALUE"""),"Estudiante(s): Tobón Alzate")</f>
        <v>Estudiante(s): Tobón Alzate</v>
      </c>
      <c r="AQ13" s="6" t="str">
        <f>IFERROR(__xludf.DUMMYFUNCTION("""COMPUTED_VALUE"""),"120545*Gi")</f>
        <v>120545*Gi</v>
      </c>
      <c r="AR13" s="6" t="str">
        <f>IFERROR(__xludf.DUMMYFUNCTION("""COMPUTED_VALUE"""),"Daniel")</f>
        <v>Daniel</v>
      </c>
      <c r="AS13" s="6"/>
      <c r="AT13" s="6" t="str">
        <f>IFERROR(__xludf.DUMMYFUNCTION("""COMPUTED_VALUE"""),"Tobón Fajardo")</f>
        <v>Tobón Fajardo</v>
      </c>
      <c r="AU13" s="6" t="str">
        <f>IFERROR(__xludf.DUMMYFUNCTION("""COMPUTED_VALUE"""),"tobon11@gmail.com")</f>
        <v>tobon11@gmail.com</v>
      </c>
      <c r="AV13" s="6" t="str">
        <f>IFERROR(__xludf.DUMMYFUNCTION("""COMPUTED_VALUE"""),"Administrador de Empresas")</f>
        <v>Administrador de Empresas</v>
      </c>
      <c r="AW13" s="6" t="str">
        <f>IFERROR(__xludf.DUMMYFUNCTION("""COMPUTED_VALUE"""),"BIANCO")</f>
        <v>BIANCO</v>
      </c>
      <c r="AX13" s="12" t="str">
        <f>IFERROR(__xludf.DUMMYFUNCTION("""COMPUTED_VALUE"""),"1094897587")</f>
        <v>1094897587</v>
      </c>
      <c r="AY13" s="12" t="str">
        <f>IFERROR(__xludf.DUMMYFUNCTION("""COMPUTED_VALUE"""),"3187079596")</f>
        <v>3187079596</v>
      </c>
      <c r="AZ13" s="6" t="str">
        <f>IFERROR(__xludf.DUMMYFUNCTION("""COMPUTED_VALUE"""),"Padre")</f>
        <v>Padre</v>
      </c>
      <c r="BA13" s="6"/>
      <c r="BB13" s="6"/>
      <c r="BC13" s="6"/>
      <c r="BD13" s="12" t="str">
        <f>IFERROR(__xludf.DUMMYFUNCTION("""COMPUTED_VALUE"""),"tob0007")</f>
        <v>tob0007</v>
      </c>
      <c r="BE13" s="6" t="str">
        <f>IFERROR(__xludf.DUMMYFUNCTION("""COMPUTED_VALUE"""),"NUEVO(A)")</f>
        <v>NUEVO(A)</v>
      </c>
      <c r="BF13" s="6"/>
      <c r="BG13" s="6">
        <f>IFERROR(__xludf.DUMMYFUNCTION("""COMPUTED_VALUE"""),2042.0)</f>
        <v>2042</v>
      </c>
      <c r="BH13" s="15">
        <f>IFERROR(__xludf.DUMMYFUNCTION("""COMPUTED_VALUE"""),46251.636782407404)</f>
        <v>46251.63678</v>
      </c>
      <c r="BI13" s="6">
        <f>IFERROR(__xludf.DUMMYFUNCTION("""COMPUTED_VALUE"""),12.0)</f>
        <v>12</v>
      </c>
      <c r="BJ13" s="6"/>
      <c r="BK13" s="6"/>
      <c r="BL13" s="6" t="str">
        <f>IFERROR(__xludf.DUMMYFUNCTION("""COMPUTED_VALUE"""),"GISTOB0007")</f>
        <v>GISTOB0007</v>
      </c>
      <c r="BM13" s="6"/>
      <c r="BN13" s="6"/>
      <c r="BO13" s="6"/>
      <c r="BP13" s="6"/>
      <c r="BQ13" s="6"/>
      <c r="BR13" s="6"/>
      <c r="BS13" s="6"/>
      <c r="BT13" s="6"/>
      <c r="BU13" s="6" t="str">
        <f>IFERROR(__xludf.DUMMYFUNCTION("""COMPUTED_VALUE"""),"SI")</f>
        <v>SI</v>
      </c>
      <c r="BV13" s="12" t="str">
        <f>IFERROR(__xludf.DUMMYFUNCTION("""COMPUTED_VALUE"""),"rio.t2042")</f>
        <v>rio.t2042</v>
      </c>
      <c r="BW13" s="6"/>
      <c r="BX13" s="6"/>
      <c r="BY13" s="6"/>
      <c r="B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 t="str">
        <f>IFERROR(__xludf.DUMMYFUNCTION("""COMPUTED_VALUE"""),"Madre")</f>
        <v>Madre</v>
      </c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 t="str">
        <f>IFERROR(__xludf.DUMMYFUNCTION("""COMPUTED_VALUE"""),"Padre")</f>
        <v>Padre</v>
      </c>
      <c r="BA14" s="6"/>
      <c r="BB14" s="6"/>
      <c r="BC14" s="6"/>
      <c r="BD14" s="6"/>
      <c r="BE14" s="6"/>
      <c r="BF14" s="6"/>
      <c r="BG14" s="6"/>
      <c r="BH14" s="6"/>
      <c r="BI14" s="6">
        <f>IFERROR(__xludf.DUMMYFUNCTION("""COMPUTED_VALUE"""),13.0)</f>
        <v>13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</row>
    <row r="15">
      <c r="A15" s="12">
        <f>IFERROR(__xludf.DUMMYFUNCTION("""COMPUTED_VALUE"""),1.220478092E9)</f>
        <v>1220478092</v>
      </c>
      <c r="B15" s="6">
        <f>IFERROR(__xludf.DUMMYFUNCTION("""COMPUTED_VALUE"""),1.0)</f>
        <v>1</v>
      </c>
      <c r="C15" s="6" t="str">
        <f>IFERROR(__xludf.DUMMYFUNCTION("""COMPUTED_VALUE"""),"Mariana")</f>
        <v>Mariana</v>
      </c>
      <c r="D15" s="6"/>
      <c r="E15" s="6" t="str">
        <f>IFERROR(__xludf.DUMMYFUNCTION("""COMPUTED_VALUE"""),"Aguilar Sánchez")</f>
        <v>Aguilar Sánchez</v>
      </c>
      <c r="F15" s="6" t="str">
        <f>IFERROR(__xludf.DUMMYFUNCTION("""COMPUTED_VALUE"""),"Cra 10 No11Nte-05 Ap 1302 Edificio Terra - La Castellana - La Castellana")</f>
        <v>Cra 10 No11Nte-05 Ap 1302 Edificio Terra - La Castellana - La Castellana</v>
      </c>
      <c r="G15" s="12">
        <f>IFERROR(__xludf.DUMMYFUNCTION("""COMPUTED_VALUE"""),2024.0)</f>
        <v>2024</v>
      </c>
      <c r="H15" s="12" t="str">
        <f>IFERROR(__xludf.DUMMYFUNCTION("""COMPUTED_VALUE"""),"Julio")</f>
        <v>Julio</v>
      </c>
      <c r="I15" s="12">
        <f>IFERROR(__xludf.DUMMYFUNCTION("""COMPUTED_VALUE"""),30.0)</f>
        <v>30</v>
      </c>
      <c r="J15" s="6"/>
      <c r="K15" s="12" t="str">
        <f>IFERROR(__xludf.DUMMYFUNCTION("""COMPUTED_VALUE"""),"mariana.as2042@gi.edu.co")</f>
        <v>mariana.as2042@gi.edu.co</v>
      </c>
      <c r="L15" s="6" t="str">
        <f>IFERROR(__xludf.DUMMYFUNCTION("""COMPUTED_VALUE"""),"RC")</f>
        <v>RC</v>
      </c>
      <c r="M15" s="6" t="str">
        <f>IFERROR(__xludf.DUMMYFUNCTION("""COMPUTED_VALUE"""),"Miami")</f>
        <v>Miami</v>
      </c>
      <c r="N15" s="6" t="str">
        <f>IFERROR(__xludf.DUMMYFUNCTION("""COMPUTED_VALUE"""),"F")</f>
        <v>F</v>
      </c>
      <c r="O15" s="6" t="str">
        <f>IFERROR(__xludf.DUMMYFUNCTION("""COMPUTED_VALUE"""),"ACTIVE")</f>
        <v>ACTIVE</v>
      </c>
      <c r="P15" s="6"/>
      <c r="Q15" s="6"/>
      <c r="R15" s="12" t="str">
        <f>IFERROR(__xludf.DUMMYFUNCTION("""COMPUTED_VALUE"""),"GiH3Nq5X*")</f>
        <v>GiH3Nq5X*</v>
      </c>
      <c r="S15" s="6" t="str">
        <f>IFERROR(__xludf.DUMMYFUNCTION("""COMPUTED_VALUE"""),"Aguilar Sánchez Mariana ")</f>
        <v>Aguilar Sánchez Mariana </v>
      </c>
      <c r="T15" s="6" t="str">
        <f>IFERROR(__xludf.DUMMYFUNCTION("""COMPUTED_VALUE"""),"PROGRAMA CIRUBAR S.A.S.")</f>
        <v>PROGRAMA CIRUBAR S.A.S.</v>
      </c>
      <c r="U15" s="12" t="str">
        <f>IFERROR(__xludf.DUMMYFUNCTION("""COMPUTED_VALUE"""),"901781234-5")</f>
        <v>901781234-5</v>
      </c>
      <c r="V15" s="6">
        <f>IFERROR(__xludf.DUMMYFUNCTION("""COMPUTED_VALUE"""),3.107779333E9)</f>
        <v>3107779333</v>
      </c>
      <c r="W15" s="6" t="str">
        <f>IFERROR(__xludf.DUMMYFUNCTION("""COMPUTED_VALUE"""),"juan.aguilar@cirubar.com")</f>
        <v>juan.aguilar@cirubar.com</v>
      </c>
      <c r="X15" s="12" t="str">
        <f>IFERROR(__xludf.DUMMYFUNCTION("""COMPUTED_VALUE"""),"O+")</f>
        <v>O+</v>
      </c>
      <c r="Y15" s="12" t="str">
        <f>IFERROR(__xludf.DUMMYFUNCTION("""COMPUTED_VALUE"""),"PV")</f>
        <v>PV</v>
      </c>
      <c r="Z15" s="6">
        <f>IFERROR(__xludf.DUMMYFUNCTION("""COMPUTED_VALUE"""),120595.0)</f>
        <v>120595</v>
      </c>
      <c r="AA15" s="6" t="str">
        <f>IFERROR(__xludf.DUMMYFUNCTION("""COMPUTED_VALUE"""),"COLMEDICA")</f>
        <v>COLMEDICA</v>
      </c>
      <c r="AB15" s="6"/>
      <c r="AC15" s="6"/>
      <c r="AD15" s="12" t="str">
        <f>IFERROR(__xludf.DUMMYFUNCTION("""COMPUTED_VALUE"""),"PVB")</f>
        <v>PVB</v>
      </c>
      <c r="AE15" s="12" t="str">
        <f>IFERROR(__xludf.DUMMYFUNCTION("""COMPUTED_VALUE"""),"1345282592")</f>
        <v>1345282592</v>
      </c>
      <c r="AF15" s="12" t="str">
        <f>IFERROR(__xludf.DUMMYFUNCTION("""COMPUTED_VALUE"""),"1345282592")</f>
        <v>1345282592</v>
      </c>
      <c r="AG15" s="12" t="str">
        <f>IFERROR(__xludf.DUMMYFUNCTION("""COMPUTED_VALUE"""),"Diana")</f>
        <v>Diana</v>
      </c>
      <c r="AH15" s="12" t="str">
        <f>IFERROR(__xludf.DUMMYFUNCTION("""COMPUTED_VALUE"""),"Carolina")</f>
        <v>Carolina</v>
      </c>
      <c r="AI15" s="6" t="str">
        <f>IFERROR(__xludf.DUMMYFUNCTION("""COMPUTED_VALUE"""),"Sánchez Cárdenas")</f>
        <v>Sánchez Cárdenas</v>
      </c>
      <c r="AJ15" s="6" t="str">
        <f>IFERROR(__xludf.DUMMYFUNCTION("""COMPUTED_VALUE"""),"carolinasanchez@cirubar.com")</f>
        <v>carolinasanchez@cirubar.com</v>
      </c>
      <c r="AK15" s="6" t="str">
        <f>IFERROR(__xludf.DUMMYFUNCTION("""COMPUTED_VALUE"""),"Radiologa Intervencionista")</f>
        <v>Radiologa Intervencionista</v>
      </c>
      <c r="AL15" s="6" t="str">
        <f>IFERROR(__xludf.DUMMYFUNCTION("""COMPUTED_VALUE"""),"Programa Cirubar")</f>
        <v>Programa Cirubar</v>
      </c>
      <c r="AM15" s="12" t="str">
        <f>IFERROR(__xludf.DUMMYFUNCTION("""COMPUTED_VALUE"""),"1018416272")</f>
        <v>1018416272</v>
      </c>
      <c r="AN15" s="12" t="str">
        <f>IFERROR(__xludf.DUMMYFUNCTION("""COMPUTED_VALUE"""),"3218907353")</f>
        <v>3218907353</v>
      </c>
      <c r="AO15" s="6" t="str">
        <f>IFERROR(__xludf.DUMMYFUNCTION("""COMPUTED_VALUE"""),"Madre")</f>
        <v>Madre</v>
      </c>
      <c r="AP15" s="6" t="str">
        <f>IFERROR(__xludf.DUMMYFUNCTION("""COMPUTED_VALUE"""),"Estudiante(s): Aguilar Sánchez")</f>
        <v>Estudiante(s): Aguilar Sánchez</v>
      </c>
      <c r="AQ15" s="6" t="str">
        <f>IFERROR(__xludf.DUMMYFUNCTION("""COMPUTED_VALUE"""),"120595*Gi")</f>
        <v>120595*Gi</v>
      </c>
      <c r="AR15" s="6" t="str">
        <f>IFERROR(__xludf.DUMMYFUNCTION("""COMPUTED_VALUE"""),"Juan")</f>
        <v>Juan</v>
      </c>
      <c r="AS15" s="6" t="str">
        <f>IFERROR(__xludf.DUMMYFUNCTION("""COMPUTED_VALUE"""),"Carlos")</f>
        <v>Carlos</v>
      </c>
      <c r="AT15" s="6" t="str">
        <f>IFERROR(__xludf.DUMMYFUNCTION("""COMPUTED_VALUE"""),"Aguilar Aguilar")</f>
        <v>Aguilar Aguilar</v>
      </c>
      <c r="AU15" s="6" t="str">
        <f>IFERROR(__xludf.DUMMYFUNCTION("""COMPUTED_VALUE"""),"juan.aguilar@cirubar.com")</f>
        <v>juan.aguilar@cirubar.com</v>
      </c>
      <c r="AV15" s="6" t="str">
        <f>IFERROR(__xludf.DUMMYFUNCTION("""COMPUTED_VALUE"""),"Cirujano Bariatrico")</f>
        <v>Cirujano Bariatrico</v>
      </c>
      <c r="AW15" s="6"/>
      <c r="AX15" s="12" t="str">
        <f>IFERROR(__xludf.DUMMYFUNCTION("""COMPUTED_VALUE"""),"80223920")</f>
        <v>80223920</v>
      </c>
      <c r="AY15" s="12" t="str">
        <f>IFERROR(__xludf.DUMMYFUNCTION("""COMPUTED_VALUE"""),"3107779333")</f>
        <v>3107779333</v>
      </c>
      <c r="AZ15" s="6" t="str">
        <f>IFERROR(__xludf.DUMMYFUNCTION("""COMPUTED_VALUE"""),"Padre")</f>
        <v>Padre</v>
      </c>
      <c r="BA15" s="6"/>
      <c r="BB15" s="6"/>
      <c r="BC15" s="6"/>
      <c r="BD15" s="12" t="str">
        <f>IFERROR(__xludf.DUMMYFUNCTION("""COMPUTED_VALUE"""),"agu0013")</f>
        <v>agu0013</v>
      </c>
      <c r="BE15" s="6" t="str">
        <f>IFERROR(__xludf.DUMMYFUNCTION("""COMPUTED_VALUE"""),"NUEVO(A)")</f>
        <v>NUEVO(A)</v>
      </c>
      <c r="BF15" s="6"/>
      <c r="BG15" s="6">
        <f>IFERROR(__xludf.DUMMYFUNCTION("""COMPUTED_VALUE"""),2042.0)</f>
        <v>2042</v>
      </c>
      <c r="BH15" s="15">
        <f>IFERROR(__xludf.DUMMYFUNCTION("""COMPUTED_VALUE"""),46191.43325231481)</f>
        <v>46191.43325</v>
      </c>
      <c r="BI15" s="6">
        <f>IFERROR(__xludf.DUMMYFUNCTION("""COMPUTED_VALUE"""),14.0)</f>
        <v>14</v>
      </c>
      <c r="BJ15" s="6"/>
      <c r="BK15" s="6"/>
      <c r="BL15" s="6" t="str">
        <f>IFERROR(__xludf.DUMMYFUNCTION("""COMPUTED_VALUE"""),"GISAGU0013")</f>
        <v>GISAGU0013</v>
      </c>
      <c r="BM15" s="6"/>
      <c r="BN15" s="6"/>
      <c r="BO15" s="6"/>
      <c r="BP15" s="6"/>
      <c r="BQ15" s="6"/>
      <c r="BR15" s="6"/>
      <c r="BS15" s="6"/>
      <c r="BT15" s="6"/>
      <c r="BU15" s="6" t="str">
        <f>IFERROR(__xludf.DUMMYFUNCTION("""COMPUTED_VALUE"""),"SI")</f>
        <v>SI</v>
      </c>
      <c r="BV15" s="12" t="str">
        <f>IFERROR(__xludf.DUMMYFUNCTION("""COMPUTED_VALUE"""),"mariana.as2042")</f>
        <v>mariana.as2042</v>
      </c>
      <c r="BW15" s="6"/>
      <c r="BX15" s="6"/>
      <c r="BY15" s="6"/>
      <c r="BZ15" s="6"/>
    </row>
    <row r="16">
      <c r="A16" s="12">
        <f>IFERROR(__xludf.DUMMYFUNCTION("""COMPUTED_VALUE"""),1.091890447E9)</f>
        <v>1091890447</v>
      </c>
      <c r="B16" s="6">
        <f>IFERROR(__xludf.DUMMYFUNCTION("""COMPUTED_VALUE"""),2.0)</f>
        <v>2</v>
      </c>
      <c r="C16" s="6" t="str">
        <f>IFERROR(__xludf.DUMMYFUNCTION("""COMPUTED_VALUE"""),"Martina")</f>
        <v>Martina</v>
      </c>
      <c r="D16" s="6"/>
      <c r="E16" s="6" t="str">
        <f>IFERROR(__xludf.DUMMYFUNCTION("""COMPUTED_VALUE"""),"Beltrán Bravo")</f>
        <v>Beltrán Bravo</v>
      </c>
      <c r="F16" s="6" t="str">
        <f>IFERROR(__xludf.DUMMYFUNCTION("""COMPUTED_VALUE"""),"Vda el congal, entremaderos Csa 9 - El COngal")</f>
        <v>Vda el congal, entremaderos Csa 9 - El COngal</v>
      </c>
      <c r="G16" s="12">
        <f>IFERROR(__xludf.DUMMYFUNCTION("""COMPUTED_VALUE"""),2024.0)</f>
        <v>2024</v>
      </c>
      <c r="H16" s="12" t="str">
        <f>IFERROR(__xludf.DUMMYFUNCTION("""COMPUTED_VALUE"""),"Marzo")</f>
        <v>Marzo</v>
      </c>
      <c r="I16" s="12">
        <f>IFERROR(__xludf.DUMMYFUNCTION("""COMPUTED_VALUE"""),26.0)</f>
        <v>26</v>
      </c>
      <c r="J16" s="6"/>
      <c r="K16" s="12" t="str">
        <f>IFERROR(__xludf.DUMMYFUNCTION("""COMPUTED_VALUE"""),"martina.b2042@gi.edu.co")</f>
        <v>martina.b2042@gi.edu.co</v>
      </c>
      <c r="L16" s="6" t="str">
        <f>IFERROR(__xludf.DUMMYFUNCTION("""COMPUTED_VALUE"""),"RC")</f>
        <v>RC</v>
      </c>
      <c r="M16" s="6" t="str">
        <f>IFERROR(__xludf.DUMMYFUNCTION("""COMPUTED_VALUE"""),"Armenia")</f>
        <v>Armenia</v>
      </c>
      <c r="N16" s="6" t="str">
        <f>IFERROR(__xludf.DUMMYFUNCTION("""COMPUTED_VALUE"""),"F")</f>
        <v>F</v>
      </c>
      <c r="O16" s="6" t="str">
        <f>IFERROR(__xludf.DUMMYFUNCTION("""COMPUTED_VALUE"""),"ACTIVE")</f>
        <v>ACTIVE</v>
      </c>
      <c r="P16" s="6"/>
      <c r="Q16" s="6"/>
      <c r="R16" s="12" t="str">
        <f>IFERROR(__xludf.DUMMYFUNCTION("""COMPUTED_VALUE"""),"GiK8rD2Y*")</f>
        <v>GiK8rD2Y*</v>
      </c>
      <c r="S16" s="6" t="str">
        <f>IFERROR(__xludf.DUMMYFUNCTION("""COMPUTED_VALUE"""),"Beltrán Bravo Martina ")</f>
        <v>Beltrán Bravo Martina </v>
      </c>
      <c r="T16" s="6" t="str">
        <f>IFERROR(__xludf.DUMMYFUNCTION("""COMPUTED_VALUE"""),"FEDERICO JOSE BELTRAN GARCIA")</f>
        <v>FEDERICO JOSE BELTRAN GARCIA</v>
      </c>
      <c r="U16" s="12" t="str">
        <f>IFERROR(__xludf.DUMMYFUNCTION("""COMPUTED_VALUE"""),"1094928276")</f>
        <v>1094928276</v>
      </c>
      <c r="V16" s="6">
        <f>IFERROR(__xludf.DUMMYFUNCTION("""COMPUTED_VALUE"""),3.185480663E9)</f>
        <v>3185480663</v>
      </c>
      <c r="W16" s="6" t="str">
        <f>IFERROR(__xludf.DUMMYFUNCTION("""COMPUTED_VALUE"""),"federicobeltran@beltforge.com")</f>
        <v>federicobeltran@beltforge.com</v>
      </c>
      <c r="X16" s="12" t="str">
        <f>IFERROR(__xludf.DUMMYFUNCTION("""COMPUTED_VALUE"""),"O-")</f>
        <v>O-</v>
      </c>
      <c r="Y16" s="12" t="str">
        <f>IFERROR(__xludf.DUMMYFUNCTION("""COMPUTED_VALUE"""),"PV")</f>
        <v>PV</v>
      </c>
      <c r="Z16" s="6">
        <f>IFERROR(__xludf.DUMMYFUNCTION("""COMPUTED_VALUE"""),120624.0)</f>
        <v>120624</v>
      </c>
      <c r="AA16" s="6" t="str">
        <f>IFERROR(__xludf.DUMMYFUNCTION("""COMPUTED_VALUE"""),"SURA")</f>
        <v>SURA</v>
      </c>
      <c r="AB16" s="6"/>
      <c r="AC16" s="6"/>
      <c r="AD16" s="12" t="str">
        <f>IFERROR(__xludf.DUMMYFUNCTION("""COMPUTED_VALUE"""),"PVB")</f>
        <v>PVB</v>
      </c>
      <c r="AE16" s="12" t="str">
        <f>IFERROR(__xludf.DUMMYFUNCTION("""COMPUTED_VALUE"""),"1345282626")</f>
        <v>1345282626</v>
      </c>
      <c r="AF16" s="12" t="str">
        <f>IFERROR(__xludf.DUMMYFUNCTION("""COMPUTED_VALUE"""),"1345282626")</f>
        <v>1345282626</v>
      </c>
      <c r="AG16" s="12" t="str">
        <f>IFERROR(__xludf.DUMMYFUNCTION("""COMPUTED_VALUE"""),"Laura")</f>
        <v>Laura</v>
      </c>
      <c r="AH16" s="6"/>
      <c r="AI16" s="6" t="str">
        <f>IFERROR(__xludf.DUMMYFUNCTION("""COMPUTED_VALUE"""),"Bravo Pérez")</f>
        <v>Bravo Pérez</v>
      </c>
      <c r="AJ16" s="6" t="str">
        <f>IFERROR(__xludf.DUMMYFUNCTION("""COMPUTED_VALUE"""),"laurabravo04@hotmail.com")</f>
        <v>laurabravo04@hotmail.com</v>
      </c>
      <c r="AK16" s="6" t="str">
        <f>IFERROR(__xludf.DUMMYFUNCTION("""COMPUTED_VALUE"""),"Administradora de Empresas")</f>
        <v>Administradora de Empresas</v>
      </c>
      <c r="AL16" s="6"/>
      <c r="AM16" s="12" t="str">
        <f>IFERROR(__xludf.DUMMYFUNCTION("""COMPUTED_VALUE"""),"1094925550")</f>
        <v>1094925550</v>
      </c>
      <c r="AN16" s="12" t="str">
        <f>IFERROR(__xludf.DUMMYFUNCTION("""COMPUTED_VALUE"""),"3137309155")</f>
        <v>3137309155</v>
      </c>
      <c r="AO16" s="6" t="str">
        <f>IFERROR(__xludf.DUMMYFUNCTION("""COMPUTED_VALUE"""),"Madre")</f>
        <v>Madre</v>
      </c>
      <c r="AP16" s="6" t="str">
        <f>IFERROR(__xludf.DUMMYFUNCTION("""COMPUTED_VALUE"""),"Estudiante(s): Beltrán Bravo")</f>
        <v>Estudiante(s): Beltrán Bravo</v>
      </c>
      <c r="AQ16" s="6" t="str">
        <f>IFERROR(__xludf.DUMMYFUNCTION("""COMPUTED_VALUE"""),"120624*Gi")</f>
        <v>120624*Gi</v>
      </c>
      <c r="AR16" s="6" t="str">
        <f>IFERROR(__xludf.DUMMYFUNCTION("""COMPUTED_VALUE"""),"Federico")</f>
        <v>Federico</v>
      </c>
      <c r="AS16" s="6" t="str">
        <f>IFERROR(__xludf.DUMMYFUNCTION("""COMPUTED_VALUE"""),"José")</f>
        <v>José</v>
      </c>
      <c r="AT16" s="6" t="str">
        <f>IFERROR(__xludf.DUMMYFUNCTION("""COMPUTED_VALUE"""),"Beltrán García")</f>
        <v>Beltrán García</v>
      </c>
      <c r="AU16" s="6" t="str">
        <f>IFERROR(__xludf.DUMMYFUNCTION("""COMPUTED_VALUE"""),"federicobeltran@beltforge.com")</f>
        <v>federicobeltran@beltforge.com</v>
      </c>
      <c r="AV16" s="6" t="str">
        <f>IFERROR(__xludf.DUMMYFUNCTION("""COMPUTED_VALUE"""),"Arquitecto + Diseñador Industrial")</f>
        <v>Arquitecto + Diseñador Industrial</v>
      </c>
      <c r="AW16" s="6"/>
      <c r="AX16" s="12" t="str">
        <f>IFERROR(__xludf.DUMMYFUNCTION("""COMPUTED_VALUE"""),"1094928276")</f>
        <v>1094928276</v>
      </c>
      <c r="AY16" s="12" t="str">
        <f>IFERROR(__xludf.DUMMYFUNCTION("""COMPUTED_VALUE"""),"3185480663")</f>
        <v>3185480663</v>
      </c>
      <c r="AZ16" s="6" t="str">
        <f>IFERROR(__xludf.DUMMYFUNCTION("""COMPUTED_VALUE"""),"Padre")</f>
        <v>Padre</v>
      </c>
      <c r="BA16" s="6"/>
      <c r="BB16" s="6"/>
      <c r="BC16" s="6"/>
      <c r="BD16" s="12" t="str">
        <f>IFERROR(__xludf.DUMMYFUNCTION("""COMPUTED_VALUE"""),"bel0004")</f>
        <v>bel0004</v>
      </c>
      <c r="BE16" s="6" t="str">
        <f>IFERROR(__xludf.DUMMYFUNCTION("""COMPUTED_VALUE"""),"NUEVO(A)")</f>
        <v>NUEVO(A)</v>
      </c>
      <c r="BF16" s="6"/>
      <c r="BG16" s="6">
        <f>IFERROR(__xludf.DUMMYFUNCTION("""COMPUTED_VALUE"""),2042.0)</f>
        <v>2042</v>
      </c>
      <c r="BH16" s="15">
        <f>IFERROR(__xludf.DUMMYFUNCTION("""COMPUTED_VALUE"""),46196.94770833333)</f>
        <v>46196.94771</v>
      </c>
      <c r="BI16" s="6">
        <f>IFERROR(__xludf.DUMMYFUNCTION("""COMPUTED_VALUE"""),15.0)</f>
        <v>15</v>
      </c>
      <c r="BJ16" s="6"/>
      <c r="BK16" s="6"/>
      <c r="BL16" s="6" t="str">
        <f>IFERROR(__xludf.DUMMYFUNCTION("""COMPUTED_VALUE"""),"GISBEL0004")</f>
        <v>GISBEL0004</v>
      </c>
      <c r="BM16" s="6"/>
      <c r="BN16" s="6"/>
      <c r="BO16" s="6"/>
      <c r="BP16" s="6"/>
      <c r="BQ16" s="6"/>
      <c r="BR16" s="6"/>
      <c r="BS16" s="6"/>
      <c r="BT16" s="6"/>
      <c r="BU16" s="6" t="str">
        <f>IFERROR(__xludf.DUMMYFUNCTION("""COMPUTED_VALUE"""),"SI")</f>
        <v>SI</v>
      </c>
      <c r="BV16" s="6" t="str">
        <f>IFERROR(__xludf.DUMMYFUNCTION("""COMPUTED_VALUE"""),"martina.b2042")</f>
        <v>martina.b2042</v>
      </c>
      <c r="BW16" s="6"/>
      <c r="BX16" s="6"/>
      <c r="BY16" s="6"/>
      <c r="BZ16" s="6"/>
    </row>
    <row r="17">
      <c r="A17" s="12" t="str">
        <f>IFERROR(__xludf.DUMMYFUNCTION("""COMPUTED_VALUE"""),"1092867088")</f>
        <v>1092867088</v>
      </c>
      <c r="B17" s="6">
        <f>IFERROR(__xludf.DUMMYFUNCTION("""COMPUTED_VALUE"""),3.0)</f>
        <v>3</v>
      </c>
      <c r="C17" s="6" t="str">
        <f>IFERROR(__xludf.DUMMYFUNCTION("""COMPUTED_VALUE"""),"Juan")</f>
        <v>Juan</v>
      </c>
      <c r="D17" s="6" t="str">
        <f>IFERROR(__xludf.DUMMYFUNCTION("""COMPUTED_VALUE"""),"Antonio")</f>
        <v>Antonio</v>
      </c>
      <c r="E17" s="6" t="str">
        <f>IFERROR(__xludf.DUMMYFUNCTION("""COMPUTED_VALUE"""),"Bermúdez Querubín")</f>
        <v>Bermúdez Querubín</v>
      </c>
      <c r="F17" s="6" t="str">
        <f>IFERROR(__xludf.DUMMYFUNCTION("""COMPUTED_VALUE"""),"Cra 19 # 1 Norte 00 - Nueva Cecilia")</f>
        <v>Cra 19 # 1 Norte 00 - Nueva Cecilia</v>
      </c>
      <c r="G17" s="12">
        <f>IFERROR(__xludf.DUMMYFUNCTION("""COMPUTED_VALUE"""),2023.0)</f>
        <v>2023</v>
      </c>
      <c r="H17" s="12" t="str">
        <f>IFERROR(__xludf.DUMMYFUNCTION("""COMPUTED_VALUE"""),"Octubre")</f>
        <v>Octubre</v>
      </c>
      <c r="I17" s="12">
        <f>IFERROR(__xludf.DUMMYFUNCTION("""COMPUTED_VALUE"""),5.0)</f>
        <v>5</v>
      </c>
      <c r="J17" s="6"/>
      <c r="K17" s="12" t="str">
        <f>IFERROR(__xludf.DUMMYFUNCTION("""COMPUTED_VALUE"""),"juanantonio.b2042@gi.edu.co")</f>
        <v>juanantonio.b2042@gi.edu.co</v>
      </c>
      <c r="L17" s="6" t="str">
        <f>IFERROR(__xludf.DUMMYFUNCTION("""COMPUTED_VALUE"""),"RC")</f>
        <v>RC</v>
      </c>
      <c r="M17" s="6" t="str">
        <f>IFERROR(__xludf.DUMMYFUNCTION("""COMPUTED_VALUE"""),"Armenia")</f>
        <v>Armenia</v>
      </c>
      <c r="N17" s="6" t="str">
        <f>IFERROR(__xludf.DUMMYFUNCTION("""COMPUTED_VALUE"""),"M")</f>
        <v>M</v>
      </c>
      <c r="O17" s="6" t="str">
        <f>IFERROR(__xludf.DUMMYFUNCTION("""COMPUTED_VALUE"""),"ACTIVE")</f>
        <v>ACTIVE</v>
      </c>
      <c r="P17" s="6"/>
      <c r="Q17" s="6"/>
      <c r="R17" s="12" t="str">
        <f>IFERROR(__xludf.DUMMYFUNCTION("""COMPUTED_VALUE"""),"GiK4Xq9d*")</f>
        <v>GiK4Xq9d*</v>
      </c>
      <c r="S17" s="6" t="str">
        <f>IFERROR(__xludf.DUMMYFUNCTION("""COMPUTED_VALUE"""),"Bermúdez Querubín Juan Antonio")</f>
        <v>Bermúdez Querubín Juan Antonio</v>
      </c>
      <c r="T17" s="6" t="str">
        <f>IFERROR(__xludf.DUMMYFUNCTION("""COMPUTED_VALUE"""),"DANIEL ESTEBAN BERMUDEZ LOPEZ")</f>
        <v>DANIEL ESTEBAN BERMUDEZ LOPEZ</v>
      </c>
      <c r="U17" s="12" t="str">
        <f>IFERROR(__xludf.DUMMYFUNCTION("""COMPUTED_VALUE"""),"1094925328")</f>
        <v>1094925328</v>
      </c>
      <c r="V17" s="6">
        <f>IFERROR(__xludf.DUMMYFUNCTION("""COMPUTED_VALUE"""),3.184489579E9)</f>
        <v>3184489579</v>
      </c>
      <c r="W17" s="6" t="str">
        <f>IFERROR(__xludf.DUMMYFUNCTION("""COMPUTED_VALUE"""),"danielbermud@hotmail.com")</f>
        <v>danielbermud@hotmail.com</v>
      </c>
      <c r="X17" s="12" t="str">
        <f>IFERROR(__xludf.DUMMYFUNCTION("""COMPUTED_VALUE"""),"O+")</f>
        <v>O+</v>
      </c>
      <c r="Y17" s="12" t="str">
        <f>IFERROR(__xludf.DUMMYFUNCTION("""COMPUTED_VALUE"""),"PV")</f>
        <v>PV</v>
      </c>
      <c r="Z17" s="6">
        <f>IFERROR(__xludf.DUMMYFUNCTION("""COMPUTED_VALUE"""),120592.0)</f>
        <v>120592</v>
      </c>
      <c r="AA17" s="6" t="str">
        <f>IFERROR(__xludf.DUMMYFUNCTION("""COMPUTED_VALUE"""),"SANITAS")</f>
        <v>SANITAS</v>
      </c>
      <c r="AB17" s="6"/>
      <c r="AC17" s="6"/>
      <c r="AD17" s="12" t="str">
        <f>IFERROR(__xludf.DUMMYFUNCTION("""COMPUTED_VALUE"""),"PVB")</f>
        <v>PVB</v>
      </c>
      <c r="AE17" s="12" t="str">
        <f>IFERROR(__xludf.DUMMYFUNCTION("""COMPUTED_VALUE"""),"1345282589")</f>
        <v>1345282589</v>
      </c>
      <c r="AF17" s="12" t="str">
        <f>IFERROR(__xludf.DUMMYFUNCTION("""COMPUTED_VALUE"""),"1345282589")</f>
        <v>1345282589</v>
      </c>
      <c r="AG17" s="12" t="str">
        <f>IFERROR(__xludf.DUMMYFUNCTION("""COMPUTED_VALUE"""),"María")</f>
        <v>María</v>
      </c>
      <c r="AH17" s="12" t="str">
        <f>IFERROR(__xludf.DUMMYFUNCTION("""COMPUTED_VALUE"""),"Camila")</f>
        <v>Camila</v>
      </c>
      <c r="AI17" s="6" t="str">
        <f>IFERROR(__xludf.DUMMYFUNCTION("""COMPUTED_VALUE"""),"Querubin Jimenez")</f>
        <v>Querubin Jimenez</v>
      </c>
      <c r="AJ17" s="6" t="str">
        <f>IFERROR(__xludf.DUMMYFUNCTION("""COMPUTED_VALUE"""),"mquerubinj@gmail.com")</f>
        <v>mquerubinj@gmail.com</v>
      </c>
      <c r="AK17" s="6" t="str">
        <f>IFERROR(__xludf.DUMMYFUNCTION("""COMPUTED_VALUE"""),"Odontopediatra")</f>
        <v>Odontopediatra</v>
      </c>
      <c r="AL17" s="6"/>
      <c r="AM17" s="12" t="str">
        <f>IFERROR(__xludf.DUMMYFUNCTION("""COMPUTED_VALUE"""),"1094935637")</f>
        <v>1094935637</v>
      </c>
      <c r="AN17" s="12" t="str">
        <f>IFERROR(__xludf.DUMMYFUNCTION("""COMPUTED_VALUE"""),"3186237282")</f>
        <v>3186237282</v>
      </c>
      <c r="AO17" s="6" t="str">
        <f>IFERROR(__xludf.DUMMYFUNCTION("""COMPUTED_VALUE"""),"Madre")</f>
        <v>Madre</v>
      </c>
      <c r="AP17" s="6" t="str">
        <f>IFERROR(__xludf.DUMMYFUNCTION("""COMPUTED_VALUE"""),"Estudiante(s): Bermúdez Querubín")</f>
        <v>Estudiante(s): Bermúdez Querubín</v>
      </c>
      <c r="AQ17" s="6" t="str">
        <f>IFERROR(__xludf.DUMMYFUNCTION("""COMPUTED_VALUE"""),"120592*Gi")</f>
        <v>120592*Gi</v>
      </c>
      <c r="AR17" s="6" t="str">
        <f>IFERROR(__xludf.DUMMYFUNCTION("""COMPUTED_VALUE"""),"Daniel")</f>
        <v>Daniel</v>
      </c>
      <c r="AS17" s="6" t="str">
        <f>IFERROR(__xludf.DUMMYFUNCTION("""COMPUTED_VALUE"""),"Esteban")</f>
        <v>Esteban</v>
      </c>
      <c r="AT17" s="6" t="str">
        <f>IFERROR(__xludf.DUMMYFUNCTION("""COMPUTED_VALUE"""),"Bermúdez López")</f>
        <v>Bermúdez López</v>
      </c>
      <c r="AU17" s="6" t="str">
        <f>IFERROR(__xludf.DUMMYFUNCTION("""COMPUTED_VALUE"""),"danielbermud@hotmail.com")</f>
        <v>danielbermud@hotmail.com</v>
      </c>
      <c r="AV17" s="6" t="str">
        <f>IFERROR(__xludf.DUMMYFUNCTION("""COMPUTED_VALUE"""),"Ingeniero industrial ")</f>
        <v>Ingeniero industrial </v>
      </c>
      <c r="AW17" s="6"/>
      <c r="AX17" s="12" t="str">
        <f>IFERROR(__xludf.DUMMYFUNCTION("""COMPUTED_VALUE"""),"1094925328")</f>
        <v>1094925328</v>
      </c>
      <c r="AY17" s="12" t="str">
        <f>IFERROR(__xludf.DUMMYFUNCTION("""COMPUTED_VALUE"""),"3184489579")</f>
        <v>3184489579</v>
      </c>
      <c r="AZ17" s="6" t="str">
        <f>IFERROR(__xludf.DUMMYFUNCTION("""COMPUTED_VALUE"""),"Padre")</f>
        <v>Padre</v>
      </c>
      <c r="BA17" s="6"/>
      <c r="BB17" s="6"/>
      <c r="BC17" s="6"/>
      <c r="BD17" s="12" t="str">
        <f>IFERROR(__xludf.DUMMYFUNCTION("""COMPUTED_VALUE"""),"ber0011")</f>
        <v>ber0011</v>
      </c>
      <c r="BE17" s="6" t="str">
        <f>IFERROR(__xludf.DUMMYFUNCTION("""COMPUTED_VALUE"""),"NUEVO(A)")</f>
        <v>NUEVO(A)</v>
      </c>
      <c r="BF17" s="6"/>
      <c r="BG17" s="6">
        <f>IFERROR(__xludf.DUMMYFUNCTION("""COMPUTED_VALUE"""),2042.0)</f>
        <v>2042</v>
      </c>
      <c r="BH17" s="15">
        <f>IFERROR(__xludf.DUMMYFUNCTION("""COMPUTED_VALUE"""),46199.65734953704)</f>
        <v>46199.65735</v>
      </c>
      <c r="BI17" s="6">
        <f>IFERROR(__xludf.DUMMYFUNCTION("""COMPUTED_VALUE"""),16.0)</f>
        <v>16</v>
      </c>
      <c r="BJ17" s="6"/>
      <c r="BK17" s="6"/>
      <c r="BL17" s="6" t="str">
        <f>IFERROR(__xludf.DUMMYFUNCTION("""COMPUTED_VALUE"""),"GISBER0011")</f>
        <v>GISBER0011</v>
      </c>
      <c r="BM17" s="6"/>
      <c r="BN17" s="6"/>
      <c r="BO17" s="6"/>
      <c r="BP17" s="6"/>
      <c r="BQ17" s="6"/>
      <c r="BR17" s="6"/>
      <c r="BS17" s="6"/>
      <c r="BT17" s="6"/>
      <c r="BU17" s="6" t="str">
        <f>IFERROR(__xludf.DUMMYFUNCTION("""COMPUTED_VALUE"""),"SI")</f>
        <v>SI</v>
      </c>
      <c r="BV17" s="6" t="str">
        <f>IFERROR(__xludf.DUMMYFUNCTION("""COMPUTED_VALUE"""),"juanantonio.b2042")</f>
        <v>juanantonio.b2042</v>
      </c>
      <c r="BW17" s="6"/>
      <c r="BX17" s="6"/>
      <c r="BY17" s="6"/>
      <c r="BZ17" s="6"/>
    </row>
    <row r="18">
      <c r="A18" s="12" t="str">
        <f>IFERROR(__xludf.DUMMYFUNCTION("""COMPUTED_VALUE"""),"1091890425")</f>
        <v>1091890425</v>
      </c>
      <c r="B18" s="6">
        <f>IFERROR(__xludf.DUMMYFUNCTION("""COMPUTED_VALUE"""),4.0)</f>
        <v>4</v>
      </c>
      <c r="C18" s="6" t="str">
        <f>IFERROR(__xludf.DUMMYFUNCTION("""COMPUTED_VALUE"""),"Gabriela")</f>
        <v>Gabriela</v>
      </c>
      <c r="D18" s="6"/>
      <c r="E18" s="6" t="str">
        <f>IFERROR(__xludf.DUMMYFUNCTION("""COMPUTED_VALUE"""),"Gutiérrez Botero")</f>
        <v>Gutiérrez Botero</v>
      </c>
      <c r="F18" s="6" t="str">
        <f>IFERROR(__xludf.DUMMYFUNCTION("""COMPUTED_VALUE"""),"Bosques del Eden Casa 12 - Via La Tebaida El Caimo")</f>
        <v>Bosques del Eden Casa 12 - Via La Tebaida El Caimo</v>
      </c>
      <c r="G18" s="12">
        <f>IFERROR(__xludf.DUMMYFUNCTION("""COMPUTED_VALUE"""),2024.0)</f>
        <v>2024</v>
      </c>
      <c r="H18" s="12" t="str">
        <f>IFERROR(__xludf.DUMMYFUNCTION("""COMPUTED_VALUE"""),"Febrero")</f>
        <v>Febrero</v>
      </c>
      <c r="I18" s="12">
        <f>IFERROR(__xludf.DUMMYFUNCTION("""COMPUTED_VALUE"""),6.0)</f>
        <v>6</v>
      </c>
      <c r="J18" s="6"/>
      <c r="K18" s="12" t="str">
        <f>IFERROR(__xludf.DUMMYFUNCTION("""COMPUTED_VALUE"""),"gabriela.g2042@gi.edu.co")</f>
        <v>gabriela.g2042@gi.edu.co</v>
      </c>
      <c r="L18" s="6" t="str">
        <f>IFERROR(__xludf.DUMMYFUNCTION("""COMPUTED_VALUE"""),"RC")</f>
        <v>RC</v>
      </c>
      <c r="M18" s="6" t="str">
        <f>IFERROR(__xludf.DUMMYFUNCTION("""COMPUTED_VALUE"""),"Armenia")</f>
        <v>Armenia</v>
      </c>
      <c r="N18" s="6" t="str">
        <f>IFERROR(__xludf.DUMMYFUNCTION("""COMPUTED_VALUE"""),"F")</f>
        <v>F</v>
      </c>
      <c r="O18" s="6" t="str">
        <f>IFERROR(__xludf.DUMMYFUNCTION("""COMPUTED_VALUE"""),"ACTIVE")</f>
        <v>ACTIVE</v>
      </c>
      <c r="P18" s="6" t="str">
        <f>IFERROR(__xludf.DUMMYFUNCTION("""COMPUTED_VALUE"""),"2°Hermano")</f>
        <v>2°Hermano</v>
      </c>
      <c r="Q18" s="6" t="str">
        <f>IFERROR(__xludf.DUMMYFUNCTION("""COMPUTED_VALUE"""),"Armenia")</f>
        <v>Armenia</v>
      </c>
      <c r="R18" s="12" t="str">
        <f>IFERROR(__xludf.DUMMYFUNCTION("""COMPUTED_VALUE"""),"GiR2Xh8P*")</f>
        <v>GiR2Xh8P*</v>
      </c>
      <c r="S18" s="6" t="str">
        <f>IFERROR(__xludf.DUMMYFUNCTION("""COMPUTED_VALUE"""),"Gutiérrez Botero Gabriela ")</f>
        <v>Gutiérrez Botero Gabriela </v>
      </c>
      <c r="T18" s="6" t="str">
        <f>IFERROR(__xludf.DUMMYFUNCTION("""COMPUTED_VALUE"""),"JOAQUIN GUTIERREZ AGUDELO")</f>
        <v>JOAQUIN GUTIERREZ AGUDELO</v>
      </c>
      <c r="U18" s="12" t="str">
        <f>IFERROR(__xludf.DUMMYFUNCTION("""COMPUTED_VALUE"""),"1094920366")</f>
        <v>1094920366</v>
      </c>
      <c r="V18" s="6">
        <f>IFERROR(__xludf.DUMMYFUNCTION("""COMPUTED_VALUE"""),3.17364684E9)</f>
        <v>3173646840</v>
      </c>
      <c r="W18" s="6" t="str">
        <f>IFERROR(__xludf.DUMMYFUNCTION("""COMPUTED_VALUE"""),"joaquingutierrez91@hotmail.com")</f>
        <v>joaquingutierrez91@hotmail.com</v>
      </c>
      <c r="X18" s="12" t="str">
        <f>IFERROR(__xludf.DUMMYFUNCTION("""COMPUTED_VALUE"""),"A+")</f>
        <v>A+</v>
      </c>
      <c r="Y18" s="12" t="str">
        <f>IFERROR(__xludf.DUMMYFUNCTION("""COMPUTED_VALUE"""),"PV")</f>
        <v>PV</v>
      </c>
      <c r="Z18" s="6">
        <f>IFERROR(__xludf.DUMMYFUNCTION("""COMPUTED_VALUE"""),120623.0)</f>
        <v>120623</v>
      </c>
      <c r="AA18" s="6" t="str">
        <f>IFERROR(__xludf.DUMMYFUNCTION("""COMPUTED_VALUE"""),"SURA")</f>
        <v>SURA</v>
      </c>
      <c r="AB18" s="6"/>
      <c r="AC18" s="6"/>
      <c r="AD18" s="12" t="str">
        <f>IFERROR(__xludf.DUMMYFUNCTION("""COMPUTED_VALUE"""),"PVB")</f>
        <v>PVB</v>
      </c>
      <c r="AE18" s="12" t="str">
        <f>IFERROR(__xludf.DUMMYFUNCTION("""COMPUTED_VALUE"""),"1345282620")</f>
        <v>1345282620</v>
      </c>
      <c r="AF18" s="12" t="str">
        <f>IFERROR(__xludf.DUMMYFUNCTION("""COMPUTED_VALUE"""),"1345282620")</f>
        <v>1345282620</v>
      </c>
      <c r="AG18" s="12" t="str">
        <f>IFERROR(__xludf.DUMMYFUNCTION("""COMPUTED_VALUE"""),"Sara")</f>
        <v>Sara</v>
      </c>
      <c r="AH18" s="6"/>
      <c r="AI18" s="6" t="str">
        <f>IFERROR(__xludf.DUMMYFUNCTION("""COMPUTED_VALUE"""),"Botero Villegas")</f>
        <v>Botero Villegas</v>
      </c>
      <c r="AJ18" s="6" t="str">
        <f>IFERROR(__xludf.DUMMYFUNCTION("""COMPUTED_VALUE"""),"sarisbv4@hotmail.com")</f>
        <v>sarisbv4@hotmail.com</v>
      </c>
      <c r="AK18" s="6" t="str">
        <f>IFERROR(__xludf.DUMMYFUNCTION("""COMPUTED_VALUE"""),"Administradora de Empresas")</f>
        <v>Administradora de Empresas</v>
      </c>
      <c r="AL18" s="6" t="str">
        <f>IFERROR(__xludf.DUMMYFUNCTION("""COMPUTED_VALUE"""),"Lico Distribuciones")</f>
        <v>Lico Distribuciones</v>
      </c>
      <c r="AM18" s="12" t="str">
        <f>IFERROR(__xludf.DUMMYFUNCTION("""COMPUTED_VALUE"""),"1053827153")</f>
        <v>1053827153</v>
      </c>
      <c r="AN18" s="12" t="str">
        <f>IFERROR(__xludf.DUMMYFUNCTION("""COMPUTED_VALUE"""),"3104527781")</f>
        <v>3104527781</v>
      </c>
      <c r="AO18" s="6" t="str">
        <f>IFERROR(__xludf.DUMMYFUNCTION("""COMPUTED_VALUE"""),"Madre")</f>
        <v>Madre</v>
      </c>
      <c r="AP18" s="6" t="str">
        <f>IFERROR(__xludf.DUMMYFUNCTION("""COMPUTED_VALUE"""),"Estudiante(s): Gutiérrez Botero")</f>
        <v>Estudiante(s): Gutiérrez Botero</v>
      </c>
      <c r="AQ18" s="6" t="str">
        <f>IFERROR(__xludf.DUMMYFUNCTION("""COMPUTED_VALUE"""),"120430*Gi")</f>
        <v>120430*Gi</v>
      </c>
      <c r="AR18" s="6" t="str">
        <f>IFERROR(__xludf.DUMMYFUNCTION("""COMPUTED_VALUE"""),"Joaquín")</f>
        <v>Joaquín</v>
      </c>
      <c r="AS18" s="6"/>
      <c r="AT18" s="6" t="str">
        <f>IFERROR(__xludf.DUMMYFUNCTION("""COMPUTED_VALUE"""),"Gutiérrez Agudelo")</f>
        <v>Gutiérrez Agudelo</v>
      </c>
      <c r="AU18" s="6" t="str">
        <f>IFERROR(__xludf.DUMMYFUNCTION("""COMPUTED_VALUE"""),"joaquingutierrez91@hotmail.com")</f>
        <v>joaquingutierrez91@hotmail.com</v>
      </c>
      <c r="AV18" s="6" t="str">
        <f>IFERROR(__xludf.DUMMYFUNCTION("""COMPUTED_VALUE"""),"ZOOTECNISTA")</f>
        <v>ZOOTECNISTA</v>
      </c>
      <c r="AW18" s="6" t="str">
        <f>IFERROR(__xludf.DUMMYFUNCTION("""COMPUTED_VALUE"""),"Quindio Y Valle del Cauca")</f>
        <v>Quindio Y Valle del Cauca</v>
      </c>
      <c r="AX18" s="12" t="str">
        <f>IFERROR(__xludf.DUMMYFUNCTION("""COMPUTED_VALUE"""),"1094920366")</f>
        <v>1094920366</v>
      </c>
      <c r="AY18" s="12" t="str">
        <f>IFERROR(__xludf.DUMMYFUNCTION("""COMPUTED_VALUE"""),"3173646840")</f>
        <v>3173646840</v>
      </c>
      <c r="AZ18" s="6" t="str">
        <f>IFERROR(__xludf.DUMMYFUNCTION("""COMPUTED_VALUE"""),"Padre")</f>
        <v>Padre</v>
      </c>
      <c r="BA18" s="6" t="str">
        <f>IFERROR(__xludf.DUMMYFUNCTION("""COMPUTED_VALUE"""),"GABRIEL GUTIERREZ ASOCIADOS S.A.S.")</f>
        <v>GABRIEL GUTIERREZ ASOCIADOS S.A.S.</v>
      </c>
      <c r="BB18" s="6">
        <f>IFERROR(__xludf.DUMMYFUNCTION("""COMPUTED_VALUE"""),3.104247332E9)</f>
        <v>3104247332</v>
      </c>
      <c r="BC18" s="6" t="str">
        <f>IFERROR(__xludf.DUMMYFUNCTION("""COMPUTED_VALUE"""),"Persona Jurídica 
ggbsas7@gmail.com")</f>
        <v>Persona Jurídica 
ggbsas7@gmail.com</v>
      </c>
      <c r="BD18" s="12" t="str">
        <f>IFERROR(__xludf.DUMMYFUNCTION("""COMPUTED_VALUE"""),"gut0009")</f>
        <v>gut0009</v>
      </c>
      <c r="BE18" s="6" t="str">
        <f>IFERROR(__xludf.DUMMYFUNCTION("""COMPUTED_VALUE"""),"NUEVO(A)")</f>
        <v>NUEVO(A)</v>
      </c>
      <c r="BF18" s="6"/>
      <c r="BG18" s="6">
        <f>IFERROR(__xludf.DUMMYFUNCTION("""COMPUTED_VALUE"""),2042.0)</f>
        <v>2042</v>
      </c>
      <c r="BH18" s="15">
        <f>IFERROR(__xludf.DUMMYFUNCTION("""COMPUTED_VALUE"""),46199.67267361111)</f>
        <v>46199.67267</v>
      </c>
      <c r="BI18" s="12" t="str">
        <f>IFERROR(__xludf.DUMMYFUNCTION("""COMPUTED_VALUE"""),"17")</f>
        <v>17</v>
      </c>
      <c r="BJ18" s="6"/>
      <c r="BK18" s="6"/>
      <c r="BL18" s="6" t="str">
        <f>IFERROR(__xludf.DUMMYFUNCTION("""COMPUTED_VALUE"""),"GISGUT0009")</f>
        <v>GISGUT0009</v>
      </c>
      <c r="BM18" s="6"/>
      <c r="BN18" s="6"/>
      <c r="BO18" s="6"/>
      <c r="BP18" s="6"/>
      <c r="BQ18" s="6"/>
      <c r="BR18" s="6"/>
      <c r="BS18" s="6"/>
      <c r="BT18" s="6"/>
      <c r="BU18" s="6" t="str">
        <f>IFERROR(__xludf.DUMMYFUNCTION("""COMPUTED_VALUE"""),"SI")</f>
        <v>SI</v>
      </c>
      <c r="BV18" s="12" t="str">
        <f>IFERROR(__xludf.DUMMYFUNCTION("""COMPUTED_VALUE"""),"gabriela.g2042")</f>
        <v>gabriela.g2042</v>
      </c>
      <c r="BW18" s="6"/>
      <c r="BX18" s="6"/>
      <c r="BY18" s="6"/>
      <c r="BZ18" s="6"/>
    </row>
    <row r="19">
      <c r="A19" s="12">
        <f>IFERROR(__xludf.DUMMYFUNCTION("""COMPUTED_VALUE"""),1.090283405E9)</f>
        <v>1090283405</v>
      </c>
      <c r="B19" s="6">
        <f>IFERROR(__xludf.DUMMYFUNCTION("""COMPUTED_VALUE"""),5.0)</f>
        <v>5</v>
      </c>
      <c r="C19" s="6" t="str">
        <f>IFERROR(__xludf.DUMMYFUNCTION("""COMPUTED_VALUE"""),"Emmanuel")</f>
        <v>Emmanuel</v>
      </c>
      <c r="D19" s="6"/>
      <c r="E19" s="6" t="str">
        <f>IFERROR(__xludf.DUMMYFUNCTION("""COMPUTED_VALUE"""),"Gutiérrez Cortés")</f>
        <v>Gutiérrez Cortés</v>
      </c>
      <c r="F19" s="6" t="str">
        <f>IFERROR(__xludf.DUMMYFUNCTION("""COMPUTED_VALUE"""),"Horeb Torre 3 Apto 1307 - Cra 6 No13Nte - 27 - Av Centenario")</f>
        <v>Horeb Torre 3 Apto 1307 - Cra 6 No13Nte - 27 - Av Centenario</v>
      </c>
      <c r="G19" s="12" t="str">
        <f>IFERROR(__xludf.DUMMYFUNCTION("""COMPUTED_VALUE"""),"2023")</f>
        <v>2023</v>
      </c>
      <c r="H19" s="6" t="str">
        <f>IFERROR(__xludf.DUMMYFUNCTION("""COMPUTED_VALUE"""),"Noviembre")</f>
        <v>Noviembre</v>
      </c>
      <c r="I19" s="12" t="str">
        <f>IFERROR(__xludf.DUMMYFUNCTION("""COMPUTED_VALUE"""),"2")</f>
        <v>2</v>
      </c>
      <c r="J19" s="6" t="str">
        <f>IFERROR(__xludf.DUMMYFUNCTION("""COMPUTED_VALUE"""),"Armenia")</f>
        <v>Armenia</v>
      </c>
      <c r="K19" s="6" t="str">
        <f>IFERROR(__xludf.DUMMYFUNCTION("""COMPUTED_VALUE"""),"emmanuel.g2041@gi.edu.co")</f>
        <v>emmanuel.g2041@gi.edu.co</v>
      </c>
      <c r="L19" s="6" t="str">
        <f>IFERROR(__xludf.DUMMYFUNCTION("""COMPUTED_VALUE"""),"RC")</f>
        <v>RC</v>
      </c>
      <c r="M19" s="6" t="str">
        <f>IFERROR(__xludf.DUMMYFUNCTION("""COMPUTED_VALUE"""),"Armenia")</f>
        <v>Armenia</v>
      </c>
      <c r="N19" s="6" t="str">
        <f>IFERROR(__xludf.DUMMYFUNCTION("""COMPUTED_VALUE"""),"M")</f>
        <v>M</v>
      </c>
      <c r="O19" s="6" t="str">
        <f>IFERROR(__xludf.DUMMYFUNCTION("""COMPUTED_VALUE"""),"ACTIVE")</f>
        <v>ACTIVE</v>
      </c>
      <c r="P19" s="6"/>
      <c r="Q19" s="6" t="str">
        <f>IFERROR(__xludf.DUMMYFUNCTION("""COMPUTED_VALUE"""),"Armenia")</f>
        <v>Armenia</v>
      </c>
      <c r="R19" s="12" t="str">
        <f>IFERROR(__xludf.DUMMYFUNCTION("""COMPUTED_VALUE"""),"Gifrth353*")</f>
        <v>Gifrth353*</v>
      </c>
      <c r="S19" s="6" t="str">
        <f>IFERROR(__xludf.DUMMYFUNCTION("""COMPUTED_VALUE"""),"Gutiérrez Cortés Emmanuel ")</f>
        <v>Gutiérrez Cortés Emmanuel </v>
      </c>
      <c r="T19" s="6" t="str">
        <f>IFERROR(__xludf.DUMMYFUNCTION("""COMPUTED_VALUE"""),"JHON MARLIO GUTIERREZ CASTANEDA")</f>
        <v>JHON MARLIO GUTIERREZ CASTANEDA</v>
      </c>
      <c r="U19" s="12" t="str">
        <f>IFERROR(__xludf.DUMMYFUNCTION("""COMPUTED_VALUE"""),"4924100")</f>
        <v>4924100</v>
      </c>
      <c r="V19" s="6">
        <f>IFERROR(__xludf.DUMMYFUNCTION("""COMPUTED_VALUE"""),3.002191185E9)</f>
        <v>3002191185</v>
      </c>
      <c r="W19" s="6" t="str">
        <f>IFERROR(__xludf.DUMMYFUNCTION("""COMPUTED_VALUE"""),"jhonmarlio@hotmail.com")</f>
        <v>jhonmarlio@hotmail.com</v>
      </c>
      <c r="X19" s="12" t="str">
        <f>IFERROR(__xludf.DUMMYFUNCTION("""COMPUTED_VALUE"""),"O+")</f>
        <v>O+</v>
      </c>
      <c r="Y19" s="12" t="str">
        <f>IFERROR(__xludf.DUMMYFUNCTION("""COMPUTED_VALUE"""),"PV")</f>
        <v>PV</v>
      </c>
      <c r="Z19" s="12">
        <f>IFERROR(__xludf.DUMMYFUNCTION("""COMPUTED_VALUE"""),120569.0)</f>
        <v>120569</v>
      </c>
      <c r="AA19" s="6" t="str">
        <f>IFERROR(__xludf.DUMMYFUNCTION("""COMPUTED_VALUE"""),"COLMEDICA")</f>
        <v>COLMEDICA</v>
      </c>
      <c r="AB19" s="6"/>
      <c r="AC19" s="6"/>
      <c r="AD19" s="12" t="str">
        <f>IFERROR(__xludf.DUMMYFUNCTION("""COMPUTED_VALUE"""),"PVB")</f>
        <v>PVB</v>
      </c>
      <c r="AE19" s="12">
        <f>IFERROR(__xludf.DUMMYFUNCTION("""COMPUTED_VALUE"""),1.345282567E9)</f>
        <v>1345282567</v>
      </c>
      <c r="AF19" s="12">
        <f>IFERROR(__xludf.DUMMYFUNCTION("""COMPUTED_VALUE"""),1.345282567E9)</f>
        <v>1345282567</v>
      </c>
      <c r="AG19" s="12" t="str">
        <f>IFERROR(__xludf.DUMMYFUNCTION("""COMPUTED_VALUE"""),"Jane")</f>
        <v>Jane</v>
      </c>
      <c r="AH19" s="12" t="str">
        <f>IFERROR(__xludf.DUMMYFUNCTION("""COMPUTED_VALUE"""),"Catalina")</f>
        <v>Catalina</v>
      </c>
      <c r="AI19" s="6" t="str">
        <f>IFERROR(__xludf.DUMMYFUNCTION("""COMPUTED_VALUE"""),"Cortés Escárraga")</f>
        <v>Cortés Escárraga</v>
      </c>
      <c r="AJ19" s="6" t="str">
        <f>IFERROR(__xludf.DUMMYFUNCTION("""COMPUTED_VALUE"""),"jccescarraga-84@hotmail.com")</f>
        <v>jccescarraga-84@hotmail.com</v>
      </c>
      <c r="AK19" s="6" t="str">
        <f>IFERROR(__xludf.DUMMYFUNCTION("""COMPUTED_VALUE"""),"Abogada")</f>
        <v>Abogada</v>
      </c>
      <c r="AL19" s="6" t="str">
        <f>IFERROR(__xludf.DUMMYFUNCTION("""COMPUTED_VALUE"""),"Rama Judicial")</f>
        <v>Rama Judicial</v>
      </c>
      <c r="AM19" s="12">
        <f>IFERROR(__xludf.DUMMYFUNCTION("""COMPUTED_VALUE"""),4.1959145E7)</f>
        <v>41959145</v>
      </c>
      <c r="AN19" s="12">
        <f>IFERROR(__xludf.DUMMYFUNCTION("""COMPUTED_VALUE"""),3.007852046E9)</f>
        <v>3007852046</v>
      </c>
      <c r="AO19" s="6" t="str">
        <f>IFERROR(__xludf.DUMMYFUNCTION("""COMPUTED_VALUE"""),"Madre")</f>
        <v>Madre</v>
      </c>
      <c r="AP19" s="6" t="str">
        <f>IFERROR(__xludf.DUMMYFUNCTION("""COMPUTED_VALUE"""),"Estudiante(s): Gutiérrez Cortés")</f>
        <v>Estudiante(s): Gutiérrez Cortés</v>
      </c>
      <c r="AQ19" s="6" t="str">
        <f>IFERROR(__xludf.DUMMYFUNCTION("""COMPUTED_VALUE"""),"120569*Gi")</f>
        <v>120569*Gi</v>
      </c>
      <c r="AR19" s="6" t="str">
        <f>IFERROR(__xludf.DUMMYFUNCTION("""COMPUTED_VALUE"""),"Jhon")</f>
        <v>Jhon</v>
      </c>
      <c r="AS19" s="6" t="str">
        <f>IFERROR(__xludf.DUMMYFUNCTION("""COMPUTED_VALUE"""),"Marlio")</f>
        <v>Marlio</v>
      </c>
      <c r="AT19" s="6" t="str">
        <f>IFERROR(__xludf.DUMMYFUNCTION("""COMPUTED_VALUE"""),"Gutiérrez Castañeda")</f>
        <v>Gutiérrez Castañeda</v>
      </c>
      <c r="AU19" s="6" t="str">
        <f>IFERROR(__xludf.DUMMYFUNCTION("""COMPUTED_VALUE"""),"jhonmarlio@hotmail.com")</f>
        <v>jhonmarlio@hotmail.com</v>
      </c>
      <c r="AV19" s="6" t="str">
        <f>IFERROR(__xludf.DUMMYFUNCTION("""COMPUTED_VALUE"""),"Abogado")</f>
        <v>Abogado</v>
      </c>
      <c r="AW19" s="6" t="str">
        <f>IFERROR(__xludf.DUMMYFUNCTION("""COMPUTED_VALUE"""),"Rama Judicial")</f>
        <v>Rama Judicial</v>
      </c>
      <c r="AX19" s="12">
        <f>IFERROR(__xludf.DUMMYFUNCTION("""COMPUTED_VALUE"""),4924100.0)</f>
        <v>4924100</v>
      </c>
      <c r="AY19" s="12">
        <f>IFERROR(__xludf.DUMMYFUNCTION("""COMPUTED_VALUE"""),3.002191185E9)</f>
        <v>3002191185</v>
      </c>
      <c r="AZ19" s="6" t="str">
        <f>IFERROR(__xludf.DUMMYFUNCTION("""COMPUTED_VALUE"""),"Padre")</f>
        <v>Padre</v>
      </c>
      <c r="BA19" s="6"/>
      <c r="BB19" s="6"/>
      <c r="BC19" s="6"/>
      <c r="BD19" s="12" t="str">
        <f>IFERROR(__xludf.DUMMYFUNCTION("""COMPUTED_VALUE"""),"gut0012")</f>
        <v>gut0012</v>
      </c>
      <c r="BE19" s="12" t="str">
        <f>IFERROR(__xludf.DUMMYFUNCTION("""COMPUTED_VALUE"""),"REPITENTE")</f>
        <v>REPITENTE</v>
      </c>
      <c r="BF19" s="12" t="str">
        <f>IFERROR(__xludf.DUMMYFUNCTION("""COMPUTED_VALUE"""),"REPITENTE")</f>
        <v>REPITENTE</v>
      </c>
      <c r="BG19" s="6">
        <f>IFERROR(__xludf.DUMMYFUNCTION("""COMPUTED_VALUE"""),2042.0)</f>
        <v>2042</v>
      </c>
      <c r="BH19" s="15">
        <f>IFERROR(__xludf.DUMMYFUNCTION("""COMPUTED_VALUE"""),46206.829930555556)</f>
        <v>46206.82993</v>
      </c>
      <c r="BI19" s="12" t="str">
        <f>IFERROR(__xludf.DUMMYFUNCTION("""COMPUTED_VALUE"""),"18")</f>
        <v>18</v>
      </c>
      <c r="BJ19" s="6"/>
      <c r="BK19" s="6"/>
      <c r="BL19" s="6" t="str">
        <f>IFERROR(__xludf.DUMMYFUNCTION("""COMPUTED_VALUE"""),"GISGUT0012")</f>
        <v>GISGUT0012</v>
      </c>
      <c r="BM19" s="6"/>
      <c r="BN19" s="6"/>
      <c r="BO19" s="6"/>
      <c r="BP19" s="6"/>
      <c r="BQ19" s="6"/>
      <c r="BR19" s="6"/>
      <c r="BS19" s="6"/>
      <c r="BT19" s="6"/>
      <c r="BU19" s="6" t="str">
        <f>IFERROR(__xludf.DUMMYFUNCTION("""COMPUTED_VALUE"""),"SI")</f>
        <v>SI</v>
      </c>
      <c r="BV19" s="6" t="str">
        <f>IFERROR(__xludf.DUMMYFUNCTION("""COMPUTED_VALUE"""),"emmanuel.g2041")</f>
        <v>emmanuel.g2041</v>
      </c>
      <c r="BW19" s="6"/>
      <c r="BX19" s="6"/>
      <c r="BY19" s="6"/>
      <c r="BZ19" s="6"/>
    </row>
    <row r="20">
      <c r="A20" s="12">
        <f>IFERROR(__xludf.DUMMYFUNCTION("""COMPUTED_VALUE"""),1.232834311E9)</f>
        <v>1232834311</v>
      </c>
      <c r="B20" s="6">
        <f>IFERROR(__xludf.DUMMYFUNCTION("""COMPUTED_VALUE"""),6.0)</f>
        <v>6</v>
      </c>
      <c r="C20" s="6" t="str">
        <f>IFERROR(__xludf.DUMMYFUNCTION("""COMPUTED_VALUE"""),"Luciano")</f>
        <v>Luciano</v>
      </c>
      <c r="D20" s="6"/>
      <c r="E20" s="6" t="str">
        <f>IFERROR(__xludf.DUMMYFUNCTION("""COMPUTED_VALUE"""),"Henao Aray")</f>
        <v>Henao Aray</v>
      </c>
      <c r="F20" s="6" t="str">
        <f>IFERROR(__xludf.DUMMYFUNCTION("""COMPUTED_VALUE"""),"KM 1 VIA PUEBLO TAPAO - MONTENEGRO - vereda la esmeralda")</f>
        <v>KM 1 VIA PUEBLO TAPAO - MONTENEGRO - vereda la esmeralda</v>
      </c>
      <c r="G20" s="12">
        <f>IFERROR(__xludf.DUMMYFUNCTION("""COMPUTED_VALUE"""),2024.0)</f>
        <v>2024</v>
      </c>
      <c r="H20" s="12" t="str">
        <f>IFERROR(__xludf.DUMMYFUNCTION("""COMPUTED_VALUE"""),"Septiembre")</f>
        <v>Septiembre</v>
      </c>
      <c r="I20" s="12">
        <f>IFERROR(__xludf.DUMMYFUNCTION("""COMPUTED_VALUE"""),30.0)</f>
        <v>30</v>
      </c>
      <c r="J20" s="6"/>
      <c r="K20" s="12" t="str">
        <f>IFERROR(__xludf.DUMMYFUNCTION("""COMPUTED_VALUE"""),"luciano.h2042@gi.edu.co")</f>
        <v>luciano.h2042@gi.edu.co</v>
      </c>
      <c r="L20" s="6" t="str">
        <f>IFERROR(__xludf.DUMMYFUNCTION("""COMPUTED_VALUE"""),"RC")</f>
        <v>RC</v>
      </c>
      <c r="M20" s="6" t="str">
        <f>IFERROR(__xludf.DUMMYFUNCTION("""COMPUTED_VALUE"""),"Cali")</f>
        <v>Cali</v>
      </c>
      <c r="N20" s="6" t="str">
        <f>IFERROR(__xludf.DUMMYFUNCTION("""COMPUTED_VALUE"""),"M")</f>
        <v>M</v>
      </c>
      <c r="O20" s="6" t="str">
        <f>IFERROR(__xludf.DUMMYFUNCTION("""COMPUTED_VALUE"""),"ACTIVE")</f>
        <v>ACTIVE</v>
      </c>
      <c r="P20" s="6"/>
      <c r="Q20" s="6"/>
      <c r="R20" s="12" t="str">
        <f>IFERROR(__xludf.DUMMYFUNCTION("""COMPUTED_VALUE"""),"GiE7Vk9T*")</f>
        <v>GiE7Vk9T*</v>
      </c>
      <c r="S20" s="6" t="str">
        <f>IFERROR(__xludf.DUMMYFUNCTION("""COMPUTED_VALUE"""),"Henao Aray Luciano ")</f>
        <v>Henao Aray Luciano </v>
      </c>
      <c r="T20" s="6" t="str">
        <f>IFERROR(__xludf.DUMMYFUNCTION("""COMPUTED_VALUE"""),"VASQUEZ E HIJOS Y CIA. S EN C.S.")</f>
        <v>VASQUEZ E HIJOS Y CIA. S EN C.S.</v>
      </c>
      <c r="U20" s="12" t="str">
        <f>IFERROR(__xludf.DUMMYFUNCTION("""COMPUTED_VALUE"""),"801004673-0")</f>
        <v>801004673-0</v>
      </c>
      <c r="V20" s="6">
        <f>IFERROR(__xludf.DUMMYFUNCTION("""COMPUTED_VALUE"""),6.0674176E9)</f>
        <v>6067417600</v>
      </c>
      <c r="W20" s="6" t="str">
        <f>IFERROR(__xludf.DUMMYFUNCTION("""COMPUTED_VALUE"""),"financiera@camelias.com.co")</f>
        <v>financiera@camelias.com.co</v>
      </c>
      <c r="X20" s="12" t="str">
        <f>IFERROR(__xludf.DUMMYFUNCTION("""COMPUTED_VALUE"""),"O+")</f>
        <v>O+</v>
      </c>
      <c r="Y20" s="12" t="str">
        <f>IFERROR(__xludf.DUMMYFUNCTION("""COMPUTED_VALUE"""),"PV")</f>
        <v>PV</v>
      </c>
      <c r="Z20" s="6">
        <f>IFERROR(__xludf.DUMMYFUNCTION("""COMPUTED_VALUE"""),120594.0)</f>
        <v>120594</v>
      </c>
      <c r="AA20" s="6" t="str">
        <f>IFERROR(__xludf.DUMMYFUNCTION("""COMPUTED_VALUE"""),"SURA")</f>
        <v>SURA</v>
      </c>
      <c r="AB20" s="6"/>
      <c r="AC20" s="6"/>
      <c r="AD20" s="12" t="str">
        <f>IFERROR(__xludf.DUMMYFUNCTION("""COMPUTED_VALUE"""),"PVB")</f>
        <v>PVB</v>
      </c>
      <c r="AE20" s="12" t="str">
        <f>IFERROR(__xludf.DUMMYFUNCTION("""COMPUTED_VALUE"""),"1345282591")</f>
        <v>1345282591</v>
      </c>
      <c r="AF20" s="12" t="str">
        <f>IFERROR(__xludf.DUMMYFUNCTION("""COMPUTED_VALUE"""),"1345282591")</f>
        <v>1345282591</v>
      </c>
      <c r="AG20" s="12" t="str">
        <f>IFERROR(__xludf.DUMMYFUNCTION("""COMPUTED_VALUE"""),"Daniela")</f>
        <v>Daniela</v>
      </c>
      <c r="AH20" s="6"/>
      <c r="AI20" s="6" t="str">
        <f>IFERROR(__xludf.DUMMYFUNCTION("""COMPUTED_VALUE"""),"Aray Lizarazo")</f>
        <v>Aray Lizarazo</v>
      </c>
      <c r="AJ20" s="6" t="str">
        <f>IFERROR(__xludf.DUMMYFUNCTION("""COMPUTED_VALUE"""),"daray-3-29@hotmail.com")</f>
        <v>daray-3-29@hotmail.com</v>
      </c>
      <c r="AK20" s="6" t="str">
        <f>IFERROR(__xludf.DUMMYFUNCTION("""COMPUTED_VALUE"""),"Abogada")</f>
        <v>Abogada</v>
      </c>
      <c r="AL20" s="6"/>
      <c r="AM20" s="12" t="str">
        <f>IFERROR(__xludf.DUMMYFUNCTION("""COMPUTED_VALUE"""),"1107517490")</f>
        <v>1107517490</v>
      </c>
      <c r="AN20" s="12" t="str">
        <f>IFERROR(__xludf.DUMMYFUNCTION("""COMPUTED_VALUE"""),"3142606061")</f>
        <v>3142606061</v>
      </c>
      <c r="AO20" s="6" t="str">
        <f>IFERROR(__xludf.DUMMYFUNCTION("""COMPUTED_VALUE"""),"Madre")</f>
        <v>Madre</v>
      </c>
      <c r="AP20" s="6" t="str">
        <f>IFERROR(__xludf.DUMMYFUNCTION("""COMPUTED_VALUE"""),"Estudiante(s): Henao Aray")</f>
        <v>Estudiante(s): Henao Aray</v>
      </c>
      <c r="AQ20" s="6" t="str">
        <f>IFERROR(__xludf.DUMMYFUNCTION("""COMPUTED_VALUE"""),"120594*Gi")</f>
        <v>120594*Gi</v>
      </c>
      <c r="AR20" s="6" t="str">
        <f>IFERROR(__xludf.DUMMYFUNCTION("""COMPUTED_VALUE"""),"Andrés")</f>
        <v>Andrés</v>
      </c>
      <c r="AS20" s="6" t="str">
        <f>IFERROR(__xludf.DUMMYFUNCTION("""COMPUTED_VALUE"""),"Felipe")</f>
        <v>Felipe</v>
      </c>
      <c r="AT20" s="6" t="str">
        <f>IFERROR(__xludf.DUMMYFUNCTION("""COMPUTED_VALUE"""),"Henao Vásquez")</f>
        <v>Henao Vásquez</v>
      </c>
      <c r="AU20" s="6" t="str">
        <f>IFERROR(__xludf.DUMMYFUNCTION("""COMPUTED_VALUE"""),"ahenao772@gmail.com")</f>
        <v>ahenao772@gmail.com</v>
      </c>
      <c r="AV20" s="6" t="str">
        <f>IFERROR(__xludf.DUMMYFUNCTION("""COMPUTED_VALUE"""),"Veterinario")</f>
        <v>Veterinario</v>
      </c>
      <c r="AW20" s="6"/>
      <c r="AX20" s="12" t="str">
        <f>IFERROR(__xludf.DUMMYFUNCTION("""COMPUTED_VALUE"""),"1130602053")</f>
        <v>1130602053</v>
      </c>
      <c r="AY20" s="12" t="str">
        <f>IFERROR(__xludf.DUMMYFUNCTION("""COMPUTED_VALUE"""),"3107645172")</f>
        <v>3107645172</v>
      </c>
      <c r="AZ20" s="6" t="str">
        <f>IFERROR(__xludf.DUMMYFUNCTION("""COMPUTED_VALUE"""),"Padre")</f>
        <v>Padre</v>
      </c>
      <c r="BA20" s="6"/>
      <c r="BB20" s="6"/>
      <c r="BC20" s="6"/>
      <c r="BD20" s="12" t="str">
        <f>IFERROR(__xludf.DUMMYFUNCTION("""COMPUTED_VALUE"""),"hen0007")</f>
        <v>hen0007</v>
      </c>
      <c r="BE20" s="6" t="str">
        <f>IFERROR(__xludf.DUMMYFUNCTION("""COMPUTED_VALUE"""),"NUEVO(A)")</f>
        <v>NUEVO(A)</v>
      </c>
      <c r="BF20" s="6"/>
      <c r="BG20" s="6">
        <f>IFERROR(__xludf.DUMMYFUNCTION("""COMPUTED_VALUE"""),2042.0)</f>
        <v>2042</v>
      </c>
      <c r="BH20" s="15">
        <f>IFERROR(__xludf.DUMMYFUNCTION("""COMPUTED_VALUE"""),46197.42025462963)</f>
        <v>46197.42025</v>
      </c>
      <c r="BI20" s="6">
        <f>IFERROR(__xludf.DUMMYFUNCTION("""COMPUTED_VALUE"""),19.0)</f>
        <v>19</v>
      </c>
      <c r="BJ20" s="6"/>
      <c r="BK20" s="6"/>
      <c r="BL20" s="6" t="str">
        <f>IFERROR(__xludf.DUMMYFUNCTION("""COMPUTED_VALUE"""),"GISHEN0007")</f>
        <v>GISHEN0007</v>
      </c>
      <c r="BM20" s="6"/>
      <c r="BN20" s="6"/>
      <c r="BO20" s="6"/>
      <c r="BP20" s="6"/>
      <c r="BQ20" s="6"/>
      <c r="BR20" s="6"/>
      <c r="BS20" s="6"/>
      <c r="BT20" s="6"/>
      <c r="BU20" s="6" t="str">
        <f>IFERROR(__xludf.DUMMYFUNCTION("""COMPUTED_VALUE"""),"SI")</f>
        <v>SI</v>
      </c>
      <c r="BV20" s="12" t="str">
        <f>IFERROR(__xludf.DUMMYFUNCTION("""COMPUTED_VALUE"""),"luciano.h2042")</f>
        <v>luciano.h2042</v>
      </c>
      <c r="BW20" s="6"/>
      <c r="BX20" s="6"/>
      <c r="BY20" s="6"/>
      <c r="BZ20" s="6"/>
    </row>
    <row r="21">
      <c r="A21" s="12" t="str">
        <f>IFERROR(__xludf.DUMMYFUNCTION("""COMPUTED_VALUE"""),"1098314620")</f>
        <v>1098314620</v>
      </c>
      <c r="B21" s="6">
        <f>IFERROR(__xludf.DUMMYFUNCTION("""COMPUTED_VALUE"""),7.0)</f>
        <v>7</v>
      </c>
      <c r="C21" s="6" t="str">
        <f>IFERROR(__xludf.DUMMYFUNCTION("""COMPUTED_VALUE"""),"Dulce")</f>
        <v>Dulce</v>
      </c>
      <c r="D21" s="6" t="str">
        <f>IFERROR(__xludf.DUMMYFUNCTION("""COMPUTED_VALUE"""),"María")</f>
        <v>María</v>
      </c>
      <c r="E21" s="6" t="str">
        <f>IFERROR(__xludf.DUMMYFUNCTION("""COMPUTED_VALUE"""),"Isasa Buriticá")</f>
        <v>Isasa Buriticá</v>
      </c>
      <c r="F21" s="6" t="str">
        <f>IFERROR(__xludf.DUMMYFUNCTION("""COMPUTED_VALUE"""),"Mz2 Casa 2 Alto Bonito - Alto bonito")</f>
        <v>Mz2 Casa 2 Alto Bonito - Alto bonito</v>
      </c>
      <c r="G21" s="12">
        <f>IFERROR(__xludf.DUMMYFUNCTION("""COMPUTED_VALUE"""),2024.0)</f>
        <v>2024</v>
      </c>
      <c r="H21" s="12" t="str">
        <f>IFERROR(__xludf.DUMMYFUNCTION("""COMPUTED_VALUE"""),"Junio")</f>
        <v>Junio</v>
      </c>
      <c r="I21" s="12">
        <f>IFERROR(__xludf.DUMMYFUNCTION("""COMPUTED_VALUE"""),5.0)</f>
        <v>5</v>
      </c>
      <c r="J21" s="6"/>
      <c r="K21" s="12" t="str">
        <f>IFERROR(__xludf.DUMMYFUNCTION("""COMPUTED_VALUE"""),"dulce.i2042@gi.edu.co")</f>
        <v>dulce.i2042@gi.edu.co</v>
      </c>
      <c r="L21" s="6" t="str">
        <f>IFERROR(__xludf.DUMMYFUNCTION("""COMPUTED_VALUE"""),"RC")</f>
        <v>RC</v>
      </c>
      <c r="M21" s="6" t="str">
        <f>IFERROR(__xludf.DUMMYFUNCTION("""COMPUTED_VALUE"""),"Circasia")</f>
        <v>Circasia</v>
      </c>
      <c r="N21" s="6" t="str">
        <f>IFERROR(__xludf.DUMMYFUNCTION("""COMPUTED_VALUE"""),"F")</f>
        <v>F</v>
      </c>
      <c r="O21" s="6" t="str">
        <f>IFERROR(__xludf.DUMMYFUNCTION("""COMPUTED_VALUE"""),"ACTIVE")</f>
        <v>ACTIVE</v>
      </c>
      <c r="P21" s="6"/>
      <c r="Q21" s="6"/>
      <c r="R21" s="12" t="str">
        <f>IFERROR(__xludf.DUMMYFUNCTION("""COMPUTED_VALUE"""),"GiA7kP2*")</f>
        <v>GiA7kP2*</v>
      </c>
      <c r="S21" s="6" t="str">
        <f>IFERROR(__xludf.DUMMYFUNCTION("""COMPUTED_VALUE"""),"Isasa Buriticá Dulce María")</f>
        <v>Isasa Buriticá Dulce María</v>
      </c>
      <c r="T21" s="6" t="str">
        <f>IFERROR(__xludf.DUMMYFUNCTION("""COMPUTED_VALUE"""),"MARIA CRISTINA BURITICA CORRALES")</f>
        <v>MARIA CRISTINA BURITICA CORRALES</v>
      </c>
      <c r="U21" s="12" t="str">
        <f>IFERROR(__xludf.DUMMYFUNCTION("""COMPUTED_VALUE"""),"1098312828")</f>
        <v>1098312828</v>
      </c>
      <c r="V21" s="6">
        <f>IFERROR(__xludf.DUMMYFUNCTION("""COMPUTED_VALUE"""),3.208982893E9)</f>
        <v>3208982893</v>
      </c>
      <c r="W21" s="6" t="str">
        <f>IFERROR(__xludf.DUMMYFUNCTION("""COMPUTED_VALUE"""),"mariacb@gi.edu.co")</f>
        <v>mariacb@gi.edu.co</v>
      </c>
      <c r="X21" s="12" t="str">
        <f>IFERROR(__xludf.DUMMYFUNCTION("""COMPUTED_VALUE"""),"A+")</f>
        <v>A+</v>
      </c>
      <c r="Y21" s="12" t="str">
        <f>IFERROR(__xludf.DUMMYFUNCTION("""COMPUTED_VALUE"""),"PV")</f>
        <v>PV</v>
      </c>
      <c r="Z21" s="6">
        <f>IFERROR(__xludf.DUMMYFUNCTION("""COMPUTED_VALUE"""),120586.0)</f>
        <v>120586</v>
      </c>
      <c r="AA21" s="6" t="str">
        <f>IFERROR(__xludf.DUMMYFUNCTION("""COMPUTED_VALUE"""),"SURA")</f>
        <v>SURA</v>
      </c>
      <c r="AB21" s="6"/>
      <c r="AC21" s="6"/>
      <c r="AD21" s="12" t="str">
        <f>IFERROR(__xludf.DUMMYFUNCTION("""COMPUTED_VALUE"""),"PVB")</f>
        <v>PVB</v>
      </c>
      <c r="AE21" s="12" t="str">
        <f>IFERROR(__xludf.DUMMYFUNCTION("""COMPUTED_VALUE"""),"1345282583")</f>
        <v>1345282583</v>
      </c>
      <c r="AF21" s="12" t="str">
        <f>IFERROR(__xludf.DUMMYFUNCTION("""COMPUTED_VALUE"""),"1345282583")</f>
        <v>1345282583</v>
      </c>
      <c r="AG21" s="12" t="str">
        <f>IFERROR(__xludf.DUMMYFUNCTION("""COMPUTED_VALUE"""),"María")</f>
        <v>María</v>
      </c>
      <c r="AH21" s="12" t="str">
        <f>IFERROR(__xludf.DUMMYFUNCTION("""COMPUTED_VALUE"""),"Cristina")</f>
        <v>Cristina</v>
      </c>
      <c r="AI21" s="6" t="str">
        <f>IFERROR(__xludf.DUMMYFUNCTION("""COMPUTED_VALUE"""),"Buriticá Corrales")</f>
        <v>Buriticá Corrales</v>
      </c>
      <c r="AJ21" s="6" t="str">
        <f>IFERROR(__xludf.DUMMYFUNCTION("""COMPUTED_VALUE"""),"mariacb@gi.edu.co")</f>
        <v>mariacb@gi.edu.co</v>
      </c>
      <c r="AK21" s="6" t="str">
        <f>IFERROR(__xludf.DUMMYFUNCTION("""COMPUTED_VALUE"""),"Tecnica ")</f>
        <v>Tecnica </v>
      </c>
      <c r="AL21" s="6" t="str">
        <f>IFERROR(__xludf.DUMMYFUNCTION("""COMPUTED_VALUE"""),"GI School")</f>
        <v>GI School</v>
      </c>
      <c r="AM21" s="12" t="str">
        <f>IFERROR(__xludf.DUMMYFUNCTION("""COMPUTED_VALUE"""),"1098312828")</f>
        <v>1098312828</v>
      </c>
      <c r="AN21" s="12" t="str">
        <f>IFERROR(__xludf.DUMMYFUNCTION("""COMPUTED_VALUE"""),"3208982893")</f>
        <v>3208982893</v>
      </c>
      <c r="AO21" s="6" t="str">
        <f>IFERROR(__xludf.DUMMYFUNCTION("""COMPUTED_VALUE"""),"Madre")</f>
        <v>Madre</v>
      </c>
      <c r="AP21" s="12" t="str">
        <f>IFERROR(__xludf.DUMMYFUNCTION("""COMPUTED_VALUE"""),"Estudiante(s): Isasa Buriticá")</f>
        <v>Estudiante(s): Isasa Buriticá</v>
      </c>
      <c r="AQ21" s="6" t="str">
        <f>IFERROR(__xludf.DUMMYFUNCTION("""COMPUTED_VALUE"""),"120586*Gi")</f>
        <v>120586*Gi</v>
      </c>
      <c r="AR21" s="6" t="str">
        <f>IFERROR(__xludf.DUMMYFUNCTION("""COMPUTED_VALUE"""),"Nicolás")</f>
        <v>Nicolás</v>
      </c>
      <c r="AS21" s="6"/>
      <c r="AT21" s="6" t="str">
        <f>IFERROR(__xludf.DUMMYFUNCTION("""COMPUTED_VALUE"""),"Isasa Hernández")</f>
        <v>Isasa Hernández</v>
      </c>
      <c r="AU21" s="6" t="str">
        <f>IFERROR(__xludf.DUMMYFUNCTION("""COMPUTED_VALUE"""),"nicolasisasa197@gmail.com")</f>
        <v>nicolasisasa197@gmail.com</v>
      </c>
      <c r="AV21" s="6" t="str">
        <f>IFERROR(__xludf.DUMMYFUNCTION("""COMPUTED_VALUE"""),"Comercio y finanzas")</f>
        <v>Comercio y finanzas</v>
      </c>
      <c r="AW21" s="6"/>
      <c r="AX21" s="12" t="str">
        <f>IFERROR(__xludf.DUMMYFUNCTION("""COMPUTED_VALUE"""),"1010085209")</f>
        <v>1010085209</v>
      </c>
      <c r="AY21" s="12" t="str">
        <f>IFERROR(__xludf.DUMMYFUNCTION("""COMPUTED_VALUE"""),"3216486779")</f>
        <v>3216486779</v>
      </c>
      <c r="AZ21" s="6" t="str">
        <f>IFERROR(__xludf.DUMMYFUNCTION("""COMPUTED_VALUE"""),"Padre")</f>
        <v>Padre</v>
      </c>
      <c r="BA21" s="6"/>
      <c r="BB21" s="6"/>
      <c r="BC21" s="6"/>
      <c r="BD21" s="12" t="str">
        <f>IFERROR(__xludf.DUMMYFUNCTION("""COMPUTED_VALUE"""),"isa0002")</f>
        <v>isa0002</v>
      </c>
      <c r="BE21" s="6" t="str">
        <f>IFERROR(__xludf.DUMMYFUNCTION("""COMPUTED_VALUE"""),"NUEVO(A)")</f>
        <v>NUEVO(A)</v>
      </c>
      <c r="BF21" s="12" t="str">
        <f>IFERROR(__xludf.DUMMYFUNCTION("""COMPUTED_VALUE"""),"HIJA DOCENTE")</f>
        <v>HIJA DOCENTE</v>
      </c>
      <c r="BG21" s="6">
        <f>IFERROR(__xludf.DUMMYFUNCTION("""COMPUTED_VALUE"""),2042.0)</f>
        <v>2042</v>
      </c>
      <c r="BH21" s="15">
        <f>IFERROR(__xludf.DUMMYFUNCTION("""COMPUTED_VALUE"""),46182.4396875)</f>
        <v>46182.43969</v>
      </c>
      <c r="BI21" s="6">
        <f>IFERROR(__xludf.DUMMYFUNCTION("""COMPUTED_VALUE"""),20.0)</f>
        <v>20</v>
      </c>
      <c r="BJ21" s="6"/>
      <c r="BK21" s="6"/>
      <c r="BL21" s="6" t="str">
        <f>IFERROR(__xludf.DUMMYFUNCTION("""COMPUTED_VALUE"""),"GISISA0002")</f>
        <v>GISISA0002</v>
      </c>
      <c r="BM21" s="6"/>
      <c r="BN21" s="6"/>
      <c r="BO21" s="6"/>
      <c r="BP21" s="6"/>
      <c r="BQ21" s="6"/>
      <c r="BR21" s="6"/>
      <c r="BS21" s="6"/>
      <c r="BT21" s="6"/>
      <c r="BU21" s="6" t="str">
        <f>IFERROR(__xludf.DUMMYFUNCTION("""COMPUTED_VALUE"""),"SI")</f>
        <v>SI</v>
      </c>
      <c r="BV21" s="6" t="str">
        <f>IFERROR(__xludf.DUMMYFUNCTION("""COMPUTED_VALUE"""),"dulce.i2042")</f>
        <v>dulce.i2042</v>
      </c>
      <c r="BW21" s="6"/>
      <c r="BX21" s="6"/>
      <c r="BY21" s="6"/>
      <c r="BZ21" s="6"/>
    </row>
    <row r="22">
      <c r="A22" s="12" t="str">
        <f>IFERROR(__xludf.DUMMYFUNCTION("""COMPUTED_VALUE"""),"1092867298")</f>
        <v>1092867298</v>
      </c>
      <c r="B22" s="6">
        <f>IFERROR(__xludf.DUMMYFUNCTION("""COMPUTED_VALUE"""),8.0)</f>
        <v>8</v>
      </c>
      <c r="C22" s="6" t="str">
        <f>IFERROR(__xludf.DUMMYFUNCTION("""COMPUTED_VALUE"""),"Emma")</f>
        <v>Emma</v>
      </c>
      <c r="D22" s="6"/>
      <c r="E22" s="6" t="str">
        <f>IFERROR(__xludf.DUMMYFUNCTION("""COMPUTED_VALUE"""),"Londoño Castellanos")</f>
        <v>Londoño Castellanos</v>
      </c>
      <c r="F22" s="6" t="str">
        <f>IFERROR(__xludf.DUMMYFUNCTION("""COMPUTED_VALUE"""),"Altos de la Sierra Casa 13 - Cra 19 No21Nte - 48")</f>
        <v>Altos de la Sierra Casa 13 - Cra 19 No21Nte - 48</v>
      </c>
      <c r="G22" s="12">
        <f>IFERROR(__xludf.DUMMYFUNCTION("""COMPUTED_VALUE"""),2024.0)</f>
        <v>2024</v>
      </c>
      <c r="H22" s="12" t="str">
        <f>IFERROR(__xludf.DUMMYFUNCTION("""COMPUTED_VALUE"""),"Enero")</f>
        <v>Enero</v>
      </c>
      <c r="I22" s="12">
        <f>IFERROR(__xludf.DUMMYFUNCTION("""COMPUTED_VALUE"""),31.0)</f>
        <v>31</v>
      </c>
      <c r="J22" s="6"/>
      <c r="K22" s="12" t="str">
        <f>IFERROR(__xludf.DUMMYFUNCTION("""COMPUTED_VALUE"""),"emma.lc2042@gi.edu.co")</f>
        <v>emma.lc2042@gi.edu.co</v>
      </c>
      <c r="L22" s="6" t="str">
        <f>IFERROR(__xludf.DUMMYFUNCTION("""COMPUTED_VALUE"""),"RC")</f>
        <v>RC</v>
      </c>
      <c r="M22" s="6" t="str">
        <f>IFERROR(__xludf.DUMMYFUNCTION("""COMPUTED_VALUE"""),"Armenia")</f>
        <v>Armenia</v>
      </c>
      <c r="N22" s="6" t="str">
        <f>IFERROR(__xludf.DUMMYFUNCTION("""COMPUTED_VALUE"""),"F")</f>
        <v>F</v>
      </c>
      <c r="O22" s="6" t="str">
        <f>IFERROR(__xludf.DUMMYFUNCTION("""COMPUTED_VALUE"""),"ACTIVE")</f>
        <v>ACTIVE</v>
      </c>
      <c r="P22" s="6" t="str">
        <f>IFERROR(__xludf.DUMMYFUNCTION("""COMPUTED_VALUE"""),"2°Hermano")</f>
        <v>2°Hermano</v>
      </c>
      <c r="Q22" s="6" t="str">
        <f>IFERROR(__xludf.DUMMYFUNCTION("""COMPUTED_VALUE"""),"Circasia")</f>
        <v>Circasia</v>
      </c>
      <c r="R22" s="12" t="str">
        <f>IFERROR(__xludf.DUMMYFUNCTION("""COMPUTED_VALUE"""),"GiL4pH9R*")</f>
        <v>GiL4pH9R*</v>
      </c>
      <c r="S22" s="6" t="str">
        <f>IFERROR(__xludf.DUMMYFUNCTION("""COMPUTED_VALUE"""),"Londoño Castellanos Emma ")</f>
        <v>Londoño Castellanos Emma </v>
      </c>
      <c r="T22" s="6" t="str">
        <f>IFERROR(__xludf.DUMMYFUNCTION("""COMPUTED_VALUE"""),"PAOLA MARCELA CASTELLANOS ACEVEDO")</f>
        <v>PAOLA MARCELA CASTELLANOS ACEVEDO</v>
      </c>
      <c r="U22" s="12" t="str">
        <f>IFERROR(__xludf.DUMMYFUNCTION("""COMPUTED_VALUE"""),"1094938615")</f>
        <v>1094938615</v>
      </c>
      <c r="V22" s="6">
        <f>IFERROR(__xludf.DUMMYFUNCTION("""COMPUTED_VALUE"""),3.217009074E9)</f>
        <v>3217009074</v>
      </c>
      <c r="W22" s="6" t="str">
        <f>IFERROR(__xludf.DUMMYFUNCTION("""COMPUTED_VALUE"""),"paoma911@gmail.com")</f>
        <v>paoma911@gmail.com</v>
      </c>
      <c r="X22" s="12" t="str">
        <f>IFERROR(__xludf.DUMMYFUNCTION("""COMPUTED_VALUE"""),"O+")</f>
        <v>O+</v>
      </c>
      <c r="Y22" s="12" t="str">
        <f>IFERROR(__xludf.DUMMYFUNCTION("""COMPUTED_VALUE"""),"PV")</f>
        <v>PV</v>
      </c>
      <c r="Z22" s="6">
        <f>IFERROR(__xludf.DUMMYFUNCTION("""COMPUTED_VALUE"""),120588.0)</f>
        <v>120588</v>
      </c>
      <c r="AA22" s="6" t="str">
        <f>IFERROR(__xludf.DUMMYFUNCTION("""COMPUTED_VALUE"""),"SURA")</f>
        <v>SURA</v>
      </c>
      <c r="AB22" s="6"/>
      <c r="AC22" s="6"/>
      <c r="AD22" s="12" t="str">
        <f>IFERROR(__xludf.DUMMYFUNCTION("""COMPUTED_VALUE"""),"PVB")</f>
        <v>PVB</v>
      </c>
      <c r="AE22" s="12" t="str">
        <f>IFERROR(__xludf.DUMMYFUNCTION("""COMPUTED_VALUE"""),"1345282585")</f>
        <v>1345282585</v>
      </c>
      <c r="AF22" s="12" t="str">
        <f>IFERROR(__xludf.DUMMYFUNCTION("""COMPUTED_VALUE"""),"1345282585")</f>
        <v>1345282585</v>
      </c>
      <c r="AG22" s="12" t="str">
        <f>IFERROR(__xludf.DUMMYFUNCTION("""COMPUTED_VALUE"""),"Paola")</f>
        <v>Paola</v>
      </c>
      <c r="AH22" s="12" t="str">
        <f>IFERROR(__xludf.DUMMYFUNCTION("""COMPUTED_VALUE"""),"Marcela")</f>
        <v>Marcela</v>
      </c>
      <c r="AI22" s="6" t="str">
        <f>IFERROR(__xludf.DUMMYFUNCTION("""COMPUTED_VALUE"""),"Castellanos Acevedo")</f>
        <v>Castellanos Acevedo</v>
      </c>
      <c r="AJ22" s="6" t="str">
        <f>IFERROR(__xludf.DUMMYFUNCTION("""COMPUTED_VALUE"""),"paoma911@gmail.com")</f>
        <v>paoma911@gmail.com</v>
      </c>
      <c r="AK22" s="6" t="str">
        <f>IFERROR(__xludf.DUMMYFUNCTION("""COMPUTED_VALUE"""),"Arquitecta ")</f>
        <v>Arquitecta </v>
      </c>
      <c r="AL22" s="6" t="str">
        <f>IFERROR(__xludf.DUMMYFUNCTION("""COMPUTED_VALUE"""),"Independiente")</f>
        <v>Independiente</v>
      </c>
      <c r="AM22" s="12" t="str">
        <f>IFERROR(__xludf.DUMMYFUNCTION("""COMPUTED_VALUE"""),"1094938615")</f>
        <v>1094938615</v>
      </c>
      <c r="AN22" s="12" t="str">
        <f>IFERROR(__xludf.DUMMYFUNCTION("""COMPUTED_VALUE"""),"3217009074")</f>
        <v>3217009074</v>
      </c>
      <c r="AO22" s="6" t="str">
        <f>IFERROR(__xludf.DUMMYFUNCTION("""COMPUTED_VALUE"""),"Madre")</f>
        <v>Madre</v>
      </c>
      <c r="AP22" s="6" t="str">
        <f>IFERROR(__xludf.DUMMYFUNCTION("""COMPUTED_VALUE"""),"Estudiante(s): Londoño Ramírez César &amp; Londoño Castellanos Enzo Felipe")</f>
        <v>Estudiante(s): Londoño Ramírez César &amp; Londoño Castellanos Enzo Felipe</v>
      </c>
      <c r="AQ22" s="6" t="str">
        <f>IFERROR(__xludf.DUMMYFUNCTION("""COMPUTED_VALUE"""),"120433*Gi")</f>
        <v>120433*Gi</v>
      </c>
      <c r="AR22" s="6" t="str">
        <f>IFERROR(__xludf.DUMMYFUNCTION("""COMPUTED_VALUE"""),"Mario")</f>
        <v>Mario</v>
      </c>
      <c r="AS22" s="6"/>
      <c r="AT22" s="6" t="str">
        <f>IFERROR(__xludf.DUMMYFUNCTION("""COMPUTED_VALUE"""),"Londoño Varon")</f>
        <v>Londoño Varon</v>
      </c>
      <c r="AU22" s="6" t="str">
        <f>IFERROR(__xludf.DUMMYFUNCTION("""COMPUTED_VALUE"""),"mariolond33@gmail.com")</f>
        <v>mariolond33@gmail.com</v>
      </c>
      <c r="AV22" s="6" t="str">
        <f>IFERROR(__xludf.DUMMYFUNCTION("""COMPUTED_VALUE"""),"Administrador empresas")</f>
        <v>Administrador empresas</v>
      </c>
      <c r="AW22" s="6" t="str">
        <f>IFERROR(__xludf.DUMMYFUNCTION("""COMPUTED_VALUE"""),"Independiente")</f>
        <v>Independiente</v>
      </c>
      <c r="AX22" s="12" t="str">
        <f>IFERROR(__xludf.DUMMYFUNCTION("""COMPUTED_VALUE"""),"1094917171")</f>
        <v>1094917171</v>
      </c>
      <c r="AY22" s="12" t="str">
        <f>IFERROR(__xludf.DUMMYFUNCTION("""COMPUTED_VALUE"""),"3165894784")</f>
        <v>3165894784</v>
      </c>
      <c r="AZ22" s="6" t="str">
        <f>IFERROR(__xludf.DUMMYFUNCTION("""COMPUTED_VALUE"""),"Padre")</f>
        <v>Padre</v>
      </c>
      <c r="BA22" s="6"/>
      <c r="BB22" s="6"/>
      <c r="BC22" s="6"/>
      <c r="BD22" s="12" t="str">
        <f>IFERROR(__xludf.DUMMYFUNCTION("""COMPUTED_VALUE"""),"lon0015")</f>
        <v>lon0015</v>
      </c>
      <c r="BE22" s="6" t="str">
        <f>IFERROR(__xludf.DUMMYFUNCTION("""COMPUTED_VALUE"""),"NUEVO(A)")</f>
        <v>NUEVO(A)</v>
      </c>
      <c r="BF22" s="6"/>
      <c r="BG22" s="6">
        <f>IFERROR(__xludf.DUMMYFUNCTION("""COMPUTED_VALUE"""),2042.0)</f>
        <v>2042</v>
      </c>
      <c r="BH22" s="15">
        <f>IFERROR(__xludf.DUMMYFUNCTION("""COMPUTED_VALUE"""),46198.40833333333)</f>
        <v>46198.40833</v>
      </c>
      <c r="BI22" s="6">
        <f>IFERROR(__xludf.DUMMYFUNCTION("""COMPUTED_VALUE"""),21.0)</f>
        <v>21</v>
      </c>
      <c r="BJ22" s="6"/>
      <c r="BK22" s="6"/>
      <c r="BL22" s="6" t="str">
        <f>IFERROR(__xludf.DUMMYFUNCTION("""COMPUTED_VALUE"""),"GISLON0015")</f>
        <v>GISLON0015</v>
      </c>
      <c r="BM22" s="6"/>
      <c r="BN22" s="6"/>
      <c r="BO22" s="6"/>
      <c r="BP22" s="6"/>
      <c r="BQ22" s="6"/>
      <c r="BR22" s="6"/>
      <c r="BS22" s="6"/>
      <c r="BT22" s="6"/>
      <c r="BU22" s="6" t="str">
        <f>IFERROR(__xludf.DUMMYFUNCTION("""COMPUTED_VALUE"""),"SI")</f>
        <v>SI</v>
      </c>
      <c r="BV22" s="12" t="str">
        <f>IFERROR(__xludf.DUMMYFUNCTION("""COMPUTED_VALUE"""),"emma.lc2042")</f>
        <v>emma.lc2042</v>
      </c>
      <c r="BW22" s="6"/>
      <c r="BX22" s="6"/>
      <c r="BY22" s="6"/>
      <c r="BZ22" s="6"/>
    </row>
    <row r="23">
      <c r="A23" s="12" t="str">
        <f>IFERROR(__xludf.DUMMYFUNCTION("""COMPUTED_VALUE"""),"1092867191")</f>
        <v>1092867191</v>
      </c>
      <c r="B23" s="6">
        <f>IFERROR(__xludf.DUMMYFUNCTION("""COMPUTED_VALUE"""),9.0)</f>
        <v>9</v>
      </c>
      <c r="C23" s="6" t="str">
        <f>IFERROR(__xludf.DUMMYFUNCTION("""COMPUTED_VALUE"""),"Cristina")</f>
        <v>Cristina</v>
      </c>
      <c r="D23" s="6"/>
      <c r="E23" s="6" t="str">
        <f>IFERROR(__xludf.DUMMYFUNCTION("""COMPUTED_VALUE"""),"Moreno Mora")</f>
        <v>Moreno Mora</v>
      </c>
      <c r="F23" s="6" t="str">
        <f>IFERROR(__xludf.DUMMYFUNCTION("""COMPUTED_VALUE"""),"Condominio Hacienda Horizontes - Km 3 Via Circasia Vereda la Florida")</f>
        <v>Condominio Hacienda Horizontes - Km 3 Via Circasia Vereda la Florida</v>
      </c>
      <c r="G23" s="12">
        <f>IFERROR(__xludf.DUMMYFUNCTION("""COMPUTED_VALUE"""),2023.0)</f>
        <v>2023</v>
      </c>
      <c r="H23" s="12" t="str">
        <f>IFERROR(__xludf.DUMMYFUNCTION("""COMPUTED_VALUE"""),"Noviembre")</f>
        <v>Noviembre</v>
      </c>
      <c r="I23" s="12">
        <f>IFERROR(__xludf.DUMMYFUNCTION("""COMPUTED_VALUE"""),30.0)</f>
        <v>30</v>
      </c>
      <c r="J23" s="6"/>
      <c r="K23" s="12" t="str">
        <f>IFERROR(__xludf.DUMMYFUNCTION("""COMPUTED_VALUE"""),"cristina.m2041@gi.edu.co")</f>
        <v>cristina.m2041@gi.edu.co</v>
      </c>
      <c r="L23" s="6" t="str">
        <f>IFERROR(__xludf.DUMMYFUNCTION("""COMPUTED_VALUE"""),"RC")</f>
        <v>RC</v>
      </c>
      <c r="M23" s="6" t="str">
        <f>IFERROR(__xludf.DUMMYFUNCTION("""COMPUTED_VALUE"""),"Circasia")</f>
        <v>Circasia</v>
      </c>
      <c r="N23" s="6" t="str">
        <f>IFERROR(__xludf.DUMMYFUNCTION("""COMPUTED_VALUE"""),"F")</f>
        <v>F</v>
      </c>
      <c r="O23" s="6" t="str">
        <f>IFERROR(__xludf.DUMMYFUNCTION("""COMPUTED_VALUE"""),"ACTIVE")</f>
        <v>ACTIVE</v>
      </c>
      <c r="P23" s="6" t="str">
        <f>IFERROR(__xludf.DUMMYFUNCTION("""COMPUTED_VALUE"""),"2°Hermano")</f>
        <v>2°Hermano</v>
      </c>
      <c r="Q23" s="6" t="str">
        <f>IFERROR(__xludf.DUMMYFUNCTION("""COMPUTED_VALUE"""),"Armenia")</f>
        <v>Armenia</v>
      </c>
      <c r="R23" s="12" t="str">
        <f>IFERROR(__xludf.DUMMYFUNCTION("""COMPUTED_VALUE"""),"GiT3Yk6P*")</f>
        <v>GiT3Yk6P*</v>
      </c>
      <c r="S23" s="6" t="str">
        <f>IFERROR(__xludf.DUMMYFUNCTION("""COMPUTED_VALUE"""),"Moreno Mora Cristina ")</f>
        <v>Moreno Mora Cristina </v>
      </c>
      <c r="T23" s="6" t="str">
        <f>IFERROR(__xludf.DUMMYFUNCTION("""COMPUTED_VALUE"""),"CAFE QUINDIO SAS -")</f>
        <v>CAFE QUINDIO SAS -</v>
      </c>
      <c r="U23" s="12" t="str">
        <f>IFERROR(__xludf.DUMMYFUNCTION("""COMPUTED_VALUE"""),"900273380")</f>
        <v>900273380</v>
      </c>
      <c r="V23" s="6">
        <f>IFERROR(__xludf.DUMMYFUNCTION("""COMPUTED_VALUE"""),3.127603343E9)</f>
        <v>3127603343</v>
      </c>
      <c r="W23" s="6" t="str">
        <f>IFERROR(__xludf.DUMMYFUNCTION("""COMPUTED_VALUE"""),"cq@cafequindio.com.co")</f>
        <v>cq@cafequindio.com.co</v>
      </c>
      <c r="X23" s="12" t="str">
        <f>IFERROR(__xludf.DUMMYFUNCTION("""COMPUTED_VALUE"""),"A+")</f>
        <v>A+</v>
      </c>
      <c r="Y23" s="12" t="str">
        <f>IFERROR(__xludf.DUMMYFUNCTION("""COMPUTED_VALUE"""),"PV")</f>
        <v>PV</v>
      </c>
      <c r="Z23" s="6">
        <f>IFERROR(__xludf.DUMMYFUNCTION("""COMPUTED_VALUE"""),120585.0)</f>
        <v>120585</v>
      </c>
      <c r="AA23" s="6" t="str">
        <f>IFERROR(__xludf.DUMMYFUNCTION("""COMPUTED_VALUE"""),"SURA")</f>
        <v>SURA</v>
      </c>
      <c r="AB23" s="6"/>
      <c r="AC23" s="6"/>
      <c r="AD23" s="12" t="str">
        <f>IFERROR(__xludf.DUMMYFUNCTION("""COMPUTED_VALUE"""),"PVB")</f>
        <v>PVB</v>
      </c>
      <c r="AE23" s="12" t="str">
        <f>IFERROR(__xludf.DUMMYFUNCTION("""COMPUTED_VALUE"""),"1345282582")</f>
        <v>1345282582</v>
      </c>
      <c r="AF23" s="12" t="str">
        <f>IFERROR(__xludf.DUMMYFUNCTION("""COMPUTED_VALUE"""),"1345282582")</f>
        <v>1345282582</v>
      </c>
      <c r="AG23" s="12" t="str">
        <f>IFERROR(__xludf.DUMMYFUNCTION("""COMPUTED_VALUE"""),"Melissa")</f>
        <v>Melissa</v>
      </c>
      <c r="AH23" s="6"/>
      <c r="AI23" s="6" t="str">
        <f>IFERROR(__xludf.DUMMYFUNCTION("""COMPUTED_VALUE"""),"Mora Martínez")</f>
        <v>Mora Martínez</v>
      </c>
      <c r="AJ23" s="6" t="str">
        <f>IFERROR(__xludf.DUMMYFUNCTION("""COMPUTED_VALUE"""),"mely_mmm@hotmail.com")</f>
        <v>mely_mmm@hotmail.com</v>
      </c>
      <c r="AK23" s="6" t="str">
        <f>IFERROR(__xludf.DUMMYFUNCTION("""COMPUTED_VALUE"""),"administrador de empresas")</f>
        <v>administrador de empresas</v>
      </c>
      <c r="AL23" s="6" t="str">
        <f>IFERROR(__xludf.DUMMYFUNCTION("""COMPUTED_VALUE"""),"Ama de casa")</f>
        <v>Ama de casa</v>
      </c>
      <c r="AM23" s="12" t="str">
        <f>IFERROR(__xludf.DUMMYFUNCTION("""COMPUTED_VALUE"""),"1082935776")</f>
        <v>1082935776</v>
      </c>
      <c r="AN23" s="12" t="str">
        <f>IFERROR(__xludf.DUMMYFUNCTION("""COMPUTED_VALUE"""),"3215405001")</f>
        <v>3215405001</v>
      </c>
      <c r="AO23" s="6" t="str">
        <f>IFERROR(__xludf.DUMMYFUNCTION("""COMPUTED_VALUE"""),"Madre")</f>
        <v>Madre</v>
      </c>
      <c r="AP23" s="12" t="str">
        <f>IFERROR(__xludf.DUMMYFUNCTION("""COMPUTED_VALUE"""),"Estudiante(s): Moreno Mora")</f>
        <v>Estudiante(s): Moreno Mora</v>
      </c>
      <c r="AQ23" s="6" t="str">
        <f>IFERROR(__xludf.DUMMYFUNCTION("""COMPUTED_VALUE"""),"120436*Gi")</f>
        <v>120436*Gi</v>
      </c>
      <c r="AR23" s="6" t="str">
        <f>IFERROR(__xludf.DUMMYFUNCTION("""COMPUTED_VALUE"""),"Jaime")</f>
        <v>Jaime</v>
      </c>
      <c r="AS23" s="6" t="str">
        <f>IFERROR(__xludf.DUMMYFUNCTION("""COMPUTED_VALUE"""),"Andrés")</f>
        <v>Andrés</v>
      </c>
      <c r="AT23" s="6" t="str">
        <f>IFERROR(__xludf.DUMMYFUNCTION("""COMPUTED_VALUE"""),"Moreno Motta")</f>
        <v>Moreno Motta</v>
      </c>
      <c r="AU23" s="6" t="str">
        <f>IFERROR(__xludf.DUMMYFUNCTION("""COMPUTED_VALUE"""),"jaimeamoreno@gmail.com")</f>
        <v>jaimeamoreno@gmail.com</v>
      </c>
      <c r="AV23" s="6" t="str">
        <f>IFERROR(__xludf.DUMMYFUNCTION("""COMPUTED_VALUE"""),"administrador de empresas")</f>
        <v>administrador de empresas</v>
      </c>
      <c r="AW23" s="6" t="str">
        <f>IFERROR(__xludf.DUMMYFUNCTION("""COMPUTED_VALUE"""),"Cafe Quindio")</f>
        <v>Cafe Quindio</v>
      </c>
      <c r="AX23" s="12" t="str">
        <f>IFERROR(__xludf.DUMMYFUNCTION("""COMPUTED_VALUE"""),"1094887542")</f>
        <v>1094887542</v>
      </c>
      <c r="AY23" s="12" t="str">
        <f>IFERROR(__xludf.DUMMYFUNCTION("""COMPUTED_VALUE"""),"3206936900")</f>
        <v>3206936900</v>
      </c>
      <c r="AZ23" s="6" t="str">
        <f>IFERROR(__xludf.DUMMYFUNCTION("""COMPUTED_VALUE"""),"Padre")</f>
        <v>Padre</v>
      </c>
      <c r="BA23" s="6" t="str">
        <f>IFERROR(__xludf.DUMMYFUNCTION("""COMPUTED_VALUE"""),"CAFE QUINDIO SAS -")</f>
        <v>CAFE QUINDIO SAS -</v>
      </c>
      <c r="BB23" s="6">
        <f>IFERROR(__xludf.DUMMYFUNCTION("""COMPUTED_VALUE"""),3.127603343E9)</f>
        <v>3127603343</v>
      </c>
      <c r="BC23" s="6" t="str">
        <f>IFERROR(__xludf.DUMMYFUNCTION("""COMPUTED_VALUE"""),"Persona Jurídica")</f>
        <v>Persona Jurídica</v>
      </c>
      <c r="BD23" s="12" t="str">
        <f>IFERROR(__xludf.DUMMYFUNCTION("""COMPUTED_VALUE"""),"mor0012")</f>
        <v>mor0012</v>
      </c>
      <c r="BE23" s="6" t="str">
        <f>IFERROR(__xludf.DUMMYFUNCTION("""COMPUTED_VALUE"""),"NUEVO(A)")</f>
        <v>NUEVO(A)</v>
      </c>
      <c r="BF23" s="12" t="str">
        <f>IFERROR(__xludf.DUMMYFUNCTION("""COMPUTED_VALUE"""),"HIJA DE EGRESADO")</f>
        <v>HIJA DE EGRESADO</v>
      </c>
      <c r="BG23" s="6">
        <f>IFERROR(__xludf.DUMMYFUNCTION("""COMPUTED_VALUE"""),2042.0)</f>
        <v>2042</v>
      </c>
      <c r="BH23" s="15">
        <f>IFERROR(__xludf.DUMMYFUNCTION("""COMPUTED_VALUE"""),46199.68074074074)</f>
        <v>46199.68074</v>
      </c>
      <c r="BI23" s="6">
        <f>IFERROR(__xludf.DUMMYFUNCTION("""COMPUTED_VALUE"""),22.0)</f>
        <v>22</v>
      </c>
      <c r="BJ23" s="6"/>
      <c r="BK23" s="6"/>
      <c r="BL23" s="6" t="str">
        <f>IFERROR(__xludf.DUMMYFUNCTION("""COMPUTED_VALUE"""),"GISMOR0012")</f>
        <v>GISMOR0012</v>
      </c>
      <c r="BM23" s="6"/>
      <c r="BN23" s="6"/>
      <c r="BO23" s="6"/>
      <c r="BP23" s="6"/>
      <c r="BQ23" s="6"/>
      <c r="BR23" s="6"/>
      <c r="BS23" s="6"/>
      <c r="BT23" s="6"/>
      <c r="BU23" s="6" t="str">
        <f>IFERROR(__xludf.DUMMYFUNCTION("""COMPUTED_VALUE"""),"SI")</f>
        <v>SI</v>
      </c>
      <c r="BV23" s="6" t="str">
        <f>IFERROR(__xludf.DUMMYFUNCTION("""COMPUTED_VALUE"""),"cristina.m2041")</f>
        <v>cristina.m2041</v>
      </c>
      <c r="BW23" s="6"/>
      <c r="BX23" s="6"/>
      <c r="BY23" s="6"/>
      <c r="BZ23" s="6"/>
    </row>
    <row r="24">
      <c r="A24" s="12">
        <f>IFERROR(__xludf.DUMMYFUNCTION("""COMPUTED_VALUE"""),1.091890476E9)</f>
        <v>1091890476</v>
      </c>
      <c r="B24" s="6">
        <f>IFERROR(__xludf.DUMMYFUNCTION("""COMPUTED_VALUE"""),10.0)</f>
        <v>10</v>
      </c>
      <c r="C24" s="6" t="str">
        <f>IFERROR(__xludf.DUMMYFUNCTION("""COMPUTED_VALUE"""),"Gabriel")</f>
        <v>Gabriel</v>
      </c>
      <c r="D24" s="6"/>
      <c r="E24" s="6" t="str">
        <f>IFERROR(__xludf.DUMMYFUNCTION("""COMPUTED_VALUE"""),"Salcedo Álvarez")</f>
        <v>Salcedo Álvarez</v>
      </c>
      <c r="F24" s="6" t="str">
        <f>IFERROR(__xludf.DUMMYFUNCTION("""COMPUTED_VALUE"""),"LA RESERVA TORRE MACARENA APTO 1801 - AV CENTENARIO")</f>
        <v>LA RESERVA TORRE MACARENA APTO 1801 - AV CENTENARIO</v>
      </c>
      <c r="G24" s="12">
        <f>IFERROR(__xludf.DUMMYFUNCTION("""COMPUTED_VALUE"""),2024.0)</f>
        <v>2024</v>
      </c>
      <c r="H24" s="12" t="str">
        <f>IFERROR(__xludf.DUMMYFUNCTION("""COMPUTED_VALUE"""),"Mayo")</f>
        <v>Mayo</v>
      </c>
      <c r="I24" s="12">
        <f>IFERROR(__xludf.DUMMYFUNCTION("""COMPUTED_VALUE"""),9.0)</f>
        <v>9</v>
      </c>
      <c r="J24" s="6"/>
      <c r="K24" s="12" t="str">
        <f>IFERROR(__xludf.DUMMYFUNCTION("""COMPUTED_VALUE"""),"gabriel.s2042@gi.edu.co")</f>
        <v>gabriel.s2042@gi.edu.co</v>
      </c>
      <c r="L24" s="6" t="str">
        <f>IFERROR(__xludf.DUMMYFUNCTION("""COMPUTED_VALUE"""),"RC")</f>
        <v>RC</v>
      </c>
      <c r="M24" s="6" t="str">
        <f>IFERROR(__xludf.DUMMYFUNCTION("""COMPUTED_VALUE"""),"Armenia")</f>
        <v>Armenia</v>
      </c>
      <c r="N24" s="6" t="str">
        <f>IFERROR(__xludf.DUMMYFUNCTION("""COMPUTED_VALUE"""),"M")</f>
        <v>M</v>
      </c>
      <c r="O24" s="6" t="str">
        <f>IFERROR(__xludf.DUMMYFUNCTION("""COMPUTED_VALUE"""),"INACTIVE")</f>
        <v>INACTIVE</v>
      </c>
      <c r="P24" s="6"/>
      <c r="Q24" s="6"/>
      <c r="R24" s="12" t="str">
        <f>IFERROR(__xludf.DUMMYFUNCTION("""COMPUTED_VALUE"""),"GiW9tF5J*")</f>
        <v>GiW9tF5J*</v>
      </c>
      <c r="S24" s="6" t="str">
        <f>IFERROR(__xludf.DUMMYFUNCTION("""COMPUTED_VALUE"""),"Salcedo Álvarez Gabriel ")</f>
        <v>Salcedo Álvarez Gabriel </v>
      </c>
      <c r="T24" s="6" t="str">
        <f>IFERROR(__xludf.DUMMYFUNCTION("""COMPUTED_VALUE"""),"JUAN ANTONIO SALCEDO GOMEZ")</f>
        <v>JUAN ANTONIO SALCEDO GOMEZ</v>
      </c>
      <c r="U24" s="12" t="str">
        <f>IFERROR(__xludf.DUMMYFUNCTION("""COMPUTED_VALUE"""),"1094913578")</f>
        <v>1094913578</v>
      </c>
      <c r="V24" s="6">
        <f>IFERROR(__xludf.DUMMYFUNCTION("""COMPUTED_VALUE"""),3.017840533E9)</f>
        <v>3017840533</v>
      </c>
      <c r="W24" s="6" t="str">
        <f>IFERROR(__xludf.DUMMYFUNCTION("""COMPUTED_VALUE"""),"juan.salcedo@me.com")</f>
        <v>juan.salcedo@me.com</v>
      </c>
      <c r="X24" s="12" t="str">
        <f>IFERROR(__xludf.DUMMYFUNCTION("""COMPUTED_VALUE"""),"A+")</f>
        <v>A+</v>
      </c>
      <c r="Y24" s="12" t="str">
        <f>IFERROR(__xludf.DUMMYFUNCTION("""COMPUTED_VALUE"""),"PV")</f>
        <v>PV</v>
      </c>
      <c r="Z24" s="6">
        <f>IFERROR(__xludf.DUMMYFUNCTION("""COMPUTED_VALUE"""),120591.0)</f>
        <v>120591</v>
      </c>
      <c r="AA24" s="6" t="str">
        <f>IFERROR(__xludf.DUMMYFUNCTION("""COMPUTED_VALUE"""),"SURA")</f>
        <v>SURA</v>
      </c>
      <c r="AB24" s="6"/>
      <c r="AC24" s="6"/>
      <c r="AD24" s="12" t="str">
        <f>IFERROR(__xludf.DUMMYFUNCTION("""COMPUTED_VALUE"""),"PVB")</f>
        <v>PVB</v>
      </c>
      <c r="AE24" s="12" t="str">
        <f>IFERROR(__xludf.DUMMYFUNCTION("""COMPUTED_VALUE"""),"1345282588")</f>
        <v>1345282588</v>
      </c>
      <c r="AF24" s="12" t="str">
        <f>IFERROR(__xludf.DUMMYFUNCTION("""COMPUTED_VALUE"""),"1345282588")</f>
        <v>1345282588</v>
      </c>
      <c r="AG24" s="12" t="str">
        <f>IFERROR(__xludf.DUMMYFUNCTION("""COMPUTED_VALUE"""),"Laura")</f>
        <v>Laura</v>
      </c>
      <c r="AH24" s="12" t="str">
        <f>IFERROR(__xludf.DUMMYFUNCTION("""COMPUTED_VALUE"""),"Melissa")</f>
        <v>Melissa</v>
      </c>
      <c r="AI24" s="6" t="str">
        <f>IFERROR(__xludf.DUMMYFUNCTION("""COMPUTED_VALUE"""),"Álvarez Rodríguez")</f>
        <v>Álvarez Rodríguez</v>
      </c>
      <c r="AJ24" s="6" t="str">
        <f>IFERROR(__xludf.DUMMYFUNCTION("""COMPUTED_VALUE"""),"lauramalvarez29@gmail.com")</f>
        <v>lauramalvarez29@gmail.com</v>
      </c>
      <c r="AK24" s="6" t="str">
        <f>IFERROR(__xludf.DUMMYFUNCTION("""COMPUTED_VALUE"""),"ABOGADA")</f>
        <v>ABOGADA</v>
      </c>
      <c r="AL24" s="6"/>
      <c r="AM24" s="12" t="str">
        <f>IFERROR(__xludf.DUMMYFUNCTION("""COMPUTED_VALUE"""),"1094921316")</f>
        <v>1094921316</v>
      </c>
      <c r="AN24" s="12" t="str">
        <f>IFERROR(__xludf.DUMMYFUNCTION("""COMPUTED_VALUE"""),"3127819996")</f>
        <v>3127819996</v>
      </c>
      <c r="AO24" s="6" t="str">
        <f>IFERROR(__xludf.DUMMYFUNCTION("""COMPUTED_VALUE"""),"Madre")</f>
        <v>Madre</v>
      </c>
      <c r="AP24" s="6" t="str">
        <f>IFERROR(__xludf.DUMMYFUNCTION("""COMPUTED_VALUE"""),"Estudiante(s): Salcedo Álvarez")</f>
        <v>Estudiante(s): Salcedo Álvarez</v>
      </c>
      <c r="AQ24" s="6" t="str">
        <f>IFERROR(__xludf.DUMMYFUNCTION("""COMPUTED_VALUE"""),"120591*Gi")</f>
        <v>120591*Gi</v>
      </c>
      <c r="AR24" s="6" t="str">
        <f>IFERROR(__xludf.DUMMYFUNCTION("""COMPUTED_VALUE"""),"Juan")</f>
        <v>Juan</v>
      </c>
      <c r="AS24" s="6" t="str">
        <f>IFERROR(__xludf.DUMMYFUNCTION("""COMPUTED_VALUE"""),"Antonio")</f>
        <v>Antonio</v>
      </c>
      <c r="AT24" s="6" t="str">
        <f>IFERROR(__xludf.DUMMYFUNCTION("""COMPUTED_VALUE"""),"Salcedo Gómez")</f>
        <v>Salcedo Gómez</v>
      </c>
      <c r="AU24" s="6" t="str">
        <f>IFERROR(__xludf.DUMMYFUNCTION("""COMPUTED_VALUE"""),"juan.salcedo@me.com")</f>
        <v>juan.salcedo@me.com</v>
      </c>
      <c r="AV24" s="6" t="str">
        <f>IFERROR(__xludf.DUMMYFUNCTION("""COMPUTED_VALUE"""),"ADMINISTRADOR DE EMPRESAS")</f>
        <v>ADMINISTRADOR DE EMPRESAS</v>
      </c>
      <c r="AW24" s="6"/>
      <c r="AX24" s="12" t="str">
        <f>IFERROR(__xludf.DUMMYFUNCTION("""COMPUTED_VALUE"""),"1094913578")</f>
        <v>1094913578</v>
      </c>
      <c r="AY24" s="12" t="str">
        <f>IFERROR(__xludf.DUMMYFUNCTION("""COMPUTED_VALUE"""),"3017840533")</f>
        <v>3017840533</v>
      </c>
      <c r="AZ24" s="6" t="str">
        <f>IFERROR(__xludf.DUMMYFUNCTION("""COMPUTED_VALUE"""),"Padre")</f>
        <v>Padre</v>
      </c>
      <c r="BA24" s="6"/>
      <c r="BB24" s="6"/>
      <c r="BC24" s="6"/>
      <c r="BD24" s="12" t="str">
        <f>IFERROR(__xludf.DUMMYFUNCTION("""COMPUTED_VALUE"""),"sal0023")</f>
        <v>sal0023</v>
      </c>
      <c r="BE24" s="6" t="str">
        <f>IFERROR(__xludf.DUMMYFUNCTION("""COMPUTED_VALUE"""),"NUEVO(A)")</f>
        <v>NUEVO(A)</v>
      </c>
      <c r="BF24" s="12" t="str">
        <f>IFERROR(__xludf.DUMMYFUNCTION("""COMPUTED_VALUE"""),"FALTAN FIRMAS")</f>
        <v>FALTAN FIRMAS</v>
      </c>
      <c r="BG24" s="6">
        <f>IFERROR(__xludf.DUMMYFUNCTION("""COMPUTED_VALUE"""),2042.0)</f>
        <v>2042</v>
      </c>
      <c r="BH24" s="15">
        <f>IFERROR(__xludf.DUMMYFUNCTION("""COMPUTED_VALUE"""),46195.91898148148)</f>
        <v>46195.91898</v>
      </c>
      <c r="BI24" s="6">
        <f>IFERROR(__xludf.DUMMYFUNCTION("""COMPUTED_VALUE"""),23.0)</f>
        <v>23</v>
      </c>
      <c r="BJ24" s="6"/>
      <c r="BK24" s="6"/>
      <c r="BL24" s="6" t="str">
        <f>IFERROR(__xludf.DUMMYFUNCTION("""COMPUTED_VALUE"""),"GISSAL0023")</f>
        <v>GISSAL0023</v>
      </c>
      <c r="BM24" s="6"/>
      <c r="BN24" s="6"/>
      <c r="BO24" s="6"/>
      <c r="BP24" s="6"/>
      <c r="BQ24" s="6"/>
      <c r="BR24" s="6"/>
      <c r="BS24" s="6"/>
      <c r="BT24" s="6"/>
      <c r="BU24" s="6" t="str">
        <f>IFERROR(__xludf.DUMMYFUNCTION("""COMPUTED_VALUE"""),"SI")</f>
        <v>SI</v>
      </c>
      <c r="BV24" s="12" t="str">
        <f>IFERROR(__xludf.DUMMYFUNCTION("""COMPUTED_VALUE"""),"gabriel.s2042")</f>
        <v>gabriel.s2042</v>
      </c>
      <c r="BW24" s="6"/>
      <c r="BX24" s="6"/>
      <c r="BY24" s="6"/>
      <c r="BZ24" s="6"/>
    </row>
    <row r="25">
      <c r="A25" s="12" t="str">
        <f>IFERROR(__xludf.DUMMYFUNCTION("""COMPUTED_VALUE"""),"1098546989")</f>
        <v>1098546989</v>
      </c>
      <c r="B25" s="6">
        <f>IFERROR(__xludf.DUMMYFUNCTION("""COMPUTED_VALUE"""),12.0)</f>
        <v>12</v>
      </c>
      <c r="C25" s="6" t="str">
        <f>IFERROR(__xludf.DUMMYFUNCTION("""COMPUTED_VALUE"""),"Alicia")</f>
        <v>Alicia</v>
      </c>
      <c r="D25" s="6"/>
      <c r="E25" s="6" t="str">
        <f>IFERROR(__xludf.DUMMYFUNCTION("""COMPUTED_VALUE"""),"Vélez Fajardo")</f>
        <v>Vélez Fajardo</v>
      </c>
      <c r="F25" s="6" t="str">
        <f>IFERROR(__xludf.DUMMYFUNCTION("""COMPUTED_VALUE"""),"Condominio Los Pinos Casa 4 Luna Park - Km 4 Vía Armenia")</f>
        <v>Condominio Los Pinos Casa 4 Luna Park - Km 4 Vía Armenia</v>
      </c>
      <c r="G25" s="12">
        <f>IFERROR(__xludf.DUMMYFUNCTION("""COMPUTED_VALUE"""),2023.0)</f>
        <v>2023</v>
      </c>
      <c r="H25" s="12" t="str">
        <f>IFERROR(__xludf.DUMMYFUNCTION("""COMPUTED_VALUE"""),"Diciembre")</f>
        <v>Diciembre</v>
      </c>
      <c r="I25" s="12">
        <f>IFERROR(__xludf.DUMMYFUNCTION("""COMPUTED_VALUE"""),11.0)</f>
        <v>11</v>
      </c>
      <c r="J25" s="6"/>
      <c r="K25" s="12" t="str">
        <f>IFERROR(__xludf.DUMMYFUNCTION("""COMPUTED_VALUE"""),"alicia.v2042@gi.edu.co")</f>
        <v>alicia.v2042@gi.edu.co</v>
      </c>
      <c r="L25" s="6" t="str">
        <f>IFERROR(__xludf.DUMMYFUNCTION("""COMPUTED_VALUE"""),"RC")</f>
        <v>RC</v>
      </c>
      <c r="M25" s="6" t="str">
        <f>IFERROR(__xludf.DUMMYFUNCTION("""COMPUTED_VALUE"""),"Circasia")</f>
        <v>Circasia</v>
      </c>
      <c r="N25" s="6" t="str">
        <f>IFERROR(__xludf.DUMMYFUNCTION("""COMPUTED_VALUE"""),"F")</f>
        <v>F</v>
      </c>
      <c r="O25" s="6" t="str">
        <f>IFERROR(__xludf.DUMMYFUNCTION("""COMPUTED_VALUE"""),"ACTIVE")</f>
        <v>ACTIVE</v>
      </c>
      <c r="P25" s="6" t="str">
        <f>IFERROR(__xludf.DUMMYFUNCTION("""COMPUTED_VALUE"""),"2°Hermano")</f>
        <v>2°Hermano</v>
      </c>
      <c r="Q25" s="6" t="str">
        <f>IFERROR(__xludf.DUMMYFUNCTION("""COMPUTED_VALUE"""),"Circasia")</f>
        <v>Circasia</v>
      </c>
      <c r="R25" s="12" t="str">
        <f>IFERROR(__xludf.DUMMYFUNCTION("""COMPUTED_VALUE"""),"GiP2Vh7K*")</f>
        <v>GiP2Vh7K*</v>
      </c>
      <c r="S25" s="6" t="str">
        <f>IFERROR(__xludf.DUMMYFUNCTION("""COMPUTED_VALUE"""),"Vélez Fajardo Alicia ")</f>
        <v>Vélez Fajardo Alicia </v>
      </c>
      <c r="T25" s="6" t="str">
        <f>IFERROR(__xludf.DUMMYFUNCTION("""COMPUTED_VALUE"""),"JUAN VICENTE VELEZ GUTIERREZ")</f>
        <v>JUAN VICENTE VELEZ GUTIERREZ</v>
      </c>
      <c r="U25" s="12" t="str">
        <f>IFERROR(__xludf.DUMMYFUNCTION("""COMPUTED_VALUE"""),"9734265")</f>
        <v>9734265</v>
      </c>
      <c r="V25" s="6">
        <f>IFERROR(__xludf.DUMMYFUNCTION("""COMPUTED_VALUE"""),3.183493429E9)</f>
        <v>3183493429</v>
      </c>
      <c r="W25" s="6" t="str">
        <f>IFERROR(__xludf.DUMMYFUNCTION("""COMPUTED_VALUE"""),"juanvvelez@gmail.com")</f>
        <v>juanvvelez@gmail.com</v>
      </c>
      <c r="X25" s="12" t="str">
        <f>IFERROR(__xludf.DUMMYFUNCTION("""COMPUTED_VALUE"""),"A+")</f>
        <v>A+</v>
      </c>
      <c r="Y25" s="12" t="str">
        <f>IFERROR(__xludf.DUMMYFUNCTION("""COMPUTED_VALUE"""),"PV")</f>
        <v>PV</v>
      </c>
      <c r="Z25" s="6">
        <f>IFERROR(__xludf.DUMMYFUNCTION("""COMPUTED_VALUE"""),120583.0)</f>
        <v>120583</v>
      </c>
      <c r="AA25" s="6" t="str">
        <f>IFERROR(__xludf.DUMMYFUNCTION("""COMPUTED_VALUE"""),"SURA")</f>
        <v>SURA</v>
      </c>
      <c r="AB25" s="6"/>
      <c r="AC25" s="6"/>
      <c r="AD25" s="12" t="str">
        <f>IFERROR(__xludf.DUMMYFUNCTION("""COMPUTED_VALUE"""),"PVB")</f>
        <v>PVB</v>
      </c>
      <c r="AE25" s="12" t="str">
        <f>IFERROR(__xludf.DUMMYFUNCTION("""COMPUTED_VALUE"""),"1345282580")</f>
        <v>1345282580</v>
      </c>
      <c r="AF25" s="12" t="str">
        <f>IFERROR(__xludf.DUMMYFUNCTION("""COMPUTED_VALUE"""),"1345282580")</f>
        <v>1345282580</v>
      </c>
      <c r="AG25" s="12" t="str">
        <f>IFERROR(__xludf.DUMMYFUNCTION("""COMPUTED_VALUE"""),"Manuela")</f>
        <v>Manuela</v>
      </c>
      <c r="AH25" s="6"/>
      <c r="AI25" s="6" t="str">
        <f>IFERROR(__xludf.DUMMYFUNCTION("""COMPUTED_VALUE"""),"Fajardo Mendoza")</f>
        <v>Fajardo Mendoza</v>
      </c>
      <c r="AJ25" s="6" t="str">
        <f>IFERROR(__xludf.DUMMYFUNCTION("""COMPUTED_VALUE"""),"fajardomanuela@gmail.com")</f>
        <v>fajardomanuela@gmail.com</v>
      </c>
      <c r="AK25" s="6" t="str">
        <f>IFERROR(__xludf.DUMMYFUNCTION("""COMPUTED_VALUE"""),"arquitecta")</f>
        <v>arquitecta</v>
      </c>
      <c r="AL25" s="6"/>
      <c r="AM25" s="12" t="str">
        <f>IFERROR(__xludf.DUMMYFUNCTION("""COMPUTED_VALUE"""),"1094886378")</f>
        <v>1094886378</v>
      </c>
      <c r="AN25" s="12" t="str">
        <f>IFERROR(__xludf.DUMMYFUNCTION("""COMPUTED_VALUE"""),"3212407449")</f>
        <v>3212407449</v>
      </c>
      <c r="AO25" s="6" t="str">
        <f>IFERROR(__xludf.DUMMYFUNCTION("""COMPUTED_VALUE"""),"Madre")</f>
        <v>Madre</v>
      </c>
      <c r="AP25" s="12" t="str">
        <f>IFERROR(__xludf.DUMMYFUNCTION("""COMPUTED_VALUE"""),"Estudiante(s): Vélez Fajardo")</f>
        <v>Estudiante(s): Vélez Fajardo</v>
      </c>
      <c r="AQ25" s="6" t="str">
        <f>IFERROR(__xludf.DUMMYFUNCTION("""COMPUTED_VALUE"""),"120239*Gi")</f>
        <v>120239*Gi</v>
      </c>
      <c r="AR25" s="6" t="str">
        <f>IFERROR(__xludf.DUMMYFUNCTION("""COMPUTED_VALUE"""),"Juan")</f>
        <v>Juan</v>
      </c>
      <c r="AS25" s="6" t="str">
        <f>IFERROR(__xludf.DUMMYFUNCTION("""COMPUTED_VALUE"""),"Vicente")</f>
        <v>Vicente</v>
      </c>
      <c r="AT25" s="6" t="str">
        <f>IFERROR(__xludf.DUMMYFUNCTION("""COMPUTED_VALUE"""),"Vélez Gutiérrez")</f>
        <v>Vélez Gutiérrez</v>
      </c>
      <c r="AU25" s="6" t="str">
        <f>IFERROR(__xludf.DUMMYFUNCTION("""COMPUTED_VALUE"""),"juanvvelez@gmail.com")</f>
        <v>juanvvelez@gmail.com</v>
      </c>
      <c r="AV25" s="6" t="str">
        <f>IFERROR(__xludf.DUMMYFUNCTION("""COMPUTED_VALUE"""),"Ing. mecánico")</f>
        <v>Ing. mecánico</v>
      </c>
      <c r="AW25" s="6"/>
      <c r="AX25" s="12" t="str">
        <f>IFERROR(__xludf.DUMMYFUNCTION("""COMPUTED_VALUE"""),"9734265")</f>
        <v>9734265</v>
      </c>
      <c r="AY25" s="12" t="str">
        <f>IFERROR(__xludf.DUMMYFUNCTION("""COMPUTED_VALUE"""),"3183493429")</f>
        <v>3183493429</v>
      </c>
      <c r="AZ25" s="6" t="str">
        <f>IFERROR(__xludf.DUMMYFUNCTION("""COMPUTED_VALUE"""),"Padre")</f>
        <v>Padre</v>
      </c>
      <c r="BA25" s="6"/>
      <c r="BB25" s="6"/>
      <c r="BC25" s="6"/>
      <c r="BD25" s="12" t="str">
        <f>IFERROR(__xludf.DUMMYFUNCTION("""COMPUTED_VALUE"""),"vel0016")</f>
        <v>vel0016</v>
      </c>
      <c r="BE25" s="6" t="str">
        <f>IFERROR(__xludf.DUMMYFUNCTION("""COMPUTED_VALUE"""),"NUEVO(A)")</f>
        <v>NUEVO(A)</v>
      </c>
      <c r="BF25" s="12" t="str">
        <f>IFERROR(__xludf.DUMMYFUNCTION("""COMPUTED_VALUE"""),"HIJA DE EGRESADA")</f>
        <v>HIJA DE EGRESADA</v>
      </c>
      <c r="BG25" s="6">
        <f>IFERROR(__xludf.DUMMYFUNCTION("""COMPUTED_VALUE"""),2042.0)</f>
        <v>2042</v>
      </c>
      <c r="BH25" s="15">
        <f>IFERROR(__xludf.DUMMYFUNCTION("""COMPUTED_VALUE"""),46199.706655092596)</f>
        <v>46199.70666</v>
      </c>
      <c r="BI25" s="6">
        <f>IFERROR(__xludf.DUMMYFUNCTION("""COMPUTED_VALUE"""),24.0)</f>
        <v>24</v>
      </c>
      <c r="BJ25" s="6"/>
      <c r="BK25" s="6"/>
      <c r="BL25" s="6" t="str">
        <f>IFERROR(__xludf.DUMMYFUNCTION("""COMPUTED_VALUE"""),"GISVEL0016")</f>
        <v>GISVEL0016</v>
      </c>
      <c r="BM25" s="6"/>
      <c r="BN25" s="6"/>
      <c r="BO25" s="6"/>
      <c r="BP25" s="6"/>
      <c r="BQ25" s="6"/>
      <c r="BR25" s="6"/>
      <c r="BS25" s="6"/>
      <c r="BT25" s="6"/>
      <c r="BU25" s="6" t="str">
        <f>IFERROR(__xludf.DUMMYFUNCTION("""COMPUTED_VALUE"""),"SI")</f>
        <v>SI</v>
      </c>
      <c r="BV25" s="6" t="str">
        <f>IFERROR(__xludf.DUMMYFUNCTION("""COMPUTED_VALUE"""),"alicia.v2042")</f>
        <v>alicia.v2042</v>
      </c>
      <c r="BW25" s="6"/>
      <c r="BX25" s="6"/>
      <c r="BY25" s="6"/>
      <c r="B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 t="str">
        <f>IFERROR(__xludf.DUMMYFUNCTION("""COMPUTED_VALUE"""),"Madre")</f>
        <v>Madre</v>
      </c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 t="str">
        <f>IFERROR(__xludf.DUMMYFUNCTION("""COMPUTED_VALUE"""),"Padre")</f>
        <v>Padre</v>
      </c>
      <c r="BA26" s="6"/>
      <c r="BB26" s="6"/>
      <c r="BC26" s="6"/>
      <c r="BD26" s="6"/>
      <c r="BE26" s="6"/>
      <c r="BF26" s="6"/>
      <c r="BG26" s="6"/>
      <c r="BH26" s="6"/>
      <c r="BI26" s="6">
        <f>IFERROR(__xludf.DUMMYFUNCTION("""COMPUTED_VALUE"""),25.0)</f>
        <v>25</v>
      </c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</row>
    <row r="27">
      <c r="A27" s="12" t="str">
        <f>IFERROR(__xludf.DUMMYFUNCTION("""COMPUTED_VALUE"""),"1091890224")</f>
        <v>1091890224</v>
      </c>
      <c r="B27" s="6">
        <f>IFERROR(__xludf.DUMMYFUNCTION("""COMPUTED_VALUE"""),1.0)</f>
        <v>1</v>
      </c>
      <c r="C27" s="6" t="str">
        <f>IFERROR(__xludf.DUMMYFUNCTION("""COMPUTED_VALUE"""),"Tomás")</f>
        <v>Tomás</v>
      </c>
      <c r="D27" s="6"/>
      <c r="E27" s="6" t="str">
        <f>IFERROR(__xludf.DUMMYFUNCTION("""COMPUTED_VALUE"""),"Barros Jaramillo")</f>
        <v>Barros Jaramillo</v>
      </c>
      <c r="F27" s="6" t="str">
        <f>IFERROR(__xludf.DUMMYFUNCTION("""COMPUTED_VALUE"""),"Condominio Tres Colinas - Km 2.8 Via al Caimo")</f>
        <v>Condominio Tres Colinas - Km 2.8 Via al Caimo</v>
      </c>
      <c r="G27" s="12">
        <f>IFERROR(__xludf.DUMMYFUNCTION("""COMPUTED_VALUE"""),2022.0)</f>
        <v>2022</v>
      </c>
      <c r="H27" s="12" t="str">
        <f>IFERROR(__xludf.DUMMYFUNCTION("""COMPUTED_VALUE"""),"Diciembre")</f>
        <v>Diciembre</v>
      </c>
      <c r="I27" s="12">
        <f>IFERROR(__xludf.DUMMYFUNCTION("""COMPUTED_VALUE"""),21.0)</f>
        <v>21</v>
      </c>
      <c r="J27" s="6"/>
      <c r="K27" s="12" t="str">
        <f>IFERROR(__xludf.DUMMYFUNCTION("""COMPUTED_VALUE"""),"tomas.b2041@gi.edu.co")</f>
        <v>tomas.b2041@gi.edu.co</v>
      </c>
      <c r="L27" s="6" t="str">
        <f>IFERROR(__xludf.DUMMYFUNCTION("""COMPUTED_VALUE"""),"RC")</f>
        <v>RC</v>
      </c>
      <c r="M27" s="6" t="str">
        <f>IFERROR(__xludf.DUMMYFUNCTION("""COMPUTED_VALUE"""),"Armenia")</f>
        <v>Armenia</v>
      </c>
      <c r="N27" s="6" t="str">
        <f>IFERROR(__xludf.DUMMYFUNCTION("""COMPUTED_VALUE"""),"M")</f>
        <v>M</v>
      </c>
      <c r="O27" s="6" t="str">
        <f>IFERROR(__xludf.DUMMYFUNCTION("""COMPUTED_VALUE"""),"ACTIVE")</f>
        <v>ACTIVE</v>
      </c>
      <c r="P27" s="6" t="str">
        <f>IFERROR(__xludf.DUMMYFUNCTION("""COMPUTED_VALUE"""),"2°Hermano")</f>
        <v>2°Hermano</v>
      </c>
      <c r="Q27" s="6" t="str">
        <f>IFERROR(__xludf.DUMMYFUNCTION("""COMPUTED_VALUE"""),"Armenia")</f>
        <v>Armenia</v>
      </c>
      <c r="R27" s="12" t="str">
        <f>IFERROR(__xludf.DUMMYFUNCTION("""COMPUTED_VALUE"""),"GiD2Xk8Y*")</f>
        <v>GiD2Xk8Y*</v>
      </c>
      <c r="S27" s="6" t="str">
        <f>IFERROR(__xludf.DUMMYFUNCTION("""COMPUTED_VALUE"""),"Barros Jaramillo Tomás ")</f>
        <v>Barros Jaramillo Tomás </v>
      </c>
      <c r="T27" s="6" t="str">
        <f>IFERROR(__xludf.DUMMYFUNCTION("""COMPUTED_VALUE"""),"DAVID BARROS JARAMILLO")</f>
        <v>DAVID BARROS JARAMILLO</v>
      </c>
      <c r="U27" s="12" t="str">
        <f>IFERROR(__xludf.DUMMYFUNCTION("""COMPUTED_VALUE"""),"1094882453")</f>
        <v>1094882453</v>
      </c>
      <c r="V27" s="6">
        <f>IFERROR(__xludf.DUMMYFUNCTION("""COMPUTED_VALUE"""),3.137487827E9)</f>
        <v>3137487827</v>
      </c>
      <c r="W27" s="6" t="str">
        <f>IFERROR(__xludf.DUMMYFUNCTION("""COMPUTED_VALUE"""),"davidbarros222@gmail.com")</f>
        <v>davidbarros222@gmail.com</v>
      </c>
      <c r="X27" s="12" t="str">
        <f>IFERROR(__xludf.DUMMYFUNCTION("""COMPUTED_VALUE"""),"A-")</f>
        <v>A-</v>
      </c>
      <c r="Y27" s="12" t="str">
        <f>IFERROR(__xludf.DUMMYFUNCTION("""COMPUTED_VALUE"""),"K3")</f>
        <v>K3</v>
      </c>
      <c r="Z27" s="6">
        <f>IFERROR(__xludf.DUMMYFUNCTION("""COMPUTED_VALUE"""),120608.0)</f>
        <v>120608</v>
      </c>
      <c r="AA27" s="6" t="str">
        <f>IFERROR(__xludf.DUMMYFUNCTION("""COMPUTED_VALUE"""),"SURA")</f>
        <v>SURA</v>
      </c>
      <c r="AB27" s="6"/>
      <c r="AC27" s="6"/>
      <c r="AD27" s="12" t="str">
        <f>IFERROR(__xludf.DUMMYFUNCTION("""COMPUTED_VALUE"""),"K3A")</f>
        <v>K3A</v>
      </c>
      <c r="AE27" s="12" t="str">
        <f>IFERROR(__xludf.DUMMYFUNCTION("""COMPUTED_VALUE"""),"1345282605")</f>
        <v>1345282605</v>
      </c>
      <c r="AF27" s="12" t="str">
        <f>IFERROR(__xludf.DUMMYFUNCTION("""COMPUTED_VALUE"""),"1345282605")</f>
        <v>1345282605</v>
      </c>
      <c r="AG27" s="12" t="str">
        <f>IFERROR(__xludf.DUMMYFUNCTION("""COMPUTED_VALUE"""),"Juanita")</f>
        <v>Juanita</v>
      </c>
      <c r="AH27" s="6"/>
      <c r="AI27" s="6" t="str">
        <f>IFERROR(__xludf.DUMMYFUNCTION("""COMPUTED_VALUE"""),"Jaramillo Giraldo")</f>
        <v>Jaramillo Giraldo</v>
      </c>
      <c r="AJ27" s="6" t="str">
        <f>IFERROR(__xludf.DUMMYFUNCTION("""COMPUTED_VALUE"""),"jaramillojuanita8@gmail.com")</f>
        <v>jaramillojuanita8@gmail.com</v>
      </c>
      <c r="AK27" s="6" t="str">
        <f>IFERROR(__xludf.DUMMYFUNCTION("""COMPUTED_VALUE"""),"comunicador social")</f>
        <v>comunicador social</v>
      </c>
      <c r="AL27" s="6" t="str">
        <f>IFERROR(__xludf.DUMMYFUNCTION("""COMPUTED_VALUE"""),"El caney")</f>
        <v>El caney</v>
      </c>
      <c r="AM27" s="12" t="str">
        <f>IFERROR(__xludf.DUMMYFUNCTION("""COMPUTED_VALUE"""),"41963695")</f>
        <v>41963695</v>
      </c>
      <c r="AN27" s="12" t="str">
        <f>IFERROR(__xludf.DUMMYFUNCTION("""COMPUTED_VALUE"""),"3134095554")</f>
        <v>3134095554</v>
      </c>
      <c r="AO27" s="6" t="str">
        <f>IFERROR(__xludf.DUMMYFUNCTION("""COMPUTED_VALUE"""),"Madre")</f>
        <v>Madre</v>
      </c>
      <c r="AP27" s="6" t="str">
        <f>IFERROR(__xludf.DUMMYFUNCTION("""COMPUTED_VALUE"""),"Estudiante(s): Barros Jaramillo")</f>
        <v>Estudiante(s): Barros Jaramillo</v>
      </c>
      <c r="AQ27" s="6" t="str">
        <f>IFERROR(__xludf.DUMMYFUNCTION("""COMPUTED_VALUE"""),"120386*Gi")</f>
        <v>120386*Gi</v>
      </c>
      <c r="AR27" s="6" t="str">
        <f>IFERROR(__xludf.DUMMYFUNCTION("""COMPUTED_VALUE"""),"David")</f>
        <v>David</v>
      </c>
      <c r="AS27" s="6"/>
      <c r="AT27" s="6" t="str">
        <f>IFERROR(__xludf.DUMMYFUNCTION("""COMPUTED_VALUE"""),"Barros Jaramillo")</f>
        <v>Barros Jaramillo</v>
      </c>
      <c r="AU27" s="6" t="str">
        <f>IFERROR(__xludf.DUMMYFUNCTION("""COMPUTED_VALUE"""),"davidbarros222@gmail.com")</f>
        <v>davidbarros222@gmail.com</v>
      </c>
      <c r="AV27" s="6" t="str">
        <f>IFERROR(__xludf.DUMMYFUNCTION("""COMPUTED_VALUE"""),"administrador de empresas")</f>
        <v>administrador de empresas</v>
      </c>
      <c r="AW27" s="6" t="str">
        <f>IFERROR(__xludf.DUMMYFUNCTION("""COMPUTED_VALUE"""),"finca el caney")</f>
        <v>finca el caney</v>
      </c>
      <c r="AX27" s="12" t="str">
        <f>IFERROR(__xludf.DUMMYFUNCTION("""COMPUTED_VALUE"""),"1094882453")</f>
        <v>1094882453</v>
      </c>
      <c r="AY27" s="12">
        <f>IFERROR(__xludf.DUMMYFUNCTION("""COMPUTED_VALUE"""),3.137487827E9)</f>
        <v>3137487827</v>
      </c>
      <c r="AZ27" s="6" t="str">
        <f>IFERROR(__xludf.DUMMYFUNCTION("""COMPUTED_VALUE"""),"Padre")</f>
        <v>Padre</v>
      </c>
      <c r="BA27" s="6" t="str">
        <f>IFERROR(__xludf.DUMMYFUNCTION("""COMPUTED_VALUE"""),"MARIA ADELAIDA BARROS JARAMILLO")</f>
        <v>MARIA ADELAIDA BARROS JARAMILLO</v>
      </c>
      <c r="BB27" s="6">
        <f>IFERROR(__xludf.DUMMYFUNCTION("""COMPUTED_VALUE"""),3.137490358E9)</f>
        <v>3137490358</v>
      </c>
      <c r="BC27" s="6" t="str">
        <f>IFERROR(__xludf.DUMMYFUNCTION("""COMPUTED_VALUE"""),"Tio(a)")</f>
        <v>Tio(a)</v>
      </c>
      <c r="BD27" s="12" t="str">
        <f>IFERROR(__xludf.DUMMYFUNCTION("""COMPUTED_VALUE"""),"bar0008")</f>
        <v>bar0008</v>
      </c>
      <c r="BE27" s="6" t="str">
        <f>IFERROR(__xludf.DUMMYFUNCTION("""COMPUTED_VALUE"""),"NUEVO(A)")</f>
        <v>NUEVO(A)</v>
      </c>
      <c r="BF27" s="6"/>
      <c r="BG27" s="6">
        <f>IFERROR(__xludf.DUMMYFUNCTION("""COMPUTED_VALUE"""),2041.0)</f>
        <v>2041</v>
      </c>
      <c r="BH27" s="15">
        <f>IFERROR(__xludf.DUMMYFUNCTION("""COMPUTED_VALUE"""),46211.941458333335)</f>
        <v>46211.94146</v>
      </c>
      <c r="BI27" s="6">
        <f>IFERROR(__xludf.DUMMYFUNCTION("""COMPUTED_VALUE"""),26.0)</f>
        <v>26</v>
      </c>
      <c r="BJ27" s="6"/>
      <c r="BK27" s="6"/>
      <c r="BL27" s="6" t="str">
        <f>IFERROR(__xludf.DUMMYFUNCTION("""COMPUTED_VALUE"""),"GISBAR0008")</f>
        <v>GISBAR0008</v>
      </c>
      <c r="BM27" s="6"/>
      <c r="BN27" s="6"/>
      <c r="BO27" s="6"/>
      <c r="BP27" s="6"/>
      <c r="BQ27" s="6"/>
      <c r="BR27" s="6"/>
      <c r="BS27" s="6"/>
      <c r="BT27" s="6"/>
      <c r="BU27" s="6" t="str">
        <f>IFERROR(__xludf.DUMMYFUNCTION("""COMPUTED_VALUE"""),"SI")</f>
        <v>SI</v>
      </c>
      <c r="BV27" s="12" t="str">
        <f>IFERROR(__xludf.DUMMYFUNCTION("""COMPUTED_VALUE"""),"tomas.b2041")</f>
        <v>tomas.b2041</v>
      </c>
      <c r="BW27" s="6"/>
      <c r="BX27" s="6"/>
      <c r="BY27" s="6"/>
      <c r="BZ27" s="6"/>
    </row>
    <row r="28">
      <c r="A28" s="6">
        <f>IFERROR(__xludf.DUMMYFUNCTION("""COMPUTED_VALUE"""),1.0918902E9)</f>
        <v>1091890200</v>
      </c>
      <c r="B28" s="6">
        <f>IFERROR(__xludf.DUMMYFUNCTION("""COMPUTED_VALUE"""),2.0)</f>
        <v>2</v>
      </c>
      <c r="C28" s="6" t="str">
        <f>IFERROR(__xludf.DUMMYFUNCTION("""COMPUTED_VALUE"""),"Gabriel")</f>
        <v>Gabriel</v>
      </c>
      <c r="D28" s="6"/>
      <c r="E28" s="6" t="str">
        <f>IFERROR(__xludf.DUMMYFUNCTION("""COMPUTED_VALUE"""),"Bedoya Boghdady")</f>
        <v>Bedoya Boghdady</v>
      </c>
      <c r="F28" s="6" t="str">
        <f>IFERROR(__xludf.DUMMYFUNCTION("""COMPUTED_VALUE"""),"Condominio el Tesoro Campestre Casa 28 - Altos del Rio Km 1 Via Armenia Calarca")</f>
        <v>Condominio el Tesoro Campestre Casa 28 - Altos del Rio Km 1 Via Armenia Calarca</v>
      </c>
      <c r="G28" s="12" t="str">
        <f>IFERROR(__xludf.DUMMYFUNCTION("""COMPUTED_VALUE"""),"2022")</f>
        <v>2022</v>
      </c>
      <c r="H28" s="6" t="str">
        <f>IFERROR(__xludf.DUMMYFUNCTION("""COMPUTED_VALUE"""),"Diciembre")</f>
        <v>Diciembre</v>
      </c>
      <c r="I28" s="12" t="str">
        <f>IFERROR(__xludf.DUMMYFUNCTION("""COMPUTED_VALUE"""),"7")</f>
        <v>7</v>
      </c>
      <c r="J28" s="6" t="str">
        <f>IFERROR(__xludf.DUMMYFUNCTION("""COMPUTED_VALUE"""),"Armenia")</f>
        <v>Armenia</v>
      </c>
      <c r="K28" s="6" t="str">
        <f>IFERROR(__xludf.DUMMYFUNCTION("""COMPUTED_VALUE"""),"gabriel.b2041@gi.edu.co")</f>
        <v>gabriel.b2041@gi.edu.co</v>
      </c>
      <c r="L28" s="6" t="str">
        <f>IFERROR(__xludf.DUMMYFUNCTION("""COMPUTED_VALUE"""),"RC")</f>
        <v>RC</v>
      </c>
      <c r="M28" s="6" t="str">
        <f>IFERROR(__xludf.DUMMYFUNCTION("""COMPUTED_VALUE"""),"Armenia")</f>
        <v>Armenia</v>
      </c>
      <c r="N28" s="6" t="str">
        <f>IFERROR(__xludf.DUMMYFUNCTION("""COMPUTED_VALUE"""),"M")</f>
        <v>M</v>
      </c>
      <c r="O28" s="6" t="str">
        <f>IFERROR(__xludf.DUMMYFUNCTION("""COMPUTED_VALUE"""),"ACTIVE")</f>
        <v>ACTIVE</v>
      </c>
      <c r="P28" s="6"/>
      <c r="Q28" s="6" t="str">
        <f>IFERROR(__xludf.DUMMYFUNCTION("""COMPUTED_VALUE"""),"Armenia")</f>
        <v>Armenia</v>
      </c>
      <c r="R28" s="12" t="str">
        <f>IFERROR(__xludf.DUMMYFUNCTION("""COMPUTED_VALUE"""),"Giud2j7p*")</f>
        <v>Giud2j7p*</v>
      </c>
      <c r="S28" s="12" t="str">
        <f>IFERROR(__xludf.DUMMYFUNCTION("""COMPUTED_VALUE"""),"Bedoya Boghdady Gabriel ")</f>
        <v>Bedoya Boghdady Gabriel </v>
      </c>
      <c r="T28" s="6" t="str">
        <f>IFERROR(__xludf.DUMMYFUNCTION("""COMPUTED_VALUE"""),"LUIS MIGUEL BEDOYA SOTO")</f>
        <v>LUIS MIGUEL BEDOYA SOTO</v>
      </c>
      <c r="U28" s="12" t="str">
        <f>IFERROR(__xludf.DUMMYFUNCTION("""COMPUTED_VALUE"""),"1094880766")</f>
        <v>1094880766</v>
      </c>
      <c r="V28" s="6">
        <f>IFERROR(__xludf.DUMMYFUNCTION("""COMPUTED_VALUE"""),3.128640477E9)</f>
        <v>3128640477</v>
      </c>
      <c r="W28" s="6" t="str">
        <f>IFERROR(__xludf.DUMMYFUNCTION("""COMPUTED_VALUE"""),"luismibedoya@gmail.com")</f>
        <v>luismibedoya@gmail.com</v>
      </c>
      <c r="X28" s="12" t="str">
        <f>IFERROR(__xludf.DUMMYFUNCTION("""COMPUTED_VALUE"""),"O+")</f>
        <v>O+</v>
      </c>
      <c r="Y28" s="12" t="str">
        <f>IFERROR(__xludf.DUMMYFUNCTION("""COMPUTED_VALUE"""),"K3")</f>
        <v>K3</v>
      </c>
      <c r="Z28" s="6">
        <f>IFERROR(__xludf.DUMMYFUNCTION("""COMPUTED_VALUE"""),120495.0)</f>
        <v>120495</v>
      </c>
      <c r="AA28" s="6" t="str">
        <f>IFERROR(__xludf.DUMMYFUNCTION("""COMPUTED_VALUE"""),"SURA")</f>
        <v>SURA</v>
      </c>
      <c r="AB28" s="6"/>
      <c r="AC28" s="6"/>
      <c r="AD28" s="12" t="str">
        <f>IFERROR(__xludf.DUMMYFUNCTION("""COMPUTED_VALUE"""),"K3A")</f>
        <v>K3A</v>
      </c>
      <c r="AE28" s="6" t="str">
        <f>IFERROR(__xludf.DUMMYFUNCTION("""COMPUTED_VALUE"""),"1345282494")</f>
        <v>1345282494</v>
      </c>
      <c r="AF28" s="12" t="str">
        <f>IFERROR(__xludf.DUMMYFUNCTION("""COMPUTED_VALUE"""),"1345282494")</f>
        <v>1345282494</v>
      </c>
      <c r="AG28" s="12" t="str">
        <f>IFERROR(__xludf.DUMMYFUNCTION("""COMPUTED_VALUE"""),"Monica")</f>
        <v>Monica</v>
      </c>
      <c r="AH28" s="6"/>
      <c r="AI28" s="6" t="str">
        <f>IFERROR(__xludf.DUMMYFUNCTION("""COMPUTED_VALUE"""),"Boghdady")</f>
        <v>Boghdady</v>
      </c>
      <c r="AJ28" s="6" t="str">
        <f>IFERROR(__xludf.DUMMYFUNCTION("""COMPUTED_VALUE"""),"monica.boghdady@gmail.com")</f>
        <v>monica.boghdady@gmail.com</v>
      </c>
      <c r="AK28" s="6" t="str">
        <f>IFERROR(__xludf.DUMMYFUNCTION("""COMPUTED_VALUE"""),"Bachelors of Arts and Science - Software")</f>
        <v>Bachelors of Arts and Science - Software</v>
      </c>
      <c r="AL28" s="6" t="str">
        <f>IFERROR(__xludf.DUMMYFUNCTION("""COMPUTED_VALUE"""),"Lighthouse")</f>
        <v>Lighthouse</v>
      </c>
      <c r="AM28" s="12" t="str">
        <f>IFERROR(__xludf.DUMMYFUNCTION("""COMPUTED_VALUE"""),"5585707")</f>
        <v>5585707</v>
      </c>
      <c r="AN28" s="12" t="str">
        <f>IFERROR(__xludf.DUMMYFUNCTION("""COMPUTED_VALUE"""),"3002869530")</f>
        <v>3002869530</v>
      </c>
      <c r="AO28" s="6" t="str">
        <f>IFERROR(__xludf.DUMMYFUNCTION("""COMPUTED_VALUE"""),"Madre")</f>
        <v>Madre</v>
      </c>
      <c r="AP28" s="12" t="str">
        <f>IFERROR(__xludf.DUMMYFUNCTION("""COMPUTED_VALUE"""),"Estudiante(s): Bedoya Boghdady")</f>
        <v>Estudiante(s): Bedoya Boghdady</v>
      </c>
      <c r="AQ28" s="6" t="str">
        <f>IFERROR(__xludf.DUMMYFUNCTION("""COMPUTED_VALUE"""),"120495*Gi")</f>
        <v>120495*Gi</v>
      </c>
      <c r="AR28" s="6" t="str">
        <f>IFERROR(__xludf.DUMMYFUNCTION("""COMPUTED_VALUE"""),"Luis")</f>
        <v>Luis</v>
      </c>
      <c r="AS28" s="6" t="str">
        <f>IFERROR(__xludf.DUMMYFUNCTION("""COMPUTED_VALUE"""),"Miguel")</f>
        <v>Miguel</v>
      </c>
      <c r="AT28" s="6" t="str">
        <f>IFERROR(__xludf.DUMMYFUNCTION("""COMPUTED_VALUE"""),"Bedoya Soto")</f>
        <v>Bedoya Soto</v>
      </c>
      <c r="AU28" s="6" t="str">
        <f>IFERROR(__xludf.DUMMYFUNCTION("""COMPUTED_VALUE"""),"luismibedoya@gmail.com")</f>
        <v>luismibedoya@gmail.com</v>
      </c>
      <c r="AV28" s="6" t="str">
        <f>IFERROR(__xludf.DUMMYFUNCTION("""COMPUTED_VALUE"""),"Bachelors of Business Administration - Software")</f>
        <v>Bachelors of Business Administration - Software</v>
      </c>
      <c r="AW28" s="6" t="str">
        <f>IFERROR(__xludf.DUMMYFUNCTION("""COMPUTED_VALUE"""),"Complete Discovery Source")</f>
        <v>Complete Discovery Source</v>
      </c>
      <c r="AX28" s="12" t="str">
        <f>IFERROR(__xludf.DUMMYFUNCTION("""COMPUTED_VALUE"""),"1094880766")</f>
        <v>1094880766</v>
      </c>
      <c r="AY28" s="12" t="str">
        <f>IFERROR(__xludf.DUMMYFUNCTION("""COMPUTED_VALUE"""),"3128640477")</f>
        <v>3128640477</v>
      </c>
      <c r="AZ28" s="6" t="str">
        <f>IFERROR(__xludf.DUMMYFUNCTION("""COMPUTED_VALUE"""),"Padre")</f>
        <v>Padre</v>
      </c>
      <c r="BA28" s="6"/>
      <c r="BB28" s="6"/>
      <c r="BC28" s="6"/>
      <c r="BD28" s="12" t="str">
        <f>IFERROR(__xludf.DUMMYFUNCTION("""COMPUTED_VALUE"""),"bed0005")</f>
        <v>bed0005</v>
      </c>
      <c r="BE28" s="6"/>
      <c r="BF28" s="6"/>
      <c r="BG28" s="6">
        <f>IFERROR(__xludf.DUMMYFUNCTION("""COMPUTED_VALUE"""),2041.0)</f>
        <v>2041</v>
      </c>
      <c r="BH28" s="15">
        <f>IFERROR(__xludf.DUMMYFUNCTION("""COMPUTED_VALUE"""),46211.27755787037)</f>
        <v>46211.27756</v>
      </c>
      <c r="BI28" s="6">
        <f>IFERROR(__xludf.DUMMYFUNCTION("""COMPUTED_VALUE"""),27.0)</f>
        <v>27</v>
      </c>
      <c r="BJ28" s="6"/>
      <c r="BK28" s="6"/>
      <c r="BL28" s="6" t="str">
        <f>IFERROR(__xludf.DUMMYFUNCTION("""COMPUTED_VALUE"""),"GISBED0005")</f>
        <v>GISBED0005</v>
      </c>
      <c r="BM28" s="6"/>
      <c r="BN28" s="6"/>
      <c r="BO28" s="6"/>
      <c r="BP28" s="6"/>
      <c r="BQ28" s="6"/>
      <c r="BR28" s="6"/>
      <c r="BS28" s="6"/>
      <c r="BT28" s="6"/>
      <c r="BU28" s="6" t="str">
        <f>IFERROR(__xludf.DUMMYFUNCTION("""COMPUTED_VALUE"""),"SI")</f>
        <v>SI</v>
      </c>
      <c r="BV28" s="6" t="str">
        <f>IFERROR(__xludf.DUMMYFUNCTION("""COMPUTED_VALUE"""),"gabriel.b2041")</f>
        <v>gabriel.b2041</v>
      </c>
      <c r="BW28" s="6"/>
      <c r="BX28" s="6"/>
      <c r="BY28" s="6"/>
      <c r="BZ28" s="6"/>
    </row>
    <row r="29">
      <c r="A29" s="6">
        <f>IFERROR(__xludf.DUMMYFUNCTION("""COMPUTED_VALUE"""),1.092866455E9)</f>
        <v>1092866455</v>
      </c>
      <c r="B29" s="6">
        <f>IFERROR(__xludf.DUMMYFUNCTION("""COMPUTED_VALUE"""),3.0)</f>
        <v>3</v>
      </c>
      <c r="C29" s="6" t="str">
        <f>IFERROR(__xludf.DUMMYFUNCTION("""COMPUTED_VALUE"""),"Matías")</f>
        <v>Matías</v>
      </c>
      <c r="D29" s="6"/>
      <c r="E29" s="6" t="str">
        <f>IFERROR(__xludf.DUMMYFUNCTION("""COMPUTED_VALUE"""),"Cardona López")</f>
        <v>Cardona López</v>
      </c>
      <c r="F29" s="6" t="str">
        <f>IFERROR(__xludf.DUMMYFUNCTION("""COMPUTED_VALUE"""),"Condominio Jordan Campestre Casa 28 - Cra 6 13Nte - 30 Av Centenario")</f>
        <v>Condominio Jordan Campestre Casa 28 - Cra 6 13Nte - 30 Av Centenario</v>
      </c>
      <c r="G29" s="12" t="str">
        <f>IFERROR(__xludf.DUMMYFUNCTION("""COMPUTED_VALUE"""),"2022")</f>
        <v>2022</v>
      </c>
      <c r="H29" s="6" t="str">
        <f>IFERROR(__xludf.DUMMYFUNCTION("""COMPUTED_VALUE"""),"Noviembre")</f>
        <v>Noviembre</v>
      </c>
      <c r="I29" s="12" t="str">
        <f>IFERROR(__xludf.DUMMYFUNCTION("""COMPUTED_VALUE"""),"21")</f>
        <v>21</v>
      </c>
      <c r="J29" s="6" t="str">
        <f>IFERROR(__xludf.DUMMYFUNCTION("""COMPUTED_VALUE"""),"Armenia")</f>
        <v>Armenia</v>
      </c>
      <c r="K29" s="6" t="str">
        <f>IFERROR(__xludf.DUMMYFUNCTION("""COMPUTED_VALUE"""),"matias.c2041@gi.edu.co")</f>
        <v>matias.c2041@gi.edu.co</v>
      </c>
      <c r="L29" s="6" t="str">
        <f>IFERROR(__xludf.DUMMYFUNCTION("""COMPUTED_VALUE"""),"RC")</f>
        <v>RC</v>
      </c>
      <c r="M29" s="6" t="str">
        <f>IFERROR(__xludf.DUMMYFUNCTION("""COMPUTED_VALUE"""),"Armenia")</f>
        <v>Armenia</v>
      </c>
      <c r="N29" s="6" t="str">
        <f>IFERROR(__xludf.DUMMYFUNCTION("""COMPUTED_VALUE"""),"M")</f>
        <v>M</v>
      </c>
      <c r="O29" s="6" t="str">
        <f>IFERROR(__xludf.DUMMYFUNCTION("""COMPUTED_VALUE"""),"ACTIVE")</f>
        <v>ACTIVE</v>
      </c>
      <c r="P29" s="6"/>
      <c r="Q29" s="6" t="str">
        <f>IFERROR(__xludf.DUMMYFUNCTION("""COMPUTED_VALUE"""),"Armenia")</f>
        <v>Armenia</v>
      </c>
      <c r="R29" s="12" t="str">
        <f>IFERROR(__xludf.DUMMYFUNCTION("""COMPUTED_VALUE"""),"GikrdUn4*")</f>
        <v>GikrdUn4*</v>
      </c>
      <c r="S29" s="12" t="str">
        <f>IFERROR(__xludf.DUMMYFUNCTION("""COMPUTED_VALUE"""),"Cardona López Matías ")</f>
        <v>Cardona López Matías </v>
      </c>
      <c r="T29" s="6" t="str">
        <f>IFERROR(__xludf.DUMMYFUNCTION("""COMPUTED_VALUE"""),"MARIA ALEJANDRA LOPEZ AGUDELO")</f>
        <v>MARIA ALEJANDRA LOPEZ AGUDELO</v>
      </c>
      <c r="U29" s="12" t="str">
        <f>IFERROR(__xludf.DUMMYFUNCTION("""COMPUTED_VALUE"""),"1094895530")</f>
        <v>1094895530</v>
      </c>
      <c r="V29" s="6">
        <f>IFERROR(__xludf.DUMMYFUNCTION("""COMPUTED_VALUE"""),3.154664375E9)</f>
        <v>3154664375</v>
      </c>
      <c r="W29" s="6" t="str">
        <f>IFERROR(__xludf.DUMMYFUNCTION("""COMPUTED_VALUE"""),"marialopez0310@hotmail.com
")</f>
        <v>marialopez0310@hotmail.com
</v>
      </c>
      <c r="X29" s="12" t="str">
        <f>IFERROR(__xludf.DUMMYFUNCTION("""COMPUTED_VALUE"""),"O+")</f>
        <v>O+</v>
      </c>
      <c r="Y29" s="12" t="str">
        <f>IFERROR(__xludf.DUMMYFUNCTION("""COMPUTED_VALUE"""),"K3")</f>
        <v>K3</v>
      </c>
      <c r="Z29" s="12">
        <f>IFERROR(__xludf.DUMMYFUNCTION("""COMPUTED_VALUE"""),120491.0)</f>
        <v>120491</v>
      </c>
      <c r="AA29" s="6" t="str">
        <f>IFERROR(__xludf.DUMMYFUNCTION("""COMPUTED_VALUE"""),"SURA")</f>
        <v>SURA</v>
      </c>
      <c r="AB29" s="6"/>
      <c r="AC29" s="6"/>
      <c r="AD29" s="12" t="str">
        <f>IFERROR(__xludf.DUMMYFUNCTION("""COMPUTED_VALUE"""),"K3A")</f>
        <v>K3A</v>
      </c>
      <c r="AE29" s="12" t="str">
        <f>IFERROR(__xludf.DUMMYFUNCTION("""COMPUTED_VALUE"""),"1345282490")</f>
        <v>1345282490</v>
      </c>
      <c r="AF29" s="12" t="str">
        <f>IFERROR(__xludf.DUMMYFUNCTION("""COMPUTED_VALUE"""),"1345282490")</f>
        <v>1345282490</v>
      </c>
      <c r="AG29" s="12" t="str">
        <f>IFERROR(__xludf.DUMMYFUNCTION("""COMPUTED_VALUE"""),"María")</f>
        <v>María</v>
      </c>
      <c r="AH29" s="12" t="str">
        <f>IFERROR(__xludf.DUMMYFUNCTION("""COMPUTED_VALUE"""),"Alejandra")</f>
        <v>Alejandra</v>
      </c>
      <c r="AI29" s="6" t="str">
        <f>IFERROR(__xludf.DUMMYFUNCTION("""COMPUTED_VALUE"""),"López Agudelo")</f>
        <v>López Agudelo</v>
      </c>
      <c r="AJ29" s="6" t="str">
        <f>IFERROR(__xludf.DUMMYFUNCTION("""COMPUTED_VALUE"""),"marialopez0310@hotmail.com")</f>
        <v>marialopez0310@hotmail.com</v>
      </c>
      <c r="AK29" s="6" t="str">
        <f>IFERROR(__xludf.DUMMYFUNCTION("""COMPUTED_VALUE"""),"INGENIERA ELECTRONICA
")</f>
        <v>INGENIERA ELECTRONICA
</v>
      </c>
      <c r="AL29" s="6" t="str">
        <f>IFERROR(__xludf.DUMMYFUNCTION("""COMPUTED_VALUE"""),"COLOMBIA TELECOMUNICACIONES
")</f>
        <v>COLOMBIA TELECOMUNICACIONES
</v>
      </c>
      <c r="AM29" s="12" t="str">
        <f>IFERROR(__xludf.DUMMYFUNCTION("""COMPUTED_VALUE"""),"1094895530")</f>
        <v>1094895530</v>
      </c>
      <c r="AN29" s="12" t="str">
        <f>IFERROR(__xludf.DUMMYFUNCTION("""COMPUTED_VALUE"""),"3154664375")</f>
        <v>3154664375</v>
      </c>
      <c r="AO29" s="6" t="str">
        <f>IFERROR(__xludf.DUMMYFUNCTION("""COMPUTED_VALUE"""),"Madre")</f>
        <v>Madre</v>
      </c>
      <c r="AP29" s="6" t="str">
        <f>IFERROR(__xludf.DUMMYFUNCTION("""COMPUTED_VALUE"""),"Estudiante(s): Cardona López")</f>
        <v>Estudiante(s): Cardona López</v>
      </c>
      <c r="AQ29" s="6" t="str">
        <f>IFERROR(__xludf.DUMMYFUNCTION("""COMPUTED_VALUE"""),"120491Gi*")</f>
        <v>120491Gi*</v>
      </c>
      <c r="AR29" s="6" t="str">
        <f>IFERROR(__xludf.DUMMYFUNCTION("""COMPUTED_VALUE"""),"Ricardo")</f>
        <v>Ricardo</v>
      </c>
      <c r="AS29" s="6"/>
      <c r="AT29" s="6" t="str">
        <f>IFERROR(__xludf.DUMMYFUNCTION("""COMPUTED_VALUE"""),"Cardona López")</f>
        <v>Cardona López</v>
      </c>
      <c r="AU29" s="6" t="str">
        <f>IFERROR(__xludf.DUMMYFUNCTION("""COMPUTED_VALUE"""),"marialopez0310@hotmail.com")</f>
        <v>marialopez0310@hotmail.com</v>
      </c>
      <c r="AV29" s="6" t="str">
        <f>IFERROR(__xludf.DUMMYFUNCTION("""COMPUTED_VALUE"""),"INGENIERO CIVIL
")</f>
        <v>INGENIERO CIVIL
</v>
      </c>
      <c r="AW29" s="6" t="str">
        <f>IFERROR(__xludf.DUMMYFUNCTION("""COMPUTED_VALUE"""),"SOLUCIONES A CONSTRUCTORES
")</f>
        <v>SOLUCIONES A CONSTRUCTORES
</v>
      </c>
      <c r="AX29" s="12" t="str">
        <f>IFERROR(__xludf.DUMMYFUNCTION("""COMPUTED_VALUE"""),"9774350")</f>
        <v>9774350</v>
      </c>
      <c r="AY29" s="12" t="str">
        <f>IFERROR(__xludf.DUMMYFUNCTION("""COMPUTED_VALUE"""),"3108288940")</f>
        <v>3108288940</v>
      </c>
      <c r="AZ29" s="6" t="str">
        <f>IFERROR(__xludf.DUMMYFUNCTION("""COMPUTED_VALUE"""),"Padre")</f>
        <v>Padre</v>
      </c>
      <c r="BA29" s="6"/>
      <c r="BB29" s="6"/>
      <c r="BC29" s="6"/>
      <c r="BD29" s="12" t="str">
        <f>IFERROR(__xludf.DUMMYFUNCTION("""COMPUTED_VALUE"""),"car0023")</f>
        <v>car0023</v>
      </c>
      <c r="BE29" s="6"/>
      <c r="BF29" s="6"/>
      <c r="BG29" s="6">
        <f>IFERROR(__xludf.DUMMYFUNCTION("""COMPUTED_VALUE"""),2041.0)</f>
        <v>2041</v>
      </c>
      <c r="BH29" s="16">
        <f>IFERROR(__xludf.DUMMYFUNCTION("""COMPUTED_VALUE"""),46206.43329861111)</f>
        <v>46206.4333</v>
      </c>
      <c r="BI29" s="6">
        <f>IFERROR(__xludf.DUMMYFUNCTION("""COMPUTED_VALUE"""),28.0)</f>
        <v>28</v>
      </c>
      <c r="BJ29" s="6"/>
      <c r="BK29" s="6"/>
      <c r="BL29" s="6" t="str">
        <f>IFERROR(__xludf.DUMMYFUNCTION("""COMPUTED_VALUE"""),"GISCAR0023")</f>
        <v>GISCAR0023</v>
      </c>
      <c r="BM29" s="6"/>
      <c r="BN29" s="6"/>
      <c r="BO29" s="6"/>
      <c r="BP29" s="6"/>
      <c r="BQ29" s="6"/>
      <c r="BR29" s="6"/>
      <c r="BS29" s="6"/>
      <c r="BT29" s="6"/>
      <c r="BU29" s="6" t="str">
        <f>IFERROR(__xludf.DUMMYFUNCTION("""COMPUTED_VALUE"""),"SI")</f>
        <v>SI</v>
      </c>
      <c r="BV29" s="6" t="str">
        <f>IFERROR(__xludf.DUMMYFUNCTION("""COMPUTED_VALUE"""),"matias.c2041")</f>
        <v>matias.c2041</v>
      </c>
      <c r="BW29" s="6"/>
      <c r="BX29" s="6"/>
      <c r="BY29" s="6"/>
      <c r="BZ29" s="6"/>
    </row>
    <row r="30">
      <c r="A30" s="6">
        <f>IFERROR(__xludf.DUMMYFUNCTION("""COMPUTED_VALUE"""),1.092866865E9)</f>
        <v>1092866865</v>
      </c>
      <c r="B30" s="6">
        <f>IFERROR(__xludf.DUMMYFUNCTION("""COMPUTED_VALUE"""),4.0)</f>
        <v>4</v>
      </c>
      <c r="C30" s="6" t="str">
        <f>IFERROR(__xludf.DUMMYFUNCTION("""COMPUTED_VALUE"""),"Pedro")</f>
        <v>Pedro</v>
      </c>
      <c r="D30" s="6"/>
      <c r="E30" s="6" t="str">
        <f>IFERROR(__xludf.DUMMYFUNCTION("""COMPUTED_VALUE"""),"Devia Mellán")</f>
        <v>Devia Mellán</v>
      </c>
      <c r="F30" s="6" t="str">
        <f>IFERROR(__xludf.DUMMYFUNCTION("""COMPUTED_VALUE"""),"Parque Residencial Los Cedros Mz 1 Casa 7 - Calle 50Nte No15 - 1")</f>
        <v>Parque Residencial Los Cedros Mz 1 Casa 7 - Calle 50Nte No15 - 1</v>
      </c>
      <c r="G30" s="12" t="str">
        <f>IFERROR(__xludf.DUMMYFUNCTION("""COMPUTED_VALUE"""),"2023")</f>
        <v>2023</v>
      </c>
      <c r="H30" s="6" t="str">
        <f>IFERROR(__xludf.DUMMYFUNCTION("""COMPUTED_VALUE"""),"Junio")</f>
        <v>Junio</v>
      </c>
      <c r="I30" s="12" t="str">
        <f>IFERROR(__xludf.DUMMYFUNCTION("""COMPUTED_VALUE"""),"21")</f>
        <v>21</v>
      </c>
      <c r="J30" s="6" t="str">
        <f>IFERROR(__xludf.DUMMYFUNCTION("""COMPUTED_VALUE"""),"Armenia")</f>
        <v>Armenia</v>
      </c>
      <c r="K30" s="6" t="str">
        <f>IFERROR(__xludf.DUMMYFUNCTION("""COMPUTED_VALUE"""),"pedro.d2041@gi.edu.co")</f>
        <v>pedro.d2041@gi.edu.co</v>
      </c>
      <c r="L30" s="6" t="str">
        <f>IFERROR(__xludf.DUMMYFUNCTION("""COMPUTED_VALUE"""),"RC")</f>
        <v>RC</v>
      </c>
      <c r="M30" s="6" t="str">
        <f>IFERROR(__xludf.DUMMYFUNCTION("""COMPUTED_VALUE"""),"Armenia")</f>
        <v>Armenia</v>
      </c>
      <c r="N30" s="6" t="str">
        <f>IFERROR(__xludf.DUMMYFUNCTION("""COMPUTED_VALUE"""),"M")</f>
        <v>M</v>
      </c>
      <c r="O30" s="6" t="str">
        <f>IFERROR(__xludf.DUMMYFUNCTION("""COMPUTED_VALUE"""),"ACTIVE")</f>
        <v>ACTIVE</v>
      </c>
      <c r="P30" s="6"/>
      <c r="Q30" s="6" t="str">
        <f>IFERROR(__xludf.DUMMYFUNCTION("""COMPUTED_VALUE"""),"Armenia")</f>
        <v>Armenia</v>
      </c>
      <c r="R30" s="12" t="str">
        <f>IFERROR(__xludf.DUMMYFUNCTION("""COMPUTED_VALUE"""),"Gii18gs7*")</f>
        <v>Gii18gs7*</v>
      </c>
      <c r="S30" s="12" t="str">
        <f>IFERROR(__xludf.DUMMYFUNCTION("""COMPUTED_VALUE"""),"Devia Mellán Pedro ")</f>
        <v>Devia Mellán Pedro </v>
      </c>
      <c r="T30" s="6" t="str">
        <f>IFERROR(__xludf.DUMMYFUNCTION("""COMPUTED_VALUE"""),"SEBASTIAN DEVIA ARIAS")</f>
        <v>SEBASTIAN DEVIA ARIAS</v>
      </c>
      <c r="U30" s="12" t="str">
        <f>IFERROR(__xludf.DUMMYFUNCTION("""COMPUTED_VALUE"""),"1094930918")</f>
        <v>1094930918</v>
      </c>
      <c r="V30" s="6">
        <f>IFERROR(__xludf.DUMMYFUNCTION("""COMPUTED_VALUE"""),3.103886972E9)</f>
        <v>3103886972</v>
      </c>
      <c r="W30" s="6" t="str">
        <f>IFERROR(__xludf.DUMMYFUNCTION("""COMPUTED_VALUE"""),"sebastiandeviaarias@hotmail.com")</f>
        <v>sebastiandeviaarias@hotmail.com</v>
      </c>
      <c r="X30" s="12" t="str">
        <f>IFERROR(__xludf.DUMMYFUNCTION("""COMPUTED_VALUE"""),"O+")</f>
        <v>O+</v>
      </c>
      <c r="Y30" s="12" t="str">
        <f>IFERROR(__xludf.DUMMYFUNCTION("""COMPUTED_VALUE"""),"K3")</f>
        <v>K3</v>
      </c>
      <c r="Z30" s="6">
        <f>IFERROR(__xludf.DUMMYFUNCTION("""COMPUTED_VALUE"""),120497.0)</f>
        <v>120497</v>
      </c>
      <c r="AA30" s="6" t="str">
        <f>IFERROR(__xludf.DUMMYFUNCTION("""COMPUTED_VALUE"""),"SURA")</f>
        <v>SURA</v>
      </c>
      <c r="AB30" s="6"/>
      <c r="AC30" s="6"/>
      <c r="AD30" s="12" t="str">
        <f>IFERROR(__xludf.DUMMYFUNCTION("""COMPUTED_VALUE"""),"K3A")</f>
        <v>K3A</v>
      </c>
      <c r="AE30" s="6" t="str">
        <f>IFERROR(__xludf.DUMMYFUNCTION("""COMPUTED_VALUE"""),"1345282496")</f>
        <v>1345282496</v>
      </c>
      <c r="AF30" s="12" t="str">
        <f>IFERROR(__xludf.DUMMYFUNCTION("""COMPUTED_VALUE"""),"1345282496")</f>
        <v>1345282496</v>
      </c>
      <c r="AG30" s="12" t="str">
        <f>IFERROR(__xludf.DUMMYFUNCTION("""COMPUTED_VALUE"""),"Luisa")</f>
        <v>Luisa</v>
      </c>
      <c r="AH30" s="12" t="str">
        <f>IFERROR(__xludf.DUMMYFUNCTION("""COMPUTED_VALUE"""),"María")</f>
        <v>María</v>
      </c>
      <c r="AI30" s="6" t="str">
        <f>IFERROR(__xludf.DUMMYFUNCTION("""COMPUTED_VALUE"""),"Mellán Giraldo")</f>
        <v>Mellán Giraldo</v>
      </c>
      <c r="AJ30" s="6" t="str">
        <f>IFERROR(__xludf.DUMMYFUNCTION("""COMPUTED_VALUE"""),"lmellangiraldo@gmail.com")</f>
        <v>lmellangiraldo@gmail.com</v>
      </c>
      <c r="AK30" s="6" t="str">
        <f>IFERROR(__xludf.DUMMYFUNCTION("""COMPUTED_VALUE"""),"PSICÓLOGA")</f>
        <v>PSICÓLOGA</v>
      </c>
      <c r="AL30" s="6" t="str">
        <f>IFERROR(__xludf.DUMMYFUNCTION("""COMPUTED_VALUE"""),"SENA Y MADERAS FINAS DE LA 17")</f>
        <v>SENA Y MADERAS FINAS DE LA 17</v>
      </c>
      <c r="AM30" s="12" t="str">
        <f>IFERROR(__xludf.DUMMYFUNCTION("""COMPUTED_VALUE"""),"1094932071")</f>
        <v>1094932071</v>
      </c>
      <c r="AN30" s="12" t="str">
        <f>IFERROR(__xludf.DUMMYFUNCTION("""COMPUTED_VALUE"""),"3012249124")</f>
        <v>3012249124</v>
      </c>
      <c r="AO30" s="6" t="str">
        <f>IFERROR(__xludf.DUMMYFUNCTION("""COMPUTED_VALUE"""),"Madre")</f>
        <v>Madre</v>
      </c>
      <c r="AP30" s="12" t="str">
        <f>IFERROR(__xludf.DUMMYFUNCTION("""COMPUTED_VALUE"""),"Estudiante(s): Devia Mellán")</f>
        <v>Estudiante(s): Devia Mellán</v>
      </c>
      <c r="AQ30" s="6" t="str">
        <f>IFERROR(__xludf.DUMMYFUNCTION("""COMPUTED_VALUE"""),"120497*Gi")</f>
        <v>120497*Gi</v>
      </c>
      <c r="AR30" s="6" t="str">
        <f>IFERROR(__xludf.DUMMYFUNCTION("""COMPUTED_VALUE"""),"Sebastián")</f>
        <v>Sebastián</v>
      </c>
      <c r="AS30" s="6"/>
      <c r="AT30" s="6" t="str">
        <f>IFERROR(__xludf.DUMMYFUNCTION("""COMPUTED_VALUE"""),"Devia Arias")</f>
        <v>Devia Arias</v>
      </c>
      <c r="AU30" s="6" t="str">
        <f>IFERROR(__xludf.DUMMYFUNCTION("""COMPUTED_VALUE"""),"sebastiandeviaarias@hotmail.com")</f>
        <v>sebastiandeviaarias@hotmail.com</v>
      </c>
      <c r="AV30" s="6" t="str">
        <f>IFERROR(__xludf.DUMMYFUNCTION("""COMPUTED_VALUE"""),"ABOGADO")</f>
        <v>ABOGADO</v>
      </c>
      <c r="AW30" s="6" t="str">
        <f>IFERROR(__xludf.DUMMYFUNCTION("""COMPUTED_VALUE"""),"SENA Y SEBASTIAN DEVIA ARIAS INMOBILIARIA")</f>
        <v>SENA Y SEBASTIAN DEVIA ARIAS INMOBILIARIA</v>
      </c>
      <c r="AX30" s="12" t="str">
        <f>IFERROR(__xludf.DUMMYFUNCTION("""COMPUTED_VALUE"""),"1094930918")</f>
        <v>1094930918</v>
      </c>
      <c r="AY30" s="12" t="str">
        <f>IFERROR(__xludf.DUMMYFUNCTION("""COMPUTED_VALUE"""),"3103886972")</f>
        <v>3103886972</v>
      </c>
      <c r="AZ30" s="6" t="str">
        <f>IFERROR(__xludf.DUMMYFUNCTION("""COMPUTED_VALUE"""),"Padre")</f>
        <v>Padre</v>
      </c>
      <c r="BA30" s="6"/>
      <c r="BB30" s="6"/>
      <c r="BC30" s="6"/>
      <c r="BD30" s="12" t="str">
        <f>IFERROR(__xludf.DUMMYFUNCTION("""COMPUTED_VALUE"""),"dev0002")</f>
        <v>dev0002</v>
      </c>
      <c r="BE30" s="6"/>
      <c r="BF30" s="6"/>
      <c r="BG30" s="6">
        <f>IFERROR(__xludf.DUMMYFUNCTION("""COMPUTED_VALUE"""),2041.0)</f>
        <v>2041</v>
      </c>
      <c r="BH30" s="15">
        <f>IFERROR(__xludf.DUMMYFUNCTION("""COMPUTED_VALUE"""),46211.45625)</f>
        <v>46211.45625</v>
      </c>
      <c r="BI30" s="6">
        <f>IFERROR(__xludf.DUMMYFUNCTION("""COMPUTED_VALUE"""),29.0)</f>
        <v>29</v>
      </c>
      <c r="BJ30" s="6"/>
      <c r="BK30" s="6"/>
      <c r="BL30" s="6" t="str">
        <f>IFERROR(__xludf.DUMMYFUNCTION("""COMPUTED_VALUE"""),"GISDEV0002")</f>
        <v>GISDEV0002</v>
      </c>
      <c r="BM30" s="6"/>
      <c r="BN30" s="6"/>
      <c r="BO30" s="6"/>
      <c r="BP30" s="6"/>
      <c r="BQ30" s="6"/>
      <c r="BR30" s="6"/>
      <c r="BS30" s="6"/>
      <c r="BT30" s="6"/>
      <c r="BU30" s="6" t="str">
        <f>IFERROR(__xludf.DUMMYFUNCTION("""COMPUTED_VALUE"""),"SI")</f>
        <v>SI</v>
      </c>
      <c r="BV30" s="6" t="str">
        <f>IFERROR(__xludf.DUMMYFUNCTION("""COMPUTED_VALUE"""),"pedro.d2041")</f>
        <v>pedro.d2041</v>
      </c>
      <c r="BW30" s="6"/>
      <c r="BX30" s="6"/>
      <c r="BY30" s="6"/>
      <c r="BZ30" s="6"/>
    </row>
    <row r="31">
      <c r="A31" s="6">
        <f>IFERROR(__xludf.DUMMYFUNCTION("""COMPUTED_VALUE"""),1.094985056E9)</f>
        <v>1094985056</v>
      </c>
      <c r="B31" s="6">
        <f>IFERROR(__xludf.DUMMYFUNCTION("""COMPUTED_VALUE"""),5.0)</f>
        <v>5</v>
      </c>
      <c r="C31" s="6" t="str">
        <f>IFERROR(__xludf.DUMMYFUNCTION("""COMPUTED_VALUE"""),"Theo")</f>
        <v>Theo</v>
      </c>
      <c r="D31" s="6"/>
      <c r="E31" s="6" t="str">
        <f>IFERROR(__xludf.DUMMYFUNCTION("""COMPUTED_VALUE"""),"Díaz Ortiz")</f>
        <v>Díaz Ortiz</v>
      </c>
      <c r="F31" s="6" t="str">
        <f>IFERROR(__xludf.DUMMYFUNCTION("""COMPUTED_VALUE"""),"Parque Residencial Ciudad Real Casa B3 - Cra 11 No24Nte 75")</f>
        <v>Parque Residencial Ciudad Real Casa B3 - Cra 11 No24Nte 75</v>
      </c>
      <c r="G31" s="12" t="str">
        <f>IFERROR(__xludf.DUMMYFUNCTION("""COMPUTED_VALUE"""),"2023")</f>
        <v>2023</v>
      </c>
      <c r="H31" s="6" t="str">
        <f>IFERROR(__xludf.DUMMYFUNCTION("""COMPUTED_VALUE"""),"Julio")</f>
        <v>Julio</v>
      </c>
      <c r="I31" s="12" t="str">
        <f>IFERROR(__xludf.DUMMYFUNCTION("""COMPUTED_VALUE"""),"28")</f>
        <v>28</v>
      </c>
      <c r="J31" s="6" t="str">
        <f>IFERROR(__xludf.DUMMYFUNCTION("""COMPUTED_VALUE"""),"Armenia")</f>
        <v>Armenia</v>
      </c>
      <c r="K31" s="6" t="str">
        <f>IFERROR(__xludf.DUMMYFUNCTION("""COMPUTED_VALUE"""),"theo.d2041@gi.edu.co")</f>
        <v>theo.d2041@gi.edu.co</v>
      </c>
      <c r="L31" s="6" t="str">
        <f>IFERROR(__xludf.DUMMYFUNCTION("""COMPUTED_VALUE"""),"RC")</f>
        <v>RC</v>
      </c>
      <c r="M31" s="6" t="str">
        <f>IFERROR(__xludf.DUMMYFUNCTION("""COMPUTED_VALUE"""),"Armenia")</f>
        <v>Armenia</v>
      </c>
      <c r="N31" s="6" t="str">
        <f>IFERROR(__xludf.DUMMYFUNCTION("""COMPUTED_VALUE"""),"M")</f>
        <v>M</v>
      </c>
      <c r="O31" s="6" t="str">
        <f>IFERROR(__xludf.DUMMYFUNCTION("""COMPUTED_VALUE"""),"ACTIVE")</f>
        <v>ACTIVE</v>
      </c>
      <c r="P31" s="6"/>
      <c r="Q31" s="6" t="str">
        <f>IFERROR(__xludf.DUMMYFUNCTION("""COMPUTED_VALUE"""),"Armenia")</f>
        <v>Armenia</v>
      </c>
      <c r="R31" s="12" t="str">
        <f>IFERROR(__xludf.DUMMYFUNCTION("""COMPUTED_VALUE"""),"Gic2v3ge*")</f>
        <v>Gic2v3ge*</v>
      </c>
      <c r="S31" s="12" t="str">
        <f>IFERROR(__xludf.DUMMYFUNCTION("""COMPUTED_VALUE"""),"Díaz Ortiz Theo ")</f>
        <v>Díaz Ortiz Theo </v>
      </c>
      <c r="T31" s="6" t="str">
        <f>IFERROR(__xludf.DUMMYFUNCTION("""COMPUTED_VALUE"""),"JOHN FREDDY DIAZ MARIN")</f>
        <v>JOHN FREDDY DIAZ MARIN</v>
      </c>
      <c r="U31" s="12" t="str">
        <f>IFERROR(__xludf.DUMMYFUNCTION("""COMPUTED_VALUE"""),"1125999646")</f>
        <v>1125999646</v>
      </c>
      <c r="V31" s="6">
        <f>IFERROR(__xludf.DUMMYFUNCTION("""COMPUTED_VALUE"""),3.232265763E9)</f>
        <v>3232265763</v>
      </c>
      <c r="W31" s="6" t="str">
        <f>IFERROR(__xludf.DUMMYFUNCTION("""COMPUTED_VALUE"""),"john.fdm@gmail.com")</f>
        <v>john.fdm@gmail.com</v>
      </c>
      <c r="X31" s="12" t="str">
        <f>IFERROR(__xludf.DUMMYFUNCTION("""COMPUTED_VALUE"""),"O+")</f>
        <v>O+</v>
      </c>
      <c r="Y31" s="12" t="str">
        <f>IFERROR(__xludf.DUMMYFUNCTION("""COMPUTED_VALUE"""),"K3")</f>
        <v>K3</v>
      </c>
      <c r="Z31" s="6">
        <f>IFERROR(__xludf.DUMMYFUNCTION("""COMPUTED_VALUE"""),120496.0)</f>
        <v>120496</v>
      </c>
      <c r="AA31" s="6" t="str">
        <f>IFERROR(__xludf.DUMMYFUNCTION("""COMPUTED_VALUE"""),"SURA")</f>
        <v>SURA</v>
      </c>
      <c r="AB31" s="6"/>
      <c r="AC31" s="6"/>
      <c r="AD31" s="12" t="str">
        <f>IFERROR(__xludf.DUMMYFUNCTION("""COMPUTED_VALUE"""),"K3A")</f>
        <v>K3A</v>
      </c>
      <c r="AE31" s="6" t="str">
        <f>IFERROR(__xludf.DUMMYFUNCTION("""COMPUTED_VALUE"""),"1345282495")</f>
        <v>1345282495</v>
      </c>
      <c r="AF31" s="12" t="str">
        <f>IFERROR(__xludf.DUMMYFUNCTION("""COMPUTED_VALUE"""),"1345282495")</f>
        <v>1345282495</v>
      </c>
      <c r="AG31" s="12" t="str">
        <f>IFERROR(__xludf.DUMMYFUNCTION("""COMPUTED_VALUE"""),"Valentina")</f>
        <v>Valentina</v>
      </c>
      <c r="AH31" s="6"/>
      <c r="AI31" s="6" t="str">
        <f>IFERROR(__xludf.DUMMYFUNCTION("""COMPUTED_VALUE"""),"Ortiz Duque")</f>
        <v>Ortiz Duque</v>
      </c>
      <c r="AJ31" s="6" t="str">
        <f>IFERROR(__xludf.DUMMYFUNCTION("""COMPUTED_VALUE"""),"vodarmenia@hotmail.com")</f>
        <v>vodarmenia@hotmail.com</v>
      </c>
      <c r="AK31" s="6" t="str">
        <f>IFERROR(__xludf.DUMMYFUNCTION("""COMPUTED_VALUE"""),"Medica veterinaria y zootecnista")</f>
        <v>Medica veterinaria y zootecnista</v>
      </c>
      <c r="AL31" s="6" t="str">
        <f>IFERROR(__xludf.DUMMYFUNCTION("""COMPUTED_VALUE"""),"Granja avicola la floresta ")</f>
        <v>Granja avicola la floresta </v>
      </c>
      <c r="AM31" s="12" t="str">
        <f>IFERROR(__xludf.DUMMYFUNCTION("""COMPUTED_VALUE"""),"1053847980")</f>
        <v>1053847980</v>
      </c>
      <c r="AN31" s="12" t="str">
        <f>IFERROR(__xludf.DUMMYFUNCTION("""COMPUTED_VALUE"""),"3218858491")</f>
        <v>3218858491</v>
      </c>
      <c r="AO31" s="6" t="str">
        <f>IFERROR(__xludf.DUMMYFUNCTION("""COMPUTED_VALUE"""),"Madre")</f>
        <v>Madre</v>
      </c>
      <c r="AP31" s="12" t="str">
        <f>IFERROR(__xludf.DUMMYFUNCTION("""COMPUTED_VALUE"""),"Estudiante(s): Diaz Ortiz")</f>
        <v>Estudiante(s): Diaz Ortiz</v>
      </c>
      <c r="AQ31" s="6" t="str">
        <f>IFERROR(__xludf.DUMMYFUNCTION("""COMPUTED_VALUE"""),"120496*Gi")</f>
        <v>120496*Gi</v>
      </c>
      <c r="AR31" s="6" t="str">
        <f>IFERROR(__xludf.DUMMYFUNCTION("""COMPUTED_VALUE"""),"John")</f>
        <v>John</v>
      </c>
      <c r="AS31" s="6" t="str">
        <f>IFERROR(__xludf.DUMMYFUNCTION("""COMPUTED_VALUE"""),"Freddy")</f>
        <v>Freddy</v>
      </c>
      <c r="AT31" s="6" t="str">
        <f>IFERROR(__xludf.DUMMYFUNCTION("""COMPUTED_VALUE"""),"Díaz Marín")</f>
        <v>Díaz Marín</v>
      </c>
      <c r="AU31" s="6" t="str">
        <f>IFERROR(__xludf.DUMMYFUNCTION("""COMPUTED_VALUE"""),"john.fdm@gmail.com")</f>
        <v>john.fdm@gmail.com</v>
      </c>
      <c r="AV31" s="6" t="str">
        <f>IFERROR(__xludf.DUMMYFUNCTION("""COMPUTED_VALUE"""),"Arquitecto / Docente Ingles")</f>
        <v>Arquitecto / Docente Ingles</v>
      </c>
      <c r="AW31" s="6" t="str">
        <f>IFERROR(__xludf.DUMMYFUNCTION("""COMPUTED_VALUE"""),"Plataformas virtuales (Engoo / BlingABC / LingoAce)")</f>
        <v>Plataformas virtuales (Engoo / BlingABC / LingoAce)</v>
      </c>
      <c r="AX31" s="12" t="str">
        <f>IFERROR(__xludf.DUMMYFUNCTION("""COMPUTED_VALUE"""),"1125999646")</f>
        <v>1125999646</v>
      </c>
      <c r="AY31" s="12" t="str">
        <f>IFERROR(__xludf.DUMMYFUNCTION("""COMPUTED_VALUE"""),"3232265763")</f>
        <v>3232265763</v>
      </c>
      <c r="AZ31" s="6" t="str">
        <f>IFERROR(__xludf.DUMMYFUNCTION("""COMPUTED_VALUE"""),"Padre")</f>
        <v>Padre</v>
      </c>
      <c r="BA31" s="6"/>
      <c r="BB31" s="6"/>
      <c r="BC31" s="6"/>
      <c r="BD31" s="12" t="str">
        <f>IFERROR(__xludf.DUMMYFUNCTION("""COMPUTED_VALUE"""),"dia0005")</f>
        <v>dia0005</v>
      </c>
      <c r="BE31" s="6"/>
      <c r="BF31" s="6"/>
      <c r="BG31" s="6">
        <f>IFERROR(__xludf.DUMMYFUNCTION("""COMPUTED_VALUE"""),2041.0)</f>
        <v>2041</v>
      </c>
      <c r="BH31" s="15">
        <f>IFERROR(__xludf.DUMMYFUNCTION("""COMPUTED_VALUE"""),46209.63070601852)</f>
        <v>46209.63071</v>
      </c>
      <c r="BI31" s="6">
        <f>IFERROR(__xludf.DUMMYFUNCTION("""COMPUTED_VALUE"""),30.0)</f>
        <v>30</v>
      </c>
      <c r="BJ31" s="6"/>
      <c r="BK31" s="6"/>
      <c r="BL31" s="6" t="str">
        <f>IFERROR(__xludf.DUMMYFUNCTION("""COMPUTED_VALUE"""),"GISDIA0005")</f>
        <v>GISDIA0005</v>
      </c>
      <c r="BM31" s="6"/>
      <c r="BN31" s="6"/>
      <c r="BO31" s="6"/>
      <c r="BP31" s="6"/>
      <c r="BQ31" s="6"/>
      <c r="BR31" s="6"/>
      <c r="BS31" s="6"/>
      <c r="BT31" s="6"/>
      <c r="BU31" s="6" t="str">
        <f>IFERROR(__xludf.DUMMYFUNCTION("""COMPUTED_VALUE"""),"SI")</f>
        <v>SI</v>
      </c>
      <c r="BV31" s="6" t="str">
        <f>IFERROR(__xludf.DUMMYFUNCTION("""COMPUTED_VALUE"""),"theo.d2041")</f>
        <v>theo.d2041</v>
      </c>
      <c r="BW31" s="6"/>
      <c r="BX31" s="6"/>
      <c r="BY31" s="6"/>
      <c r="BZ31" s="6"/>
    </row>
    <row r="32">
      <c r="A32" s="6">
        <f>IFERROR(__xludf.DUMMYFUNCTION("""COMPUTED_VALUE"""),1.092866937E9)</f>
        <v>1092866937</v>
      </c>
      <c r="B32" s="6">
        <f>IFERROR(__xludf.DUMMYFUNCTION("""COMPUTED_VALUE"""),6.0)</f>
        <v>6</v>
      </c>
      <c r="C32" s="6" t="str">
        <f>IFERROR(__xludf.DUMMYFUNCTION("""COMPUTED_VALUE"""),"Antonella")</f>
        <v>Antonella</v>
      </c>
      <c r="D32" s="6"/>
      <c r="E32" s="6" t="str">
        <f>IFERROR(__xludf.DUMMYFUNCTION("""COMPUTED_VALUE"""),"Duarte Muñoz")</f>
        <v>Duarte Muñoz</v>
      </c>
      <c r="F32" s="6" t="str">
        <f>IFERROR(__xludf.DUMMYFUNCTION("""COMPUTED_VALUE"""),"Lagos de Iraka - Km 12 Via Armenia - El Caimo")</f>
        <v>Lagos de Iraka - Km 12 Via Armenia - El Caimo</v>
      </c>
      <c r="G32" s="12" t="str">
        <f>IFERROR(__xludf.DUMMYFUNCTION("""COMPUTED_VALUE"""),"2023")</f>
        <v>2023</v>
      </c>
      <c r="H32" s="6" t="str">
        <f>IFERROR(__xludf.DUMMYFUNCTION("""COMPUTED_VALUE"""),"Julio")</f>
        <v>Julio</v>
      </c>
      <c r="I32" s="12" t="str">
        <f>IFERROR(__xludf.DUMMYFUNCTION("""COMPUTED_VALUE"""),"30")</f>
        <v>30</v>
      </c>
      <c r="J32" s="6" t="str">
        <f>IFERROR(__xludf.DUMMYFUNCTION("""COMPUTED_VALUE"""),"Cali")</f>
        <v>Cali</v>
      </c>
      <c r="K32" s="6" t="str">
        <f>IFERROR(__xludf.DUMMYFUNCTION("""COMPUTED_VALUE"""),"antonella.d2041@gi.edu.co")</f>
        <v>antonella.d2041@gi.edu.co</v>
      </c>
      <c r="L32" s="6" t="str">
        <f>IFERROR(__xludf.DUMMYFUNCTION("""COMPUTED_VALUE"""),"RC")</f>
        <v>RC</v>
      </c>
      <c r="M32" s="6" t="str">
        <f>IFERROR(__xludf.DUMMYFUNCTION("""COMPUTED_VALUE"""),"Armenia")</f>
        <v>Armenia</v>
      </c>
      <c r="N32" s="6" t="str">
        <f>IFERROR(__xludf.DUMMYFUNCTION("""COMPUTED_VALUE"""),"F")</f>
        <v>F</v>
      </c>
      <c r="O32" s="6" t="str">
        <f>IFERROR(__xludf.DUMMYFUNCTION("""COMPUTED_VALUE"""),"ACTIVE")</f>
        <v>ACTIVE</v>
      </c>
      <c r="P32" s="6"/>
      <c r="Q32" s="6" t="str">
        <f>IFERROR(__xludf.DUMMYFUNCTION("""COMPUTED_VALUE"""),"Armenia")</f>
        <v>Armenia</v>
      </c>
      <c r="R32" s="12" t="str">
        <f>IFERROR(__xludf.DUMMYFUNCTION("""COMPUTED_VALUE"""),"Giut33xi*")</f>
        <v>Giut33xi*</v>
      </c>
      <c r="S32" s="12" t="str">
        <f>IFERROR(__xludf.DUMMYFUNCTION("""COMPUTED_VALUE"""),"Duarte Muñoz Antonella ")</f>
        <v>Duarte Muñoz Antonella </v>
      </c>
      <c r="T32" s="6" t="str">
        <f>IFERROR(__xludf.DUMMYFUNCTION("""COMPUTED_VALUE"""),"ANDRES FELIPE DUARTE ROZO")</f>
        <v>ANDRES FELIPE DUARTE ROZO</v>
      </c>
      <c r="U32" s="12" t="str">
        <f>IFERROR(__xludf.DUMMYFUNCTION("""COMPUTED_VALUE"""),"1094930986")</f>
        <v>1094930986</v>
      </c>
      <c r="V32" s="6">
        <f>IFERROR(__xludf.DUMMYFUNCTION("""COMPUTED_VALUE"""),3.136201554E9)</f>
        <v>3136201554</v>
      </c>
      <c r="W32" s="6" t="str">
        <f>IFERROR(__xludf.DUMMYFUNCTION("""COMPUTED_VALUE"""),"felipeduarterozo@gmail.com")</f>
        <v>felipeduarterozo@gmail.com</v>
      </c>
      <c r="X32" s="12" t="str">
        <f>IFERROR(__xludf.DUMMYFUNCTION("""COMPUTED_VALUE"""),"A+")</f>
        <v>A+</v>
      </c>
      <c r="Y32" s="12" t="str">
        <f>IFERROR(__xludf.DUMMYFUNCTION("""COMPUTED_VALUE"""),"K3")</f>
        <v>K3</v>
      </c>
      <c r="Z32" s="6">
        <f>IFERROR(__xludf.DUMMYFUNCTION("""COMPUTED_VALUE"""),120541.0)</f>
        <v>120541</v>
      </c>
      <c r="AA32" s="6" t="str">
        <f>IFERROR(__xludf.DUMMYFUNCTION("""COMPUTED_VALUE"""),"SURA")</f>
        <v>SURA</v>
      </c>
      <c r="AB32" s="6"/>
      <c r="AC32" s="6"/>
      <c r="AD32" s="12" t="str">
        <f>IFERROR(__xludf.DUMMYFUNCTION("""COMPUTED_VALUE"""),"K3A")</f>
        <v>K3A</v>
      </c>
      <c r="AE32" s="12" t="str">
        <f>IFERROR(__xludf.DUMMYFUNCTION("""COMPUTED_VALUE"""),"1345282543")</f>
        <v>1345282543</v>
      </c>
      <c r="AF32" s="12" t="str">
        <f>IFERROR(__xludf.DUMMYFUNCTION("""COMPUTED_VALUE"""),"1345282543")</f>
        <v>1345282543</v>
      </c>
      <c r="AG32" s="12" t="str">
        <f>IFERROR(__xludf.DUMMYFUNCTION("""COMPUTED_VALUE"""),"Estefanía")</f>
        <v>Estefanía</v>
      </c>
      <c r="AH32" s="6"/>
      <c r="AI32" s="6" t="str">
        <f>IFERROR(__xludf.DUMMYFUNCTION("""COMPUTED_VALUE"""),"Muñoz Uribe")</f>
        <v>Muñoz Uribe</v>
      </c>
      <c r="AJ32" s="6" t="str">
        <f>IFERROR(__xludf.DUMMYFUNCTION("""COMPUTED_VALUE"""),"estefaniamu1498@gmail.com")</f>
        <v>estefaniamu1498@gmail.com</v>
      </c>
      <c r="AK32" s="6" t="str">
        <f>IFERROR(__xludf.DUMMYFUNCTION("""COMPUTED_VALUE"""),"ADMINISTRADORA DE EMPRESAS")</f>
        <v>ADMINISTRADORA DE EMPRESAS</v>
      </c>
      <c r="AL32" s="6" t="str">
        <f>IFERROR(__xludf.DUMMYFUNCTION("""COMPUTED_VALUE"""),"OLDAMA SAS ZOMAC ")</f>
        <v>OLDAMA SAS ZOMAC </v>
      </c>
      <c r="AM32" s="12" t="str">
        <f>IFERROR(__xludf.DUMMYFUNCTION("""COMPUTED_VALUE"""),"1094965769")</f>
        <v>1094965769</v>
      </c>
      <c r="AN32" s="12" t="str">
        <f>IFERROR(__xludf.DUMMYFUNCTION("""COMPUTED_VALUE"""),"3104260815")</f>
        <v>3104260815</v>
      </c>
      <c r="AO32" s="6" t="str">
        <f>IFERROR(__xludf.DUMMYFUNCTION("""COMPUTED_VALUE"""),"Madre")</f>
        <v>Madre</v>
      </c>
      <c r="AP32" s="6" t="str">
        <f>IFERROR(__xludf.DUMMYFUNCTION("""COMPUTED_VALUE"""),"Estudiante(s): Duarte Muñoz")</f>
        <v>Estudiante(s): Duarte Muñoz</v>
      </c>
      <c r="AQ32" s="6" t="str">
        <f>IFERROR(__xludf.DUMMYFUNCTION("""COMPUTED_VALUE"""),"120541*Gi")</f>
        <v>120541*Gi</v>
      </c>
      <c r="AR32" s="6" t="str">
        <f>IFERROR(__xludf.DUMMYFUNCTION("""COMPUTED_VALUE"""),"Andrés")</f>
        <v>Andrés</v>
      </c>
      <c r="AS32" s="6" t="str">
        <f>IFERROR(__xludf.DUMMYFUNCTION("""COMPUTED_VALUE"""),"Felipe")</f>
        <v>Felipe</v>
      </c>
      <c r="AT32" s="6" t="str">
        <f>IFERROR(__xludf.DUMMYFUNCTION("""COMPUTED_VALUE"""),"Duarte Rozo")</f>
        <v>Duarte Rozo</v>
      </c>
      <c r="AU32" s="6" t="str">
        <f>IFERROR(__xludf.DUMMYFUNCTION("""COMPUTED_VALUE"""),"felipeduarterozo@gmail.com")</f>
        <v>felipeduarterozo@gmail.com</v>
      </c>
      <c r="AV32" s="6" t="str">
        <f>IFERROR(__xludf.DUMMYFUNCTION("""COMPUTED_VALUE"""),"Gerente de Planta")</f>
        <v>Gerente de Planta</v>
      </c>
      <c r="AW32" s="6" t="str">
        <f>IFERROR(__xludf.DUMMYFUNCTION("""COMPUTED_VALUE"""),"PRODUCTOS ALIMENTICIOS FRITOMIX")</f>
        <v>PRODUCTOS ALIMENTICIOS FRITOMIX</v>
      </c>
      <c r="AX32" s="12" t="str">
        <f>IFERROR(__xludf.DUMMYFUNCTION("""COMPUTED_VALUE"""),"1094930986")</f>
        <v>1094930986</v>
      </c>
      <c r="AY32" s="12" t="str">
        <f>IFERROR(__xludf.DUMMYFUNCTION("""COMPUTED_VALUE"""),"3136201554")</f>
        <v>3136201554</v>
      </c>
      <c r="AZ32" s="6" t="str">
        <f>IFERROR(__xludf.DUMMYFUNCTION("""COMPUTED_VALUE"""),"Padre")</f>
        <v>Padre</v>
      </c>
      <c r="BA32" s="6"/>
      <c r="BB32" s="6"/>
      <c r="BC32" s="6"/>
      <c r="BD32" s="12" t="str">
        <f>IFERROR(__xludf.DUMMYFUNCTION("""COMPUTED_VALUE"""),"dua0001")</f>
        <v>dua0001</v>
      </c>
      <c r="BE32" s="6"/>
      <c r="BF32" s="6"/>
      <c r="BG32" s="6">
        <f>IFERROR(__xludf.DUMMYFUNCTION("""COMPUTED_VALUE"""),2041.0)</f>
        <v>2041</v>
      </c>
      <c r="BH32" s="15">
        <f>IFERROR(__xludf.DUMMYFUNCTION("""COMPUTED_VALUE"""),46206.6265162037)</f>
        <v>46206.62652</v>
      </c>
      <c r="BI32" s="6">
        <f>IFERROR(__xludf.DUMMYFUNCTION("""COMPUTED_VALUE"""),31.0)</f>
        <v>31</v>
      </c>
      <c r="BJ32" s="6"/>
      <c r="BK32" s="6"/>
      <c r="BL32" s="6" t="str">
        <f>IFERROR(__xludf.DUMMYFUNCTION("""COMPUTED_VALUE"""),"GISDUA0001")</f>
        <v>GISDUA0001</v>
      </c>
      <c r="BM32" s="6"/>
      <c r="BN32" s="6"/>
      <c r="BO32" s="6"/>
      <c r="BP32" s="6"/>
      <c r="BQ32" s="6"/>
      <c r="BR32" s="6"/>
      <c r="BS32" s="6"/>
      <c r="BT32" s="6"/>
      <c r="BU32" s="6" t="str">
        <f>IFERROR(__xludf.DUMMYFUNCTION("""COMPUTED_VALUE"""),"SI")</f>
        <v>SI</v>
      </c>
      <c r="BV32" s="6" t="str">
        <f>IFERROR(__xludf.DUMMYFUNCTION("""COMPUTED_VALUE"""),"antonella.d2041")</f>
        <v>antonella.d2041</v>
      </c>
      <c r="BW32" s="6"/>
      <c r="BX32" s="6"/>
      <c r="BY32" s="6"/>
      <c r="BZ32" s="6"/>
    </row>
    <row r="33">
      <c r="A33" s="12">
        <f>IFERROR(__xludf.DUMMYFUNCTION("""COMPUTED_VALUE"""),1.013041414E9)</f>
        <v>1013041414</v>
      </c>
      <c r="B33" s="6">
        <f>IFERROR(__xludf.DUMMYFUNCTION("""COMPUTED_VALUE"""),7.0)</f>
        <v>7</v>
      </c>
      <c r="C33" s="6" t="str">
        <f>IFERROR(__xludf.DUMMYFUNCTION("""COMPUTED_VALUE"""),"Matías")</f>
        <v>Matías</v>
      </c>
      <c r="D33" s="6"/>
      <c r="E33" s="6" t="str">
        <f>IFERROR(__xludf.DUMMYFUNCTION("""COMPUTED_VALUE"""),"Fajardo Giraldo")</f>
        <v>Fajardo Giraldo</v>
      </c>
      <c r="F33" s="6" t="str">
        <f>IFERROR(__xludf.DUMMYFUNCTION("""COMPUTED_VALUE"""),"calle 27N # 5 - 00 Conjunto Arboretum T2 APT202 - Avenida centenario norte")</f>
        <v>calle 27N # 5 - 00 Conjunto Arboretum T2 APT202 - Avenida centenario norte</v>
      </c>
      <c r="G33" s="12">
        <f>IFERROR(__xludf.DUMMYFUNCTION("""COMPUTED_VALUE"""),2023.0)</f>
        <v>2023</v>
      </c>
      <c r="H33" s="12" t="str">
        <f>IFERROR(__xludf.DUMMYFUNCTION("""COMPUTED_VALUE"""),"Mayo")</f>
        <v>Mayo</v>
      </c>
      <c r="I33" s="12">
        <f>IFERROR(__xludf.DUMMYFUNCTION("""COMPUTED_VALUE"""),11.0)</f>
        <v>11</v>
      </c>
      <c r="J33" s="6"/>
      <c r="K33" s="12" t="str">
        <f>IFERROR(__xludf.DUMMYFUNCTION("""COMPUTED_VALUE"""),"matias.f2041@gi.edu.co")</f>
        <v>matias.f2041@gi.edu.co</v>
      </c>
      <c r="L33" s="6" t="str">
        <f>IFERROR(__xludf.DUMMYFUNCTION("""COMPUTED_VALUE"""),"RC")</f>
        <v>RC</v>
      </c>
      <c r="M33" s="6" t="str">
        <f>IFERROR(__xludf.DUMMYFUNCTION("""COMPUTED_VALUE"""),"Bogotá D.C.")</f>
        <v>Bogotá D.C.</v>
      </c>
      <c r="N33" s="6" t="str">
        <f>IFERROR(__xludf.DUMMYFUNCTION("""COMPUTED_VALUE"""),"M")</f>
        <v>M</v>
      </c>
      <c r="O33" s="6" t="str">
        <f>IFERROR(__xludf.DUMMYFUNCTION("""COMPUTED_VALUE"""),"ACTIVE")</f>
        <v>ACTIVE</v>
      </c>
      <c r="P33" s="6"/>
      <c r="Q33" s="6"/>
      <c r="R33" s="12" t="str">
        <f>IFERROR(__xludf.DUMMYFUNCTION("""COMPUTED_VALUE"""),"GiR8bK5N*")</f>
        <v>GiR8bK5N*</v>
      </c>
      <c r="S33" s="6" t="str">
        <f>IFERROR(__xludf.DUMMYFUNCTION("""COMPUTED_VALUE"""),"Fajardo Giraldo Matías ")</f>
        <v>Fajardo Giraldo Matías </v>
      </c>
      <c r="T33" s="6" t="str">
        <f>IFERROR(__xludf.DUMMYFUNCTION("""COMPUTED_VALUE"""),"PABLO FAJARDO JARAMILLO")</f>
        <v>PABLO FAJARDO JARAMILLO</v>
      </c>
      <c r="U33" s="12" t="str">
        <f>IFERROR(__xludf.DUMMYFUNCTION("""COMPUTED_VALUE"""),"1094922728")</f>
        <v>1094922728</v>
      </c>
      <c r="V33" s="6">
        <f>IFERROR(__xludf.DUMMYFUNCTION("""COMPUTED_VALUE"""),3.217464286E9)</f>
        <v>3217464286</v>
      </c>
      <c r="W33" s="6" t="str">
        <f>IFERROR(__xludf.DUMMYFUNCTION("""COMPUTED_VALUE"""),"pablofajardoj@gmail.com")</f>
        <v>pablofajardoj@gmail.com</v>
      </c>
      <c r="X33" s="12" t="str">
        <f>IFERROR(__xludf.DUMMYFUNCTION("""COMPUTED_VALUE"""),"AB+")</f>
        <v>AB+</v>
      </c>
      <c r="Y33" s="12" t="str">
        <f>IFERROR(__xludf.DUMMYFUNCTION("""COMPUTED_VALUE"""),"K3")</f>
        <v>K3</v>
      </c>
      <c r="Z33" s="6">
        <f>IFERROR(__xludf.DUMMYFUNCTION("""COMPUTED_VALUE"""),120606.0)</f>
        <v>120606</v>
      </c>
      <c r="AA33" s="6" t="str">
        <f>IFERROR(__xludf.DUMMYFUNCTION("""COMPUTED_VALUE"""),"SANITAS")</f>
        <v>SANITAS</v>
      </c>
      <c r="AB33" s="6"/>
      <c r="AC33" s="6"/>
      <c r="AD33" s="12" t="str">
        <f>IFERROR(__xludf.DUMMYFUNCTION("""COMPUTED_VALUE"""),"K3A")</f>
        <v>K3A</v>
      </c>
      <c r="AE33" s="12" t="str">
        <f>IFERROR(__xludf.DUMMYFUNCTION("""COMPUTED_VALUE"""),"1345282603")</f>
        <v>1345282603</v>
      </c>
      <c r="AF33" s="12" t="str">
        <f>IFERROR(__xludf.DUMMYFUNCTION("""COMPUTED_VALUE"""),"1345282603")</f>
        <v>1345282603</v>
      </c>
      <c r="AG33" s="12" t="str">
        <f>IFERROR(__xludf.DUMMYFUNCTION("""COMPUTED_VALUE"""),"Marcela")</f>
        <v>Marcela</v>
      </c>
      <c r="AH33" s="6"/>
      <c r="AI33" s="6" t="str">
        <f>IFERROR(__xludf.DUMMYFUNCTION("""COMPUTED_VALUE"""),"Giraldo Vásquez")</f>
        <v>Giraldo Vásquez</v>
      </c>
      <c r="AJ33" s="6" t="str">
        <f>IFERROR(__xludf.DUMMYFUNCTION("""COMPUTED_VALUE"""),"marcegiraldov.2@hotmail.com")</f>
        <v>marcegiraldov.2@hotmail.com</v>
      </c>
      <c r="AK33" s="6" t="str">
        <f>IFERROR(__xludf.DUMMYFUNCTION("""COMPUTED_VALUE"""),"Licenciada en Pedagogía Infantil")</f>
        <v>Licenciada en Pedagogía Infantil</v>
      </c>
      <c r="AL33" s="6"/>
      <c r="AM33" s="12" t="str">
        <f>IFERROR(__xludf.DUMMYFUNCTION("""COMPUTED_VALUE"""),"1094954447")</f>
        <v>1094954447</v>
      </c>
      <c r="AN33" s="12" t="str">
        <f>IFERROR(__xludf.DUMMYFUNCTION("""COMPUTED_VALUE"""),"3105300717")</f>
        <v>3105300717</v>
      </c>
      <c r="AO33" s="6" t="str">
        <f>IFERROR(__xludf.DUMMYFUNCTION("""COMPUTED_VALUE"""),"Madre")</f>
        <v>Madre</v>
      </c>
      <c r="AP33" s="12" t="str">
        <f>IFERROR(__xludf.DUMMYFUNCTION("""COMPUTED_VALUE"""),"Estudiante(s): Fajardo Giraldo")</f>
        <v>Estudiante(s): Fajardo Giraldo</v>
      </c>
      <c r="AQ33" s="6" t="str">
        <f>IFERROR(__xludf.DUMMYFUNCTION("""COMPUTED_VALUE"""),"120606*Gi")</f>
        <v>120606*Gi</v>
      </c>
      <c r="AR33" s="6" t="str">
        <f>IFERROR(__xludf.DUMMYFUNCTION("""COMPUTED_VALUE"""),"Pablo")</f>
        <v>Pablo</v>
      </c>
      <c r="AS33" s="6"/>
      <c r="AT33" s="6" t="str">
        <f>IFERROR(__xludf.DUMMYFUNCTION("""COMPUTED_VALUE"""),"Fajardo Jaramillo")</f>
        <v>Fajardo Jaramillo</v>
      </c>
      <c r="AU33" s="6" t="str">
        <f>IFERROR(__xludf.DUMMYFUNCTION("""COMPUTED_VALUE"""),"pablofajardoj@gmail.com")</f>
        <v>pablofajardoj@gmail.com</v>
      </c>
      <c r="AV33" s="6" t="str">
        <f>IFERROR(__xludf.DUMMYFUNCTION("""COMPUTED_VALUE"""),"Ingeniero Industrial")</f>
        <v>Ingeniero Industrial</v>
      </c>
      <c r="AW33" s="6"/>
      <c r="AX33" s="12" t="str">
        <f>IFERROR(__xludf.DUMMYFUNCTION("""COMPUTED_VALUE"""),"1094922728")</f>
        <v>1094922728</v>
      </c>
      <c r="AY33" s="12" t="str">
        <f>IFERROR(__xludf.DUMMYFUNCTION("""COMPUTED_VALUE"""),"3217464286")</f>
        <v>3217464286</v>
      </c>
      <c r="AZ33" s="6" t="str">
        <f>IFERROR(__xludf.DUMMYFUNCTION("""COMPUTED_VALUE"""),"Padre")</f>
        <v>Padre</v>
      </c>
      <c r="BA33" s="6"/>
      <c r="BB33" s="6"/>
      <c r="BC33" s="6"/>
      <c r="BD33" s="12" t="str">
        <f>IFERROR(__xludf.DUMMYFUNCTION("""COMPUTED_VALUE"""),"faj0003")</f>
        <v>faj0003</v>
      </c>
      <c r="BE33" s="6" t="str">
        <f>IFERROR(__xludf.DUMMYFUNCTION("""COMPUTED_VALUE"""),"NUEVO(A)")</f>
        <v>NUEVO(A)</v>
      </c>
      <c r="BF33" s="12" t="str">
        <f>IFERROR(__xludf.DUMMYFUNCTION("""COMPUTED_VALUE"""),"HIJO DE EGRESADO")</f>
        <v>HIJO DE EGRESADO</v>
      </c>
      <c r="BG33" s="6">
        <f>IFERROR(__xludf.DUMMYFUNCTION("""COMPUTED_VALUE"""),2041.0)</f>
        <v>2041</v>
      </c>
      <c r="BH33" s="15">
        <f>IFERROR(__xludf.DUMMYFUNCTION("""COMPUTED_VALUE"""),46182.378599537034)</f>
        <v>46182.3786</v>
      </c>
      <c r="BI33" s="6">
        <f>IFERROR(__xludf.DUMMYFUNCTION("""COMPUTED_VALUE"""),32.0)</f>
        <v>32</v>
      </c>
      <c r="BJ33" s="6"/>
      <c r="BK33" s="6"/>
      <c r="BL33" s="6" t="str">
        <f>IFERROR(__xludf.DUMMYFUNCTION("""COMPUTED_VALUE"""),"GISFAJ0003")</f>
        <v>GISFAJ0003</v>
      </c>
      <c r="BM33" s="6"/>
      <c r="BN33" s="6"/>
      <c r="BO33" s="6"/>
      <c r="BP33" s="6"/>
      <c r="BQ33" s="6"/>
      <c r="BR33" s="6"/>
      <c r="BS33" s="6"/>
      <c r="BT33" s="6"/>
      <c r="BU33" s="6" t="str">
        <f>IFERROR(__xludf.DUMMYFUNCTION("""COMPUTED_VALUE"""),"SI")</f>
        <v>SI</v>
      </c>
      <c r="BV33" s="6" t="str">
        <f>IFERROR(__xludf.DUMMYFUNCTION("""COMPUTED_VALUE"""),"matias.f2041")</f>
        <v>matias.f2041</v>
      </c>
      <c r="BW33" s="6"/>
      <c r="BX33" s="6"/>
      <c r="BY33" s="6"/>
      <c r="BZ33" s="6"/>
    </row>
    <row r="34">
      <c r="A34" s="6">
        <f>IFERROR(__xludf.DUMMYFUNCTION("""COMPUTED_VALUE"""),1.09286641E9)</f>
        <v>1092866410</v>
      </c>
      <c r="B34" s="6">
        <f>IFERROR(__xludf.DUMMYFUNCTION("""COMPUTED_VALUE"""),8.0)</f>
        <v>8</v>
      </c>
      <c r="C34" s="6" t="str">
        <f>IFERROR(__xludf.DUMMYFUNCTION("""COMPUTED_VALUE"""),"Gabriela")</f>
        <v>Gabriela</v>
      </c>
      <c r="D34" s="6"/>
      <c r="E34" s="6" t="str">
        <f>IFERROR(__xludf.DUMMYFUNCTION("""COMPUTED_VALUE"""),"García Botero")</f>
        <v>García Botero</v>
      </c>
      <c r="F34" s="6" t="str">
        <f>IFERROR(__xludf.DUMMYFUNCTION("""COMPUTED_VALUE"""),"Condominio El Robledal Casa 17 - Calle 14Nte No10 - 05 La Castellana")</f>
        <v>Condominio El Robledal Casa 17 - Calle 14Nte No10 - 05 La Castellana</v>
      </c>
      <c r="G34" s="12" t="str">
        <f>IFERROR(__xludf.DUMMYFUNCTION("""COMPUTED_VALUE"""),"2022")</f>
        <v>2022</v>
      </c>
      <c r="H34" s="6" t="str">
        <f>IFERROR(__xludf.DUMMYFUNCTION("""COMPUTED_VALUE"""),"Octubre")</f>
        <v>Octubre</v>
      </c>
      <c r="I34" s="12" t="str">
        <f>IFERROR(__xludf.DUMMYFUNCTION("""COMPUTED_VALUE"""),"25")</f>
        <v>25</v>
      </c>
      <c r="J34" s="6" t="str">
        <f>IFERROR(__xludf.DUMMYFUNCTION("""COMPUTED_VALUE"""),"Cali")</f>
        <v>Cali</v>
      </c>
      <c r="K34" s="6" t="str">
        <f>IFERROR(__xludf.DUMMYFUNCTION("""COMPUTED_VALUE"""),"gabriela.g2041@gi.edu.co")</f>
        <v>gabriela.g2041@gi.edu.co</v>
      </c>
      <c r="L34" s="6" t="str">
        <f>IFERROR(__xludf.DUMMYFUNCTION("""COMPUTED_VALUE"""),"RC")</f>
        <v>RC</v>
      </c>
      <c r="M34" s="6" t="str">
        <f>IFERROR(__xludf.DUMMYFUNCTION("""COMPUTED_VALUE"""),"Armenia")</f>
        <v>Armenia</v>
      </c>
      <c r="N34" s="6" t="str">
        <f>IFERROR(__xludf.DUMMYFUNCTION("""COMPUTED_VALUE"""),"F")</f>
        <v>F</v>
      </c>
      <c r="O34" s="6" t="str">
        <f>IFERROR(__xludf.DUMMYFUNCTION("""COMPUTED_VALUE"""),"INACTIVE")</f>
        <v>INACTIVE</v>
      </c>
      <c r="P34" s="6"/>
      <c r="Q34" s="6" t="str">
        <f>IFERROR(__xludf.DUMMYFUNCTION("""COMPUTED_VALUE"""),"Armenia")</f>
        <v>Armenia</v>
      </c>
      <c r="R34" s="12" t="str">
        <f>IFERROR(__xludf.DUMMYFUNCTION("""COMPUTED_VALUE"""),"Giv3vt22*")</f>
        <v>Giv3vt22*</v>
      </c>
      <c r="S34" s="12" t="str">
        <f>IFERROR(__xludf.DUMMYFUNCTION("""COMPUTED_VALUE"""),"García Botero Gabriela ")</f>
        <v>García Botero Gabriela </v>
      </c>
      <c r="T34" s="6" t="str">
        <f>IFERROR(__xludf.DUMMYFUNCTION("""COMPUTED_VALUE"""),"DIEGO ANDRES ANDRES GARCIA ARBELAEZ")</f>
        <v>DIEGO ANDRES ANDRES GARCIA ARBELAEZ</v>
      </c>
      <c r="U34" s="12" t="str">
        <f>IFERROR(__xludf.DUMMYFUNCTION("""COMPUTED_VALUE"""),"1094917129")</f>
        <v>1094917129</v>
      </c>
      <c r="V34" s="6">
        <f>IFERROR(__xludf.DUMMYFUNCTION("""COMPUTED_VALUE"""),3.113185692E9)</f>
        <v>3113185692</v>
      </c>
      <c r="W34" s="6" t="str">
        <f>IFERROR(__xludf.DUMMYFUNCTION("""COMPUTED_VALUE"""),"comercial@lavelopues.com")</f>
        <v>comercial@lavelopues.com</v>
      </c>
      <c r="X34" s="12" t="str">
        <f>IFERROR(__xludf.DUMMYFUNCTION("""COMPUTED_VALUE"""),"O+")</f>
        <v>O+</v>
      </c>
      <c r="Y34" s="12" t="str">
        <f>IFERROR(__xludf.DUMMYFUNCTION("""COMPUTED_VALUE"""),"K3")</f>
        <v>K3</v>
      </c>
      <c r="Z34" s="6">
        <f>IFERROR(__xludf.DUMMYFUNCTION("""COMPUTED_VALUE"""),120539.0)</f>
        <v>120539</v>
      </c>
      <c r="AA34" s="6" t="str">
        <f>IFERROR(__xludf.DUMMYFUNCTION("""COMPUTED_VALUE"""),"SURA")</f>
        <v>SURA</v>
      </c>
      <c r="AB34" s="6"/>
      <c r="AC34" s="6"/>
      <c r="AD34" s="12" t="str">
        <f>IFERROR(__xludf.DUMMYFUNCTION("""COMPUTED_VALUE"""),"K3A")</f>
        <v>K3A</v>
      </c>
      <c r="AE34" s="12" t="str">
        <f>IFERROR(__xludf.DUMMYFUNCTION("""COMPUTED_VALUE"""),"1345282542")</f>
        <v>1345282542</v>
      </c>
      <c r="AF34" s="12" t="str">
        <f>IFERROR(__xludf.DUMMYFUNCTION("""COMPUTED_VALUE"""),"1345282542")</f>
        <v>1345282542</v>
      </c>
      <c r="AG34" s="12" t="str">
        <f>IFERROR(__xludf.DUMMYFUNCTION("""COMPUTED_VALUE"""),"Laura")</f>
        <v>Laura</v>
      </c>
      <c r="AH34" s="6"/>
      <c r="AI34" s="6" t="str">
        <f>IFERROR(__xludf.DUMMYFUNCTION("""COMPUTED_VALUE"""),"Botero Hincapié")</f>
        <v>Botero Hincapié</v>
      </c>
      <c r="AJ34" s="6" t="str">
        <f>IFERROR(__xludf.DUMMYFUNCTION("""COMPUTED_VALUE"""),"laura_botero_7@hotmail.com")</f>
        <v>laura_botero_7@hotmail.com</v>
      </c>
      <c r="AK34" s="6" t="str">
        <f>IFERROR(__xludf.DUMMYFUNCTION("""COMPUTED_VALUE"""),"Administradora de empresas")</f>
        <v>Administradora de empresas</v>
      </c>
      <c r="AL34" s="6" t="str">
        <f>IFERROR(__xludf.DUMMYFUNCTION("""COMPUTED_VALUE"""),"Parque tematico y cultural los arrieros")</f>
        <v>Parque tematico y cultural los arrieros</v>
      </c>
      <c r="AM34" s="12" t="str">
        <f>IFERROR(__xludf.DUMMYFUNCTION("""COMPUTED_VALUE"""),"1094915400")</f>
        <v>1094915400</v>
      </c>
      <c r="AN34" s="12" t="str">
        <f>IFERROR(__xludf.DUMMYFUNCTION("""COMPUTED_VALUE"""),"3103885173")</f>
        <v>3103885173</v>
      </c>
      <c r="AO34" s="6" t="str">
        <f>IFERROR(__xludf.DUMMYFUNCTION("""COMPUTED_VALUE"""),"Madre")</f>
        <v>Madre</v>
      </c>
      <c r="AP34" s="6" t="str">
        <f>IFERROR(__xludf.DUMMYFUNCTION("""COMPUTED_VALUE"""),"Estudiante(s): García Botero")</f>
        <v>Estudiante(s): García Botero</v>
      </c>
      <c r="AQ34" s="6" t="str">
        <f>IFERROR(__xludf.DUMMYFUNCTION("""COMPUTED_VALUE"""),"120134*Gi")</f>
        <v>120134*Gi</v>
      </c>
      <c r="AR34" s="6" t="str">
        <f>IFERROR(__xludf.DUMMYFUNCTION("""COMPUTED_VALUE"""),"Diego")</f>
        <v>Diego</v>
      </c>
      <c r="AS34" s="6" t="str">
        <f>IFERROR(__xludf.DUMMYFUNCTION("""COMPUTED_VALUE"""),"Andrés")</f>
        <v>Andrés</v>
      </c>
      <c r="AT34" s="6" t="str">
        <f>IFERROR(__xludf.DUMMYFUNCTION("""COMPUTED_VALUE"""),"García Arbeláez")</f>
        <v>García Arbeláez</v>
      </c>
      <c r="AU34" s="6" t="str">
        <f>IFERROR(__xludf.DUMMYFUNCTION("""COMPUTED_VALUE"""),"comercial@lavelopues.com")</f>
        <v>comercial@lavelopues.com</v>
      </c>
      <c r="AV34" s="6" t="str">
        <f>IFERROR(__xludf.DUMMYFUNCTION("""COMPUTED_VALUE"""),"Administrador de empresas")</f>
        <v>Administrador de empresas</v>
      </c>
      <c r="AW34" s="6" t="str">
        <f>IFERROR(__xludf.DUMMYFUNCTION("""COMPUTED_VALUE"""),"Lavelo Pues Colombia S.A.S")</f>
        <v>Lavelo Pues Colombia S.A.S</v>
      </c>
      <c r="AX34" s="12" t="str">
        <f>IFERROR(__xludf.DUMMYFUNCTION("""COMPUTED_VALUE"""),"1094917129")</f>
        <v>1094917129</v>
      </c>
      <c r="AY34" s="12" t="str">
        <f>IFERROR(__xludf.DUMMYFUNCTION("""COMPUTED_VALUE"""),"3113185692")</f>
        <v>3113185692</v>
      </c>
      <c r="AZ34" s="6" t="str">
        <f>IFERROR(__xludf.DUMMYFUNCTION("""COMPUTED_VALUE"""),"Padre")</f>
        <v>Padre</v>
      </c>
      <c r="BA34" s="6"/>
      <c r="BB34" s="6"/>
      <c r="BC34" s="6"/>
      <c r="BD34" s="12" t="str">
        <f>IFERROR(__xludf.DUMMYFUNCTION("""COMPUTED_VALUE"""),"gar0009")</f>
        <v>gar0009</v>
      </c>
      <c r="BE34" s="12" t="str">
        <f>IFERROR(__xludf.DUMMYFUNCTION("""COMPUTED_VALUE"""),"FALTAN FIRMAS")</f>
        <v>FALTAN FIRMAS</v>
      </c>
      <c r="BF34" s="6"/>
      <c r="BG34" s="6">
        <f>IFERROR(__xludf.DUMMYFUNCTION("""COMPUTED_VALUE"""),2041.0)</f>
        <v>2041</v>
      </c>
      <c r="BH34" s="15">
        <f>IFERROR(__xludf.DUMMYFUNCTION("""COMPUTED_VALUE"""),46204.80844907407)</f>
        <v>46204.80845</v>
      </c>
      <c r="BI34" s="6">
        <f>IFERROR(__xludf.DUMMYFUNCTION("""COMPUTED_VALUE"""),33.0)</f>
        <v>33</v>
      </c>
      <c r="BJ34" s="6"/>
      <c r="BK34" s="6"/>
      <c r="BL34" s="6" t="str">
        <f>IFERROR(__xludf.DUMMYFUNCTION("""COMPUTED_VALUE"""),"GISGAR0009")</f>
        <v>GISGAR0009</v>
      </c>
      <c r="BM34" s="6"/>
      <c r="BN34" s="6"/>
      <c r="BO34" s="6"/>
      <c r="BP34" s="6"/>
      <c r="BQ34" s="6"/>
      <c r="BR34" s="6"/>
      <c r="BS34" s="6"/>
      <c r="BT34" s="6"/>
      <c r="BU34" s="6" t="str">
        <f>IFERROR(__xludf.DUMMYFUNCTION("""COMPUTED_VALUE"""),"SI")</f>
        <v>SI</v>
      </c>
      <c r="BV34" s="6" t="str">
        <f>IFERROR(__xludf.DUMMYFUNCTION("""COMPUTED_VALUE"""),"gabriela.g2041")</f>
        <v>gabriela.g2041</v>
      </c>
      <c r="BW34" s="6"/>
      <c r="BX34" s="6"/>
      <c r="BY34" s="6"/>
      <c r="BZ34" s="6"/>
    </row>
    <row r="35">
      <c r="A35" s="12">
        <f>IFERROR(__xludf.DUMMYFUNCTION("""COMPUTED_VALUE"""),1.0928664E9)</f>
        <v>1092866400</v>
      </c>
      <c r="B35" s="6">
        <f>IFERROR(__xludf.DUMMYFUNCTION("""COMPUTED_VALUE"""),9.0)</f>
        <v>9</v>
      </c>
      <c r="C35" s="6" t="str">
        <f>IFERROR(__xludf.DUMMYFUNCTION("""COMPUTED_VALUE"""),"Emma")</f>
        <v>Emma</v>
      </c>
      <c r="D35" s="6"/>
      <c r="E35" s="6" t="str">
        <f>IFERROR(__xludf.DUMMYFUNCTION("""COMPUTED_VALUE"""),"Linares Barreto")</f>
        <v>Linares Barreto</v>
      </c>
      <c r="F35" s="6" t="str">
        <f>IFERROR(__xludf.DUMMYFUNCTION("""COMPUTED_VALUE"""),"cra 5 No 10 Norte - 25 - avenida centenario")</f>
        <v>cra 5 No 10 Norte - 25 - avenida centenario</v>
      </c>
      <c r="G35" s="12">
        <f>IFERROR(__xludf.DUMMYFUNCTION("""COMPUTED_VALUE"""),2022.0)</f>
        <v>2022</v>
      </c>
      <c r="H35" s="12" t="str">
        <f>IFERROR(__xludf.DUMMYFUNCTION("""COMPUTED_VALUE"""),"Octubre")</f>
        <v>Octubre</v>
      </c>
      <c r="I35" s="12">
        <f>IFERROR(__xludf.DUMMYFUNCTION("""COMPUTED_VALUE"""),19.0)</f>
        <v>19</v>
      </c>
      <c r="J35" s="6"/>
      <c r="K35" s="12" t="str">
        <f>IFERROR(__xludf.DUMMYFUNCTION("""COMPUTED_VALUE"""),"emma.l2041@gi.edu.co")</f>
        <v>emma.l2041@gi.edu.co</v>
      </c>
      <c r="L35" s="6" t="str">
        <f>IFERROR(__xludf.DUMMYFUNCTION("""COMPUTED_VALUE"""),"RC")</f>
        <v>RC</v>
      </c>
      <c r="M35" s="6" t="str">
        <f>IFERROR(__xludf.DUMMYFUNCTION("""COMPUTED_VALUE"""),"Armenia")</f>
        <v>Armenia</v>
      </c>
      <c r="N35" s="6" t="str">
        <f>IFERROR(__xludf.DUMMYFUNCTION("""COMPUTED_VALUE"""),"F")</f>
        <v>F</v>
      </c>
      <c r="O35" s="6" t="str">
        <f>IFERROR(__xludf.DUMMYFUNCTION("""COMPUTED_VALUE"""),"ACTIVE")</f>
        <v>ACTIVE</v>
      </c>
      <c r="P35" s="6"/>
      <c r="Q35" s="6"/>
      <c r="R35" s="12" t="str">
        <f>IFERROR(__xludf.DUMMYFUNCTION("""COMPUTED_VALUE"""),"GiB7mR2V*")</f>
        <v>GiB7mR2V*</v>
      </c>
      <c r="S35" s="6" t="str">
        <f>IFERROR(__xludf.DUMMYFUNCTION("""COMPUTED_VALUE"""),"Linares Barreto Emma ")</f>
        <v>Linares Barreto Emma </v>
      </c>
      <c r="T35" s="6" t="str">
        <f>IFERROR(__xludf.DUMMYFUNCTION("""COMPUTED_VALUE"""),"OMAR LINARES MONSALVE")</f>
        <v>OMAR LINARES MONSALVE</v>
      </c>
      <c r="U35" s="12" t="str">
        <f>IFERROR(__xludf.DUMMYFUNCTION("""COMPUTED_VALUE"""),"15172139")</f>
        <v>15172139</v>
      </c>
      <c r="V35" s="6">
        <f>IFERROR(__xludf.DUMMYFUNCTION("""COMPUTED_VALUE"""),3.214529684E9)</f>
        <v>3214529684</v>
      </c>
      <c r="W35" s="6" t="str">
        <f>IFERROR(__xludf.DUMMYFUNCTION("""COMPUTED_VALUE"""),"omarlinares81@hotmail.com")</f>
        <v>omarlinares81@hotmail.com</v>
      </c>
      <c r="X35" s="12" t="str">
        <f>IFERROR(__xludf.DUMMYFUNCTION("""COMPUTED_VALUE"""),"O+")</f>
        <v>O+</v>
      </c>
      <c r="Y35" s="12" t="str">
        <f>IFERROR(__xludf.DUMMYFUNCTION("""COMPUTED_VALUE"""),"K3")</f>
        <v>K3</v>
      </c>
      <c r="Z35" s="6">
        <f>IFERROR(__xludf.DUMMYFUNCTION("""COMPUTED_VALUE"""),120600.0)</f>
        <v>120600</v>
      </c>
      <c r="AA35" s="6" t="str">
        <f>IFERROR(__xludf.DUMMYFUNCTION("""COMPUTED_VALUE"""),"SALUD TOTAL")</f>
        <v>SALUD TOTAL</v>
      </c>
      <c r="AB35" s="6"/>
      <c r="AC35" s="6"/>
      <c r="AD35" s="12" t="str">
        <f>IFERROR(__xludf.DUMMYFUNCTION("""COMPUTED_VALUE"""),"K3A")</f>
        <v>K3A</v>
      </c>
      <c r="AE35" s="12" t="str">
        <f>IFERROR(__xludf.DUMMYFUNCTION("""COMPUTED_VALUE"""),"1345282597")</f>
        <v>1345282597</v>
      </c>
      <c r="AF35" s="12" t="str">
        <f>IFERROR(__xludf.DUMMYFUNCTION("""COMPUTED_VALUE"""),"1345282597")</f>
        <v>1345282597</v>
      </c>
      <c r="AG35" s="12" t="str">
        <f>IFERROR(__xludf.DUMMYFUNCTION("""COMPUTED_VALUE"""),"Edna")</f>
        <v>Edna</v>
      </c>
      <c r="AH35" s="12" t="str">
        <f>IFERROR(__xludf.DUMMYFUNCTION("""COMPUTED_VALUE"""),"Rocío")</f>
        <v>Rocío</v>
      </c>
      <c r="AI35" s="6" t="str">
        <f>IFERROR(__xludf.DUMMYFUNCTION("""COMPUTED_VALUE"""),"Barreto Bonilla")</f>
        <v>Barreto Bonilla</v>
      </c>
      <c r="AJ35" s="6" t="str">
        <f>IFERROR(__xludf.DUMMYFUNCTION("""COMPUTED_VALUE"""),"ednabarreto04@hotmail.com")</f>
        <v>ednabarreto04@hotmail.com</v>
      </c>
      <c r="AK35" s="6" t="str">
        <f>IFERROR(__xludf.DUMMYFUNCTION("""COMPUTED_VALUE"""),"Ingeniera Mecanica")</f>
        <v>Ingeniera Mecanica</v>
      </c>
      <c r="AL35" s="6"/>
      <c r="AM35" s="12" t="str">
        <f>IFERROR(__xludf.DUMMYFUNCTION("""COMPUTED_VALUE"""),"1110473977")</f>
        <v>1110473977</v>
      </c>
      <c r="AN35" s="12" t="str">
        <f>IFERROR(__xludf.DUMMYFUNCTION("""COMPUTED_VALUE"""),"3208452199")</f>
        <v>3208452199</v>
      </c>
      <c r="AO35" s="6" t="str">
        <f>IFERROR(__xludf.DUMMYFUNCTION("""COMPUTED_VALUE"""),"Madre")</f>
        <v>Madre</v>
      </c>
      <c r="AP35" s="12" t="str">
        <f>IFERROR(__xludf.DUMMYFUNCTION("""COMPUTED_VALUE"""),"Estudiante(s): Linares Barreto")</f>
        <v>Estudiante(s): Linares Barreto</v>
      </c>
      <c r="AQ35" s="6" t="str">
        <f>IFERROR(__xludf.DUMMYFUNCTION("""COMPUTED_VALUE"""),"120600*Gi")</f>
        <v>120600*Gi</v>
      </c>
      <c r="AR35" s="6" t="str">
        <f>IFERROR(__xludf.DUMMYFUNCTION("""COMPUTED_VALUE"""),"Omar")</f>
        <v>Omar</v>
      </c>
      <c r="AS35" s="6"/>
      <c r="AT35" s="6" t="str">
        <f>IFERROR(__xludf.DUMMYFUNCTION("""COMPUTED_VALUE"""),"Linares Monsalve")</f>
        <v>Linares Monsalve</v>
      </c>
      <c r="AU35" s="6" t="str">
        <f>IFERROR(__xludf.DUMMYFUNCTION("""COMPUTED_VALUE"""),"omarlinares81@hotmail.com")</f>
        <v>omarlinares81@hotmail.com</v>
      </c>
      <c r="AV35" s="6" t="str">
        <f>IFERROR(__xludf.DUMMYFUNCTION("""COMPUTED_VALUE"""),"Ingeniero Civil")</f>
        <v>Ingeniero Civil</v>
      </c>
      <c r="AW35" s="6"/>
      <c r="AX35" s="12" t="str">
        <f>IFERROR(__xludf.DUMMYFUNCTION("""COMPUTED_VALUE"""),"15172139")</f>
        <v>15172139</v>
      </c>
      <c r="AY35" s="12" t="str">
        <f>IFERROR(__xludf.DUMMYFUNCTION("""COMPUTED_VALUE"""),"3214529684")</f>
        <v>3214529684</v>
      </c>
      <c r="AZ35" s="6" t="str">
        <f>IFERROR(__xludf.DUMMYFUNCTION("""COMPUTED_VALUE"""),"Padre")</f>
        <v>Padre</v>
      </c>
      <c r="BA35" s="6"/>
      <c r="BB35" s="6"/>
      <c r="BC35" s="6"/>
      <c r="BD35" s="12" t="str">
        <f>IFERROR(__xludf.DUMMYFUNCTION("""COMPUTED_VALUE"""),"lin0010")</f>
        <v>lin0010</v>
      </c>
      <c r="BE35" s="6" t="str">
        <f>IFERROR(__xludf.DUMMYFUNCTION("""COMPUTED_VALUE"""),"NUEVO(A)")</f>
        <v>NUEVO(A)</v>
      </c>
      <c r="BF35" s="6"/>
      <c r="BG35" s="6">
        <f>IFERROR(__xludf.DUMMYFUNCTION("""COMPUTED_VALUE"""),2041.0)</f>
        <v>2041</v>
      </c>
      <c r="BH35" s="15">
        <f>IFERROR(__xludf.DUMMYFUNCTION("""COMPUTED_VALUE"""),46196.58078703703)</f>
        <v>46196.58079</v>
      </c>
      <c r="BI35" s="6">
        <f>IFERROR(__xludf.DUMMYFUNCTION("""COMPUTED_VALUE"""),34.0)</f>
        <v>34</v>
      </c>
      <c r="BJ35" s="6"/>
      <c r="BK35" s="6"/>
      <c r="BL35" s="6" t="str">
        <f>IFERROR(__xludf.DUMMYFUNCTION("""COMPUTED_VALUE"""),"GISLIN0010")</f>
        <v>GISLIN0010</v>
      </c>
      <c r="BM35" s="6"/>
      <c r="BN35" s="6"/>
      <c r="BO35" s="6"/>
      <c r="BP35" s="6"/>
      <c r="BQ35" s="6"/>
      <c r="BR35" s="6"/>
      <c r="BS35" s="6"/>
      <c r="BT35" s="6"/>
      <c r="BU35" s="6" t="str">
        <f>IFERROR(__xludf.DUMMYFUNCTION("""COMPUTED_VALUE"""),"SI")</f>
        <v>SI</v>
      </c>
      <c r="BV35" s="6" t="str">
        <f>IFERROR(__xludf.DUMMYFUNCTION("""COMPUTED_VALUE"""),"emma.l2041")</f>
        <v>emma.l2041</v>
      </c>
      <c r="BW35" s="6"/>
      <c r="BX35" s="6"/>
      <c r="BY35" s="6"/>
      <c r="BZ35" s="6"/>
    </row>
    <row r="36">
      <c r="A36" s="12" t="str">
        <f>IFERROR(__xludf.DUMMYFUNCTION("""COMPUTED_VALUE"""),"1092866793")</f>
        <v>1092866793</v>
      </c>
      <c r="B36" s="6">
        <f>IFERROR(__xludf.DUMMYFUNCTION("""COMPUTED_VALUE"""),10.0)</f>
        <v>10</v>
      </c>
      <c r="C36" s="6" t="str">
        <f>IFERROR(__xludf.DUMMYFUNCTION("""COMPUTED_VALUE"""),"Sofía")</f>
        <v>Sofía</v>
      </c>
      <c r="D36" s="6"/>
      <c r="E36" s="6" t="str">
        <f>IFERROR(__xludf.DUMMYFUNCTION("""COMPUTED_VALUE"""),"Mora Porras")</f>
        <v>Mora Porras</v>
      </c>
      <c r="F36" s="6" t="str">
        <f>IFERROR(__xludf.DUMMYFUNCTION("""COMPUTED_VALUE"""),"Bosque Residencial La Pradera Casa 20 - Cra 6 No50Nte - 1 Av Centenario")</f>
        <v>Bosque Residencial La Pradera Casa 20 - Cra 6 No50Nte - 1 Av Centenario</v>
      </c>
      <c r="G36" s="12">
        <f>IFERROR(__xludf.DUMMYFUNCTION("""COMPUTED_VALUE"""),2023.0)</f>
        <v>2023</v>
      </c>
      <c r="H36" s="12" t="str">
        <f>IFERROR(__xludf.DUMMYFUNCTION("""COMPUTED_VALUE"""),"Mayo")</f>
        <v>Mayo</v>
      </c>
      <c r="I36" s="12">
        <f>IFERROR(__xludf.DUMMYFUNCTION("""COMPUTED_VALUE"""),5.0)</f>
        <v>5</v>
      </c>
      <c r="J36" s="6"/>
      <c r="K36" s="12" t="str">
        <f>IFERROR(__xludf.DUMMYFUNCTION("""COMPUTED_VALUE"""),"sofia.m2041@gi.edu.co")</f>
        <v>sofia.m2041@gi.edu.co</v>
      </c>
      <c r="L36" s="6" t="str">
        <f>IFERROR(__xludf.DUMMYFUNCTION("""COMPUTED_VALUE"""),"RC")</f>
        <v>RC</v>
      </c>
      <c r="M36" s="6" t="str">
        <f>IFERROR(__xludf.DUMMYFUNCTION("""COMPUTED_VALUE"""),"Armenia")</f>
        <v>Armenia</v>
      </c>
      <c r="N36" s="6" t="str">
        <f>IFERROR(__xludf.DUMMYFUNCTION("""COMPUTED_VALUE"""),"F")</f>
        <v>F</v>
      </c>
      <c r="O36" s="6" t="str">
        <f>IFERROR(__xludf.DUMMYFUNCTION("""COMPUTED_VALUE"""),"ACTIVE")</f>
        <v>ACTIVE</v>
      </c>
      <c r="P36" s="6" t="str">
        <f>IFERROR(__xludf.DUMMYFUNCTION("""COMPUTED_VALUE"""),"2°Hermano")</f>
        <v>2°Hermano</v>
      </c>
      <c r="Q36" s="6" t="str">
        <f>IFERROR(__xludf.DUMMYFUNCTION("""COMPUTED_VALUE"""),"Armenia")</f>
        <v>Armenia</v>
      </c>
      <c r="R36" s="12" t="str">
        <f>IFERROR(__xludf.DUMMYFUNCTION("""COMPUTED_VALUE"""),"GiC9Tq4H*")</f>
        <v>GiC9Tq4H*</v>
      </c>
      <c r="S36" s="6" t="str">
        <f>IFERROR(__xludf.DUMMYFUNCTION("""COMPUTED_VALUE"""),"Mora Porras Sofía ")</f>
        <v>Mora Porras Sofía </v>
      </c>
      <c r="T36" s="6" t="str">
        <f>IFERROR(__xludf.DUMMYFUNCTION("""COMPUTED_VALUE"""),"LUIS RICARDO MORA POSADA")</f>
        <v>LUIS RICARDO MORA POSADA</v>
      </c>
      <c r="U36" s="12" t="str">
        <f>IFERROR(__xludf.DUMMYFUNCTION("""COMPUTED_VALUE"""),"89004456")</f>
        <v>89004456</v>
      </c>
      <c r="V36" s="6">
        <f>IFERROR(__xludf.DUMMYFUNCTION("""COMPUTED_VALUE"""),3.113012136E9)</f>
        <v>3113012136</v>
      </c>
      <c r="W36" s="6" t="str">
        <f>IFERROR(__xludf.DUMMYFUNCTION("""COMPUTED_VALUE"""),"cirujanormp@gmail.com")</f>
        <v>cirujanormp@gmail.com</v>
      </c>
      <c r="X36" s="12" t="str">
        <f>IFERROR(__xludf.DUMMYFUNCTION("""COMPUTED_VALUE"""),"O+")</f>
        <v>O+</v>
      </c>
      <c r="Y36" s="12" t="str">
        <f>IFERROR(__xludf.DUMMYFUNCTION("""COMPUTED_VALUE"""),"K3")</f>
        <v>K3</v>
      </c>
      <c r="Z36" s="6">
        <f>IFERROR(__xludf.DUMMYFUNCTION("""COMPUTED_VALUE"""),120607.0)</f>
        <v>120607</v>
      </c>
      <c r="AA36" s="6" t="str">
        <f>IFERROR(__xludf.DUMMYFUNCTION("""COMPUTED_VALUE"""),"SANITAS")</f>
        <v>SANITAS</v>
      </c>
      <c r="AB36" s="6"/>
      <c r="AC36" s="6"/>
      <c r="AD36" s="12" t="str">
        <f>IFERROR(__xludf.DUMMYFUNCTION("""COMPUTED_VALUE"""),"K3A")</f>
        <v>K3A</v>
      </c>
      <c r="AE36" s="12" t="str">
        <f>IFERROR(__xludf.DUMMYFUNCTION("""COMPUTED_VALUE"""),"1345282604")</f>
        <v>1345282604</v>
      </c>
      <c r="AF36" s="12" t="str">
        <f>IFERROR(__xludf.DUMMYFUNCTION("""COMPUTED_VALUE"""),"1345282604")</f>
        <v>1345282604</v>
      </c>
      <c r="AG36" s="12" t="str">
        <f>IFERROR(__xludf.DUMMYFUNCTION("""COMPUTED_VALUE"""),"Yadira ")</f>
        <v>Yadira </v>
      </c>
      <c r="AH36" s="6"/>
      <c r="AI36" s="6" t="str">
        <f>IFERROR(__xludf.DUMMYFUNCTION("""COMPUTED_VALUE"""),"Porras Rodríguez")</f>
        <v>Porras Rodríguez</v>
      </c>
      <c r="AJ36" s="6" t="str">
        <f>IFERROR(__xludf.DUMMYFUNCTION("""COMPUTED_VALUE"""),"yadi2802@hotmail.com")</f>
        <v>yadi2802@hotmail.com</v>
      </c>
      <c r="AK36" s="6" t="str">
        <f>IFERROR(__xludf.DUMMYFUNCTION("""COMPUTED_VALUE"""),"Ginecologa")</f>
        <v>Ginecologa</v>
      </c>
      <c r="AL36" s="6"/>
      <c r="AM36" s="12" t="str">
        <f>IFERROR(__xludf.DUMMYFUNCTION("""COMPUTED_VALUE"""),"52529746")</f>
        <v>52529746</v>
      </c>
      <c r="AN36" s="12" t="str">
        <f>IFERROR(__xludf.DUMMYFUNCTION("""COMPUTED_VALUE"""),"3122597128")</f>
        <v>3122597128</v>
      </c>
      <c r="AO36" s="6" t="str">
        <f>IFERROR(__xludf.DUMMYFUNCTION("""COMPUTED_VALUE"""),"Madre")</f>
        <v>Madre</v>
      </c>
      <c r="AP36" s="6" t="str">
        <f>IFERROR(__xludf.DUMMYFUNCTION("""COMPUTED_VALUE"""),"Estudiante(s): Mora Porras")</f>
        <v>Estudiante(s): Mora Porras</v>
      </c>
      <c r="AQ36" s="6" t="str">
        <f>IFERROR(__xludf.DUMMYFUNCTION("""COMPUTED_VALUE"""),"120372*Gi")</f>
        <v>120372*Gi</v>
      </c>
      <c r="AR36" s="6" t="str">
        <f>IFERROR(__xludf.DUMMYFUNCTION("""COMPUTED_VALUE"""),"Luis")</f>
        <v>Luis</v>
      </c>
      <c r="AS36" s="6" t="str">
        <f>IFERROR(__xludf.DUMMYFUNCTION("""COMPUTED_VALUE"""),"Ricardo")</f>
        <v>Ricardo</v>
      </c>
      <c r="AT36" s="6" t="str">
        <f>IFERROR(__xludf.DUMMYFUNCTION("""COMPUTED_VALUE"""),"Mora Posada")</f>
        <v>Mora Posada</v>
      </c>
      <c r="AU36" s="6" t="str">
        <f>IFERROR(__xludf.DUMMYFUNCTION("""COMPUTED_VALUE"""),"cirujanormp@gmail.com")</f>
        <v>cirujanormp@gmail.com</v>
      </c>
      <c r="AV36" s="6" t="str">
        <f>IFERROR(__xludf.DUMMYFUNCTION("""COMPUTED_VALUE"""),"Cirujano Vascular")</f>
        <v>Cirujano Vascular</v>
      </c>
      <c r="AW36" s="6" t="str">
        <f>IFERROR(__xludf.DUMMYFUNCTION("""COMPUTED_VALUE"""),"Consultorio 203 CCQ")</f>
        <v>Consultorio 203 CCQ</v>
      </c>
      <c r="AX36" s="12" t="str">
        <f>IFERROR(__xludf.DUMMYFUNCTION("""COMPUTED_VALUE"""),"89004456")</f>
        <v>89004456</v>
      </c>
      <c r="AY36" s="12">
        <f>IFERROR(__xludf.DUMMYFUNCTION("""COMPUTED_VALUE"""),3.113012136E9)</f>
        <v>3113012136</v>
      </c>
      <c r="AZ36" s="6" t="str">
        <f>IFERROR(__xludf.DUMMYFUNCTION("""COMPUTED_VALUE"""),"Padre")</f>
        <v>Padre</v>
      </c>
      <c r="BA36" s="6"/>
      <c r="BB36" s="6"/>
      <c r="BC36" s="6"/>
      <c r="BD36" s="12" t="str">
        <f>IFERROR(__xludf.DUMMYFUNCTION("""COMPUTED_VALUE"""),"mor0011")</f>
        <v>mor0011</v>
      </c>
      <c r="BE36" s="6" t="str">
        <f>IFERROR(__xludf.DUMMYFUNCTION("""COMPUTED_VALUE"""),"NUEVO(A)")</f>
        <v>NUEVO(A)</v>
      </c>
      <c r="BF36" s="6"/>
      <c r="BG36" s="6">
        <f>IFERROR(__xludf.DUMMYFUNCTION("""COMPUTED_VALUE"""),2041.0)</f>
        <v>2041</v>
      </c>
      <c r="BH36" s="15">
        <f>IFERROR(__xludf.DUMMYFUNCTION("""COMPUTED_VALUE"""),46191.48892361111)</f>
        <v>46191.48892</v>
      </c>
      <c r="BI36" s="6">
        <f>IFERROR(__xludf.DUMMYFUNCTION("""COMPUTED_VALUE"""),35.0)</f>
        <v>35</v>
      </c>
      <c r="BJ36" s="6"/>
      <c r="BK36" s="6"/>
      <c r="BL36" s="6" t="str">
        <f>IFERROR(__xludf.DUMMYFUNCTION("""COMPUTED_VALUE"""),"GISMOR0011")</f>
        <v>GISMOR0011</v>
      </c>
      <c r="BM36" s="6"/>
      <c r="BN36" s="6"/>
      <c r="BO36" s="6"/>
      <c r="BP36" s="6"/>
      <c r="BQ36" s="6"/>
      <c r="BR36" s="6"/>
      <c r="BS36" s="6"/>
      <c r="BT36" s="6"/>
      <c r="BU36" s="6" t="str">
        <f>IFERROR(__xludf.DUMMYFUNCTION("""COMPUTED_VALUE"""),"SI")</f>
        <v>SI</v>
      </c>
      <c r="BV36" s="6" t="str">
        <f>IFERROR(__xludf.DUMMYFUNCTION("""COMPUTED_VALUE"""),"sofia.m2041")</f>
        <v>sofia.m2041</v>
      </c>
      <c r="BW36" s="6"/>
      <c r="BX36" s="6"/>
      <c r="BY36" s="6"/>
      <c r="BZ36" s="6"/>
    </row>
    <row r="37">
      <c r="A37" s="12">
        <f>IFERROR(__xludf.DUMMYFUNCTION("""COMPUTED_VALUE"""),1.091890115E9)</f>
        <v>1091890115</v>
      </c>
      <c r="B37" s="6">
        <f>IFERROR(__xludf.DUMMYFUNCTION("""COMPUTED_VALUE"""),11.0)</f>
        <v>11</v>
      </c>
      <c r="C37" s="6" t="str">
        <f>IFERROR(__xludf.DUMMYFUNCTION("""COMPUTED_VALUE"""),"Pedro")</f>
        <v>Pedro</v>
      </c>
      <c r="D37" s="6"/>
      <c r="E37" s="6" t="str">
        <f>IFERROR(__xludf.DUMMYFUNCTION("""COMPUTED_VALUE"""),"Pulgarín Salazar")</f>
        <v>Pulgarín Salazar</v>
      </c>
      <c r="F37" s="6" t="str">
        <f>IFERROR(__xludf.DUMMYFUNCTION("""COMPUTED_VALUE"""),"NO REGISTRA DIRECCIÓN")</f>
        <v>NO REGISTRA DIRECCIÓN</v>
      </c>
      <c r="G37" s="12">
        <f>IFERROR(__xludf.DUMMYFUNCTION("""COMPUTED_VALUE"""),2022.0)</f>
        <v>2022</v>
      </c>
      <c r="H37" s="6" t="str">
        <f>IFERROR(__xludf.DUMMYFUNCTION("""COMPUTED_VALUE"""),"Agosto")</f>
        <v>Agosto</v>
      </c>
      <c r="I37" s="12">
        <f>IFERROR(__xludf.DUMMYFUNCTION("""COMPUTED_VALUE"""),4.0)</f>
        <v>4</v>
      </c>
      <c r="J37" s="6" t="str">
        <f>IFERROR(__xludf.DUMMYFUNCTION("""COMPUTED_VALUE"""),"Armenia")</f>
        <v>Armenia</v>
      </c>
      <c r="K37" s="6" t="str">
        <f>IFERROR(__xludf.DUMMYFUNCTION("""COMPUTED_VALUE"""),"pedro.p2040@gi.edu.co")</f>
        <v>pedro.p2040@gi.edu.co</v>
      </c>
      <c r="L37" s="6" t="str">
        <f>IFERROR(__xludf.DUMMYFUNCTION("""COMPUTED_VALUE"""),"RC")</f>
        <v>RC</v>
      </c>
      <c r="M37" s="6" t="str">
        <f>IFERROR(__xludf.DUMMYFUNCTION("""COMPUTED_VALUE"""),"Armenia")</f>
        <v>Armenia</v>
      </c>
      <c r="N37" s="6" t="str">
        <f>IFERROR(__xludf.DUMMYFUNCTION("""COMPUTED_VALUE"""),"M")</f>
        <v>M</v>
      </c>
      <c r="O37" s="6" t="str">
        <f>IFERROR(__xludf.DUMMYFUNCTION("""COMPUTED_VALUE"""),"ACTIVE")</f>
        <v>ACTIVE</v>
      </c>
      <c r="P37" s="6"/>
      <c r="Q37" s="6" t="str">
        <f>IFERROR(__xludf.DUMMYFUNCTION("""COMPUTED_VALUE"""),"Armenia")</f>
        <v>Armenia</v>
      </c>
      <c r="R37" s="12" t="str">
        <f>IFERROR(__xludf.DUMMYFUNCTION("""COMPUTED_VALUE"""),"Gig5wv9sa*")</f>
        <v>Gig5wv9sa*</v>
      </c>
      <c r="S37" s="6" t="str">
        <f>IFERROR(__xludf.DUMMYFUNCTION("""COMPUTED_VALUE"""),"Pulgarín Salazar Pedro ")</f>
        <v>Pulgarín Salazar Pedro </v>
      </c>
      <c r="T37" s="6" t="str">
        <f>IFERROR(__xludf.DUMMYFUNCTION("""COMPUTED_VALUE"""),"SIMÓN PULGARÍN CASTAÑO")</f>
        <v>SIMÓN PULGARÍN CASTAÑO</v>
      </c>
      <c r="U37" s="12" t="str">
        <f>IFERROR(__xludf.DUMMYFUNCTION("""COMPUTED_VALUE"""),"1088028179")</f>
        <v>1088028179</v>
      </c>
      <c r="V37" s="6">
        <f>IFERROR(__xludf.DUMMYFUNCTION("""COMPUTED_VALUE"""),3.104417604E9)</f>
        <v>3104417604</v>
      </c>
      <c r="W37" s="6" t="str">
        <f>IFERROR(__xludf.DUMMYFUNCTION("""COMPUTED_VALUE"""),"pulgasc@gmail.com")</f>
        <v>pulgasc@gmail.com</v>
      </c>
      <c r="X37" s="12" t="str">
        <f>IFERROR(__xludf.DUMMYFUNCTION("""COMPUTED_VALUE"""),"O+")</f>
        <v>O+</v>
      </c>
      <c r="Y37" s="12" t="str">
        <f>IFERROR(__xludf.DUMMYFUNCTION("""COMPUTED_VALUE"""),"K3")</f>
        <v>K3</v>
      </c>
      <c r="Z37" s="12">
        <f>IFERROR(__xludf.DUMMYFUNCTION("""COMPUTED_VALUE"""),120437.0)</f>
        <v>120437</v>
      </c>
      <c r="AA37" s="6" t="str">
        <f>IFERROR(__xludf.DUMMYFUNCTION("""COMPUTED_VALUE"""),"SURA")</f>
        <v>SURA</v>
      </c>
      <c r="AB37" s="6"/>
      <c r="AC37" s="6"/>
      <c r="AD37" s="12" t="str">
        <f>IFERROR(__xludf.DUMMYFUNCTION("""COMPUTED_VALUE"""),"K3A")</f>
        <v>K3A</v>
      </c>
      <c r="AE37" s="12" t="str">
        <f>IFERROR(__xludf.DUMMYFUNCTION("""COMPUTED_VALUE"""),"1345282446")</f>
        <v>1345282446</v>
      </c>
      <c r="AF37" s="12" t="str">
        <f>IFERROR(__xludf.DUMMYFUNCTION("""COMPUTED_VALUE"""),"1345282446")</f>
        <v>1345282446</v>
      </c>
      <c r="AG37" s="12" t="str">
        <f>IFERROR(__xludf.DUMMYFUNCTION("""COMPUTED_VALUE"""),"Daniela")</f>
        <v>Daniela</v>
      </c>
      <c r="AH37" s="6"/>
      <c r="AI37" s="6" t="str">
        <f>IFERROR(__xludf.DUMMYFUNCTION("""COMPUTED_VALUE"""),"Salazar Cárdenas")</f>
        <v>Salazar Cárdenas</v>
      </c>
      <c r="AJ37" s="6" t="str">
        <f>IFERROR(__xludf.DUMMYFUNCTION("""COMPUTED_VALUE"""),"danielasalazar1903@gmail.com")</f>
        <v>danielasalazar1903@gmail.com</v>
      </c>
      <c r="AK37" s="6" t="str">
        <f>IFERROR(__xludf.DUMMYFUNCTION("""COMPUTED_VALUE"""),"Publicidad")</f>
        <v>Publicidad</v>
      </c>
      <c r="AL37" s="6" t="str">
        <f>IFERROR(__xludf.DUMMYFUNCTION("""COMPUTED_VALUE"""),"Dream and Do SAS")</f>
        <v>Dream and Do SAS</v>
      </c>
      <c r="AM37" s="12" t="str">
        <f>IFERROR(__xludf.DUMMYFUNCTION("""COMPUTED_VALUE"""),"1018458124")</f>
        <v>1018458124</v>
      </c>
      <c r="AN37" s="12" t="str">
        <f>IFERROR(__xludf.DUMMYFUNCTION("""COMPUTED_VALUE"""),"3107256967")</f>
        <v>3107256967</v>
      </c>
      <c r="AO37" s="6" t="str">
        <f>IFERROR(__xludf.DUMMYFUNCTION("""COMPUTED_VALUE"""),"Madre")</f>
        <v>Madre</v>
      </c>
      <c r="AP37" s="6" t="str">
        <f>IFERROR(__xludf.DUMMYFUNCTION("""COMPUTED_VALUE"""),"Estudiante(s): Pulgarín Salazar")</f>
        <v>Estudiante(s): Pulgarín Salazar</v>
      </c>
      <c r="AQ37" s="6" t="str">
        <f>IFERROR(__xludf.DUMMYFUNCTION("""COMPUTED_VALUE"""),"120437*Gi")</f>
        <v>120437*Gi</v>
      </c>
      <c r="AR37" s="6" t="str">
        <f>IFERROR(__xludf.DUMMYFUNCTION("""COMPUTED_VALUE"""),"Simón")</f>
        <v>Simón</v>
      </c>
      <c r="AS37" s="6"/>
      <c r="AT37" s="6" t="str">
        <f>IFERROR(__xludf.DUMMYFUNCTION("""COMPUTED_VALUE"""),"Pulgarín Castaño")</f>
        <v>Pulgarín Castaño</v>
      </c>
      <c r="AU37" s="6" t="str">
        <f>IFERROR(__xludf.DUMMYFUNCTION("""COMPUTED_VALUE"""),"pulgasc@gmail.com")</f>
        <v>pulgasc@gmail.com</v>
      </c>
      <c r="AV37" s="6" t="str">
        <f>IFERROR(__xludf.DUMMYFUNCTION("""COMPUTED_VALUE"""),"Publicidad")</f>
        <v>Publicidad</v>
      </c>
      <c r="AW37" s="6" t="str">
        <f>IFERROR(__xludf.DUMMYFUNCTION("""COMPUTED_VALUE"""),"Dream and Do SAS")</f>
        <v>Dream and Do SAS</v>
      </c>
      <c r="AX37" s="12" t="str">
        <f>IFERROR(__xludf.DUMMYFUNCTION("""COMPUTED_VALUE"""),"1088028179")</f>
        <v>1088028179</v>
      </c>
      <c r="AY37" s="12" t="str">
        <f>IFERROR(__xludf.DUMMYFUNCTION("""COMPUTED_VALUE"""),"3104417604")</f>
        <v>3104417604</v>
      </c>
      <c r="AZ37" s="6" t="str">
        <f>IFERROR(__xludf.DUMMYFUNCTION("""COMPUTED_VALUE"""),"Padre")</f>
        <v>Padre</v>
      </c>
      <c r="BA37" s="6"/>
      <c r="BB37" s="6"/>
      <c r="BC37" s="6"/>
      <c r="BD37" s="12" t="str">
        <f>IFERROR(__xludf.DUMMYFUNCTION("""COMPUTED_VALUE"""),"pul0003")</f>
        <v>pul0003</v>
      </c>
      <c r="BE37" s="12" t="str">
        <f>IFERROR(__xludf.DUMMYFUNCTION("""COMPUTED_VALUE"""),"REPITENTE")</f>
        <v>REPITENTE</v>
      </c>
      <c r="BF37" s="12" t="str">
        <f>IFERROR(__xludf.DUMMYFUNCTION("""COMPUTED_VALUE"""),"REPITENTE")</f>
        <v>REPITENTE</v>
      </c>
      <c r="BG37" s="6">
        <f>IFERROR(__xludf.DUMMYFUNCTION("""COMPUTED_VALUE"""),2041.0)</f>
        <v>2041</v>
      </c>
      <c r="BH37" s="15">
        <f>IFERROR(__xludf.DUMMYFUNCTION("""COMPUTED_VALUE"""),46211.46246527778)</f>
        <v>46211.46247</v>
      </c>
      <c r="BI37" s="6">
        <f>IFERROR(__xludf.DUMMYFUNCTION("""COMPUTED_VALUE"""),36.0)</f>
        <v>36</v>
      </c>
      <c r="BJ37" s="6"/>
      <c r="BK37" s="6"/>
      <c r="BL37" s="6" t="str">
        <f>IFERROR(__xludf.DUMMYFUNCTION("""COMPUTED_VALUE"""),"GISPUL0003")</f>
        <v>GISPUL0003</v>
      </c>
      <c r="BM37" s="6"/>
      <c r="BN37" s="6"/>
      <c r="BO37" s="6"/>
      <c r="BP37" s="6"/>
      <c r="BQ37" s="6"/>
      <c r="BR37" s="6"/>
      <c r="BS37" s="6"/>
      <c r="BT37" s="6"/>
      <c r="BU37" s="6" t="str">
        <f>IFERROR(__xludf.DUMMYFUNCTION("""COMPUTED_VALUE"""),"SI")</f>
        <v>SI</v>
      </c>
      <c r="BV37" s="6" t="str">
        <f>IFERROR(__xludf.DUMMYFUNCTION("""COMPUTED_VALUE"""),"pedro.p2040")</f>
        <v>pedro.p2040</v>
      </c>
      <c r="BW37" s="6"/>
      <c r="BX37" s="6"/>
      <c r="BY37" s="6"/>
      <c r="BZ37" s="6"/>
    </row>
    <row r="38">
      <c r="A38" s="6">
        <f>IFERROR(__xludf.DUMMYFUNCTION("""COMPUTED_VALUE"""),1.098836319E9)</f>
        <v>1098836319</v>
      </c>
      <c r="B38" s="6">
        <f>IFERROR(__xludf.DUMMYFUNCTION("""COMPUTED_VALUE"""),12.0)</f>
        <v>12</v>
      </c>
      <c r="C38" s="6" t="str">
        <f>IFERROR(__xludf.DUMMYFUNCTION("""COMPUTED_VALUE"""),"Sofía")</f>
        <v>Sofía</v>
      </c>
      <c r="D38" s="6"/>
      <c r="E38" s="6" t="str">
        <f>IFERROR(__xludf.DUMMYFUNCTION("""COMPUTED_VALUE"""),"Rodríguez Ochoa")</f>
        <v>Rodríguez Ochoa</v>
      </c>
      <c r="F38" s="6" t="str">
        <f>IFERROR(__xludf.DUMMYFUNCTION("""COMPUTED_VALUE"""),"Condominio el Tesoro Campestre Casa 58 - Vereda La Floresta Altos del Rio Km 1 Via Armenia Calarca")</f>
        <v>Condominio el Tesoro Campestre Casa 58 - Vereda La Floresta Altos del Rio Km 1 Via Armenia Calarca</v>
      </c>
      <c r="G38" s="12" t="str">
        <f>IFERROR(__xludf.DUMMYFUNCTION("""COMPUTED_VALUE"""),"2022")</f>
        <v>2022</v>
      </c>
      <c r="H38" s="6" t="str">
        <f>IFERROR(__xludf.DUMMYFUNCTION("""COMPUTED_VALUE"""),"Diciembre")</f>
        <v>Diciembre</v>
      </c>
      <c r="I38" s="12" t="str">
        <f>IFERROR(__xludf.DUMMYFUNCTION("""COMPUTED_VALUE"""),"5")</f>
        <v>5</v>
      </c>
      <c r="J38" s="6" t="str">
        <f>IFERROR(__xludf.DUMMYFUNCTION("""COMPUTED_VALUE"""),"Miami")</f>
        <v>Miami</v>
      </c>
      <c r="K38" s="6" t="str">
        <f>IFERROR(__xludf.DUMMYFUNCTION("""COMPUTED_VALUE"""),"sofia.r2041@gi.edu.co")</f>
        <v>sofia.r2041@gi.edu.co</v>
      </c>
      <c r="L38" s="6" t="str">
        <f>IFERROR(__xludf.DUMMYFUNCTION("""COMPUTED_VALUE"""),"RC")</f>
        <v>RC</v>
      </c>
      <c r="M38" s="6" t="str">
        <f>IFERROR(__xludf.DUMMYFUNCTION("""COMPUTED_VALUE"""),"Bucaramanga")</f>
        <v>Bucaramanga</v>
      </c>
      <c r="N38" s="6" t="str">
        <f>IFERROR(__xludf.DUMMYFUNCTION("""COMPUTED_VALUE"""),"F")</f>
        <v>F</v>
      </c>
      <c r="O38" s="6" t="str">
        <f>IFERROR(__xludf.DUMMYFUNCTION("""COMPUTED_VALUE"""),"ACTIVE")</f>
        <v>ACTIVE</v>
      </c>
      <c r="P38" s="6"/>
      <c r="Q38" s="6" t="str">
        <f>IFERROR(__xludf.DUMMYFUNCTION("""COMPUTED_VALUE"""),"Armenia")</f>
        <v>Armenia</v>
      </c>
      <c r="R38" s="12" t="str">
        <f>IFERROR(__xludf.DUMMYFUNCTION("""COMPUTED_VALUE"""),"Gi5y5u7nc*")</f>
        <v>Gi5y5u7nc*</v>
      </c>
      <c r="S38" s="6" t="str">
        <f>IFERROR(__xludf.DUMMYFUNCTION("""COMPUTED_VALUE"""),"Rodríguez Ochoa Sofía ")</f>
        <v>Rodríguez Ochoa Sofía </v>
      </c>
      <c r="T38" s="6" t="str">
        <f>IFERROR(__xludf.DUMMYFUNCTION("""COMPUTED_VALUE"""),"EDGAR ANDRES RODRIGUEZ DELGADO")</f>
        <v>EDGAR ANDRES RODRIGUEZ DELGADO</v>
      </c>
      <c r="U38" s="12" t="str">
        <f>IFERROR(__xludf.DUMMYFUNCTION("""COMPUTED_VALUE"""),"88215636")</f>
        <v>88215636</v>
      </c>
      <c r="V38" s="6">
        <f>IFERROR(__xludf.DUMMYFUNCTION("""COMPUTED_VALUE"""),3.002096922E9)</f>
        <v>3002096922</v>
      </c>
      <c r="W38" s="6" t="str">
        <f>IFERROR(__xludf.DUMMYFUNCTION("""COMPUTED_VALUE"""),"andres2015@hotmail.com")</f>
        <v>andres2015@hotmail.com</v>
      </c>
      <c r="X38" s="12" t="str">
        <f>IFERROR(__xludf.DUMMYFUNCTION("""COMPUTED_VALUE"""),"B+")</f>
        <v>B+</v>
      </c>
      <c r="Y38" s="12" t="str">
        <f>IFERROR(__xludf.DUMMYFUNCTION("""COMPUTED_VALUE"""),"K3")</f>
        <v>K3</v>
      </c>
      <c r="Z38" s="6">
        <f>IFERROR(__xludf.DUMMYFUNCTION("""COMPUTED_VALUE"""),120543.0)</f>
        <v>120543</v>
      </c>
      <c r="AA38" s="6"/>
      <c r="AB38" s="6"/>
      <c r="AC38" s="6"/>
      <c r="AD38" s="12" t="str">
        <f>IFERROR(__xludf.DUMMYFUNCTION("""COMPUTED_VALUE"""),"K3A")</f>
        <v>K3A</v>
      </c>
      <c r="AE38" s="12" t="str">
        <f>IFERROR(__xludf.DUMMYFUNCTION("""COMPUTED_VALUE"""),"1345282553")</f>
        <v>1345282553</v>
      </c>
      <c r="AF38" s="12" t="str">
        <f>IFERROR(__xludf.DUMMYFUNCTION("""COMPUTED_VALUE"""),"1345282553")</f>
        <v>1345282553</v>
      </c>
      <c r="AG38" s="12" t="str">
        <f>IFERROR(__xludf.DUMMYFUNCTION("""COMPUTED_VALUE"""),"Katherine")</f>
        <v>Katherine</v>
      </c>
      <c r="AH38" s="12" t="str">
        <f>IFERROR(__xludf.DUMMYFUNCTION("""COMPUTED_VALUE"""),"Patricia")</f>
        <v>Patricia</v>
      </c>
      <c r="AI38" s="6" t="str">
        <f>IFERROR(__xludf.DUMMYFUNCTION("""COMPUTED_VALUE"""),"Ochoa Villalba")</f>
        <v>Ochoa Villalba</v>
      </c>
      <c r="AJ38" s="6" t="str">
        <f>IFERROR(__xludf.DUMMYFUNCTION("""COMPUTED_VALUE"""),"kp_8a@hotmail.com")</f>
        <v>kp_8a@hotmail.com</v>
      </c>
      <c r="AK38" s="6" t="str">
        <f>IFERROR(__xludf.DUMMYFUNCTION("""COMPUTED_VALUE"""),"INGENIERA INDUSTRIAL")</f>
        <v>INGENIERA INDUSTRIAL</v>
      </c>
      <c r="AL38" s="6" t="str">
        <f>IFERROR(__xludf.DUMMYFUNCTION("""COMPUTED_VALUE"""),"Csc coffee and soft company ")</f>
        <v>Csc coffee and soft company </v>
      </c>
      <c r="AM38" s="12" t="str">
        <f>IFERROR(__xludf.DUMMYFUNCTION("""COMPUTED_VALUE"""),"63543337")</f>
        <v>63543337</v>
      </c>
      <c r="AN38" s="12" t="str">
        <f>IFERROR(__xludf.DUMMYFUNCTION("""COMPUTED_VALUE"""),"3008025032")</f>
        <v>3008025032</v>
      </c>
      <c r="AO38" s="6" t="str">
        <f>IFERROR(__xludf.DUMMYFUNCTION("""COMPUTED_VALUE"""),"Madre")</f>
        <v>Madre</v>
      </c>
      <c r="AP38" s="6" t="str">
        <f>IFERROR(__xludf.DUMMYFUNCTION("""COMPUTED_VALUE"""),"Estudiante(s): Rodríguez Ochoa")</f>
        <v>Estudiante(s): Rodríguez Ochoa</v>
      </c>
      <c r="AQ38" s="6" t="str">
        <f>IFERROR(__xludf.DUMMYFUNCTION("""COMPUTED_VALUE"""),"120543*Gi")</f>
        <v>120543*Gi</v>
      </c>
      <c r="AR38" s="6" t="str">
        <f>IFERROR(__xludf.DUMMYFUNCTION("""COMPUTED_VALUE"""),"Edgar")</f>
        <v>Edgar</v>
      </c>
      <c r="AS38" s="6" t="str">
        <f>IFERROR(__xludf.DUMMYFUNCTION("""COMPUTED_VALUE"""),"Andrés")</f>
        <v>Andrés</v>
      </c>
      <c r="AT38" s="6" t="str">
        <f>IFERROR(__xludf.DUMMYFUNCTION("""COMPUTED_VALUE"""),"Rodríguez Delgado")</f>
        <v>Rodríguez Delgado</v>
      </c>
      <c r="AU38" s="6" t="str">
        <f>IFERROR(__xludf.DUMMYFUNCTION("""COMPUTED_VALUE"""),"andres2015@hotmail.com")</f>
        <v>andres2015@hotmail.com</v>
      </c>
      <c r="AV38" s="6" t="str">
        <f>IFERROR(__xludf.DUMMYFUNCTION("""COMPUTED_VALUE"""),"INGENIERO INDUSTRIAL")</f>
        <v>INGENIERO INDUSTRIAL</v>
      </c>
      <c r="AW38" s="6" t="str">
        <f>IFERROR(__xludf.DUMMYFUNCTION("""COMPUTED_VALUE"""),"Csc cofre and soft /inversiones chitacomar")</f>
        <v>Csc cofre and soft /inversiones chitacomar</v>
      </c>
      <c r="AX38" s="12" t="str">
        <f>IFERROR(__xludf.DUMMYFUNCTION("""COMPUTED_VALUE"""),"88215636")</f>
        <v>88215636</v>
      </c>
      <c r="AY38" s="12" t="str">
        <f>IFERROR(__xludf.DUMMYFUNCTION("""COMPUTED_VALUE"""),"3002096922")</f>
        <v>3002096922</v>
      </c>
      <c r="AZ38" s="6" t="str">
        <f>IFERROR(__xludf.DUMMYFUNCTION("""COMPUTED_VALUE"""),"Padre")</f>
        <v>Padre</v>
      </c>
      <c r="BA38" s="6"/>
      <c r="BB38" s="6"/>
      <c r="BC38" s="6"/>
      <c r="BD38" s="12" t="str">
        <f>IFERROR(__xludf.DUMMYFUNCTION("""COMPUTED_VALUE"""),"rod0016")</f>
        <v>rod0016</v>
      </c>
      <c r="BE38" s="6"/>
      <c r="BF38" s="6"/>
      <c r="BG38" s="6">
        <f>IFERROR(__xludf.DUMMYFUNCTION("""COMPUTED_VALUE"""),2041.0)</f>
        <v>2041</v>
      </c>
      <c r="BH38" s="15">
        <f>IFERROR(__xludf.DUMMYFUNCTION("""COMPUTED_VALUE"""),46211.61215277778)</f>
        <v>46211.61215</v>
      </c>
      <c r="BI38" s="6">
        <f>IFERROR(__xludf.DUMMYFUNCTION("""COMPUTED_VALUE"""),37.0)</f>
        <v>37</v>
      </c>
      <c r="BJ38" s="6"/>
      <c r="BK38" s="6"/>
      <c r="BL38" s="6" t="str">
        <f>IFERROR(__xludf.DUMMYFUNCTION("""COMPUTED_VALUE"""),"GISROD0016")</f>
        <v>GISROD0016</v>
      </c>
      <c r="BM38" s="6"/>
      <c r="BN38" s="6"/>
      <c r="BO38" s="6"/>
      <c r="BP38" s="6"/>
      <c r="BQ38" s="6"/>
      <c r="BR38" s="6"/>
      <c r="BS38" s="6"/>
      <c r="BT38" s="6"/>
      <c r="BU38" s="6" t="str">
        <f>IFERROR(__xludf.DUMMYFUNCTION("""COMPUTED_VALUE"""),"SI")</f>
        <v>SI</v>
      </c>
      <c r="BV38" s="6" t="str">
        <f>IFERROR(__xludf.DUMMYFUNCTION("""COMPUTED_VALUE"""),"sofia.r2041")</f>
        <v>sofia.r2041</v>
      </c>
      <c r="BW38" s="6"/>
      <c r="BX38" s="6"/>
      <c r="BY38" s="6"/>
      <c r="BZ38" s="6"/>
    </row>
    <row r="39">
      <c r="A39" s="6">
        <f>IFERROR(__xludf.DUMMYFUNCTION("""COMPUTED_VALUE"""),1.014906828E9)</f>
        <v>1014906828</v>
      </c>
      <c r="B39" s="6">
        <f>IFERROR(__xludf.DUMMYFUNCTION("""COMPUTED_VALUE"""),13.0)</f>
        <v>13</v>
      </c>
      <c r="C39" s="6" t="str">
        <f>IFERROR(__xludf.DUMMYFUNCTION("""COMPUTED_VALUE"""),"Tomás")</f>
        <v>Tomás</v>
      </c>
      <c r="D39" s="6"/>
      <c r="E39" s="6" t="str">
        <f>IFERROR(__xludf.DUMMYFUNCTION("""COMPUTED_VALUE"""),"Salazar Gamero")</f>
        <v>Salazar Gamero</v>
      </c>
      <c r="F39" s="6" t="str">
        <f>IFERROR(__xludf.DUMMYFUNCTION("""COMPUTED_VALUE"""),"Calle 50Nte No15 - 01 Limites")</f>
        <v>Calle 50Nte No15 - 01 Limites</v>
      </c>
      <c r="G39" s="12" t="str">
        <f>IFERROR(__xludf.DUMMYFUNCTION("""COMPUTED_VALUE"""),"2023")</f>
        <v>2023</v>
      </c>
      <c r="H39" s="6" t="str">
        <f>IFERROR(__xludf.DUMMYFUNCTION("""COMPUTED_VALUE"""),"Febrero")</f>
        <v>Febrero</v>
      </c>
      <c r="I39" s="12" t="str">
        <f>IFERROR(__xludf.DUMMYFUNCTION("""COMPUTED_VALUE"""),"26")</f>
        <v>26</v>
      </c>
      <c r="J39" s="6" t="str">
        <f>IFERROR(__xludf.DUMMYFUNCTION("""COMPUTED_VALUE"""),"Bogotá D.C.")</f>
        <v>Bogotá D.C.</v>
      </c>
      <c r="K39" s="6" t="str">
        <f>IFERROR(__xludf.DUMMYFUNCTION("""COMPUTED_VALUE"""),"tomas.s2041@gi.edu.co")</f>
        <v>tomas.s2041@gi.edu.co</v>
      </c>
      <c r="L39" s="6" t="str">
        <f>IFERROR(__xludf.DUMMYFUNCTION("""COMPUTED_VALUE"""),"RC")</f>
        <v>RC</v>
      </c>
      <c r="M39" s="6" t="str">
        <f>IFERROR(__xludf.DUMMYFUNCTION("""COMPUTED_VALUE"""),"Bogotá D.C.")</f>
        <v>Bogotá D.C.</v>
      </c>
      <c r="N39" s="6" t="str">
        <f>IFERROR(__xludf.DUMMYFUNCTION("""COMPUTED_VALUE"""),"M")</f>
        <v>M</v>
      </c>
      <c r="O39" s="6" t="str">
        <f>IFERROR(__xludf.DUMMYFUNCTION("""COMPUTED_VALUE"""),"ACTIVE")</f>
        <v>ACTIVE</v>
      </c>
      <c r="P39" s="6"/>
      <c r="Q39" s="6" t="str">
        <f>IFERROR(__xludf.DUMMYFUNCTION("""COMPUTED_VALUE"""),"Armenia")</f>
        <v>Armenia</v>
      </c>
      <c r="R39" s="12" t="str">
        <f>IFERROR(__xludf.DUMMYFUNCTION("""COMPUTED_VALUE"""),"Gitfx397*")</f>
        <v>Gitfx397*</v>
      </c>
      <c r="S39" s="6" t="str">
        <f>IFERROR(__xludf.DUMMYFUNCTION("""COMPUTED_VALUE"""),"Salazar Gamero Tomás ")</f>
        <v>Salazar Gamero Tomás </v>
      </c>
      <c r="T39" s="6" t="str">
        <f>IFERROR(__xludf.DUMMYFUNCTION("""COMPUTED_VALUE"""),"LUIS MIGUEL SALAZAR HIDALGO")</f>
        <v>LUIS MIGUEL SALAZAR HIDALGO</v>
      </c>
      <c r="U39" s="12" t="str">
        <f>IFERROR(__xludf.DUMMYFUNCTION("""COMPUTED_VALUE"""),"1094944711")</f>
        <v>1094944711</v>
      </c>
      <c r="V39" s="6">
        <f>IFERROR(__xludf.DUMMYFUNCTION("""COMPUTED_VALUE"""),3.223642606E9)</f>
        <v>3223642606</v>
      </c>
      <c r="W39" s="6" t="str">
        <f>IFERROR(__xludf.DUMMYFUNCTION("""COMPUTED_VALUE"""),"lms@constructoraprivilegio.com")</f>
        <v>lms@constructoraprivilegio.com</v>
      </c>
      <c r="X39" s="12" t="str">
        <f>IFERROR(__xludf.DUMMYFUNCTION("""COMPUTED_VALUE"""),"A+")</f>
        <v>A+</v>
      </c>
      <c r="Y39" s="12" t="str">
        <f>IFERROR(__xludf.DUMMYFUNCTION("""COMPUTED_VALUE"""),"K3")</f>
        <v>K3</v>
      </c>
      <c r="Z39" s="6">
        <f>IFERROR(__xludf.DUMMYFUNCTION("""COMPUTED_VALUE"""),120492.0)</f>
        <v>120492</v>
      </c>
      <c r="AA39" s="6" t="str">
        <f>IFERROR(__xludf.DUMMYFUNCTION("""COMPUTED_VALUE"""),"SURA")</f>
        <v>SURA</v>
      </c>
      <c r="AB39" s="6"/>
      <c r="AC39" s="6"/>
      <c r="AD39" s="12" t="str">
        <f>IFERROR(__xludf.DUMMYFUNCTION("""COMPUTED_VALUE"""),"K3A")</f>
        <v>K3A</v>
      </c>
      <c r="AE39" s="12" t="str">
        <f>IFERROR(__xludf.DUMMYFUNCTION("""COMPUTED_VALUE"""),"1345282491")</f>
        <v>1345282491</v>
      </c>
      <c r="AF39" s="12" t="str">
        <f>IFERROR(__xludf.DUMMYFUNCTION("""COMPUTED_VALUE"""),"1345282491")</f>
        <v>1345282491</v>
      </c>
      <c r="AG39" s="12" t="str">
        <f>IFERROR(__xludf.DUMMYFUNCTION("""COMPUTED_VALUE"""),"Mónica")</f>
        <v>Mónica</v>
      </c>
      <c r="AH39" s="12" t="str">
        <f>IFERROR(__xludf.DUMMYFUNCTION("""COMPUTED_VALUE"""),"María")</f>
        <v>María</v>
      </c>
      <c r="AI39" s="6" t="str">
        <f>IFERROR(__xludf.DUMMYFUNCTION("""COMPUTED_VALUE"""),"Gamero García")</f>
        <v>Gamero García</v>
      </c>
      <c r="AJ39" s="6" t="str">
        <f>IFERROR(__xludf.DUMMYFUNCTION("""COMPUTED_VALUE"""),"monica_4584@hotmail.com")</f>
        <v>monica_4584@hotmail.com</v>
      </c>
      <c r="AK39" s="6" t="str">
        <f>IFERROR(__xludf.DUMMYFUNCTION("""COMPUTED_VALUE"""),"Arquitecta")</f>
        <v>Arquitecta</v>
      </c>
      <c r="AL39" s="6" t="str">
        <f>IFERROR(__xludf.DUMMYFUNCTION("""COMPUTED_VALUE"""),"Constructora Privilegio")</f>
        <v>Constructora Privilegio</v>
      </c>
      <c r="AM39" s="12" t="str">
        <f>IFERROR(__xludf.DUMMYFUNCTION("""COMPUTED_VALUE"""),"1061693488")</f>
        <v>1061693488</v>
      </c>
      <c r="AN39" s="12" t="str">
        <f>IFERROR(__xludf.DUMMYFUNCTION("""COMPUTED_VALUE"""),"3128056259")</f>
        <v>3128056259</v>
      </c>
      <c r="AO39" s="6" t="str">
        <f>IFERROR(__xludf.DUMMYFUNCTION("""COMPUTED_VALUE"""),"Madre")</f>
        <v>Madre</v>
      </c>
      <c r="AP39" s="6" t="str">
        <f>IFERROR(__xludf.DUMMYFUNCTION("""COMPUTED_VALUE"""),"Estudiante(s): Salazar Gamero")</f>
        <v>Estudiante(s): Salazar Gamero</v>
      </c>
      <c r="AQ39" s="6" t="str">
        <f>IFERROR(__xludf.DUMMYFUNCTION("""COMPUTED_VALUE"""),"120492*Gi")</f>
        <v>120492*Gi</v>
      </c>
      <c r="AR39" s="6" t="str">
        <f>IFERROR(__xludf.DUMMYFUNCTION("""COMPUTED_VALUE"""),"Luis")</f>
        <v>Luis</v>
      </c>
      <c r="AS39" s="6" t="str">
        <f>IFERROR(__xludf.DUMMYFUNCTION("""COMPUTED_VALUE"""),"Miguel")</f>
        <v>Miguel</v>
      </c>
      <c r="AT39" s="6" t="str">
        <f>IFERROR(__xludf.DUMMYFUNCTION("""COMPUTED_VALUE"""),"Salazar Hidalgo")</f>
        <v>Salazar Hidalgo</v>
      </c>
      <c r="AU39" s="6" t="str">
        <f>IFERROR(__xludf.DUMMYFUNCTION("""COMPUTED_VALUE"""),"lms@constructoraprivilegio.com")</f>
        <v>lms@constructoraprivilegio.com</v>
      </c>
      <c r="AV39" s="6" t="str">
        <f>IFERROR(__xludf.DUMMYFUNCTION("""COMPUTED_VALUE"""),"Adminsitrador de negocios")</f>
        <v>Adminsitrador de negocios</v>
      </c>
      <c r="AW39" s="6" t="str">
        <f>IFERROR(__xludf.DUMMYFUNCTION("""COMPUTED_VALUE"""),"Constructora Prvilegio")</f>
        <v>Constructora Prvilegio</v>
      </c>
      <c r="AX39" s="12" t="str">
        <f>IFERROR(__xludf.DUMMYFUNCTION("""COMPUTED_VALUE"""),"1094944711")</f>
        <v>1094944711</v>
      </c>
      <c r="AY39" s="12" t="str">
        <f>IFERROR(__xludf.DUMMYFUNCTION("""COMPUTED_VALUE"""),"3223642606")</f>
        <v>3223642606</v>
      </c>
      <c r="AZ39" s="6" t="str">
        <f>IFERROR(__xludf.DUMMYFUNCTION("""COMPUTED_VALUE"""),"Padre")</f>
        <v>Padre</v>
      </c>
      <c r="BA39" s="6"/>
      <c r="BB39" s="6"/>
      <c r="BC39" s="6"/>
      <c r="BD39" s="12" t="str">
        <f>IFERROR(__xludf.DUMMYFUNCTION("""COMPUTED_VALUE"""),"sal0021")</f>
        <v>sal0021</v>
      </c>
      <c r="BE39" s="6"/>
      <c r="BF39" s="6"/>
      <c r="BG39" s="6">
        <f>IFERROR(__xludf.DUMMYFUNCTION("""COMPUTED_VALUE"""),2041.0)</f>
        <v>2041</v>
      </c>
      <c r="BH39" s="15">
        <f>IFERROR(__xludf.DUMMYFUNCTION("""COMPUTED_VALUE"""),46208.82546296297)</f>
        <v>46208.82546</v>
      </c>
      <c r="BI39" s="6">
        <f>IFERROR(__xludf.DUMMYFUNCTION("""COMPUTED_VALUE"""),38.0)</f>
        <v>38</v>
      </c>
      <c r="BJ39" s="6"/>
      <c r="BK39" s="6"/>
      <c r="BL39" s="6" t="str">
        <f>IFERROR(__xludf.DUMMYFUNCTION("""COMPUTED_VALUE"""),"GISSAL0021")</f>
        <v>GISSAL0021</v>
      </c>
      <c r="BM39" s="6"/>
      <c r="BN39" s="6"/>
      <c r="BO39" s="6"/>
      <c r="BP39" s="6"/>
      <c r="BQ39" s="6"/>
      <c r="BR39" s="6"/>
      <c r="BS39" s="6"/>
      <c r="BT39" s="6"/>
      <c r="BU39" s="6" t="str">
        <f>IFERROR(__xludf.DUMMYFUNCTION("""COMPUTED_VALUE"""),"SI")</f>
        <v>SI</v>
      </c>
      <c r="BV39" s="6" t="str">
        <f>IFERROR(__xludf.DUMMYFUNCTION("""COMPUTED_VALUE"""),"tomas.s2041")</f>
        <v>tomas.s2041</v>
      </c>
      <c r="BW39" s="6"/>
      <c r="BX39" s="6"/>
      <c r="BY39" s="6"/>
      <c r="B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 t="str">
        <f>IFERROR(__xludf.DUMMYFUNCTION("""COMPUTED_VALUE"""),"Madre")</f>
        <v>Madre</v>
      </c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 t="str">
        <f>IFERROR(__xludf.DUMMYFUNCTION("""COMPUTED_VALUE"""),"Padre")</f>
        <v>Padre</v>
      </c>
      <c r="BA40" s="6"/>
      <c r="BB40" s="6"/>
      <c r="BC40" s="6"/>
      <c r="BD40" s="6"/>
      <c r="BE40" s="6"/>
      <c r="BF40" s="6"/>
      <c r="BG40" s="6"/>
      <c r="BH40" s="6"/>
      <c r="BI40" s="6">
        <f>IFERROR(__xludf.DUMMYFUNCTION("""COMPUTED_VALUE"""),39.0)</f>
        <v>39</v>
      </c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</row>
    <row r="41">
      <c r="A41" s="6">
        <f>IFERROR(__xludf.DUMMYFUNCTION("""COMPUTED_VALUE"""),1.125813402E9)</f>
        <v>1125813402</v>
      </c>
      <c r="B41" s="6">
        <f>IFERROR(__xludf.DUMMYFUNCTION("""COMPUTED_VALUE"""),1.0)</f>
        <v>1</v>
      </c>
      <c r="C41" s="6" t="str">
        <f>IFERROR(__xludf.DUMMYFUNCTION("""COMPUTED_VALUE"""),"Mathias")</f>
        <v>Mathias</v>
      </c>
      <c r="D41" s="6"/>
      <c r="E41" s="6" t="str">
        <f>IFERROR(__xludf.DUMMYFUNCTION("""COMPUTED_VALUE"""),"Botello")</f>
        <v>Botello</v>
      </c>
      <c r="F41" s="6" t="str">
        <f>IFERROR(__xludf.DUMMYFUNCTION("""COMPUTED_VALUE"""),"Edificio Amara Apto 605 - Barrio La Suiza Cra 17 No22Nte - 66 Laureles ")</f>
        <v>Edificio Amara Apto 605 - Barrio La Suiza Cra 17 No22Nte - 66 Laureles </v>
      </c>
      <c r="G41" s="12" t="str">
        <f>IFERROR(__xludf.DUMMYFUNCTION("""COMPUTED_VALUE"""),"2023")</f>
        <v>2023</v>
      </c>
      <c r="H41" s="6" t="str">
        <f>IFERROR(__xludf.DUMMYFUNCTION("""COMPUTED_VALUE"""),"Julio")</f>
        <v>Julio</v>
      </c>
      <c r="I41" s="12" t="str">
        <f>IFERROR(__xludf.DUMMYFUNCTION("""COMPUTED_VALUE"""),"6")</f>
        <v>6</v>
      </c>
      <c r="J41" s="6" t="str">
        <f>IFERROR(__xludf.DUMMYFUNCTION("""COMPUTED_VALUE"""),"New York")</f>
        <v>New York</v>
      </c>
      <c r="K41" s="6" t="str">
        <f>IFERROR(__xludf.DUMMYFUNCTION("""COMPUTED_VALUE"""),"mathias.b2041@gi.edu.co")</f>
        <v>mathias.b2041@gi.edu.co</v>
      </c>
      <c r="L41" s="6" t="str">
        <f>IFERROR(__xludf.DUMMYFUNCTION("""COMPUTED_VALUE"""),"RC")</f>
        <v>RC</v>
      </c>
      <c r="M41" s="6" t="str">
        <f>IFERROR(__xludf.DUMMYFUNCTION("""COMPUTED_VALUE"""),"Queens Village")</f>
        <v>Queens Village</v>
      </c>
      <c r="N41" s="6" t="str">
        <f>IFERROR(__xludf.DUMMYFUNCTION("""COMPUTED_VALUE"""),"M")</f>
        <v>M</v>
      </c>
      <c r="O41" s="6" t="str">
        <f>IFERROR(__xludf.DUMMYFUNCTION("""COMPUTED_VALUE"""),"ACTIVE")</f>
        <v>ACTIVE</v>
      </c>
      <c r="P41" s="6"/>
      <c r="Q41" s="6" t="str">
        <f>IFERROR(__xludf.DUMMYFUNCTION("""COMPUTED_VALUE"""),"Armenia")</f>
        <v>Armenia</v>
      </c>
      <c r="R41" s="12" t="str">
        <f>IFERROR(__xludf.DUMMYFUNCTION("""COMPUTED_VALUE"""),"Gixc35mb7*")</f>
        <v>Gixc35mb7*</v>
      </c>
      <c r="S41" s="12" t="str">
        <f>IFERROR(__xludf.DUMMYFUNCTION("""COMPUTED_VALUE"""),"Botello Mathias ")</f>
        <v>Botello Mathias </v>
      </c>
      <c r="T41" s="6" t="str">
        <f>IFERROR(__xludf.DUMMYFUNCTION("""COMPUTED_VALUE"""),"MICHAEL ANDERSON BOTELLO MOJICA")</f>
        <v>MICHAEL ANDERSON BOTELLO MOJICA</v>
      </c>
      <c r="U41" s="12" t="str">
        <f>IFERROR(__xludf.DUMMYFUNCTION("""COMPUTED_VALUE"""),"1090461093")</f>
        <v>1090461093</v>
      </c>
      <c r="V41" s="6">
        <f>IFERROR(__xludf.DUMMYFUNCTION("""COMPUTED_VALUE"""),3.187352636E9)</f>
        <v>3187352636</v>
      </c>
      <c r="W41" s="6" t="str">
        <f>IFERROR(__xludf.DUMMYFUNCTION("""COMPUTED_VALUE"""),"mabm93@hotmail.com")</f>
        <v>mabm93@hotmail.com</v>
      </c>
      <c r="X41" s="12" t="str">
        <f>IFERROR(__xludf.DUMMYFUNCTION("""COMPUTED_VALUE"""),"O+")</f>
        <v>O+</v>
      </c>
      <c r="Y41" s="12" t="str">
        <f>IFERROR(__xludf.DUMMYFUNCTION("""COMPUTED_VALUE"""),"K3")</f>
        <v>K3</v>
      </c>
      <c r="Z41" s="6">
        <f>IFERROR(__xludf.DUMMYFUNCTION("""COMPUTED_VALUE"""),120498.0)</f>
        <v>120498</v>
      </c>
      <c r="AA41" s="6" t="str">
        <f>IFERROR(__xludf.DUMMYFUNCTION("""COMPUTED_VALUE"""),"SANITAS")</f>
        <v>SANITAS</v>
      </c>
      <c r="AB41" s="6"/>
      <c r="AC41" s="6"/>
      <c r="AD41" s="12" t="str">
        <f>IFERROR(__xludf.DUMMYFUNCTION("""COMPUTED_VALUE"""),"K3B")</f>
        <v>K3B</v>
      </c>
      <c r="AE41" s="6" t="str">
        <f>IFERROR(__xludf.DUMMYFUNCTION("""COMPUTED_VALUE"""),"1345282497")</f>
        <v>1345282497</v>
      </c>
      <c r="AF41" s="12" t="str">
        <f>IFERROR(__xludf.DUMMYFUNCTION("""COMPUTED_VALUE"""),"1345282497")</f>
        <v>1345282497</v>
      </c>
      <c r="AG41" s="12" t="str">
        <f>IFERROR(__xludf.DUMMYFUNCTION("""COMPUTED_VALUE"""),"Catherine")</f>
        <v>Catherine</v>
      </c>
      <c r="AH41" s="12" t="str">
        <f>IFERROR(__xludf.DUMMYFUNCTION("""COMPUTED_VALUE"""),"Diana")</f>
        <v>Diana</v>
      </c>
      <c r="AI41" s="6" t="str">
        <f>IFERROR(__xludf.DUMMYFUNCTION("""COMPUTED_VALUE"""),"Rodríguez Sandoval")</f>
        <v>Rodríguez Sandoval</v>
      </c>
      <c r="AJ41" s="6" t="str">
        <f>IFERROR(__xludf.DUMMYFUNCTION("""COMPUTED_VALUE"""),"cathe.0991@gmail.com")</f>
        <v>cathe.0991@gmail.com</v>
      </c>
      <c r="AK41" s="6" t="str">
        <f>IFERROR(__xludf.DUMMYFUNCTION("""COMPUTED_VALUE"""),"DERMATOLOGA")</f>
        <v>DERMATOLOGA</v>
      </c>
      <c r="AL41" s="6" t="str">
        <f>IFERROR(__xludf.DUMMYFUNCTION("""COMPUTED_VALUE"""),"MEDICENTRO ALCAZAR")</f>
        <v>MEDICENTRO ALCAZAR</v>
      </c>
      <c r="AM41" s="12" t="str">
        <f>IFERROR(__xludf.DUMMYFUNCTION("""COMPUTED_VALUE"""),"1094924568")</f>
        <v>1094924568</v>
      </c>
      <c r="AN41" s="12" t="str">
        <f>IFERROR(__xludf.DUMMYFUNCTION("""COMPUTED_VALUE"""),"3162560937")</f>
        <v>3162560937</v>
      </c>
      <c r="AO41" s="6" t="str">
        <f>IFERROR(__xludf.DUMMYFUNCTION("""COMPUTED_VALUE"""),"Madre")</f>
        <v>Madre</v>
      </c>
      <c r="AP41" s="12" t="str">
        <f>IFERROR(__xludf.DUMMYFUNCTION("""COMPUTED_VALUE"""),"Estudiante(s): Botello Rodríguez")</f>
        <v>Estudiante(s): Botello Rodríguez</v>
      </c>
      <c r="AQ41" s="6" t="str">
        <f>IFERROR(__xludf.DUMMYFUNCTION("""COMPUTED_VALUE"""),"120498*Gi")</f>
        <v>120498*Gi</v>
      </c>
      <c r="AR41" s="6" t="str">
        <f>IFERROR(__xludf.DUMMYFUNCTION("""COMPUTED_VALUE"""),"Michael")</f>
        <v>Michael</v>
      </c>
      <c r="AS41" s="6" t="str">
        <f>IFERROR(__xludf.DUMMYFUNCTION("""COMPUTED_VALUE"""),"Anderson")</f>
        <v>Anderson</v>
      </c>
      <c r="AT41" s="6" t="str">
        <f>IFERROR(__xludf.DUMMYFUNCTION("""COMPUTED_VALUE"""),"Botello Mojica")</f>
        <v>Botello Mojica</v>
      </c>
      <c r="AU41" s="6" t="str">
        <f>IFERROR(__xludf.DUMMYFUNCTION("""COMPUTED_VALUE"""),"mabm93@hotmail.com")</f>
        <v>mabm93@hotmail.com</v>
      </c>
      <c r="AV41" s="6" t="str">
        <f>IFERROR(__xludf.DUMMYFUNCTION("""COMPUTED_VALUE"""),"ABOGADO")</f>
        <v>ABOGADO</v>
      </c>
      <c r="AW41" s="6" t="str">
        <f>IFERROR(__xludf.DUMMYFUNCTION("""COMPUTED_VALUE"""),"RAMA JUDICIAL ")</f>
        <v>RAMA JUDICIAL </v>
      </c>
      <c r="AX41" s="12" t="str">
        <f>IFERROR(__xludf.DUMMYFUNCTION("""COMPUTED_VALUE"""),"1090461093")</f>
        <v>1090461093</v>
      </c>
      <c r="AY41" s="12" t="str">
        <f>IFERROR(__xludf.DUMMYFUNCTION("""COMPUTED_VALUE"""),"3187352636")</f>
        <v>3187352636</v>
      </c>
      <c r="AZ41" s="6" t="str">
        <f>IFERROR(__xludf.DUMMYFUNCTION("""COMPUTED_VALUE"""),"Padre")</f>
        <v>Padre</v>
      </c>
      <c r="BA41" s="6"/>
      <c r="BB41" s="6"/>
      <c r="BC41" s="6"/>
      <c r="BD41" s="12" t="str">
        <f>IFERROR(__xludf.DUMMYFUNCTION("""COMPUTED_VALUE"""),"bot0024")</f>
        <v>bot0024</v>
      </c>
      <c r="BE41" s="6"/>
      <c r="BF41" s="6"/>
      <c r="BG41" s="6">
        <f>IFERROR(__xludf.DUMMYFUNCTION("""COMPUTED_VALUE"""),2041.0)</f>
        <v>2041</v>
      </c>
      <c r="BH41" s="15">
        <f>IFERROR(__xludf.DUMMYFUNCTION("""COMPUTED_VALUE"""),46206.51130787037)</f>
        <v>46206.51131</v>
      </c>
      <c r="BI41" s="6">
        <f>IFERROR(__xludf.DUMMYFUNCTION("""COMPUTED_VALUE"""),40.0)</f>
        <v>40</v>
      </c>
      <c r="BJ41" s="6"/>
      <c r="BK41" s="6"/>
      <c r="BL41" s="6" t="str">
        <f>IFERROR(__xludf.DUMMYFUNCTION("""COMPUTED_VALUE"""),"GISBOT0024")</f>
        <v>GISBOT0024</v>
      </c>
      <c r="BM41" s="6"/>
      <c r="BN41" s="6"/>
      <c r="BO41" s="6"/>
      <c r="BP41" s="6"/>
      <c r="BQ41" s="6"/>
      <c r="BR41" s="6"/>
      <c r="BS41" s="6"/>
      <c r="BT41" s="6"/>
      <c r="BU41" s="6" t="str">
        <f>IFERROR(__xludf.DUMMYFUNCTION("""COMPUTED_VALUE"""),"SI")</f>
        <v>SI</v>
      </c>
      <c r="BV41" s="6" t="str">
        <f>IFERROR(__xludf.DUMMYFUNCTION("""COMPUTED_VALUE"""),"mathias.b2041")</f>
        <v>mathias.b2041</v>
      </c>
      <c r="BW41" s="6"/>
      <c r="BX41" s="6"/>
      <c r="BY41" s="6"/>
      <c r="BZ41" s="6"/>
    </row>
    <row r="42">
      <c r="A42" s="12" t="str">
        <f>IFERROR(__xludf.DUMMYFUNCTION("""COMPUTED_VALUE"""),"1092866518")</f>
        <v>1092866518</v>
      </c>
      <c r="B42" s="6">
        <f>IFERROR(__xludf.DUMMYFUNCTION("""COMPUTED_VALUE"""),2.0)</f>
        <v>2</v>
      </c>
      <c r="C42" s="6" t="str">
        <f>IFERROR(__xludf.DUMMYFUNCTION("""COMPUTED_VALUE"""),"Joaquín")</f>
        <v>Joaquín</v>
      </c>
      <c r="D42" s="6"/>
      <c r="E42" s="6" t="str">
        <f>IFERROR(__xludf.DUMMYFUNCTION("""COMPUTED_VALUE"""),"Buraglia Ballesteros")</f>
        <v>Buraglia Ballesteros</v>
      </c>
      <c r="F42" s="6" t="str">
        <f>IFERROR(__xludf.DUMMYFUNCTION("""COMPUTED_VALUE"""),"Carrera 11 No. 22 Norte 80 Quintas de San Julian 2 Casa 50 - Coinca")</f>
        <v>Carrera 11 No. 22 Norte 80 Quintas de San Julian 2 Casa 50 - Coinca</v>
      </c>
      <c r="G42" s="12">
        <f>IFERROR(__xludf.DUMMYFUNCTION("""COMPUTED_VALUE"""),2022.0)</f>
        <v>2022</v>
      </c>
      <c r="H42" s="12" t="str">
        <f>IFERROR(__xludf.DUMMYFUNCTION("""COMPUTED_VALUE"""),"Diciembre")</f>
        <v>Diciembre</v>
      </c>
      <c r="I42" s="12">
        <f>IFERROR(__xludf.DUMMYFUNCTION("""COMPUTED_VALUE"""),14.0)</f>
        <v>14</v>
      </c>
      <c r="J42" s="6"/>
      <c r="K42" s="12" t="str">
        <f>IFERROR(__xludf.DUMMYFUNCTION("""COMPUTED_VALUE"""),"joaquin.b2041@gi.edu.co")</f>
        <v>joaquin.b2041@gi.edu.co</v>
      </c>
      <c r="L42" s="6" t="str">
        <f>IFERROR(__xludf.DUMMYFUNCTION("""COMPUTED_VALUE"""),"RC")</f>
        <v>RC</v>
      </c>
      <c r="M42" s="6" t="str">
        <f>IFERROR(__xludf.DUMMYFUNCTION("""COMPUTED_VALUE"""),"Armenia")</f>
        <v>Armenia</v>
      </c>
      <c r="N42" s="6" t="str">
        <f>IFERROR(__xludf.DUMMYFUNCTION("""COMPUTED_VALUE"""),"M")</f>
        <v>M</v>
      </c>
      <c r="O42" s="6" t="str">
        <f>IFERROR(__xludf.DUMMYFUNCTION("""COMPUTED_VALUE"""),"ACTIVE")</f>
        <v>ACTIVE</v>
      </c>
      <c r="P42" s="12" t="str">
        <f>IFERROR(__xludf.DUMMYFUNCTION("""COMPUTED_VALUE"""),"HIJO DE EGRESADA")</f>
        <v>HIJO DE EGRESADA</v>
      </c>
      <c r="Q42" s="6"/>
      <c r="R42" s="12" t="str">
        <f>IFERROR(__xludf.DUMMYFUNCTION("""COMPUTED_VALUE"""),"GiX3Nv9P*")</f>
        <v>GiX3Nv9P*</v>
      </c>
      <c r="S42" s="6" t="str">
        <f>IFERROR(__xludf.DUMMYFUNCTION("""COMPUTED_VALUE"""),"Buraglia Ballesteros Joaquín ")</f>
        <v>Buraglia Ballesteros Joaquín </v>
      </c>
      <c r="T42" s="6" t="str">
        <f>IFERROR(__xludf.DUMMYFUNCTION("""COMPUTED_VALUE"""),"MARIA DEL MAR BALLESTEROS OSPINA")</f>
        <v>MARIA DEL MAR BALLESTEROS OSPINA</v>
      </c>
      <c r="U42" s="12" t="str">
        <f>IFERROR(__xludf.DUMMYFUNCTION("""COMPUTED_VALUE"""),"1094907488")</f>
        <v>1094907488</v>
      </c>
      <c r="V42" s="6">
        <f>IFERROR(__xludf.DUMMYFUNCTION("""COMPUTED_VALUE"""),3.11605586E9)</f>
        <v>3116055860</v>
      </c>
      <c r="W42" s="6" t="str">
        <f>IFERROR(__xludf.DUMMYFUNCTION("""COMPUTED_VALUE"""),"mariadelmarbo89@gmail.com")</f>
        <v>mariadelmarbo89@gmail.com</v>
      </c>
      <c r="X42" s="12" t="str">
        <f>IFERROR(__xludf.DUMMYFUNCTION("""COMPUTED_VALUE"""),"O+")</f>
        <v>O+</v>
      </c>
      <c r="Y42" s="12" t="str">
        <f>IFERROR(__xludf.DUMMYFUNCTION("""COMPUTED_VALUE"""),"K3")</f>
        <v>K3</v>
      </c>
      <c r="Z42" s="6">
        <f>IFERROR(__xludf.DUMMYFUNCTION("""COMPUTED_VALUE"""),120603.0)</f>
        <v>120603</v>
      </c>
      <c r="AA42" s="6" t="str">
        <f>IFERROR(__xludf.DUMMYFUNCTION("""COMPUTED_VALUE"""),"SURA")</f>
        <v>SURA</v>
      </c>
      <c r="AB42" s="6"/>
      <c r="AC42" s="6"/>
      <c r="AD42" s="12" t="str">
        <f>IFERROR(__xludf.DUMMYFUNCTION("""COMPUTED_VALUE"""),"K3B")</f>
        <v>K3B</v>
      </c>
      <c r="AE42" s="12" t="str">
        <f>IFERROR(__xludf.DUMMYFUNCTION("""COMPUTED_VALUE"""),"1345282600")</f>
        <v>1345282600</v>
      </c>
      <c r="AF42" s="12" t="str">
        <f>IFERROR(__xludf.DUMMYFUNCTION("""COMPUTED_VALUE"""),"1345282600")</f>
        <v>1345282600</v>
      </c>
      <c r="AG42" s="12" t="str">
        <f>IFERROR(__xludf.DUMMYFUNCTION("""COMPUTED_VALUE"""),"María")</f>
        <v>María</v>
      </c>
      <c r="AH42" s="12" t="str">
        <f>IFERROR(__xludf.DUMMYFUNCTION("""COMPUTED_VALUE"""),"del Mar")</f>
        <v>del Mar</v>
      </c>
      <c r="AI42" s="6" t="str">
        <f>IFERROR(__xludf.DUMMYFUNCTION("""COMPUTED_VALUE"""),"Ballesteros Ospina")</f>
        <v>Ballesteros Ospina</v>
      </c>
      <c r="AJ42" s="6" t="str">
        <f>IFERROR(__xludf.DUMMYFUNCTION("""COMPUTED_VALUE"""),"mariadelmarbo89@gmail.com")</f>
        <v>mariadelmarbo89@gmail.com</v>
      </c>
      <c r="AK42" s="6" t="str">
        <f>IFERROR(__xludf.DUMMYFUNCTION("""COMPUTED_VALUE"""),"Psicologa")</f>
        <v>Psicologa</v>
      </c>
      <c r="AL42" s="6"/>
      <c r="AM42" s="12" t="str">
        <f>IFERROR(__xludf.DUMMYFUNCTION("""COMPUTED_VALUE"""),"1094907488")</f>
        <v>1094907488</v>
      </c>
      <c r="AN42" s="12" t="str">
        <f>IFERROR(__xludf.DUMMYFUNCTION("""COMPUTED_VALUE"""),"3116055860")</f>
        <v>3116055860</v>
      </c>
      <c r="AO42" s="6" t="str">
        <f>IFERROR(__xludf.DUMMYFUNCTION("""COMPUTED_VALUE"""),"Madre")</f>
        <v>Madre</v>
      </c>
      <c r="AP42" s="12" t="str">
        <f>IFERROR(__xludf.DUMMYFUNCTION("""COMPUTED_VALUE"""),"Estudiante(s): Buraglia Balleteros")</f>
        <v>Estudiante(s): Buraglia Balleteros</v>
      </c>
      <c r="AQ42" s="6" t="str">
        <f>IFERROR(__xludf.DUMMYFUNCTION("""COMPUTED_VALUE"""),"120603*Gi")</f>
        <v>120603*Gi</v>
      </c>
      <c r="AR42" s="6" t="str">
        <f>IFERROR(__xludf.DUMMYFUNCTION("""COMPUTED_VALUE"""),"Gabriel")</f>
        <v>Gabriel</v>
      </c>
      <c r="AS42" s="6"/>
      <c r="AT42" s="6" t="str">
        <f>IFERROR(__xludf.DUMMYFUNCTION("""COMPUTED_VALUE"""),"Buraglia Guzmán")</f>
        <v>Buraglia Guzmán</v>
      </c>
      <c r="AU42" s="6" t="str">
        <f>IFERROR(__xludf.DUMMYFUNCTION("""COMPUTED_VALUE"""),"gabrielburaglia5@gmail.com")</f>
        <v>gabrielburaglia5@gmail.com</v>
      </c>
      <c r="AV42" s="6" t="str">
        <f>IFERROR(__xludf.DUMMYFUNCTION("""COMPUTED_VALUE"""),"Administrador de Empresas")</f>
        <v>Administrador de Empresas</v>
      </c>
      <c r="AW42" s="6"/>
      <c r="AX42" s="12" t="str">
        <f>IFERROR(__xludf.DUMMYFUNCTION("""COMPUTED_VALUE"""),"9736949")</f>
        <v>9736949</v>
      </c>
      <c r="AY42" s="12" t="str">
        <f>IFERROR(__xludf.DUMMYFUNCTION("""COMPUTED_VALUE"""),"3004040247")</f>
        <v>3004040247</v>
      </c>
      <c r="AZ42" s="6" t="str">
        <f>IFERROR(__xludf.DUMMYFUNCTION("""COMPUTED_VALUE"""),"Padre")</f>
        <v>Padre</v>
      </c>
      <c r="BA42" s="6"/>
      <c r="BB42" s="6"/>
      <c r="BC42" s="6"/>
      <c r="BD42" s="12" t="str">
        <f>IFERROR(__xludf.DUMMYFUNCTION("""COMPUTED_VALUE"""),"bur0004")</f>
        <v>bur0004</v>
      </c>
      <c r="BE42" s="6" t="str">
        <f>IFERROR(__xludf.DUMMYFUNCTION("""COMPUTED_VALUE"""),"NUEVO(A)")</f>
        <v>NUEVO(A)</v>
      </c>
      <c r="BF42" s="6"/>
      <c r="BG42" s="6">
        <f>IFERROR(__xludf.DUMMYFUNCTION("""COMPUTED_VALUE"""),2041.0)</f>
        <v>2041</v>
      </c>
      <c r="BH42" s="15">
        <f>IFERROR(__xludf.DUMMYFUNCTION("""COMPUTED_VALUE"""),46192.62354166667)</f>
        <v>46192.62354</v>
      </c>
      <c r="BI42" s="6">
        <f>IFERROR(__xludf.DUMMYFUNCTION("""COMPUTED_VALUE"""),41.0)</f>
        <v>41</v>
      </c>
      <c r="BJ42" s="6"/>
      <c r="BK42" s="6"/>
      <c r="BL42" s="6" t="str">
        <f>IFERROR(__xludf.DUMMYFUNCTION("""COMPUTED_VALUE"""),"GISBUR0004")</f>
        <v>GISBUR0004</v>
      </c>
      <c r="BM42" s="6"/>
      <c r="BN42" s="6"/>
      <c r="BO42" s="6"/>
      <c r="BP42" s="6"/>
      <c r="BQ42" s="6"/>
      <c r="BR42" s="6"/>
      <c r="BS42" s="6"/>
      <c r="BT42" s="6"/>
      <c r="BU42" s="6" t="str">
        <f>IFERROR(__xludf.DUMMYFUNCTION("""COMPUTED_VALUE"""),"SI")</f>
        <v>SI</v>
      </c>
      <c r="BV42" s="6" t="str">
        <f>IFERROR(__xludf.DUMMYFUNCTION("""COMPUTED_VALUE"""),"joaquin.b2041")</f>
        <v>joaquin.b2041</v>
      </c>
      <c r="BW42" s="6"/>
      <c r="BX42" s="6"/>
      <c r="BY42" s="6"/>
      <c r="BZ42" s="6"/>
    </row>
    <row r="43">
      <c r="A43" s="12" t="str">
        <f>IFERROR(__xludf.DUMMYFUNCTION("""COMPUTED_VALUE"""),"1092866732")</f>
        <v>1092866732</v>
      </c>
      <c r="B43" s="6">
        <f>IFERROR(__xludf.DUMMYFUNCTION("""COMPUTED_VALUE"""),3.0)</f>
        <v>3</v>
      </c>
      <c r="C43" s="6" t="str">
        <f>IFERROR(__xludf.DUMMYFUNCTION("""COMPUTED_VALUE"""),"Macarena")</f>
        <v>Macarena</v>
      </c>
      <c r="D43" s="6"/>
      <c r="E43" s="6" t="str">
        <f>IFERROR(__xludf.DUMMYFUNCTION("""COMPUTED_VALUE"""),"Cardona Valderrama")</f>
        <v>Cardona Valderrama</v>
      </c>
      <c r="F43" s="6" t="str">
        <f>IFERROR(__xludf.DUMMYFUNCTION("""COMPUTED_VALUE"""),"Colina Del Parque Casa A6 - Cra 11 9Nte - 01 La Castellana")</f>
        <v>Colina Del Parque Casa A6 - Cra 11 9Nte - 01 La Castellana</v>
      </c>
      <c r="G43" s="12">
        <f>IFERROR(__xludf.DUMMYFUNCTION("""COMPUTED_VALUE"""),2023.0)</f>
        <v>2023</v>
      </c>
      <c r="H43" s="12" t="str">
        <f>IFERROR(__xludf.DUMMYFUNCTION("""COMPUTED_VALUE"""),"Abril")</f>
        <v>Abril</v>
      </c>
      <c r="I43" s="12">
        <f>IFERROR(__xludf.DUMMYFUNCTION("""COMPUTED_VALUE"""),4.0)</f>
        <v>4</v>
      </c>
      <c r="J43" s="6"/>
      <c r="K43" s="12" t="str">
        <f>IFERROR(__xludf.DUMMYFUNCTION("""COMPUTED_VALUE"""),"macarena.c2041@gi.edu.co")</f>
        <v>macarena.c2041@gi.edu.co</v>
      </c>
      <c r="L43" s="6" t="str">
        <f>IFERROR(__xludf.DUMMYFUNCTION("""COMPUTED_VALUE"""),"RC")</f>
        <v>RC</v>
      </c>
      <c r="M43" s="6" t="str">
        <f>IFERROR(__xludf.DUMMYFUNCTION("""COMPUTED_VALUE"""),"Armenia")</f>
        <v>Armenia</v>
      </c>
      <c r="N43" s="6" t="str">
        <f>IFERROR(__xludf.DUMMYFUNCTION("""COMPUTED_VALUE"""),"F")</f>
        <v>F</v>
      </c>
      <c r="O43" s="6" t="str">
        <f>IFERROR(__xludf.DUMMYFUNCTION("""COMPUTED_VALUE"""),"INACTIVE")</f>
        <v>INACTIVE</v>
      </c>
      <c r="P43" s="6" t="str">
        <f>IFERROR(__xludf.DUMMYFUNCTION("""COMPUTED_VALUE"""),"3erHermano
HIJA DE EGRESADO")</f>
        <v>3erHermano
HIJA DE EGRESADO</v>
      </c>
      <c r="Q43" s="6" t="str">
        <f>IFERROR(__xludf.DUMMYFUNCTION("""COMPUTED_VALUE"""),"Armenia")</f>
        <v>Armenia</v>
      </c>
      <c r="R43" s="12" t="str">
        <f>IFERROR(__xludf.DUMMYFUNCTION("""COMPUTED_VALUE"""),"GiB5Rj7K*")</f>
        <v>GiB5Rj7K*</v>
      </c>
      <c r="S43" s="6" t="str">
        <f>IFERROR(__xludf.DUMMYFUNCTION("""COMPUTED_VALUE"""),"Cardona Valderrama Macarena ")</f>
        <v>Cardona Valderrama Macarena </v>
      </c>
      <c r="T43" s="6" t="str">
        <f>IFERROR(__xludf.DUMMYFUNCTION("""COMPUTED_VALUE"""),"SARA VALDERRAMA CARDONA")</f>
        <v>SARA VALDERRAMA CARDONA</v>
      </c>
      <c r="U43" s="12" t="str">
        <f>IFERROR(__xludf.DUMMYFUNCTION("""COMPUTED_VALUE"""),"1017164127")</f>
        <v>1017164127</v>
      </c>
      <c r="V43" s="6">
        <f>IFERROR(__xludf.DUMMYFUNCTION("""COMPUTED_VALUE"""),3.163091317E9)</f>
        <v>3163091317</v>
      </c>
      <c r="W43" s="6" t="str">
        <f>IFERROR(__xludf.DUMMYFUNCTION("""COMPUTED_VALUE"""),"saravalderramacardona@gmail.com")</f>
        <v>saravalderramacardona@gmail.com</v>
      </c>
      <c r="X43" s="12" t="str">
        <f>IFERROR(__xludf.DUMMYFUNCTION("""COMPUTED_VALUE"""),"A+")</f>
        <v>A+</v>
      </c>
      <c r="Y43" s="12" t="str">
        <f>IFERROR(__xludf.DUMMYFUNCTION("""COMPUTED_VALUE"""),"K3")</f>
        <v>K3</v>
      </c>
      <c r="Z43" s="6">
        <f>IFERROR(__xludf.DUMMYFUNCTION("""COMPUTED_VALUE"""),120605.0)</f>
        <v>120605</v>
      </c>
      <c r="AA43" s="6"/>
      <c r="AB43" s="6"/>
      <c r="AC43" s="6"/>
      <c r="AD43" s="12" t="str">
        <f>IFERROR(__xludf.DUMMYFUNCTION("""COMPUTED_VALUE"""),"K3B")</f>
        <v>K3B</v>
      </c>
      <c r="AE43" s="12" t="str">
        <f>IFERROR(__xludf.DUMMYFUNCTION("""COMPUTED_VALUE"""),"1345282602")</f>
        <v>1345282602</v>
      </c>
      <c r="AF43" s="12" t="str">
        <f>IFERROR(__xludf.DUMMYFUNCTION("""COMPUTED_VALUE"""),"1345282602")</f>
        <v>1345282602</v>
      </c>
      <c r="AG43" s="12" t="str">
        <f>IFERROR(__xludf.DUMMYFUNCTION("""COMPUTED_VALUE"""),"Sara")</f>
        <v>Sara</v>
      </c>
      <c r="AH43" s="6"/>
      <c r="AI43" s="6" t="str">
        <f>IFERROR(__xludf.DUMMYFUNCTION("""COMPUTED_VALUE"""),"Valderrama Cardona")</f>
        <v>Valderrama Cardona</v>
      </c>
      <c r="AJ43" s="6" t="str">
        <f>IFERROR(__xludf.DUMMYFUNCTION("""COMPUTED_VALUE"""),"saravalderramacardona@gmail.com")</f>
        <v>saravalderramacardona@gmail.com</v>
      </c>
      <c r="AK43" s="6" t="str">
        <f>IFERROR(__xludf.DUMMYFUNCTION("""COMPUTED_VALUE"""),"Creadora de contenido digital")</f>
        <v>Creadora de contenido digital</v>
      </c>
      <c r="AL43" s="6" t="str">
        <f>IFERROR(__xludf.DUMMYFUNCTION("""COMPUTED_VALUE"""),"INVERTIMOS CS SAS")</f>
        <v>INVERTIMOS CS SAS</v>
      </c>
      <c r="AM43" s="12" t="str">
        <f>IFERROR(__xludf.DUMMYFUNCTION("""COMPUTED_VALUE"""),"1017164127")</f>
        <v>1017164127</v>
      </c>
      <c r="AN43" s="12" t="str">
        <f>IFERROR(__xludf.DUMMYFUNCTION("""COMPUTED_VALUE"""),"3163091317")</f>
        <v>3163091317</v>
      </c>
      <c r="AO43" s="6" t="str">
        <f>IFERROR(__xludf.DUMMYFUNCTION("""COMPUTED_VALUE"""),"Madre")</f>
        <v>Madre</v>
      </c>
      <c r="AP43" s="6" t="str">
        <f>IFERROR(__xludf.DUMMYFUNCTION("""COMPUTED_VALUE"""),"Estudiante(s): Cardona Valderrama")</f>
        <v>Estudiante(s): Cardona Valderrama</v>
      </c>
      <c r="AQ43" s="6" t="str">
        <f>IFERROR(__xludf.DUMMYFUNCTION("""COMPUTED_VALUE"""),"120132*Gi")</f>
        <v>120132*Gi</v>
      </c>
      <c r="AR43" s="6" t="str">
        <f>IFERROR(__xludf.DUMMYFUNCTION("""COMPUTED_VALUE"""),"Felipe")</f>
        <v>Felipe</v>
      </c>
      <c r="AS43" s="6"/>
      <c r="AT43" s="6" t="str">
        <f>IFERROR(__xludf.DUMMYFUNCTION("""COMPUTED_VALUE"""),"Cardona Salazar")</f>
        <v>Cardona Salazar</v>
      </c>
      <c r="AU43" s="6" t="str">
        <f>IFERROR(__xludf.DUMMYFUNCTION("""COMPUTED_VALUE"""),"cardona175@gmail.com")</f>
        <v>cardona175@gmail.com</v>
      </c>
      <c r="AV43" s="6" t="str">
        <f>IFERROR(__xludf.DUMMYFUNCTION("""COMPUTED_VALUE"""),"Administrador de empresas")</f>
        <v>Administrador de empresas</v>
      </c>
      <c r="AW43" s="6" t="str">
        <f>IFERROR(__xludf.DUMMYFUNCTION("""COMPUTED_VALUE"""),"INVERTIMOS CS SAS")</f>
        <v>INVERTIMOS CS SAS</v>
      </c>
      <c r="AX43" s="12" t="str">
        <f>IFERROR(__xludf.DUMMYFUNCTION("""COMPUTED_VALUE"""),"1094912693")</f>
        <v>1094912693</v>
      </c>
      <c r="AY43" s="12" t="str">
        <f>IFERROR(__xludf.DUMMYFUNCTION("""COMPUTED_VALUE"""),"3164823914")</f>
        <v>3164823914</v>
      </c>
      <c r="AZ43" s="6" t="str">
        <f>IFERROR(__xludf.DUMMYFUNCTION("""COMPUTED_VALUE"""),"Padre")</f>
        <v>Padre</v>
      </c>
      <c r="BA43" s="6"/>
      <c r="BB43" s="6"/>
      <c r="BC43" s="6"/>
      <c r="BD43" s="12" t="str">
        <f>IFERROR(__xludf.DUMMYFUNCTION("""COMPUTED_VALUE"""),"car0002")</f>
        <v>car0002</v>
      </c>
      <c r="BE43" s="6" t="str">
        <f>IFERROR(__xludf.DUMMYFUNCTION("""COMPUTED_VALUE"""),"NUEVO(A)")</f>
        <v>NUEVO(A)</v>
      </c>
      <c r="BF43" s="12" t="str">
        <f>IFERROR(__xludf.DUMMYFUNCTION("""COMPUTED_VALUE"""),"FALTAN FIRMAS")</f>
        <v>FALTAN FIRMAS</v>
      </c>
      <c r="BG43" s="6">
        <f>IFERROR(__xludf.DUMMYFUNCTION("""COMPUTED_VALUE"""),2041.0)</f>
        <v>2041</v>
      </c>
      <c r="BH43" s="15">
        <f>IFERROR(__xludf.DUMMYFUNCTION("""COMPUTED_VALUE"""),46218.44263888889)</f>
        <v>46218.44264</v>
      </c>
      <c r="BI43" s="6">
        <f>IFERROR(__xludf.DUMMYFUNCTION("""COMPUTED_VALUE"""),42.0)</f>
        <v>42</v>
      </c>
      <c r="BJ43" s="6"/>
      <c r="BK43" s="6"/>
      <c r="BL43" s="6" t="str">
        <f>IFERROR(__xludf.DUMMYFUNCTION("""COMPUTED_VALUE"""),"GISCAR0002")</f>
        <v>GISCAR0002</v>
      </c>
      <c r="BM43" s="6"/>
      <c r="BN43" s="6"/>
      <c r="BO43" s="6"/>
      <c r="BP43" s="6"/>
      <c r="BQ43" s="6"/>
      <c r="BR43" s="6"/>
      <c r="BS43" s="6"/>
      <c r="BT43" s="6"/>
      <c r="BU43" s="6" t="str">
        <f>IFERROR(__xludf.DUMMYFUNCTION("""COMPUTED_VALUE"""),"SI")</f>
        <v>SI</v>
      </c>
      <c r="BV43" s="12" t="str">
        <f>IFERROR(__xludf.DUMMYFUNCTION("""COMPUTED_VALUE"""),"macarena.c2041")</f>
        <v>macarena.c2041</v>
      </c>
      <c r="BW43" s="6"/>
      <c r="BX43" s="6"/>
      <c r="BY43" s="6"/>
      <c r="BZ43" s="6"/>
    </row>
    <row r="44">
      <c r="A44" s="6">
        <f>IFERROR(__xludf.DUMMYFUNCTION("""COMPUTED_VALUE"""),1.091208793E9)</f>
        <v>1091208793</v>
      </c>
      <c r="B44" s="6">
        <f>IFERROR(__xludf.DUMMYFUNCTION("""COMPUTED_VALUE"""),4.0)</f>
        <v>4</v>
      </c>
      <c r="C44" s="6" t="str">
        <f>IFERROR(__xludf.DUMMYFUNCTION("""COMPUTED_VALUE"""),"Agustín")</f>
        <v>Agustín</v>
      </c>
      <c r="D44" s="6"/>
      <c r="E44" s="6" t="str">
        <f>IFERROR(__xludf.DUMMYFUNCTION("""COMPUTED_VALUE"""),"Castaño Urrea")</f>
        <v>Castaño Urrea</v>
      </c>
      <c r="F44" s="6" t="str">
        <f>IFERROR(__xludf.DUMMYFUNCTION("""COMPUTED_VALUE"""),"Cra 10 No 11Nte - 05 - La Castellana")</f>
        <v>Cra 10 No 11Nte - 05 - La Castellana</v>
      </c>
      <c r="G44" s="12" t="str">
        <f>IFERROR(__xludf.DUMMYFUNCTION("""COMPUTED_VALUE"""),"2023")</f>
        <v>2023</v>
      </c>
      <c r="H44" s="6" t="str">
        <f>IFERROR(__xludf.DUMMYFUNCTION("""COMPUTED_VALUE"""),"Mayo")</f>
        <v>Mayo</v>
      </c>
      <c r="I44" s="12" t="str">
        <f>IFERROR(__xludf.DUMMYFUNCTION("""COMPUTED_VALUE"""),"13")</f>
        <v>13</v>
      </c>
      <c r="J44" s="6" t="str">
        <f>IFERROR(__xludf.DUMMYFUNCTION("""COMPUTED_VALUE"""),"Cali")</f>
        <v>Cali</v>
      </c>
      <c r="K44" s="6" t="str">
        <f>IFERROR(__xludf.DUMMYFUNCTION("""COMPUTED_VALUE"""),"agustin.c2041@gi.edu.co")</f>
        <v>agustin.c2041@gi.edu.co</v>
      </c>
      <c r="L44" s="6" t="str">
        <f>IFERROR(__xludf.DUMMYFUNCTION("""COMPUTED_VALUE"""),"RC")</f>
        <v>RC</v>
      </c>
      <c r="M44" s="6" t="str">
        <f>IFERROR(__xludf.DUMMYFUNCTION("""COMPUTED_VALUE"""),"Armenia")</f>
        <v>Armenia</v>
      </c>
      <c r="N44" s="6" t="str">
        <f>IFERROR(__xludf.DUMMYFUNCTION("""COMPUTED_VALUE"""),"M")</f>
        <v>M</v>
      </c>
      <c r="O44" s="6" t="str">
        <f>IFERROR(__xludf.DUMMYFUNCTION("""COMPUTED_VALUE"""),"ACTIVE")</f>
        <v>ACTIVE</v>
      </c>
      <c r="P44" s="6"/>
      <c r="Q44" s="6" t="str">
        <f>IFERROR(__xludf.DUMMYFUNCTION("""COMPUTED_VALUE"""),"Armenia")</f>
        <v>Armenia</v>
      </c>
      <c r="R44" s="12" t="str">
        <f>IFERROR(__xludf.DUMMYFUNCTION("""COMPUTED_VALUE"""),"Giqamk56*")</f>
        <v>Giqamk56*</v>
      </c>
      <c r="S44" s="12" t="str">
        <f>IFERROR(__xludf.DUMMYFUNCTION("""COMPUTED_VALUE"""),"Castaño Urrea Agustín ")</f>
        <v>Castaño Urrea Agustín </v>
      </c>
      <c r="T44" s="6" t="str">
        <f>IFERROR(__xludf.DUMMYFUNCTION("""COMPUTED_VALUE"""),"ARMENIA HOTEL S.A.S.")</f>
        <v>ARMENIA HOTEL S.A.S.</v>
      </c>
      <c r="U44" s="12" t="str">
        <f>IFERROR(__xludf.DUMMYFUNCTION("""COMPUTED_VALUE"""),"801003278-1")</f>
        <v>801003278-1</v>
      </c>
      <c r="V44" s="6">
        <f>IFERROR(__xludf.DUMMYFUNCTION("""COMPUTED_VALUE"""),3.206969115E9)</f>
        <v>3206969115</v>
      </c>
      <c r="W44" s="6" t="str">
        <f>IFERROR(__xludf.DUMMYFUNCTION("""COMPUTED_VALUE"""),"contabilidad@armeniahotel.co")</f>
        <v>contabilidad@armeniahotel.co</v>
      </c>
      <c r="X44" s="12" t="str">
        <f>IFERROR(__xludf.DUMMYFUNCTION("""COMPUTED_VALUE"""),"O+")</f>
        <v>O+</v>
      </c>
      <c r="Y44" s="12" t="str">
        <f>IFERROR(__xludf.DUMMYFUNCTION("""COMPUTED_VALUE"""),"K3")</f>
        <v>K3</v>
      </c>
      <c r="Z44" s="6">
        <f>IFERROR(__xludf.DUMMYFUNCTION("""COMPUTED_VALUE"""),120493.0)</f>
        <v>120493</v>
      </c>
      <c r="AA44" s="6"/>
      <c r="AB44" s="6"/>
      <c r="AC44" s="6"/>
      <c r="AD44" s="12" t="str">
        <f>IFERROR(__xludf.DUMMYFUNCTION("""COMPUTED_VALUE"""),"K3B")</f>
        <v>K3B</v>
      </c>
      <c r="AE44" s="6" t="str">
        <f>IFERROR(__xludf.DUMMYFUNCTION("""COMPUTED_VALUE"""),"1345282492")</f>
        <v>1345282492</v>
      </c>
      <c r="AF44" s="12" t="str">
        <f>IFERROR(__xludf.DUMMYFUNCTION("""COMPUTED_VALUE"""),"1345282492")</f>
        <v>1345282492</v>
      </c>
      <c r="AG44" s="12" t="str">
        <f>IFERROR(__xludf.DUMMYFUNCTION("""COMPUTED_VALUE"""),"Lina")</f>
        <v>Lina</v>
      </c>
      <c r="AH44" s="12" t="str">
        <f>IFERROR(__xludf.DUMMYFUNCTION("""COMPUTED_VALUE"""),"Marcela")</f>
        <v>Marcela</v>
      </c>
      <c r="AI44" s="6" t="str">
        <f>IFERROR(__xludf.DUMMYFUNCTION("""COMPUTED_VALUE"""),"Urrea Giraldo")</f>
        <v>Urrea Giraldo</v>
      </c>
      <c r="AJ44" s="6" t="str">
        <f>IFERROR(__xludf.DUMMYFUNCTION("""COMPUTED_VALUE"""),"marceurreagi@hotmail.com")</f>
        <v>marceurreagi@hotmail.com</v>
      </c>
      <c r="AK44" s="6" t="str">
        <f>IFERROR(__xludf.DUMMYFUNCTION("""COMPUTED_VALUE"""),"Administradora")</f>
        <v>Administradora</v>
      </c>
      <c r="AL44" s="6" t="str">
        <f>IFERROR(__xludf.DUMMYFUNCTION("""COMPUTED_VALUE"""),"Constructora Centenario")</f>
        <v>Constructora Centenario</v>
      </c>
      <c r="AM44" s="12" t="str">
        <f>IFERROR(__xludf.DUMMYFUNCTION("""COMPUTED_VALUE"""),"41957759")</f>
        <v>41957759</v>
      </c>
      <c r="AN44" s="12" t="str">
        <f>IFERROR(__xludf.DUMMYFUNCTION("""COMPUTED_VALUE"""),"3116472581")</f>
        <v>3116472581</v>
      </c>
      <c r="AO44" s="6" t="str">
        <f>IFERROR(__xludf.DUMMYFUNCTION("""COMPUTED_VALUE"""),"Madre")</f>
        <v>Madre</v>
      </c>
      <c r="AP44" s="12" t="str">
        <f>IFERROR(__xludf.DUMMYFUNCTION("""COMPUTED_VALUE"""),"Estudiante(s): Castaño Urrea")</f>
        <v>Estudiante(s): Castaño Urrea</v>
      </c>
      <c r="AQ44" s="6" t="str">
        <f>IFERROR(__xludf.DUMMYFUNCTION("""COMPUTED_VALUE"""),"103786*Gi")</f>
        <v>103786*Gi</v>
      </c>
      <c r="AR44" s="6" t="str">
        <f>IFERROR(__xludf.DUMMYFUNCTION("""COMPUTED_VALUE"""),"Santiago")</f>
        <v>Santiago</v>
      </c>
      <c r="AS44" s="6"/>
      <c r="AT44" s="6" t="str">
        <f>IFERROR(__xludf.DUMMYFUNCTION("""COMPUTED_VALUE"""),"Castaño Velásquez")</f>
        <v>Castaño Velásquez</v>
      </c>
      <c r="AU44" s="6" t="str">
        <f>IFERROR(__xludf.DUMMYFUNCTION("""COMPUTED_VALUE"""),"santiagocv7@gmail.com")</f>
        <v>santiagocv7@gmail.com</v>
      </c>
      <c r="AV44" s="6" t="str">
        <f>IFERROR(__xludf.DUMMYFUNCTION("""COMPUTED_VALUE"""),"Administrador")</f>
        <v>Administrador</v>
      </c>
      <c r="AW44" s="6" t="str">
        <f>IFERROR(__xludf.DUMMYFUNCTION("""COMPUTED_VALUE"""),"Constructora Centenario")</f>
        <v>Constructora Centenario</v>
      </c>
      <c r="AX44" s="12" t="str">
        <f>IFERROR(__xludf.DUMMYFUNCTION("""COMPUTED_VALUE"""),"9739471")</f>
        <v>9739471</v>
      </c>
      <c r="AY44" s="12" t="str">
        <f>IFERROR(__xludf.DUMMYFUNCTION("""COMPUTED_VALUE"""),"3104598534")</f>
        <v>3104598534</v>
      </c>
      <c r="AZ44" s="6" t="str">
        <f>IFERROR(__xludf.DUMMYFUNCTION("""COMPUTED_VALUE"""),"Padre")</f>
        <v>Padre</v>
      </c>
      <c r="BA44" s="6"/>
      <c r="BB44" s="6"/>
      <c r="BC44" s="6"/>
      <c r="BD44" s="12" t="str">
        <f>IFERROR(__xludf.DUMMYFUNCTION("""COMPUTED_VALUE"""),"cas0016")</f>
        <v>cas0016</v>
      </c>
      <c r="BE44" s="6"/>
      <c r="BF44" s="6"/>
      <c r="BG44" s="6">
        <f>IFERROR(__xludf.DUMMYFUNCTION("""COMPUTED_VALUE"""),2041.0)</f>
        <v>2041</v>
      </c>
      <c r="BH44" s="15">
        <f>IFERROR(__xludf.DUMMYFUNCTION("""COMPUTED_VALUE"""),46211.74949074074)</f>
        <v>46211.74949</v>
      </c>
      <c r="BI44" s="6">
        <f>IFERROR(__xludf.DUMMYFUNCTION("""COMPUTED_VALUE"""),43.0)</f>
        <v>43</v>
      </c>
      <c r="BJ44" s="6"/>
      <c r="BK44" s="6"/>
      <c r="BL44" s="6" t="str">
        <f>IFERROR(__xludf.DUMMYFUNCTION("""COMPUTED_VALUE"""),"GISCAS0016")</f>
        <v>GISCAS0016</v>
      </c>
      <c r="BM44" s="6"/>
      <c r="BN44" s="6"/>
      <c r="BO44" s="6"/>
      <c r="BP44" s="6"/>
      <c r="BQ44" s="6"/>
      <c r="BR44" s="6"/>
      <c r="BS44" s="6"/>
      <c r="BT44" s="6"/>
      <c r="BU44" s="6" t="str">
        <f>IFERROR(__xludf.DUMMYFUNCTION("""COMPUTED_VALUE"""),"SI")</f>
        <v>SI</v>
      </c>
      <c r="BV44" s="6" t="str">
        <f>IFERROR(__xludf.DUMMYFUNCTION("""COMPUTED_VALUE"""),"agustin.c2041")</f>
        <v>agustin.c2041</v>
      </c>
      <c r="BW44" s="6"/>
      <c r="BX44" s="6"/>
      <c r="BY44" s="6"/>
      <c r="BZ44" s="6"/>
    </row>
    <row r="45">
      <c r="A45" s="6">
        <f>IFERROR(__xludf.DUMMYFUNCTION("""COMPUTED_VALUE"""),1.112166049E9)</f>
        <v>1112166049</v>
      </c>
      <c r="B45" s="6">
        <f>IFERROR(__xludf.DUMMYFUNCTION("""COMPUTED_VALUE"""),5.0)</f>
        <v>5</v>
      </c>
      <c r="C45" s="6" t="str">
        <f>IFERROR(__xludf.DUMMYFUNCTION("""COMPUTED_VALUE"""),"Dylan")</f>
        <v>Dylan</v>
      </c>
      <c r="D45" s="6" t="str">
        <f>IFERROR(__xludf.DUMMYFUNCTION("""COMPUTED_VALUE""")," Emilio")</f>
        <v> Emilio</v>
      </c>
      <c r="E45" s="6" t="str">
        <f>IFERROR(__xludf.DUMMYFUNCTION("""COMPUTED_VALUE"""),"Coveña Nastur")</f>
        <v>Coveña Nastur</v>
      </c>
      <c r="F45" s="6" t="str">
        <f>IFERROR(__xludf.DUMMYFUNCTION("""COMPUTED_VALUE"""),"Bosque Residencial La Pradera Casa 21 - Cra 6 No50Nte - 1 Av Centenario")</f>
        <v>Bosque Residencial La Pradera Casa 21 - Cra 6 No50Nte - 1 Av Centenario</v>
      </c>
      <c r="G45" s="12" t="str">
        <f>IFERROR(__xludf.DUMMYFUNCTION("""COMPUTED_VALUE"""),"2022")</f>
        <v>2022</v>
      </c>
      <c r="H45" s="6" t="str">
        <f>IFERROR(__xludf.DUMMYFUNCTION("""COMPUTED_VALUE"""),"Diciembre")</f>
        <v>Diciembre</v>
      </c>
      <c r="I45" s="12" t="str">
        <f>IFERROR(__xludf.DUMMYFUNCTION("""COMPUTED_VALUE"""),"17")</f>
        <v>17</v>
      </c>
      <c r="J45" s="6" t="str">
        <f>IFERROR(__xludf.DUMMYFUNCTION("""COMPUTED_VALUE"""),"Buga")</f>
        <v>Buga</v>
      </c>
      <c r="K45" s="6" t="str">
        <f>IFERROR(__xludf.DUMMYFUNCTION("""COMPUTED_VALUE"""),"dylan.n2041@gi.edu.co")</f>
        <v>dylan.n2041@gi.edu.co</v>
      </c>
      <c r="L45" s="6" t="str">
        <f>IFERROR(__xludf.DUMMYFUNCTION("""COMPUTED_VALUE"""),"RC")</f>
        <v>RC</v>
      </c>
      <c r="M45" s="6" t="str">
        <f>IFERROR(__xludf.DUMMYFUNCTION("""COMPUTED_VALUE"""),"Buga")</f>
        <v>Buga</v>
      </c>
      <c r="N45" s="6" t="str">
        <f>IFERROR(__xludf.DUMMYFUNCTION("""COMPUTED_VALUE"""),"M")</f>
        <v>M</v>
      </c>
      <c r="O45" s="6" t="str">
        <f>IFERROR(__xludf.DUMMYFUNCTION("""COMPUTED_VALUE"""),"ACTIVE")</f>
        <v>ACTIVE</v>
      </c>
      <c r="P45" s="6"/>
      <c r="Q45" s="6" t="str">
        <f>IFERROR(__xludf.DUMMYFUNCTION("""COMPUTED_VALUE"""),"Armenia")</f>
        <v>Armenia</v>
      </c>
      <c r="R45" s="12" t="str">
        <f>IFERROR(__xludf.DUMMYFUNCTION("""COMPUTED_VALUE"""),"Gix5t5y6*")</f>
        <v>Gix5t5y6*</v>
      </c>
      <c r="S45" s="12" t="str">
        <f>IFERROR(__xludf.DUMMYFUNCTION("""COMPUTED_VALUE"""),"Coveña Nastur Dylan  Emilio")</f>
        <v>Coveña Nastur Dylan  Emilio</v>
      </c>
      <c r="T45" s="6" t="str">
        <f>IFERROR(__xludf.DUMMYFUNCTION("""COMPUTED_VALUE"""),"MARTA LILIANA NASTUR MAYA")</f>
        <v>MARTA LILIANA NASTUR MAYA</v>
      </c>
      <c r="U45" s="12" t="str">
        <f>IFERROR(__xludf.DUMMYFUNCTION("""COMPUTED_VALUE"""),"1123306158")</f>
        <v>1123306158</v>
      </c>
      <c r="V45" s="12" t="str">
        <f>IFERROR(__xludf.DUMMYFUNCTION("""COMPUTED_VALUE""")," +593981191022")</f>
        <v> +593981191022</v>
      </c>
      <c r="W45" s="6" t="str">
        <f>IFERROR(__xludf.DUMMYFUNCTION("""COMPUTED_VALUE"""),"mayaliliana57@gmail.com")</f>
        <v>mayaliliana57@gmail.com</v>
      </c>
      <c r="X45" s="12" t="str">
        <f>IFERROR(__xludf.DUMMYFUNCTION("""COMPUTED_VALUE"""),"O+")</f>
        <v>O+</v>
      </c>
      <c r="Y45" s="12" t="str">
        <f>IFERROR(__xludf.DUMMYFUNCTION("""COMPUTED_VALUE"""),"K3")</f>
        <v>K3</v>
      </c>
      <c r="Z45" s="6">
        <f>IFERROR(__xludf.DUMMYFUNCTION("""COMPUTED_VALUE"""),120540.0)</f>
        <v>120540</v>
      </c>
      <c r="AA45" s="6"/>
      <c r="AB45" s="6"/>
      <c r="AC45" s="6"/>
      <c r="AD45" s="12" t="str">
        <f>IFERROR(__xludf.DUMMYFUNCTION("""COMPUTED_VALUE"""),"K3B")</f>
        <v>K3B</v>
      </c>
      <c r="AE45" s="6">
        <f>IFERROR(__xludf.DUMMYFUNCTION("""COMPUTED_VALUE"""),1.345282545E9)</f>
        <v>1345282545</v>
      </c>
      <c r="AF45" s="12" t="str">
        <f>IFERROR(__xludf.DUMMYFUNCTION("""COMPUTED_VALUE"""),"1345282545")</f>
        <v>1345282545</v>
      </c>
      <c r="AG45" s="12" t="str">
        <f>IFERROR(__xludf.DUMMYFUNCTION("""COMPUTED_VALUE"""),"Marta")</f>
        <v>Marta</v>
      </c>
      <c r="AH45" s="12" t="str">
        <f>IFERROR(__xludf.DUMMYFUNCTION("""COMPUTED_VALUE"""),"Liliana")</f>
        <v>Liliana</v>
      </c>
      <c r="AI45" s="6" t="str">
        <f>IFERROR(__xludf.DUMMYFUNCTION("""COMPUTED_VALUE"""),"Nastur Maya")</f>
        <v>Nastur Maya</v>
      </c>
      <c r="AJ45" s="6" t="str">
        <f>IFERROR(__xludf.DUMMYFUNCTION("""COMPUTED_VALUE"""),"mayaliliana57@gmail.com")</f>
        <v>mayaliliana57@gmail.com</v>
      </c>
      <c r="AK45" s="6" t="str">
        <f>IFERROR(__xludf.DUMMYFUNCTION("""COMPUTED_VALUE"""),"Medico")</f>
        <v>Medico</v>
      </c>
      <c r="AL45" s="6"/>
      <c r="AM45" s="12" t="str">
        <f>IFERROR(__xludf.DUMMYFUNCTION("""COMPUTED_VALUE"""),"1123306158")</f>
        <v>1123306158</v>
      </c>
      <c r="AN45" s="12" t="str">
        <f>IFERROR(__xludf.DUMMYFUNCTION("""COMPUTED_VALUE""")," +593981191022")</f>
        <v> +593981191022</v>
      </c>
      <c r="AO45" s="6" t="str">
        <f>IFERROR(__xludf.DUMMYFUNCTION("""COMPUTED_VALUE"""),"Madre")</f>
        <v>Madre</v>
      </c>
      <c r="AP45" s="6" t="str">
        <f>IFERROR(__xludf.DUMMYFUNCTION("""COMPUTED_VALUE"""),"Estudiante(s): Nastur Maya")</f>
        <v>Estudiante(s): Nastur Maya</v>
      </c>
      <c r="AQ45" s="6" t="str">
        <f>IFERROR(__xludf.DUMMYFUNCTION("""COMPUTED_VALUE"""),"120390*Gi")</f>
        <v>120390*Gi</v>
      </c>
      <c r="AR45" s="6" t="str">
        <f>IFERROR(__xludf.DUMMYFUNCTION("""COMPUTED_VALUE"""),"Ronald")</f>
        <v>Ronald</v>
      </c>
      <c r="AS45" s="6" t="str">
        <f>IFERROR(__xludf.DUMMYFUNCTION("""COMPUTED_VALUE"""),"Emilio")</f>
        <v>Emilio</v>
      </c>
      <c r="AT45" s="6" t="str">
        <f>IFERROR(__xludf.DUMMYFUNCTION("""COMPUTED_VALUE"""),"Coveña Barcia")</f>
        <v>Coveña Barcia</v>
      </c>
      <c r="AU45" s="6" t="str">
        <f>IFERROR(__xludf.DUMMYFUNCTION("""COMPUTED_VALUE"""),"marojasre@gmail.com")</f>
        <v>marojasre@gmail.com</v>
      </c>
      <c r="AV45" s="6" t="str">
        <f>IFERROR(__xludf.DUMMYFUNCTION("""COMPUTED_VALUE"""),"Ingeniero")</f>
        <v>Ingeniero</v>
      </c>
      <c r="AW45" s="6"/>
      <c r="AX45" s="12" t="str">
        <f>IFERROR(__xludf.DUMMYFUNCTION("""COMPUTED_VALUE"""),"6904497")</f>
        <v>6904497</v>
      </c>
      <c r="AY45" s="12" t="str">
        <f>IFERROR(__xludf.DUMMYFUNCTION("""COMPUTED_VALUE"""),"3132565468")</f>
        <v>3132565468</v>
      </c>
      <c r="AZ45" s="6" t="str">
        <f>IFERROR(__xludf.DUMMYFUNCTION("""COMPUTED_VALUE"""),"Padre")</f>
        <v>Padre</v>
      </c>
      <c r="BA45" s="6" t="str">
        <f>IFERROR(__xludf.DUMMYFUNCTION("""COMPUTED_VALUE"""),"Nanchy Nastur nasturmayanancy@gmail.com")</f>
        <v>Nanchy Nastur nasturmayanancy@gmail.com</v>
      </c>
      <c r="BB45" s="6" t="str">
        <f>IFERROR(__xludf.DUMMYFUNCTION("""COMPUTED_VALUE"""),"3157938345 y 3165469163")</f>
        <v>3157938345 y 3165469163</v>
      </c>
      <c r="BC45" s="6" t="str">
        <f>IFERROR(__xludf.DUMMYFUNCTION("""COMPUTED_VALUE"""),"Tia")</f>
        <v>Tia</v>
      </c>
      <c r="BD45" s="12" t="str">
        <f>IFERROR(__xludf.DUMMYFUNCTION("""COMPUTED_VALUE"""),"nas0001")</f>
        <v>nas0001</v>
      </c>
      <c r="BE45" s="6"/>
      <c r="BF45" s="6"/>
      <c r="BG45" s="6">
        <f>IFERROR(__xludf.DUMMYFUNCTION("""COMPUTED_VALUE"""),2041.0)</f>
        <v>2041</v>
      </c>
      <c r="BH45" s="15">
        <f>IFERROR(__xludf.DUMMYFUNCTION("""COMPUTED_VALUE"""),46230.64795138889)</f>
        <v>46230.64795</v>
      </c>
      <c r="BI45" s="6">
        <f>IFERROR(__xludf.DUMMYFUNCTION("""COMPUTED_VALUE"""),44.0)</f>
        <v>44</v>
      </c>
      <c r="BJ45" s="6"/>
      <c r="BK45" s="6"/>
      <c r="BL45" s="6" t="str">
        <f>IFERROR(__xludf.DUMMYFUNCTION("""COMPUTED_VALUE"""),"GISNAS0001")</f>
        <v>GISNAS0001</v>
      </c>
      <c r="BM45" s="6"/>
      <c r="BN45" s="6"/>
      <c r="BO45" s="6"/>
      <c r="BP45" s="6"/>
      <c r="BQ45" s="6"/>
      <c r="BR45" s="6"/>
      <c r="BS45" s="6"/>
      <c r="BT45" s="6"/>
      <c r="BU45" s="6" t="str">
        <f>IFERROR(__xludf.DUMMYFUNCTION("""COMPUTED_VALUE"""),"SI")</f>
        <v>SI</v>
      </c>
      <c r="BV45" s="6" t="str">
        <f>IFERROR(__xludf.DUMMYFUNCTION("""COMPUTED_VALUE"""),"dylan.n2041")</f>
        <v>dylan.n2041</v>
      </c>
      <c r="BW45" s="6"/>
      <c r="BX45" s="6"/>
      <c r="BY45" s="6"/>
      <c r="BZ45" s="6"/>
    </row>
    <row r="46">
      <c r="A46" s="12" t="str">
        <f>IFERROR(__xludf.DUMMYFUNCTION("""COMPUTED_VALUE"""),"1035021810")</f>
        <v>1035021810</v>
      </c>
      <c r="B46" s="6">
        <f>IFERROR(__xludf.DUMMYFUNCTION("""COMPUTED_VALUE"""),6.0)</f>
        <v>6</v>
      </c>
      <c r="C46" s="6" t="str">
        <f>IFERROR(__xludf.DUMMYFUNCTION("""COMPUTED_VALUE"""),"Jacobo ")</f>
        <v>Jacobo </v>
      </c>
      <c r="D46" s="6"/>
      <c r="E46" s="6" t="str">
        <f>IFERROR(__xludf.DUMMYFUNCTION("""COMPUTED_VALUE"""),"Jaramillo González")</f>
        <v>Jaramillo González</v>
      </c>
      <c r="F46" s="6" t="str">
        <f>IFERROR(__xludf.DUMMYFUNCTION("""COMPUTED_VALUE"""),"Cra 10 No11Nte-12 Apto 202 Ed. Montemadero - La Castellana")</f>
        <v>Cra 10 No11Nte-12 Apto 202 Ed. Montemadero - La Castellana</v>
      </c>
      <c r="G46" s="12">
        <f>IFERROR(__xludf.DUMMYFUNCTION("""COMPUTED_VALUE"""),2023.0)</f>
        <v>2023</v>
      </c>
      <c r="H46" s="12" t="str">
        <f>IFERROR(__xludf.DUMMYFUNCTION("""COMPUTED_VALUE"""),"Junio")</f>
        <v>Junio</v>
      </c>
      <c r="I46" s="12">
        <f>IFERROR(__xludf.DUMMYFUNCTION("""COMPUTED_VALUE"""),8.0)</f>
        <v>8</v>
      </c>
      <c r="J46" s="6"/>
      <c r="K46" s="12" t="str">
        <f>IFERROR(__xludf.DUMMYFUNCTION("""COMPUTED_VALUE"""),"jacobo.j2041@gi.edu.co")</f>
        <v>jacobo.j2041@gi.edu.co</v>
      </c>
      <c r="L46" s="6" t="str">
        <f>IFERROR(__xludf.DUMMYFUNCTION("""COMPUTED_VALUE"""),"RC")</f>
        <v>RC</v>
      </c>
      <c r="M46" s="6" t="str">
        <f>IFERROR(__xludf.DUMMYFUNCTION("""COMPUTED_VALUE"""),"Medellín")</f>
        <v>Medellín</v>
      </c>
      <c r="N46" s="6" t="str">
        <f>IFERROR(__xludf.DUMMYFUNCTION("""COMPUTED_VALUE"""),"M")</f>
        <v>M</v>
      </c>
      <c r="O46" s="6" t="str">
        <f>IFERROR(__xludf.DUMMYFUNCTION("""COMPUTED_VALUE"""),"ACTIVE")</f>
        <v>ACTIVE</v>
      </c>
      <c r="P46" s="6" t="str">
        <f>IFERROR(__xludf.DUMMYFUNCTION("""COMPUTED_VALUE"""),"Nvos Hermanos")</f>
        <v>Nvos Hermanos</v>
      </c>
      <c r="Q46" s="6"/>
      <c r="R46" s="12" t="str">
        <f>IFERROR(__xludf.DUMMYFUNCTION("""COMPUTED_VALUE"""),"GiM4xT9q*")</f>
        <v>GiM4xT9q*</v>
      </c>
      <c r="S46" s="6" t="str">
        <f>IFERROR(__xludf.DUMMYFUNCTION("""COMPUTED_VALUE"""),"Jaramillo González Jacobo  ")</f>
        <v>Jaramillo González Jacobo  </v>
      </c>
      <c r="T46" s="6" t="str">
        <f>IFERROR(__xludf.DUMMYFUNCTION("""COMPUTED_VALUE"""),"JUAN RAMON JARAMILLO HERNANDEZ")</f>
        <v>JUAN RAMON JARAMILLO HERNANDEZ</v>
      </c>
      <c r="U46" s="12" t="str">
        <f>IFERROR(__xludf.DUMMYFUNCTION("""COMPUTED_VALUE"""),"9737263")</f>
        <v>9737263</v>
      </c>
      <c r="V46" s="6">
        <f>IFERROR(__xludf.DUMMYFUNCTION("""COMPUTED_VALUE"""),3.105385102E9)</f>
        <v>3105385102</v>
      </c>
      <c r="W46" s="6" t="str">
        <f>IFERROR(__xludf.DUMMYFUNCTION("""COMPUTED_VALUE"""),"juanchu_j@yahoo.com")</f>
        <v>juanchu_j@yahoo.com</v>
      </c>
      <c r="X46" s="12" t="str">
        <f>IFERROR(__xludf.DUMMYFUNCTION("""COMPUTED_VALUE"""),"A+")</f>
        <v>A+</v>
      </c>
      <c r="Y46" s="12" t="str">
        <f>IFERROR(__xludf.DUMMYFUNCTION("""COMPUTED_VALUE"""),"K3")</f>
        <v>K3</v>
      </c>
      <c r="Z46" s="6">
        <f>IFERROR(__xludf.DUMMYFUNCTION("""COMPUTED_VALUE"""),120602.0)</f>
        <v>120602</v>
      </c>
      <c r="AA46" s="6"/>
      <c r="AB46" s="6"/>
      <c r="AC46" s="6"/>
      <c r="AD46" s="12" t="str">
        <f>IFERROR(__xludf.DUMMYFUNCTION("""COMPUTED_VALUE"""),"K3B")</f>
        <v>K3B</v>
      </c>
      <c r="AE46" s="12" t="str">
        <f>IFERROR(__xludf.DUMMYFUNCTION("""COMPUTED_VALUE"""),"1345282599")</f>
        <v>1345282599</v>
      </c>
      <c r="AF46" s="12" t="str">
        <f>IFERROR(__xludf.DUMMYFUNCTION("""COMPUTED_VALUE"""),"1345282599")</f>
        <v>1345282599</v>
      </c>
      <c r="AG46" s="12" t="str">
        <f>IFERROR(__xludf.DUMMYFUNCTION("""COMPUTED_VALUE"""),"Juliana")</f>
        <v>Juliana</v>
      </c>
      <c r="AH46" s="6"/>
      <c r="AI46" s="6" t="str">
        <f>IFERROR(__xludf.DUMMYFUNCTION("""COMPUTED_VALUE"""),"González González")</f>
        <v>González González</v>
      </c>
      <c r="AJ46" s="6" t="str">
        <f>IFERROR(__xludf.DUMMYFUNCTION("""COMPUTED_VALUE"""),"juligonza89@hotmail.com")</f>
        <v>juligonza89@hotmail.com</v>
      </c>
      <c r="AK46" s="6" t="str">
        <f>IFERROR(__xludf.DUMMYFUNCTION("""COMPUTED_VALUE"""),"Médica")</f>
        <v>Médica</v>
      </c>
      <c r="AL46" s="6"/>
      <c r="AM46" s="12" t="str">
        <f>IFERROR(__xludf.DUMMYFUNCTION("""COMPUTED_VALUE"""),"1039451152")</f>
        <v>1039451152</v>
      </c>
      <c r="AN46" s="12" t="str">
        <f>IFERROR(__xludf.DUMMYFUNCTION("""COMPUTED_VALUE"""),"3116098166")</f>
        <v>3116098166</v>
      </c>
      <c r="AO46" s="6" t="str">
        <f>IFERROR(__xludf.DUMMYFUNCTION("""COMPUTED_VALUE"""),"Madre")</f>
        <v>Madre</v>
      </c>
      <c r="AP46" s="6" t="str">
        <f>IFERROR(__xludf.DUMMYFUNCTION("""COMPUTED_VALUE"""),"Estudiante(s): Jaramillo González")</f>
        <v>Estudiante(s): Jaramillo González</v>
      </c>
      <c r="AQ46" s="6" t="str">
        <f>IFERROR(__xludf.DUMMYFUNCTION("""COMPUTED_VALUE"""),"120602*Gi")</f>
        <v>120602*Gi</v>
      </c>
      <c r="AR46" s="6" t="str">
        <f>IFERROR(__xludf.DUMMYFUNCTION("""COMPUTED_VALUE"""),"Juan")</f>
        <v>Juan</v>
      </c>
      <c r="AS46" s="6" t="str">
        <f>IFERROR(__xludf.DUMMYFUNCTION("""COMPUTED_VALUE"""),"Ramón")</f>
        <v>Ramón</v>
      </c>
      <c r="AT46" s="6" t="str">
        <f>IFERROR(__xludf.DUMMYFUNCTION("""COMPUTED_VALUE"""),"Jaramillo Hernández")</f>
        <v>Jaramillo Hernández</v>
      </c>
      <c r="AU46" s="6" t="str">
        <f>IFERROR(__xludf.DUMMYFUNCTION("""COMPUTED_VALUE"""),"juanchu_j@yahoo.com")</f>
        <v>juanchu_j@yahoo.com</v>
      </c>
      <c r="AV46" s="6" t="str">
        <f>IFERROR(__xludf.DUMMYFUNCTION("""COMPUTED_VALUE"""),"Ingeniero Electrónico")</f>
        <v>Ingeniero Electrónico</v>
      </c>
      <c r="AW46" s="6"/>
      <c r="AX46" s="12" t="str">
        <f>IFERROR(__xludf.DUMMYFUNCTION("""COMPUTED_VALUE"""),"9737263")</f>
        <v>9737263</v>
      </c>
      <c r="AY46" s="12" t="str">
        <f>IFERROR(__xludf.DUMMYFUNCTION("""COMPUTED_VALUE"""),"3105385102")</f>
        <v>3105385102</v>
      </c>
      <c r="AZ46" s="6" t="str">
        <f>IFERROR(__xludf.DUMMYFUNCTION("""COMPUTED_VALUE"""),"Padre")</f>
        <v>Padre</v>
      </c>
      <c r="BA46" s="6"/>
      <c r="BB46" s="6"/>
      <c r="BC46" s="6"/>
      <c r="BD46" s="12" t="str">
        <f>IFERROR(__xludf.DUMMYFUNCTION("""COMPUTED_VALUE"""),"jar0030")</f>
        <v>jar0030</v>
      </c>
      <c r="BE46" s="6" t="str">
        <f>IFERROR(__xludf.DUMMYFUNCTION("""COMPUTED_VALUE"""),"NUEVO(A)")</f>
        <v>NUEVO(A)</v>
      </c>
      <c r="BF46" s="12" t="str">
        <f>IFERROR(__xludf.DUMMYFUNCTION("""COMPUTED_VALUE"""),"HIJO DE EGRESADO")</f>
        <v>HIJO DE EGRESADO</v>
      </c>
      <c r="BG46" s="6">
        <f>IFERROR(__xludf.DUMMYFUNCTION("""COMPUTED_VALUE"""),2041.0)</f>
        <v>2041</v>
      </c>
      <c r="BH46" s="15">
        <f>IFERROR(__xludf.DUMMYFUNCTION("""COMPUTED_VALUE"""),46179.396203703705)</f>
        <v>46179.3962</v>
      </c>
      <c r="BI46" s="6">
        <f>IFERROR(__xludf.DUMMYFUNCTION("""COMPUTED_VALUE"""),45.0)</f>
        <v>45</v>
      </c>
      <c r="BJ46" s="6"/>
      <c r="BK46" s="6"/>
      <c r="BL46" s="6" t="str">
        <f>IFERROR(__xludf.DUMMYFUNCTION("""COMPUTED_VALUE"""),"GISJAR0030")</f>
        <v>GISJAR0030</v>
      </c>
      <c r="BM46" s="6"/>
      <c r="BN46" s="6"/>
      <c r="BO46" s="6"/>
      <c r="BP46" s="6"/>
      <c r="BQ46" s="6"/>
      <c r="BR46" s="6"/>
      <c r="BS46" s="6"/>
      <c r="BT46" s="6"/>
      <c r="BU46" s="6" t="str">
        <f>IFERROR(__xludf.DUMMYFUNCTION("""COMPUTED_VALUE"""),"SI")</f>
        <v>SI</v>
      </c>
      <c r="BV46" s="6" t="str">
        <f>IFERROR(__xludf.DUMMYFUNCTION("""COMPUTED_VALUE"""),"jacobo.j2041")</f>
        <v>jacobo.j2041</v>
      </c>
      <c r="BW46" s="6"/>
      <c r="BX46" s="6"/>
      <c r="BY46" s="6"/>
      <c r="BZ46" s="6"/>
    </row>
    <row r="47">
      <c r="A47" s="12">
        <f>IFERROR(__xludf.DUMMYFUNCTION("""COMPUTED_VALUE"""),1.091890266E9)</f>
        <v>1091890266</v>
      </c>
      <c r="B47" s="6">
        <f>IFERROR(__xludf.DUMMYFUNCTION("""COMPUTED_VALUE"""),7.0)</f>
        <v>7</v>
      </c>
      <c r="C47" s="6" t="str">
        <f>IFERROR(__xludf.DUMMYFUNCTION("""COMPUTED_VALUE"""),"Lorenzo")</f>
        <v>Lorenzo</v>
      </c>
      <c r="D47" s="6"/>
      <c r="E47" s="6" t="str">
        <f>IFERROR(__xludf.DUMMYFUNCTION("""COMPUTED_VALUE"""),"Londoño Barros")</f>
        <v>Londoño Barros</v>
      </c>
      <c r="F47" s="6" t="str">
        <f>IFERROR(__xludf.DUMMYFUNCTION("""COMPUTED_VALUE"""),"cra 5 #10n-25 La Reserva T. Malaga Apto 602 - Avenida Centenario")</f>
        <v>cra 5 #10n-25 La Reserva T. Malaga Apto 602 - Avenida Centenario</v>
      </c>
      <c r="G47" s="12">
        <f>IFERROR(__xludf.DUMMYFUNCTION("""COMPUTED_VALUE"""),2023.0)</f>
        <v>2023</v>
      </c>
      <c r="H47" s="12" t="str">
        <f>IFERROR(__xludf.DUMMYFUNCTION("""COMPUTED_VALUE"""),"Abril")</f>
        <v>Abril</v>
      </c>
      <c r="I47" s="12">
        <f>IFERROR(__xludf.DUMMYFUNCTION("""COMPUTED_VALUE"""),12.0)</f>
        <v>12</v>
      </c>
      <c r="J47" s="6"/>
      <c r="K47" s="12" t="str">
        <f>IFERROR(__xludf.DUMMYFUNCTION("""COMPUTED_VALUE"""),"lorenzo.l2041@gi.edu.co")</f>
        <v>lorenzo.l2041@gi.edu.co</v>
      </c>
      <c r="L47" s="6" t="str">
        <f>IFERROR(__xludf.DUMMYFUNCTION("""COMPUTED_VALUE"""),"RC")</f>
        <v>RC</v>
      </c>
      <c r="M47" s="6" t="str">
        <f>IFERROR(__xludf.DUMMYFUNCTION("""COMPUTED_VALUE"""),"Armenia")</f>
        <v>Armenia</v>
      </c>
      <c r="N47" s="6" t="str">
        <f>IFERROR(__xludf.DUMMYFUNCTION("""COMPUTED_VALUE"""),"M")</f>
        <v>M</v>
      </c>
      <c r="O47" s="6" t="str">
        <f>IFERROR(__xludf.DUMMYFUNCTION("""COMPUTED_VALUE"""),"ACTIVE")</f>
        <v>ACTIVE</v>
      </c>
      <c r="P47" s="6"/>
      <c r="Q47" s="6"/>
      <c r="R47" s="12" t="str">
        <f>IFERROR(__xludf.DUMMYFUNCTION("""COMPUTED_VALUE"""),"GiQ9cL4X*")</f>
        <v>GiQ9cL4X*</v>
      </c>
      <c r="S47" s="6" t="str">
        <f>IFERROR(__xludf.DUMMYFUNCTION("""COMPUTED_VALUE"""),"Londoño Barros Lorenzo ")</f>
        <v>Londoño Barros Lorenzo </v>
      </c>
      <c r="T47" s="6" t="str">
        <f>IFERROR(__xludf.DUMMYFUNCTION("""COMPUTED_VALUE"""),"RICARDO LONDOÑO URIBE")</f>
        <v>RICARDO LONDOÑO URIBE</v>
      </c>
      <c r="U47" s="12" t="str">
        <f>IFERROR(__xludf.DUMMYFUNCTION("""COMPUTED_VALUE"""),"9774794")</f>
        <v>9774794</v>
      </c>
      <c r="V47" s="6">
        <f>IFERROR(__xludf.DUMMYFUNCTION("""COMPUTED_VALUE"""),3.168332769E9)</f>
        <v>3168332769</v>
      </c>
      <c r="W47" s="6" t="str">
        <f>IFERROR(__xludf.DUMMYFUNCTION("""COMPUTED_VALUE"""),"ricardol4@hotmail.com")</f>
        <v>ricardol4@hotmail.com</v>
      </c>
      <c r="X47" s="12" t="str">
        <f>IFERROR(__xludf.DUMMYFUNCTION("""COMPUTED_VALUE"""),"A+")</f>
        <v>A+</v>
      </c>
      <c r="Y47" s="12" t="str">
        <f>IFERROR(__xludf.DUMMYFUNCTION("""COMPUTED_VALUE"""),"K3")</f>
        <v>K3</v>
      </c>
      <c r="Z47" s="6">
        <f>IFERROR(__xludf.DUMMYFUNCTION("""COMPUTED_VALUE"""),120604.0)</f>
        <v>120604</v>
      </c>
      <c r="AA47" s="6" t="str">
        <f>IFERROR(__xludf.DUMMYFUNCTION("""COMPUTED_VALUE"""),"SURA")</f>
        <v>SURA</v>
      </c>
      <c r="AB47" s="6"/>
      <c r="AC47" s="6"/>
      <c r="AD47" s="12" t="str">
        <f>IFERROR(__xludf.DUMMYFUNCTION("""COMPUTED_VALUE"""),"K3B")</f>
        <v>K3B</v>
      </c>
      <c r="AE47" s="12" t="str">
        <f>IFERROR(__xludf.DUMMYFUNCTION("""COMPUTED_VALUE"""),"1345282601")</f>
        <v>1345282601</v>
      </c>
      <c r="AF47" s="12" t="str">
        <f>IFERROR(__xludf.DUMMYFUNCTION("""COMPUTED_VALUE"""),"1345282601")</f>
        <v>1345282601</v>
      </c>
      <c r="AG47" s="12" t="str">
        <f>IFERROR(__xludf.DUMMYFUNCTION("""COMPUTED_VALUE"""),"María")</f>
        <v>María</v>
      </c>
      <c r="AH47" s="12" t="str">
        <f>IFERROR(__xludf.DUMMYFUNCTION("""COMPUTED_VALUE"""),"Mercedes")</f>
        <v>Mercedes</v>
      </c>
      <c r="AI47" s="6" t="str">
        <f>IFERROR(__xludf.DUMMYFUNCTION("""COMPUTED_VALUE"""),"Barros Ramírez")</f>
        <v>Barros Ramírez</v>
      </c>
      <c r="AJ47" s="6" t="str">
        <f>IFERROR(__xludf.DUMMYFUNCTION("""COMPUTED_VALUE"""),"barrosramirez.maria@gmail.com")</f>
        <v>barrosramirez.maria@gmail.com</v>
      </c>
      <c r="AK47" s="6" t="str">
        <f>IFERROR(__xludf.DUMMYFUNCTION("""COMPUTED_VALUE"""),"Abogada")</f>
        <v>Abogada</v>
      </c>
      <c r="AL47" s="6"/>
      <c r="AM47" s="12" t="str">
        <f>IFERROR(__xludf.DUMMYFUNCTION("""COMPUTED_VALUE"""),"1094937451")</f>
        <v>1094937451</v>
      </c>
      <c r="AN47" s="12" t="str">
        <f>IFERROR(__xludf.DUMMYFUNCTION("""COMPUTED_VALUE"""),"3148630924")</f>
        <v>3148630924</v>
      </c>
      <c r="AO47" s="6" t="str">
        <f>IFERROR(__xludf.DUMMYFUNCTION("""COMPUTED_VALUE"""),"Madre")</f>
        <v>Madre</v>
      </c>
      <c r="AP47" s="6" t="str">
        <f>IFERROR(__xludf.DUMMYFUNCTION("""COMPUTED_VALUE"""),"Estudiante(s): Londoño Barros")</f>
        <v>Estudiante(s): Londoño Barros</v>
      </c>
      <c r="AQ47" s="6" t="str">
        <f>IFERROR(__xludf.DUMMYFUNCTION("""COMPUTED_VALUE"""),"120604*Gi")</f>
        <v>120604*Gi</v>
      </c>
      <c r="AR47" s="6" t="str">
        <f>IFERROR(__xludf.DUMMYFUNCTION("""COMPUTED_VALUE"""),"Ricardo")</f>
        <v>Ricardo</v>
      </c>
      <c r="AS47" s="6"/>
      <c r="AT47" s="6" t="str">
        <f>IFERROR(__xludf.DUMMYFUNCTION("""COMPUTED_VALUE"""),"Londoño Uribe")</f>
        <v>Londoño Uribe</v>
      </c>
      <c r="AU47" s="6" t="str">
        <f>IFERROR(__xludf.DUMMYFUNCTION("""COMPUTED_VALUE"""),"ricardol4@hotmail.com")</f>
        <v>ricardol4@hotmail.com</v>
      </c>
      <c r="AV47" s="6" t="str">
        <f>IFERROR(__xludf.DUMMYFUNCTION("""COMPUTED_VALUE"""),"ADMINISTRADOR DE EMPRESAS")</f>
        <v>ADMINISTRADOR DE EMPRESAS</v>
      </c>
      <c r="AW47" s="6"/>
      <c r="AX47" s="12" t="str">
        <f>IFERROR(__xludf.DUMMYFUNCTION("""COMPUTED_VALUE"""),"9774794")</f>
        <v>9774794</v>
      </c>
      <c r="AY47" s="12" t="str">
        <f>IFERROR(__xludf.DUMMYFUNCTION("""COMPUTED_VALUE"""),"3168332769")</f>
        <v>3168332769</v>
      </c>
      <c r="AZ47" s="6" t="str">
        <f>IFERROR(__xludf.DUMMYFUNCTION("""COMPUTED_VALUE"""),"Padre")</f>
        <v>Padre</v>
      </c>
      <c r="BA47" s="6"/>
      <c r="BB47" s="6"/>
      <c r="BC47" s="6"/>
      <c r="BD47" s="12" t="str">
        <f>IFERROR(__xludf.DUMMYFUNCTION("""COMPUTED_VALUE"""),"lon0017")</f>
        <v>lon0017</v>
      </c>
      <c r="BE47" s="6" t="str">
        <f>IFERROR(__xludf.DUMMYFUNCTION("""COMPUTED_VALUE"""),"NUEVO(A)")</f>
        <v>NUEVO(A)</v>
      </c>
      <c r="BF47" s="12" t="str">
        <f>IFERROR(__xludf.DUMMYFUNCTION("""COMPUTED_VALUE"""),"HIJO DE EGRESADA")</f>
        <v>HIJO DE EGRESADA</v>
      </c>
      <c r="BG47" s="6">
        <f>IFERROR(__xludf.DUMMYFUNCTION("""COMPUTED_VALUE"""),2041.0)</f>
        <v>2041</v>
      </c>
      <c r="BH47" s="15">
        <f>IFERROR(__xludf.DUMMYFUNCTION("""COMPUTED_VALUE"""),46199.33252314815)</f>
        <v>46199.33252</v>
      </c>
      <c r="BI47" s="6">
        <f>IFERROR(__xludf.DUMMYFUNCTION("""COMPUTED_VALUE"""),46.0)</f>
        <v>46</v>
      </c>
      <c r="BJ47" s="6"/>
      <c r="BK47" s="6"/>
      <c r="BL47" s="6" t="str">
        <f>IFERROR(__xludf.DUMMYFUNCTION("""COMPUTED_VALUE"""),"GISLON0017")</f>
        <v>GISLON0017</v>
      </c>
      <c r="BM47" s="6"/>
      <c r="BN47" s="6"/>
      <c r="BO47" s="6"/>
      <c r="BP47" s="6"/>
      <c r="BQ47" s="6"/>
      <c r="BR47" s="6"/>
      <c r="BS47" s="6"/>
      <c r="BT47" s="6"/>
      <c r="BU47" s="6" t="str">
        <f>IFERROR(__xludf.DUMMYFUNCTION("""COMPUTED_VALUE"""),"SI")</f>
        <v>SI</v>
      </c>
      <c r="BV47" s="6" t="str">
        <f>IFERROR(__xludf.DUMMYFUNCTION("""COMPUTED_VALUE"""),"lorenzo.l2041")</f>
        <v>lorenzo.l2041</v>
      </c>
      <c r="BW47" s="6"/>
      <c r="BX47" s="6"/>
      <c r="BY47" s="6"/>
      <c r="BZ47" s="6"/>
    </row>
    <row r="48">
      <c r="A48" s="12" t="str">
        <f>IFERROR(__xludf.DUMMYFUNCTION("""COMPUTED_VALUE"""),"1091890186")</f>
        <v>1091890186</v>
      </c>
      <c r="B48" s="6">
        <f>IFERROR(__xludf.DUMMYFUNCTION("""COMPUTED_VALUE"""),8.0)</f>
        <v>8</v>
      </c>
      <c r="C48" s="6" t="str">
        <f>IFERROR(__xludf.DUMMYFUNCTION("""COMPUTED_VALUE"""),"Emma")</f>
        <v>Emma</v>
      </c>
      <c r="D48" s="6"/>
      <c r="E48" s="6" t="str">
        <f>IFERROR(__xludf.DUMMYFUNCTION("""COMPUTED_VALUE"""),"López Montoya")</f>
        <v>López Montoya</v>
      </c>
      <c r="F48" s="6" t="str">
        <f>IFERROR(__xludf.DUMMYFUNCTION("""COMPUTED_VALUE"""),"CARRERA 18 21NORTE-24 APTO201 - Laureles")</f>
        <v>CARRERA 18 21NORTE-24 APTO201 - Laureles</v>
      </c>
      <c r="G48" s="12">
        <f>IFERROR(__xludf.DUMMYFUNCTION("""COMPUTED_VALUE"""),2022.0)</f>
        <v>2022</v>
      </c>
      <c r="H48" s="12" t="str">
        <f>IFERROR(__xludf.DUMMYFUNCTION("""COMPUTED_VALUE"""),"Noviembre")</f>
        <v>Noviembre</v>
      </c>
      <c r="I48" s="12">
        <f>IFERROR(__xludf.DUMMYFUNCTION("""COMPUTED_VALUE"""),23.0)</f>
        <v>23</v>
      </c>
      <c r="J48" s="6"/>
      <c r="K48" s="12" t="str">
        <f>IFERROR(__xludf.DUMMYFUNCTION("""COMPUTED_VALUE"""),"emma.lm2041@gi.edu.co")</f>
        <v>emma.lm2041@gi.edu.co</v>
      </c>
      <c r="L48" s="6" t="str">
        <f>IFERROR(__xludf.DUMMYFUNCTION("""COMPUTED_VALUE"""),"RC")</f>
        <v>RC</v>
      </c>
      <c r="M48" s="6" t="str">
        <f>IFERROR(__xludf.DUMMYFUNCTION("""COMPUTED_VALUE"""),"Armenia")</f>
        <v>Armenia</v>
      </c>
      <c r="N48" s="6" t="str">
        <f>IFERROR(__xludf.DUMMYFUNCTION("""COMPUTED_VALUE"""),"F")</f>
        <v>F</v>
      </c>
      <c r="O48" s="6" t="str">
        <f>IFERROR(__xludf.DUMMYFUNCTION("""COMPUTED_VALUE"""),"ACTIVE")</f>
        <v>ACTIVE</v>
      </c>
      <c r="P48" s="6"/>
      <c r="Q48" s="6"/>
      <c r="R48" s="12" t="str">
        <f>IFERROR(__xludf.DUMMYFUNCTION("""COMPUTED_VALUE"""),"GiW8Fk2M*")</f>
        <v>GiW8Fk2M*</v>
      </c>
      <c r="S48" s="6" t="str">
        <f>IFERROR(__xludf.DUMMYFUNCTION("""COMPUTED_VALUE"""),"López Montoya Emma ")</f>
        <v>López Montoya Emma </v>
      </c>
      <c r="T48" s="6" t="str">
        <f>IFERROR(__xludf.DUMMYFUNCTION("""COMPUTED_VALUE"""),"MARIA ALEJANDRA MONTOYA ZULUAGA")</f>
        <v>MARIA ALEJANDRA MONTOYA ZULUAGA</v>
      </c>
      <c r="U48" s="12" t="str">
        <f>IFERROR(__xludf.DUMMYFUNCTION("""COMPUTED_VALUE"""),"1097399218")</f>
        <v>1097399218</v>
      </c>
      <c r="V48" s="6">
        <f>IFERROR(__xludf.DUMMYFUNCTION("""COMPUTED_VALUE"""),3.184872165E9)</f>
        <v>3184872165</v>
      </c>
      <c r="W48" s="6" t="str">
        <f>IFERROR(__xludf.DUMMYFUNCTION("""COMPUTED_VALUE"""),"malejamontoya13@hotmail.com")</f>
        <v>malejamontoya13@hotmail.com</v>
      </c>
      <c r="X48" s="12" t="str">
        <f>IFERROR(__xludf.DUMMYFUNCTION("""COMPUTED_VALUE"""),"A+")</f>
        <v>A+</v>
      </c>
      <c r="Y48" s="12" t="str">
        <f>IFERROR(__xludf.DUMMYFUNCTION("""COMPUTED_VALUE"""),"K3")</f>
        <v>K3</v>
      </c>
      <c r="Z48" s="6">
        <f>IFERROR(__xludf.DUMMYFUNCTION("""COMPUTED_VALUE"""),120601.0)</f>
        <v>120601</v>
      </c>
      <c r="AA48" s="6" t="str">
        <f>IFERROR(__xludf.DUMMYFUNCTION("""COMPUTED_VALUE"""),"SURA")</f>
        <v>SURA</v>
      </c>
      <c r="AB48" s="6"/>
      <c r="AC48" s="6"/>
      <c r="AD48" s="12" t="str">
        <f>IFERROR(__xludf.DUMMYFUNCTION("""COMPUTED_VALUE"""),"K3B")</f>
        <v>K3B</v>
      </c>
      <c r="AE48" s="12" t="str">
        <f>IFERROR(__xludf.DUMMYFUNCTION("""COMPUTED_VALUE"""),"1345282598")</f>
        <v>1345282598</v>
      </c>
      <c r="AF48" s="12" t="str">
        <f>IFERROR(__xludf.DUMMYFUNCTION("""COMPUTED_VALUE"""),"1345282598")</f>
        <v>1345282598</v>
      </c>
      <c r="AG48" s="12" t="str">
        <f>IFERROR(__xludf.DUMMYFUNCTION("""COMPUTED_VALUE"""),"María")</f>
        <v>María</v>
      </c>
      <c r="AH48" s="12" t="str">
        <f>IFERROR(__xludf.DUMMYFUNCTION("""COMPUTED_VALUE"""),"Alejandra")</f>
        <v>Alejandra</v>
      </c>
      <c r="AI48" s="6" t="str">
        <f>IFERROR(__xludf.DUMMYFUNCTION("""COMPUTED_VALUE"""),"Montoya Zuluaga")</f>
        <v>Montoya Zuluaga</v>
      </c>
      <c r="AJ48" s="6" t="str">
        <f>IFERROR(__xludf.DUMMYFUNCTION("""COMPUTED_VALUE"""),"malejamontoya13@hotmail.com")</f>
        <v>malejamontoya13@hotmail.com</v>
      </c>
      <c r="AK48" s="6" t="str">
        <f>IFERROR(__xludf.DUMMYFUNCTION("""COMPUTED_VALUE"""),"Abogada")</f>
        <v>Abogada</v>
      </c>
      <c r="AL48" s="6"/>
      <c r="AM48" s="12" t="str">
        <f>IFERROR(__xludf.DUMMYFUNCTION("""COMPUTED_VALUE"""),"1097399218")</f>
        <v>1097399218</v>
      </c>
      <c r="AN48" s="12" t="str">
        <f>IFERROR(__xludf.DUMMYFUNCTION("""COMPUTED_VALUE"""),"3184872165")</f>
        <v>3184872165</v>
      </c>
      <c r="AO48" s="6" t="str">
        <f>IFERROR(__xludf.DUMMYFUNCTION("""COMPUTED_VALUE"""),"Madre")</f>
        <v>Madre</v>
      </c>
      <c r="AP48" s="6" t="str">
        <f>IFERROR(__xludf.DUMMYFUNCTION("""COMPUTED_VALUE"""),"Estudiante(s): López Montoya")</f>
        <v>Estudiante(s): López Montoya</v>
      </c>
      <c r="AQ48" s="6" t="str">
        <f>IFERROR(__xludf.DUMMYFUNCTION("""COMPUTED_VALUE"""),"120601*Gi")</f>
        <v>120601*Gi</v>
      </c>
      <c r="AR48" s="6" t="str">
        <f>IFERROR(__xludf.DUMMYFUNCTION("""COMPUTED_VALUE"""),"Juan")</f>
        <v>Juan</v>
      </c>
      <c r="AS48" s="6" t="str">
        <f>IFERROR(__xludf.DUMMYFUNCTION("""COMPUTED_VALUE"""),"Sebastián")</f>
        <v>Sebastián</v>
      </c>
      <c r="AT48" s="6" t="str">
        <f>IFERROR(__xludf.DUMMYFUNCTION("""COMPUTED_VALUE"""),"López Perdomo")</f>
        <v>López Perdomo</v>
      </c>
      <c r="AU48" s="6" t="str">
        <f>IFERROR(__xludf.DUMMYFUNCTION("""COMPUTED_VALUE"""),"juano1297@hotmail.com")</f>
        <v>juano1297@hotmail.com</v>
      </c>
      <c r="AV48" s="6" t="str">
        <f>IFERROR(__xludf.DUMMYFUNCTION("""COMPUTED_VALUE"""),"Arquitecto")</f>
        <v>Arquitecto</v>
      </c>
      <c r="AW48" s="6"/>
      <c r="AX48" s="12" t="str">
        <f>IFERROR(__xludf.DUMMYFUNCTION("""COMPUTED_VALUE"""),"1094907481")</f>
        <v>1094907481</v>
      </c>
      <c r="AY48" s="12" t="str">
        <f>IFERROR(__xludf.DUMMYFUNCTION("""COMPUTED_VALUE"""),"3164916443")</f>
        <v>3164916443</v>
      </c>
      <c r="AZ48" s="6" t="str">
        <f>IFERROR(__xludf.DUMMYFUNCTION("""COMPUTED_VALUE"""),"Padre")</f>
        <v>Padre</v>
      </c>
      <c r="BA48" s="6"/>
      <c r="BB48" s="6"/>
      <c r="BC48" s="6"/>
      <c r="BD48" s="12" t="str">
        <f>IFERROR(__xludf.DUMMYFUNCTION("""COMPUTED_VALUE"""),"lop0011")</f>
        <v>lop0011</v>
      </c>
      <c r="BE48" s="6" t="str">
        <f>IFERROR(__xludf.DUMMYFUNCTION("""COMPUTED_VALUE"""),"NUEVO(A)")</f>
        <v>NUEVO(A)</v>
      </c>
      <c r="BF48" s="6"/>
      <c r="BG48" s="6">
        <f>IFERROR(__xludf.DUMMYFUNCTION("""COMPUTED_VALUE"""),2041.0)</f>
        <v>2041</v>
      </c>
      <c r="BH48" s="15">
        <f>IFERROR(__xludf.DUMMYFUNCTION("""COMPUTED_VALUE"""),46184.852627314816)</f>
        <v>46184.85263</v>
      </c>
      <c r="BI48" s="6">
        <f>IFERROR(__xludf.DUMMYFUNCTION("""COMPUTED_VALUE"""),47.0)</f>
        <v>47</v>
      </c>
      <c r="BJ48" s="6"/>
      <c r="BK48" s="6"/>
      <c r="BL48" s="6" t="str">
        <f>IFERROR(__xludf.DUMMYFUNCTION("""COMPUTED_VALUE"""),"GISLOP0011")</f>
        <v>GISLOP0011</v>
      </c>
      <c r="BM48" s="6"/>
      <c r="BN48" s="6"/>
      <c r="BO48" s="6"/>
      <c r="BP48" s="6"/>
      <c r="BQ48" s="6"/>
      <c r="BR48" s="6"/>
      <c r="BS48" s="6"/>
      <c r="BT48" s="6"/>
      <c r="BU48" s="6" t="str">
        <f>IFERROR(__xludf.DUMMYFUNCTION("""COMPUTED_VALUE"""),"SI")</f>
        <v>SI</v>
      </c>
      <c r="BV48" s="12" t="str">
        <f>IFERROR(__xludf.DUMMYFUNCTION("""COMPUTED_VALUE"""),"emma.lm2041")</f>
        <v>emma.lm2041</v>
      </c>
      <c r="BW48" s="6"/>
      <c r="BX48" s="6"/>
      <c r="BY48" s="6"/>
      <c r="BZ48" s="6"/>
    </row>
    <row r="49">
      <c r="A49" s="6">
        <f>IFERROR(__xludf.DUMMYFUNCTION("""COMPUTED_VALUE"""),1.09189023E9)</f>
        <v>1091890230</v>
      </c>
      <c r="B49" s="6">
        <f>IFERROR(__xludf.DUMMYFUNCTION("""COMPUTED_VALUE"""),9.0)</f>
        <v>9</v>
      </c>
      <c r="C49" s="6" t="str">
        <f>IFERROR(__xludf.DUMMYFUNCTION("""COMPUTED_VALUE"""),"Antonia")</f>
        <v>Antonia</v>
      </c>
      <c r="D49" s="6"/>
      <c r="E49" s="6" t="str">
        <f>IFERROR(__xludf.DUMMYFUNCTION("""COMPUTED_VALUE"""),"Meneses Mejía")</f>
        <v>Meneses Mejía</v>
      </c>
      <c r="F49" s="6" t="str">
        <f>IFERROR(__xludf.DUMMYFUNCTION("""COMPUTED_VALUE"""),"Condominio Entre Maderos Casa 13 - Vereda El Congal Km 1.2 Via Circasia - Armenia")</f>
        <v>Condominio Entre Maderos Casa 13 - Vereda El Congal Km 1.2 Via Circasia - Armenia</v>
      </c>
      <c r="G49" s="12" t="str">
        <f>IFERROR(__xludf.DUMMYFUNCTION("""COMPUTED_VALUE"""),"2023")</f>
        <v>2023</v>
      </c>
      <c r="H49" s="6" t="str">
        <f>IFERROR(__xludf.DUMMYFUNCTION("""COMPUTED_VALUE"""),"Febrero")</f>
        <v>Febrero</v>
      </c>
      <c r="I49" s="12" t="str">
        <f>IFERROR(__xludf.DUMMYFUNCTION("""COMPUTED_VALUE"""),"14")</f>
        <v>14</v>
      </c>
      <c r="J49" s="6" t="str">
        <f>IFERROR(__xludf.DUMMYFUNCTION("""COMPUTED_VALUE"""),"Armenia")</f>
        <v>Armenia</v>
      </c>
      <c r="K49" s="6" t="str">
        <f>IFERROR(__xludf.DUMMYFUNCTION("""COMPUTED_VALUE"""),"antonia.m2041@gi.edu.co")</f>
        <v>antonia.m2041@gi.edu.co</v>
      </c>
      <c r="L49" s="6" t="str">
        <f>IFERROR(__xludf.DUMMYFUNCTION("""COMPUTED_VALUE"""),"RC")</f>
        <v>RC</v>
      </c>
      <c r="M49" s="6" t="str">
        <f>IFERROR(__xludf.DUMMYFUNCTION("""COMPUTED_VALUE"""),"Armenia")</f>
        <v>Armenia</v>
      </c>
      <c r="N49" s="6" t="str">
        <f>IFERROR(__xludf.DUMMYFUNCTION("""COMPUTED_VALUE"""),"F")</f>
        <v>F</v>
      </c>
      <c r="O49" s="6" t="str">
        <f>IFERROR(__xludf.DUMMYFUNCTION("""COMPUTED_VALUE"""),"ACTIVE")</f>
        <v>ACTIVE</v>
      </c>
      <c r="P49" s="6"/>
      <c r="Q49" s="6" t="str">
        <f>IFERROR(__xludf.DUMMYFUNCTION("""COMPUTED_VALUE"""),"Armenia")</f>
        <v>Armenia</v>
      </c>
      <c r="R49" s="12" t="str">
        <f>IFERROR(__xludf.DUMMYFUNCTION("""COMPUTED_VALUE"""),"Giy34mn97*")</f>
        <v>Giy34mn97*</v>
      </c>
      <c r="S49" s="6" t="str">
        <f>IFERROR(__xludf.DUMMYFUNCTION("""COMPUTED_VALUE"""),"Meneses Mejía Antonia ")</f>
        <v>Meneses Mejía Antonia </v>
      </c>
      <c r="T49" s="6" t="str">
        <f>IFERROR(__xludf.DUMMYFUNCTION("""COMPUTED_VALUE"""),"CLARENA MEJIA GIRALDO")</f>
        <v>CLARENA MEJIA GIRALDO</v>
      </c>
      <c r="U49" s="12" t="str">
        <f>IFERROR(__xludf.DUMMYFUNCTION("""COMPUTED_VALUE"""),"1094913902")</f>
        <v>1094913902</v>
      </c>
      <c r="V49" s="6">
        <f>IFERROR(__xludf.DUMMYFUNCTION("""COMPUTED_VALUE"""),3.148869258E9)</f>
        <v>3148869258</v>
      </c>
      <c r="W49" s="6" t="str">
        <f>IFERROR(__xludf.DUMMYFUNCTION("""COMPUTED_VALUE"""),"clarena@constructoracamu.com")</f>
        <v>clarena@constructoracamu.com</v>
      </c>
      <c r="X49" s="12" t="str">
        <f>IFERROR(__xludf.DUMMYFUNCTION("""COMPUTED_VALUE"""),"A+")</f>
        <v>A+</v>
      </c>
      <c r="Y49" s="12" t="str">
        <f>IFERROR(__xludf.DUMMYFUNCTION("""COMPUTED_VALUE"""),"K3")</f>
        <v>K3</v>
      </c>
      <c r="Z49" s="6">
        <f>IFERROR(__xludf.DUMMYFUNCTION("""COMPUTED_VALUE"""),120567.0)</f>
        <v>120567</v>
      </c>
      <c r="AA49" s="6"/>
      <c r="AB49" s="6" t="str">
        <f>IFERROR(__xludf.DUMMYFUNCTION("""COMPUTED_VALUE"""),"ALIVIA")</f>
        <v>ALIVIA</v>
      </c>
      <c r="AC49" s="6"/>
      <c r="AD49" s="12" t="str">
        <f>IFERROR(__xludf.DUMMYFUNCTION("""COMPUTED_VALUE"""),"K3B")</f>
        <v>K3B</v>
      </c>
      <c r="AE49" s="12">
        <f>IFERROR(__xludf.DUMMYFUNCTION("""COMPUTED_VALUE"""),1.345282565E9)</f>
        <v>1345282565</v>
      </c>
      <c r="AF49" s="12">
        <f>IFERROR(__xludf.DUMMYFUNCTION("""COMPUTED_VALUE"""),1.345282565E9)</f>
        <v>1345282565</v>
      </c>
      <c r="AG49" s="12" t="str">
        <f>IFERROR(__xludf.DUMMYFUNCTION("""COMPUTED_VALUE"""),"Clarena")</f>
        <v>Clarena</v>
      </c>
      <c r="AH49" s="6"/>
      <c r="AI49" s="6" t="str">
        <f>IFERROR(__xludf.DUMMYFUNCTION("""COMPUTED_VALUE"""),"Mejía Giraldo")</f>
        <v>Mejía Giraldo</v>
      </c>
      <c r="AJ49" s="6" t="str">
        <f>IFERROR(__xludf.DUMMYFUNCTION("""COMPUTED_VALUE"""),"clarena@constructoracamu.com")</f>
        <v>clarena@constructoracamu.com</v>
      </c>
      <c r="AK49" s="6" t="str">
        <f>IFERROR(__xludf.DUMMYFUNCTION("""COMPUTED_VALUE"""),"ING INDUSTRIAL")</f>
        <v>ING INDUSTRIAL</v>
      </c>
      <c r="AL49" s="6" t="str">
        <f>IFERROR(__xludf.DUMMYFUNCTION("""COMPUTED_VALUE"""),"CONSTRUCTORA CAMU")</f>
        <v>CONSTRUCTORA CAMU</v>
      </c>
      <c r="AM49" s="12">
        <f>IFERROR(__xludf.DUMMYFUNCTION("""COMPUTED_VALUE"""),1.094913902E9)</f>
        <v>1094913902</v>
      </c>
      <c r="AN49" s="12">
        <f>IFERROR(__xludf.DUMMYFUNCTION("""COMPUTED_VALUE"""),3.148869258E9)</f>
        <v>3148869258</v>
      </c>
      <c r="AO49" s="6" t="str">
        <f>IFERROR(__xludf.DUMMYFUNCTION("""COMPUTED_VALUE"""),"Madre")</f>
        <v>Madre</v>
      </c>
      <c r="AP49" s="6" t="str">
        <f>IFERROR(__xludf.DUMMYFUNCTION("""COMPUTED_VALUE"""),"Estudiante(s): Meneses Mejía")</f>
        <v>Estudiante(s): Meneses Mejía</v>
      </c>
      <c r="AQ49" s="6" t="str">
        <f>IFERROR(__xludf.DUMMYFUNCTION("""COMPUTED_VALUE"""),"120567*Gi")</f>
        <v>120567*Gi</v>
      </c>
      <c r="AR49" s="6" t="str">
        <f>IFERROR(__xludf.DUMMYFUNCTION("""COMPUTED_VALUE"""),"Ricardo")</f>
        <v>Ricardo</v>
      </c>
      <c r="AS49" s="6"/>
      <c r="AT49" s="6" t="str">
        <f>IFERROR(__xludf.DUMMYFUNCTION("""COMPUTED_VALUE"""),"Meneses Patiño")</f>
        <v>Meneses Patiño</v>
      </c>
      <c r="AU49" s="6" t="str">
        <f>IFERROR(__xludf.DUMMYFUNCTION("""COMPUTED_VALUE"""),"ricardo.meneses@pmconsultores.com.co")</f>
        <v>ricardo.meneses@pmconsultores.com.co</v>
      </c>
      <c r="AV49" s="6" t="str">
        <f>IFERROR(__xludf.DUMMYFUNCTION("""COMPUTED_VALUE"""),"CONTADOR PUBLICO")</f>
        <v>CONTADOR PUBLICO</v>
      </c>
      <c r="AW49" s="6" t="str">
        <f>IFERROR(__xludf.DUMMYFUNCTION("""COMPUTED_VALUE"""),"PM CONSULTORES CO SAS")</f>
        <v>PM CONSULTORES CO SAS</v>
      </c>
      <c r="AX49" s="12">
        <f>IFERROR(__xludf.DUMMYFUNCTION("""COMPUTED_VALUE"""),1.018436436E9)</f>
        <v>1018436436</v>
      </c>
      <c r="AY49" s="12">
        <f>IFERROR(__xludf.DUMMYFUNCTION("""COMPUTED_VALUE"""),3.136154279E9)</f>
        <v>3136154279</v>
      </c>
      <c r="AZ49" s="6" t="str">
        <f>IFERROR(__xludf.DUMMYFUNCTION("""COMPUTED_VALUE"""),"Padre")</f>
        <v>Padre</v>
      </c>
      <c r="BA49" s="6"/>
      <c r="BB49" s="6"/>
      <c r="BC49" s="6"/>
      <c r="BD49" s="12" t="str">
        <f>IFERROR(__xludf.DUMMYFUNCTION("""COMPUTED_VALUE"""),"men0004")</f>
        <v>men0004</v>
      </c>
      <c r="BE49" s="6"/>
      <c r="BF49" s="6"/>
      <c r="BG49" s="6">
        <f>IFERROR(__xludf.DUMMYFUNCTION("""COMPUTED_VALUE"""),2041.0)</f>
        <v>2041</v>
      </c>
      <c r="BH49" s="15">
        <f>IFERROR(__xludf.DUMMYFUNCTION("""COMPUTED_VALUE"""),46204.41804398148)</f>
        <v>46204.41804</v>
      </c>
      <c r="BI49" s="6">
        <f>IFERROR(__xludf.DUMMYFUNCTION("""COMPUTED_VALUE"""),48.0)</f>
        <v>48</v>
      </c>
      <c r="BJ49" s="6"/>
      <c r="BK49" s="6"/>
      <c r="BL49" s="6" t="str">
        <f>IFERROR(__xludf.DUMMYFUNCTION("""COMPUTED_VALUE"""),"GISMEN0004")</f>
        <v>GISMEN0004</v>
      </c>
      <c r="BM49" s="6"/>
      <c r="BN49" s="6"/>
      <c r="BO49" s="6"/>
      <c r="BP49" s="6"/>
      <c r="BQ49" s="6"/>
      <c r="BR49" s="6"/>
      <c r="BS49" s="6"/>
      <c r="BT49" s="6"/>
      <c r="BU49" s="6" t="str">
        <f>IFERROR(__xludf.DUMMYFUNCTION("""COMPUTED_VALUE"""),"SI")</f>
        <v>SI</v>
      </c>
      <c r="BV49" s="6" t="str">
        <f>IFERROR(__xludf.DUMMYFUNCTION("""COMPUTED_VALUE"""),"antonia.m2041")</f>
        <v>antonia.m2041</v>
      </c>
      <c r="BW49" s="6"/>
      <c r="BX49" s="6"/>
      <c r="BY49" s="6"/>
      <c r="BZ49" s="6"/>
    </row>
    <row r="50">
      <c r="A50" s="6">
        <f>IFERROR(__xludf.DUMMYFUNCTION("""COMPUTED_VALUE"""),1.094985106E9)</f>
        <v>1094985106</v>
      </c>
      <c r="B50" s="6">
        <f>IFERROR(__xludf.DUMMYFUNCTION("""COMPUTED_VALUE"""),10.0)</f>
        <v>10</v>
      </c>
      <c r="C50" s="6" t="str">
        <f>IFERROR(__xludf.DUMMYFUNCTION("""COMPUTED_VALUE"""),"Olivia")</f>
        <v>Olivia</v>
      </c>
      <c r="D50" s="6"/>
      <c r="E50" s="6" t="str">
        <f>IFERROR(__xludf.DUMMYFUNCTION("""COMPUTED_VALUE"""),"Vega Correa")</f>
        <v>Vega Correa</v>
      </c>
      <c r="F50" s="6" t="str">
        <f>IFERROR(__xludf.DUMMYFUNCTION("""COMPUTED_VALUE"""),"Calle 25Nte No13 - 41 - Laureles")</f>
        <v>Calle 25Nte No13 - 41 - Laureles</v>
      </c>
      <c r="G50" s="12" t="str">
        <f>IFERROR(__xludf.DUMMYFUNCTION("""COMPUTED_VALUE"""),"2023")</f>
        <v>2023</v>
      </c>
      <c r="H50" s="6" t="str">
        <f>IFERROR(__xludf.DUMMYFUNCTION("""COMPUTED_VALUE"""),"Agosto")</f>
        <v>Agosto</v>
      </c>
      <c r="I50" s="12" t="str">
        <f>IFERROR(__xludf.DUMMYFUNCTION("""COMPUTED_VALUE"""),"14")</f>
        <v>14</v>
      </c>
      <c r="J50" s="6" t="str">
        <f>IFERROR(__xludf.DUMMYFUNCTION("""COMPUTED_VALUE"""),"Armenia")</f>
        <v>Armenia</v>
      </c>
      <c r="K50" s="6" t="str">
        <f>IFERROR(__xludf.DUMMYFUNCTION("""COMPUTED_VALUE"""),"olivia.v2041@gi.edu.co")</f>
        <v>olivia.v2041@gi.edu.co</v>
      </c>
      <c r="L50" s="6" t="str">
        <f>IFERROR(__xludf.DUMMYFUNCTION("""COMPUTED_VALUE"""),"RC")</f>
        <v>RC</v>
      </c>
      <c r="M50" s="6" t="str">
        <f>IFERROR(__xludf.DUMMYFUNCTION("""COMPUTED_VALUE"""),"Armenia")</f>
        <v>Armenia</v>
      </c>
      <c r="N50" s="6" t="str">
        <f>IFERROR(__xludf.DUMMYFUNCTION("""COMPUTED_VALUE"""),"F")</f>
        <v>F</v>
      </c>
      <c r="O50" s="6" t="str">
        <f>IFERROR(__xludf.DUMMYFUNCTION("""COMPUTED_VALUE"""),"ACTIVE")</f>
        <v>ACTIVE</v>
      </c>
      <c r="P50" s="6"/>
      <c r="Q50" s="6" t="str">
        <f>IFERROR(__xludf.DUMMYFUNCTION("""COMPUTED_VALUE"""),"Armenia")</f>
        <v>Armenia</v>
      </c>
      <c r="R50" s="12" t="str">
        <f>IFERROR(__xludf.DUMMYFUNCTION("""COMPUTED_VALUE"""),"Git4bbq*")</f>
        <v>Git4bbq*</v>
      </c>
      <c r="S50" s="6" t="str">
        <f>IFERROR(__xludf.DUMMYFUNCTION("""COMPUTED_VALUE"""),"Vega Correa Olivia ")</f>
        <v>Vega Correa Olivia </v>
      </c>
      <c r="T50" s="6" t="str">
        <f>IFERROR(__xludf.DUMMYFUNCTION("""COMPUTED_VALUE"""),"SERGIO ANDRES VEGA OSPINA")</f>
        <v>SERGIO ANDRES VEGA OSPINA</v>
      </c>
      <c r="U50" s="12" t="str">
        <f>IFERROR(__xludf.DUMMYFUNCTION("""COMPUTED_VALUE"""),"1020741508")</f>
        <v>1020741508</v>
      </c>
      <c r="V50" s="6">
        <f>IFERROR(__xludf.DUMMYFUNCTION("""COMPUTED_VALUE"""),3.506509985E9)</f>
        <v>3506509985</v>
      </c>
      <c r="W50" s="6" t="str">
        <f>IFERROR(__xludf.DUMMYFUNCTION("""COMPUTED_VALUE"""),"sergiovega0510@gmail.com")</f>
        <v>sergiovega0510@gmail.com</v>
      </c>
      <c r="X50" s="12" t="str">
        <f>IFERROR(__xludf.DUMMYFUNCTION("""COMPUTED_VALUE"""),"A+")</f>
        <v>A+</v>
      </c>
      <c r="Y50" s="12" t="str">
        <f>IFERROR(__xludf.DUMMYFUNCTION("""COMPUTED_VALUE"""),"K3")</f>
        <v>K3</v>
      </c>
      <c r="Z50" s="6">
        <f>IFERROR(__xludf.DUMMYFUNCTION("""COMPUTED_VALUE"""),120568.0)</f>
        <v>120568</v>
      </c>
      <c r="AA50" s="6" t="str">
        <f>IFERROR(__xludf.DUMMYFUNCTION("""COMPUTED_VALUE"""),"SANITAS")</f>
        <v>SANITAS</v>
      </c>
      <c r="AB50" s="6"/>
      <c r="AC50" s="6"/>
      <c r="AD50" s="12" t="str">
        <f>IFERROR(__xludf.DUMMYFUNCTION("""COMPUTED_VALUE"""),"K3B")</f>
        <v>K3B</v>
      </c>
      <c r="AE50" s="12">
        <f>IFERROR(__xludf.DUMMYFUNCTION("""COMPUTED_VALUE"""),1.345282566E9)</f>
        <v>1345282566</v>
      </c>
      <c r="AF50" s="12">
        <f>IFERROR(__xludf.DUMMYFUNCTION("""COMPUTED_VALUE"""),1.345282566E9)</f>
        <v>1345282566</v>
      </c>
      <c r="AG50" s="12" t="str">
        <f>IFERROR(__xludf.DUMMYFUNCTION("""COMPUTED_VALUE"""),"Nataly")</f>
        <v>Nataly</v>
      </c>
      <c r="AH50" s="12" t="str">
        <f>IFERROR(__xludf.DUMMYFUNCTION("""COMPUTED_VALUE"""),"Rocío")</f>
        <v>Rocío</v>
      </c>
      <c r="AI50" s="6" t="str">
        <f>IFERROR(__xludf.DUMMYFUNCTION("""COMPUTED_VALUE"""),"Correa Rojas")</f>
        <v>Correa Rojas</v>
      </c>
      <c r="AJ50" s="6" t="str">
        <f>IFERROR(__xludf.DUMMYFUNCTION("""COMPUTED_VALUE"""),"sergiovega0510@gmail.com")</f>
        <v>sergiovega0510@gmail.com</v>
      </c>
      <c r="AK50" s="6" t="str">
        <f>IFERROR(__xludf.DUMMYFUNCTION("""COMPUTED_VALUE"""),"MEDICO")</f>
        <v>MEDICO</v>
      </c>
      <c r="AL50" s="6" t="str">
        <f>IFERROR(__xludf.DUMMYFUNCTION("""COMPUTED_VALUE"""),"IDIME")</f>
        <v>IDIME</v>
      </c>
      <c r="AM50" s="12">
        <f>IFERROR(__xludf.DUMMYFUNCTION("""COMPUTED_VALUE"""),1.019023701E9)</f>
        <v>1019023701</v>
      </c>
      <c r="AN50" s="12">
        <f>IFERROR(__xludf.DUMMYFUNCTION("""COMPUTED_VALUE"""),3.125396614E9)</f>
        <v>3125396614</v>
      </c>
      <c r="AO50" s="6" t="str">
        <f>IFERROR(__xludf.DUMMYFUNCTION("""COMPUTED_VALUE"""),"Madre")</f>
        <v>Madre</v>
      </c>
      <c r="AP50" s="6" t="str">
        <f>IFERROR(__xludf.DUMMYFUNCTION("""COMPUTED_VALUE"""),"Estudiante(s): Vega Correa")</f>
        <v>Estudiante(s): Vega Correa</v>
      </c>
      <c r="AQ50" s="6" t="str">
        <f>IFERROR(__xludf.DUMMYFUNCTION("""COMPUTED_VALUE"""),"120568*Gi")</f>
        <v>120568*Gi</v>
      </c>
      <c r="AR50" s="6" t="str">
        <f>IFERROR(__xludf.DUMMYFUNCTION("""COMPUTED_VALUE"""),"Sergio")</f>
        <v>Sergio</v>
      </c>
      <c r="AS50" s="6" t="str">
        <f>IFERROR(__xludf.DUMMYFUNCTION("""COMPUTED_VALUE"""),"Andrés")</f>
        <v>Andrés</v>
      </c>
      <c r="AT50" s="6" t="str">
        <f>IFERROR(__xludf.DUMMYFUNCTION("""COMPUTED_VALUE"""),"Vega Ospina")</f>
        <v>Vega Ospina</v>
      </c>
      <c r="AU50" s="6" t="str">
        <f>IFERROR(__xludf.DUMMYFUNCTION("""COMPUTED_VALUE"""),"sergiovega0510@gmail.com")</f>
        <v>sergiovega0510@gmail.com</v>
      </c>
      <c r="AV50" s="6" t="str">
        <f>IFERROR(__xludf.DUMMYFUNCTION("""COMPUTED_VALUE"""),"MEDICO")</f>
        <v>MEDICO</v>
      </c>
      <c r="AW50" s="6" t="str">
        <f>IFERROR(__xludf.DUMMYFUNCTION("""COMPUTED_VALUE"""),"VIRREY SOLIS")</f>
        <v>VIRREY SOLIS</v>
      </c>
      <c r="AX50" s="12">
        <f>IFERROR(__xludf.DUMMYFUNCTION("""COMPUTED_VALUE"""),1.020741508E9)</f>
        <v>1020741508</v>
      </c>
      <c r="AY50" s="12">
        <f>IFERROR(__xludf.DUMMYFUNCTION("""COMPUTED_VALUE"""),3.506509985E9)</f>
        <v>3506509985</v>
      </c>
      <c r="AZ50" s="6" t="str">
        <f>IFERROR(__xludf.DUMMYFUNCTION("""COMPUTED_VALUE"""),"Padre")</f>
        <v>Padre</v>
      </c>
      <c r="BA50" s="6"/>
      <c r="BB50" s="6"/>
      <c r="BC50" s="6"/>
      <c r="BD50" s="12" t="str">
        <f>IFERROR(__xludf.DUMMYFUNCTION("""COMPUTED_VALUE"""),"veg0002")</f>
        <v>veg0002</v>
      </c>
      <c r="BE50" s="6"/>
      <c r="BF50" s="12" t="str">
        <f>IFERROR(__xludf.DUMMYFUNCTION("""COMPUTED_VALUE"""),"5M+6m ENE/26 A DIC/26 SE APLICA MATR Y CTOS ESPECIALES")</f>
        <v>5M+6m ENE/26 A DIC/26 SE APLICA MATR Y CTOS ESPECIALES</v>
      </c>
      <c r="BG50" s="6">
        <f>IFERROR(__xludf.DUMMYFUNCTION("""COMPUTED_VALUE"""),2041.0)</f>
        <v>2041</v>
      </c>
      <c r="BH50" s="15">
        <f>IFERROR(__xludf.DUMMYFUNCTION("""COMPUTED_VALUE"""),46211.27568287037)</f>
        <v>46211.27568</v>
      </c>
      <c r="BI50" s="6">
        <f>IFERROR(__xludf.DUMMYFUNCTION("""COMPUTED_VALUE"""),49.0)</f>
        <v>49</v>
      </c>
      <c r="BJ50" s="6"/>
      <c r="BK50" s="6"/>
      <c r="BL50" s="6" t="str">
        <f>IFERROR(__xludf.DUMMYFUNCTION("""COMPUTED_VALUE"""),"GISVEG0002")</f>
        <v>GISVEG0002</v>
      </c>
      <c r="BM50" s="6"/>
      <c r="BN50" s="6"/>
      <c r="BO50" s="6"/>
      <c r="BP50" s="6"/>
      <c r="BQ50" s="6"/>
      <c r="BR50" s="6"/>
      <c r="BS50" s="6"/>
      <c r="BT50" s="6"/>
      <c r="BU50" s="6" t="str">
        <f>IFERROR(__xludf.DUMMYFUNCTION("""COMPUTED_VALUE"""),"SI")</f>
        <v>SI</v>
      </c>
      <c r="BV50" s="6" t="str">
        <f>IFERROR(__xludf.DUMMYFUNCTION("""COMPUTED_VALUE"""),"olivia.v2041")</f>
        <v>olivia.v2041</v>
      </c>
      <c r="BW50" s="6"/>
      <c r="BX50" s="6"/>
      <c r="BY50" s="6"/>
      <c r="BZ50" s="6"/>
    </row>
    <row r="51">
      <c r="A51" s="6">
        <f>IFERROR(__xludf.DUMMYFUNCTION("""COMPUTED_VALUE"""),1.092468036E9)</f>
        <v>1092468036</v>
      </c>
      <c r="B51" s="6">
        <f>IFERROR(__xludf.DUMMYFUNCTION("""COMPUTED_VALUE"""),12.0)</f>
        <v>12</v>
      </c>
      <c r="C51" s="6" t="str">
        <f>IFERROR(__xludf.DUMMYFUNCTION("""COMPUTED_VALUE"""),"Julián")</f>
        <v>Julián</v>
      </c>
      <c r="D51" s="6"/>
      <c r="E51" s="6" t="str">
        <f>IFERROR(__xludf.DUMMYFUNCTION("""COMPUTED_VALUE"""),"Villamil Quintero")</f>
        <v>Villamil Quintero</v>
      </c>
      <c r="F51" s="6" t="str">
        <f>IFERROR(__xludf.DUMMYFUNCTION("""COMPUTED_VALUE"""),"Finca El Ensueño - Vereda Villarazo Montenegro Via las Bailarinas")</f>
        <v>Finca El Ensueño - Vereda Villarazo Montenegro Via las Bailarinas</v>
      </c>
      <c r="G51" s="12" t="str">
        <f>IFERROR(__xludf.DUMMYFUNCTION("""COMPUTED_VALUE"""),"2023")</f>
        <v>2023</v>
      </c>
      <c r="H51" s="6" t="str">
        <f>IFERROR(__xludf.DUMMYFUNCTION("""COMPUTED_VALUE"""),"Marzo")</f>
        <v>Marzo</v>
      </c>
      <c r="I51" s="12" t="str">
        <f>IFERROR(__xludf.DUMMYFUNCTION("""COMPUTED_VALUE"""),"25")</f>
        <v>25</v>
      </c>
      <c r="J51" s="6" t="str">
        <f>IFERROR(__xludf.DUMMYFUNCTION("""COMPUTED_VALUE"""),"Armenia")</f>
        <v>Armenia</v>
      </c>
      <c r="K51" s="6" t="str">
        <f>IFERROR(__xludf.DUMMYFUNCTION("""COMPUTED_VALUE"""),"julian.v2041@gi.edu.co")</f>
        <v>julian.v2041@gi.edu.co</v>
      </c>
      <c r="L51" s="6" t="str">
        <f>IFERROR(__xludf.DUMMYFUNCTION("""COMPUTED_VALUE"""),"RC")</f>
        <v>RC</v>
      </c>
      <c r="M51" s="6" t="str">
        <f>IFERROR(__xludf.DUMMYFUNCTION("""COMPUTED_VALUE"""),"Armenia")</f>
        <v>Armenia</v>
      </c>
      <c r="N51" s="6" t="str">
        <f>IFERROR(__xludf.DUMMYFUNCTION("""COMPUTED_VALUE"""),"M")</f>
        <v>M</v>
      </c>
      <c r="O51" s="6" t="str">
        <f>IFERROR(__xludf.DUMMYFUNCTION("""COMPUTED_VALUE"""),"ACTIVE")</f>
        <v>ACTIVE</v>
      </c>
      <c r="P51" s="6"/>
      <c r="Q51" s="6" t="str">
        <f>IFERROR(__xludf.DUMMYFUNCTION("""COMPUTED_VALUE"""),"Montenegro")</f>
        <v>Montenegro</v>
      </c>
      <c r="R51" s="12" t="str">
        <f>IFERROR(__xludf.DUMMYFUNCTION("""COMPUTED_VALUE"""),"Givxw36y*")</f>
        <v>Givxw36y*</v>
      </c>
      <c r="S51" s="6" t="str">
        <f>IFERROR(__xludf.DUMMYFUNCTION("""COMPUTED_VALUE"""),"Villamil Quintero Julián ")</f>
        <v>Villamil Quintero Julián </v>
      </c>
      <c r="T51" s="6" t="str">
        <f>IFERROR(__xludf.DUMMYFUNCTION("""COMPUTED_VALUE"""),"MALLERLINY QUINTERO RODRÍGUEZ")</f>
        <v>MALLERLINY QUINTERO RODRÍGUEZ</v>
      </c>
      <c r="U51" s="12" t="str">
        <f>IFERROR(__xludf.DUMMYFUNCTION("""COMPUTED_VALUE"""),"41949024")</f>
        <v>41949024</v>
      </c>
      <c r="V51" s="6">
        <f>IFERROR(__xludf.DUMMYFUNCTION("""COMPUTED_VALUE"""),3.117109016E9)</f>
        <v>3117109016</v>
      </c>
      <c r="W51" s="6" t="str">
        <f>IFERROR(__xludf.DUMMYFUNCTION("""COMPUTED_VALUE"""),"mallerliny@gmail.com")</f>
        <v>mallerliny@gmail.com</v>
      </c>
      <c r="X51" s="12" t="str">
        <f>IFERROR(__xludf.DUMMYFUNCTION("""COMPUTED_VALUE"""),"O+")</f>
        <v>O+</v>
      </c>
      <c r="Y51" s="12" t="str">
        <f>IFERROR(__xludf.DUMMYFUNCTION("""COMPUTED_VALUE"""),"K3")</f>
        <v>K3</v>
      </c>
      <c r="Z51" s="6">
        <f>IFERROR(__xludf.DUMMYFUNCTION("""COMPUTED_VALUE"""),120494.0)</f>
        <v>120494</v>
      </c>
      <c r="AA51" s="6" t="str">
        <f>IFERROR(__xludf.DUMMYFUNCTION("""COMPUTED_VALUE"""),"OTRA")</f>
        <v>OTRA</v>
      </c>
      <c r="AB51" s="6"/>
      <c r="AC51" s="6"/>
      <c r="AD51" s="12" t="str">
        <f>IFERROR(__xludf.DUMMYFUNCTION("""COMPUTED_VALUE"""),"K3B")</f>
        <v>K3B</v>
      </c>
      <c r="AE51" s="12" t="str">
        <f>IFERROR(__xludf.DUMMYFUNCTION("""COMPUTED_VALUE"""),"1345282493")</f>
        <v>1345282493</v>
      </c>
      <c r="AF51" s="12" t="str">
        <f>IFERROR(__xludf.DUMMYFUNCTION("""COMPUTED_VALUE"""),"1345282493")</f>
        <v>1345282493</v>
      </c>
      <c r="AG51" s="12" t="str">
        <f>IFERROR(__xludf.DUMMYFUNCTION("""COMPUTED_VALUE"""),"Mallerliny")</f>
        <v>Mallerliny</v>
      </c>
      <c r="AH51" s="6"/>
      <c r="AI51" s="6" t="str">
        <f>IFERROR(__xludf.DUMMYFUNCTION("""COMPUTED_VALUE"""),"Quintero Rodríguez")</f>
        <v>Quintero Rodríguez</v>
      </c>
      <c r="AJ51" s="6" t="str">
        <f>IFERROR(__xludf.DUMMYFUNCTION("""COMPUTED_VALUE"""),"mallerliny@gmail.com")</f>
        <v>mallerliny@gmail.com</v>
      </c>
      <c r="AK51" s="6" t="str">
        <f>IFERROR(__xludf.DUMMYFUNCTION("""COMPUTED_VALUE"""),"Química")</f>
        <v>Química</v>
      </c>
      <c r="AL51" s="6" t="str">
        <f>IFERROR(__xludf.DUMMYFUNCTION("""COMPUTED_VALUE"""),"I.E. La Popa - Industrias Printex S.A.S")</f>
        <v>I.E. La Popa - Industrias Printex S.A.S</v>
      </c>
      <c r="AM51" s="12" t="str">
        <f>IFERROR(__xludf.DUMMYFUNCTION("""COMPUTED_VALUE"""),"41949024")</f>
        <v>41949024</v>
      </c>
      <c r="AN51" s="12" t="str">
        <f>IFERROR(__xludf.DUMMYFUNCTION("""COMPUTED_VALUE"""),"3117109016")</f>
        <v>3117109016</v>
      </c>
      <c r="AO51" s="6" t="str">
        <f>IFERROR(__xludf.DUMMYFUNCTION("""COMPUTED_VALUE"""),"Madre")</f>
        <v>Madre</v>
      </c>
      <c r="AP51" s="6" t="str">
        <f>IFERROR(__xludf.DUMMYFUNCTION("""COMPUTED_VALUE"""),"Estudiante(s): Villamil Quintero")</f>
        <v>Estudiante(s): Villamil Quintero</v>
      </c>
      <c r="AQ51" s="6" t="str">
        <f>IFERROR(__xludf.DUMMYFUNCTION("""COMPUTED_VALUE"""),"120494*Gi")</f>
        <v>120494*Gi</v>
      </c>
      <c r="AR51" s="6" t="str">
        <f>IFERROR(__xludf.DUMMYFUNCTION("""COMPUTED_VALUE"""),"Ricardo")</f>
        <v>Ricardo</v>
      </c>
      <c r="AS51" s="6"/>
      <c r="AT51" s="6" t="str">
        <f>IFERROR(__xludf.DUMMYFUNCTION("""COMPUTED_VALUE"""),"Mora Molina")</f>
        <v>Mora Molina</v>
      </c>
      <c r="AU51" s="6" t="str">
        <f>IFERROR(__xludf.DUMMYFUNCTION("""COMPUTED_VALUE"""),"molina19930402@gmail.com")</f>
        <v>molina19930402@gmail.com</v>
      </c>
      <c r="AV51" s="6" t="str">
        <f>IFERROR(__xludf.DUMMYFUNCTION("""COMPUTED_VALUE"""),"Contador")</f>
        <v>Contador</v>
      </c>
      <c r="AW51" s="6" t="str">
        <f>IFERROR(__xludf.DUMMYFUNCTION("""COMPUTED_VALUE"""),"CONCEJAL")</f>
        <v>CONCEJAL</v>
      </c>
      <c r="AX51" s="12" t="str">
        <f>IFERROR(__xludf.DUMMYFUNCTION("""COMPUTED_VALUE"""),"1094934106")</f>
        <v>1094934106</v>
      </c>
      <c r="AY51" s="12" t="str">
        <f>IFERROR(__xludf.DUMMYFUNCTION("""COMPUTED_VALUE"""),"3016893762")</f>
        <v>3016893762</v>
      </c>
      <c r="AZ51" s="6" t="str">
        <f>IFERROR(__xludf.DUMMYFUNCTION("""COMPUTED_VALUE"""),"Otro")</f>
        <v>Otro</v>
      </c>
      <c r="BA51" s="6"/>
      <c r="BB51" s="6"/>
      <c r="BC51" s="6"/>
      <c r="BD51" s="12" t="str">
        <f>IFERROR(__xludf.DUMMYFUNCTION("""COMPUTED_VALUE"""),"vil0011")</f>
        <v>vil0011</v>
      </c>
      <c r="BE51" s="6"/>
      <c r="BF51" s="6"/>
      <c r="BG51" s="6">
        <f>IFERROR(__xludf.DUMMYFUNCTION("""COMPUTED_VALUE"""),2041.0)</f>
        <v>2041</v>
      </c>
      <c r="BH51" s="15">
        <f>IFERROR(__xludf.DUMMYFUNCTION("""COMPUTED_VALUE"""),46211.89833333333)</f>
        <v>46211.89833</v>
      </c>
      <c r="BI51" s="6">
        <f>IFERROR(__xludf.DUMMYFUNCTION("""COMPUTED_VALUE"""),50.0)</f>
        <v>50</v>
      </c>
      <c r="BJ51" s="6"/>
      <c r="BK51" s="6"/>
      <c r="BL51" s="6" t="str">
        <f>IFERROR(__xludf.DUMMYFUNCTION("""COMPUTED_VALUE"""),"GISVIL0011")</f>
        <v>GISVIL0011</v>
      </c>
      <c r="BM51" s="6"/>
      <c r="BN51" s="6"/>
      <c r="BO51" s="6"/>
      <c r="BP51" s="6"/>
      <c r="BQ51" s="6"/>
      <c r="BR51" s="6"/>
      <c r="BS51" s="6"/>
      <c r="BT51" s="6"/>
      <c r="BU51" s="6" t="str">
        <f>IFERROR(__xludf.DUMMYFUNCTION("""COMPUTED_VALUE"""),"SI")</f>
        <v>SI</v>
      </c>
      <c r="BV51" s="6" t="str">
        <f>IFERROR(__xludf.DUMMYFUNCTION("""COMPUTED_VALUE"""),"julian.v2041")</f>
        <v>julian.v2041</v>
      </c>
      <c r="BW51" s="6"/>
      <c r="BX51" s="6"/>
      <c r="BY51" s="6"/>
      <c r="B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 t="str">
        <f>IFERROR(__xludf.DUMMYFUNCTION("""COMPUTED_VALUE"""),"Madre")</f>
        <v>Madre</v>
      </c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 t="str">
        <f>IFERROR(__xludf.DUMMYFUNCTION("""COMPUTED_VALUE"""),"Padre")</f>
        <v>Padre</v>
      </c>
      <c r="BA52" s="6"/>
      <c r="BB52" s="6"/>
      <c r="BC52" s="6"/>
      <c r="BD52" s="6"/>
      <c r="BE52" s="6"/>
      <c r="BF52" s="6"/>
      <c r="BG52" s="6"/>
      <c r="BH52" s="6"/>
      <c r="BI52" s="6">
        <f>IFERROR(__xludf.DUMMYFUNCTION("""COMPUTED_VALUE"""),51.0)</f>
        <v>51</v>
      </c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</row>
    <row r="53">
      <c r="A53" s="12">
        <f>IFERROR(__xludf.DUMMYFUNCTION("""COMPUTED_VALUE"""),1.232818518E9)</f>
        <v>1232818518</v>
      </c>
      <c r="B53" s="6">
        <f>IFERROR(__xludf.DUMMYFUNCTION("""COMPUTED_VALUE"""),1.0)</f>
        <v>1</v>
      </c>
      <c r="C53" s="6" t="str">
        <f>IFERROR(__xludf.DUMMYFUNCTION("""COMPUTED_VALUE"""),"Emmanuel")</f>
        <v>Emmanuel</v>
      </c>
      <c r="D53" s="6"/>
      <c r="E53" s="6" t="str">
        <f>IFERROR(__xludf.DUMMYFUNCTION("""COMPUTED_VALUE"""),"Arango Castaño")</f>
        <v>Arango Castaño</v>
      </c>
      <c r="F53" s="6" t="str">
        <f>IFERROR(__xludf.DUMMYFUNCTION("""COMPUTED_VALUE"""),"Cra 13 Nº 8n 49 - La castellana")</f>
        <v>Cra 13 Nº 8n 49 - La castellana</v>
      </c>
      <c r="G53" s="12">
        <f>IFERROR(__xludf.DUMMYFUNCTION("""COMPUTED_VALUE"""),2021.0)</f>
        <v>2021</v>
      </c>
      <c r="H53" s="12" t="str">
        <f>IFERROR(__xludf.DUMMYFUNCTION("""COMPUTED_VALUE"""),"Diciembre")</f>
        <v>Diciembre</v>
      </c>
      <c r="I53" s="12">
        <f>IFERROR(__xludf.DUMMYFUNCTION("""COMPUTED_VALUE"""),10.0)</f>
        <v>10</v>
      </c>
      <c r="J53" s="6"/>
      <c r="K53" s="12" t="str">
        <f>IFERROR(__xludf.DUMMYFUNCTION("""COMPUTED_VALUE"""),"emmanuel.ac2040@gi.edu.co")</f>
        <v>emmanuel.ac2040@gi.edu.co</v>
      </c>
      <c r="L53" s="6" t="str">
        <f>IFERROR(__xludf.DUMMYFUNCTION("""COMPUTED_VALUE"""),"RC")</f>
        <v>RC</v>
      </c>
      <c r="M53" s="6" t="str">
        <f>IFERROR(__xludf.DUMMYFUNCTION("""COMPUTED_VALUE"""),"Cali")</f>
        <v>Cali</v>
      </c>
      <c r="N53" s="6" t="str">
        <f>IFERROR(__xludf.DUMMYFUNCTION("""COMPUTED_VALUE"""),"M")</f>
        <v>M</v>
      </c>
      <c r="O53" s="6" t="str">
        <f>IFERROR(__xludf.DUMMYFUNCTION("""COMPUTED_VALUE"""),"ACTIVE")</f>
        <v>ACTIVE</v>
      </c>
      <c r="P53" s="6"/>
      <c r="Q53" s="6"/>
      <c r="R53" s="12" t="str">
        <f>IFERROR(__xludf.DUMMYFUNCTION("""COMPUTED_VALUE"""),"GiH4Pj9Q*")</f>
        <v>GiH4Pj9Q*</v>
      </c>
      <c r="S53" s="6" t="str">
        <f>IFERROR(__xludf.DUMMYFUNCTION("""COMPUTED_VALUE"""),"Arango Castaño Emmanuel ")</f>
        <v>Arango Castaño Emmanuel </v>
      </c>
      <c r="T53" s="6" t="str">
        <f>IFERROR(__xludf.DUMMYFUNCTION("""COMPUTED_VALUE"""),"CA MEDICAL GROUP S.A.S.")</f>
        <v>CA MEDICAL GROUP S.A.S.</v>
      </c>
      <c r="U53" s="12" t="str">
        <f>IFERROR(__xludf.DUMMYFUNCTION("""COMPUTED_VALUE"""),"901896422-8")</f>
        <v>901896422-8</v>
      </c>
      <c r="V53" s="6">
        <f>IFERROR(__xludf.DUMMYFUNCTION("""COMPUTED_VALUE"""),3.182696164E9)</f>
        <v>3182696164</v>
      </c>
      <c r="W53" s="6" t="str">
        <f>IFERROR(__xludf.DUMMYFUNCTION("""COMPUTED_VALUE"""),"camedicalsas@gmail.com")</f>
        <v>camedicalsas@gmail.com</v>
      </c>
      <c r="X53" s="12" t="str">
        <f>IFERROR(__xludf.DUMMYFUNCTION("""COMPUTED_VALUE"""),"A+")</f>
        <v>A+</v>
      </c>
      <c r="Y53" s="12" t="str">
        <f>IFERROR(__xludf.DUMMYFUNCTION("""COMPUTED_VALUE"""),"K4")</f>
        <v>K4</v>
      </c>
      <c r="Z53" s="6">
        <f>IFERROR(__xludf.DUMMYFUNCTION("""COMPUTED_VALUE"""),120611.0)</f>
        <v>120611</v>
      </c>
      <c r="AA53" s="6" t="str">
        <f>IFERROR(__xludf.DUMMYFUNCTION("""COMPUTED_VALUE"""),"SURA")</f>
        <v>SURA</v>
      </c>
      <c r="AB53" s="6"/>
      <c r="AC53" s="6"/>
      <c r="AD53" s="12" t="str">
        <f>IFERROR(__xludf.DUMMYFUNCTION("""COMPUTED_VALUE"""),"K4A")</f>
        <v>K4A</v>
      </c>
      <c r="AE53" s="12" t="str">
        <f>IFERROR(__xludf.DUMMYFUNCTION("""COMPUTED_VALUE"""),"1345282609")</f>
        <v>1345282609</v>
      </c>
      <c r="AF53" s="12" t="str">
        <f>IFERROR(__xludf.DUMMYFUNCTION("""COMPUTED_VALUE"""),"1345282609")</f>
        <v>1345282609</v>
      </c>
      <c r="AG53" s="12" t="str">
        <f>IFERROR(__xludf.DUMMYFUNCTION("""COMPUTED_VALUE"""),"Diana")</f>
        <v>Diana</v>
      </c>
      <c r="AH53" s="12" t="str">
        <f>IFERROR(__xludf.DUMMYFUNCTION("""COMPUTED_VALUE"""),"Carolina")</f>
        <v>Carolina</v>
      </c>
      <c r="AI53" s="6" t="str">
        <f>IFERROR(__xludf.DUMMYFUNCTION("""COMPUTED_VALUE"""),"Castaño Londoño")</f>
        <v>Castaño Londoño</v>
      </c>
      <c r="AJ53" s="6" t="str">
        <f>IFERROR(__xludf.DUMMYFUNCTION("""COMPUTED_VALUE"""),"dcarito_@hotmail.com")</f>
        <v>dcarito_@hotmail.com</v>
      </c>
      <c r="AK53" s="6" t="str">
        <f>IFERROR(__xludf.DUMMYFUNCTION("""COMPUTED_VALUE"""),"Fisioterapeuta")</f>
        <v>Fisioterapeuta</v>
      </c>
      <c r="AL53" s="6"/>
      <c r="AM53" s="12" t="str">
        <f>IFERROR(__xludf.DUMMYFUNCTION("""COMPUTED_VALUE"""),"1118256233")</f>
        <v>1118256233</v>
      </c>
      <c r="AN53" s="12" t="str">
        <f>IFERROR(__xludf.DUMMYFUNCTION("""COMPUTED_VALUE"""),"3126246751")</f>
        <v>3126246751</v>
      </c>
      <c r="AO53" s="6" t="str">
        <f>IFERROR(__xludf.DUMMYFUNCTION("""COMPUTED_VALUE"""),"Madre")</f>
        <v>Madre</v>
      </c>
      <c r="AP53" s="6" t="str">
        <f>IFERROR(__xludf.DUMMYFUNCTION("""COMPUTED_VALUE"""),"Estudiante(s): Arango Castaño")</f>
        <v>Estudiante(s): Arango Castaño</v>
      </c>
      <c r="AQ53" s="6" t="str">
        <f>IFERROR(__xludf.DUMMYFUNCTION("""COMPUTED_VALUE"""),"120611*Gi")</f>
        <v>120611*Gi</v>
      </c>
      <c r="AR53" s="6" t="str">
        <f>IFERROR(__xludf.DUMMYFUNCTION("""COMPUTED_VALUE"""),"Cristhian")</f>
        <v>Cristhian</v>
      </c>
      <c r="AS53" s="6" t="str">
        <f>IFERROR(__xludf.DUMMYFUNCTION("""COMPUTED_VALUE"""),"Alexander")</f>
        <v>Alexander</v>
      </c>
      <c r="AT53" s="6" t="str">
        <f>IFERROR(__xludf.DUMMYFUNCTION("""COMPUTED_VALUE"""),"Arango Solano")</f>
        <v>Arango Solano</v>
      </c>
      <c r="AU53" s="6" t="str">
        <f>IFERROR(__xludf.DUMMYFUNCTION("""COMPUTED_VALUE"""),"chris012487@msn.com")</f>
        <v>chris012487@msn.com</v>
      </c>
      <c r="AV53" s="6" t="str">
        <f>IFERROR(__xludf.DUMMYFUNCTION("""COMPUTED_VALUE"""),"Medico Anestesiologo")</f>
        <v>Medico Anestesiologo</v>
      </c>
      <c r="AW53" s="6"/>
      <c r="AX53" s="12" t="str">
        <f>IFERROR(__xludf.DUMMYFUNCTION("""COMPUTED_VALUE"""),"1115065516")</f>
        <v>1115065516</v>
      </c>
      <c r="AY53" s="12" t="str">
        <f>IFERROR(__xludf.DUMMYFUNCTION("""COMPUTED_VALUE"""),"3182696164")</f>
        <v>3182696164</v>
      </c>
      <c r="AZ53" s="6" t="str">
        <f>IFERROR(__xludf.DUMMYFUNCTION("""COMPUTED_VALUE"""),"Padre")</f>
        <v>Padre</v>
      </c>
      <c r="BA53" s="6"/>
      <c r="BB53" s="6"/>
      <c r="BC53" s="6"/>
      <c r="BD53" s="12" t="str">
        <f>IFERROR(__xludf.DUMMYFUNCTION("""COMPUTED_VALUE"""),"ara0013")</f>
        <v>ara0013</v>
      </c>
      <c r="BE53" s="6" t="str">
        <f>IFERROR(__xludf.DUMMYFUNCTION("""COMPUTED_VALUE"""),"NUEVO(A)")</f>
        <v>NUEVO(A)</v>
      </c>
      <c r="BF53" s="6"/>
      <c r="BG53" s="6">
        <f>IFERROR(__xludf.DUMMYFUNCTION("""COMPUTED_VALUE"""),2040.0)</f>
        <v>2040</v>
      </c>
      <c r="BH53" s="15">
        <f>IFERROR(__xludf.DUMMYFUNCTION("""COMPUTED_VALUE"""),46206.424722222226)</f>
        <v>46206.42472</v>
      </c>
      <c r="BI53" s="6">
        <f>IFERROR(__xludf.DUMMYFUNCTION("""COMPUTED_VALUE"""),52.0)</f>
        <v>52</v>
      </c>
      <c r="BJ53" s="6"/>
      <c r="BK53" s="6"/>
      <c r="BL53" s="6" t="str">
        <f>IFERROR(__xludf.DUMMYFUNCTION("""COMPUTED_VALUE"""),"GISARA0013")</f>
        <v>GISARA0013</v>
      </c>
      <c r="BM53" s="6"/>
      <c r="BN53" s="6"/>
      <c r="BO53" s="6"/>
      <c r="BP53" s="6"/>
      <c r="BQ53" s="6"/>
      <c r="BR53" s="6"/>
      <c r="BS53" s="6"/>
      <c r="BT53" s="6"/>
      <c r="BU53" s="6" t="str">
        <f>IFERROR(__xludf.DUMMYFUNCTION("""COMPUTED_VALUE"""),"SI")</f>
        <v>SI</v>
      </c>
      <c r="BV53" s="12" t="str">
        <f>IFERROR(__xludf.DUMMYFUNCTION("""COMPUTED_VALUE"""),"emmanuel.ac2040")</f>
        <v>emmanuel.ac2040</v>
      </c>
      <c r="BW53" s="6"/>
      <c r="BX53" s="6"/>
      <c r="BY53" s="6"/>
      <c r="BZ53" s="6"/>
    </row>
    <row r="54">
      <c r="A54" s="12">
        <f>IFERROR(__xludf.DUMMYFUNCTION("""COMPUTED_VALUE"""),1.091890029E9)</f>
        <v>1091890029</v>
      </c>
      <c r="B54" s="6">
        <f>IFERROR(__xludf.DUMMYFUNCTION("""COMPUTED_VALUE"""),2.0)</f>
        <v>2</v>
      </c>
      <c r="C54" s="6" t="str">
        <f>IFERROR(__xludf.DUMMYFUNCTION("""COMPUTED_VALUE"""),"Emma")</f>
        <v>Emma</v>
      </c>
      <c r="D54" s="6"/>
      <c r="E54" s="6" t="str">
        <f>IFERROR(__xludf.DUMMYFUNCTION("""COMPUTED_VALUE"""),"Botero Pulido")</f>
        <v>Botero Pulido</v>
      </c>
      <c r="F54" s="6" t="str">
        <f>IFERROR(__xludf.DUMMYFUNCTION("""COMPUTED_VALUE"""),"Calle 50 No15-01  Mz 1 Casa 3 Urbanización Los Cedros")</f>
        <v>Calle 50 No15-01  Mz 1 Casa 3 Urbanización Los Cedros</v>
      </c>
      <c r="G54" s="12" t="str">
        <f>IFERROR(__xludf.DUMMYFUNCTION("""COMPUTED_VALUE"""),"2021")</f>
        <v>2021</v>
      </c>
      <c r="H54" s="6" t="str">
        <f>IFERROR(__xludf.DUMMYFUNCTION("""COMPUTED_VALUE"""),"Diciembre")</f>
        <v>Diciembre</v>
      </c>
      <c r="I54" s="12" t="str">
        <f>IFERROR(__xludf.DUMMYFUNCTION("""COMPUTED_VALUE"""),"4")</f>
        <v>4</v>
      </c>
      <c r="J54" s="6" t="str">
        <f>IFERROR(__xludf.DUMMYFUNCTION("""COMPUTED_VALUE"""),"Armenia")</f>
        <v>Armenia</v>
      </c>
      <c r="K54" s="6" t="str">
        <f>IFERROR(__xludf.DUMMYFUNCTION("""COMPUTED_VALUE"""),"emma.b2039@gi.edu.co")</f>
        <v>emma.b2039@gi.edu.co</v>
      </c>
      <c r="L54" s="6" t="str">
        <f>IFERROR(__xludf.DUMMYFUNCTION("""COMPUTED_VALUE"""),"RC")</f>
        <v>RC</v>
      </c>
      <c r="M54" s="6" t="str">
        <f>IFERROR(__xludf.DUMMYFUNCTION("""COMPUTED_VALUE"""),"Armenia")</f>
        <v>Armenia</v>
      </c>
      <c r="N54" s="6" t="str">
        <f>IFERROR(__xludf.DUMMYFUNCTION("""COMPUTED_VALUE"""),"F")</f>
        <v>F</v>
      </c>
      <c r="O54" s="6" t="str">
        <f>IFERROR(__xludf.DUMMYFUNCTION("""COMPUTED_VALUE"""),"INACTIVE")</f>
        <v>INACTIVE</v>
      </c>
      <c r="P54" s="6"/>
      <c r="Q54" s="6" t="str">
        <f>IFERROR(__xludf.DUMMYFUNCTION("""COMPUTED_VALUE"""),"Armenia")</f>
        <v>Armenia</v>
      </c>
      <c r="R54" s="12" t="str">
        <f>IFERROR(__xludf.DUMMYFUNCTION("""COMPUTED_VALUE"""),"Gi59sw2*")</f>
        <v>Gi59sw2*</v>
      </c>
      <c r="S54" s="6" t="str">
        <f>IFERROR(__xludf.DUMMYFUNCTION("""COMPUTED_VALUE"""),"Botero Pulido Emma ")</f>
        <v>Botero Pulido Emma </v>
      </c>
      <c r="T54" s="6" t="str">
        <f>IFERROR(__xludf.DUMMYFUNCTION("""COMPUTED_VALUE"""),"HERNAN BOTERO BOTERO")</f>
        <v>HERNAN BOTERO BOTERO</v>
      </c>
      <c r="U54" s="12" t="str">
        <f>IFERROR(__xludf.DUMMYFUNCTION("""COMPUTED_VALUE"""),"7506665")</f>
        <v>7506665</v>
      </c>
      <c r="V54" s="6">
        <f>IFERROR(__xludf.DUMMYFUNCTION("""COMPUTED_VALUE"""),3.182826316E9)</f>
        <v>3182826316</v>
      </c>
      <c r="W54" s="6" t="str">
        <f>IFERROR(__xludf.DUMMYFUNCTION("""COMPUTED_VALUE"""),"ganaderia49@hotmail.com")</f>
        <v>ganaderia49@hotmail.com</v>
      </c>
      <c r="X54" s="12" t="str">
        <f>IFERROR(__xludf.DUMMYFUNCTION("""COMPUTED_VALUE"""),"O+")</f>
        <v>O+</v>
      </c>
      <c r="Y54" s="12" t="str">
        <f>IFERROR(__xludf.DUMMYFUNCTION("""COMPUTED_VALUE"""),"K4")</f>
        <v>K4</v>
      </c>
      <c r="Z54" s="12">
        <f>IFERROR(__xludf.DUMMYFUNCTION("""COMPUTED_VALUE"""),120352.0)</f>
        <v>120352</v>
      </c>
      <c r="AA54" s="6" t="str">
        <f>IFERROR(__xludf.DUMMYFUNCTION("""COMPUTED_VALUE"""),"CAFESALUD")</f>
        <v>CAFESALUD</v>
      </c>
      <c r="AB54" s="6"/>
      <c r="AC54" s="6"/>
      <c r="AD54" s="12" t="str">
        <f>IFERROR(__xludf.DUMMYFUNCTION("""COMPUTED_VALUE"""),"K4A")</f>
        <v>K4A</v>
      </c>
      <c r="AE54" s="12">
        <f>IFERROR(__xludf.DUMMYFUNCTION("""COMPUTED_VALUE"""),1.345282338E9)</f>
        <v>1345282338</v>
      </c>
      <c r="AF54" s="12" t="str">
        <f>IFERROR(__xludf.DUMMYFUNCTION("""COMPUTED_VALUE"""),"1345282338")</f>
        <v>1345282338</v>
      </c>
      <c r="AG54" s="12" t="str">
        <f>IFERROR(__xludf.DUMMYFUNCTION("""COMPUTED_VALUE"""),"Susana")</f>
        <v>Susana</v>
      </c>
      <c r="AH54" s="6"/>
      <c r="AI54" s="6" t="str">
        <f>IFERROR(__xludf.DUMMYFUNCTION("""COMPUTED_VALUE"""),"Pulido Bonilla")</f>
        <v>Pulido Bonilla</v>
      </c>
      <c r="AJ54" s="6" t="str">
        <f>IFERROR(__xludf.DUMMYFUNCTION("""COMPUTED_VALUE"""),"terraza89armenia@gmail.com")</f>
        <v>terraza89armenia@gmail.com</v>
      </c>
      <c r="AK54" s="6" t="str">
        <f>IFERROR(__xludf.DUMMYFUNCTION("""COMPUTED_VALUE"""),"NEGOCIADORA INTERNACIONAL")</f>
        <v>NEGOCIADORA INTERNACIONAL</v>
      </c>
      <c r="AL54" s="6" t="str">
        <f>IFERROR(__xludf.DUMMYFUNCTION("""COMPUTED_VALUE"""),"RESTAURANTE LA CABAÑA")</f>
        <v>RESTAURANTE LA CABAÑA</v>
      </c>
      <c r="AM54" s="12" t="str">
        <f>IFERROR(__xludf.DUMMYFUNCTION("""COMPUTED_VALUE"""),"1094921677")</f>
        <v>1094921677</v>
      </c>
      <c r="AN54" s="12" t="str">
        <f>IFERROR(__xludf.DUMMYFUNCTION("""COMPUTED_VALUE"""),"3105779660")</f>
        <v>3105779660</v>
      </c>
      <c r="AO54" s="6" t="str">
        <f>IFERROR(__xludf.DUMMYFUNCTION("""COMPUTED_VALUE"""),"Madre")</f>
        <v>Madre</v>
      </c>
      <c r="AP54" s="6" t="str">
        <f>IFERROR(__xludf.DUMMYFUNCTION("""COMPUTED_VALUE"""),"Estudiante(s): Botero Pulido")</f>
        <v>Estudiante(s): Botero Pulido</v>
      </c>
      <c r="AQ54" s="6" t="str">
        <f>IFERROR(__xludf.DUMMYFUNCTION("""COMPUTED_VALUE"""),"103904*Gi")</f>
        <v>103904*Gi</v>
      </c>
      <c r="AR54" s="6" t="str">
        <f>IFERROR(__xludf.DUMMYFUNCTION("""COMPUTED_VALUE"""),"Jorge")</f>
        <v>Jorge</v>
      </c>
      <c r="AS54" s="6" t="str">
        <f>IFERROR(__xludf.DUMMYFUNCTION("""COMPUTED_VALUE"""),"Hernan")</f>
        <v>Hernan</v>
      </c>
      <c r="AT54" s="6" t="str">
        <f>IFERROR(__xludf.DUMMYFUNCTION("""COMPUTED_VALUE"""),"Botero Saffon")</f>
        <v>Botero Saffon</v>
      </c>
      <c r="AU54" s="6" t="str">
        <f>IFERROR(__xludf.DUMMYFUNCTION("""COMPUTED_VALUE"""),"ganaderia55@hotmail.com")</f>
        <v>ganaderia55@hotmail.com</v>
      </c>
      <c r="AV54" s="6" t="str">
        <f>IFERROR(__xludf.DUMMYFUNCTION("""COMPUTED_VALUE"""),"Abogado")</f>
        <v>Abogado</v>
      </c>
      <c r="AW54" s="6" t="str">
        <f>IFERROR(__xludf.DUMMYFUNCTION("""COMPUTED_VALUE"""),"independiente")</f>
        <v>independiente</v>
      </c>
      <c r="AX54" s="12" t="str">
        <f>IFERROR(__xludf.DUMMYFUNCTION("""COMPUTED_VALUE"""),"9729818")</f>
        <v>9729818</v>
      </c>
      <c r="AY54" s="12">
        <f>IFERROR(__xludf.DUMMYFUNCTION("""COMPUTED_VALUE"""),3.216398256E9)</f>
        <v>3216398256</v>
      </c>
      <c r="AZ54" s="6" t="str">
        <f>IFERROR(__xludf.DUMMYFUNCTION("""COMPUTED_VALUE"""),"Padre")</f>
        <v>Padre</v>
      </c>
      <c r="BA54" s="6" t="str">
        <f>IFERROR(__xludf.DUMMYFUNCTION("""COMPUTED_VALUE"""),"HERNAN BOTERO BOTERO")</f>
        <v>HERNAN BOTERO BOTERO</v>
      </c>
      <c r="BB54" s="6">
        <f>IFERROR(__xludf.DUMMYFUNCTION("""COMPUTED_VALUE"""),3.182826316E9)</f>
        <v>3182826316</v>
      </c>
      <c r="BC54" s="6" t="str">
        <f>IFERROR(__xludf.DUMMYFUNCTION("""COMPUTED_VALUE"""),"Abuelo(a)")</f>
        <v>Abuelo(a)</v>
      </c>
      <c r="BD54" s="12" t="str">
        <f>IFERROR(__xludf.DUMMYFUNCTION("""COMPUTED_VALUE"""),"bot0016")</f>
        <v>bot0016</v>
      </c>
      <c r="BE54" s="12" t="str">
        <f>IFERROR(__xludf.DUMMYFUNCTION("""COMPUTED_VALUE"""),"FALTAN FIRMAS")</f>
        <v>FALTAN FIRMAS</v>
      </c>
      <c r="BF54" s="6"/>
      <c r="BG54" s="6">
        <f>IFERROR(__xludf.DUMMYFUNCTION("""COMPUTED_VALUE"""),2040.0)</f>
        <v>2040</v>
      </c>
      <c r="BH54" s="15">
        <f>IFERROR(__xludf.DUMMYFUNCTION("""COMPUTED_VALUE"""),46211.303391203706)</f>
        <v>46211.30339</v>
      </c>
      <c r="BI54" s="6">
        <f>IFERROR(__xludf.DUMMYFUNCTION("""COMPUTED_VALUE"""),53.0)</f>
        <v>53</v>
      </c>
      <c r="BJ54" s="6" t="str">
        <f>IFERROR(__xludf.DUMMYFUNCTION("""COMPUTED_VALUE"""),"SIMAT: Discapacidad Psicosocial - Mental) (Sept 22 2025)")</f>
        <v>SIMAT: Discapacidad Psicosocial - Mental) (Sept 22 2025)</v>
      </c>
      <c r="BK54" s="6"/>
      <c r="BL54" s="6" t="str">
        <f>IFERROR(__xludf.DUMMYFUNCTION("""COMPUTED_VALUE"""),"GISBOT0016")</f>
        <v>GISBOT0016</v>
      </c>
      <c r="BM54" s="6"/>
      <c r="BN54" s="6"/>
      <c r="BO54" s="6"/>
      <c r="BP54" s="6"/>
      <c r="BQ54" s="6"/>
      <c r="BR54" s="6"/>
      <c r="BS54" s="6"/>
      <c r="BT54" s="6"/>
      <c r="BU54" s="6" t="str">
        <f>IFERROR(__xludf.DUMMYFUNCTION("""COMPUTED_VALUE"""),"SI")</f>
        <v>SI</v>
      </c>
      <c r="BV54" s="6" t="str">
        <f>IFERROR(__xludf.DUMMYFUNCTION("""COMPUTED_VALUE"""),"emma.b2040")</f>
        <v>emma.b2040</v>
      </c>
      <c r="BW54" s="6"/>
      <c r="BX54" s="6"/>
      <c r="BY54" s="6"/>
      <c r="BZ54" s="6"/>
    </row>
    <row r="55">
      <c r="A55" s="12">
        <f>IFERROR(__xludf.DUMMYFUNCTION("""COMPUTED_VALUE"""),1.141530159E9)</f>
        <v>1141530159</v>
      </c>
      <c r="B55" s="6">
        <f>IFERROR(__xludf.DUMMYFUNCTION("""COMPUTED_VALUE"""),3.0)</f>
        <v>3</v>
      </c>
      <c r="C55" s="6" t="str">
        <f>IFERROR(__xludf.DUMMYFUNCTION("""COMPUTED_VALUE"""),"Juan")</f>
        <v>Juan</v>
      </c>
      <c r="D55" s="6" t="str">
        <f>IFERROR(__xludf.DUMMYFUNCTION("""COMPUTED_VALUE"""),"Felipe")</f>
        <v>Felipe</v>
      </c>
      <c r="E55" s="6" t="str">
        <f>IFERROR(__xludf.DUMMYFUNCTION("""COMPUTED_VALUE"""),"Botero Romero")</f>
        <v>Botero Romero</v>
      </c>
      <c r="F55" s="6" t="str">
        <f>IFERROR(__xludf.DUMMYFUNCTION("""COMPUTED_VALUE"""),"Condominio Pradera Boreal Casa 32 - Km. 5 Via Armenia Pereira")</f>
        <v>Condominio Pradera Boreal Casa 32 - Km. 5 Via Armenia Pereira</v>
      </c>
      <c r="G55" s="12" t="str">
        <f>IFERROR(__xludf.DUMMYFUNCTION("""COMPUTED_VALUE"""),"2022")</f>
        <v>2022</v>
      </c>
      <c r="H55" s="6" t="str">
        <f>IFERROR(__xludf.DUMMYFUNCTION("""COMPUTED_VALUE"""),"Marzo")</f>
        <v>Marzo</v>
      </c>
      <c r="I55" s="12" t="str">
        <f>IFERROR(__xludf.DUMMYFUNCTION("""COMPUTED_VALUE"""),"31")</f>
        <v>31</v>
      </c>
      <c r="J55" s="6" t="str">
        <f>IFERROR(__xludf.DUMMYFUNCTION("""COMPUTED_VALUE"""),"Bogotá D.C.")</f>
        <v>Bogotá D.C.</v>
      </c>
      <c r="K55" s="6" t="str">
        <f>IFERROR(__xludf.DUMMYFUNCTION("""COMPUTED_VALUE"""),"juanf.b2040@gi.edu.co")</f>
        <v>juanf.b2040@gi.edu.co</v>
      </c>
      <c r="L55" s="6" t="str">
        <f>IFERROR(__xludf.DUMMYFUNCTION("""COMPUTED_VALUE"""),"RC")</f>
        <v>RC</v>
      </c>
      <c r="M55" s="6" t="str">
        <f>IFERROR(__xludf.DUMMYFUNCTION("""COMPUTED_VALUE"""),"Bogotá D.C.")</f>
        <v>Bogotá D.C.</v>
      </c>
      <c r="N55" s="6" t="str">
        <f>IFERROR(__xludf.DUMMYFUNCTION("""COMPUTED_VALUE"""),"M")</f>
        <v>M</v>
      </c>
      <c r="O55" s="6" t="str">
        <f>IFERROR(__xludf.DUMMYFUNCTION("""COMPUTED_VALUE"""),"ACTIVE")</f>
        <v>ACTIVE</v>
      </c>
      <c r="P55" s="6"/>
      <c r="Q55" s="6" t="str">
        <f>IFERROR(__xludf.DUMMYFUNCTION("""COMPUTED_VALUE"""),"Circasia")</f>
        <v>Circasia</v>
      </c>
      <c r="R55" s="12" t="str">
        <f>IFERROR(__xludf.DUMMYFUNCTION("""COMPUTED_VALUE"""),"Gigh3m59x*")</f>
        <v>Gigh3m59x*</v>
      </c>
      <c r="S55" s="6" t="str">
        <f>IFERROR(__xludf.DUMMYFUNCTION("""COMPUTED_VALUE"""),"Botero Romero Juan Felipe")</f>
        <v>Botero Romero Juan Felipe</v>
      </c>
      <c r="T55" s="6" t="str">
        <f>IFERROR(__xludf.DUMMYFUNCTION("""COMPUTED_VALUE"""),"MAURICIO BOTERO ECHEVERRY")</f>
        <v>MAURICIO BOTERO ECHEVERRY</v>
      </c>
      <c r="U55" s="12" t="str">
        <f>IFERROR(__xludf.DUMMYFUNCTION("""COMPUTED_VALUE"""),"79424249")</f>
        <v>79424249</v>
      </c>
      <c r="V55" s="6">
        <f>IFERROR(__xludf.DUMMYFUNCTION("""COMPUTED_VALUE"""),3.108127289E9)</f>
        <v>3108127289</v>
      </c>
      <c r="W55" s="6" t="str">
        <f>IFERROR(__xludf.DUMMYFUNCTION("""COMPUTED_VALUE"""),"mauricio_botero@hotmail.com")</f>
        <v>mauricio_botero@hotmail.com</v>
      </c>
      <c r="X55" s="12" t="str">
        <f>IFERROR(__xludf.DUMMYFUNCTION("""COMPUTED_VALUE"""),"O+")</f>
        <v>O+</v>
      </c>
      <c r="Y55" s="12" t="str">
        <f>IFERROR(__xludf.DUMMYFUNCTION("""COMPUTED_VALUE"""),"K4")</f>
        <v>K4</v>
      </c>
      <c r="Z55" s="12">
        <f>IFERROR(__xludf.DUMMYFUNCTION("""COMPUTED_VALUE"""),120424.0)</f>
        <v>120424</v>
      </c>
      <c r="AA55" s="6" t="str">
        <f>IFERROR(__xludf.DUMMYFUNCTION("""COMPUTED_VALUE"""),"COMPENSAR")</f>
        <v>COMPENSAR</v>
      </c>
      <c r="AB55" s="6"/>
      <c r="AC55" s="6"/>
      <c r="AD55" s="12" t="str">
        <f>IFERROR(__xludf.DUMMYFUNCTION("""COMPUTED_VALUE"""),"K4A")</f>
        <v>K4A</v>
      </c>
      <c r="AE55" s="12" t="str">
        <f>IFERROR(__xludf.DUMMYFUNCTION("""COMPUTED_VALUE"""),"1345282456")</f>
        <v>1345282456</v>
      </c>
      <c r="AF55" s="12" t="str">
        <f>IFERROR(__xludf.DUMMYFUNCTION("""COMPUTED_VALUE"""),"1345282456")</f>
        <v>1345282456</v>
      </c>
      <c r="AG55" s="12" t="str">
        <f>IFERROR(__xludf.DUMMYFUNCTION("""COMPUTED_VALUE"""),"María")</f>
        <v>María</v>
      </c>
      <c r="AH55" s="12" t="str">
        <f>IFERROR(__xludf.DUMMYFUNCTION("""COMPUTED_VALUE"""),"Alejandra")</f>
        <v>Alejandra</v>
      </c>
      <c r="AI55" s="6" t="str">
        <f>IFERROR(__xludf.DUMMYFUNCTION("""COMPUTED_VALUE"""),"Romero Ibáñez")</f>
        <v>Romero Ibáñez</v>
      </c>
      <c r="AJ55" s="6" t="str">
        <f>IFERROR(__xludf.DUMMYFUNCTION("""COMPUTED_VALUE"""),"malejandraromeroiba@gmail.com")</f>
        <v>malejandraromeroiba@gmail.com</v>
      </c>
      <c r="AK55" s="6" t="str">
        <f>IFERROR(__xludf.DUMMYFUNCTION("""COMPUTED_VALUE"""),"Administradora en salud ocuoacional ")</f>
        <v>Administradora en salud ocuoacional </v>
      </c>
      <c r="AL55" s="6" t="str">
        <f>IFERROR(__xludf.DUMMYFUNCTION("""COMPUTED_VALUE"""),"Sis vida ")</f>
        <v>Sis vida </v>
      </c>
      <c r="AM55" s="12" t="str">
        <f>IFERROR(__xludf.DUMMYFUNCTION("""COMPUTED_VALUE"""),"1032461302")</f>
        <v>1032461302</v>
      </c>
      <c r="AN55" s="12" t="str">
        <f>IFERROR(__xludf.DUMMYFUNCTION("""COMPUTED_VALUE"""),"3196634189")</f>
        <v>3196634189</v>
      </c>
      <c r="AO55" s="6" t="str">
        <f>IFERROR(__xludf.DUMMYFUNCTION("""COMPUTED_VALUE"""),"Madre")</f>
        <v>Madre</v>
      </c>
      <c r="AP55" s="6" t="str">
        <f>IFERROR(__xludf.DUMMYFUNCTION("""COMPUTED_VALUE"""),"Estudiante(s): Botero Romero")</f>
        <v>Estudiante(s): Botero Romero</v>
      </c>
      <c r="AQ55" s="6" t="str">
        <f>IFERROR(__xludf.DUMMYFUNCTION("""COMPUTED_VALUE"""),"120424*Gi")</f>
        <v>120424*Gi</v>
      </c>
      <c r="AR55" s="6" t="str">
        <f>IFERROR(__xludf.DUMMYFUNCTION("""COMPUTED_VALUE"""),"Mauricio")</f>
        <v>Mauricio</v>
      </c>
      <c r="AS55" s="6"/>
      <c r="AT55" s="6" t="str">
        <f>IFERROR(__xludf.DUMMYFUNCTION("""COMPUTED_VALUE"""),"Botero Echeverry")</f>
        <v>Botero Echeverry</v>
      </c>
      <c r="AU55" s="6" t="str">
        <f>IFERROR(__xludf.DUMMYFUNCTION("""COMPUTED_VALUE"""),"mauricio_botero@hotmail.com")</f>
        <v>mauricio_botero@hotmail.com</v>
      </c>
      <c r="AV55" s="6" t="str">
        <f>IFERROR(__xludf.DUMMYFUNCTION("""COMPUTED_VALUE"""),"MEDICO RADIOLOGO ")</f>
        <v>MEDICO RADIOLOGO </v>
      </c>
      <c r="AW55" s="6" t="str">
        <f>IFERROR(__xludf.DUMMYFUNCTION("""COMPUTED_VALUE"""),"Asistir salud fundacion alejandro londoño")</f>
        <v>Asistir salud fundacion alejandro londoño</v>
      </c>
      <c r="AX55" s="12" t="str">
        <f>IFERROR(__xludf.DUMMYFUNCTION("""COMPUTED_VALUE"""),"79424249")</f>
        <v>79424249</v>
      </c>
      <c r="AY55" s="12" t="str">
        <f>IFERROR(__xludf.DUMMYFUNCTION("""COMPUTED_VALUE"""),"3108127289")</f>
        <v>3108127289</v>
      </c>
      <c r="AZ55" s="6" t="str">
        <f>IFERROR(__xludf.DUMMYFUNCTION("""COMPUTED_VALUE"""),"Padre")</f>
        <v>Padre</v>
      </c>
      <c r="BA55" s="6"/>
      <c r="BB55" s="6"/>
      <c r="BC55" s="6"/>
      <c r="BD55" s="12" t="str">
        <f>IFERROR(__xludf.DUMMYFUNCTION("""COMPUTED_VALUE"""),"bot0023")</f>
        <v>bot0023</v>
      </c>
      <c r="BE55" s="6"/>
      <c r="BF55" s="6"/>
      <c r="BG55" s="6">
        <f>IFERROR(__xludf.DUMMYFUNCTION("""COMPUTED_VALUE"""),2040.0)</f>
        <v>2040</v>
      </c>
      <c r="BH55" s="15">
        <f>IFERROR(__xludf.DUMMYFUNCTION("""COMPUTED_VALUE"""),46204.38728009259)</f>
        <v>46204.38728</v>
      </c>
      <c r="BI55" s="6">
        <f>IFERROR(__xludf.DUMMYFUNCTION("""COMPUTED_VALUE"""),54.0)</f>
        <v>54</v>
      </c>
      <c r="BJ55" s="6"/>
      <c r="BK55" s="6"/>
      <c r="BL55" s="6" t="str">
        <f>IFERROR(__xludf.DUMMYFUNCTION("""COMPUTED_VALUE"""),"GISBOT0023")</f>
        <v>GISBOT0023</v>
      </c>
      <c r="BM55" s="6"/>
      <c r="BN55" s="6"/>
      <c r="BO55" s="6"/>
      <c r="BP55" s="6"/>
      <c r="BQ55" s="6" t="str">
        <f>IFERROR(__xludf.DUMMYFUNCTION("""COMPUTED_VALUE"""),"XC_K4_Futbol")</f>
        <v>XC_K4_Futbol</v>
      </c>
      <c r="BR55" s="6"/>
      <c r="BS55" s="6"/>
      <c r="BT55" s="6"/>
      <c r="BU55" s="6" t="str">
        <f>IFERROR(__xludf.DUMMYFUNCTION("""COMPUTED_VALUE"""),"SI")</f>
        <v>SI</v>
      </c>
      <c r="BV55" s="6" t="str">
        <f>IFERROR(__xludf.DUMMYFUNCTION("""COMPUTED_VALUE"""),"juanf.b2040")</f>
        <v>juanf.b2040</v>
      </c>
      <c r="BW55" s="6"/>
      <c r="BX55" s="6"/>
      <c r="BY55" s="6"/>
      <c r="BZ55" s="6"/>
    </row>
    <row r="56">
      <c r="A56" s="12">
        <f>IFERROR(__xludf.DUMMYFUNCTION("""COMPUTED_VALUE"""),1.109575372E9)</f>
        <v>1109575372</v>
      </c>
      <c r="B56" s="6">
        <f>IFERROR(__xludf.DUMMYFUNCTION("""COMPUTED_VALUE"""),4.0)</f>
        <v>4</v>
      </c>
      <c r="C56" s="6" t="str">
        <f>IFERROR(__xludf.DUMMYFUNCTION("""COMPUTED_VALUE"""),"María")</f>
        <v>María</v>
      </c>
      <c r="D56" s="6" t="str">
        <f>IFERROR(__xludf.DUMMYFUNCTION("""COMPUTED_VALUE"""),"Lucía")</f>
        <v>Lucía</v>
      </c>
      <c r="E56" s="6" t="str">
        <f>IFERROR(__xludf.DUMMYFUNCTION("""COMPUTED_VALUE"""),"Corredor Botía")</f>
        <v>Corredor Botía</v>
      </c>
      <c r="F56" s="6" t="str">
        <f>IFERROR(__xludf.DUMMYFUNCTION("""COMPUTED_VALUE"""),"Condominio Campestre La Reserva Torre Malpelo Apto 706 - Cra 5 No10Nte - 25 Av Centenario")</f>
        <v>Condominio Campestre La Reserva Torre Malpelo Apto 706 - Cra 5 No10Nte - 25 Av Centenario</v>
      </c>
      <c r="G56" s="12" t="str">
        <f>IFERROR(__xludf.DUMMYFUNCTION("""COMPUTED_VALUE"""),"2022")</f>
        <v>2022</v>
      </c>
      <c r="H56" s="6" t="str">
        <f>IFERROR(__xludf.DUMMYFUNCTION("""COMPUTED_VALUE"""),"Septiembre")</f>
        <v>Septiembre</v>
      </c>
      <c r="I56" s="12" t="str">
        <f>IFERROR(__xludf.DUMMYFUNCTION("""COMPUTED_VALUE"""),"11")</f>
        <v>11</v>
      </c>
      <c r="J56" s="6" t="str">
        <f>IFERROR(__xludf.DUMMYFUNCTION("""COMPUTED_VALUE"""),"Armenia")</f>
        <v>Armenia</v>
      </c>
      <c r="K56" s="6" t="str">
        <f>IFERROR(__xludf.DUMMYFUNCTION("""COMPUTED_VALUE"""),"marial.c2040@gi.edu.co")</f>
        <v>marial.c2040@gi.edu.co</v>
      </c>
      <c r="L56" s="6" t="str">
        <f>IFERROR(__xludf.DUMMYFUNCTION("""COMPUTED_VALUE"""),"RC")</f>
        <v>RC</v>
      </c>
      <c r="M56" s="6" t="str">
        <f>IFERROR(__xludf.DUMMYFUNCTION("""COMPUTED_VALUE"""),"Armenia")</f>
        <v>Armenia</v>
      </c>
      <c r="N56" s="6" t="str">
        <f>IFERROR(__xludf.DUMMYFUNCTION("""COMPUTED_VALUE"""),"F")</f>
        <v>F</v>
      </c>
      <c r="O56" s="6" t="str">
        <f>IFERROR(__xludf.DUMMYFUNCTION("""COMPUTED_VALUE"""),"ACTIVE")</f>
        <v>ACTIVE</v>
      </c>
      <c r="P56" s="6"/>
      <c r="Q56" s="6" t="str">
        <f>IFERROR(__xludf.DUMMYFUNCTION("""COMPUTED_VALUE"""),"Armenia")</f>
        <v>Armenia</v>
      </c>
      <c r="R56" s="12" t="str">
        <f>IFERROR(__xludf.DUMMYFUNCTION("""COMPUTED_VALUE"""),"Gicw4u7mb*")</f>
        <v>Gicw4u7mb*</v>
      </c>
      <c r="S56" s="6" t="str">
        <f>IFERROR(__xludf.DUMMYFUNCTION("""COMPUTED_VALUE"""),"Corredor Botía María Lucía")</f>
        <v>Corredor Botía María Lucía</v>
      </c>
      <c r="T56" s="6" t="str">
        <f>IFERROR(__xludf.DUMMYFUNCTION("""COMPUTED_VALUE"""),"ANGEL BASILIO CORREDOR QUINTERO")</f>
        <v>ANGEL BASILIO CORREDOR QUINTERO</v>
      </c>
      <c r="U56" s="12" t="str">
        <f>IFERROR(__xludf.DUMMYFUNCTION("""COMPUTED_VALUE"""),"91537473")</f>
        <v>91537473</v>
      </c>
      <c r="V56" s="6">
        <f>IFERROR(__xludf.DUMMYFUNCTION("""COMPUTED_VALUE"""),3.002533307E9)</f>
        <v>3002533307</v>
      </c>
      <c r="W56" s="6" t="str">
        <f>IFERROR(__xludf.DUMMYFUNCTION("""COMPUTED_VALUE"""),"angel.corredor@gmail.com")</f>
        <v>angel.corredor@gmail.com</v>
      </c>
      <c r="X56" s="12" t="str">
        <f>IFERROR(__xludf.DUMMYFUNCTION("""COMPUTED_VALUE"""),"AB+")</f>
        <v>AB+</v>
      </c>
      <c r="Y56" s="12" t="str">
        <f>IFERROR(__xludf.DUMMYFUNCTION("""COMPUTED_VALUE"""),"K4")</f>
        <v>K4</v>
      </c>
      <c r="Z56" s="12">
        <f>IFERROR(__xludf.DUMMYFUNCTION("""COMPUTED_VALUE"""),120426.0)</f>
        <v>120426</v>
      </c>
      <c r="AA56" s="6" t="str">
        <f>IFERROR(__xludf.DUMMYFUNCTION("""COMPUTED_VALUE"""),"SANITAS")</f>
        <v>SANITAS</v>
      </c>
      <c r="AB56" s="6"/>
      <c r="AC56" s="6"/>
      <c r="AD56" s="12" t="str">
        <f>IFERROR(__xludf.DUMMYFUNCTION("""COMPUTED_VALUE"""),"K4A")</f>
        <v>K4A</v>
      </c>
      <c r="AE56" s="12" t="str">
        <f>IFERROR(__xludf.DUMMYFUNCTION("""COMPUTED_VALUE"""),"1345282437")</f>
        <v>1345282437</v>
      </c>
      <c r="AF56" s="12" t="str">
        <f>IFERROR(__xludf.DUMMYFUNCTION("""COMPUTED_VALUE"""),"1345282437")</f>
        <v>1345282437</v>
      </c>
      <c r="AG56" s="12" t="str">
        <f>IFERROR(__xludf.DUMMYFUNCTION("""COMPUTED_VALUE"""),"Karol")</f>
        <v>Karol</v>
      </c>
      <c r="AH56" s="12" t="str">
        <f>IFERROR(__xludf.DUMMYFUNCTION("""COMPUTED_VALUE"""),"Tatiana")</f>
        <v>Tatiana</v>
      </c>
      <c r="AI56" s="6" t="str">
        <f>IFERROR(__xludf.DUMMYFUNCTION("""COMPUTED_VALUE"""),"Botía Rodríguez")</f>
        <v>Botía Rodríguez</v>
      </c>
      <c r="AJ56" s="6" t="str">
        <f>IFERROR(__xludf.DUMMYFUNCTION("""COMPUTED_VALUE"""),"kataboro90@gmail.com")</f>
        <v>kataboro90@gmail.com</v>
      </c>
      <c r="AK56" s="6" t="str">
        <f>IFERROR(__xludf.DUMMYFUNCTION("""COMPUTED_VALUE"""),"Medico General")</f>
        <v>Medico General</v>
      </c>
      <c r="AL56" s="6" t="str">
        <f>IFERROR(__xludf.DUMMYFUNCTION("""COMPUTED_VALUE"""),"Cardiomet Cequin")</f>
        <v>Cardiomet Cequin</v>
      </c>
      <c r="AM56" s="12" t="str">
        <f>IFERROR(__xludf.DUMMYFUNCTION("""COMPUTED_VALUE"""),"1020753280")</f>
        <v>1020753280</v>
      </c>
      <c r="AN56" s="12" t="str">
        <f>IFERROR(__xludf.DUMMYFUNCTION("""COMPUTED_VALUE"""),"3015445461")</f>
        <v>3015445461</v>
      </c>
      <c r="AO56" s="6" t="str">
        <f>IFERROR(__xludf.DUMMYFUNCTION("""COMPUTED_VALUE"""),"Madre")</f>
        <v>Madre</v>
      </c>
      <c r="AP56" s="6" t="str">
        <f>IFERROR(__xludf.DUMMYFUNCTION("""COMPUTED_VALUE"""),"Estudiante(s): Corredor Botía")</f>
        <v>Estudiante(s): Corredor Botía</v>
      </c>
      <c r="AQ56" s="6" t="str">
        <f>IFERROR(__xludf.DUMMYFUNCTION("""COMPUTED_VALUE"""),"120426*Gi")</f>
        <v>120426*Gi</v>
      </c>
      <c r="AR56" s="6" t="str">
        <f>IFERROR(__xludf.DUMMYFUNCTION("""COMPUTED_VALUE"""),"Ángel")</f>
        <v>Ángel</v>
      </c>
      <c r="AS56" s="6" t="str">
        <f>IFERROR(__xludf.DUMMYFUNCTION("""COMPUTED_VALUE"""),"Basilio")</f>
        <v>Basilio</v>
      </c>
      <c r="AT56" s="6" t="str">
        <f>IFERROR(__xludf.DUMMYFUNCTION("""COMPUTED_VALUE"""),"Corredor Quintero")</f>
        <v>Corredor Quintero</v>
      </c>
      <c r="AU56" s="6" t="str">
        <f>IFERROR(__xludf.DUMMYFUNCTION("""COMPUTED_VALUE"""),"angel.corredor@gmail.com")</f>
        <v>angel.corredor@gmail.com</v>
      </c>
      <c r="AV56" s="6" t="str">
        <f>IFERROR(__xludf.DUMMYFUNCTION("""COMPUTED_VALUE"""),"Medico Neurologo")</f>
        <v>Medico Neurologo</v>
      </c>
      <c r="AW56" s="6" t="str">
        <f>IFERROR(__xludf.DUMMYFUNCTION("""COMPUTED_VALUE"""),"Clinica Central del Quindio")</f>
        <v>Clinica Central del Quindio</v>
      </c>
      <c r="AX56" s="12" t="str">
        <f>IFERROR(__xludf.DUMMYFUNCTION("""COMPUTED_VALUE"""),"91537473")</f>
        <v>91537473</v>
      </c>
      <c r="AY56" s="12" t="str">
        <f>IFERROR(__xludf.DUMMYFUNCTION("""COMPUTED_VALUE"""),"3002533307")</f>
        <v>3002533307</v>
      </c>
      <c r="AZ56" s="6" t="str">
        <f>IFERROR(__xludf.DUMMYFUNCTION("""COMPUTED_VALUE"""),"Padre")</f>
        <v>Padre</v>
      </c>
      <c r="BA56" s="6"/>
      <c r="BB56" s="6"/>
      <c r="BC56" s="6"/>
      <c r="BD56" s="12" t="str">
        <f>IFERROR(__xludf.DUMMYFUNCTION("""COMPUTED_VALUE"""),"cor0015")</f>
        <v>cor0015</v>
      </c>
      <c r="BE56" s="6"/>
      <c r="BF56" s="6"/>
      <c r="BG56" s="6">
        <f>IFERROR(__xludf.DUMMYFUNCTION("""COMPUTED_VALUE"""),2040.0)</f>
        <v>2040</v>
      </c>
      <c r="BH56" s="15">
        <f>IFERROR(__xludf.DUMMYFUNCTION("""COMPUTED_VALUE"""),46206.500763888886)</f>
        <v>46206.50076</v>
      </c>
      <c r="BI56" s="6">
        <f>IFERROR(__xludf.DUMMYFUNCTION("""COMPUTED_VALUE"""),55.0)</f>
        <v>55</v>
      </c>
      <c r="BJ56" s="6"/>
      <c r="BK56" s="6"/>
      <c r="BL56" s="6" t="str">
        <f>IFERROR(__xludf.DUMMYFUNCTION("""COMPUTED_VALUE"""),"GISCOR0015")</f>
        <v>GISCOR0015</v>
      </c>
      <c r="BM56" s="6"/>
      <c r="BN56" s="6"/>
      <c r="BO56" s="6"/>
      <c r="BP56" s="6" t="str">
        <f>IFERROR(__xludf.DUMMYFUNCTION("""COMPUTED_VALUE"""),"XC_K4_IniciaDanzas")</f>
        <v>XC_K4_IniciaDanzas</v>
      </c>
      <c r="BQ56" s="6" t="str">
        <f>IFERROR(__xludf.DUMMYFUNCTION("""COMPUTED_VALUE"""),"XC_K4_Futbol")</f>
        <v>XC_K4_Futbol</v>
      </c>
      <c r="BR56" s="6"/>
      <c r="BS56" s="6"/>
      <c r="BT56" s="6"/>
      <c r="BU56" s="6" t="str">
        <f>IFERROR(__xludf.DUMMYFUNCTION("""COMPUTED_VALUE"""),"SI")</f>
        <v>SI</v>
      </c>
      <c r="BV56" s="6" t="str">
        <f>IFERROR(__xludf.DUMMYFUNCTION("""COMPUTED_VALUE"""),"marial.c2040")</f>
        <v>marial.c2040</v>
      </c>
      <c r="BW56" s="6"/>
      <c r="BX56" s="6"/>
      <c r="BY56" s="6"/>
      <c r="BZ56" s="6"/>
    </row>
    <row r="57">
      <c r="A57" s="12">
        <f>IFERROR(__xludf.DUMMYFUNCTION("""COMPUTED_VALUE"""),1.090282711E9)</f>
        <v>1090282711</v>
      </c>
      <c r="B57" s="6">
        <f>IFERROR(__xludf.DUMMYFUNCTION("""COMPUTED_VALUE"""),5.0)</f>
        <v>5</v>
      </c>
      <c r="C57" s="6" t="str">
        <f>IFERROR(__xludf.DUMMYFUNCTION("""COMPUTED_VALUE"""),"Matías")</f>
        <v>Matías</v>
      </c>
      <c r="D57" s="6"/>
      <c r="E57" s="6" t="str">
        <f>IFERROR(__xludf.DUMMYFUNCTION("""COMPUTED_VALUE"""),"García López")</f>
        <v>García López</v>
      </c>
      <c r="F57" s="6" t="str">
        <f>IFERROR(__xludf.DUMMYFUNCTION("""COMPUTED_VALUE"""),"Condominio Campestre La Reserva Casa 38 - Cra 5 No10Nte - 25 Av Centenario")</f>
        <v>Condominio Campestre La Reserva Casa 38 - Cra 5 No10Nte - 25 Av Centenario</v>
      </c>
      <c r="G57" s="12" t="str">
        <f>IFERROR(__xludf.DUMMYFUNCTION("""COMPUTED_VALUE"""),"2021")</f>
        <v>2021</v>
      </c>
      <c r="H57" s="6" t="str">
        <f>IFERROR(__xludf.DUMMYFUNCTION("""COMPUTED_VALUE"""),"Octubre")</f>
        <v>Octubre</v>
      </c>
      <c r="I57" s="12" t="str">
        <f>IFERROR(__xludf.DUMMYFUNCTION("""COMPUTED_VALUE"""),"20")</f>
        <v>20</v>
      </c>
      <c r="J57" s="6" t="str">
        <f>IFERROR(__xludf.DUMMYFUNCTION("""COMPUTED_VALUE"""),"Armenia")</f>
        <v>Armenia</v>
      </c>
      <c r="K57" s="6" t="str">
        <f>IFERROR(__xludf.DUMMYFUNCTION("""COMPUTED_VALUE"""),"matias.g2040@gi.edu.co")</f>
        <v>matias.g2040@gi.edu.co</v>
      </c>
      <c r="L57" s="6" t="str">
        <f>IFERROR(__xludf.DUMMYFUNCTION("""COMPUTED_VALUE"""),"RC")</f>
        <v>RC</v>
      </c>
      <c r="M57" s="6" t="str">
        <f>IFERROR(__xludf.DUMMYFUNCTION("""COMPUTED_VALUE"""),"Armenia")</f>
        <v>Armenia</v>
      </c>
      <c r="N57" s="6" t="str">
        <f>IFERROR(__xludf.DUMMYFUNCTION("""COMPUTED_VALUE"""),"M")</f>
        <v>M</v>
      </c>
      <c r="O57" s="6" t="str">
        <f>IFERROR(__xludf.DUMMYFUNCTION("""COMPUTED_VALUE"""),"ACTIVE")</f>
        <v>ACTIVE</v>
      </c>
      <c r="P57" s="6"/>
      <c r="Q57" s="6" t="str">
        <f>IFERROR(__xludf.DUMMYFUNCTION("""COMPUTED_VALUE"""),"Armenia")</f>
        <v>Armenia</v>
      </c>
      <c r="R57" s="12" t="str">
        <f>IFERROR(__xludf.DUMMYFUNCTION("""COMPUTED_VALUE"""),"Gijfkgklgh24*")</f>
        <v>Gijfkgklgh24*</v>
      </c>
      <c r="S57" s="6" t="str">
        <f>IFERROR(__xludf.DUMMYFUNCTION("""COMPUTED_VALUE"""),"García López Matías ")</f>
        <v>García López Matías </v>
      </c>
      <c r="T57" s="6" t="str">
        <f>IFERROR(__xludf.DUMMYFUNCTION("""COMPUTED_VALUE"""),"JOHN SEBASTIAN GARCIA MARTINEZ")</f>
        <v>JOHN SEBASTIAN GARCIA MARTINEZ</v>
      </c>
      <c r="U57" s="12" t="str">
        <f>IFERROR(__xludf.DUMMYFUNCTION("""COMPUTED_VALUE"""),"9773446")</f>
        <v>9773446</v>
      </c>
      <c r="V57" s="6">
        <f>IFERROR(__xludf.DUMMYFUNCTION("""COMPUTED_VALUE"""),3.108256901E9)</f>
        <v>3108256901</v>
      </c>
      <c r="W57" s="6" t="str">
        <f>IFERROR(__xludf.DUMMYFUNCTION("""COMPUTED_VALUE"""),"cebas1279@gmail.com")</f>
        <v>cebas1279@gmail.com</v>
      </c>
      <c r="X57" s="12" t="str">
        <f>IFERROR(__xludf.DUMMYFUNCTION("""COMPUTED_VALUE"""),"O+")</f>
        <v>O+</v>
      </c>
      <c r="Y57" s="12" t="str">
        <f>IFERROR(__xludf.DUMMYFUNCTION("""COMPUTED_VALUE"""),"K4")</f>
        <v>K4</v>
      </c>
      <c r="Z57" s="6">
        <f>IFERROR(__xludf.DUMMYFUNCTION("""COMPUTED_VALUE"""),120577.0)</f>
        <v>120577</v>
      </c>
      <c r="AA57" s="6" t="str">
        <f>IFERROR(__xludf.DUMMYFUNCTION("""COMPUTED_VALUE"""),"SURA")</f>
        <v>SURA</v>
      </c>
      <c r="AB57" s="6" t="str">
        <f>IFERROR(__xludf.DUMMYFUNCTION("""COMPUTED_VALUE"""),"EMI")</f>
        <v>EMI</v>
      </c>
      <c r="AC57" s="6"/>
      <c r="AD57" s="12" t="str">
        <f>IFERROR(__xludf.DUMMYFUNCTION("""COMPUTED_VALUE"""),"K4A")</f>
        <v>K4A</v>
      </c>
      <c r="AE57" s="12" t="str">
        <f>IFERROR(__xludf.DUMMYFUNCTION("""COMPUTED_VALUE"""),"1345282574")</f>
        <v>1345282574</v>
      </c>
      <c r="AF57" s="12" t="str">
        <f>IFERROR(__xludf.DUMMYFUNCTION("""COMPUTED_VALUE"""),"1345282574")</f>
        <v>1345282574</v>
      </c>
      <c r="AG57" s="12" t="str">
        <f>IFERROR(__xludf.DUMMYFUNCTION("""COMPUTED_VALUE"""),"Lina")</f>
        <v>Lina</v>
      </c>
      <c r="AH57" s="12" t="str">
        <f>IFERROR(__xludf.DUMMYFUNCTION("""COMPUTED_VALUE"""),"Marcela")</f>
        <v>Marcela</v>
      </c>
      <c r="AI57" s="6" t="str">
        <f>IFERROR(__xludf.DUMMYFUNCTION("""COMPUTED_VALUE"""),"López Gil")</f>
        <v>López Gil</v>
      </c>
      <c r="AJ57" s="6" t="str">
        <f>IFERROR(__xludf.DUMMYFUNCTION("""COMPUTED_VALUE"""),"limalogi2008@hotmail.com")</f>
        <v>limalogi2008@hotmail.com</v>
      </c>
      <c r="AK57" s="6" t="str">
        <f>IFERROR(__xludf.DUMMYFUNCTION("""COMPUTED_VALUE"""),"Administradora de negocios internacionales")</f>
        <v>Administradora de negocios internacionales</v>
      </c>
      <c r="AL57" s="6" t="str">
        <f>IFERROR(__xludf.DUMMYFUNCTION("""COMPUTED_VALUE"""),"Innova finca raiz")</f>
        <v>Innova finca raiz</v>
      </c>
      <c r="AM57" s="12" t="str">
        <f>IFERROR(__xludf.DUMMYFUNCTION("""COMPUTED_VALUE"""),"1094899861")</f>
        <v>1094899861</v>
      </c>
      <c r="AN57" s="12" t="str">
        <f>IFERROR(__xludf.DUMMYFUNCTION("""COMPUTED_VALUE"""),"3212881006")</f>
        <v>3212881006</v>
      </c>
      <c r="AO57" s="6" t="str">
        <f>IFERROR(__xludf.DUMMYFUNCTION("""COMPUTED_VALUE"""),"Madre")</f>
        <v>Madre</v>
      </c>
      <c r="AP57" s="6" t="str">
        <f>IFERROR(__xludf.DUMMYFUNCTION("""COMPUTED_VALUE"""),"Estudiante(s): García López")</f>
        <v>Estudiante(s): García López</v>
      </c>
      <c r="AQ57" s="6" t="str">
        <f>IFERROR(__xludf.DUMMYFUNCTION("""COMPUTED_VALUE"""),"103958*Gi")</f>
        <v>103958*Gi</v>
      </c>
      <c r="AR57" s="6" t="str">
        <f>IFERROR(__xludf.DUMMYFUNCTION("""COMPUTED_VALUE"""),"John")</f>
        <v>John</v>
      </c>
      <c r="AS57" s="6" t="str">
        <f>IFERROR(__xludf.DUMMYFUNCTION("""COMPUTED_VALUE"""),"Sebastián")</f>
        <v>Sebastián</v>
      </c>
      <c r="AT57" s="6" t="str">
        <f>IFERROR(__xludf.DUMMYFUNCTION("""COMPUTED_VALUE"""),"García Martínez")</f>
        <v>García Martínez</v>
      </c>
      <c r="AU57" s="6" t="str">
        <f>IFERROR(__xludf.DUMMYFUNCTION("""COMPUTED_VALUE"""),"cebas1279@gmail.com")</f>
        <v>cebas1279@gmail.com</v>
      </c>
      <c r="AV57" s="6" t="str">
        <f>IFERROR(__xludf.DUMMYFUNCTION("""COMPUTED_VALUE"""),"Abogado")</f>
        <v>Abogado</v>
      </c>
      <c r="AW57" s="6" t="str">
        <f>IFERROR(__xludf.DUMMYFUNCTION("""COMPUTED_VALUE"""),"innova arquitectura inmobiliaria")</f>
        <v>innova arquitectura inmobiliaria</v>
      </c>
      <c r="AX57" s="12" t="str">
        <f>IFERROR(__xludf.DUMMYFUNCTION("""COMPUTED_VALUE"""),"9773446")</f>
        <v>9773446</v>
      </c>
      <c r="AY57" s="12" t="str">
        <f>IFERROR(__xludf.DUMMYFUNCTION("""COMPUTED_VALUE"""),"3108256901")</f>
        <v>3108256901</v>
      </c>
      <c r="AZ57" s="6" t="str">
        <f>IFERROR(__xludf.DUMMYFUNCTION("""COMPUTED_VALUE"""),"Padre")</f>
        <v>Padre</v>
      </c>
      <c r="BA57" s="6"/>
      <c r="BB57" s="6"/>
      <c r="BC57" s="6"/>
      <c r="BD57" s="12" t="str">
        <f>IFERROR(__xludf.DUMMYFUNCTION("""COMPUTED_VALUE"""),"gar0016")</f>
        <v>gar0016</v>
      </c>
      <c r="BE57" s="6"/>
      <c r="BF57" s="6"/>
      <c r="BG57" s="6">
        <f>IFERROR(__xludf.DUMMYFUNCTION("""COMPUTED_VALUE"""),2040.0)</f>
        <v>2040</v>
      </c>
      <c r="BH57" s="15">
        <f>IFERROR(__xludf.DUMMYFUNCTION("""COMPUTED_VALUE"""),46212.46822916667)</f>
        <v>46212.46823</v>
      </c>
      <c r="BI57" s="6">
        <f>IFERROR(__xludf.DUMMYFUNCTION("""COMPUTED_VALUE"""),56.0)</f>
        <v>56</v>
      </c>
      <c r="BJ57" s="6"/>
      <c r="BK57" s="6"/>
      <c r="BL57" s="6" t="str">
        <f>IFERROR(__xludf.DUMMYFUNCTION("""COMPUTED_VALUE"""),"GISGAR0016")</f>
        <v>GISGAR0016</v>
      </c>
      <c r="BM57" s="6"/>
      <c r="BN57" s="6"/>
      <c r="BO57" s="6"/>
      <c r="BP57" s="6"/>
      <c r="BQ57" s="6"/>
      <c r="BR57" s="6"/>
      <c r="BS57" s="6"/>
      <c r="BT57" s="6"/>
      <c r="BU57" s="6" t="str">
        <f>IFERROR(__xludf.DUMMYFUNCTION("""COMPUTED_VALUE"""),"SI")</f>
        <v>SI</v>
      </c>
      <c r="BV57" s="6" t="str">
        <f>IFERROR(__xludf.DUMMYFUNCTION("""COMPUTED_VALUE"""),"matias.g2040")</f>
        <v>matias.g2040</v>
      </c>
      <c r="BW57" s="6"/>
      <c r="BX57" s="6"/>
      <c r="BY57" s="6"/>
      <c r="BZ57" s="6"/>
    </row>
    <row r="58">
      <c r="A58" s="12">
        <f>IFERROR(__xludf.DUMMYFUNCTION("""COMPUTED_VALUE"""),1.035019005E9)</f>
        <v>1035019005</v>
      </c>
      <c r="B58" s="6">
        <f>IFERROR(__xludf.DUMMYFUNCTION("""COMPUTED_VALUE"""),6.0)</f>
        <v>6</v>
      </c>
      <c r="C58" s="6" t="str">
        <f>IFERROR(__xludf.DUMMYFUNCTION("""COMPUTED_VALUE"""),"Miranda")</f>
        <v>Miranda</v>
      </c>
      <c r="D58" s="6"/>
      <c r="E58" s="6" t="str">
        <f>IFERROR(__xludf.DUMMYFUNCTION("""COMPUTED_VALUE"""),"Godoy Betancur")</f>
        <v>Godoy Betancur</v>
      </c>
      <c r="F58" s="6" t="str">
        <f>IFERROR(__xludf.DUMMYFUNCTION("""COMPUTED_VALUE"""),"Condominio Campestre Guaduales del Eden Casa 22 - Km 9 Via El Eden")</f>
        <v>Condominio Campestre Guaduales del Eden Casa 22 - Km 9 Via El Eden</v>
      </c>
      <c r="G58" s="12" t="str">
        <f>IFERROR(__xludf.DUMMYFUNCTION("""COMPUTED_VALUE"""),"2022")</f>
        <v>2022</v>
      </c>
      <c r="H58" s="6" t="str">
        <f>IFERROR(__xludf.DUMMYFUNCTION("""COMPUTED_VALUE"""),"Febrero")</f>
        <v>Febrero</v>
      </c>
      <c r="I58" s="12" t="str">
        <f>IFERROR(__xludf.DUMMYFUNCTION("""COMPUTED_VALUE"""),"10")</f>
        <v>10</v>
      </c>
      <c r="J58" s="6" t="str">
        <f>IFERROR(__xludf.DUMMYFUNCTION("""COMPUTED_VALUE"""),"Medellín")</f>
        <v>Medellín</v>
      </c>
      <c r="K58" s="6" t="str">
        <f>IFERROR(__xludf.DUMMYFUNCTION("""COMPUTED_VALUE"""),"miranda.g2040@gi.edu.co")</f>
        <v>miranda.g2040@gi.edu.co</v>
      </c>
      <c r="L58" s="6" t="str">
        <f>IFERROR(__xludf.DUMMYFUNCTION("""COMPUTED_VALUE"""),"RC")</f>
        <v>RC</v>
      </c>
      <c r="M58" s="6" t="str">
        <f>IFERROR(__xludf.DUMMYFUNCTION("""COMPUTED_VALUE"""),"Medellín")</f>
        <v>Medellín</v>
      </c>
      <c r="N58" s="6" t="str">
        <f>IFERROR(__xludf.DUMMYFUNCTION("""COMPUTED_VALUE"""),"F")</f>
        <v>F</v>
      </c>
      <c r="O58" s="6" t="str">
        <f>IFERROR(__xludf.DUMMYFUNCTION("""COMPUTED_VALUE"""),"ACTIVE")</f>
        <v>ACTIVE</v>
      </c>
      <c r="P58" s="6"/>
      <c r="Q58" s="6" t="str">
        <f>IFERROR(__xludf.DUMMYFUNCTION("""COMPUTED_VALUE"""),"Armenia")</f>
        <v>Armenia</v>
      </c>
      <c r="R58" s="12" t="str">
        <f>IFERROR(__xludf.DUMMYFUNCTION("""COMPUTED_VALUE"""),"Git4kn87*")</f>
        <v>Git4kn87*</v>
      </c>
      <c r="S58" s="6" t="str">
        <f>IFERROR(__xludf.DUMMYFUNCTION("""COMPUTED_VALUE"""),"Godoy Betancur Miranda ")</f>
        <v>Godoy Betancur Miranda </v>
      </c>
      <c r="T58" s="6" t="str">
        <f>IFERROR(__xludf.DUMMYFUNCTION("""COMPUTED_VALUE"""),"ANDRES FELIPE GODOY ARITIZABAL")</f>
        <v>ANDRES FELIPE GODOY ARITIZABAL</v>
      </c>
      <c r="U58" s="12" t="str">
        <f>IFERROR(__xludf.DUMMYFUNCTION("""COMPUTED_VALUE"""),"1152687967")</f>
        <v>1152687967</v>
      </c>
      <c r="V58" s="6">
        <f>IFERROR(__xludf.DUMMYFUNCTION("""COMPUTED_VALUE"""),3.206910439E9)</f>
        <v>3206910439</v>
      </c>
      <c r="W58" s="6" t="str">
        <f>IFERROR(__xludf.DUMMYFUNCTION("""COMPUTED_VALUE"""),"andresgodoya@gmail.com")</f>
        <v>andresgodoya@gmail.com</v>
      </c>
      <c r="X58" s="12" t="str">
        <f>IFERROR(__xludf.DUMMYFUNCTION("""COMPUTED_VALUE"""),"O+")</f>
        <v>O+</v>
      </c>
      <c r="Y58" s="12" t="str">
        <f>IFERROR(__xludf.DUMMYFUNCTION("""COMPUTED_VALUE"""),"K4")</f>
        <v>K4</v>
      </c>
      <c r="Z58" s="6">
        <f>IFERROR(__xludf.DUMMYFUNCTION("""COMPUTED_VALUE"""),120503.0)</f>
        <v>120503</v>
      </c>
      <c r="AA58" s="6" t="str">
        <f>IFERROR(__xludf.DUMMYFUNCTION("""COMPUTED_VALUE"""),"SURA")</f>
        <v>SURA</v>
      </c>
      <c r="AB58" s="6"/>
      <c r="AC58" s="6"/>
      <c r="AD58" s="12" t="str">
        <f>IFERROR(__xludf.DUMMYFUNCTION("""COMPUTED_VALUE"""),"K4A")</f>
        <v>K4A</v>
      </c>
      <c r="AE58" s="6" t="str">
        <f>IFERROR(__xludf.DUMMYFUNCTION("""COMPUTED_VALUE"""),"1345282502")</f>
        <v>1345282502</v>
      </c>
      <c r="AF58" s="12" t="str">
        <f>IFERROR(__xludf.DUMMYFUNCTION("""COMPUTED_VALUE"""),"1345282502")</f>
        <v>1345282502</v>
      </c>
      <c r="AG58" s="12" t="str">
        <f>IFERROR(__xludf.DUMMYFUNCTION("""COMPUTED_VALUE"""),"Sara")</f>
        <v>Sara</v>
      </c>
      <c r="AH58" s="6"/>
      <c r="AI58" s="6" t="str">
        <f>IFERROR(__xludf.DUMMYFUNCTION("""COMPUTED_VALUE"""),"Betancur Sánchez")</f>
        <v>Betancur Sánchez</v>
      </c>
      <c r="AJ58" s="6" t="str">
        <f>IFERROR(__xludf.DUMMYFUNCTION("""COMPUTED_VALUE"""),"sarabetancur10@hotmail.com")</f>
        <v>sarabetancur10@hotmail.com</v>
      </c>
      <c r="AK58" s="6" t="str">
        <f>IFERROR(__xludf.DUMMYFUNCTION("""COMPUTED_VALUE"""),"PUBLICISTA")</f>
        <v>PUBLICISTA</v>
      </c>
      <c r="AL58" s="6" t="str">
        <f>IFERROR(__xludf.DUMMYFUNCTION("""COMPUTED_VALUE"""),"PORCICOLA LA GUZMANA SAS")</f>
        <v>PORCICOLA LA GUZMANA SAS</v>
      </c>
      <c r="AM58" s="12" t="str">
        <f>IFERROR(__xludf.DUMMYFUNCTION("""COMPUTED_VALUE"""),"1094924881")</f>
        <v>1094924881</v>
      </c>
      <c r="AN58" s="12" t="str">
        <f>IFERROR(__xludf.DUMMYFUNCTION("""COMPUTED_VALUE"""),"3206950621")</f>
        <v>3206950621</v>
      </c>
      <c r="AO58" s="6" t="str">
        <f>IFERROR(__xludf.DUMMYFUNCTION("""COMPUTED_VALUE"""),"Madre")</f>
        <v>Madre</v>
      </c>
      <c r="AP58" s="12" t="str">
        <f>IFERROR(__xludf.DUMMYFUNCTION("""COMPUTED_VALUE"""),"Estudiante(s): Godoy Betancur")</f>
        <v>Estudiante(s): Godoy Betancur</v>
      </c>
      <c r="AQ58" s="6" t="str">
        <f>IFERROR(__xludf.DUMMYFUNCTION("""COMPUTED_VALUE"""),"120503*Gi")</f>
        <v>120503*Gi</v>
      </c>
      <c r="AR58" s="6" t="str">
        <f>IFERROR(__xludf.DUMMYFUNCTION("""COMPUTED_VALUE"""),"Andrés")</f>
        <v>Andrés</v>
      </c>
      <c r="AS58" s="6" t="str">
        <f>IFERROR(__xludf.DUMMYFUNCTION("""COMPUTED_VALUE"""),"Felipe")</f>
        <v>Felipe</v>
      </c>
      <c r="AT58" s="6" t="str">
        <f>IFERROR(__xludf.DUMMYFUNCTION("""COMPUTED_VALUE"""),"Godoy Aristizábal")</f>
        <v>Godoy Aristizábal</v>
      </c>
      <c r="AU58" s="6" t="str">
        <f>IFERROR(__xludf.DUMMYFUNCTION("""COMPUTED_VALUE"""),"andresgodoya@gmail.com")</f>
        <v>andresgodoya@gmail.com</v>
      </c>
      <c r="AV58" s="6" t="str">
        <f>IFERROR(__xludf.DUMMYFUNCTION("""COMPUTED_VALUE"""),"INGENIERO MECANICO")</f>
        <v>INGENIERO MECANICO</v>
      </c>
      <c r="AW58" s="6" t="str">
        <f>IFERROR(__xludf.DUMMYFUNCTION("""COMPUTED_VALUE"""),"VOLT AI")</f>
        <v>VOLT AI</v>
      </c>
      <c r="AX58" s="12" t="str">
        <f>IFERROR(__xludf.DUMMYFUNCTION("""COMPUTED_VALUE"""),"1152687967")</f>
        <v>1152687967</v>
      </c>
      <c r="AY58" s="12" t="str">
        <f>IFERROR(__xludf.DUMMYFUNCTION("""COMPUTED_VALUE"""),"3206910439")</f>
        <v>3206910439</v>
      </c>
      <c r="AZ58" s="6" t="str">
        <f>IFERROR(__xludf.DUMMYFUNCTION("""COMPUTED_VALUE"""),"Padre")</f>
        <v>Padre</v>
      </c>
      <c r="BA58" s="6"/>
      <c r="BB58" s="6"/>
      <c r="BC58" s="6"/>
      <c r="BD58" s="12" t="str">
        <f>IFERROR(__xludf.DUMMYFUNCTION("""COMPUTED_VALUE"""),"god0001")</f>
        <v>god0001</v>
      </c>
      <c r="BE58" s="6"/>
      <c r="BF58" s="12" t="str">
        <f>IFERROR(__xludf.DUMMYFUNCTION("""COMPUTED_VALUE"""),"11M AGO/25 A JUN/27 SE APLICA MATR Y CTOS ESPECIALES")</f>
        <v>11M AGO/25 A JUN/27 SE APLICA MATR Y CTOS ESPECIALES</v>
      </c>
      <c r="BG58" s="6">
        <f>IFERROR(__xludf.DUMMYFUNCTION("""COMPUTED_VALUE"""),2040.0)</f>
        <v>2040</v>
      </c>
      <c r="BH58" s="15">
        <f>IFERROR(__xludf.DUMMYFUNCTION("""COMPUTED_VALUE"""),46210.88581018519)</f>
        <v>46210.88581</v>
      </c>
      <c r="BI58" s="6">
        <f>IFERROR(__xludf.DUMMYFUNCTION("""COMPUTED_VALUE"""),57.0)</f>
        <v>57</v>
      </c>
      <c r="BJ58" s="6"/>
      <c r="BK58" s="6"/>
      <c r="BL58" s="6" t="str">
        <f>IFERROR(__xludf.DUMMYFUNCTION("""COMPUTED_VALUE"""),"GISGOD0001")</f>
        <v>GISGOD0001</v>
      </c>
      <c r="BM58" s="6"/>
      <c r="BN58" s="6"/>
      <c r="BO58" s="6"/>
      <c r="BP58" s="6"/>
      <c r="BQ58" s="6" t="str">
        <f>IFERROR(__xludf.DUMMYFUNCTION("""COMPUTED_VALUE"""),"XC_K4_Polimotor")</f>
        <v>XC_K4_Polimotor</v>
      </c>
      <c r="BR58" s="6"/>
      <c r="BS58" s="6"/>
      <c r="BT58" s="6"/>
      <c r="BU58" s="6" t="str">
        <f>IFERROR(__xludf.DUMMYFUNCTION("""COMPUTED_VALUE"""),"SI")</f>
        <v>SI</v>
      </c>
      <c r="BV58" s="6" t="str">
        <f>IFERROR(__xludf.DUMMYFUNCTION("""COMPUTED_VALUE"""),"miranda.g2040")</f>
        <v>miranda.g2040</v>
      </c>
      <c r="BW58" s="6"/>
      <c r="BX58" s="6"/>
      <c r="BY58" s="6"/>
      <c r="BZ58" s="6"/>
    </row>
    <row r="59">
      <c r="A59" s="12">
        <f>IFERROR(__xludf.DUMMYFUNCTION("""COMPUTED_VALUE"""),1.232820148E9)</f>
        <v>1232820148</v>
      </c>
      <c r="B59" s="6">
        <f>IFERROR(__xludf.DUMMYFUNCTION("""COMPUTED_VALUE"""),7.0)</f>
        <v>7</v>
      </c>
      <c r="C59" s="6" t="str">
        <f>IFERROR(__xludf.DUMMYFUNCTION("""COMPUTED_VALUE"""),"Emilia")</f>
        <v>Emilia</v>
      </c>
      <c r="D59" s="6"/>
      <c r="E59" s="6" t="str">
        <f>IFERROR(__xludf.DUMMYFUNCTION("""COMPUTED_VALUE"""),"González Restrepo")</f>
        <v>González Restrepo</v>
      </c>
      <c r="F59" s="6" t="str">
        <f>IFERROR(__xludf.DUMMYFUNCTION("""COMPUTED_VALUE"""),"Condominio Hacienda Horizontes Casa 7 - Km 3 Via Circasia Vereda la Florida")</f>
        <v>Condominio Hacienda Horizontes Casa 7 - Km 3 Via Circasia Vereda la Florida</v>
      </c>
      <c r="G59" s="12" t="str">
        <f>IFERROR(__xludf.DUMMYFUNCTION("""COMPUTED_VALUE"""),"2022")</f>
        <v>2022</v>
      </c>
      <c r="H59" s="6" t="str">
        <f>IFERROR(__xludf.DUMMYFUNCTION("""COMPUTED_VALUE"""),"Mayo")</f>
        <v>Mayo</v>
      </c>
      <c r="I59" s="12" t="str">
        <f>IFERROR(__xludf.DUMMYFUNCTION("""COMPUTED_VALUE"""),"22")</f>
        <v>22</v>
      </c>
      <c r="J59" s="6" t="str">
        <f>IFERROR(__xludf.DUMMYFUNCTION("""COMPUTED_VALUE"""),"Cali")</f>
        <v>Cali</v>
      </c>
      <c r="K59" s="6" t="str">
        <f>IFERROR(__xludf.DUMMYFUNCTION("""COMPUTED_VALUE"""),"emilia.g2040@gi.edu.co")</f>
        <v>emilia.g2040@gi.edu.co</v>
      </c>
      <c r="L59" s="6" t="str">
        <f>IFERROR(__xludf.DUMMYFUNCTION("""COMPUTED_VALUE"""),"RC")</f>
        <v>RC</v>
      </c>
      <c r="M59" s="6" t="str">
        <f>IFERROR(__xludf.DUMMYFUNCTION("""COMPUTED_VALUE"""),"Cali")</f>
        <v>Cali</v>
      </c>
      <c r="N59" s="6" t="str">
        <f>IFERROR(__xludf.DUMMYFUNCTION("""COMPUTED_VALUE"""),"F")</f>
        <v>F</v>
      </c>
      <c r="O59" s="6" t="str">
        <f>IFERROR(__xludf.DUMMYFUNCTION("""COMPUTED_VALUE"""),"ACTIVE")</f>
        <v>ACTIVE</v>
      </c>
      <c r="P59" s="6"/>
      <c r="Q59" s="6" t="str">
        <f>IFERROR(__xludf.DUMMYFUNCTION("""COMPUTED_VALUE"""),"Circasia")</f>
        <v>Circasia</v>
      </c>
      <c r="R59" s="12" t="str">
        <f>IFERROR(__xludf.DUMMYFUNCTION("""COMPUTED_VALUE"""),"Gicc3y21*")</f>
        <v>Gicc3y21*</v>
      </c>
      <c r="S59" s="6" t="str">
        <f>IFERROR(__xludf.DUMMYFUNCTION("""COMPUTED_VALUE"""),"González Restrepo Emilia ")</f>
        <v>González Restrepo Emilia </v>
      </c>
      <c r="T59" s="6" t="str">
        <f>IFERROR(__xludf.DUMMYFUNCTION("""COMPUTED_VALUE"""),"PAULA MARCELA GONZALEZ RESTREPO")</f>
        <v>PAULA MARCELA GONZALEZ RESTREPO</v>
      </c>
      <c r="U59" s="12" t="str">
        <f>IFERROR(__xludf.DUMMYFUNCTION("""COMPUTED_VALUE"""),"41948785")</f>
        <v>41948785</v>
      </c>
      <c r="V59" s="6">
        <f>IFERROR(__xludf.DUMMYFUNCTION("""COMPUTED_VALUE"""),3.132085592E9)</f>
        <v>3132085592</v>
      </c>
      <c r="W59" s="6" t="str">
        <f>IFERROR(__xludf.DUMMYFUNCTION("""COMPUTED_VALUE"""),"gonzalez.paulam@gmail.com")</f>
        <v>gonzalez.paulam@gmail.com</v>
      </c>
      <c r="X59" s="12" t="str">
        <f>IFERROR(__xludf.DUMMYFUNCTION("""COMPUTED_VALUE"""),"A+")</f>
        <v>A+</v>
      </c>
      <c r="Y59" s="12" t="str">
        <f>IFERROR(__xludf.DUMMYFUNCTION("""COMPUTED_VALUE"""),"K4")</f>
        <v>K4</v>
      </c>
      <c r="Z59" s="6">
        <f>IFERROR(__xludf.DUMMYFUNCTION("""COMPUTED_VALUE"""),120516.0)</f>
        <v>120516</v>
      </c>
      <c r="AA59" s="6"/>
      <c r="AB59" s="6"/>
      <c r="AC59" s="6"/>
      <c r="AD59" s="12" t="str">
        <f>IFERROR(__xludf.DUMMYFUNCTION("""COMPUTED_VALUE"""),"K4A")</f>
        <v>K4A</v>
      </c>
      <c r="AE59" s="12" t="str">
        <f>IFERROR(__xludf.DUMMYFUNCTION("""COMPUTED_VALUE"""),"1345282515")</f>
        <v>1345282515</v>
      </c>
      <c r="AF59" s="12" t="str">
        <f>IFERROR(__xludf.DUMMYFUNCTION("""COMPUTED_VALUE"""),"1345282515")</f>
        <v>1345282515</v>
      </c>
      <c r="AG59" s="12" t="str">
        <f>IFERROR(__xludf.DUMMYFUNCTION("""COMPUTED_VALUE"""),"Paula")</f>
        <v>Paula</v>
      </c>
      <c r="AH59" s="12" t="str">
        <f>IFERROR(__xludf.DUMMYFUNCTION("""COMPUTED_VALUE"""),"Marcela")</f>
        <v>Marcela</v>
      </c>
      <c r="AI59" s="6" t="str">
        <f>IFERROR(__xludf.DUMMYFUNCTION("""COMPUTED_VALUE"""),"González Restrepo")</f>
        <v>González Restrepo</v>
      </c>
      <c r="AJ59" s="6" t="str">
        <f>IFERROR(__xludf.DUMMYFUNCTION("""COMPUTED_VALUE"""),"gonzalez.paulam@gmail.com")</f>
        <v>gonzalez.paulam@gmail.com</v>
      </c>
      <c r="AK59" s="6" t="str">
        <f>IFERROR(__xludf.DUMMYFUNCTION("""COMPUTED_VALUE"""),"INGENIERA ELECTRONICA")</f>
        <v>INGENIERA ELECTRONICA</v>
      </c>
      <c r="AL59" s="6" t="str">
        <f>IFERROR(__xludf.DUMMYFUNCTION("""COMPUTED_VALUE"""),"GASOLY SAS")</f>
        <v>GASOLY SAS</v>
      </c>
      <c r="AM59" s="12" t="str">
        <f>IFERROR(__xludf.DUMMYFUNCTION("""COMPUTED_VALUE"""),"41948785")</f>
        <v>41948785</v>
      </c>
      <c r="AN59" s="12" t="str">
        <f>IFERROR(__xludf.DUMMYFUNCTION("""COMPUTED_VALUE"""),"3132085592")</f>
        <v>3132085592</v>
      </c>
      <c r="AO59" s="6" t="str">
        <f>IFERROR(__xludf.DUMMYFUNCTION("""COMPUTED_VALUE"""),"Madre")</f>
        <v>Madre</v>
      </c>
      <c r="AP59" s="12" t="str">
        <f>IFERROR(__xludf.DUMMYFUNCTION("""COMPUTED_VALUE"""),"Estudiante(s): González Restrepo")</f>
        <v>Estudiante(s): González Restrepo</v>
      </c>
      <c r="AQ59" s="6" t="str">
        <f>IFERROR(__xludf.DUMMYFUNCTION("""COMPUTED_VALUE"""),"120516*Gi")</f>
        <v>120516*Gi</v>
      </c>
      <c r="AR59" s="6"/>
      <c r="AS59" s="6"/>
      <c r="AT59" s="6"/>
      <c r="AU59" s="6"/>
      <c r="AV59" s="6"/>
      <c r="AW59" s="6"/>
      <c r="AX59" s="6"/>
      <c r="AY59" s="6"/>
      <c r="AZ59" s="6" t="str">
        <f>IFERROR(__xludf.DUMMYFUNCTION("""COMPUTED_VALUE"""),"Padre")</f>
        <v>Padre</v>
      </c>
      <c r="BA59" s="6"/>
      <c r="BB59" s="6"/>
      <c r="BC59" s="6"/>
      <c r="BD59" s="12" t="str">
        <f>IFERROR(__xludf.DUMMYFUNCTION("""COMPUTED_VALUE"""),"gon0019")</f>
        <v>gon0019</v>
      </c>
      <c r="BE59" s="6"/>
      <c r="BF59" s="12" t="str">
        <f>IFERROR(__xludf.DUMMYFUNCTION("""COMPUTED_VALUE"""),"11M AGO/25 A JUN/27 SE APLICA MATR Y CTOS ESPECIALES")</f>
        <v>11M AGO/25 A JUN/27 SE APLICA MATR Y CTOS ESPECIALES</v>
      </c>
      <c r="BG59" s="6">
        <f>IFERROR(__xludf.DUMMYFUNCTION("""COMPUTED_VALUE"""),2040.0)</f>
        <v>2040</v>
      </c>
      <c r="BH59" s="15">
        <f>IFERROR(__xludf.DUMMYFUNCTION("""COMPUTED_VALUE"""),46230.90712962963)</f>
        <v>46230.90713</v>
      </c>
      <c r="BI59" s="6">
        <f>IFERROR(__xludf.DUMMYFUNCTION("""COMPUTED_VALUE"""),58.0)</f>
        <v>58</v>
      </c>
      <c r="BJ59" s="6"/>
      <c r="BK59" s="6"/>
      <c r="BL59" s="6" t="str">
        <f>IFERROR(__xludf.DUMMYFUNCTION("""COMPUTED_VALUE"""),"GISGON0019")</f>
        <v>GISGON0019</v>
      </c>
      <c r="BM59" s="6"/>
      <c r="BN59" s="6"/>
      <c r="BO59" s="6"/>
      <c r="BP59" s="6"/>
      <c r="BQ59" s="6"/>
      <c r="BR59" s="6"/>
      <c r="BS59" s="6"/>
      <c r="BT59" s="6"/>
      <c r="BU59" s="6" t="str">
        <f>IFERROR(__xludf.DUMMYFUNCTION("""COMPUTED_VALUE"""),"SI")</f>
        <v>SI</v>
      </c>
      <c r="BV59" s="6" t="str">
        <f>IFERROR(__xludf.DUMMYFUNCTION("""COMPUTED_VALUE"""),"emilia.g2040")</f>
        <v>emilia.g2040</v>
      </c>
      <c r="BW59" s="6"/>
      <c r="BX59" s="6"/>
      <c r="BY59" s="6"/>
      <c r="BZ59" s="6"/>
    </row>
    <row r="60">
      <c r="A60" s="12">
        <f>IFERROR(__xludf.DUMMYFUNCTION("""COMPUTED_VALUE"""),1.092866131E9)</f>
        <v>1092866131</v>
      </c>
      <c r="B60" s="6">
        <f>IFERROR(__xludf.DUMMYFUNCTION("""COMPUTED_VALUE"""),8.0)</f>
        <v>8</v>
      </c>
      <c r="C60" s="6" t="str">
        <f>IFERROR(__xludf.DUMMYFUNCTION("""COMPUTED_VALUE"""),"Emiliano")</f>
        <v>Emiliano</v>
      </c>
      <c r="D60" s="6"/>
      <c r="E60" s="6" t="str">
        <f>IFERROR(__xludf.DUMMYFUNCTION("""COMPUTED_VALUE"""),"Lopera Terranova")</f>
        <v>Lopera Terranova</v>
      </c>
      <c r="F60" s="6" t="str">
        <f>IFERROR(__xludf.DUMMYFUNCTION("""COMPUTED_VALUE"""),"Condominio Alcala Casa 41 - Calle 24ANte No 18 - 20")</f>
        <v>Condominio Alcala Casa 41 - Calle 24ANte No 18 - 20</v>
      </c>
      <c r="G60" s="12">
        <f>IFERROR(__xludf.DUMMYFUNCTION("""COMPUTED_VALUE"""),2022.0)</f>
        <v>2022</v>
      </c>
      <c r="H60" s="6" t="str">
        <f>IFERROR(__xludf.DUMMYFUNCTION("""COMPUTED_VALUE"""),"Junio")</f>
        <v>Junio</v>
      </c>
      <c r="I60" s="12">
        <f>IFERROR(__xludf.DUMMYFUNCTION("""COMPUTED_VALUE"""),23.0)</f>
        <v>23</v>
      </c>
      <c r="J60" s="6" t="str">
        <f>IFERROR(__xludf.DUMMYFUNCTION("""COMPUTED_VALUE"""),"Armenia")</f>
        <v>Armenia</v>
      </c>
      <c r="K60" s="6" t="str">
        <f>IFERROR(__xludf.DUMMYFUNCTION("""COMPUTED_VALUE"""),"emiliano.l2040@gi.edu.co")</f>
        <v>emiliano.l2040@gi.edu.co</v>
      </c>
      <c r="L60" s="6" t="str">
        <f>IFERROR(__xludf.DUMMYFUNCTION("""COMPUTED_VALUE"""),"RC")</f>
        <v>RC</v>
      </c>
      <c r="M60" s="6" t="str">
        <f>IFERROR(__xludf.DUMMYFUNCTION("""COMPUTED_VALUE"""),"Armenia")</f>
        <v>Armenia</v>
      </c>
      <c r="N60" s="6" t="str">
        <f>IFERROR(__xludf.DUMMYFUNCTION("""COMPUTED_VALUE"""),"M")</f>
        <v>M</v>
      </c>
      <c r="O60" s="6" t="str">
        <f>IFERROR(__xludf.DUMMYFUNCTION("""COMPUTED_VALUE"""),"ACTIVE")</f>
        <v>ACTIVE</v>
      </c>
      <c r="P60" s="6"/>
      <c r="Q60" s="6" t="str">
        <f>IFERROR(__xludf.DUMMYFUNCTION("""COMPUTED_VALUE"""),"Armenia")</f>
        <v>Armenia</v>
      </c>
      <c r="R60" s="12" t="str">
        <f>IFERROR(__xludf.DUMMYFUNCTION("""COMPUTED_VALUE"""),"Gitw2n15*")</f>
        <v>Gitw2n15*</v>
      </c>
      <c r="S60" s="6" t="str">
        <f>IFERROR(__xludf.DUMMYFUNCTION("""COMPUTED_VALUE"""),"Lopera Terranova Emiliano ")</f>
        <v>Lopera Terranova Emiliano </v>
      </c>
      <c r="T60" s="6" t="str">
        <f>IFERROR(__xludf.DUMMYFUNCTION("""COMPUTED_VALUE"""),"CRISTIAN CAMILO LOPERA GALVIS")</f>
        <v>CRISTIAN CAMILO LOPERA GALVIS</v>
      </c>
      <c r="U60" s="12" t="str">
        <f>IFERROR(__xludf.DUMMYFUNCTION("""COMPUTED_VALUE"""),"1094938619")</f>
        <v>1094938619</v>
      </c>
      <c r="V60" s="6">
        <f>IFERROR(__xludf.DUMMYFUNCTION("""COMPUTED_VALUE"""),3.217996805E9)</f>
        <v>3217996805</v>
      </c>
      <c r="W60" s="6" t="str">
        <f>IFERROR(__xludf.DUMMYFUNCTION("""COMPUTED_VALUE"""),"cristianlopera24@gmail.com")</f>
        <v>cristianlopera24@gmail.com</v>
      </c>
      <c r="X60" s="12" t="str">
        <f>IFERROR(__xludf.DUMMYFUNCTION("""COMPUTED_VALUE"""),"O+")</f>
        <v>O+</v>
      </c>
      <c r="Y60" s="12" t="str">
        <f>IFERROR(__xludf.DUMMYFUNCTION("""COMPUTED_VALUE"""),"K4")</f>
        <v>K4</v>
      </c>
      <c r="Z60" s="12">
        <f>IFERROR(__xludf.DUMMYFUNCTION("""COMPUTED_VALUE"""),120434.0)</f>
        <v>120434</v>
      </c>
      <c r="AA60" s="6" t="str">
        <f>IFERROR(__xludf.DUMMYFUNCTION("""COMPUTED_VALUE"""),"SURA")</f>
        <v>SURA</v>
      </c>
      <c r="AB60" s="6"/>
      <c r="AC60" s="6"/>
      <c r="AD60" s="12" t="str">
        <f>IFERROR(__xludf.DUMMYFUNCTION("""COMPUTED_VALUE"""),"K4A")</f>
        <v>K4A</v>
      </c>
      <c r="AE60" s="12" t="str">
        <f>IFERROR(__xludf.DUMMYFUNCTION("""COMPUTED_VALUE"""),"1345282438")</f>
        <v>1345282438</v>
      </c>
      <c r="AF60" s="12" t="str">
        <f>IFERROR(__xludf.DUMMYFUNCTION("""COMPUTED_VALUE"""),"1345282438")</f>
        <v>1345282438</v>
      </c>
      <c r="AG60" s="12" t="str">
        <f>IFERROR(__xludf.DUMMYFUNCTION("""COMPUTED_VALUE"""),"Karen")</f>
        <v>Karen</v>
      </c>
      <c r="AH60" s="12" t="str">
        <f>IFERROR(__xludf.DUMMYFUNCTION("""COMPUTED_VALUE"""),"Lorena")</f>
        <v>Lorena</v>
      </c>
      <c r="AI60" s="6" t="str">
        <f>IFERROR(__xludf.DUMMYFUNCTION("""COMPUTED_VALUE"""),"Terranova Gómez")</f>
        <v>Terranova Gómez</v>
      </c>
      <c r="AJ60" s="6" t="str">
        <f>IFERROR(__xludf.DUMMYFUNCTION("""COMPUTED_VALUE"""),"karenterranova0130@gmail.com")</f>
        <v>karenterranova0130@gmail.com</v>
      </c>
      <c r="AK60" s="6" t="str">
        <f>IFERROR(__xludf.DUMMYFUNCTION("""COMPUTED_VALUE"""),"Empresaria y Estudiante")</f>
        <v>Empresaria y Estudiante</v>
      </c>
      <c r="AL60" s="6" t="str">
        <f>IFERROR(__xludf.DUMMYFUNCTION("""COMPUTED_VALUE"""),"Extensiones de pestañas y mas Lorena Terranova")</f>
        <v>Extensiones de pestañas y mas Lorena Terranova</v>
      </c>
      <c r="AM60" s="12" t="str">
        <f>IFERROR(__xludf.DUMMYFUNCTION("""COMPUTED_VALUE"""),"1094966455")</f>
        <v>1094966455</v>
      </c>
      <c r="AN60" s="12" t="str">
        <f>IFERROR(__xludf.DUMMYFUNCTION("""COMPUTED_VALUE"""),"3234640709")</f>
        <v>3234640709</v>
      </c>
      <c r="AO60" s="6" t="str">
        <f>IFERROR(__xludf.DUMMYFUNCTION("""COMPUTED_VALUE"""),"Madre")</f>
        <v>Madre</v>
      </c>
      <c r="AP60" s="6" t="str">
        <f>IFERROR(__xludf.DUMMYFUNCTION("""COMPUTED_VALUE"""),"Estudiante(s): Lopera Terranova")</f>
        <v>Estudiante(s): Lopera Terranova</v>
      </c>
      <c r="AQ60" s="6" t="str">
        <f>IFERROR(__xludf.DUMMYFUNCTION("""COMPUTED_VALUE"""),"120434*Gi")</f>
        <v>120434*Gi</v>
      </c>
      <c r="AR60" s="6" t="str">
        <f>IFERROR(__xludf.DUMMYFUNCTION("""COMPUTED_VALUE"""),"Cristian")</f>
        <v>Cristian</v>
      </c>
      <c r="AS60" s="6" t="str">
        <f>IFERROR(__xludf.DUMMYFUNCTION("""COMPUTED_VALUE"""),"Camilo")</f>
        <v>Camilo</v>
      </c>
      <c r="AT60" s="6" t="str">
        <f>IFERROR(__xludf.DUMMYFUNCTION("""COMPUTED_VALUE"""),"Lopera Galvis")</f>
        <v>Lopera Galvis</v>
      </c>
      <c r="AU60" s="6" t="str">
        <f>IFERROR(__xludf.DUMMYFUNCTION("""COMPUTED_VALUE"""),"cristianlopera24@gmail.com")</f>
        <v>cristianlopera24@gmail.com</v>
      </c>
      <c r="AV60" s="6" t="str">
        <f>IFERROR(__xludf.DUMMYFUNCTION("""COMPUTED_VALUE"""),"QA Engineer")</f>
        <v>QA Engineer</v>
      </c>
      <c r="AW60" s="6" t="str">
        <f>IFERROR(__xludf.DUMMYFUNCTION("""COMPUTED_VALUE"""),"Globant and Darwin AI")</f>
        <v>Globant and Darwin AI</v>
      </c>
      <c r="AX60" s="12" t="str">
        <f>IFERROR(__xludf.DUMMYFUNCTION("""COMPUTED_VALUE"""),"1094938619")</f>
        <v>1094938619</v>
      </c>
      <c r="AY60" s="12" t="str">
        <f>IFERROR(__xludf.DUMMYFUNCTION("""COMPUTED_VALUE"""),"3217996805")</f>
        <v>3217996805</v>
      </c>
      <c r="AZ60" s="6" t="str">
        <f>IFERROR(__xludf.DUMMYFUNCTION("""COMPUTED_VALUE"""),"Padre")</f>
        <v>Padre</v>
      </c>
      <c r="BA60" s="6"/>
      <c r="BB60" s="6"/>
      <c r="BC60" s="6"/>
      <c r="BD60" s="12" t="str">
        <f>IFERROR(__xludf.DUMMYFUNCTION("""COMPUTED_VALUE"""),"lop0008")</f>
        <v>lop0008</v>
      </c>
      <c r="BE60" s="6"/>
      <c r="BF60" s="6"/>
      <c r="BG60" s="6">
        <f>IFERROR(__xludf.DUMMYFUNCTION("""COMPUTED_VALUE"""),2040.0)</f>
        <v>2040</v>
      </c>
      <c r="BH60" s="15">
        <f>IFERROR(__xludf.DUMMYFUNCTION("""COMPUTED_VALUE"""),46204.82313657407)</f>
        <v>46204.82314</v>
      </c>
      <c r="BI60" s="6">
        <f>IFERROR(__xludf.DUMMYFUNCTION("""COMPUTED_VALUE"""),59.0)</f>
        <v>59</v>
      </c>
      <c r="BJ60" s="6"/>
      <c r="BK60" s="6"/>
      <c r="BL60" s="6" t="str">
        <f>IFERROR(__xludf.DUMMYFUNCTION("""COMPUTED_VALUE"""),"GISLOP0008")</f>
        <v>GISLOP0008</v>
      </c>
      <c r="BM60" s="6"/>
      <c r="BN60" s="6"/>
      <c r="BO60" s="6"/>
      <c r="BP60" s="6"/>
      <c r="BQ60" s="6"/>
      <c r="BR60" s="6"/>
      <c r="BS60" s="6"/>
      <c r="BT60" s="6"/>
      <c r="BU60" s="6" t="str">
        <f>IFERROR(__xludf.DUMMYFUNCTION("""COMPUTED_VALUE"""),"SI")</f>
        <v>SI</v>
      </c>
      <c r="BV60" s="6" t="str">
        <f>IFERROR(__xludf.DUMMYFUNCTION("""COMPUTED_VALUE"""),"emiliano.l2040")</f>
        <v>emiliano.l2040</v>
      </c>
      <c r="BW60" s="6"/>
      <c r="BX60" s="6"/>
      <c r="BY60" s="6"/>
      <c r="BZ60" s="6"/>
    </row>
    <row r="61">
      <c r="A61" s="12">
        <f>IFERROR(__xludf.DUMMYFUNCTION("""COMPUTED_VALUE"""),1.092865967E9)</f>
        <v>1092865967</v>
      </c>
      <c r="B61" s="6">
        <f>IFERROR(__xludf.DUMMYFUNCTION("""COMPUTED_VALUE"""),9.0)</f>
        <v>9</v>
      </c>
      <c r="C61" s="6" t="str">
        <f>IFERROR(__xludf.DUMMYFUNCTION("""COMPUTED_VALUE"""),"Emiliana")</f>
        <v>Emiliana</v>
      </c>
      <c r="D61" s="6"/>
      <c r="E61" s="6" t="str">
        <f>IFERROR(__xludf.DUMMYFUNCTION("""COMPUTED_VALUE"""),"Marín Cantor")</f>
        <v>Marín Cantor</v>
      </c>
      <c r="F61" s="6" t="str">
        <f>IFERROR(__xludf.DUMMYFUNCTION("""COMPUTED_VALUE"""),"Conjunto La Estacion Eden Casa 13 - Vía Armenia - La Tebaida")</f>
        <v>Conjunto La Estacion Eden Casa 13 - Vía Armenia - La Tebaida</v>
      </c>
      <c r="G61" s="12" t="str">
        <f>IFERROR(__xludf.DUMMYFUNCTION("""COMPUTED_VALUE"""),"2022")</f>
        <v>2022</v>
      </c>
      <c r="H61" s="6" t="str">
        <f>IFERROR(__xludf.DUMMYFUNCTION("""COMPUTED_VALUE"""),"Abril")</f>
        <v>Abril</v>
      </c>
      <c r="I61" s="12" t="str">
        <f>IFERROR(__xludf.DUMMYFUNCTION("""COMPUTED_VALUE"""),"25")</f>
        <v>25</v>
      </c>
      <c r="J61" s="6" t="str">
        <f>IFERROR(__xludf.DUMMYFUNCTION("""COMPUTED_VALUE"""),"Armenia")</f>
        <v>Armenia</v>
      </c>
      <c r="K61" s="6" t="str">
        <f>IFERROR(__xludf.DUMMYFUNCTION("""COMPUTED_VALUE"""),"emiliana.m2040@gi.edu.co")</f>
        <v>emiliana.m2040@gi.edu.co</v>
      </c>
      <c r="L61" s="6" t="str">
        <f>IFERROR(__xludf.DUMMYFUNCTION("""COMPUTED_VALUE"""),"RC")</f>
        <v>RC</v>
      </c>
      <c r="M61" s="6" t="str">
        <f>IFERROR(__xludf.DUMMYFUNCTION("""COMPUTED_VALUE"""),"Armenia")</f>
        <v>Armenia</v>
      </c>
      <c r="N61" s="6" t="str">
        <f>IFERROR(__xludf.DUMMYFUNCTION("""COMPUTED_VALUE"""),"F")</f>
        <v>F</v>
      </c>
      <c r="O61" s="6" t="str">
        <f>IFERROR(__xludf.DUMMYFUNCTION("""COMPUTED_VALUE"""),"ACTIVE")</f>
        <v>ACTIVE</v>
      </c>
      <c r="P61" s="6"/>
      <c r="Q61" s="6" t="str">
        <f>IFERROR(__xludf.DUMMYFUNCTION("""COMPUTED_VALUE"""),"Armenia")</f>
        <v>Armenia</v>
      </c>
      <c r="R61" s="12" t="str">
        <f>IFERROR(__xludf.DUMMYFUNCTION("""COMPUTED_VALUE"""),"Gict544kb*")</f>
        <v>Gict544kb*</v>
      </c>
      <c r="S61" s="6" t="str">
        <f>IFERROR(__xludf.DUMMYFUNCTION("""COMPUTED_VALUE"""),"Marín Cantor Emiliana ")</f>
        <v>Marín Cantor Emiliana </v>
      </c>
      <c r="T61" s="6" t="str">
        <f>IFERROR(__xludf.DUMMYFUNCTION("""COMPUTED_VALUE"""),"DAVID ALONSO MARIN GIRALDO")</f>
        <v>DAVID ALONSO MARIN GIRALDO</v>
      </c>
      <c r="U61" s="12" t="str">
        <f>IFERROR(__xludf.DUMMYFUNCTION("""COMPUTED_VALUE"""),"1094906235")</f>
        <v>1094906235</v>
      </c>
      <c r="V61" s="6">
        <f>IFERROR(__xludf.DUMMYFUNCTION("""COMPUTED_VALUE"""),3.117699417E9)</f>
        <v>3117699417</v>
      </c>
      <c r="W61" s="6" t="str">
        <f>IFERROR(__xludf.DUMMYFUNCTION("""COMPUTED_VALUE"""),"marindavid262@gmail.com")</f>
        <v>marindavid262@gmail.com</v>
      </c>
      <c r="X61" s="12" t="str">
        <f>IFERROR(__xludf.DUMMYFUNCTION("""COMPUTED_VALUE"""),"O+")</f>
        <v>O+</v>
      </c>
      <c r="Y61" s="12" t="str">
        <f>IFERROR(__xludf.DUMMYFUNCTION("""COMPUTED_VALUE"""),"K4")</f>
        <v>K4</v>
      </c>
      <c r="Z61" s="6">
        <f>IFERROR(__xludf.DUMMYFUNCTION("""COMPUTED_VALUE"""),120582.0)</f>
        <v>120582</v>
      </c>
      <c r="AA61" s="6" t="str">
        <f>IFERROR(__xludf.DUMMYFUNCTION("""COMPUTED_VALUE"""),"NUEVA EPS")</f>
        <v>NUEVA EPS</v>
      </c>
      <c r="AB61" s="6"/>
      <c r="AC61" s="6"/>
      <c r="AD61" s="12" t="str">
        <f>IFERROR(__xludf.DUMMYFUNCTION("""COMPUTED_VALUE"""),"K4A")</f>
        <v>K4A</v>
      </c>
      <c r="AE61" s="6">
        <f>IFERROR(__xludf.DUMMYFUNCTION("""COMPUTED_VALUE"""),1.345282579E9)</f>
        <v>1345282579</v>
      </c>
      <c r="AF61" s="12">
        <f>IFERROR(__xludf.DUMMYFUNCTION("""COMPUTED_VALUE"""),1.345282579E9)</f>
        <v>1345282579</v>
      </c>
      <c r="AG61" s="12" t="str">
        <f>IFERROR(__xludf.DUMMYFUNCTION("""COMPUTED_VALUE"""),"Diomar")</f>
        <v>Diomar</v>
      </c>
      <c r="AH61" s="12" t="str">
        <f>IFERROR(__xludf.DUMMYFUNCTION("""COMPUTED_VALUE"""),"Lizeth")</f>
        <v>Lizeth</v>
      </c>
      <c r="AI61" s="6" t="str">
        <f>IFERROR(__xludf.DUMMYFUNCTION("""COMPUTED_VALUE"""),"Cantor Alvarado")</f>
        <v>Cantor Alvarado</v>
      </c>
      <c r="AJ61" s="6" t="str">
        <f>IFERROR(__xludf.DUMMYFUNCTION("""COMPUTED_VALUE"""),"arq.diomarcantor@hotmail.com")</f>
        <v>arq.diomarcantor@hotmail.com</v>
      </c>
      <c r="AK61" s="6" t="str">
        <f>IFERROR(__xludf.DUMMYFUNCTION("""COMPUTED_VALUE"""),"Arquitecta")</f>
        <v>Arquitecta</v>
      </c>
      <c r="AL61" s="6" t="str">
        <f>IFERROR(__xludf.DUMMYFUNCTION("""COMPUTED_VALUE"""),"Independiente")</f>
        <v>Independiente</v>
      </c>
      <c r="AM61" s="12" t="str">
        <f>IFERROR(__xludf.DUMMYFUNCTION("""COMPUTED_VALUE"""),"1094941118")</f>
        <v>1094941118</v>
      </c>
      <c r="AN61" s="12" t="str">
        <f>IFERROR(__xludf.DUMMYFUNCTION("""COMPUTED_VALUE"""),"3246308214")</f>
        <v>3246308214</v>
      </c>
      <c r="AO61" s="6" t="str">
        <f>IFERROR(__xludf.DUMMYFUNCTION("""COMPUTED_VALUE"""),"Madre")</f>
        <v>Madre</v>
      </c>
      <c r="AP61" s="12" t="str">
        <f>IFERROR(__xludf.DUMMYFUNCTION("""COMPUTED_VALUE"""),"Estudiante(s): Marín Cantor")</f>
        <v>Estudiante(s): Marín Cantor</v>
      </c>
      <c r="AQ61" s="6" t="str">
        <f>IFERROR(__xludf.DUMMYFUNCTION("""COMPUTED_VALUE"""),"120582*Gi")</f>
        <v>120582*Gi</v>
      </c>
      <c r="AR61" s="6" t="str">
        <f>IFERROR(__xludf.DUMMYFUNCTION("""COMPUTED_VALUE"""),"David")</f>
        <v>David</v>
      </c>
      <c r="AS61" s="6" t="str">
        <f>IFERROR(__xludf.DUMMYFUNCTION("""COMPUTED_VALUE"""),"Alonso")</f>
        <v>Alonso</v>
      </c>
      <c r="AT61" s="6" t="str">
        <f>IFERROR(__xludf.DUMMYFUNCTION("""COMPUTED_VALUE"""),"Marín Giraldo")</f>
        <v>Marín Giraldo</v>
      </c>
      <c r="AU61" s="6" t="str">
        <f>IFERROR(__xludf.DUMMYFUNCTION("""COMPUTED_VALUE"""),"marindavid262@gmail.com")</f>
        <v>marindavid262@gmail.com</v>
      </c>
      <c r="AV61" s="6" t="str">
        <f>IFERROR(__xludf.DUMMYFUNCTION("""COMPUTED_VALUE"""),"Abogado")</f>
        <v>Abogado</v>
      </c>
      <c r="AW61" s="6" t="str">
        <f>IFERROR(__xludf.DUMMYFUNCTION("""COMPUTED_VALUE"""),"FONDO PASIVO SOCIAL DE FERROCARRILES NACIONALES DE COLOMBIA - PENSIONES")</f>
        <v>FONDO PASIVO SOCIAL DE FERROCARRILES NACIONALES DE COLOMBIA - PENSIONES</v>
      </c>
      <c r="AX61" s="12" t="str">
        <f>IFERROR(__xludf.DUMMYFUNCTION("""COMPUTED_VALUE"""),"1094906235")</f>
        <v>1094906235</v>
      </c>
      <c r="AY61" s="12" t="str">
        <f>IFERROR(__xludf.DUMMYFUNCTION("""COMPUTED_VALUE"""),"3117699417")</f>
        <v>3117699417</v>
      </c>
      <c r="AZ61" s="6" t="str">
        <f>IFERROR(__xludf.DUMMYFUNCTION("""COMPUTED_VALUE"""),"Padre")</f>
        <v>Padre</v>
      </c>
      <c r="BA61" s="6"/>
      <c r="BB61" s="6"/>
      <c r="BC61" s="6"/>
      <c r="BD61" s="12" t="str">
        <f>IFERROR(__xludf.DUMMYFUNCTION("""COMPUTED_VALUE"""),"mar0022")</f>
        <v>mar0022</v>
      </c>
      <c r="BE61" s="6"/>
      <c r="BF61" s="12" t="str">
        <f>IFERROR(__xludf.DUMMYFUNCTION("""COMPUTED_VALUE"""),"7M+4m MAR/26 A FEB/27 SE APLICA MATR Y CTOS ESPECIALES")</f>
        <v>7M+4m MAR/26 A FEB/27 SE APLICA MATR Y CTOS ESPECIALES</v>
      </c>
      <c r="BG61" s="6">
        <f>IFERROR(__xludf.DUMMYFUNCTION("""COMPUTED_VALUE"""),2040.0)</f>
        <v>2040</v>
      </c>
      <c r="BH61" s="15">
        <f>IFERROR(__xludf.DUMMYFUNCTION("""COMPUTED_VALUE"""),46212.79949074074)</f>
        <v>46212.79949</v>
      </c>
      <c r="BI61" s="6">
        <f>IFERROR(__xludf.DUMMYFUNCTION("""COMPUTED_VALUE"""),60.0)</f>
        <v>60</v>
      </c>
      <c r="BJ61" s="6"/>
      <c r="BK61" s="6"/>
      <c r="BL61" s="6" t="str">
        <f>IFERROR(__xludf.DUMMYFUNCTION("""COMPUTED_VALUE"""),"GISMAR0022")</f>
        <v>GISMAR0022</v>
      </c>
      <c r="BM61" s="6"/>
      <c r="BN61" s="6"/>
      <c r="BO61" s="6"/>
      <c r="BP61" s="6"/>
      <c r="BQ61" s="6"/>
      <c r="BR61" s="6"/>
      <c r="BS61" s="6"/>
      <c r="BT61" s="6"/>
      <c r="BU61" s="6" t="str">
        <f>IFERROR(__xludf.DUMMYFUNCTION("""COMPUTED_VALUE"""),"SI")</f>
        <v>SI</v>
      </c>
      <c r="BV61" s="6" t="str">
        <f>IFERROR(__xludf.DUMMYFUNCTION("""COMPUTED_VALUE"""),"emiliana.m2040")</f>
        <v>emiliana.m2040</v>
      </c>
      <c r="BW61" s="6"/>
      <c r="BX61" s="6"/>
      <c r="BY61" s="6"/>
      <c r="BZ61" s="6"/>
    </row>
    <row r="62">
      <c r="A62" s="12">
        <f>IFERROR(__xludf.DUMMYFUNCTION("""COMPUTED_VALUE"""),1.021515788E9)</f>
        <v>1021515788</v>
      </c>
      <c r="B62" s="6">
        <f>IFERROR(__xludf.DUMMYFUNCTION("""COMPUTED_VALUE"""),10.0)</f>
        <v>10</v>
      </c>
      <c r="C62" s="6" t="str">
        <f>IFERROR(__xludf.DUMMYFUNCTION("""COMPUTED_VALUE"""),"Celeste")</f>
        <v>Celeste</v>
      </c>
      <c r="D62" s="6"/>
      <c r="E62" s="6" t="str">
        <f>IFERROR(__xludf.DUMMYFUNCTION("""COMPUTED_VALUE"""),"Méndez Reyes")</f>
        <v>Méndez Reyes</v>
      </c>
      <c r="F62" s="6" t="str">
        <f>IFERROR(__xludf.DUMMYFUNCTION("""COMPUTED_VALUE"""),"Conjunto Campestre Ananda Casa 29- Km 4 Via La Tebaida El Caimo")</f>
        <v>Conjunto Campestre Ananda Casa 29- Km 4 Via La Tebaida El Caimo</v>
      </c>
      <c r="G62" s="12" t="str">
        <f>IFERROR(__xludf.DUMMYFUNCTION("""COMPUTED_VALUE"""),"2022")</f>
        <v>2022</v>
      </c>
      <c r="H62" s="6" t="str">
        <f>IFERROR(__xludf.DUMMYFUNCTION("""COMPUTED_VALUE"""),"Agosto")</f>
        <v>Agosto</v>
      </c>
      <c r="I62" s="12" t="str">
        <f>IFERROR(__xludf.DUMMYFUNCTION("""COMPUTED_VALUE"""),"22")</f>
        <v>22</v>
      </c>
      <c r="J62" s="6" t="str">
        <f>IFERROR(__xludf.DUMMYFUNCTION("""COMPUTED_VALUE"""),"Bogotá D.C.")</f>
        <v>Bogotá D.C.</v>
      </c>
      <c r="K62" s="6" t="str">
        <f>IFERROR(__xludf.DUMMYFUNCTION("""COMPUTED_VALUE"""),"celeste.m2040@gi.edu.co")</f>
        <v>celeste.m2040@gi.edu.co</v>
      </c>
      <c r="L62" s="6" t="str">
        <f>IFERROR(__xludf.DUMMYFUNCTION("""COMPUTED_VALUE"""),"RC")</f>
        <v>RC</v>
      </c>
      <c r="M62" s="6" t="str">
        <f>IFERROR(__xludf.DUMMYFUNCTION("""COMPUTED_VALUE"""),"Bogotá D.C.")</f>
        <v>Bogotá D.C.</v>
      </c>
      <c r="N62" s="6" t="str">
        <f>IFERROR(__xludf.DUMMYFUNCTION("""COMPUTED_VALUE"""),"F")</f>
        <v>F</v>
      </c>
      <c r="O62" s="6" t="str">
        <f>IFERROR(__xludf.DUMMYFUNCTION("""COMPUTED_VALUE"""),"INACTIVE")</f>
        <v>INACTIVE</v>
      </c>
      <c r="P62" s="6"/>
      <c r="Q62" s="6" t="str">
        <f>IFERROR(__xludf.DUMMYFUNCTION("""COMPUTED_VALUE"""),"Armenia")</f>
        <v>Armenia</v>
      </c>
      <c r="R62" s="12" t="str">
        <f>IFERROR(__xludf.DUMMYFUNCTION("""COMPUTED_VALUE"""),"Giapk3d2*")</f>
        <v>Giapk3d2*</v>
      </c>
      <c r="S62" s="6" t="str">
        <f>IFERROR(__xludf.DUMMYFUNCTION("""COMPUTED_VALUE"""),"Méndez Reyes Celeste ")</f>
        <v>Méndez Reyes Celeste </v>
      </c>
      <c r="T62" s="6" t="str">
        <f>IFERROR(__xludf.DUMMYFUNCTION("""COMPUTED_VALUE"""),"JUAN SEBASTIAN MENDEZ ALZATE")</f>
        <v>JUAN SEBASTIAN MENDEZ ALZATE</v>
      </c>
      <c r="U62" s="12" t="str">
        <f>IFERROR(__xludf.DUMMYFUNCTION("""COMPUTED_VALUE"""),"14621904")</f>
        <v>14621904</v>
      </c>
      <c r="V62" s="6">
        <f>IFERROR(__xludf.DUMMYFUNCTION("""COMPUTED_VALUE"""),3.016004332E9)</f>
        <v>3016004332</v>
      </c>
      <c r="W62" s="6" t="str">
        <f>IFERROR(__xludf.DUMMYFUNCTION("""COMPUTED_VALUE"""),"juan_sebastian_mendez@hotmail.com")</f>
        <v>juan_sebastian_mendez@hotmail.com</v>
      </c>
      <c r="X62" s="12" t="str">
        <f>IFERROR(__xludf.DUMMYFUNCTION("""COMPUTED_VALUE"""),"AB+")</f>
        <v>AB+</v>
      </c>
      <c r="Y62" s="12" t="str">
        <f>IFERROR(__xludf.DUMMYFUNCTION("""COMPUTED_VALUE"""),"K4")</f>
        <v>K4</v>
      </c>
      <c r="Z62" s="6">
        <f>IFERROR(__xludf.DUMMYFUNCTION("""COMPUTED_VALUE"""),120528.0)</f>
        <v>120528</v>
      </c>
      <c r="AA62" s="6" t="str">
        <f>IFERROR(__xludf.DUMMYFUNCTION("""COMPUTED_VALUE"""),"SANITAS")</f>
        <v>SANITAS</v>
      </c>
      <c r="AB62" s="6"/>
      <c r="AC62" s="6"/>
      <c r="AD62" s="12" t="str">
        <f>IFERROR(__xludf.DUMMYFUNCTION("""COMPUTED_VALUE"""),"K4A")</f>
        <v>K4A</v>
      </c>
      <c r="AE62" s="12" t="str">
        <f>IFERROR(__xludf.DUMMYFUNCTION("""COMPUTED_VALUE"""),"1345282527")</f>
        <v>1345282527</v>
      </c>
      <c r="AF62" s="12" t="str">
        <f>IFERROR(__xludf.DUMMYFUNCTION("""COMPUTED_VALUE"""),"1345282527")</f>
        <v>1345282527</v>
      </c>
      <c r="AG62" s="12" t="str">
        <f>IFERROR(__xludf.DUMMYFUNCTION("""COMPUTED_VALUE"""),"Alejandra")</f>
        <v>Alejandra</v>
      </c>
      <c r="AH62" s="6"/>
      <c r="AI62" s="6" t="str">
        <f>IFERROR(__xludf.DUMMYFUNCTION("""COMPUTED_VALUE"""),"Reyes Martínez")</f>
        <v>Reyes Martínez</v>
      </c>
      <c r="AJ62" s="6" t="str">
        <f>IFERROR(__xludf.DUMMYFUNCTION("""COMPUTED_VALUE"""),"aleja_reyes_martinez@hotmail.com")</f>
        <v>aleja_reyes_martinez@hotmail.com</v>
      </c>
      <c r="AK62" s="6" t="str">
        <f>IFERROR(__xludf.DUMMYFUNCTION("""COMPUTED_VALUE"""),"Profesional en Finanzas")</f>
        <v>Profesional en Finanzas</v>
      </c>
      <c r="AL62" s="6" t="str">
        <f>IFERROR(__xludf.DUMMYFUNCTION("""COMPUTED_VALUE"""),"Nokia Solutions Ltda")</f>
        <v>Nokia Solutions Ltda</v>
      </c>
      <c r="AM62" s="12" t="str">
        <f>IFERROR(__xludf.DUMMYFUNCTION("""COMPUTED_VALUE"""),"52999391")</f>
        <v>52999391</v>
      </c>
      <c r="AN62" s="12" t="str">
        <f>IFERROR(__xludf.DUMMYFUNCTION("""COMPUTED_VALUE"""),"3124579322")</f>
        <v>3124579322</v>
      </c>
      <c r="AO62" s="6" t="str">
        <f>IFERROR(__xludf.DUMMYFUNCTION("""COMPUTED_VALUE"""),"Madre")</f>
        <v>Madre</v>
      </c>
      <c r="AP62" s="6" t="str">
        <f>IFERROR(__xludf.DUMMYFUNCTION("""COMPUTED_VALUE"""),"Estudiante(s): Mendez Reyes")</f>
        <v>Estudiante(s): Mendez Reyes</v>
      </c>
      <c r="AQ62" s="6" t="str">
        <f>IFERROR(__xludf.DUMMYFUNCTION("""COMPUTED_VALUE"""),"120376*Gi")</f>
        <v>120376*Gi</v>
      </c>
      <c r="AR62" s="6" t="str">
        <f>IFERROR(__xludf.DUMMYFUNCTION("""COMPUTED_VALUE"""),"Juan")</f>
        <v>Juan</v>
      </c>
      <c r="AS62" s="6" t="str">
        <f>IFERROR(__xludf.DUMMYFUNCTION("""COMPUTED_VALUE"""),"Sebastián")</f>
        <v>Sebastián</v>
      </c>
      <c r="AT62" s="6" t="str">
        <f>IFERROR(__xludf.DUMMYFUNCTION("""COMPUTED_VALUE"""),"Méndez Alzate")</f>
        <v>Méndez Alzate</v>
      </c>
      <c r="AU62" s="6" t="str">
        <f>IFERROR(__xludf.DUMMYFUNCTION("""COMPUTED_VALUE"""),"juan_sebastian_mendez@hotmail.com")</f>
        <v>juan_sebastian_mendez@hotmail.com</v>
      </c>
      <c r="AV62" s="6" t="str">
        <f>IFERROR(__xludf.DUMMYFUNCTION("""COMPUTED_VALUE"""),"Ingeniero Industrial")</f>
        <v>Ingeniero Industrial</v>
      </c>
      <c r="AW62" s="6" t="str">
        <f>IFERROR(__xludf.DUMMYFUNCTION("""COMPUTED_VALUE"""),"Avaltitulos SAS")</f>
        <v>Avaltitulos SAS</v>
      </c>
      <c r="AX62" s="12" t="str">
        <f>IFERROR(__xludf.DUMMYFUNCTION("""COMPUTED_VALUE"""),"14621904")</f>
        <v>14621904</v>
      </c>
      <c r="AY62" s="12">
        <f>IFERROR(__xludf.DUMMYFUNCTION("""COMPUTED_VALUE"""),3.016004332E9)</f>
        <v>3016004332</v>
      </c>
      <c r="AZ62" s="6" t="str">
        <f>IFERROR(__xludf.DUMMYFUNCTION("""COMPUTED_VALUE"""),"Padre")</f>
        <v>Padre</v>
      </c>
      <c r="BA62" s="6"/>
      <c r="BB62" s="6"/>
      <c r="BC62" s="6"/>
      <c r="BD62" s="12" t="str">
        <f>IFERROR(__xludf.DUMMYFUNCTION("""COMPUTED_VALUE"""),"men0001")</f>
        <v>men0001</v>
      </c>
      <c r="BE62" s="12" t="str">
        <f>IFERROR(__xludf.DUMMYFUNCTION("""COMPUTED_VALUE"""),"FALTAN FIRMAS")</f>
        <v>FALTAN FIRMAS</v>
      </c>
      <c r="BF62" s="6"/>
      <c r="BG62" s="6">
        <f>IFERROR(__xludf.DUMMYFUNCTION("""COMPUTED_VALUE"""),2040.0)</f>
        <v>2040</v>
      </c>
      <c r="BH62" s="15">
        <f>IFERROR(__xludf.DUMMYFUNCTION("""COMPUTED_VALUE"""),46212.69210648148)</f>
        <v>46212.69211</v>
      </c>
      <c r="BI62" s="6">
        <f>IFERROR(__xludf.DUMMYFUNCTION("""COMPUTED_VALUE"""),61.0)</f>
        <v>61</v>
      </c>
      <c r="BJ62" s="6"/>
      <c r="BK62" s="6"/>
      <c r="BL62" s="6" t="str">
        <f>IFERROR(__xludf.DUMMYFUNCTION("""COMPUTED_VALUE"""),"GISMEN0001")</f>
        <v>GISMEN0001</v>
      </c>
      <c r="BM62" s="6"/>
      <c r="BN62" s="6"/>
      <c r="BO62" s="6"/>
      <c r="BP62" s="6"/>
      <c r="BQ62" s="6" t="str">
        <f>IFERROR(__xludf.DUMMYFUNCTION("""COMPUTED_VALUE"""),"XC_K4_Polimotor")</f>
        <v>XC_K4_Polimotor</v>
      </c>
      <c r="BR62" s="6"/>
      <c r="BS62" s="6"/>
      <c r="BT62" s="6"/>
      <c r="BU62" s="6" t="str">
        <f>IFERROR(__xludf.DUMMYFUNCTION("""COMPUTED_VALUE"""),"SI")</f>
        <v>SI</v>
      </c>
      <c r="BV62" s="6" t="str">
        <f>IFERROR(__xludf.DUMMYFUNCTION("""COMPUTED_VALUE"""),"celeste.m2040")</f>
        <v>celeste.m2040</v>
      </c>
      <c r="BW62" s="6"/>
      <c r="BX62" s="6"/>
      <c r="BY62" s="6"/>
      <c r="BZ62" s="6"/>
    </row>
    <row r="63">
      <c r="A63" s="12">
        <f>IFERROR(__xludf.DUMMYFUNCTION("""COMPUTED_VALUE"""),1.22047647E9)</f>
        <v>1220476470</v>
      </c>
      <c r="B63" s="6">
        <f>IFERROR(__xludf.DUMMYFUNCTION("""COMPUTED_VALUE"""),11.0)</f>
        <v>11</v>
      </c>
      <c r="C63" s="6" t="str">
        <f>IFERROR(__xludf.DUMMYFUNCTION("""COMPUTED_VALUE"""),"Diego")</f>
        <v>Diego</v>
      </c>
      <c r="D63" s="6" t="str">
        <f>IFERROR(__xludf.DUMMYFUNCTION("""COMPUTED_VALUE"""),"Fernando")</f>
        <v>Fernando</v>
      </c>
      <c r="E63" s="6" t="str">
        <f>IFERROR(__xludf.DUMMYFUNCTION("""COMPUTED_VALUE"""),"Montoya Molano")</f>
        <v>Montoya Molano</v>
      </c>
      <c r="F63" s="6" t="str">
        <f>IFERROR(__xludf.DUMMYFUNCTION("""COMPUTED_VALUE"""),"Condominio Campestre La Reserva Torre Malaga Apto 101 - Cra 5 No10Nte - 25 Av Centenario")</f>
        <v>Condominio Campestre La Reserva Torre Malaga Apto 101 - Cra 5 No10Nte - 25 Av Centenario</v>
      </c>
      <c r="G63" s="12" t="str">
        <f>IFERROR(__xludf.DUMMYFUNCTION("""COMPUTED_VALUE"""),"2021")</f>
        <v>2021</v>
      </c>
      <c r="H63" s="6" t="str">
        <f>IFERROR(__xludf.DUMMYFUNCTION("""COMPUTED_VALUE"""),"Noviembre")</f>
        <v>Noviembre</v>
      </c>
      <c r="I63" s="12" t="str">
        <f>IFERROR(__xludf.DUMMYFUNCTION("""COMPUTED_VALUE"""),"24")</f>
        <v>24</v>
      </c>
      <c r="J63" s="6" t="str">
        <f>IFERROR(__xludf.DUMMYFUNCTION("""COMPUTED_VALUE"""),"Miami")</f>
        <v>Miami</v>
      </c>
      <c r="K63" s="6" t="str">
        <f>IFERROR(__xludf.DUMMYFUNCTION("""COMPUTED_VALUE"""),"diegof.m2040@gi.edu.co")</f>
        <v>diegof.m2040@gi.edu.co</v>
      </c>
      <c r="L63" s="6" t="str">
        <f>IFERROR(__xludf.DUMMYFUNCTION("""COMPUTED_VALUE"""),"RC")</f>
        <v>RC</v>
      </c>
      <c r="M63" s="6" t="str">
        <f>IFERROR(__xludf.DUMMYFUNCTION("""COMPUTED_VALUE"""),"Bogotá D.C.")</f>
        <v>Bogotá D.C.</v>
      </c>
      <c r="N63" s="6" t="str">
        <f>IFERROR(__xludf.DUMMYFUNCTION("""COMPUTED_VALUE"""),"M")</f>
        <v>M</v>
      </c>
      <c r="O63" s="6" t="str">
        <f>IFERROR(__xludf.DUMMYFUNCTION("""COMPUTED_VALUE"""),"ACTIVE")</f>
        <v>ACTIVE</v>
      </c>
      <c r="P63" s="6"/>
      <c r="Q63" s="6" t="str">
        <f>IFERROR(__xludf.DUMMYFUNCTION("""COMPUTED_VALUE"""),"Armenia")</f>
        <v>Armenia</v>
      </c>
      <c r="R63" s="12" t="str">
        <f>IFERROR(__xludf.DUMMYFUNCTION("""COMPUTED_VALUE"""),"Gixwh76x9*")</f>
        <v>Gixwh76x9*</v>
      </c>
      <c r="S63" s="6" t="str">
        <f>IFERROR(__xludf.DUMMYFUNCTION("""COMPUTED_VALUE"""),"Montoya Molano Diego Fernando")</f>
        <v>Montoya Molano Diego Fernando</v>
      </c>
      <c r="T63" s="6" t="str">
        <f>IFERROR(__xludf.DUMMYFUNCTION("""COMPUTED_VALUE"""),"DIEGO MONTOYA PEREZ")</f>
        <v>DIEGO MONTOYA PEREZ</v>
      </c>
      <c r="U63" s="12" t="str">
        <f>IFERROR(__xludf.DUMMYFUNCTION("""COMPUTED_VALUE"""),"1020751688")</f>
        <v>1020751688</v>
      </c>
      <c r="V63" s="6">
        <f>IFERROR(__xludf.DUMMYFUNCTION("""COMPUTED_VALUE"""),3.102348584E9)</f>
        <v>3102348584</v>
      </c>
      <c r="W63" s="6" t="str">
        <f>IFERROR(__xludf.DUMMYFUNCTION("""COMPUTED_VALUE"""),"diego_9027@hotmail.com")</f>
        <v>diego_9027@hotmail.com</v>
      </c>
      <c r="X63" s="12" t="str">
        <f>IFERROR(__xludf.DUMMYFUNCTION("""COMPUTED_VALUE"""),"B+")</f>
        <v>B+</v>
      </c>
      <c r="Y63" s="12" t="str">
        <f>IFERROR(__xludf.DUMMYFUNCTION("""COMPUTED_VALUE"""),"K4")</f>
        <v>K4</v>
      </c>
      <c r="Z63" s="12">
        <f>IFERROR(__xludf.DUMMYFUNCTION("""COMPUTED_VALUE"""),120435.0)</f>
        <v>120435</v>
      </c>
      <c r="AA63" s="6" t="str">
        <f>IFERROR(__xludf.DUMMYFUNCTION("""COMPUTED_VALUE"""),"SALUD TOTAL")</f>
        <v>SALUD TOTAL</v>
      </c>
      <c r="AB63" s="6" t="str">
        <f>IFERROR(__xludf.DUMMYFUNCTION("""COMPUTED_VALUE"""),"Allianz")</f>
        <v>Allianz</v>
      </c>
      <c r="AC63" s="6"/>
      <c r="AD63" s="12" t="str">
        <f>IFERROR(__xludf.DUMMYFUNCTION("""COMPUTED_VALUE"""),"K4A")</f>
        <v>K4A</v>
      </c>
      <c r="AE63" s="12" t="str">
        <f>IFERROR(__xludf.DUMMYFUNCTION("""COMPUTED_VALUE"""),"1345282458")</f>
        <v>1345282458</v>
      </c>
      <c r="AF63" s="12" t="str">
        <f>IFERROR(__xludf.DUMMYFUNCTION("""COMPUTED_VALUE"""),"1345282458")</f>
        <v>1345282458</v>
      </c>
      <c r="AG63" s="12" t="str">
        <f>IFERROR(__xludf.DUMMYFUNCTION("""COMPUTED_VALUE"""),"Luisa")</f>
        <v>Luisa</v>
      </c>
      <c r="AH63" s="12" t="str">
        <f>IFERROR(__xludf.DUMMYFUNCTION("""COMPUTED_VALUE"""),"Fernanda")</f>
        <v>Fernanda</v>
      </c>
      <c r="AI63" s="6" t="str">
        <f>IFERROR(__xludf.DUMMYFUNCTION("""COMPUTED_VALUE"""),"Molano Veira")</f>
        <v>Molano Veira</v>
      </c>
      <c r="AJ63" s="6" t="str">
        <f>IFERROR(__xludf.DUMMYFUNCTION("""COMPUTED_VALUE"""),"luisamo_85@hotmail.com")</f>
        <v>luisamo_85@hotmail.com</v>
      </c>
      <c r="AK63" s="6" t="str">
        <f>IFERROR(__xludf.DUMMYFUNCTION("""COMPUTED_VALUE"""),"Adm negocios internacionales")</f>
        <v>Adm negocios internacionales</v>
      </c>
      <c r="AL63" s="6" t="str">
        <f>IFERROR(__xludf.DUMMYFUNCTION("""COMPUTED_VALUE"""),"Criadero jyl")</f>
        <v>Criadero jyl</v>
      </c>
      <c r="AM63" s="12" t="str">
        <f>IFERROR(__xludf.DUMMYFUNCTION("""COMPUTED_VALUE"""),"1020783089")</f>
        <v>1020783089</v>
      </c>
      <c r="AN63" s="12" t="str">
        <f>IFERROR(__xludf.DUMMYFUNCTION("""COMPUTED_VALUE"""),"3112223792")</f>
        <v>3112223792</v>
      </c>
      <c r="AO63" s="6" t="str">
        <f>IFERROR(__xludf.DUMMYFUNCTION("""COMPUTED_VALUE"""),"Madre")</f>
        <v>Madre</v>
      </c>
      <c r="AP63" s="6" t="str">
        <f>IFERROR(__xludf.DUMMYFUNCTION("""COMPUTED_VALUE"""),"Estudiante(s): Montoya Molano")</f>
        <v>Estudiante(s): Montoya Molano</v>
      </c>
      <c r="AQ63" s="6" t="str">
        <f>IFERROR(__xludf.DUMMYFUNCTION("""COMPUTED_VALUE"""),"103691*Gi")</f>
        <v>103691*Gi</v>
      </c>
      <c r="AR63" s="6" t="str">
        <f>IFERROR(__xludf.DUMMYFUNCTION("""COMPUTED_VALUE"""),"Diego")</f>
        <v>Diego</v>
      </c>
      <c r="AS63" s="6"/>
      <c r="AT63" s="6" t="str">
        <f>IFERROR(__xludf.DUMMYFUNCTION("""COMPUTED_VALUE"""),"Montoya Pérez")</f>
        <v>Montoya Pérez</v>
      </c>
      <c r="AU63" s="6" t="str">
        <f>IFERROR(__xludf.DUMMYFUNCTION("""COMPUTED_VALUE"""),"diego_9027@hotmail.com")</f>
        <v>diego_9027@hotmail.com</v>
      </c>
      <c r="AV63" s="6" t="str">
        <f>IFERROR(__xludf.DUMMYFUNCTION("""COMPUTED_VALUE"""),"Med Veterinario")</f>
        <v>Med Veterinario</v>
      </c>
      <c r="AW63" s="6" t="str">
        <f>IFERROR(__xludf.DUMMYFUNCTION("""COMPUTED_VALUE"""),"Agen")</f>
        <v>Agen</v>
      </c>
      <c r="AX63" s="12" t="str">
        <f>IFERROR(__xludf.DUMMYFUNCTION("""COMPUTED_VALUE"""),"1020751688")</f>
        <v>1020751688</v>
      </c>
      <c r="AY63" s="12" t="str">
        <f>IFERROR(__xludf.DUMMYFUNCTION("""COMPUTED_VALUE"""),"3102348584")</f>
        <v>3102348584</v>
      </c>
      <c r="AZ63" s="6" t="str">
        <f>IFERROR(__xludf.DUMMYFUNCTION("""COMPUTED_VALUE"""),"Padre")</f>
        <v>Padre</v>
      </c>
      <c r="BA63" s="6"/>
      <c r="BB63" s="6"/>
      <c r="BC63" s="6"/>
      <c r="BD63" s="12" t="str">
        <f>IFERROR(__xludf.DUMMYFUNCTION("""COMPUTED_VALUE"""),"mon0014")</f>
        <v>mon0014</v>
      </c>
      <c r="BE63" s="6"/>
      <c r="BF63" s="6"/>
      <c r="BG63" s="6">
        <f>IFERROR(__xludf.DUMMYFUNCTION("""COMPUTED_VALUE"""),2040.0)</f>
        <v>2040</v>
      </c>
      <c r="BH63" s="15">
        <f>IFERROR(__xludf.DUMMYFUNCTION("""COMPUTED_VALUE"""),46230.426886574074)</f>
        <v>46230.42689</v>
      </c>
      <c r="BI63" s="6">
        <f>IFERROR(__xludf.DUMMYFUNCTION("""COMPUTED_VALUE"""),62.0)</f>
        <v>62</v>
      </c>
      <c r="BJ63" s="6"/>
      <c r="BK63" s="6"/>
      <c r="BL63" s="6" t="str">
        <f>IFERROR(__xludf.DUMMYFUNCTION("""COMPUTED_VALUE"""),"GISMON0014")</f>
        <v>GISMON0014</v>
      </c>
      <c r="BM63" s="6"/>
      <c r="BN63" s="6"/>
      <c r="BO63" s="6"/>
      <c r="BP63" s="6"/>
      <c r="BQ63" s="6"/>
      <c r="BR63" s="6"/>
      <c r="BS63" s="6"/>
      <c r="BT63" s="6"/>
      <c r="BU63" s="6" t="str">
        <f>IFERROR(__xludf.DUMMYFUNCTION("""COMPUTED_VALUE"""),"SI")</f>
        <v>SI</v>
      </c>
      <c r="BV63" s="6" t="str">
        <f>IFERROR(__xludf.DUMMYFUNCTION("""COMPUTED_VALUE"""),"diegof.m2040")</f>
        <v>diegof.m2040</v>
      </c>
      <c r="BW63" s="6"/>
      <c r="BX63" s="6"/>
      <c r="BY63" s="6"/>
      <c r="BZ63" s="6"/>
    </row>
    <row r="64">
      <c r="A64" s="12">
        <f>IFERROR(__xludf.DUMMYFUNCTION("""COMPUTED_VALUE"""),1.094983785E9)</f>
        <v>1094983785</v>
      </c>
      <c r="B64" s="6">
        <f>IFERROR(__xludf.DUMMYFUNCTION("""COMPUTED_VALUE"""),12.0)</f>
        <v>12</v>
      </c>
      <c r="C64" s="6" t="str">
        <f>IFERROR(__xludf.DUMMYFUNCTION("""COMPUTED_VALUE"""),"Alejandro")</f>
        <v>Alejandro</v>
      </c>
      <c r="D64" s="6"/>
      <c r="E64" s="6" t="str">
        <f>IFERROR(__xludf.DUMMYFUNCTION("""COMPUTED_VALUE"""),"Páez García")</f>
        <v>Páez García</v>
      </c>
      <c r="F64" s="6" t="str">
        <f>IFERROR(__xludf.DUMMYFUNCTION("""COMPUTED_VALUE"""),"Edificio La Riviera Apto 402 - Cra 14 No38Nte - 75 Av Bolivar antes del San Luis")</f>
        <v>Edificio La Riviera Apto 402 - Cra 14 No38Nte - 75 Av Bolivar antes del San Luis</v>
      </c>
      <c r="G64" s="12" t="str">
        <f>IFERROR(__xludf.DUMMYFUNCTION("""COMPUTED_VALUE"""),"2022")</f>
        <v>2022</v>
      </c>
      <c r="H64" s="6" t="str">
        <f>IFERROR(__xludf.DUMMYFUNCTION("""COMPUTED_VALUE"""),"Abril")</f>
        <v>Abril</v>
      </c>
      <c r="I64" s="12" t="str">
        <f>IFERROR(__xludf.DUMMYFUNCTION("""COMPUTED_VALUE"""),"8")</f>
        <v>8</v>
      </c>
      <c r="J64" s="6" t="str">
        <f>IFERROR(__xludf.DUMMYFUNCTION("""COMPUTED_VALUE"""),"Armenia")</f>
        <v>Armenia</v>
      </c>
      <c r="K64" s="6" t="str">
        <f>IFERROR(__xludf.DUMMYFUNCTION("""COMPUTED_VALUE"""),"alejandro.p2040@gi.edu.co")</f>
        <v>alejandro.p2040@gi.edu.co</v>
      </c>
      <c r="L64" s="6" t="str">
        <f>IFERROR(__xludf.DUMMYFUNCTION("""COMPUTED_VALUE"""),"RC")</f>
        <v>RC</v>
      </c>
      <c r="M64" s="6" t="str">
        <f>IFERROR(__xludf.DUMMYFUNCTION("""COMPUTED_VALUE"""),"Armenia")</f>
        <v>Armenia</v>
      </c>
      <c r="N64" s="6" t="str">
        <f>IFERROR(__xludf.DUMMYFUNCTION("""COMPUTED_VALUE"""),"M")</f>
        <v>M</v>
      </c>
      <c r="O64" s="6" t="str">
        <f>IFERROR(__xludf.DUMMYFUNCTION("""COMPUTED_VALUE"""),"ACTIVE")</f>
        <v>ACTIVE</v>
      </c>
      <c r="P64" s="6"/>
      <c r="Q64" s="6" t="str">
        <f>IFERROR(__xludf.DUMMYFUNCTION("""COMPUTED_VALUE"""),"Armenia")</f>
        <v>Armenia</v>
      </c>
      <c r="R64" s="12" t="str">
        <f>IFERROR(__xludf.DUMMYFUNCTION("""COMPUTED_VALUE"""),"Gi473jAnw*")</f>
        <v>Gi473jAnw*</v>
      </c>
      <c r="S64" s="6" t="str">
        <f>IFERROR(__xludf.DUMMYFUNCTION("""COMPUTED_VALUE"""),"Páez García Alejandro ")</f>
        <v>Páez García Alejandro </v>
      </c>
      <c r="T64" s="6" t="str">
        <f>IFERROR(__xludf.DUMMYFUNCTION("""COMPUTED_VALUE"""),"GABRIEL PAEZ VÉLEZ")</f>
        <v>GABRIEL PAEZ VÉLEZ</v>
      </c>
      <c r="U64" s="12" t="str">
        <f>IFERROR(__xludf.DUMMYFUNCTION("""COMPUTED_VALUE"""),"9735954")</f>
        <v>9735954</v>
      </c>
      <c r="V64" s="12">
        <f>IFERROR(__xludf.DUMMYFUNCTION("""COMPUTED_VALUE"""),3.163843815E9)</f>
        <v>3163843815</v>
      </c>
      <c r="W64" s="6" t="str">
        <f>IFERROR(__xludf.DUMMYFUNCTION("""COMPUTED_VALUE"""),"gabrielpaezvelez@gmail.com")</f>
        <v>gabrielpaezvelez@gmail.com</v>
      </c>
      <c r="X64" s="12" t="str">
        <f>IFERROR(__xludf.DUMMYFUNCTION("""COMPUTED_VALUE"""),"O+")</f>
        <v>O+</v>
      </c>
      <c r="Y64" s="12" t="str">
        <f>IFERROR(__xludf.DUMMYFUNCTION("""COMPUTED_VALUE"""),"K4")</f>
        <v>K4</v>
      </c>
      <c r="Z64" s="6">
        <f>IFERROR(__xludf.DUMMYFUNCTION("""COMPUTED_VALUE"""),120580.0)</f>
        <v>120580</v>
      </c>
      <c r="AA64" s="6" t="str">
        <f>IFERROR(__xludf.DUMMYFUNCTION("""COMPUTED_VALUE"""),"SANITAS")</f>
        <v>SANITAS</v>
      </c>
      <c r="AB64" s="6"/>
      <c r="AC64" s="6"/>
      <c r="AD64" s="12" t="str">
        <f>IFERROR(__xludf.DUMMYFUNCTION("""COMPUTED_VALUE"""),"K4A")</f>
        <v>K4A</v>
      </c>
      <c r="AE64" s="6">
        <f>IFERROR(__xludf.DUMMYFUNCTION("""COMPUTED_VALUE"""),1.345282577E9)</f>
        <v>1345282577</v>
      </c>
      <c r="AF64" s="12" t="str">
        <f>IFERROR(__xludf.DUMMYFUNCTION("""COMPUTED_VALUE"""),"1345282577")</f>
        <v>1345282577</v>
      </c>
      <c r="AG64" s="12" t="str">
        <f>IFERROR(__xludf.DUMMYFUNCTION("""COMPUTED_VALUE"""),"Sandra")</f>
        <v>Sandra</v>
      </c>
      <c r="AH64" s="12" t="str">
        <f>IFERROR(__xludf.DUMMYFUNCTION("""COMPUTED_VALUE"""),"Lorena")</f>
        <v>Lorena</v>
      </c>
      <c r="AI64" s="6" t="str">
        <f>IFERROR(__xludf.DUMMYFUNCTION("""COMPUTED_VALUE"""),"Garcia Marin")</f>
        <v>Garcia Marin</v>
      </c>
      <c r="AJ64" s="6" t="str">
        <f>IFERROR(__xludf.DUMMYFUNCTION("""COMPUTED_VALUE"""),"salogarciamarin@gmail.com")</f>
        <v>salogarciamarin@gmail.com</v>
      </c>
      <c r="AK64" s="6" t="str">
        <f>IFERROR(__xludf.DUMMYFUNCTION("""COMPUTED_VALUE"""),"Gerontologa")</f>
        <v>Gerontologa</v>
      </c>
      <c r="AL64" s="6" t="str">
        <f>IFERROR(__xludf.DUMMYFUNCTION("""COMPUTED_VALUE"""),"Amauta Silver Club")</f>
        <v>Amauta Silver Club</v>
      </c>
      <c r="AM64" s="12" t="str">
        <f>IFERROR(__xludf.DUMMYFUNCTION("""COMPUTED_VALUE"""),"1010224057")</f>
        <v>1010224057</v>
      </c>
      <c r="AN64" s="12" t="str">
        <f>IFERROR(__xludf.DUMMYFUNCTION("""COMPUTED_VALUE"""),"3164856135")</f>
        <v>3164856135</v>
      </c>
      <c r="AO64" s="6" t="str">
        <f>IFERROR(__xludf.DUMMYFUNCTION("""COMPUTED_VALUE"""),"Madre")</f>
        <v>Madre</v>
      </c>
      <c r="AP64" s="6" t="str">
        <f>IFERROR(__xludf.DUMMYFUNCTION("""COMPUTED_VALUE"""),"Estudiante(s): Paez Garcia")</f>
        <v>Estudiante(s): Paez Garcia</v>
      </c>
      <c r="AQ64" s="6" t="str">
        <f>IFERROR(__xludf.DUMMYFUNCTION("""COMPUTED_VALUE"""),"103917*Gi")</f>
        <v>103917*Gi</v>
      </c>
      <c r="AR64" s="6" t="str">
        <f>IFERROR(__xludf.DUMMYFUNCTION("""COMPUTED_VALUE"""),"Gabriel")</f>
        <v>Gabriel</v>
      </c>
      <c r="AS64" s="6"/>
      <c r="AT64" s="6" t="str">
        <f>IFERROR(__xludf.DUMMYFUNCTION("""COMPUTED_VALUE"""),"Páez Vélez")</f>
        <v>Páez Vélez</v>
      </c>
      <c r="AU64" s="6" t="str">
        <f>IFERROR(__xludf.DUMMYFUNCTION("""COMPUTED_VALUE"""),"gabrielpaezvelez@gmail.com")</f>
        <v>gabrielpaezvelez@gmail.com</v>
      </c>
      <c r="AV64" s="6" t="str">
        <f>IFERROR(__xludf.DUMMYFUNCTION("""COMPUTED_VALUE"""),"Ingeniero mecatronico")</f>
        <v>Ingeniero mecatronico</v>
      </c>
      <c r="AW64" s="6" t="str">
        <f>IFERROR(__xludf.DUMMYFUNCTION("""COMPUTED_VALUE"""),"Incolteca")</f>
        <v>Incolteca</v>
      </c>
      <c r="AX64" s="12" t="str">
        <f>IFERROR(__xludf.DUMMYFUNCTION("""COMPUTED_VALUE"""),"9735954")</f>
        <v>9735954</v>
      </c>
      <c r="AY64" s="12" t="str">
        <f>IFERROR(__xludf.DUMMYFUNCTION("""COMPUTED_VALUE"""),"3163843815")</f>
        <v>3163843815</v>
      </c>
      <c r="AZ64" s="6" t="str">
        <f>IFERROR(__xludf.DUMMYFUNCTION("""COMPUTED_VALUE"""),"Padre")</f>
        <v>Padre</v>
      </c>
      <c r="BA64" s="6"/>
      <c r="BB64" s="6"/>
      <c r="BC64" s="6"/>
      <c r="BD64" s="12" t="str">
        <f>IFERROR(__xludf.DUMMYFUNCTION("""COMPUTED_VALUE"""),"pae0001")</f>
        <v>pae0001</v>
      </c>
      <c r="BE64" s="6"/>
      <c r="BF64" s="6"/>
      <c r="BG64" s="6">
        <f>IFERROR(__xludf.DUMMYFUNCTION("""COMPUTED_VALUE"""),2040.0)</f>
        <v>2040</v>
      </c>
      <c r="BH64" s="15">
        <f>IFERROR(__xludf.DUMMYFUNCTION("""COMPUTED_VALUE"""),46216.798425925925)</f>
        <v>46216.79843</v>
      </c>
      <c r="BI64" s="6">
        <f>IFERROR(__xludf.DUMMYFUNCTION("""COMPUTED_VALUE"""),63.0)</f>
        <v>63</v>
      </c>
      <c r="BJ64" s="6"/>
      <c r="BK64" s="6"/>
      <c r="BL64" s="6" t="str">
        <f>IFERROR(__xludf.DUMMYFUNCTION("""COMPUTED_VALUE"""),"GISPAE0001")</f>
        <v>GISPAE0001</v>
      </c>
      <c r="BM64" s="6"/>
      <c r="BN64" s="6"/>
      <c r="BO64" s="6"/>
      <c r="BP64" s="6"/>
      <c r="BQ64" s="6" t="str">
        <f>IFERROR(__xludf.DUMMYFUNCTION("""COMPUTED_VALUE"""),"XC_K4_Polimotor")</f>
        <v>XC_K4_Polimotor</v>
      </c>
      <c r="BR64" s="6"/>
      <c r="BS64" s="6"/>
      <c r="BT64" s="6"/>
      <c r="BU64" s="6" t="str">
        <f>IFERROR(__xludf.DUMMYFUNCTION("""COMPUTED_VALUE"""),"SI")</f>
        <v>SI</v>
      </c>
      <c r="BV64" s="6" t="str">
        <f>IFERROR(__xludf.DUMMYFUNCTION("""COMPUTED_VALUE"""),"alejandro.p2040")</f>
        <v>alejandro.p2040</v>
      </c>
      <c r="BW64" s="6"/>
      <c r="BX64" s="6"/>
      <c r="BY64" s="6"/>
      <c r="BZ64" s="6"/>
    </row>
    <row r="65">
      <c r="A65" s="12">
        <f>IFERROR(__xludf.DUMMYFUNCTION("""COMPUTED_VALUE"""),1.115196129E9)</f>
        <v>1115196129</v>
      </c>
      <c r="B65" s="6">
        <f>IFERROR(__xludf.DUMMYFUNCTION("""COMPUTED_VALUE"""),13.0)</f>
        <v>13</v>
      </c>
      <c r="C65" s="6" t="str">
        <f>IFERROR(__xludf.DUMMYFUNCTION("""COMPUTED_VALUE"""),"Alicia")</f>
        <v>Alicia</v>
      </c>
      <c r="D65" s="6"/>
      <c r="E65" s="6" t="str">
        <f>IFERROR(__xludf.DUMMYFUNCTION("""COMPUTED_VALUE"""),"Raigoza Barrios")</f>
        <v>Raigoza Barrios</v>
      </c>
      <c r="F65" s="6" t="str">
        <f>IFERROR(__xludf.DUMMYFUNCTION("""COMPUTED_VALUE"""),"Cra 6 No44Nte-05 Casa 3 - Portal de San Juan")</f>
        <v>Cra 6 No44Nte-05 Casa 3 - Portal de San Juan</v>
      </c>
      <c r="G65" s="12">
        <f>IFERROR(__xludf.DUMMYFUNCTION("""COMPUTED_VALUE"""),2022.0)</f>
        <v>2022</v>
      </c>
      <c r="H65" s="12" t="str">
        <f>IFERROR(__xludf.DUMMYFUNCTION("""COMPUTED_VALUE"""),"Enero")</f>
        <v>Enero</v>
      </c>
      <c r="I65" s="12">
        <f>IFERROR(__xludf.DUMMYFUNCTION("""COMPUTED_VALUE"""),4.0)</f>
        <v>4</v>
      </c>
      <c r="J65" s="6"/>
      <c r="K65" s="12" t="str">
        <f>IFERROR(__xludf.DUMMYFUNCTION("""COMPUTED_VALUE"""),"alicia.r2040@gi.edu.co")</f>
        <v>alicia.r2040@gi.edu.co</v>
      </c>
      <c r="L65" s="6" t="str">
        <f>IFERROR(__xludf.DUMMYFUNCTION("""COMPUTED_VALUE"""),"RC")</f>
        <v>RC</v>
      </c>
      <c r="M65" s="6" t="str">
        <f>IFERROR(__xludf.DUMMYFUNCTION("""COMPUTED_VALUE"""),"Caicedonia")</f>
        <v>Caicedonia</v>
      </c>
      <c r="N65" s="6" t="str">
        <f>IFERROR(__xludf.DUMMYFUNCTION("""COMPUTED_VALUE"""),"F")</f>
        <v>F</v>
      </c>
      <c r="O65" s="6" t="str">
        <f>IFERROR(__xludf.DUMMYFUNCTION("""COMPUTED_VALUE"""),"INACTIVE")</f>
        <v>INACTIVE</v>
      </c>
      <c r="P65" s="6"/>
      <c r="Q65" s="6"/>
      <c r="R65" s="12" t="str">
        <f>IFERROR(__xludf.DUMMYFUNCTION("""COMPUTED_VALUE"""),"GiX4Tk2C*")</f>
        <v>GiX4Tk2C*</v>
      </c>
      <c r="S65" s="6" t="str">
        <f>IFERROR(__xludf.DUMMYFUNCTION("""COMPUTED_VALUE"""),"Raigoza Barrios Alicia ")</f>
        <v>Raigoza Barrios Alicia </v>
      </c>
      <c r="T65" s="6" t="str">
        <f>IFERROR(__xludf.DUMMYFUNCTION("""COMPUTED_VALUE"""),"JULIAN ANDRES RAIGOZA ARBELAEZ")</f>
        <v>JULIAN ANDRES RAIGOZA ARBELAEZ</v>
      </c>
      <c r="U65" s="12" t="str">
        <f>IFERROR(__xludf.DUMMYFUNCTION("""COMPUTED_VALUE"""),"1018422688")</f>
        <v>1018422688</v>
      </c>
      <c r="V65" s="6">
        <f>IFERROR(__xludf.DUMMYFUNCTION("""COMPUTED_VALUE"""),3.00327174E9)</f>
        <v>3003271740</v>
      </c>
      <c r="W65" s="6" t="str">
        <f>IFERROR(__xludf.DUMMYFUNCTION("""COMPUTED_VALUE"""),"produccion.raigoza@gmail.com")</f>
        <v>produccion.raigoza@gmail.com</v>
      </c>
      <c r="X65" s="12" t="str">
        <f>IFERROR(__xludf.DUMMYFUNCTION("""COMPUTED_VALUE"""),"O-")</f>
        <v>O-</v>
      </c>
      <c r="Y65" s="12" t="str">
        <f>IFERROR(__xludf.DUMMYFUNCTION("""COMPUTED_VALUE"""),"K4")</f>
        <v>K4</v>
      </c>
      <c r="Z65" s="6">
        <f>IFERROR(__xludf.DUMMYFUNCTION("""COMPUTED_VALUE"""),120636.0)</f>
        <v>120636</v>
      </c>
      <c r="AA65" s="6" t="str">
        <f>IFERROR(__xludf.DUMMYFUNCTION("""COMPUTED_VALUE"""),"SANITAS")</f>
        <v>SANITAS</v>
      </c>
      <c r="AB65" s="6"/>
      <c r="AC65" s="12" t="str">
        <f>IFERROR(__xludf.DUMMYFUNCTION("""COMPUTED_VALUE"""),"Mentol")</f>
        <v>Mentol</v>
      </c>
      <c r="AD65" s="12" t="str">
        <f>IFERROR(__xludf.DUMMYFUNCTION("""COMPUTED_VALUE"""),"K4A")</f>
        <v>K4A</v>
      </c>
      <c r="AE65" s="12" t="str">
        <f>IFERROR(__xludf.DUMMYFUNCTION("""COMPUTED_VALUE"""),"1345282636")</f>
        <v>1345282636</v>
      </c>
      <c r="AF65" s="12" t="str">
        <f>IFERROR(__xludf.DUMMYFUNCTION("""COMPUTED_VALUE"""),"1345282636")</f>
        <v>1345282636</v>
      </c>
      <c r="AG65" s="12" t="str">
        <f>IFERROR(__xludf.DUMMYFUNCTION("""COMPUTED_VALUE"""),"María")</f>
        <v>María</v>
      </c>
      <c r="AH65" s="12" t="str">
        <f>IFERROR(__xludf.DUMMYFUNCTION("""COMPUTED_VALUE"""),"Paula")</f>
        <v>Paula</v>
      </c>
      <c r="AI65" s="6" t="str">
        <f>IFERROR(__xludf.DUMMYFUNCTION("""COMPUTED_VALUE"""),"Barrios Morales")</f>
        <v>Barrios Morales</v>
      </c>
      <c r="AJ65" s="6" t="str">
        <f>IFERROR(__xludf.DUMMYFUNCTION("""COMPUTED_VALUE"""),"paulinabarrios2609@gmail.com")</f>
        <v>paulinabarrios2609@gmail.com</v>
      </c>
      <c r="AK65" s="6" t="str">
        <f>IFERROR(__xludf.DUMMYFUNCTION("""COMPUTED_VALUE"""),"Estudiante Derecho - Comerciante")</f>
        <v>Estudiante Derecho - Comerciante</v>
      </c>
      <c r="AL65" s="6"/>
      <c r="AM65" s="12" t="str">
        <f>IFERROR(__xludf.DUMMYFUNCTION("""COMPUTED_VALUE"""),"1125349412")</f>
        <v>1125349412</v>
      </c>
      <c r="AN65" s="12" t="str">
        <f>IFERROR(__xludf.DUMMYFUNCTION("""COMPUTED_VALUE"""),"3116342569")</f>
        <v>3116342569</v>
      </c>
      <c r="AO65" s="6" t="str">
        <f>IFERROR(__xludf.DUMMYFUNCTION("""COMPUTED_VALUE"""),"Madre")</f>
        <v>Madre</v>
      </c>
      <c r="AP65" s="6" t="str">
        <f>IFERROR(__xludf.DUMMYFUNCTION("""COMPUTED_VALUE"""),"Estudiante(s): Raigoza Barrios")</f>
        <v>Estudiante(s): Raigoza Barrios</v>
      </c>
      <c r="AQ65" s="6" t="str">
        <f>IFERROR(__xludf.DUMMYFUNCTION("""COMPUTED_VALUE"""),"120636*Gi")</f>
        <v>120636*Gi</v>
      </c>
      <c r="AR65" s="6" t="str">
        <f>IFERROR(__xludf.DUMMYFUNCTION("""COMPUTED_VALUE"""),"Julián")</f>
        <v>Julián</v>
      </c>
      <c r="AS65" s="6" t="str">
        <f>IFERROR(__xludf.DUMMYFUNCTION("""COMPUTED_VALUE"""),"Andrés")</f>
        <v>Andrés</v>
      </c>
      <c r="AT65" s="6" t="str">
        <f>IFERROR(__xludf.DUMMYFUNCTION("""COMPUTED_VALUE"""),"Raigoza Arbeláez")</f>
        <v>Raigoza Arbeláez</v>
      </c>
      <c r="AU65" s="6" t="str">
        <f>IFERROR(__xludf.DUMMYFUNCTION("""COMPUTED_VALUE"""),"produccion.raigoza@gmail.com")</f>
        <v>produccion.raigoza@gmail.com</v>
      </c>
      <c r="AV65" s="6" t="str">
        <f>IFERROR(__xludf.DUMMYFUNCTION("""COMPUTED_VALUE"""),"Tour Manager Artistas Musicales")</f>
        <v>Tour Manager Artistas Musicales</v>
      </c>
      <c r="AW65" s="6"/>
      <c r="AX65" s="12" t="str">
        <f>IFERROR(__xludf.DUMMYFUNCTION("""COMPUTED_VALUE"""),"1018422688")</f>
        <v>1018422688</v>
      </c>
      <c r="AY65" s="12" t="str">
        <f>IFERROR(__xludf.DUMMYFUNCTION("""COMPUTED_VALUE"""),"3003271740")</f>
        <v>3003271740</v>
      </c>
      <c r="AZ65" s="6" t="str">
        <f>IFERROR(__xludf.DUMMYFUNCTION("""COMPUTED_VALUE"""),"Padre")</f>
        <v>Padre</v>
      </c>
      <c r="BA65" s="6"/>
      <c r="BB65" s="6"/>
      <c r="BC65" s="6"/>
      <c r="BD65" s="12" t="str">
        <f>IFERROR(__xludf.DUMMYFUNCTION("""COMPUTED_VALUE"""),"rai0010")</f>
        <v>rai0010</v>
      </c>
      <c r="BE65" s="6" t="str">
        <f>IFERROR(__xludf.DUMMYFUNCTION("""COMPUTED_VALUE"""),"NUEVO(A)")</f>
        <v>NUEVO(A)</v>
      </c>
      <c r="BF65" s="12" t="str">
        <f>IFERROR(__xludf.DUMMYFUNCTION("""COMPUTED_VALUE"""),"FALTAN FIRMAS")</f>
        <v>FALTAN FIRMAS</v>
      </c>
      <c r="BG65" s="6">
        <f>IFERROR(__xludf.DUMMYFUNCTION("""COMPUTED_VALUE"""),2040.0)</f>
        <v>2040</v>
      </c>
      <c r="BH65" s="15">
        <f>IFERROR(__xludf.DUMMYFUNCTION("""COMPUTED_VALUE"""),46238.20927083334)</f>
        <v>46238.20927</v>
      </c>
      <c r="BI65" s="6">
        <f>IFERROR(__xludf.DUMMYFUNCTION("""COMPUTED_VALUE"""),64.0)</f>
        <v>64</v>
      </c>
      <c r="BJ65" s="6"/>
      <c r="BK65" s="6"/>
      <c r="BL65" s="6" t="str">
        <f>IFERROR(__xludf.DUMMYFUNCTION("""COMPUTED_VALUE"""),"GISRAI0010")</f>
        <v>GISRAI0010</v>
      </c>
      <c r="BM65" s="6"/>
      <c r="BN65" s="6"/>
      <c r="BO65" s="6"/>
      <c r="BP65" s="6"/>
      <c r="BQ65" s="6"/>
      <c r="BR65" s="6"/>
      <c r="BS65" s="6" t="str">
        <f>IFERROR(__xludf.DUMMYFUNCTION("""COMPUTED_VALUE"""),"XC_K4_IniciaMusical")</f>
        <v>XC_K4_IniciaMusical</v>
      </c>
      <c r="BT65" s="6"/>
      <c r="BU65" s="6" t="str">
        <f>IFERROR(__xludf.DUMMYFUNCTION("""COMPUTED_VALUE"""),"SI")</f>
        <v>SI</v>
      </c>
      <c r="BV65" s="12" t="str">
        <f>IFERROR(__xludf.DUMMYFUNCTION("""COMPUTED_VALUE"""),"alicia.r2040")</f>
        <v>alicia.r2040</v>
      </c>
      <c r="BW65" s="6"/>
      <c r="BX65" s="6"/>
      <c r="BY65" s="6"/>
      <c r="BZ65" s="6"/>
    </row>
    <row r="66">
      <c r="A66" s="12">
        <f>IFERROR(__xludf.DUMMYFUNCTION("""COMPUTED_VALUE"""),1.098314345E9)</f>
        <v>1098314345</v>
      </c>
      <c r="B66" s="6">
        <f>IFERROR(__xludf.DUMMYFUNCTION("""COMPUTED_VALUE"""),14.0)</f>
        <v>14</v>
      </c>
      <c r="C66" s="6" t="str">
        <f>IFERROR(__xludf.DUMMYFUNCTION("""COMPUTED_VALUE"""),"Celeste")</f>
        <v>Celeste</v>
      </c>
      <c r="D66" s="6"/>
      <c r="E66" s="6" t="str">
        <f>IFERROR(__xludf.DUMMYFUNCTION("""COMPUTED_VALUE"""),"Roa Rivera")</f>
        <v>Roa Rivera</v>
      </c>
      <c r="F66" s="6" t="str">
        <f>IFERROR(__xludf.DUMMYFUNCTION("""COMPUTED_VALUE"""),"Barrio la Pista Apto 201 - Calle 7 No6 - 79 Circasia")</f>
        <v>Barrio la Pista Apto 201 - Calle 7 No6 - 79 Circasia</v>
      </c>
      <c r="G66" s="12">
        <f>IFERROR(__xludf.DUMMYFUNCTION("""COMPUTED_VALUE"""),2022.0)</f>
        <v>2022</v>
      </c>
      <c r="H66" s="6" t="str">
        <f>IFERROR(__xludf.DUMMYFUNCTION("""COMPUTED_VALUE"""),"Febrero")</f>
        <v>Febrero</v>
      </c>
      <c r="I66" s="12">
        <f>IFERROR(__xludf.DUMMYFUNCTION("""COMPUTED_VALUE"""),12.0)</f>
        <v>12</v>
      </c>
      <c r="J66" s="6" t="str">
        <f>IFERROR(__xludf.DUMMYFUNCTION("""COMPUTED_VALUE"""),"Circasia")</f>
        <v>Circasia</v>
      </c>
      <c r="K66" s="6" t="str">
        <f>IFERROR(__xludf.DUMMYFUNCTION("""COMPUTED_VALUE"""),"celeste.r2040@gi.edu.co")</f>
        <v>celeste.r2040@gi.edu.co</v>
      </c>
      <c r="L66" s="6" t="str">
        <f>IFERROR(__xludf.DUMMYFUNCTION("""COMPUTED_VALUE"""),"RC")</f>
        <v>RC</v>
      </c>
      <c r="M66" s="6" t="str">
        <f>IFERROR(__xludf.DUMMYFUNCTION("""COMPUTED_VALUE"""),"Circasia")</f>
        <v>Circasia</v>
      </c>
      <c r="N66" s="6" t="str">
        <f>IFERROR(__xludf.DUMMYFUNCTION("""COMPUTED_VALUE"""),"F")</f>
        <v>F</v>
      </c>
      <c r="O66" s="6" t="str">
        <f>IFERROR(__xludf.DUMMYFUNCTION("""COMPUTED_VALUE"""),"ACTIVE")</f>
        <v>ACTIVE</v>
      </c>
      <c r="P66" s="6"/>
      <c r="Q66" s="6" t="str">
        <f>IFERROR(__xludf.DUMMYFUNCTION("""COMPUTED_VALUE"""),"Circasia")</f>
        <v>Circasia</v>
      </c>
      <c r="R66" s="12" t="str">
        <f>IFERROR(__xludf.DUMMYFUNCTION("""COMPUTED_VALUE"""),"Gikw58be*")</f>
        <v>Gikw58be*</v>
      </c>
      <c r="S66" s="6" t="str">
        <f>IFERROR(__xludf.DUMMYFUNCTION("""COMPUTED_VALUE"""),"Roa Rivera Celeste ")</f>
        <v>Roa Rivera Celeste </v>
      </c>
      <c r="T66" s="6" t="str">
        <f>IFERROR(__xludf.DUMMYFUNCTION("""COMPUTED_VALUE"""),"LINA MARIA ROA RIVERA")</f>
        <v>LINA MARIA ROA RIVERA</v>
      </c>
      <c r="U66" s="12" t="str">
        <f>IFERROR(__xludf.DUMMYFUNCTION("""COMPUTED_VALUE"""),"1098306301")</f>
        <v>1098306301</v>
      </c>
      <c r="V66" s="6">
        <f>IFERROR(__xludf.DUMMYFUNCTION("""COMPUTED_VALUE"""),3.165288088E9)</f>
        <v>3165288088</v>
      </c>
      <c r="W66" s="6" t="str">
        <f>IFERROR(__xludf.DUMMYFUNCTION("""COMPUTED_VALUE"""),"linamr@gi.edu.co")</f>
        <v>linamr@gi.edu.co</v>
      </c>
      <c r="X66" s="12" t="str">
        <f>IFERROR(__xludf.DUMMYFUNCTION("""COMPUTED_VALUE"""),"B+")</f>
        <v>B+</v>
      </c>
      <c r="Y66" s="12" t="str">
        <f>IFERROR(__xludf.DUMMYFUNCTION("""COMPUTED_VALUE"""),"K4")</f>
        <v>K4</v>
      </c>
      <c r="Z66" s="6">
        <f>IFERROR(__xludf.DUMMYFUNCTION("""COMPUTED_VALUE"""),120561.0)</f>
        <v>120561</v>
      </c>
      <c r="AA66" s="6" t="str">
        <f>IFERROR(__xludf.DUMMYFUNCTION("""COMPUTED_VALUE"""),"SURA")</f>
        <v>SURA</v>
      </c>
      <c r="AB66" s="6"/>
      <c r="AC66" s="6"/>
      <c r="AD66" s="12" t="str">
        <f>IFERROR(__xludf.DUMMYFUNCTION("""COMPUTED_VALUE"""),"K4A")</f>
        <v>K4A</v>
      </c>
      <c r="AE66" s="6">
        <f>IFERROR(__xludf.DUMMYFUNCTION("""COMPUTED_VALUE"""),1.345282558E9)</f>
        <v>1345282558</v>
      </c>
      <c r="AF66" s="6">
        <f>IFERROR(__xludf.DUMMYFUNCTION("""COMPUTED_VALUE"""),1.345282558E9)</f>
        <v>1345282558</v>
      </c>
      <c r="AG66" s="12" t="str">
        <f>IFERROR(__xludf.DUMMYFUNCTION("""COMPUTED_VALUE"""),"Lina")</f>
        <v>Lina</v>
      </c>
      <c r="AH66" s="12" t="str">
        <f>IFERROR(__xludf.DUMMYFUNCTION("""COMPUTED_VALUE"""),"María")</f>
        <v>María</v>
      </c>
      <c r="AI66" s="6" t="str">
        <f>IFERROR(__xludf.DUMMYFUNCTION("""COMPUTED_VALUE"""),"Roa Rivera")</f>
        <v>Roa Rivera</v>
      </c>
      <c r="AJ66" s="6" t="str">
        <f>IFERROR(__xludf.DUMMYFUNCTION("""COMPUTED_VALUE"""),"linamr@gi.edu.co")</f>
        <v>linamr@gi.edu.co</v>
      </c>
      <c r="AK66" s="6" t="str">
        <f>IFERROR(__xludf.DUMMYFUNCTION("""COMPUTED_VALUE"""),"Administraciòn de Negocios")</f>
        <v>Administraciòn de Negocios</v>
      </c>
      <c r="AL66" s="6" t="str">
        <f>IFERROR(__xludf.DUMMYFUNCTION("""COMPUTED_VALUE"""),"FUNDACION GIMNASIO INGLES")</f>
        <v>FUNDACION GIMNASIO INGLES</v>
      </c>
      <c r="AM66" s="12" t="str">
        <f>IFERROR(__xludf.DUMMYFUNCTION("""COMPUTED_VALUE"""),"1098306301")</f>
        <v>1098306301</v>
      </c>
      <c r="AN66" s="12" t="str">
        <f>IFERROR(__xludf.DUMMYFUNCTION("""COMPUTED_VALUE"""),"3165288088")</f>
        <v>3165288088</v>
      </c>
      <c r="AO66" s="6" t="str">
        <f>IFERROR(__xludf.DUMMYFUNCTION("""COMPUTED_VALUE"""),"Madre")</f>
        <v>Madre</v>
      </c>
      <c r="AP66" s="12" t="str">
        <f>IFERROR(__xludf.DUMMYFUNCTION("""COMPUTED_VALUE"""),"Estudiante(s): Roa Rivera")</f>
        <v>Estudiante(s): Roa Rivera</v>
      </c>
      <c r="AQ66" s="6" t="str">
        <f>IFERROR(__xludf.DUMMYFUNCTION("""COMPUTED_VALUE"""),"120438*Gi")</f>
        <v>120438*Gi</v>
      </c>
      <c r="AR66" s="6"/>
      <c r="AS66" s="6"/>
      <c r="AT66" s="6"/>
      <c r="AU66" s="6"/>
      <c r="AV66" s="6"/>
      <c r="AW66" s="6"/>
      <c r="AX66" s="6"/>
      <c r="AY66" s="6"/>
      <c r="AZ66" s="6" t="str">
        <f>IFERROR(__xludf.DUMMYFUNCTION("""COMPUTED_VALUE"""),"Padre")</f>
        <v>Padre</v>
      </c>
      <c r="BA66" s="6"/>
      <c r="BB66" s="6"/>
      <c r="BC66" s="6"/>
      <c r="BD66" s="12" t="str">
        <f>IFERROR(__xludf.DUMMYFUNCTION("""COMPUTED_VALUE"""),"roa0002")</f>
        <v>roa0002</v>
      </c>
      <c r="BE66" s="6"/>
      <c r="BF66" s="6"/>
      <c r="BG66" s="6">
        <f>IFERROR(__xludf.DUMMYFUNCTION("""COMPUTED_VALUE"""),2040.0)</f>
        <v>2040</v>
      </c>
      <c r="BH66" s="15">
        <f>IFERROR(__xludf.DUMMYFUNCTION("""COMPUTED_VALUE"""),46211.86565972222)</f>
        <v>46211.86566</v>
      </c>
      <c r="BI66" s="6">
        <f>IFERROR(__xludf.DUMMYFUNCTION("""COMPUTED_VALUE"""),65.0)</f>
        <v>65</v>
      </c>
      <c r="BJ66" s="6"/>
      <c r="BK66" s="6"/>
      <c r="BL66" s="6" t="str">
        <f>IFERROR(__xludf.DUMMYFUNCTION("""COMPUTED_VALUE"""),"GISROA0002")</f>
        <v>GISROA0002</v>
      </c>
      <c r="BM66" s="6"/>
      <c r="BN66" s="6"/>
      <c r="BO66" s="6"/>
      <c r="BP66" s="6"/>
      <c r="BQ66" s="6"/>
      <c r="BR66" s="6"/>
      <c r="BS66" s="6"/>
      <c r="BT66" s="6"/>
      <c r="BU66" s="6" t="str">
        <f>IFERROR(__xludf.DUMMYFUNCTION("""COMPUTED_VALUE"""),"SI")</f>
        <v>SI</v>
      </c>
      <c r="BV66" s="6" t="str">
        <f>IFERROR(__xludf.DUMMYFUNCTION("""COMPUTED_VALUE"""),"celeste.r2040")</f>
        <v>celeste.r2040</v>
      </c>
      <c r="BW66" s="6"/>
      <c r="BX66" s="6"/>
      <c r="BY66" s="6"/>
      <c r="BZ66" s="6"/>
    </row>
    <row r="67">
      <c r="A67" s="12">
        <f>IFERROR(__xludf.DUMMYFUNCTION("""COMPUTED_VALUE"""),1.09286555E9)</f>
        <v>1092865550</v>
      </c>
      <c r="B67" s="6">
        <f>IFERROR(__xludf.DUMMYFUNCTION("""COMPUTED_VALUE"""),15.0)</f>
        <v>15</v>
      </c>
      <c r="C67" s="6" t="str">
        <f>IFERROR(__xludf.DUMMYFUNCTION("""COMPUTED_VALUE"""),"Joaquín")</f>
        <v>Joaquín</v>
      </c>
      <c r="D67" s="6"/>
      <c r="E67" s="6" t="str">
        <f>IFERROR(__xludf.DUMMYFUNCTION("""COMPUTED_VALUE"""),"Rodríguez Giraldo")</f>
        <v>Rodríguez Giraldo</v>
      </c>
      <c r="F67" s="6" t="str">
        <f>IFERROR(__xludf.DUMMYFUNCTION("""COMPUTED_VALUE"""),"Torre Bellagio Apto 803 - Calle 12Nte No10 - 32 La Castellana")</f>
        <v>Torre Bellagio Apto 803 - Calle 12Nte No10 - 32 La Castellana</v>
      </c>
      <c r="G67" s="12" t="str">
        <f>IFERROR(__xludf.DUMMYFUNCTION("""COMPUTED_VALUE"""),"2021")</f>
        <v>2021</v>
      </c>
      <c r="H67" s="6" t="str">
        <f>IFERROR(__xludf.DUMMYFUNCTION("""COMPUTED_VALUE"""),"Noviembre")</f>
        <v>Noviembre</v>
      </c>
      <c r="I67" s="12" t="str">
        <f>IFERROR(__xludf.DUMMYFUNCTION("""COMPUTED_VALUE"""),"27")</f>
        <v>27</v>
      </c>
      <c r="J67" s="6" t="str">
        <f>IFERROR(__xludf.DUMMYFUNCTION("""COMPUTED_VALUE"""),"Armenia")</f>
        <v>Armenia</v>
      </c>
      <c r="K67" s="6" t="str">
        <f>IFERROR(__xludf.DUMMYFUNCTION("""COMPUTED_VALUE"""),"joaquin.r2040@gi.edu.co")</f>
        <v>joaquin.r2040@gi.edu.co</v>
      </c>
      <c r="L67" s="6" t="str">
        <f>IFERROR(__xludf.DUMMYFUNCTION("""COMPUTED_VALUE"""),"RC")</f>
        <v>RC</v>
      </c>
      <c r="M67" s="6" t="str">
        <f>IFERROR(__xludf.DUMMYFUNCTION("""COMPUTED_VALUE"""),"Armenia")</f>
        <v>Armenia</v>
      </c>
      <c r="N67" s="6" t="str">
        <f>IFERROR(__xludf.DUMMYFUNCTION("""COMPUTED_VALUE"""),"M")</f>
        <v>M</v>
      </c>
      <c r="O67" s="6" t="str">
        <f>IFERROR(__xludf.DUMMYFUNCTION("""COMPUTED_VALUE"""),"ACTIVE")</f>
        <v>ACTIVE</v>
      </c>
      <c r="P67" s="6"/>
      <c r="Q67" s="6" t="str">
        <f>IFERROR(__xludf.DUMMYFUNCTION("""COMPUTED_VALUE"""),"Armenia")</f>
        <v>Armenia</v>
      </c>
      <c r="R67" s="12" t="str">
        <f>IFERROR(__xludf.DUMMYFUNCTION("""COMPUTED_VALUE"""),"Gi84jjh29*")</f>
        <v>Gi84jjh29*</v>
      </c>
      <c r="S67" s="6" t="str">
        <f>IFERROR(__xludf.DUMMYFUNCTION("""COMPUTED_VALUE"""),"Rodríguez Giraldo Joaquín ")</f>
        <v>Rodríguez Giraldo Joaquín </v>
      </c>
      <c r="T67" s="6" t="str">
        <f>IFERROR(__xludf.DUMMYFUNCTION("""COMPUTED_VALUE"""),"JHON MARLON RODRIGUEZ ORTIZ")</f>
        <v>JHON MARLON RODRIGUEZ ORTIZ</v>
      </c>
      <c r="U67" s="12" t="str">
        <f>IFERROR(__xludf.DUMMYFUNCTION("""COMPUTED_VALUE"""),"80198888")</f>
        <v>80198888</v>
      </c>
      <c r="V67" s="6">
        <f>IFERROR(__xludf.DUMMYFUNCTION("""COMPUTED_VALUE"""),3.015295191E9)</f>
        <v>3015295191</v>
      </c>
      <c r="W67" s="6" t="str">
        <f>IFERROR(__xludf.DUMMYFUNCTION("""COMPUTED_VALUE"""),"jmarodriguez0@gmail.com")</f>
        <v>jmarodriguez0@gmail.com</v>
      </c>
      <c r="X67" s="12" t="str">
        <f>IFERROR(__xludf.DUMMYFUNCTION("""COMPUTED_VALUE"""),"B+")</f>
        <v>B+</v>
      </c>
      <c r="Y67" s="12" t="str">
        <f>IFERROR(__xludf.DUMMYFUNCTION("""COMPUTED_VALUE"""),"K4")</f>
        <v>K4</v>
      </c>
      <c r="Z67" s="6">
        <f>IFERROR(__xludf.DUMMYFUNCTION("""COMPUTED_VALUE"""),120506.0)</f>
        <v>120506</v>
      </c>
      <c r="AA67" s="6" t="str">
        <f>IFERROR(__xludf.DUMMYFUNCTION("""COMPUTED_VALUE"""),"SANITAS")</f>
        <v>SANITAS</v>
      </c>
      <c r="AB67" s="6"/>
      <c r="AC67" s="6"/>
      <c r="AD67" s="12" t="str">
        <f>IFERROR(__xludf.DUMMYFUNCTION("""COMPUTED_VALUE"""),"K4A")</f>
        <v>K4A</v>
      </c>
      <c r="AE67" s="6" t="str">
        <f>IFERROR(__xludf.DUMMYFUNCTION("""COMPUTED_VALUE"""),"1345282505")</f>
        <v>1345282505</v>
      </c>
      <c r="AF67" s="12" t="str">
        <f>IFERROR(__xludf.DUMMYFUNCTION("""COMPUTED_VALUE"""),"1345282505")</f>
        <v>1345282505</v>
      </c>
      <c r="AG67" s="12" t="str">
        <f>IFERROR(__xludf.DUMMYFUNCTION("""COMPUTED_VALUE"""),"Marcia")</f>
        <v>Marcia</v>
      </c>
      <c r="AH67" s="12" t="str">
        <f>IFERROR(__xludf.DUMMYFUNCTION("""COMPUTED_VALUE"""),"Catalina")</f>
        <v>Catalina</v>
      </c>
      <c r="AI67" s="6" t="str">
        <f>IFERROR(__xludf.DUMMYFUNCTION("""COMPUTED_VALUE"""),"Giraldo Bedoya")</f>
        <v>Giraldo Bedoya</v>
      </c>
      <c r="AJ67" s="6" t="str">
        <f>IFERROR(__xludf.DUMMYFUNCTION("""COMPUTED_VALUE"""),"catagiraldo0@gmail.com")</f>
        <v>catagiraldo0@gmail.com</v>
      </c>
      <c r="AK67" s="6" t="str">
        <f>IFERROR(__xludf.DUMMYFUNCTION("""COMPUTED_VALUE"""),"Administradora de Empresas")</f>
        <v>Administradora de Empresas</v>
      </c>
      <c r="AL67" s="6" t="str">
        <f>IFERROR(__xludf.DUMMYFUNCTION("""COMPUTED_VALUE"""),"Independiente")</f>
        <v>Independiente</v>
      </c>
      <c r="AM67" s="12" t="str">
        <f>IFERROR(__xludf.DUMMYFUNCTION("""COMPUTED_VALUE"""),"1010188412")</f>
        <v>1010188412</v>
      </c>
      <c r="AN67" s="12" t="str">
        <f>IFERROR(__xludf.DUMMYFUNCTION("""COMPUTED_VALUE"""),"3104820265")</f>
        <v>3104820265</v>
      </c>
      <c r="AO67" s="6" t="str">
        <f>IFERROR(__xludf.DUMMYFUNCTION("""COMPUTED_VALUE"""),"Madre")</f>
        <v>Madre</v>
      </c>
      <c r="AP67" s="12" t="str">
        <f>IFERROR(__xludf.DUMMYFUNCTION("""COMPUTED_VALUE"""),"Estudiante(s): Rodríguez Giraldo")</f>
        <v>Estudiante(s): Rodríguez Giraldo</v>
      </c>
      <c r="AQ67" s="6" t="str">
        <f>IFERROR(__xludf.DUMMYFUNCTION("""COMPUTED_VALUE"""),"120505*Gi")</f>
        <v>120505*Gi</v>
      </c>
      <c r="AR67" s="6" t="str">
        <f>IFERROR(__xludf.DUMMYFUNCTION("""COMPUTED_VALUE"""),"Jhon")</f>
        <v>Jhon</v>
      </c>
      <c r="AS67" s="6" t="str">
        <f>IFERROR(__xludf.DUMMYFUNCTION("""COMPUTED_VALUE"""),"Marlon")</f>
        <v>Marlon</v>
      </c>
      <c r="AT67" s="6" t="str">
        <f>IFERROR(__xludf.DUMMYFUNCTION("""COMPUTED_VALUE"""),"Rodríguez Ortiz")</f>
        <v>Rodríguez Ortiz</v>
      </c>
      <c r="AU67" s="6" t="str">
        <f>IFERROR(__xludf.DUMMYFUNCTION("""COMPUTED_VALUE"""),"jmarodriguez0@gmail.com")</f>
        <v>jmarodriguez0@gmail.com</v>
      </c>
      <c r="AV67" s="6" t="str">
        <f>IFERROR(__xludf.DUMMYFUNCTION("""COMPUTED_VALUE"""),"Ingeniero Industrial")</f>
        <v>Ingeniero Industrial</v>
      </c>
      <c r="AW67" s="6" t="str">
        <f>IFERROR(__xludf.DUMMYFUNCTION("""COMPUTED_VALUE"""),"Moviired Incomm Payments-Cheaf")</f>
        <v>Moviired Incomm Payments-Cheaf</v>
      </c>
      <c r="AX67" s="12" t="str">
        <f>IFERROR(__xludf.DUMMYFUNCTION("""COMPUTED_VALUE"""),"80198888")</f>
        <v>80198888</v>
      </c>
      <c r="AY67" s="12" t="str">
        <f>IFERROR(__xludf.DUMMYFUNCTION("""COMPUTED_VALUE"""),"3015295191")</f>
        <v>3015295191</v>
      </c>
      <c r="AZ67" s="6" t="str">
        <f>IFERROR(__xludf.DUMMYFUNCTION("""COMPUTED_VALUE"""),"Padre")</f>
        <v>Padre</v>
      </c>
      <c r="BA67" s="6"/>
      <c r="BB67" s="6"/>
      <c r="BC67" s="6"/>
      <c r="BD67" s="12" t="str">
        <f>IFERROR(__xludf.DUMMYFUNCTION("""COMPUTED_VALUE"""),"rod0015")</f>
        <v>rod0015</v>
      </c>
      <c r="BE67" s="6"/>
      <c r="BF67" s="6"/>
      <c r="BG67" s="6">
        <f>IFERROR(__xludf.DUMMYFUNCTION("""COMPUTED_VALUE"""),2040.0)</f>
        <v>2040</v>
      </c>
      <c r="BH67" s="15">
        <f>IFERROR(__xludf.DUMMYFUNCTION("""COMPUTED_VALUE"""),46211.48042824074)</f>
        <v>46211.48043</v>
      </c>
      <c r="BI67" s="6">
        <f>IFERROR(__xludf.DUMMYFUNCTION("""COMPUTED_VALUE"""),66.0)</f>
        <v>66</v>
      </c>
      <c r="BJ67" s="6"/>
      <c r="BK67" s="6"/>
      <c r="BL67" s="6" t="str">
        <f>IFERROR(__xludf.DUMMYFUNCTION("""COMPUTED_VALUE"""),"GISROD0015")</f>
        <v>GISROD0015</v>
      </c>
      <c r="BM67" s="6"/>
      <c r="BN67" s="6"/>
      <c r="BO67" s="6"/>
      <c r="BP67" s="6"/>
      <c r="BQ67" s="6"/>
      <c r="BR67" s="6"/>
      <c r="BS67" s="6"/>
      <c r="BT67" s="6"/>
      <c r="BU67" s="6" t="str">
        <f>IFERROR(__xludf.DUMMYFUNCTION("""COMPUTED_VALUE"""),"SI")</f>
        <v>SI</v>
      </c>
      <c r="BV67" s="6" t="str">
        <f>IFERROR(__xludf.DUMMYFUNCTION("""COMPUTED_VALUE"""),"joaquin.r2040")</f>
        <v>joaquin.r2040</v>
      </c>
      <c r="BW67" s="6"/>
      <c r="BX67" s="6"/>
      <c r="BY67" s="6"/>
      <c r="BZ67" s="6"/>
    </row>
    <row r="68">
      <c r="A68" s="12">
        <f>IFERROR(__xludf.DUMMYFUNCTION("""COMPUTED_VALUE"""),1.092865608E9)</f>
        <v>1092865608</v>
      </c>
      <c r="B68" s="6">
        <f>IFERROR(__xludf.DUMMYFUNCTION("""COMPUTED_VALUE"""),16.0)</f>
        <v>16</v>
      </c>
      <c r="C68" s="6" t="str">
        <f>IFERROR(__xludf.DUMMYFUNCTION("""COMPUTED_VALUE"""),"Agustín")</f>
        <v>Agustín</v>
      </c>
      <c r="D68" s="6"/>
      <c r="E68" s="6" t="str">
        <f>IFERROR(__xludf.DUMMYFUNCTION("""COMPUTED_VALUE"""),"Tisnés Correa")</f>
        <v>Tisnés Correa</v>
      </c>
      <c r="F68" s="6" t="str">
        <f>IFERROR(__xludf.DUMMYFUNCTION("""COMPUTED_VALUE"""),"Los Ocobos Parque Residencial D12 - Calle 31 Nte No20 - 10")</f>
        <v>Los Ocobos Parque Residencial D12 - Calle 31 Nte No20 - 10</v>
      </c>
      <c r="G68" s="12">
        <f>IFERROR(__xludf.DUMMYFUNCTION("""COMPUTED_VALUE"""),2021.0)</f>
        <v>2021</v>
      </c>
      <c r="H68" s="6" t="str">
        <f>IFERROR(__xludf.DUMMYFUNCTION("""COMPUTED_VALUE"""),"Diciembre")</f>
        <v>Diciembre</v>
      </c>
      <c r="I68" s="12">
        <f>IFERROR(__xludf.DUMMYFUNCTION("""COMPUTED_VALUE"""),16.0)</f>
        <v>16</v>
      </c>
      <c r="J68" s="6" t="str">
        <f>IFERROR(__xludf.DUMMYFUNCTION("""COMPUTED_VALUE"""),"Armenia")</f>
        <v>Armenia</v>
      </c>
      <c r="K68" s="6" t="str">
        <f>IFERROR(__xludf.DUMMYFUNCTION("""COMPUTED_VALUE"""),"agustin.t2040@gi.edu.co")</f>
        <v>agustin.t2040@gi.edu.co</v>
      </c>
      <c r="L68" s="6" t="str">
        <f>IFERROR(__xludf.DUMMYFUNCTION("""COMPUTED_VALUE"""),"RC")</f>
        <v>RC</v>
      </c>
      <c r="M68" s="6" t="str">
        <f>IFERROR(__xludf.DUMMYFUNCTION("""COMPUTED_VALUE"""),"Armenia")</f>
        <v>Armenia</v>
      </c>
      <c r="N68" s="6" t="str">
        <f>IFERROR(__xludf.DUMMYFUNCTION("""COMPUTED_VALUE"""),"M")</f>
        <v>M</v>
      </c>
      <c r="O68" s="6" t="str">
        <f>IFERROR(__xludf.DUMMYFUNCTION("""COMPUTED_VALUE"""),"ACTIVE")</f>
        <v>ACTIVE</v>
      </c>
      <c r="P68" s="6"/>
      <c r="Q68" s="6" t="str">
        <f>IFERROR(__xludf.DUMMYFUNCTION("""COMPUTED_VALUE"""),"Armenia")</f>
        <v>Armenia</v>
      </c>
      <c r="R68" s="12" t="str">
        <f>IFERROR(__xludf.DUMMYFUNCTION("""COMPUTED_VALUE"""),"Gi3r6g8i1k*")</f>
        <v>Gi3r6g8i1k*</v>
      </c>
      <c r="S68" s="6" t="str">
        <f>IFERROR(__xludf.DUMMYFUNCTION("""COMPUTED_VALUE"""),"Tisnés Correa Agustín ")</f>
        <v>Tisnés Correa Agustín </v>
      </c>
      <c r="T68" s="6" t="str">
        <f>IFERROR(__xludf.DUMMYFUNCTION("""COMPUTED_VALUE"""),"CLAUDIA LORENA CORREA RESTREPO")</f>
        <v>CLAUDIA LORENA CORREA RESTREPO</v>
      </c>
      <c r="U68" s="12" t="str">
        <f>IFERROR(__xludf.DUMMYFUNCTION("""COMPUTED_VALUE"""),"1075250924")</f>
        <v>1075250924</v>
      </c>
      <c r="V68" s="6">
        <f>IFERROR(__xludf.DUMMYFUNCTION("""COMPUTED_VALUE"""),3.113685876E9)</f>
        <v>3113685876</v>
      </c>
      <c r="W68" s="6" t="str">
        <f>IFERROR(__xludf.DUMMYFUNCTION("""COMPUTED_VALUE"""),"clau.correa22@gmail.com")</f>
        <v>clau.correa22@gmail.com</v>
      </c>
      <c r="X68" s="12" t="str">
        <f>IFERROR(__xludf.DUMMYFUNCTION("""COMPUTED_VALUE"""),"AB+")</f>
        <v>AB+</v>
      </c>
      <c r="Y68" s="12" t="str">
        <f>IFERROR(__xludf.DUMMYFUNCTION("""COMPUTED_VALUE"""),"K4")</f>
        <v>K4</v>
      </c>
      <c r="Z68" s="12">
        <f>IFERROR(__xludf.DUMMYFUNCTION("""COMPUTED_VALUE"""),120441.0)</f>
        <v>120441</v>
      </c>
      <c r="AA68" s="6" t="str">
        <f>IFERROR(__xludf.DUMMYFUNCTION("""COMPUTED_VALUE"""),"SURA")</f>
        <v>SURA</v>
      </c>
      <c r="AB68" s="6"/>
      <c r="AC68" s="12" t="str">
        <f>IFERROR(__xludf.DUMMYFUNCTION("""COMPUTED_VALUE"""),"A los ácaros")</f>
        <v>A los ácaros</v>
      </c>
      <c r="AD68" s="12" t="str">
        <f>IFERROR(__xludf.DUMMYFUNCTION("""COMPUTED_VALUE"""),"K4A")</f>
        <v>K4A</v>
      </c>
      <c r="AE68" s="12" t="str">
        <f>IFERROR(__xludf.DUMMYFUNCTION("""COMPUTED_VALUE"""),"1345282452")</f>
        <v>1345282452</v>
      </c>
      <c r="AF68" s="12" t="str">
        <f>IFERROR(__xludf.DUMMYFUNCTION("""COMPUTED_VALUE"""),"1345282452")</f>
        <v>1345282452</v>
      </c>
      <c r="AG68" s="12" t="str">
        <f>IFERROR(__xludf.DUMMYFUNCTION("""COMPUTED_VALUE"""),"Claudia")</f>
        <v>Claudia</v>
      </c>
      <c r="AH68" s="12" t="str">
        <f>IFERROR(__xludf.DUMMYFUNCTION("""COMPUTED_VALUE"""),"Lorena")</f>
        <v>Lorena</v>
      </c>
      <c r="AI68" s="6" t="str">
        <f>IFERROR(__xludf.DUMMYFUNCTION("""COMPUTED_VALUE"""),"Correa Restrepo")</f>
        <v>Correa Restrepo</v>
      </c>
      <c r="AJ68" s="6" t="str">
        <f>IFERROR(__xludf.DUMMYFUNCTION("""COMPUTED_VALUE"""),"clau.correa22@gmail.com")</f>
        <v>clau.correa22@gmail.com</v>
      </c>
      <c r="AK68" s="6" t="str">
        <f>IFERROR(__xludf.DUMMYFUNCTION("""COMPUTED_VALUE"""),"Ingeniera industrial")</f>
        <v>Ingeniera industrial</v>
      </c>
      <c r="AL68" s="6" t="str">
        <f>IFERROR(__xludf.DUMMYFUNCTION("""COMPUTED_VALUE"""),"BT SERVICES SAS")</f>
        <v>BT SERVICES SAS</v>
      </c>
      <c r="AM68" s="12" t="str">
        <f>IFERROR(__xludf.DUMMYFUNCTION("""COMPUTED_VALUE"""),"1075250924")</f>
        <v>1075250924</v>
      </c>
      <c r="AN68" s="12" t="str">
        <f>IFERROR(__xludf.DUMMYFUNCTION("""COMPUTED_VALUE"""),"3113685876")</f>
        <v>3113685876</v>
      </c>
      <c r="AO68" s="6" t="str">
        <f>IFERROR(__xludf.DUMMYFUNCTION("""COMPUTED_VALUE"""),"Madre")</f>
        <v>Madre</v>
      </c>
      <c r="AP68" s="6" t="str">
        <f>IFERROR(__xludf.DUMMYFUNCTION("""COMPUTED_VALUE"""),"Estudiante(s): Tisnés Correa")</f>
        <v>Estudiante(s): Tisnés Correa</v>
      </c>
      <c r="AQ68" s="6" t="str">
        <f>IFERROR(__xludf.DUMMYFUNCTION("""COMPUTED_VALUE"""),"120126*Gi")</f>
        <v>120126*Gi</v>
      </c>
      <c r="AR68" s="6" t="str">
        <f>IFERROR(__xludf.DUMMYFUNCTION("""COMPUTED_VALUE"""),"Juan")</f>
        <v>Juan</v>
      </c>
      <c r="AS68" s="6" t="str">
        <f>IFERROR(__xludf.DUMMYFUNCTION("""COMPUTED_VALUE"""),"Guillermo")</f>
        <v>Guillermo</v>
      </c>
      <c r="AT68" s="6" t="str">
        <f>IFERROR(__xludf.DUMMYFUNCTION("""COMPUTED_VALUE"""),"Tisnés Fernández")</f>
        <v>Tisnés Fernández</v>
      </c>
      <c r="AU68" s="6" t="str">
        <f>IFERROR(__xludf.DUMMYFUNCTION("""COMPUTED_VALUE"""),"juan.tisnes@gmail.com")</f>
        <v>juan.tisnes@gmail.com</v>
      </c>
      <c r="AV68" s="6" t="str">
        <f>IFERROR(__xludf.DUMMYFUNCTION("""COMPUTED_VALUE"""),"Ingeniero electronico")</f>
        <v>Ingeniero electronico</v>
      </c>
      <c r="AW68" s="6" t="str">
        <f>IFERROR(__xludf.DUMMYFUNCTION("""COMPUTED_VALUE"""),"BT SERVICES SAS")</f>
        <v>BT SERVICES SAS</v>
      </c>
      <c r="AX68" s="12" t="str">
        <f>IFERROR(__xludf.DUMMYFUNCTION("""COMPUTED_VALUE"""),"9772263")</f>
        <v>9772263</v>
      </c>
      <c r="AY68" s="12" t="str">
        <f>IFERROR(__xludf.DUMMYFUNCTION("""COMPUTED_VALUE"""),"3008680896")</f>
        <v>3008680896</v>
      </c>
      <c r="AZ68" s="6" t="str">
        <f>IFERROR(__xludf.DUMMYFUNCTION("""COMPUTED_VALUE"""),"Padre")</f>
        <v>Padre</v>
      </c>
      <c r="BA68" s="6"/>
      <c r="BB68" s="6"/>
      <c r="BC68" s="6"/>
      <c r="BD68" s="12" t="str">
        <f>IFERROR(__xludf.DUMMYFUNCTION("""COMPUTED_VALUE"""),"tis0002")</f>
        <v>tis0002</v>
      </c>
      <c r="BE68" s="6"/>
      <c r="BF68" s="6"/>
      <c r="BG68" s="6">
        <f>IFERROR(__xludf.DUMMYFUNCTION("""COMPUTED_VALUE"""),2040.0)</f>
        <v>2040</v>
      </c>
      <c r="BH68" s="15">
        <f>IFERROR(__xludf.DUMMYFUNCTION("""COMPUTED_VALUE"""),46205.41140046297)</f>
        <v>46205.4114</v>
      </c>
      <c r="BI68" s="6">
        <f>IFERROR(__xludf.DUMMYFUNCTION("""COMPUTED_VALUE"""),67.0)</f>
        <v>67</v>
      </c>
      <c r="BJ68" s="6"/>
      <c r="BK68" s="6"/>
      <c r="BL68" s="6" t="str">
        <f>IFERROR(__xludf.DUMMYFUNCTION("""COMPUTED_VALUE"""),"GISTIS0002")</f>
        <v>GISTIS0002</v>
      </c>
      <c r="BM68" s="6"/>
      <c r="BN68" s="6"/>
      <c r="BO68" s="6"/>
      <c r="BP68" s="6"/>
      <c r="BQ68" s="6"/>
      <c r="BR68" s="6"/>
      <c r="BS68" s="6"/>
      <c r="BT68" s="6"/>
      <c r="BU68" s="6" t="str">
        <f>IFERROR(__xludf.DUMMYFUNCTION("""COMPUTED_VALUE"""),"SI")</f>
        <v>SI</v>
      </c>
      <c r="BV68" s="6" t="str">
        <f>IFERROR(__xludf.DUMMYFUNCTION("""COMPUTED_VALUE"""),"agustin.t2040")</f>
        <v>agustin.t2040</v>
      </c>
      <c r="BW68" s="6"/>
      <c r="BX68" s="6"/>
      <c r="BY68" s="6"/>
      <c r="BZ68" s="6"/>
    </row>
    <row r="69">
      <c r="A69" s="12">
        <f>IFERROR(__xludf.DUMMYFUNCTION("""COMPUTED_VALUE"""),1.091890038E9)</f>
        <v>1091890038</v>
      </c>
      <c r="B69" s="6">
        <f>IFERROR(__xludf.DUMMYFUNCTION("""COMPUTED_VALUE"""),17.0)</f>
        <v>17</v>
      </c>
      <c r="C69" s="6" t="str">
        <f>IFERROR(__xludf.DUMMYFUNCTION("""COMPUTED_VALUE"""),"Agustín")</f>
        <v>Agustín</v>
      </c>
      <c r="D69" s="6"/>
      <c r="E69" s="6" t="str">
        <f>IFERROR(__xludf.DUMMYFUNCTION("""COMPUTED_VALUE"""),"Tobón Correa")</f>
        <v>Tobón Correa</v>
      </c>
      <c r="F69" s="6" t="str">
        <f>IFERROR(__xludf.DUMMYFUNCTION("""COMPUTED_VALUE"""),"Condominio Reserva de la Pastorita - Av 19 No23ANte - 21")</f>
        <v>Condominio Reserva de la Pastorita - Av 19 No23ANte - 21</v>
      </c>
      <c r="G69" s="12" t="str">
        <f>IFERROR(__xludf.DUMMYFUNCTION("""COMPUTED_VALUE"""),"2022")</f>
        <v>2022</v>
      </c>
      <c r="H69" s="6" t="str">
        <f>IFERROR(__xludf.DUMMYFUNCTION("""COMPUTED_VALUE"""),"Abril")</f>
        <v>Abril</v>
      </c>
      <c r="I69" s="12" t="str">
        <f>IFERROR(__xludf.DUMMYFUNCTION("""COMPUTED_VALUE"""),"5")</f>
        <v>5</v>
      </c>
      <c r="J69" s="6" t="str">
        <f>IFERROR(__xludf.DUMMYFUNCTION("""COMPUTED_VALUE"""),"Cali")</f>
        <v>Cali</v>
      </c>
      <c r="K69" s="6" t="str">
        <f>IFERROR(__xludf.DUMMYFUNCTION("""COMPUTED_VALUE"""),"agustin.tc2040@gi.edu.co")</f>
        <v>agustin.tc2040@gi.edu.co</v>
      </c>
      <c r="L69" s="6" t="str">
        <f>IFERROR(__xludf.DUMMYFUNCTION("""COMPUTED_VALUE"""),"RC")</f>
        <v>RC</v>
      </c>
      <c r="M69" s="6" t="str">
        <f>IFERROR(__xludf.DUMMYFUNCTION("""COMPUTED_VALUE"""),"Armenia")</f>
        <v>Armenia</v>
      </c>
      <c r="N69" s="6" t="str">
        <f>IFERROR(__xludf.DUMMYFUNCTION("""COMPUTED_VALUE"""),"M")</f>
        <v>M</v>
      </c>
      <c r="O69" s="6" t="str">
        <f>IFERROR(__xludf.DUMMYFUNCTION("""COMPUTED_VALUE"""),"ACTIVE")</f>
        <v>ACTIVE</v>
      </c>
      <c r="P69" s="6"/>
      <c r="Q69" s="6" t="str">
        <f>IFERROR(__xludf.DUMMYFUNCTION("""COMPUTED_VALUE"""),"Armenia")</f>
        <v>Armenia</v>
      </c>
      <c r="R69" s="12" t="str">
        <f>IFERROR(__xludf.DUMMYFUNCTION("""COMPUTED_VALUE"""),"Gi8ck4rs*")</f>
        <v>Gi8ck4rs*</v>
      </c>
      <c r="S69" s="6" t="str">
        <f>IFERROR(__xludf.DUMMYFUNCTION("""COMPUTED_VALUE"""),"Tobón Correa Agustín ")</f>
        <v>Tobón Correa Agustín </v>
      </c>
      <c r="T69" s="6" t="str">
        <f>IFERROR(__xludf.DUMMYFUNCTION("""COMPUTED_VALUE"""),"CARLOS AUGUSTO TOBON CORREA")</f>
        <v>CARLOS AUGUSTO TOBON CORREA</v>
      </c>
      <c r="U69" s="12" t="str">
        <f>IFERROR(__xludf.DUMMYFUNCTION("""COMPUTED_VALUE"""),"9770851")</f>
        <v>9770851</v>
      </c>
      <c r="V69" s="6">
        <f>IFERROR(__xludf.DUMMYFUNCTION("""COMPUTED_VALUE"""),3.183860072E9)</f>
        <v>3183860072</v>
      </c>
      <c r="W69" s="6" t="str">
        <f>IFERROR(__xludf.DUMMYFUNCTION("""COMPUTED_VALUE"""),"carlostc6@gmail.com")</f>
        <v>carlostc6@gmail.com</v>
      </c>
      <c r="X69" s="12" t="str">
        <f>IFERROR(__xludf.DUMMYFUNCTION("""COMPUTED_VALUE"""),"O+")</f>
        <v>O+</v>
      </c>
      <c r="Y69" s="12" t="str">
        <f>IFERROR(__xludf.DUMMYFUNCTION("""COMPUTED_VALUE"""),"K4")</f>
        <v>K4</v>
      </c>
      <c r="Z69" s="12">
        <f>IFERROR(__xludf.DUMMYFUNCTION("""COMPUTED_VALUE"""),120480.0)</f>
        <v>120480</v>
      </c>
      <c r="AA69" s="6" t="str">
        <f>IFERROR(__xludf.DUMMYFUNCTION("""COMPUTED_VALUE"""),"SANITAS")</f>
        <v>SANITAS</v>
      </c>
      <c r="AB69" s="6"/>
      <c r="AC69" s="6"/>
      <c r="AD69" s="12" t="str">
        <f>IFERROR(__xludf.DUMMYFUNCTION("""COMPUTED_VALUE"""),"K4A")</f>
        <v>K4A</v>
      </c>
      <c r="AE69" s="12" t="str">
        <f>IFERROR(__xludf.DUMMYFUNCTION("""COMPUTED_VALUE"""),"1345282478")</f>
        <v>1345282478</v>
      </c>
      <c r="AF69" s="12" t="str">
        <f>IFERROR(__xludf.DUMMYFUNCTION("""COMPUTED_VALUE"""),"1345282478")</f>
        <v>1345282478</v>
      </c>
      <c r="AG69" s="12" t="str">
        <f>IFERROR(__xludf.DUMMYFUNCTION("""COMPUTED_VALUE"""),"Nathalia")</f>
        <v>Nathalia</v>
      </c>
      <c r="AH69" s="6"/>
      <c r="AI69" s="6" t="str">
        <f>IFERROR(__xludf.DUMMYFUNCTION("""COMPUTED_VALUE"""),"Correa Gaviria")</f>
        <v>Correa Gaviria</v>
      </c>
      <c r="AJ69" s="6" t="str">
        <f>IFERROR(__xludf.DUMMYFUNCTION("""COMPUTED_VALUE"""),"naticali89@hotmail.com")</f>
        <v>naticali89@hotmail.com</v>
      </c>
      <c r="AK69" s="6" t="str">
        <f>IFERROR(__xludf.DUMMYFUNCTION("""COMPUTED_VALUE"""),"Odontóloga")</f>
        <v>Odontóloga</v>
      </c>
      <c r="AL69" s="6" t="str">
        <f>IFERROR(__xludf.DUMMYFUNCTION("""COMPUTED_VALUE"""),"ODONTOGAMA")</f>
        <v>ODONTOGAMA</v>
      </c>
      <c r="AM69" s="12" t="str">
        <f>IFERROR(__xludf.DUMMYFUNCTION("""COMPUTED_VALUE"""),"1144028434")</f>
        <v>1144028434</v>
      </c>
      <c r="AN69" s="12" t="str">
        <f>IFERROR(__xludf.DUMMYFUNCTION("""COMPUTED_VALUE"""),"3187026995")</f>
        <v>3187026995</v>
      </c>
      <c r="AO69" s="6" t="str">
        <f>IFERROR(__xludf.DUMMYFUNCTION("""COMPUTED_VALUE"""),"Madre")</f>
        <v>Madre</v>
      </c>
      <c r="AP69" s="6" t="str">
        <f>IFERROR(__xludf.DUMMYFUNCTION("""COMPUTED_VALUE"""),"Estudiante(s): Tobon Correa")</f>
        <v>Estudiante(s): Tobon Correa</v>
      </c>
      <c r="AQ69" s="6" t="str">
        <f>IFERROR(__xludf.DUMMYFUNCTION("""COMPUTED_VALUE"""),"120480*Gi")</f>
        <v>120480*Gi</v>
      </c>
      <c r="AR69" s="6" t="str">
        <f>IFERROR(__xludf.DUMMYFUNCTION("""COMPUTED_VALUE"""),"Carlos")</f>
        <v>Carlos</v>
      </c>
      <c r="AS69" s="6" t="str">
        <f>IFERROR(__xludf.DUMMYFUNCTION("""COMPUTED_VALUE"""),"Augusto")</f>
        <v>Augusto</v>
      </c>
      <c r="AT69" s="6" t="str">
        <f>IFERROR(__xludf.DUMMYFUNCTION("""COMPUTED_VALUE"""),"Tobón Correa")</f>
        <v>Tobón Correa</v>
      </c>
      <c r="AU69" s="6" t="str">
        <f>IFERROR(__xludf.DUMMYFUNCTION("""COMPUTED_VALUE"""),"carlostc6@gmail.com")</f>
        <v>carlostc6@gmail.com</v>
      </c>
      <c r="AV69" s="6" t="str">
        <f>IFERROR(__xludf.DUMMYFUNCTION("""COMPUTED_VALUE"""),"Arquitecto")</f>
        <v>Arquitecto</v>
      </c>
      <c r="AW69" s="6" t="str">
        <f>IFERROR(__xludf.DUMMYFUNCTION("""COMPUTED_VALUE"""),"VORTIKA ARQUITECTURA Y DISEÑO SAS")</f>
        <v>VORTIKA ARQUITECTURA Y DISEÑO SAS</v>
      </c>
      <c r="AX69" s="12" t="str">
        <f>IFERROR(__xludf.DUMMYFUNCTION("""COMPUTED_VALUE"""),"9770851")</f>
        <v>9770851</v>
      </c>
      <c r="AY69" s="12" t="str">
        <f>IFERROR(__xludf.DUMMYFUNCTION("""COMPUTED_VALUE"""),"3183860072")</f>
        <v>3183860072</v>
      </c>
      <c r="AZ69" s="6" t="str">
        <f>IFERROR(__xludf.DUMMYFUNCTION("""COMPUTED_VALUE"""),"Padre")</f>
        <v>Padre</v>
      </c>
      <c r="BA69" s="6"/>
      <c r="BB69" s="6"/>
      <c r="BC69" s="6"/>
      <c r="BD69" s="12" t="str">
        <f>IFERROR(__xludf.DUMMYFUNCTION("""COMPUTED_VALUE"""),"tob0006")</f>
        <v>tob0006</v>
      </c>
      <c r="BE69" s="6"/>
      <c r="BF69" s="6"/>
      <c r="BG69" s="6">
        <f>IFERROR(__xludf.DUMMYFUNCTION("""COMPUTED_VALUE"""),2040.0)</f>
        <v>2040</v>
      </c>
      <c r="BH69" s="16">
        <f>IFERROR(__xludf.DUMMYFUNCTION("""COMPUTED_VALUE"""),46212.569247685184)</f>
        <v>46212.56925</v>
      </c>
      <c r="BI69" s="6">
        <f>IFERROR(__xludf.DUMMYFUNCTION("""COMPUTED_VALUE"""),68.0)</f>
        <v>68</v>
      </c>
      <c r="BJ69" s="6"/>
      <c r="BK69" s="6"/>
      <c r="BL69" s="6" t="str">
        <f>IFERROR(__xludf.DUMMYFUNCTION("""COMPUTED_VALUE"""),"GISTOB0006")</f>
        <v>GISTOB0006</v>
      </c>
      <c r="BM69" s="6"/>
      <c r="BN69" s="6"/>
      <c r="BO69" s="6"/>
      <c r="BP69" s="6"/>
      <c r="BQ69" s="6" t="str">
        <f>IFERROR(__xludf.DUMMYFUNCTION("""COMPUTED_VALUE"""),"XC_K4_Futbol")</f>
        <v>XC_K4_Futbol</v>
      </c>
      <c r="BR69" s="6"/>
      <c r="BS69" s="6"/>
      <c r="BT69" s="6"/>
      <c r="BU69" s="6" t="str">
        <f>IFERROR(__xludf.DUMMYFUNCTION("""COMPUTED_VALUE"""),"SI")</f>
        <v>SI</v>
      </c>
      <c r="BV69" s="6" t="str">
        <f>IFERROR(__xludf.DUMMYFUNCTION("""COMPUTED_VALUE"""),"agustin.tc2040")</f>
        <v>agustin.tc2040</v>
      </c>
      <c r="BW69" s="6"/>
      <c r="BX69" s="6"/>
      <c r="BY69" s="6"/>
      <c r="BZ69" s="6"/>
    </row>
    <row r="70">
      <c r="A70" s="12">
        <f>IFERROR(__xludf.DUMMYFUNCTION("""COMPUTED_VALUE"""),1.092467811E9)</f>
        <v>1092467811</v>
      </c>
      <c r="B70" s="6">
        <f>IFERROR(__xludf.DUMMYFUNCTION("""COMPUTED_VALUE"""),18.0)</f>
        <v>18</v>
      </c>
      <c r="C70" s="6" t="str">
        <f>IFERROR(__xludf.DUMMYFUNCTION("""COMPUTED_VALUE"""),"Santiago")</f>
        <v>Santiago</v>
      </c>
      <c r="D70" s="6"/>
      <c r="E70" s="6" t="str">
        <f>IFERROR(__xludf.DUMMYFUNCTION("""COMPUTED_VALUE"""),"Zuluaga García")</f>
        <v>Zuluaga García</v>
      </c>
      <c r="F70" s="6" t="str">
        <f>IFERROR(__xludf.DUMMYFUNCTION("""COMPUTED_VALUE"""),"Cra 13 No8Nte - 16 - La Castellana")</f>
        <v>Cra 13 No8Nte - 16 - La Castellana</v>
      </c>
      <c r="G70" s="12" t="str">
        <f>IFERROR(__xludf.DUMMYFUNCTION("""COMPUTED_VALUE"""),"2022")</f>
        <v>2022</v>
      </c>
      <c r="H70" s="6" t="str">
        <f>IFERROR(__xludf.DUMMYFUNCTION("""COMPUTED_VALUE"""),"Agosto")</f>
        <v>Agosto</v>
      </c>
      <c r="I70" s="12" t="str">
        <f>IFERROR(__xludf.DUMMYFUNCTION("""COMPUTED_VALUE"""),"11")</f>
        <v>11</v>
      </c>
      <c r="J70" s="6" t="str">
        <f>IFERROR(__xludf.DUMMYFUNCTION("""COMPUTED_VALUE"""),"Orange")</f>
        <v>Orange</v>
      </c>
      <c r="K70" s="6" t="str">
        <f>IFERROR(__xludf.DUMMYFUNCTION("""COMPUTED_VALUE"""),"santiago.z2040@gi.edu.co")</f>
        <v>santiago.z2040@gi.edu.co</v>
      </c>
      <c r="L70" s="6" t="str">
        <f>IFERROR(__xludf.DUMMYFUNCTION("""COMPUTED_VALUE"""),"RC")</f>
        <v>RC</v>
      </c>
      <c r="M70" s="6" t="str">
        <f>IFERROR(__xludf.DUMMYFUNCTION("""COMPUTED_VALUE"""),"Armenia")</f>
        <v>Armenia</v>
      </c>
      <c r="N70" s="6" t="str">
        <f>IFERROR(__xludf.DUMMYFUNCTION("""COMPUTED_VALUE"""),"M")</f>
        <v>M</v>
      </c>
      <c r="O70" s="6" t="str">
        <f>IFERROR(__xludf.DUMMYFUNCTION("""COMPUTED_VALUE"""),"ACTIVE")</f>
        <v>ACTIVE</v>
      </c>
      <c r="P70" s="6"/>
      <c r="Q70" s="6" t="str">
        <f>IFERROR(__xludf.DUMMYFUNCTION("""COMPUTED_VALUE"""),"Armenia")</f>
        <v>Armenia</v>
      </c>
      <c r="R70" s="12" t="str">
        <f>IFERROR(__xludf.DUMMYFUNCTION("""COMPUTED_VALUE"""),"Gigt4rd8*")</f>
        <v>Gigt4rd8*</v>
      </c>
      <c r="S70" s="6" t="str">
        <f>IFERROR(__xludf.DUMMYFUNCTION("""COMPUTED_VALUE"""),"Zuluaga García Santiago ")</f>
        <v>Zuluaga García Santiago </v>
      </c>
      <c r="T70" s="6" t="str">
        <f>IFERROR(__xludf.DUMMYFUNCTION("""COMPUTED_VALUE"""),"GEMAY ZULUAGA CORTES")</f>
        <v>GEMAY ZULUAGA CORTES</v>
      </c>
      <c r="U70" s="12" t="str">
        <f>IFERROR(__xludf.DUMMYFUNCTION("""COMPUTED_VALUE"""),"7549307")</f>
        <v>7549307</v>
      </c>
      <c r="V70" s="6">
        <f>IFERROR(__xludf.DUMMYFUNCTION("""COMPUTED_VALUE"""),3.136141594E9)</f>
        <v>3136141594</v>
      </c>
      <c r="W70" s="6" t="str">
        <f>IFERROR(__xludf.DUMMYFUNCTION("""COMPUTED_VALUE"""),"jemayzuluaga@gmail.com")</f>
        <v>jemayzuluaga@gmail.com</v>
      </c>
      <c r="X70" s="12" t="str">
        <f>IFERROR(__xludf.DUMMYFUNCTION("""COMPUTED_VALUE"""),"O+")</f>
        <v>O+</v>
      </c>
      <c r="Y70" s="12" t="str">
        <f>IFERROR(__xludf.DUMMYFUNCTION("""COMPUTED_VALUE"""),"K4")</f>
        <v>K4</v>
      </c>
      <c r="Z70" s="12">
        <f>IFERROR(__xludf.DUMMYFUNCTION("""COMPUTED_VALUE"""),120542.0)</f>
        <v>120542</v>
      </c>
      <c r="AA70" s="6" t="str">
        <f>IFERROR(__xludf.DUMMYFUNCTION("""COMPUTED_VALUE"""),"SURA")</f>
        <v>SURA</v>
      </c>
      <c r="AB70" s="6"/>
      <c r="AC70" s="6"/>
      <c r="AD70" s="12" t="str">
        <f>IFERROR(__xludf.DUMMYFUNCTION("""COMPUTED_VALUE"""),"K4A")</f>
        <v>K4A</v>
      </c>
      <c r="AE70" s="12" t="str">
        <f>IFERROR(__xludf.DUMMYFUNCTION("""COMPUTED_VALUE"""),"1345282528")</f>
        <v>1345282528</v>
      </c>
      <c r="AF70" s="12" t="str">
        <f>IFERROR(__xludf.DUMMYFUNCTION("""COMPUTED_VALUE"""),"1345282528")</f>
        <v>1345282528</v>
      </c>
      <c r="AG70" s="12" t="str">
        <f>IFERROR(__xludf.DUMMYFUNCTION("""COMPUTED_VALUE"""),"Yamile")</f>
        <v>Yamile</v>
      </c>
      <c r="AH70" s="6"/>
      <c r="AI70" s="6" t="str">
        <f>IFERROR(__xludf.DUMMYFUNCTION("""COMPUTED_VALUE"""),"García Cano")</f>
        <v>García Cano</v>
      </c>
      <c r="AJ70" s="6" t="str">
        <f>IFERROR(__xludf.DUMMYFUNCTION("""COMPUTED_VALUE"""),"yamdad.23@gmail.com")</f>
        <v>yamdad.23@gmail.com</v>
      </c>
      <c r="AK70" s="6" t="str">
        <f>IFERROR(__xludf.DUMMYFUNCTION("""COMPUTED_VALUE"""),"administracion empresas")</f>
        <v>administracion empresas</v>
      </c>
      <c r="AL70" s="6" t="str">
        <f>IFERROR(__xludf.DUMMYFUNCTION("""COMPUTED_VALUE"""),"Finca La Peninsula")</f>
        <v>Finca La Peninsula</v>
      </c>
      <c r="AM70" s="12" t="str">
        <f>IFERROR(__xludf.DUMMYFUNCTION("""COMPUTED_VALUE"""),"1094900795")</f>
        <v>1094900795</v>
      </c>
      <c r="AN70" s="12" t="str">
        <f>IFERROR(__xludf.DUMMYFUNCTION("""COMPUTED_VALUE"""),"3122546714")</f>
        <v>3122546714</v>
      </c>
      <c r="AO70" s="6" t="str">
        <f>IFERROR(__xludf.DUMMYFUNCTION("""COMPUTED_VALUE"""),"Madre")</f>
        <v>Madre</v>
      </c>
      <c r="AP70" s="6" t="str">
        <f>IFERROR(__xludf.DUMMYFUNCTION("""COMPUTED_VALUE"""),"Estudiante(s): Isabella Zuluaga Vargas &amp; Santiago Zuluaga García")</f>
        <v>Estudiante(s): Isabella Zuluaga Vargas &amp; Santiago Zuluaga García</v>
      </c>
      <c r="AQ70" s="6" t="str">
        <f>IFERROR(__xludf.DUMMYFUNCTION("""COMPUTED_VALUE"""),"120542*Gi")</f>
        <v>120542*Gi</v>
      </c>
      <c r="AR70" s="6" t="str">
        <f>IFERROR(__xludf.DUMMYFUNCTION("""COMPUTED_VALUE"""),"Gemay")</f>
        <v>Gemay</v>
      </c>
      <c r="AS70" s="6"/>
      <c r="AT70" s="6" t="str">
        <f>IFERROR(__xludf.DUMMYFUNCTION("""COMPUTED_VALUE"""),"Zuluaga Cortés")</f>
        <v>Zuluaga Cortés</v>
      </c>
      <c r="AU70" s="6" t="str">
        <f>IFERROR(__xludf.DUMMYFUNCTION("""COMPUTED_VALUE"""),"jemayzuluaga@gmail.com")</f>
        <v>jemayzuluaga@gmail.com</v>
      </c>
      <c r="AV70" s="6" t="str">
        <f>IFERROR(__xludf.DUMMYFUNCTION("""COMPUTED_VALUE"""),"ODONTOLOGO")</f>
        <v>ODONTOLOGO</v>
      </c>
      <c r="AW70" s="6" t="str">
        <f>IFERROR(__xludf.DUMMYFUNCTION("""COMPUTED_VALUE"""),"Gemayzuluagasas")</f>
        <v>Gemayzuluagasas</v>
      </c>
      <c r="AX70" s="12" t="str">
        <f>IFERROR(__xludf.DUMMYFUNCTION("""COMPUTED_VALUE"""),"7549307")</f>
        <v>7549307</v>
      </c>
      <c r="AY70" s="12" t="str">
        <f>IFERROR(__xludf.DUMMYFUNCTION("""COMPUTED_VALUE"""),"3136141594")</f>
        <v>3136141594</v>
      </c>
      <c r="AZ70" s="6" t="str">
        <f>IFERROR(__xludf.DUMMYFUNCTION("""COMPUTED_VALUE"""),"Padre")</f>
        <v>Padre</v>
      </c>
      <c r="BA70" s="6"/>
      <c r="BB70" s="6"/>
      <c r="BC70" s="6"/>
      <c r="BD70" s="12" t="str">
        <f>IFERROR(__xludf.DUMMYFUNCTION("""COMPUTED_VALUE"""),"zul0010")</f>
        <v>zul0010</v>
      </c>
      <c r="BE70" s="6"/>
      <c r="BF70" s="12" t="str">
        <f>IFERROR(__xludf.DUMMYFUNCTION("""COMPUTED_VALUE"""),"PROMOVIDO")</f>
        <v>PROMOVIDO</v>
      </c>
      <c r="BG70" s="6">
        <f>IFERROR(__xludf.DUMMYFUNCTION("""COMPUTED_VALUE"""),2040.0)</f>
        <v>2040</v>
      </c>
      <c r="BH70" s="15">
        <f>IFERROR(__xludf.DUMMYFUNCTION("""COMPUTED_VALUE"""),46237.675671296296)</f>
        <v>46237.67567</v>
      </c>
      <c r="BI70" s="6">
        <f>IFERROR(__xludf.DUMMYFUNCTION("""COMPUTED_VALUE"""),69.0)</f>
        <v>69</v>
      </c>
      <c r="BJ70" s="6"/>
      <c r="BK70" s="6"/>
      <c r="BL70" s="6" t="str">
        <f>IFERROR(__xludf.DUMMYFUNCTION("""COMPUTED_VALUE"""),"GISZUL0010")</f>
        <v>GISZUL0010</v>
      </c>
      <c r="BM70" s="6"/>
      <c r="BN70" s="6"/>
      <c r="BO70" s="6"/>
      <c r="BP70" s="6"/>
      <c r="BQ70" s="6"/>
      <c r="BR70" s="6"/>
      <c r="BS70" s="6"/>
      <c r="BT70" s="6"/>
      <c r="BU70" s="6" t="str">
        <f>IFERROR(__xludf.DUMMYFUNCTION("""COMPUTED_VALUE"""),"SI")</f>
        <v>SI</v>
      </c>
      <c r="BV70" s="6" t="str">
        <f>IFERROR(__xludf.DUMMYFUNCTION("""COMPUTED_VALUE"""),"santiago.z2040")</f>
        <v>santiago.z2040</v>
      </c>
      <c r="BW70" s="6"/>
      <c r="BX70" s="6"/>
      <c r="BY70" s="6"/>
      <c r="B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 t="str">
        <f>IFERROR(__xludf.DUMMYFUNCTION("""COMPUTED_VALUE"""),"Madre")</f>
        <v>Madre</v>
      </c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 t="str">
        <f>IFERROR(__xludf.DUMMYFUNCTION("""COMPUTED_VALUE"""),"Padre")</f>
        <v>Padre</v>
      </c>
      <c r="BA71" s="6"/>
      <c r="BB71" s="6"/>
      <c r="BC71" s="6"/>
      <c r="BD71" s="6"/>
      <c r="BE71" s="6"/>
      <c r="BF71" s="6"/>
      <c r="BG71" s="6"/>
      <c r="BH71" s="6"/>
      <c r="BI71" s="6">
        <f>IFERROR(__xludf.DUMMYFUNCTION("""COMPUTED_VALUE"""),70.0)</f>
        <v>70</v>
      </c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</row>
    <row r="72">
      <c r="A72" s="12">
        <f>IFERROR(__xludf.DUMMYFUNCTION("""COMPUTED_VALUE"""),1.092865392E9)</f>
        <v>1092865392</v>
      </c>
      <c r="B72" s="6">
        <f>IFERROR(__xludf.DUMMYFUNCTION("""COMPUTED_VALUE"""),1.0)</f>
        <v>1</v>
      </c>
      <c r="C72" s="6" t="str">
        <f>IFERROR(__xludf.DUMMYFUNCTION("""COMPUTED_VALUE"""),"Galilea")</f>
        <v>Galilea</v>
      </c>
      <c r="D72" s="6"/>
      <c r="E72" s="6" t="str">
        <f>IFERROR(__xludf.DUMMYFUNCTION("""COMPUTED_VALUE"""),"Arbeláez Reyes")</f>
        <v>Arbeláez Reyes</v>
      </c>
      <c r="F72" s="6" t="str">
        <f>IFERROR(__xludf.DUMMYFUNCTION("""COMPUTED_VALUE"""),"Cra 19 No22Nte-124 San Juan de la Loma")</f>
        <v>Cra 19 No22Nte-124 San Juan de la Loma</v>
      </c>
      <c r="G72" s="12">
        <f>IFERROR(__xludf.DUMMYFUNCTION("""COMPUTED_VALUE"""),2021.0)</f>
        <v>2021</v>
      </c>
      <c r="H72" s="12" t="str">
        <f>IFERROR(__xludf.DUMMYFUNCTION("""COMPUTED_VALUE"""),"Septiembre")</f>
        <v>Septiembre</v>
      </c>
      <c r="I72" s="12">
        <f>IFERROR(__xludf.DUMMYFUNCTION("""COMPUTED_VALUE"""),7.0)</f>
        <v>7</v>
      </c>
      <c r="J72" s="6"/>
      <c r="K72" s="12" t="str">
        <f>IFERROR(__xludf.DUMMYFUNCTION("""COMPUTED_VALUE"""),"galilea.a2040@gi.edu.co")</f>
        <v>galilea.a2040@gi.edu.co</v>
      </c>
      <c r="L72" s="6" t="str">
        <f>IFERROR(__xludf.DUMMYFUNCTION("""COMPUTED_VALUE"""),"RC")</f>
        <v>RC</v>
      </c>
      <c r="M72" s="6" t="str">
        <f>IFERROR(__xludf.DUMMYFUNCTION("""COMPUTED_VALUE"""),"Armenia")</f>
        <v>Armenia</v>
      </c>
      <c r="N72" s="6" t="str">
        <f>IFERROR(__xludf.DUMMYFUNCTION("""COMPUTED_VALUE"""),"F")</f>
        <v>F</v>
      </c>
      <c r="O72" s="6" t="str">
        <f>IFERROR(__xludf.DUMMYFUNCTION("""COMPUTED_VALUE"""),"ACTIVE")</f>
        <v>ACTIVE</v>
      </c>
      <c r="P72" s="6"/>
      <c r="Q72" s="6"/>
      <c r="R72" s="12" t="str">
        <f>IFERROR(__xludf.DUMMYFUNCTION("""COMPUTED_VALUE"""),"GiJ8Vk2T*")</f>
        <v>GiJ8Vk2T*</v>
      </c>
      <c r="S72" s="6" t="str">
        <f>IFERROR(__xludf.DUMMYFUNCTION("""COMPUTED_VALUE"""),"Arbeláez Reyes Galilea ")</f>
        <v>Arbeláez Reyes Galilea </v>
      </c>
      <c r="T72" s="6" t="str">
        <f>IFERROR(__xludf.DUMMYFUNCTION("""COMPUTED_VALUE"""),"ALEJANDRO ARBELAEZ SALAZAR")</f>
        <v>ALEJANDRO ARBELAEZ SALAZAR</v>
      </c>
      <c r="U72" s="12" t="str">
        <f>IFERROR(__xludf.DUMMYFUNCTION("""COMPUTED_VALUE"""),"1094920672")</f>
        <v>1094920672</v>
      </c>
      <c r="V72" s="6">
        <f>IFERROR(__xludf.DUMMYFUNCTION("""COMPUTED_VALUE"""),3.006521981E9)</f>
        <v>3006521981</v>
      </c>
      <c r="W72" s="6" t="str">
        <f>IFERROR(__xludf.DUMMYFUNCTION("""COMPUTED_VALUE"""),"alejoarsa@hotmail.com")</f>
        <v>alejoarsa@hotmail.com</v>
      </c>
      <c r="X72" s="12" t="str">
        <f>IFERROR(__xludf.DUMMYFUNCTION("""COMPUTED_VALUE"""),"A+")</f>
        <v>A+</v>
      </c>
      <c r="Y72" s="12" t="str">
        <f>IFERROR(__xludf.DUMMYFUNCTION("""COMPUTED_VALUE"""),"K4")</f>
        <v>K4</v>
      </c>
      <c r="Z72" s="6">
        <f>IFERROR(__xludf.DUMMYFUNCTION("""COMPUTED_VALUE"""),120612.0)</f>
        <v>120612</v>
      </c>
      <c r="AA72" s="6" t="str">
        <f>IFERROR(__xludf.DUMMYFUNCTION("""COMPUTED_VALUE"""),"SURA")</f>
        <v>SURA</v>
      </c>
      <c r="AB72" s="6"/>
      <c r="AC72" s="6"/>
      <c r="AD72" s="12" t="str">
        <f>IFERROR(__xludf.DUMMYFUNCTION("""COMPUTED_VALUE"""),"K4B")</f>
        <v>K4B</v>
      </c>
      <c r="AE72" s="12" t="str">
        <f>IFERROR(__xludf.DUMMYFUNCTION("""COMPUTED_VALUE"""),"1345282608")</f>
        <v>1345282608</v>
      </c>
      <c r="AF72" s="12" t="str">
        <f>IFERROR(__xludf.DUMMYFUNCTION("""COMPUTED_VALUE"""),"1345282608")</f>
        <v>1345282608</v>
      </c>
      <c r="AG72" s="12" t="str">
        <f>IFERROR(__xludf.DUMMYFUNCTION("""COMPUTED_VALUE"""),"Alejandra")</f>
        <v>Alejandra</v>
      </c>
      <c r="AH72" s="6"/>
      <c r="AI72" s="6" t="str">
        <f>IFERROR(__xludf.DUMMYFUNCTION("""COMPUTED_VALUE"""),"Reyes Valencia")</f>
        <v>Reyes Valencia</v>
      </c>
      <c r="AJ72" s="6" t="str">
        <f>IFERROR(__xludf.DUMMYFUNCTION("""COMPUTED_VALUE"""),"alejandra0930@hotmail.com")</f>
        <v>alejandra0930@hotmail.com</v>
      </c>
      <c r="AK72" s="6" t="str">
        <f>IFERROR(__xludf.DUMMYFUNCTION("""COMPUTED_VALUE"""),"ABOGADA")</f>
        <v>ABOGADA</v>
      </c>
      <c r="AL72" s="6"/>
      <c r="AM72" s="12" t="str">
        <f>IFERROR(__xludf.DUMMYFUNCTION("""COMPUTED_VALUE"""),"1094951957")</f>
        <v>1094951957</v>
      </c>
      <c r="AN72" s="12" t="str">
        <f>IFERROR(__xludf.DUMMYFUNCTION("""COMPUTED_VALUE"""),"3014162989")</f>
        <v>3014162989</v>
      </c>
      <c r="AO72" s="6" t="str">
        <f>IFERROR(__xludf.DUMMYFUNCTION("""COMPUTED_VALUE"""),"Madre")</f>
        <v>Madre</v>
      </c>
      <c r="AP72" s="6" t="str">
        <f>IFERROR(__xludf.DUMMYFUNCTION("""COMPUTED_VALUE"""),"Estudiante(s): Arbeláez Reyes")</f>
        <v>Estudiante(s): Arbeláez Reyes</v>
      </c>
      <c r="AQ72" s="6" t="str">
        <f>IFERROR(__xludf.DUMMYFUNCTION("""COMPUTED_VALUE"""),"120612*Gi")</f>
        <v>120612*Gi</v>
      </c>
      <c r="AR72" s="6" t="str">
        <f>IFERROR(__xludf.DUMMYFUNCTION("""COMPUTED_VALUE"""),"Alejandro")</f>
        <v>Alejandro</v>
      </c>
      <c r="AS72" s="6"/>
      <c r="AT72" s="6" t="str">
        <f>IFERROR(__xludf.DUMMYFUNCTION("""COMPUTED_VALUE"""),"Arbeláez Salazar")</f>
        <v>Arbeláez Salazar</v>
      </c>
      <c r="AU72" s="6" t="str">
        <f>IFERROR(__xludf.DUMMYFUNCTION("""COMPUTED_VALUE"""),"alejoarsa@hotmail.com")</f>
        <v>alejoarsa@hotmail.com</v>
      </c>
      <c r="AV72" s="6" t="str">
        <f>IFERROR(__xludf.DUMMYFUNCTION("""COMPUTED_VALUE"""),"INGENIERO CIVIL")</f>
        <v>INGENIERO CIVIL</v>
      </c>
      <c r="AW72" s="6"/>
      <c r="AX72" s="12" t="str">
        <f>IFERROR(__xludf.DUMMYFUNCTION("""COMPUTED_VALUE"""),"1094920672")</f>
        <v>1094920672</v>
      </c>
      <c r="AY72" s="12" t="str">
        <f>IFERROR(__xludf.DUMMYFUNCTION("""COMPUTED_VALUE"""),"3006521981")</f>
        <v>3006521981</v>
      </c>
      <c r="AZ72" s="6" t="str">
        <f>IFERROR(__xludf.DUMMYFUNCTION("""COMPUTED_VALUE"""),"Padre")</f>
        <v>Padre</v>
      </c>
      <c r="BA72" s="6"/>
      <c r="BB72" s="6"/>
      <c r="BC72" s="6"/>
      <c r="BD72" s="12" t="str">
        <f>IFERROR(__xludf.DUMMYFUNCTION("""COMPUTED_VALUE"""),"arb0002")</f>
        <v>arb0002</v>
      </c>
      <c r="BE72" s="6" t="str">
        <f>IFERROR(__xludf.DUMMYFUNCTION("""COMPUTED_VALUE"""),"NUEVO(A)")</f>
        <v>NUEVO(A)</v>
      </c>
      <c r="BF72" s="6"/>
      <c r="BG72" s="6">
        <f>IFERROR(__xludf.DUMMYFUNCTION("""COMPUTED_VALUE"""),2040.0)</f>
        <v>2040</v>
      </c>
      <c r="BH72" s="15">
        <f>IFERROR(__xludf.DUMMYFUNCTION("""COMPUTED_VALUE"""),46198.67930555555)</f>
        <v>46198.67931</v>
      </c>
      <c r="BI72" s="6">
        <f>IFERROR(__xludf.DUMMYFUNCTION("""COMPUTED_VALUE"""),71.0)</f>
        <v>71</v>
      </c>
      <c r="BJ72" s="6"/>
      <c r="BK72" s="6"/>
      <c r="BL72" s="6" t="str">
        <f>IFERROR(__xludf.DUMMYFUNCTION("""COMPUTED_VALUE"""),"GISARB0002")</f>
        <v>GISARB0002</v>
      </c>
      <c r="BM72" s="6"/>
      <c r="BN72" s="6"/>
      <c r="BO72" s="6"/>
      <c r="BP72" s="6"/>
      <c r="BQ72" s="6"/>
      <c r="BR72" s="6"/>
      <c r="BS72" s="6"/>
      <c r="BT72" s="6"/>
      <c r="BU72" s="6" t="str">
        <f>IFERROR(__xludf.DUMMYFUNCTION("""COMPUTED_VALUE"""),"SI")</f>
        <v>SI</v>
      </c>
      <c r="BV72" s="12" t="str">
        <f>IFERROR(__xludf.DUMMYFUNCTION("""COMPUTED_VALUE"""),"galilea.a2040")</f>
        <v>galilea.a2040</v>
      </c>
      <c r="BW72" s="6"/>
      <c r="BX72" s="6"/>
      <c r="BY72" s="6"/>
      <c r="BZ72" s="6"/>
    </row>
    <row r="73">
      <c r="A73" s="12">
        <f>IFERROR(__xludf.DUMMYFUNCTION("""COMPUTED_VALUE"""),1.09120833E9)</f>
        <v>1091208330</v>
      </c>
      <c r="B73" s="6">
        <f>IFERROR(__xludf.DUMMYFUNCTION("""COMPUTED_VALUE"""),2.0)</f>
        <v>2</v>
      </c>
      <c r="C73" s="6" t="str">
        <f>IFERROR(__xludf.DUMMYFUNCTION("""COMPUTED_VALUE"""),"Rosario")</f>
        <v>Rosario</v>
      </c>
      <c r="D73" s="6"/>
      <c r="E73" s="6" t="str">
        <f>IFERROR(__xludf.DUMMYFUNCTION("""COMPUTED_VALUE"""),"Bernal Arias")</f>
        <v>Bernal Arias</v>
      </c>
      <c r="F73" s="6" t="str">
        <f>IFERROR(__xludf.DUMMYFUNCTION("""COMPUTED_VALUE"""),"Cra 14 No54Nte-10 Mzna 6 Casa 7 Conjunto la Primavera")</f>
        <v>Cra 14 No54Nte-10 Mzna 6 Casa 7 Conjunto la Primavera</v>
      </c>
      <c r="G73" s="12">
        <f>IFERROR(__xludf.DUMMYFUNCTION("""COMPUTED_VALUE"""),2021.0)</f>
        <v>2021</v>
      </c>
      <c r="H73" s="12" t="str">
        <f>IFERROR(__xludf.DUMMYFUNCTION("""COMPUTED_VALUE"""),"Septiembre")</f>
        <v>Septiembre</v>
      </c>
      <c r="I73" s="12">
        <f>IFERROR(__xludf.DUMMYFUNCTION("""COMPUTED_VALUE"""),12.0)</f>
        <v>12</v>
      </c>
      <c r="J73" s="6" t="str">
        <f>IFERROR(__xludf.DUMMYFUNCTION("""COMPUTED_VALUE"""),"Armenia")</f>
        <v>Armenia</v>
      </c>
      <c r="K73" s="12" t="str">
        <f>IFERROR(__xludf.DUMMYFUNCTION("""COMPUTED_VALUE"""),"rosario.b2040@gi.edu.co")</f>
        <v>rosario.b2040@gi.edu.co</v>
      </c>
      <c r="L73" s="6" t="str">
        <f>IFERROR(__xludf.DUMMYFUNCTION("""COMPUTED_VALUE"""),"RC")</f>
        <v>RC</v>
      </c>
      <c r="M73" s="6" t="str">
        <f>IFERROR(__xludf.DUMMYFUNCTION("""COMPUTED_VALUE"""),"Armenia")</f>
        <v>Armenia</v>
      </c>
      <c r="N73" s="6" t="str">
        <f>IFERROR(__xludf.DUMMYFUNCTION("""COMPUTED_VALUE"""),"F")</f>
        <v>F</v>
      </c>
      <c r="O73" s="6" t="str">
        <f>IFERROR(__xludf.DUMMYFUNCTION("""COMPUTED_VALUE"""),"ACTIVE")</f>
        <v>ACTIVE</v>
      </c>
      <c r="P73" s="6"/>
      <c r="Q73" s="6" t="str">
        <f>IFERROR(__xludf.DUMMYFUNCTION("""COMPUTED_VALUE"""),"Armenia")</f>
        <v>Armenia</v>
      </c>
      <c r="R73" s="12" t="str">
        <f>IFERROR(__xludf.DUMMYFUNCTION("""COMPUTED_VALUE"""),"Gizq75tg*")</f>
        <v>Gizq75tg*</v>
      </c>
      <c r="S73" s="6" t="str">
        <f>IFERROR(__xludf.DUMMYFUNCTION("""COMPUTED_VALUE"""),"Bernal Arias Rosario ")</f>
        <v>Bernal Arias Rosario </v>
      </c>
      <c r="T73" s="6" t="str">
        <f>IFERROR(__xludf.DUMMYFUNCTION("""COMPUTED_VALUE"""),"LIZ JANETH ARIAS LOPEZ")</f>
        <v>LIZ JANETH ARIAS LOPEZ</v>
      </c>
      <c r="U73" s="12" t="str">
        <f>IFERROR(__xludf.DUMMYFUNCTION("""COMPUTED_VALUE"""),"41952400")</f>
        <v>41952400</v>
      </c>
      <c r="V73" s="6">
        <f>IFERROR(__xludf.DUMMYFUNCTION("""COMPUTED_VALUE"""),3.136501112E9)</f>
        <v>3136501112</v>
      </c>
      <c r="W73" s="6" t="str">
        <f>IFERROR(__xludf.DUMMYFUNCTION("""COMPUTED_VALUE"""),"lizariasmarketing@gmail.com")</f>
        <v>lizariasmarketing@gmail.com</v>
      </c>
      <c r="X73" s="12" t="str">
        <f>IFERROR(__xludf.DUMMYFUNCTION("""COMPUTED_VALUE"""),"O-")</f>
        <v>O-</v>
      </c>
      <c r="Y73" s="12" t="str">
        <f>IFERROR(__xludf.DUMMYFUNCTION("""COMPUTED_VALUE"""),"K4")</f>
        <v>K4</v>
      </c>
      <c r="Z73" s="6">
        <f>IFERROR(__xludf.DUMMYFUNCTION("""COMPUTED_VALUE"""),120634.0)</f>
        <v>120634</v>
      </c>
      <c r="AA73" s="6" t="str">
        <f>IFERROR(__xludf.DUMMYFUNCTION("""COMPUTED_VALUE"""),"SANITAS")</f>
        <v>SANITAS</v>
      </c>
      <c r="AB73" s="6"/>
      <c r="AC73" s="6"/>
      <c r="AD73" s="12" t="str">
        <f>IFERROR(__xludf.DUMMYFUNCTION("""COMPUTED_VALUE"""),"K4B")</f>
        <v>K4B</v>
      </c>
      <c r="AE73" s="12" t="str">
        <f>IFERROR(__xludf.DUMMYFUNCTION("""COMPUTED_VALUE"""),"1345282631")</f>
        <v>1345282631</v>
      </c>
      <c r="AF73" s="12" t="str">
        <f>IFERROR(__xludf.DUMMYFUNCTION("""COMPUTED_VALUE"""),"1345282631")</f>
        <v>1345282631</v>
      </c>
      <c r="AG73" s="12" t="str">
        <f>IFERROR(__xludf.DUMMYFUNCTION("""COMPUTED_VALUE"""),"Liz")</f>
        <v>Liz</v>
      </c>
      <c r="AH73" s="12" t="str">
        <f>IFERROR(__xludf.DUMMYFUNCTION("""COMPUTED_VALUE"""),"Janeth")</f>
        <v>Janeth</v>
      </c>
      <c r="AI73" s="6" t="str">
        <f>IFERROR(__xludf.DUMMYFUNCTION("""COMPUTED_VALUE"""),"Arias López")</f>
        <v>Arias López</v>
      </c>
      <c r="AJ73" s="6" t="str">
        <f>IFERROR(__xludf.DUMMYFUNCTION("""COMPUTED_VALUE"""),"lizariasmarketing@gmail.com")</f>
        <v>lizariasmarketing@gmail.com</v>
      </c>
      <c r="AK73" s="6" t="str">
        <f>IFERROR(__xludf.DUMMYFUNCTION("""COMPUTED_VALUE"""),"Profesional en Publicidad")</f>
        <v>Profesional en Publicidad</v>
      </c>
      <c r="AL73" s="6"/>
      <c r="AM73" s="12" t="str">
        <f>IFERROR(__xludf.DUMMYFUNCTION("""COMPUTED_VALUE"""),"41952400")</f>
        <v>41952400</v>
      </c>
      <c r="AN73" s="12" t="str">
        <f>IFERROR(__xludf.DUMMYFUNCTION("""COMPUTED_VALUE"""),"3136501112")</f>
        <v>3136501112</v>
      </c>
      <c r="AO73" s="6" t="str">
        <f>IFERROR(__xludf.DUMMYFUNCTION("""COMPUTED_VALUE"""),"Madre")</f>
        <v>Madre</v>
      </c>
      <c r="AP73" s="6" t="str">
        <f>IFERROR(__xludf.DUMMYFUNCTION("""COMPUTED_VALUE"""),"Estudiante(s): Bernal Arias")</f>
        <v>Estudiante(s): Bernal Arias</v>
      </c>
      <c r="AQ73" s="6" t="str">
        <f>IFERROR(__xludf.DUMMYFUNCTION("""COMPUTED_VALUE"""),"120634*Gi")</f>
        <v>120634*Gi</v>
      </c>
      <c r="AR73" s="6" t="str">
        <f>IFERROR(__xludf.DUMMYFUNCTION("""COMPUTED_VALUE"""),"Miguel")</f>
        <v>Miguel</v>
      </c>
      <c r="AS73" s="6" t="str">
        <f>IFERROR(__xludf.DUMMYFUNCTION("""COMPUTED_VALUE"""),"Ángel")</f>
        <v>Ángel</v>
      </c>
      <c r="AT73" s="6" t="str">
        <f>IFERROR(__xludf.DUMMYFUNCTION("""COMPUTED_VALUE"""),"Bernal Garrido")</f>
        <v>Bernal Garrido</v>
      </c>
      <c r="AU73" s="6" t="str">
        <f>IFERROR(__xludf.DUMMYFUNCTION("""COMPUTED_VALUE"""),"miguelangelbernal93@hotmail.com")</f>
        <v>miguelangelbernal93@hotmail.com</v>
      </c>
      <c r="AV73" s="6" t="str">
        <f>IFERROR(__xludf.DUMMYFUNCTION("""COMPUTED_VALUE"""),"Economista")</f>
        <v>Economista</v>
      </c>
      <c r="AW73" s="6"/>
      <c r="AX73" s="12" t="str">
        <f>IFERROR(__xludf.DUMMYFUNCTION("""COMPUTED_VALUE"""),"1094938393")</f>
        <v>1094938393</v>
      </c>
      <c r="AY73" s="12" t="str">
        <f>IFERROR(__xludf.DUMMYFUNCTION("""COMPUTED_VALUE"""),"3216121757")</f>
        <v>3216121757</v>
      </c>
      <c r="AZ73" s="6" t="str">
        <f>IFERROR(__xludf.DUMMYFUNCTION("""COMPUTED_VALUE"""),"Padre")</f>
        <v>Padre</v>
      </c>
      <c r="BA73" s="6"/>
      <c r="BB73" s="6"/>
      <c r="BC73" s="6"/>
      <c r="BD73" s="12" t="str">
        <f>IFERROR(__xludf.DUMMYFUNCTION("""COMPUTED_VALUE"""),"ber0010")</f>
        <v>ber0010</v>
      </c>
      <c r="BE73" s="6" t="str">
        <f>IFERROR(__xludf.DUMMYFUNCTION("""COMPUTED_VALUE"""),"NUEVO(A)")</f>
        <v>NUEVO(A)</v>
      </c>
      <c r="BF73" s="6"/>
      <c r="BG73" s="6">
        <f>IFERROR(__xludf.DUMMYFUNCTION("""COMPUTED_VALUE"""),2040.0)</f>
        <v>2040</v>
      </c>
      <c r="BH73" s="15">
        <f>IFERROR(__xludf.DUMMYFUNCTION("""COMPUTED_VALUE"""),46203.64068287037)</f>
        <v>46203.64068</v>
      </c>
      <c r="BI73" s="6">
        <f>IFERROR(__xludf.DUMMYFUNCTION("""COMPUTED_VALUE"""),72.0)</f>
        <v>72</v>
      </c>
      <c r="BJ73" s="6"/>
      <c r="BK73" s="6"/>
      <c r="BL73" s="6" t="str">
        <f>IFERROR(__xludf.DUMMYFUNCTION("""COMPUTED_VALUE"""),"GISBER0010")</f>
        <v>GISBER0010</v>
      </c>
      <c r="BM73" s="6"/>
      <c r="BN73" s="6"/>
      <c r="BO73" s="6"/>
      <c r="BP73" s="6"/>
      <c r="BQ73" s="6"/>
      <c r="BR73" s="6"/>
      <c r="BS73" s="6" t="str">
        <f>IFERROR(__xludf.DUMMYFUNCTION("""COMPUTED_VALUE"""),"XC_K4_IniciaMusical")</f>
        <v>XC_K4_IniciaMusical</v>
      </c>
      <c r="BT73" s="6"/>
      <c r="BU73" s="6" t="str">
        <f>IFERROR(__xludf.DUMMYFUNCTION("""COMPUTED_VALUE"""),"SI")</f>
        <v>SI</v>
      </c>
      <c r="BV73" s="12" t="str">
        <f>IFERROR(__xludf.DUMMYFUNCTION("""COMPUTED_VALUE"""),"rosario.b2040")</f>
        <v>rosario.b2040</v>
      </c>
      <c r="BW73" s="6"/>
      <c r="BX73" s="6"/>
      <c r="BY73" s="6"/>
      <c r="BZ73" s="6"/>
    </row>
    <row r="74">
      <c r="A74" s="12">
        <f>IFERROR(__xludf.DUMMYFUNCTION("""COMPUTED_VALUE"""),1.091208431E9)</f>
        <v>1091208431</v>
      </c>
      <c r="B74" s="6">
        <f>IFERROR(__xludf.DUMMYFUNCTION("""COMPUTED_VALUE"""),3.0)</f>
        <v>3</v>
      </c>
      <c r="C74" s="6" t="str">
        <f>IFERROR(__xludf.DUMMYFUNCTION("""COMPUTED_VALUE"""),"Belén")</f>
        <v>Belén</v>
      </c>
      <c r="D74" s="6"/>
      <c r="E74" s="6" t="str">
        <f>IFERROR(__xludf.DUMMYFUNCTION("""COMPUTED_VALUE"""),"Castaño Urrea")</f>
        <v>Castaño Urrea</v>
      </c>
      <c r="F74" s="6" t="str">
        <f>IFERROR(__xludf.DUMMYFUNCTION("""COMPUTED_VALUE"""),"Cra 10 No 11Nte - 05 - La Castellana")</f>
        <v>Cra 10 No 11Nte - 05 - La Castellana</v>
      </c>
      <c r="G74" s="6" t="str">
        <f>IFERROR(__xludf.DUMMYFUNCTION("""COMPUTED_VALUE"""),"2022")</f>
        <v>2022</v>
      </c>
      <c r="H74" s="6" t="str">
        <f>IFERROR(__xludf.DUMMYFUNCTION("""COMPUTED_VALUE"""),"Marzo")</f>
        <v>Marzo</v>
      </c>
      <c r="I74" s="12" t="str">
        <f>IFERROR(__xludf.DUMMYFUNCTION("""COMPUTED_VALUE"""),"16")</f>
        <v>16</v>
      </c>
      <c r="J74" s="6" t="str">
        <f>IFERROR(__xludf.DUMMYFUNCTION("""COMPUTED_VALUE"""),"Cali")</f>
        <v>Cali</v>
      </c>
      <c r="K74" s="6" t="str">
        <f>IFERROR(__xludf.DUMMYFUNCTION("""COMPUTED_VALUE"""),"belen.c2040@gi.edu.co")</f>
        <v>belen.c2040@gi.edu.co</v>
      </c>
      <c r="L74" s="6" t="str">
        <f>IFERROR(__xludf.DUMMYFUNCTION("""COMPUTED_VALUE"""),"RC")</f>
        <v>RC</v>
      </c>
      <c r="M74" s="6" t="str">
        <f>IFERROR(__xludf.DUMMYFUNCTION("""COMPUTED_VALUE"""),"Armenia")</f>
        <v>Armenia</v>
      </c>
      <c r="N74" s="6" t="str">
        <f>IFERROR(__xludf.DUMMYFUNCTION("""COMPUTED_VALUE"""),"F")</f>
        <v>F</v>
      </c>
      <c r="O74" s="6" t="str">
        <f>IFERROR(__xludf.DUMMYFUNCTION("""COMPUTED_VALUE"""),"ACTIVE")</f>
        <v>ACTIVE</v>
      </c>
      <c r="P74" s="6"/>
      <c r="Q74" s="6" t="str">
        <f>IFERROR(__xludf.DUMMYFUNCTION("""COMPUTED_VALUE"""),"Armenia")</f>
        <v>Armenia</v>
      </c>
      <c r="R74" s="12" t="str">
        <f>IFERROR(__xludf.DUMMYFUNCTION("""COMPUTED_VALUE"""),"Gig5vmxy*")</f>
        <v>Gig5vmxy*</v>
      </c>
      <c r="S74" s="6" t="str">
        <f>IFERROR(__xludf.DUMMYFUNCTION("""COMPUTED_VALUE"""),"Castaño Urrea Belén ")</f>
        <v>Castaño Urrea Belén </v>
      </c>
      <c r="T74" s="6" t="str">
        <f>IFERROR(__xludf.DUMMYFUNCTION("""COMPUTED_VALUE"""),"ARMENIA HOTEL S.A.S.")</f>
        <v>ARMENIA HOTEL S.A.S.</v>
      </c>
      <c r="U74" s="12" t="str">
        <f>IFERROR(__xludf.DUMMYFUNCTION("""COMPUTED_VALUE"""),"801003278")</f>
        <v>801003278</v>
      </c>
      <c r="V74" s="6">
        <f>IFERROR(__xludf.DUMMYFUNCTION("""COMPUTED_VALUE"""),3.206969115E9)</f>
        <v>3206969115</v>
      </c>
      <c r="W74" s="6" t="str">
        <f>IFERROR(__xludf.DUMMYFUNCTION("""COMPUTED_VALUE"""),"contabilidad@armeniahotel.co")</f>
        <v>contabilidad@armeniahotel.co</v>
      </c>
      <c r="X74" s="12" t="str">
        <f>IFERROR(__xludf.DUMMYFUNCTION("""COMPUTED_VALUE"""),"A+")</f>
        <v>A+</v>
      </c>
      <c r="Y74" s="12" t="str">
        <f>IFERROR(__xludf.DUMMYFUNCTION("""COMPUTED_VALUE"""),"K4")</f>
        <v>K4</v>
      </c>
      <c r="Z74" s="12">
        <f>IFERROR(__xludf.DUMMYFUNCTION("""COMPUTED_VALUE"""),120425.0)</f>
        <v>120425</v>
      </c>
      <c r="AA74" s="6" t="str">
        <f>IFERROR(__xludf.DUMMYFUNCTION("""COMPUTED_VALUE"""),"SURA")</f>
        <v>SURA</v>
      </c>
      <c r="AB74" s="6"/>
      <c r="AC74" s="6"/>
      <c r="AD74" s="12" t="str">
        <f>IFERROR(__xludf.DUMMYFUNCTION("""COMPUTED_VALUE"""),"K4B")</f>
        <v>K4B</v>
      </c>
      <c r="AE74" s="12" t="str">
        <f>IFERROR(__xludf.DUMMYFUNCTION("""COMPUTED_VALUE"""),"1345282424")</f>
        <v>1345282424</v>
      </c>
      <c r="AF74" s="12" t="str">
        <f>IFERROR(__xludf.DUMMYFUNCTION("""COMPUTED_VALUE"""),"1345282424")</f>
        <v>1345282424</v>
      </c>
      <c r="AG74" s="12" t="str">
        <f>IFERROR(__xludf.DUMMYFUNCTION("""COMPUTED_VALUE"""),"Lina")</f>
        <v>Lina</v>
      </c>
      <c r="AH74" s="12" t="str">
        <f>IFERROR(__xludf.DUMMYFUNCTION("""COMPUTED_VALUE"""),"Marcela")</f>
        <v>Marcela</v>
      </c>
      <c r="AI74" s="6" t="str">
        <f>IFERROR(__xludf.DUMMYFUNCTION("""COMPUTED_VALUE"""),"Urrea Giraldo")</f>
        <v>Urrea Giraldo</v>
      </c>
      <c r="AJ74" s="6" t="str">
        <f>IFERROR(__xludf.DUMMYFUNCTION("""COMPUTED_VALUE"""),"marceurreagi@hotmail.com")</f>
        <v>marceurreagi@hotmail.com</v>
      </c>
      <c r="AK74" s="6" t="str">
        <f>IFERROR(__xludf.DUMMYFUNCTION("""COMPUTED_VALUE"""),"administradora")</f>
        <v>administradora</v>
      </c>
      <c r="AL74" s="6" t="str">
        <f>IFERROR(__xludf.DUMMYFUNCTION("""COMPUTED_VALUE"""),"constructora centenario")</f>
        <v>constructora centenario</v>
      </c>
      <c r="AM74" s="12" t="str">
        <f>IFERROR(__xludf.DUMMYFUNCTION("""COMPUTED_VALUE"""),"41957759")</f>
        <v>41957759</v>
      </c>
      <c r="AN74" s="12" t="str">
        <f>IFERROR(__xludf.DUMMYFUNCTION("""COMPUTED_VALUE"""),"3116472581")</f>
        <v>3116472581</v>
      </c>
      <c r="AO74" s="6" t="str">
        <f>IFERROR(__xludf.DUMMYFUNCTION("""COMPUTED_VALUE"""),"Madre")</f>
        <v>Madre</v>
      </c>
      <c r="AP74" s="6" t="str">
        <f>IFERROR(__xludf.DUMMYFUNCTION("""COMPUTED_VALUE"""),"Estudiante(s): Castaño Urrea")</f>
        <v>Estudiante(s): Castaño Urrea</v>
      </c>
      <c r="AQ74" s="6" t="str">
        <f>IFERROR(__xludf.DUMMYFUNCTION("""COMPUTED_VALUE"""),"103786*Gi")</f>
        <v>103786*Gi</v>
      </c>
      <c r="AR74" s="6" t="str">
        <f>IFERROR(__xludf.DUMMYFUNCTION("""COMPUTED_VALUE"""),"Santiago")</f>
        <v>Santiago</v>
      </c>
      <c r="AS74" s="6"/>
      <c r="AT74" s="6" t="str">
        <f>IFERROR(__xludf.DUMMYFUNCTION("""COMPUTED_VALUE"""),"Castaño Velásquez")</f>
        <v>Castaño Velásquez</v>
      </c>
      <c r="AU74" s="6" t="str">
        <f>IFERROR(__xludf.DUMMYFUNCTION("""COMPUTED_VALUE"""),"santiagocv7@gmail.com")</f>
        <v>santiagocv7@gmail.com</v>
      </c>
      <c r="AV74" s="6" t="str">
        <f>IFERROR(__xludf.DUMMYFUNCTION("""COMPUTED_VALUE"""),"administrador")</f>
        <v>administrador</v>
      </c>
      <c r="AW74" s="6" t="str">
        <f>IFERROR(__xludf.DUMMYFUNCTION("""COMPUTED_VALUE"""),"Constructora Centenario")</f>
        <v>Constructora Centenario</v>
      </c>
      <c r="AX74" s="12" t="str">
        <f>IFERROR(__xludf.DUMMYFUNCTION("""COMPUTED_VALUE"""),"9739471")</f>
        <v>9739471</v>
      </c>
      <c r="AY74" s="12" t="str">
        <f>IFERROR(__xludf.DUMMYFUNCTION("""COMPUTED_VALUE"""),"3104598534")</f>
        <v>3104598534</v>
      </c>
      <c r="AZ74" s="6" t="str">
        <f>IFERROR(__xludf.DUMMYFUNCTION("""COMPUTED_VALUE"""),"Padre")</f>
        <v>Padre</v>
      </c>
      <c r="BA74" s="6"/>
      <c r="BB74" s="6"/>
      <c r="BC74" s="6"/>
      <c r="BD74" s="12" t="str">
        <f>IFERROR(__xludf.DUMMYFUNCTION("""COMPUTED_VALUE"""),"cas0016")</f>
        <v>cas0016</v>
      </c>
      <c r="BE74" s="6"/>
      <c r="BF74" s="6"/>
      <c r="BG74" s="6">
        <f>IFERROR(__xludf.DUMMYFUNCTION("""COMPUTED_VALUE"""),2040.0)</f>
        <v>2040</v>
      </c>
      <c r="BH74" s="15">
        <f>IFERROR(__xludf.DUMMYFUNCTION("""COMPUTED_VALUE"""),46211.74990740741)</f>
        <v>46211.74991</v>
      </c>
      <c r="BI74" s="6">
        <f>IFERROR(__xludf.DUMMYFUNCTION("""COMPUTED_VALUE"""),73.0)</f>
        <v>73</v>
      </c>
      <c r="BJ74" s="6"/>
      <c r="BK74" s="6"/>
      <c r="BL74" s="6" t="str">
        <f>IFERROR(__xludf.DUMMYFUNCTION("""COMPUTED_VALUE"""),"GISCAS0016")</f>
        <v>GISCAS0016</v>
      </c>
      <c r="BM74" s="6"/>
      <c r="BN74" s="6"/>
      <c r="BO74" s="6"/>
      <c r="BP74" s="6" t="str">
        <f>IFERROR(__xludf.DUMMYFUNCTION("""COMPUTED_VALUE"""),"XC_K4_IniciaDanzas")</f>
        <v>XC_K4_IniciaDanzas</v>
      </c>
      <c r="BQ74" s="6"/>
      <c r="BR74" s="6"/>
      <c r="BS74" s="6"/>
      <c r="BT74" s="6"/>
      <c r="BU74" s="6" t="str">
        <f>IFERROR(__xludf.DUMMYFUNCTION("""COMPUTED_VALUE"""),"SI")</f>
        <v>SI</v>
      </c>
      <c r="BV74" s="6" t="str">
        <f>IFERROR(__xludf.DUMMYFUNCTION("""COMPUTED_VALUE"""),"belen.c2040")</f>
        <v>belen.c2040</v>
      </c>
      <c r="BW74" s="6"/>
      <c r="BX74" s="6"/>
      <c r="BY74" s="6"/>
      <c r="BZ74" s="6"/>
    </row>
    <row r="75">
      <c r="A75" s="12">
        <f>IFERROR(__xludf.DUMMYFUNCTION("""COMPUTED_VALUE"""),1.021515733E9)</f>
        <v>1021515733</v>
      </c>
      <c r="B75" s="6">
        <f>IFERROR(__xludf.DUMMYFUNCTION("""COMPUTED_VALUE"""),4.0)</f>
        <v>4</v>
      </c>
      <c r="C75" s="6" t="str">
        <f>IFERROR(__xludf.DUMMYFUNCTION("""COMPUTED_VALUE"""),"Joaquín")</f>
        <v>Joaquín</v>
      </c>
      <c r="D75" s="6"/>
      <c r="E75" s="6" t="str">
        <f>IFERROR(__xludf.DUMMYFUNCTION("""COMPUTED_VALUE"""),"Castro Ramírez")</f>
        <v>Castro Ramírez</v>
      </c>
      <c r="F75" s="6" t="str">
        <f>IFERROR(__xludf.DUMMYFUNCTION("""COMPUTED_VALUE"""),"Condominio Campestre La Reserva Torre Macarena Apto 403 - Cra 5 No10Nte - 25 Av Centenario")</f>
        <v>Condominio Campestre La Reserva Torre Macarena Apto 403 - Cra 5 No10Nte - 25 Av Centenario</v>
      </c>
      <c r="G75" s="12" t="str">
        <f>IFERROR(__xludf.DUMMYFUNCTION("""COMPUTED_VALUE"""),"2022")</f>
        <v>2022</v>
      </c>
      <c r="H75" s="6" t="str">
        <f>IFERROR(__xludf.DUMMYFUNCTION("""COMPUTED_VALUE"""),"Mayo")</f>
        <v>Mayo</v>
      </c>
      <c r="I75" s="12" t="str">
        <f>IFERROR(__xludf.DUMMYFUNCTION("""COMPUTED_VALUE"""),"5")</f>
        <v>5</v>
      </c>
      <c r="J75" s="6" t="str">
        <f>IFERROR(__xludf.DUMMYFUNCTION("""COMPUTED_VALUE"""),"Bogotá D.C.")</f>
        <v>Bogotá D.C.</v>
      </c>
      <c r="K75" s="6" t="str">
        <f>IFERROR(__xludf.DUMMYFUNCTION("""COMPUTED_VALUE"""),"joaquin.c2040@gi.edu.co")</f>
        <v>joaquin.c2040@gi.edu.co</v>
      </c>
      <c r="L75" s="6" t="str">
        <f>IFERROR(__xludf.DUMMYFUNCTION("""COMPUTED_VALUE"""),"RC")</f>
        <v>RC</v>
      </c>
      <c r="M75" s="6" t="str">
        <f>IFERROR(__xludf.DUMMYFUNCTION("""COMPUTED_VALUE"""),"Bogotá D.C.")</f>
        <v>Bogotá D.C.</v>
      </c>
      <c r="N75" s="6" t="str">
        <f>IFERROR(__xludf.DUMMYFUNCTION("""COMPUTED_VALUE"""),"M")</f>
        <v>M</v>
      </c>
      <c r="O75" s="6" t="str">
        <f>IFERROR(__xludf.DUMMYFUNCTION("""COMPUTED_VALUE"""),"ACTIVE")</f>
        <v>ACTIVE</v>
      </c>
      <c r="P75" s="6"/>
      <c r="Q75" s="6" t="str">
        <f>IFERROR(__xludf.DUMMYFUNCTION("""COMPUTED_VALUE"""),"Armenia")</f>
        <v>Armenia</v>
      </c>
      <c r="R75" s="12" t="str">
        <f>IFERROR(__xludf.DUMMYFUNCTION("""COMPUTED_VALUE"""),"Gimz288y*")</f>
        <v>Gimz288y*</v>
      </c>
      <c r="S75" s="6" t="str">
        <f>IFERROR(__xludf.DUMMYFUNCTION("""COMPUTED_VALUE"""),"Castro Ramírez Joaquín ")</f>
        <v>Castro Ramírez Joaquín </v>
      </c>
      <c r="T75" s="6" t="str">
        <f>IFERROR(__xludf.DUMMYFUNCTION("""COMPUTED_VALUE"""),"NATALIA RAMIREZ GARCIA")</f>
        <v>NATALIA RAMIREZ GARCIA</v>
      </c>
      <c r="U75" s="12" t="str">
        <f>IFERROR(__xludf.DUMMYFUNCTION("""COMPUTED_VALUE"""),"1065650755")</f>
        <v>1065650755</v>
      </c>
      <c r="V75" s="6">
        <f>IFERROR(__xludf.DUMMYFUNCTION("""COMPUTED_VALUE"""),3.023743028E9)</f>
        <v>3023743028</v>
      </c>
      <c r="W75" s="6" t="str">
        <f>IFERROR(__xludf.DUMMYFUNCTION("""COMPUTED_VALUE"""),"nramirezgarcia10@gmail.com")</f>
        <v>nramirezgarcia10@gmail.com</v>
      </c>
      <c r="X75" s="12" t="str">
        <f>IFERROR(__xludf.DUMMYFUNCTION("""COMPUTED_VALUE"""),"A+")</f>
        <v>A+</v>
      </c>
      <c r="Y75" s="12" t="str">
        <f>IFERROR(__xludf.DUMMYFUNCTION("""COMPUTED_VALUE"""),"K4")</f>
        <v>K4</v>
      </c>
      <c r="Z75" s="6">
        <f>IFERROR(__xludf.DUMMYFUNCTION("""COMPUTED_VALUE"""),120507.0)</f>
        <v>120507</v>
      </c>
      <c r="AA75" s="6" t="str">
        <f>IFERROR(__xludf.DUMMYFUNCTION("""COMPUTED_VALUE"""),"SANITAS")</f>
        <v>SANITAS</v>
      </c>
      <c r="AB75" s="6"/>
      <c r="AC75" s="6"/>
      <c r="AD75" s="12" t="str">
        <f>IFERROR(__xludf.DUMMYFUNCTION("""COMPUTED_VALUE"""),"K4B")</f>
        <v>K4B</v>
      </c>
      <c r="AE75" s="6" t="str">
        <f>IFERROR(__xludf.DUMMYFUNCTION("""COMPUTED_VALUE"""),"1345282506")</f>
        <v>1345282506</v>
      </c>
      <c r="AF75" s="12" t="str">
        <f>IFERROR(__xludf.DUMMYFUNCTION("""COMPUTED_VALUE"""),"1345282506")</f>
        <v>1345282506</v>
      </c>
      <c r="AG75" s="12" t="str">
        <f>IFERROR(__xludf.DUMMYFUNCTION("""COMPUTED_VALUE"""),"Natalia")</f>
        <v>Natalia</v>
      </c>
      <c r="AH75" s="6"/>
      <c r="AI75" s="6" t="str">
        <f>IFERROR(__xludf.DUMMYFUNCTION("""COMPUTED_VALUE"""),"Ramírez García")</f>
        <v>Ramírez García</v>
      </c>
      <c r="AJ75" s="6" t="str">
        <f>IFERROR(__xludf.DUMMYFUNCTION("""COMPUTED_VALUE"""),"nramirezgarcia10@gmail.com")</f>
        <v>nramirezgarcia10@gmail.com</v>
      </c>
      <c r="AK75" s="6" t="str">
        <f>IFERROR(__xludf.DUMMYFUNCTION("""COMPUTED_VALUE"""),"Internacionalista")</f>
        <v>Internacionalista</v>
      </c>
      <c r="AL75" s="6" t="str">
        <f>IFERROR(__xludf.DUMMYFUNCTION("""COMPUTED_VALUE"""),"Persona Talent Psychometric Inc.")</f>
        <v>Persona Talent Psychometric Inc.</v>
      </c>
      <c r="AM75" s="12" t="str">
        <f>IFERROR(__xludf.DUMMYFUNCTION("""COMPUTED_VALUE"""),"1065650755")</f>
        <v>1065650755</v>
      </c>
      <c r="AN75" s="12" t="str">
        <f>IFERROR(__xludf.DUMMYFUNCTION("""COMPUTED_VALUE"""),"3023743028")</f>
        <v>3023743028</v>
      </c>
      <c r="AO75" s="6" t="str">
        <f>IFERROR(__xludf.DUMMYFUNCTION("""COMPUTED_VALUE"""),"Madre")</f>
        <v>Madre</v>
      </c>
      <c r="AP75" s="12" t="str">
        <f>IFERROR(__xludf.DUMMYFUNCTION("""COMPUTED_VALUE"""),"Estudiante(s): Castro Ramírez")</f>
        <v>Estudiante(s): Castro Ramírez</v>
      </c>
      <c r="AQ75" s="6" t="str">
        <f>IFERROR(__xludf.DUMMYFUNCTION("""COMPUTED_VALUE"""),"120507*Gi")</f>
        <v>120507*Gi</v>
      </c>
      <c r="AR75" s="6" t="str">
        <f>IFERROR(__xludf.DUMMYFUNCTION("""COMPUTED_VALUE"""),"Pedro")</f>
        <v>Pedro</v>
      </c>
      <c r="AS75" s="6" t="str">
        <f>IFERROR(__xludf.DUMMYFUNCTION("""COMPUTED_VALUE"""),"Andrés")</f>
        <v>Andrés</v>
      </c>
      <c r="AT75" s="6" t="str">
        <f>IFERROR(__xludf.DUMMYFUNCTION("""COMPUTED_VALUE"""),"Castro Bustamante")</f>
        <v>Castro Bustamante</v>
      </c>
      <c r="AU75" s="6" t="str">
        <f>IFERROR(__xludf.DUMMYFUNCTION("""COMPUTED_VALUE"""),"pedroandrescastro2012@gmail.com")</f>
        <v>pedroandrescastro2012@gmail.com</v>
      </c>
      <c r="AV75" s="6" t="str">
        <f>IFERROR(__xludf.DUMMYFUNCTION("""COMPUTED_VALUE"""),"Biologo")</f>
        <v>Biologo</v>
      </c>
      <c r="AW75" s="6" t="str">
        <f>IFERROR(__xludf.DUMMYFUNCTION("""COMPUTED_VALUE"""),"The Nature Conservancy")</f>
        <v>The Nature Conservancy</v>
      </c>
      <c r="AX75" s="12" t="str">
        <f>IFERROR(__xludf.DUMMYFUNCTION("""COMPUTED_VALUE"""),"80099575")</f>
        <v>80099575</v>
      </c>
      <c r="AY75" s="12" t="str">
        <f>IFERROR(__xludf.DUMMYFUNCTION("""COMPUTED_VALUE"""),"3176596142")</f>
        <v>3176596142</v>
      </c>
      <c r="AZ75" s="6" t="str">
        <f>IFERROR(__xludf.DUMMYFUNCTION("""COMPUTED_VALUE"""),"Padre")</f>
        <v>Padre</v>
      </c>
      <c r="BA75" s="6"/>
      <c r="BB75" s="6"/>
      <c r="BC75" s="6"/>
      <c r="BD75" s="12" t="str">
        <f>IFERROR(__xludf.DUMMYFUNCTION("""COMPUTED_VALUE"""),"cas0022")</f>
        <v>cas0022</v>
      </c>
      <c r="BE75" s="6"/>
      <c r="BF75" s="6"/>
      <c r="BG75" s="6">
        <f>IFERROR(__xludf.DUMMYFUNCTION("""COMPUTED_VALUE"""),2040.0)</f>
        <v>2040</v>
      </c>
      <c r="BH75" s="15">
        <f>IFERROR(__xludf.DUMMYFUNCTION("""COMPUTED_VALUE"""),46211.641388888886)</f>
        <v>46211.64139</v>
      </c>
      <c r="BI75" s="6">
        <f>IFERROR(__xludf.DUMMYFUNCTION("""COMPUTED_VALUE"""),74.0)</f>
        <v>74</v>
      </c>
      <c r="BJ75" s="6"/>
      <c r="BK75" s="6"/>
      <c r="BL75" s="6" t="str">
        <f>IFERROR(__xludf.DUMMYFUNCTION("""COMPUTED_VALUE"""),"GISCAS0022")</f>
        <v>GISCAS0022</v>
      </c>
      <c r="BM75" s="6"/>
      <c r="BN75" s="6"/>
      <c r="BO75" s="6"/>
      <c r="BP75" s="6"/>
      <c r="BQ75" s="6" t="str">
        <f>IFERROR(__xludf.DUMMYFUNCTION("""COMPUTED_VALUE"""),"XC_K4_Futbol")</f>
        <v>XC_K4_Futbol</v>
      </c>
      <c r="BR75" s="6"/>
      <c r="BS75" s="6"/>
      <c r="BT75" s="6"/>
      <c r="BU75" s="6" t="str">
        <f>IFERROR(__xludf.DUMMYFUNCTION("""COMPUTED_VALUE"""),"SI")</f>
        <v>SI</v>
      </c>
      <c r="BV75" s="6" t="str">
        <f>IFERROR(__xludf.DUMMYFUNCTION("""COMPUTED_VALUE"""),"joaquin.c2040")</f>
        <v>joaquin.c2040</v>
      </c>
      <c r="BW75" s="6"/>
      <c r="BX75" s="6"/>
      <c r="BY75" s="6"/>
      <c r="BZ75" s="6"/>
    </row>
    <row r="76">
      <c r="A76" s="12">
        <f>IFERROR(__xludf.DUMMYFUNCTION("""COMPUTED_VALUE"""),1.09518404E9)</f>
        <v>1095184040</v>
      </c>
      <c r="B76" s="6">
        <f>IFERROR(__xludf.DUMMYFUNCTION("""COMPUTED_VALUE"""),5.0)</f>
        <v>5</v>
      </c>
      <c r="C76" s="6" t="str">
        <f>IFERROR(__xludf.DUMMYFUNCTION("""COMPUTED_VALUE"""),"Efraín")</f>
        <v>Efraín</v>
      </c>
      <c r="D76" s="6"/>
      <c r="E76" s="6" t="str">
        <f>IFERROR(__xludf.DUMMYFUNCTION("""COMPUTED_VALUE"""),"Del Olmo Galindo")</f>
        <v>Del Olmo Galindo</v>
      </c>
      <c r="F76" s="6" t="str">
        <f>IFERROR(__xludf.DUMMYFUNCTION("""COMPUTED_VALUE"""),"Parque Residencial Altos Del Rio Casa 46 - Calle 41 No36 - 110")</f>
        <v>Parque Residencial Altos Del Rio Casa 46 - Calle 41 No36 - 110</v>
      </c>
      <c r="G76" s="12">
        <f>IFERROR(__xludf.DUMMYFUNCTION("""COMPUTED_VALUE"""),2021.0)</f>
        <v>2021</v>
      </c>
      <c r="H76" s="6" t="str">
        <f>IFERROR(__xludf.DUMMYFUNCTION("""COMPUTED_VALUE"""),"Octubre")</f>
        <v>Octubre</v>
      </c>
      <c r="I76" s="12">
        <f>IFERROR(__xludf.DUMMYFUNCTION("""COMPUTED_VALUE"""),4.0)</f>
        <v>4</v>
      </c>
      <c r="J76" s="6" t="str">
        <f>IFERROR(__xludf.DUMMYFUNCTION("""COMPUTED_VALUE"""),"Armenia")</f>
        <v>Armenia</v>
      </c>
      <c r="K76" s="6" t="str">
        <f>IFERROR(__xludf.DUMMYFUNCTION("""COMPUTED_VALUE"""),"efrain.d2040@gi.edu.co")</f>
        <v>efrain.d2040@gi.edu.co</v>
      </c>
      <c r="L76" s="6" t="str">
        <f>IFERROR(__xludf.DUMMYFUNCTION("""COMPUTED_VALUE"""),"RC")</f>
        <v>RC</v>
      </c>
      <c r="M76" s="6" t="str">
        <f>IFERROR(__xludf.DUMMYFUNCTION("""COMPUTED_VALUE"""),"Calarcá")</f>
        <v>Calarcá</v>
      </c>
      <c r="N76" s="6" t="str">
        <f>IFERROR(__xludf.DUMMYFUNCTION("""COMPUTED_VALUE"""),"M")</f>
        <v>M</v>
      </c>
      <c r="O76" s="6" t="str">
        <f>IFERROR(__xludf.DUMMYFUNCTION("""COMPUTED_VALUE"""),"ACTIVE")</f>
        <v>ACTIVE</v>
      </c>
      <c r="P76" s="6"/>
      <c r="Q76" s="6" t="str">
        <f>IFERROR(__xludf.DUMMYFUNCTION("""COMPUTED_VALUE"""),"Calarcá")</f>
        <v>Calarcá</v>
      </c>
      <c r="R76" s="12" t="str">
        <f>IFERROR(__xludf.DUMMYFUNCTION("""COMPUTED_VALUE"""),"Gi5bg8jk*")</f>
        <v>Gi5bg8jk*</v>
      </c>
      <c r="S76" s="6" t="str">
        <f>IFERROR(__xludf.DUMMYFUNCTION("""COMPUTED_VALUE"""),"Del Olmo Galindo Efraín ")</f>
        <v>Del Olmo Galindo Efraín </v>
      </c>
      <c r="T76" s="6" t="str">
        <f>IFERROR(__xludf.DUMMYFUNCTION("""COMPUTED_VALUE"""),"MARIA PAULA GALINDO LOPEZ")</f>
        <v>MARIA PAULA GALINDO LOPEZ</v>
      </c>
      <c r="U76" s="12" t="str">
        <f>IFERROR(__xludf.DUMMYFUNCTION("""COMPUTED_VALUE"""),"24586568")</f>
        <v>24586568</v>
      </c>
      <c r="V76" s="6">
        <f>IFERROR(__xludf.DUMMYFUNCTION("""COMPUTED_VALUE"""),3.123878729E9)</f>
        <v>3123878729</v>
      </c>
      <c r="W76" s="6" t="str">
        <f>IFERROR(__xludf.DUMMYFUNCTION("""COMPUTED_VALUE"""),"mariapaulagalindolopez@gmail.com")</f>
        <v>mariapaulagalindolopez@gmail.com</v>
      </c>
      <c r="X76" s="12" t="str">
        <f>IFERROR(__xludf.DUMMYFUNCTION("""COMPUTED_VALUE"""),"O+")</f>
        <v>O+</v>
      </c>
      <c r="Y76" s="12" t="str">
        <f>IFERROR(__xludf.DUMMYFUNCTION("""COMPUTED_VALUE"""),"K4")</f>
        <v>K4</v>
      </c>
      <c r="Z76" s="12">
        <f>IFERROR(__xludf.DUMMYFUNCTION("""COMPUTED_VALUE"""),120400.0)</f>
        <v>120400</v>
      </c>
      <c r="AA76" s="6" t="str">
        <f>IFERROR(__xludf.DUMMYFUNCTION("""COMPUTED_VALUE"""),"SURA")</f>
        <v>SURA</v>
      </c>
      <c r="AB76" s="6"/>
      <c r="AC76" s="6"/>
      <c r="AD76" s="12" t="str">
        <f>IFERROR(__xludf.DUMMYFUNCTION("""COMPUTED_VALUE"""),"K4B")</f>
        <v>K4B</v>
      </c>
      <c r="AE76" s="12">
        <f>IFERROR(__xludf.DUMMYFUNCTION("""COMPUTED_VALUE"""),1.345282402E9)</f>
        <v>1345282402</v>
      </c>
      <c r="AF76" s="12" t="str">
        <f>IFERROR(__xludf.DUMMYFUNCTION("""COMPUTED_VALUE"""),"1345282402")</f>
        <v>1345282402</v>
      </c>
      <c r="AG76" s="12" t="str">
        <f>IFERROR(__xludf.DUMMYFUNCTION("""COMPUTED_VALUE"""),"María")</f>
        <v>María</v>
      </c>
      <c r="AH76" s="12" t="str">
        <f>IFERROR(__xludf.DUMMYFUNCTION("""COMPUTED_VALUE"""),"Paula")</f>
        <v>Paula</v>
      </c>
      <c r="AI76" s="6" t="str">
        <f>IFERROR(__xludf.DUMMYFUNCTION("""COMPUTED_VALUE"""),"Galindo López")</f>
        <v>Galindo López</v>
      </c>
      <c r="AJ76" s="6" t="str">
        <f>IFERROR(__xludf.DUMMYFUNCTION("""COMPUTED_VALUE"""),"mariapaulagalindolopez@gmail.com")</f>
        <v>mariapaulagalindolopez@gmail.com</v>
      </c>
      <c r="AK76" s="6" t="str">
        <f>IFERROR(__xludf.DUMMYFUNCTION("""COMPUTED_VALUE"""),"Medico Especialista")</f>
        <v>Medico Especialista</v>
      </c>
      <c r="AL76" s="6" t="str">
        <f>IFERROR(__xludf.DUMMYFUNCTION("""COMPUTED_VALUE"""),"Oncologos Del Occidente")</f>
        <v>Oncologos Del Occidente</v>
      </c>
      <c r="AM76" s="12" t="str">
        <f>IFERROR(__xludf.DUMMYFUNCTION("""COMPUTED_VALUE"""),"24586568")</f>
        <v>24586568</v>
      </c>
      <c r="AN76" s="12">
        <f>IFERROR(__xludf.DUMMYFUNCTION("""COMPUTED_VALUE"""),3.123878729E9)</f>
        <v>3123878729</v>
      </c>
      <c r="AO76" s="6" t="str">
        <f>IFERROR(__xludf.DUMMYFUNCTION("""COMPUTED_VALUE"""),"Madre")</f>
        <v>Madre</v>
      </c>
      <c r="AP76" s="6" t="str">
        <f>IFERROR(__xludf.DUMMYFUNCTION("""COMPUTED_VALUE"""),"Estudiante(s): Del Olmo Galindo")</f>
        <v>Estudiante(s): Del Olmo Galindo</v>
      </c>
      <c r="AQ76" s="6" t="str">
        <f>IFERROR(__xludf.DUMMYFUNCTION("""COMPUTED_VALUE"""),"120037*Gi")</f>
        <v>120037*Gi</v>
      </c>
      <c r="AR76" s="6" t="str">
        <f>IFERROR(__xludf.DUMMYFUNCTION("""COMPUTED_VALUE"""),"Esteban")</f>
        <v>Esteban</v>
      </c>
      <c r="AS76" s="6"/>
      <c r="AT76" s="6" t="str">
        <f>IFERROR(__xludf.DUMMYFUNCTION("""COMPUTED_VALUE"""),"del Olmo Gil")</f>
        <v>del Olmo Gil</v>
      </c>
      <c r="AU76" s="6" t="str">
        <f>IFERROR(__xludf.DUMMYFUNCTION("""COMPUTED_VALUE"""),"delolmo1984@gmail.com")</f>
        <v>delolmo1984@gmail.com</v>
      </c>
      <c r="AV76" s="6" t="str">
        <f>IFERROR(__xludf.DUMMYFUNCTION("""COMPUTED_VALUE"""),"Medico Especialista")</f>
        <v>Medico Especialista</v>
      </c>
      <c r="AW76" s="6" t="str">
        <f>IFERROR(__xludf.DUMMYFUNCTION("""COMPUTED_VALUE"""),"Oncologos Del Occidente")</f>
        <v>Oncologos Del Occidente</v>
      </c>
      <c r="AX76" s="12" t="str">
        <f>IFERROR(__xludf.DUMMYFUNCTION("""COMPUTED_VALUE"""),"1153463449")</f>
        <v>1153463449</v>
      </c>
      <c r="AY76" s="12">
        <f>IFERROR(__xludf.DUMMYFUNCTION("""COMPUTED_VALUE"""),3.123887343E9)</f>
        <v>3123887343</v>
      </c>
      <c r="AZ76" s="6" t="str">
        <f>IFERROR(__xludf.DUMMYFUNCTION("""COMPUTED_VALUE"""),"Padre")</f>
        <v>Padre</v>
      </c>
      <c r="BA76" s="6"/>
      <c r="BB76" s="6"/>
      <c r="BC76" s="6"/>
      <c r="BD76" s="12" t="str">
        <f>IFERROR(__xludf.DUMMYFUNCTION("""COMPUTED_VALUE"""),"olm0001")</f>
        <v>olm0001</v>
      </c>
      <c r="BE76" s="6"/>
      <c r="BF76" s="6"/>
      <c r="BG76" s="6">
        <f>IFERROR(__xludf.DUMMYFUNCTION("""COMPUTED_VALUE"""),2040.0)</f>
        <v>2040</v>
      </c>
      <c r="BH76" s="15">
        <f>IFERROR(__xludf.DUMMYFUNCTION("""COMPUTED_VALUE"""),46211.740219907406)</f>
        <v>46211.74022</v>
      </c>
      <c r="BI76" s="6">
        <f>IFERROR(__xludf.DUMMYFUNCTION("""COMPUTED_VALUE"""),75.0)</f>
        <v>75</v>
      </c>
      <c r="BJ76" s="6"/>
      <c r="BK76" s="6"/>
      <c r="BL76" s="6" t="str">
        <f>IFERROR(__xludf.DUMMYFUNCTION("""COMPUTED_VALUE"""),"GISOLM0001")</f>
        <v>GISOLM0001</v>
      </c>
      <c r="BM76" s="6"/>
      <c r="BN76" s="6"/>
      <c r="BO76" s="6"/>
      <c r="BP76" s="6"/>
      <c r="BQ76" s="6" t="str">
        <f>IFERROR(__xludf.DUMMYFUNCTION("""COMPUTED_VALUE"""),"XC_K4_Futbol")</f>
        <v>XC_K4_Futbol</v>
      </c>
      <c r="BR76" s="6"/>
      <c r="BS76" s="6"/>
      <c r="BT76" s="6"/>
      <c r="BU76" s="6" t="str">
        <f>IFERROR(__xludf.DUMMYFUNCTION("""COMPUTED_VALUE"""),"SI")</f>
        <v>SI</v>
      </c>
      <c r="BV76" s="6" t="str">
        <f>IFERROR(__xludf.DUMMYFUNCTION("""COMPUTED_VALUE"""),"efrain.d2040")</f>
        <v>efrain.d2040</v>
      </c>
      <c r="BW76" s="6"/>
      <c r="BX76" s="6"/>
      <c r="BY76" s="6"/>
      <c r="BZ76" s="6"/>
    </row>
    <row r="77">
      <c r="A77" s="12">
        <f>IFERROR(__xludf.DUMMYFUNCTION("""COMPUTED_VALUE"""),1.092865657E9)</f>
        <v>1092865657</v>
      </c>
      <c r="B77" s="6">
        <f>IFERROR(__xludf.DUMMYFUNCTION("""COMPUTED_VALUE"""),6.0)</f>
        <v>6</v>
      </c>
      <c r="C77" s="6" t="str">
        <f>IFERROR(__xludf.DUMMYFUNCTION("""COMPUTED_VALUE"""),"Joaquín")</f>
        <v>Joaquín</v>
      </c>
      <c r="D77" s="6"/>
      <c r="E77" s="6" t="str">
        <f>IFERROR(__xludf.DUMMYFUNCTION("""COMPUTED_VALUE"""),"Duque Pinilla")</f>
        <v>Duque Pinilla</v>
      </c>
      <c r="F77" s="6" t="str">
        <f>IFERROR(__xludf.DUMMYFUNCTION("""COMPUTED_VALUE"""),"Cra 10 No11Nte - 05 Torre 2 Apto 505 - La Castellana")</f>
        <v>Cra 10 No11Nte - 05 Torre 2 Apto 505 - La Castellana</v>
      </c>
      <c r="G77" s="12" t="str">
        <f>IFERROR(__xludf.DUMMYFUNCTION("""COMPUTED_VALUE"""),"2021")</f>
        <v>2021</v>
      </c>
      <c r="H77" s="6" t="str">
        <f>IFERROR(__xludf.DUMMYFUNCTION("""COMPUTED_VALUE"""),"Diciembre")</f>
        <v>Diciembre</v>
      </c>
      <c r="I77" s="12" t="str">
        <f>IFERROR(__xludf.DUMMYFUNCTION("""COMPUTED_VALUE"""),"26")</f>
        <v>26</v>
      </c>
      <c r="J77" s="6" t="str">
        <f>IFERROR(__xludf.DUMMYFUNCTION("""COMPUTED_VALUE"""),"Pereira")</f>
        <v>Pereira</v>
      </c>
      <c r="K77" s="6" t="str">
        <f>IFERROR(__xludf.DUMMYFUNCTION("""COMPUTED_VALUE"""),"joaquin.d2040@gi.edu.co")</f>
        <v>joaquin.d2040@gi.edu.co</v>
      </c>
      <c r="L77" s="6" t="str">
        <f>IFERROR(__xludf.DUMMYFUNCTION("""COMPUTED_VALUE"""),"RC")</f>
        <v>RC</v>
      </c>
      <c r="M77" s="6" t="str">
        <f>IFERROR(__xludf.DUMMYFUNCTION("""COMPUTED_VALUE"""),"Armenia")</f>
        <v>Armenia</v>
      </c>
      <c r="N77" s="6" t="str">
        <f>IFERROR(__xludf.DUMMYFUNCTION("""COMPUTED_VALUE"""),"M")</f>
        <v>M</v>
      </c>
      <c r="O77" s="6" t="str">
        <f>IFERROR(__xludf.DUMMYFUNCTION("""COMPUTED_VALUE"""),"ACTIVE")</f>
        <v>ACTIVE</v>
      </c>
      <c r="P77" s="6"/>
      <c r="Q77" s="6" t="str">
        <f>IFERROR(__xludf.DUMMYFUNCTION("""COMPUTED_VALUE"""),"Armenia")</f>
        <v>Armenia</v>
      </c>
      <c r="R77" s="12" t="str">
        <f>IFERROR(__xludf.DUMMYFUNCTION("""COMPUTED_VALUE"""),"Gizc12q54*")</f>
        <v>Gizc12q54*</v>
      </c>
      <c r="S77" s="6" t="str">
        <f>IFERROR(__xludf.DUMMYFUNCTION("""COMPUTED_VALUE"""),"Duque Pinilla Joaquín ")</f>
        <v>Duque Pinilla Joaquín </v>
      </c>
      <c r="T77" s="6" t="str">
        <f>IFERROR(__xludf.DUMMYFUNCTION("""COMPUTED_VALUE"""),"NATALIA PINILLA GUTIÉRREZ")</f>
        <v>NATALIA PINILLA GUTIÉRREZ</v>
      </c>
      <c r="U77" s="12" t="str">
        <f>IFERROR(__xludf.DUMMYFUNCTION("""COMPUTED_VALUE"""),"41960565")</f>
        <v>41960565</v>
      </c>
      <c r="V77" s="6">
        <f>IFERROR(__xludf.DUMMYFUNCTION("""COMPUTED_VALUE"""),3.212270397E9)</f>
        <v>3212270397</v>
      </c>
      <c r="W77" s="6" t="str">
        <f>IFERROR(__xludf.DUMMYFUNCTION("""COMPUTED_VALUE"""),"natalia.pinilla84@gmail.com")</f>
        <v>natalia.pinilla84@gmail.com</v>
      </c>
      <c r="X77" s="12" t="str">
        <f>IFERROR(__xludf.DUMMYFUNCTION("""COMPUTED_VALUE"""),"A+")</f>
        <v>A+</v>
      </c>
      <c r="Y77" s="12" t="str">
        <f>IFERROR(__xludf.DUMMYFUNCTION("""COMPUTED_VALUE"""),"K4")</f>
        <v>K4</v>
      </c>
      <c r="Z77" s="6">
        <f>IFERROR(__xludf.DUMMYFUNCTION("""COMPUTED_VALUE"""),120502.0)</f>
        <v>120502</v>
      </c>
      <c r="AA77" s="6"/>
      <c r="AB77" s="6"/>
      <c r="AC77" s="12" t="str">
        <f>IFERROR(__xludf.DUMMYFUNCTION("""COMPUTED_VALUE"""),"Césped, cucarachas, polvo, cipres")</f>
        <v>Césped, cucarachas, polvo, cipres</v>
      </c>
      <c r="AD77" s="12" t="str">
        <f>IFERROR(__xludf.DUMMYFUNCTION("""COMPUTED_VALUE"""),"K4B")</f>
        <v>K4B</v>
      </c>
      <c r="AE77" s="6" t="str">
        <f>IFERROR(__xludf.DUMMYFUNCTION("""COMPUTED_VALUE"""),"1345282501")</f>
        <v>1345282501</v>
      </c>
      <c r="AF77" s="12" t="str">
        <f>IFERROR(__xludf.DUMMYFUNCTION("""COMPUTED_VALUE"""),"1345282501")</f>
        <v>1345282501</v>
      </c>
      <c r="AG77" s="12" t="str">
        <f>IFERROR(__xludf.DUMMYFUNCTION("""COMPUTED_VALUE"""),"Natalia")</f>
        <v>Natalia</v>
      </c>
      <c r="AH77" s="6"/>
      <c r="AI77" s="6" t="str">
        <f>IFERROR(__xludf.DUMMYFUNCTION("""COMPUTED_VALUE"""),"Pinilla Gutiérrez")</f>
        <v>Pinilla Gutiérrez</v>
      </c>
      <c r="AJ77" s="6" t="str">
        <f>IFERROR(__xludf.DUMMYFUNCTION("""COMPUTED_VALUE"""),"natalia.pinilla84@gmail.com")</f>
        <v>natalia.pinilla84@gmail.com</v>
      </c>
      <c r="AK77" s="6" t="str">
        <f>IFERROR(__xludf.DUMMYFUNCTION("""COMPUTED_VALUE"""),"Administradora de empresas")</f>
        <v>Administradora de empresas</v>
      </c>
      <c r="AL77" s="6" t="str">
        <f>IFERROR(__xludf.DUMMYFUNCTION("""COMPUTED_VALUE"""),"Federación Nacional de Cafeteros - Comité Quindío")</f>
        <v>Federación Nacional de Cafeteros - Comité Quindío</v>
      </c>
      <c r="AM77" s="12" t="str">
        <f>IFERROR(__xludf.DUMMYFUNCTION("""COMPUTED_VALUE"""),"41960565")</f>
        <v>41960565</v>
      </c>
      <c r="AN77" s="12" t="str">
        <f>IFERROR(__xludf.DUMMYFUNCTION("""COMPUTED_VALUE"""),"3212270397")</f>
        <v>3212270397</v>
      </c>
      <c r="AO77" s="6" t="str">
        <f>IFERROR(__xludf.DUMMYFUNCTION("""COMPUTED_VALUE"""),"Madre")</f>
        <v>Madre</v>
      </c>
      <c r="AP77" s="12" t="str">
        <f>IFERROR(__xludf.DUMMYFUNCTION("""COMPUTED_VALUE"""),"Estudiante(s): Duque Pinilla")</f>
        <v>Estudiante(s): Duque Pinilla</v>
      </c>
      <c r="AQ77" s="6" t="str">
        <f>IFERROR(__xludf.DUMMYFUNCTION("""COMPUTED_VALUE"""),"120502*Gi")</f>
        <v>120502*Gi</v>
      </c>
      <c r="AR77" s="6" t="str">
        <f>IFERROR(__xludf.DUMMYFUNCTION("""COMPUTED_VALUE"""),"Federico")</f>
        <v>Federico</v>
      </c>
      <c r="AS77" s="6"/>
      <c r="AT77" s="6" t="str">
        <f>IFERROR(__xludf.DUMMYFUNCTION("""COMPUTED_VALUE"""),"Duque del Río")</f>
        <v>Duque del Río</v>
      </c>
      <c r="AU77" s="6" t="str">
        <f>IFERROR(__xludf.DUMMYFUNCTION("""COMPUTED_VALUE"""),"federicoduque@gmail.com")</f>
        <v>federicoduque@gmail.com</v>
      </c>
      <c r="AV77" s="6" t="str">
        <f>IFERROR(__xludf.DUMMYFUNCTION("""COMPUTED_VALUE"""),"Abogado")</f>
        <v>Abogado</v>
      </c>
      <c r="AW77" s="6" t="str">
        <f>IFERROR(__xludf.DUMMYFUNCTION("""COMPUTED_VALUE"""),"Universidad La Gran Colombia")</f>
        <v>Universidad La Gran Colombia</v>
      </c>
      <c r="AX77" s="12" t="str">
        <f>IFERROR(__xludf.DUMMYFUNCTION("""COMPUTED_VALUE"""),"3243832820")</f>
        <v>3243832820</v>
      </c>
      <c r="AY77" s="12" t="str">
        <f>IFERROR(__xludf.DUMMYFUNCTION("""COMPUTED_VALUE"""),"3226911872")</f>
        <v>3226911872</v>
      </c>
      <c r="AZ77" s="6" t="str">
        <f>IFERROR(__xludf.DUMMYFUNCTION("""COMPUTED_VALUE"""),"Padre")</f>
        <v>Padre</v>
      </c>
      <c r="BA77" s="6"/>
      <c r="BB77" s="6"/>
      <c r="BC77" s="6"/>
      <c r="BD77" s="12" t="str">
        <f>IFERROR(__xludf.DUMMYFUNCTION("""COMPUTED_VALUE"""),"duq0007")</f>
        <v>duq0007</v>
      </c>
      <c r="BE77" s="6"/>
      <c r="BF77" s="6"/>
      <c r="BG77" s="6">
        <f>IFERROR(__xludf.DUMMYFUNCTION("""COMPUTED_VALUE"""),2040.0)</f>
        <v>2040</v>
      </c>
      <c r="BH77" s="15">
        <f>IFERROR(__xludf.DUMMYFUNCTION("""COMPUTED_VALUE"""),46211.843726851854)</f>
        <v>46211.84373</v>
      </c>
      <c r="BI77" s="6">
        <f>IFERROR(__xludf.DUMMYFUNCTION("""COMPUTED_VALUE"""),76.0)</f>
        <v>76</v>
      </c>
      <c r="BJ77" s="6"/>
      <c r="BK77" s="6"/>
      <c r="BL77" s="6" t="str">
        <f>IFERROR(__xludf.DUMMYFUNCTION("""COMPUTED_VALUE"""),"GISDUQ0007")</f>
        <v>GISDUQ0007</v>
      </c>
      <c r="BM77" s="6"/>
      <c r="BN77" s="6"/>
      <c r="BO77" s="6"/>
      <c r="BP77" s="6"/>
      <c r="BQ77" s="6"/>
      <c r="BR77" s="6"/>
      <c r="BS77" s="6"/>
      <c r="BT77" s="6"/>
      <c r="BU77" s="6" t="str">
        <f>IFERROR(__xludf.DUMMYFUNCTION("""COMPUTED_VALUE"""),"SI")</f>
        <v>SI</v>
      </c>
      <c r="BV77" s="6" t="str">
        <f>IFERROR(__xludf.DUMMYFUNCTION("""COMPUTED_VALUE"""),"joaquin.d2040")</f>
        <v>joaquin.d2040</v>
      </c>
      <c r="BW77" s="6"/>
      <c r="BX77" s="6"/>
      <c r="BY77" s="6"/>
      <c r="BZ77" s="6"/>
    </row>
    <row r="78">
      <c r="A78" s="12">
        <f>IFERROR(__xludf.DUMMYFUNCTION("""COMPUTED_VALUE"""),1.035019661E9)</f>
        <v>1035019661</v>
      </c>
      <c r="B78" s="6">
        <f>IFERROR(__xludf.DUMMYFUNCTION("""COMPUTED_VALUE"""),7.0)</f>
        <v>7</v>
      </c>
      <c r="C78" s="6" t="str">
        <f>IFERROR(__xludf.DUMMYFUNCTION("""COMPUTED_VALUE"""),"Martina")</f>
        <v>Martina</v>
      </c>
      <c r="D78" s="6"/>
      <c r="E78" s="6" t="str">
        <f>IFERROR(__xludf.DUMMYFUNCTION("""COMPUTED_VALUE"""),"Echeverry Duque")</f>
        <v>Echeverry Duque</v>
      </c>
      <c r="F78" s="6" t="str">
        <f>IFERROR(__xludf.DUMMYFUNCTION("""COMPUTED_VALUE"""),"Condominio Reserva de la Pastorita Casa 13 - Av 19 No23ANte - 21")</f>
        <v>Condominio Reserva de la Pastorita Casa 13 - Av 19 No23ANte - 21</v>
      </c>
      <c r="G78" s="12" t="str">
        <f>IFERROR(__xludf.DUMMYFUNCTION("""COMPUTED_VALUE"""),"2022")</f>
        <v>2022</v>
      </c>
      <c r="H78" s="6" t="str">
        <f>IFERROR(__xludf.DUMMYFUNCTION("""COMPUTED_VALUE"""),"Junio")</f>
        <v>Junio</v>
      </c>
      <c r="I78" s="12" t="str">
        <f>IFERROR(__xludf.DUMMYFUNCTION("""COMPUTED_VALUE"""),"9")</f>
        <v>9</v>
      </c>
      <c r="J78" s="6" t="str">
        <f>IFERROR(__xludf.DUMMYFUNCTION("""COMPUTED_VALUE"""),"Medellín")</f>
        <v>Medellín</v>
      </c>
      <c r="K78" s="6" t="str">
        <f>IFERROR(__xludf.DUMMYFUNCTION("""COMPUTED_VALUE"""),"martina.e2040@gi.edu.co")</f>
        <v>martina.e2040@gi.edu.co</v>
      </c>
      <c r="L78" s="6" t="str">
        <f>IFERROR(__xludf.DUMMYFUNCTION("""COMPUTED_VALUE"""),"NUIP")</f>
        <v>NUIP</v>
      </c>
      <c r="M78" s="6" t="str">
        <f>IFERROR(__xludf.DUMMYFUNCTION("""COMPUTED_VALUE"""),"Medellín")</f>
        <v>Medellín</v>
      </c>
      <c r="N78" s="6" t="str">
        <f>IFERROR(__xludf.DUMMYFUNCTION("""COMPUTED_VALUE"""),"F")</f>
        <v>F</v>
      </c>
      <c r="O78" s="6" t="str">
        <f>IFERROR(__xludf.DUMMYFUNCTION("""COMPUTED_VALUE"""),"INACTIVE")</f>
        <v>INACTIVE</v>
      </c>
      <c r="P78" s="6"/>
      <c r="Q78" s="6" t="str">
        <f>IFERROR(__xludf.DUMMYFUNCTION("""COMPUTED_VALUE"""),"Armenia")</f>
        <v>Armenia</v>
      </c>
      <c r="R78" s="12" t="str">
        <f>IFERROR(__xludf.DUMMYFUNCTION("""COMPUTED_VALUE"""),"Git81yn3*")</f>
        <v>Git81yn3*</v>
      </c>
      <c r="S78" s="6" t="str">
        <f>IFERROR(__xludf.DUMMYFUNCTION("""COMPUTED_VALUE"""),"Echeverry Duque Martina ")</f>
        <v>Echeverry Duque Martina </v>
      </c>
      <c r="T78" s="6" t="str">
        <f>IFERROR(__xludf.DUMMYFUNCTION("""COMPUTED_VALUE"""),"MAURICIO ECHEVERRY ALVAREZ")</f>
        <v>MAURICIO ECHEVERRY ALVAREZ</v>
      </c>
      <c r="U78" s="12" t="str">
        <f>IFERROR(__xludf.DUMMYFUNCTION("""COMPUTED_VALUE"""),"9770897")</f>
        <v>9770897</v>
      </c>
      <c r="V78" s="6">
        <f>IFERROR(__xludf.DUMMYFUNCTION("""COMPUTED_VALUE"""),3.113083669E9)</f>
        <v>3113083669</v>
      </c>
      <c r="W78" s="6" t="str">
        <f>IFERROR(__xludf.DUMMYFUNCTION("""COMPUTED_VALUE"""),"mauricio_echeverri_alvarez@hotmail.com")</f>
        <v>mauricio_echeverri_alvarez@hotmail.com</v>
      </c>
      <c r="X78" s="12" t="str">
        <f>IFERROR(__xludf.DUMMYFUNCTION("""COMPUTED_VALUE"""),"O+")</f>
        <v>O+</v>
      </c>
      <c r="Y78" s="12" t="str">
        <f>IFERROR(__xludf.DUMMYFUNCTION("""COMPUTED_VALUE"""),"K4")</f>
        <v>K4</v>
      </c>
      <c r="Z78" s="12">
        <f>IFERROR(__xludf.DUMMYFUNCTION("""COMPUTED_VALUE"""),120427.0)</f>
        <v>120427</v>
      </c>
      <c r="AA78" s="6" t="str">
        <f>IFERROR(__xludf.DUMMYFUNCTION("""COMPUTED_VALUE"""),"SURA")</f>
        <v>SURA</v>
      </c>
      <c r="AB78" s="6" t="str">
        <f>IFERROR(__xludf.DUMMYFUNCTION("""COMPUTED_VALUE"""),"EMI")</f>
        <v>EMI</v>
      </c>
      <c r="AC78" s="6"/>
      <c r="AD78" s="12" t="str">
        <f>IFERROR(__xludf.DUMMYFUNCTION("""COMPUTED_VALUE"""),"K4B")</f>
        <v>K4B</v>
      </c>
      <c r="AE78" s="12" t="str">
        <f>IFERROR(__xludf.DUMMYFUNCTION("""COMPUTED_VALUE"""),"1345282433")</f>
        <v>1345282433</v>
      </c>
      <c r="AF78" s="12" t="str">
        <f>IFERROR(__xludf.DUMMYFUNCTION("""COMPUTED_VALUE"""),"1345282433")</f>
        <v>1345282433</v>
      </c>
      <c r="AG78" s="12" t="str">
        <f>IFERROR(__xludf.DUMMYFUNCTION("""COMPUTED_VALUE"""),"Ana")</f>
        <v>Ana</v>
      </c>
      <c r="AH78" s="12" t="str">
        <f>IFERROR(__xludf.DUMMYFUNCTION("""COMPUTED_VALUE"""),"María")</f>
        <v>María</v>
      </c>
      <c r="AI78" s="6" t="str">
        <f>IFERROR(__xludf.DUMMYFUNCTION("""COMPUTED_VALUE"""),"Duque Duque")</f>
        <v>Duque Duque</v>
      </c>
      <c r="AJ78" s="6" t="str">
        <f>IFERROR(__xludf.DUMMYFUNCTION("""COMPUTED_VALUE"""),"nanisduque@hotmail.com")</f>
        <v>nanisduque@hotmail.com</v>
      </c>
      <c r="AK78" s="6" t="str">
        <f>IFERROR(__xludf.DUMMYFUNCTION("""COMPUTED_VALUE"""),"administrador de empresas")</f>
        <v>administrador de empresas</v>
      </c>
      <c r="AL78" s="6" t="str">
        <f>IFERROR(__xludf.DUMMYFUNCTION("""COMPUTED_VALUE"""),"Joyeria Brieva")</f>
        <v>Joyeria Brieva</v>
      </c>
      <c r="AM78" s="12" t="str">
        <f>IFERROR(__xludf.DUMMYFUNCTION("""COMPUTED_VALUE"""),"1037600690")</f>
        <v>1037600690</v>
      </c>
      <c r="AN78" s="12" t="str">
        <f>IFERROR(__xludf.DUMMYFUNCTION("""COMPUTED_VALUE"""),"3113060202")</f>
        <v>3113060202</v>
      </c>
      <c r="AO78" s="6" t="str">
        <f>IFERROR(__xludf.DUMMYFUNCTION("""COMPUTED_VALUE"""),"Madre")</f>
        <v>Madre</v>
      </c>
      <c r="AP78" s="6" t="str">
        <f>IFERROR(__xludf.DUMMYFUNCTION("""COMPUTED_VALUE"""),"Estudiante(s): Echeverry Duque")</f>
        <v>Estudiante(s): Echeverry Duque</v>
      </c>
      <c r="AQ78" s="6" t="str">
        <f>IFERROR(__xludf.DUMMYFUNCTION("""COMPUTED_VALUE"""),"103790*Gi")</f>
        <v>103790*Gi</v>
      </c>
      <c r="AR78" s="6" t="str">
        <f>IFERROR(__xludf.DUMMYFUNCTION("""COMPUTED_VALUE"""),"Mauricio")</f>
        <v>Mauricio</v>
      </c>
      <c r="AS78" s="6"/>
      <c r="AT78" s="6" t="str">
        <f>IFERROR(__xludf.DUMMYFUNCTION("""COMPUTED_VALUE"""),"Echeverry Álvarez")</f>
        <v>Echeverry Álvarez</v>
      </c>
      <c r="AU78" s="6" t="str">
        <f>IFERROR(__xludf.DUMMYFUNCTION("""COMPUTED_VALUE"""),"mauricio_echeverri_alvarez@hotmail.com")</f>
        <v>mauricio_echeverri_alvarez@hotmail.com</v>
      </c>
      <c r="AV78" s="6" t="str">
        <f>IFERROR(__xludf.DUMMYFUNCTION("""COMPUTED_VALUE"""),"ADMINISTRACION DE EMPRESAS")</f>
        <v>ADMINISTRACION DE EMPRESAS</v>
      </c>
      <c r="AW78" s="6" t="str">
        <f>IFERROR(__xludf.DUMMYFUNCTION("""COMPUTED_VALUE"""),"FINCAS")</f>
        <v>FINCAS</v>
      </c>
      <c r="AX78" s="12" t="str">
        <f>IFERROR(__xludf.DUMMYFUNCTION("""COMPUTED_VALUE"""),"9770897")</f>
        <v>9770897</v>
      </c>
      <c r="AY78" s="12" t="str">
        <f>IFERROR(__xludf.DUMMYFUNCTION("""COMPUTED_VALUE"""),"3113083669")</f>
        <v>3113083669</v>
      </c>
      <c r="AZ78" s="6" t="str">
        <f>IFERROR(__xludf.DUMMYFUNCTION("""COMPUTED_VALUE"""),"Padre")</f>
        <v>Padre</v>
      </c>
      <c r="BA78" s="6"/>
      <c r="BB78" s="6"/>
      <c r="BC78" s="6"/>
      <c r="BD78" s="12" t="str">
        <f>IFERROR(__xludf.DUMMYFUNCTION("""COMPUTED_VALUE"""),"ech0005")</f>
        <v>ech0005</v>
      </c>
      <c r="BE78" s="12" t="str">
        <f>IFERROR(__xludf.DUMMYFUNCTION("""COMPUTED_VALUE"""),"FALTAN FIRMAS")</f>
        <v>FALTAN FIRMAS</v>
      </c>
      <c r="BF78" s="6"/>
      <c r="BG78" s="6">
        <f>IFERROR(__xludf.DUMMYFUNCTION("""COMPUTED_VALUE"""),2040.0)</f>
        <v>2040</v>
      </c>
      <c r="BH78" s="15">
        <f>IFERROR(__xludf.DUMMYFUNCTION("""COMPUTED_VALUE"""),46212.51341435185)</f>
        <v>46212.51341</v>
      </c>
      <c r="BI78" s="6">
        <f>IFERROR(__xludf.DUMMYFUNCTION("""COMPUTED_VALUE"""),77.0)</f>
        <v>77</v>
      </c>
      <c r="BJ78" s="6"/>
      <c r="BK78" s="6"/>
      <c r="BL78" s="6" t="str">
        <f>IFERROR(__xludf.DUMMYFUNCTION("""COMPUTED_VALUE"""),"GISECH0005")</f>
        <v>GISECH0005</v>
      </c>
      <c r="BM78" s="6"/>
      <c r="BN78" s="6"/>
      <c r="BO78" s="6"/>
      <c r="BP78" s="6"/>
      <c r="BQ78" s="6"/>
      <c r="BR78" s="6"/>
      <c r="BS78" s="6"/>
      <c r="BT78" s="6"/>
      <c r="BU78" s="6" t="str">
        <f>IFERROR(__xludf.DUMMYFUNCTION("""COMPUTED_VALUE"""),"SI")</f>
        <v>SI</v>
      </c>
      <c r="BV78" s="6" t="str">
        <f>IFERROR(__xludf.DUMMYFUNCTION("""COMPUTED_VALUE"""),"martina.e2040")</f>
        <v>martina.e2040</v>
      </c>
      <c r="BW78" s="6"/>
      <c r="BX78" s="6"/>
      <c r="BY78" s="6"/>
      <c r="BZ78" s="6"/>
    </row>
    <row r="79">
      <c r="A79" s="12">
        <f>IFERROR(__xludf.DUMMYFUNCTION("""COMPUTED_VALUE"""),1.094983406E9)</f>
        <v>1094983406</v>
      </c>
      <c r="B79" s="6">
        <f>IFERROR(__xludf.DUMMYFUNCTION("""COMPUTED_VALUE"""),8.0)</f>
        <v>8</v>
      </c>
      <c r="C79" s="6" t="str">
        <f>IFERROR(__xludf.DUMMYFUNCTION("""COMPUTED_VALUE"""),"Miguel")</f>
        <v>Miguel</v>
      </c>
      <c r="D79" s="6"/>
      <c r="E79" s="6" t="str">
        <f>IFERROR(__xludf.DUMMYFUNCTION("""COMPUTED_VALUE"""),"Gómez Echeverría")</f>
        <v>Gómez Echeverría</v>
      </c>
      <c r="F79" s="6" t="str">
        <f>IFERROR(__xludf.DUMMYFUNCTION("""COMPUTED_VALUE"""),"Edificio Ibiza Apto 403 - Calle 1Nte No16 - 09")</f>
        <v>Edificio Ibiza Apto 403 - Calle 1Nte No16 - 09</v>
      </c>
      <c r="G79" s="12" t="str">
        <f>IFERROR(__xludf.DUMMYFUNCTION("""COMPUTED_VALUE"""),"2021")</f>
        <v>2021</v>
      </c>
      <c r="H79" s="6" t="str">
        <f>IFERROR(__xludf.DUMMYFUNCTION("""COMPUTED_VALUE"""),"Octubre")</f>
        <v>Octubre</v>
      </c>
      <c r="I79" s="12" t="str">
        <f>IFERROR(__xludf.DUMMYFUNCTION("""COMPUTED_VALUE"""),"7")</f>
        <v>7</v>
      </c>
      <c r="J79" s="6" t="str">
        <f>IFERROR(__xludf.DUMMYFUNCTION("""COMPUTED_VALUE"""),"Armenia")</f>
        <v>Armenia</v>
      </c>
      <c r="K79" s="6" t="str">
        <f>IFERROR(__xludf.DUMMYFUNCTION("""COMPUTED_VALUE"""),"miguel.g2039@gi.edu.co")</f>
        <v>miguel.g2039@gi.edu.co</v>
      </c>
      <c r="L79" s="6" t="str">
        <f>IFERROR(__xludf.DUMMYFUNCTION("""COMPUTED_VALUE"""),"RC")</f>
        <v>RC</v>
      </c>
      <c r="M79" s="6" t="str">
        <f>IFERROR(__xludf.DUMMYFUNCTION("""COMPUTED_VALUE"""),"Armenia")</f>
        <v>Armenia</v>
      </c>
      <c r="N79" s="6" t="str">
        <f>IFERROR(__xludf.DUMMYFUNCTION("""COMPUTED_VALUE"""),"M")</f>
        <v>M</v>
      </c>
      <c r="O79" s="6" t="str">
        <f>IFERROR(__xludf.DUMMYFUNCTION("""COMPUTED_VALUE"""),"ACTIVE")</f>
        <v>ACTIVE</v>
      </c>
      <c r="P79" s="6"/>
      <c r="Q79" s="6" t="str">
        <f>IFERROR(__xludf.DUMMYFUNCTION("""COMPUTED_VALUE"""),"Armenia")</f>
        <v>Armenia</v>
      </c>
      <c r="R79" s="12" t="str">
        <f>IFERROR(__xludf.DUMMYFUNCTION("""COMPUTED_VALUE"""),"Gid3sb67*")</f>
        <v>Gid3sb67*</v>
      </c>
      <c r="S79" s="6" t="str">
        <f>IFERROR(__xludf.DUMMYFUNCTION("""COMPUTED_VALUE"""),"Gómez Echeverría Miguel ")</f>
        <v>Gómez Echeverría Miguel </v>
      </c>
      <c r="T79" s="6" t="str">
        <f>IFERROR(__xludf.DUMMYFUNCTION("""COMPUTED_VALUE"""),"PABLO GOMEZ HOYOS")</f>
        <v>PABLO GOMEZ HOYOS</v>
      </c>
      <c r="U79" s="12" t="str">
        <f>IFERROR(__xludf.DUMMYFUNCTION("""COMPUTED_VALUE"""),"1094888950")</f>
        <v>1094888950</v>
      </c>
      <c r="V79" s="6">
        <f>IFERROR(__xludf.DUMMYFUNCTION("""COMPUTED_VALUE"""),3.023893722E9)</f>
        <v>3023893722</v>
      </c>
      <c r="W79" s="6" t="str">
        <f>IFERROR(__xludf.DUMMYFUNCTION("""COMPUTED_VALUE"""),"pablogh5@hotmail.com")</f>
        <v>pablogh5@hotmail.com</v>
      </c>
      <c r="X79" s="12" t="str">
        <f>IFERROR(__xludf.DUMMYFUNCTION("""COMPUTED_VALUE"""),"O+")</f>
        <v>O+</v>
      </c>
      <c r="Y79" s="12" t="str">
        <f>IFERROR(__xludf.DUMMYFUNCTION("""COMPUTED_VALUE"""),"K4")</f>
        <v>K4</v>
      </c>
      <c r="Z79" s="12">
        <f>IFERROR(__xludf.DUMMYFUNCTION("""COMPUTED_VALUE"""),120419.0)</f>
        <v>120419</v>
      </c>
      <c r="AA79" s="6" t="str">
        <f>IFERROR(__xludf.DUMMYFUNCTION("""COMPUTED_VALUE"""),"SURA")</f>
        <v>SURA</v>
      </c>
      <c r="AB79" s="6"/>
      <c r="AC79" s="12" t="str">
        <f>IFERROR(__xludf.DUMMYFUNCTION("""COMPUTED_VALUE"""),"LACTAMICOS")</f>
        <v>LACTAMICOS</v>
      </c>
      <c r="AD79" s="12" t="str">
        <f>IFERROR(__xludf.DUMMYFUNCTION("""COMPUTED_VALUE"""),"K4B")</f>
        <v>K4B</v>
      </c>
      <c r="AE79" s="12" t="str">
        <f>IFERROR(__xludf.DUMMYFUNCTION("""COMPUTED_VALUE"""),"1345282421")</f>
        <v>1345282421</v>
      </c>
      <c r="AF79" s="12" t="str">
        <f>IFERROR(__xludf.DUMMYFUNCTION("""COMPUTED_VALUE"""),"1345282421")</f>
        <v>1345282421</v>
      </c>
      <c r="AG79" s="12" t="str">
        <f>IFERROR(__xludf.DUMMYFUNCTION("""COMPUTED_VALUE"""),"Camila")</f>
        <v>Camila</v>
      </c>
      <c r="AH79" s="6"/>
      <c r="AI79" s="6" t="str">
        <f>IFERROR(__xludf.DUMMYFUNCTION("""COMPUTED_VALUE"""),"Echeverría Aristizábal")</f>
        <v>Echeverría Aristizábal</v>
      </c>
      <c r="AJ79" s="6" t="str">
        <f>IFERROR(__xludf.DUMMYFUNCTION("""COMPUTED_VALUE"""),"camilaecheverriaa@hotmail.com")</f>
        <v>camilaecheverriaa@hotmail.com</v>
      </c>
      <c r="AK79" s="6" t="str">
        <f>IFERROR(__xludf.DUMMYFUNCTION("""COMPUTED_VALUE"""),"CONTADOR PUBLICO")</f>
        <v>CONTADOR PUBLICO</v>
      </c>
      <c r="AL79" s="6" t="str">
        <f>IFERROR(__xludf.DUMMYFUNCTION("""COMPUTED_VALUE"""),"INDEPENDIENTE")</f>
        <v>INDEPENDIENTE</v>
      </c>
      <c r="AM79" s="12" t="str">
        <f>IFERROR(__xludf.DUMMYFUNCTION("""COMPUTED_VALUE"""),"1094961543")</f>
        <v>1094961543</v>
      </c>
      <c r="AN79" s="12" t="str">
        <f>IFERROR(__xludf.DUMMYFUNCTION("""COMPUTED_VALUE"""),"3232904797")</f>
        <v>3232904797</v>
      </c>
      <c r="AO79" s="6" t="str">
        <f>IFERROR(__xludf.DUMMYFUNCTION("""COMPUTED_VALUE"""),"Madre")</f>
        <v>Madre</v>
      </c>
      <c r="AP79" s="6" t="str">
        <f>IFERROR(__xludf.DUMMYFUNCTION("""COMPUTED_VALUE"""),"Estudiante(s): Gómez Echeverría")</f>
        <v>Estudiante(s): Gómez Echeverría</v>
      </c>
      <c r="AQ79" s="6" t="str">
        <f>IFERROR(__xludf.DUMMYFUNCTION("""COMPUTED_VALUE"""),"120419*Gi")</f>
        <v>120419*Gi</v>
      </c>
      <c r="AR79" s="6" t="str">
        <f>IFERROR(__xludf.DUMMYFUNCTION("""COMPUTED_VALUE"""),"Pablo")</f>
        <v>Pablo</v>
      </c>
      <c r="AS79" s="6"/>
      <c r="AT79" s="6" t="str">
        <f>IFERROR(__xludf.DUMMYFUNCTION("""COMPUTED_VALUE"""),"Gómez Hoyos")</f>
        <v>Gómez Hoyos</v>
      </c>
      <c r="AU79" s="6" t="str">
        <f>IFERROR(__xludf.DUMMYFUNCTION("""COMPUTED_VALUE"""),"pablogh5@hotmail.com")</f>
        <v>pablogh5@hotmail.com</v>
      </c>
      <c r="AV79" s="6" t="str">
        <f>IFERROR(__xludf.DUMMYFUNCTION("""COMPUTED_VALUE"""),"ADMINISTRADOR DE EMPRESAS AGROPECUARIAS")</f>
        <v>ADMINISTRADOR DE EMPRESAS AGROPECUARIAS</v>
      </c>
      <c r="AW79" s="6" t="str">
        <f>IFERROR(__xludf.DUMMYFUNCTION("""COMPUTED_VALUE"""),"finca brisas del pacifico")</f>
        <v>finca brisas del pacifico</v>
      </c>
      <c r="AX79" s="12" t="str">
        <f>IFERROR(__xludf.DUMMYFUNCTION("""COMPUTED_VALUE"""),"1094888950")</f>
        <v>1094888950</v>
      </c>
      <c r="AY79" s="12">
        <f>IFERROR(__xludf.DUMMYFUNCTION("""COMPUTED_VALUE"""),3.023893722E9)</f>
        <v>3023893722</v>
      </c>
      <c r="AZ79" s="6" t="str">
        <f>IFERROR(__xludf.DUMMYFUNCTION("""COMPUTED_VALUE"""),"Padre")</f>
        <v>Padre</v>
      </c>
      <c r="BA79" s="6"/>
      <c r="BB79" s="6"/>
      <c r="BC79" s="6"/>
      <c r="BD79" s="12" t="str">
        <f>IFERROR(__xludf.DUMMYFUNCTION("""COMPUTED_VALUE"""),"gom0013")</f>
        <v>gom0013</v>
      </c>
      <c r="BE79" s="6" t="str">
        <f>IFERROR(__xludf.DUMMYFUNCTION("""COMPUTED_VALUE"""),"PÓLIZA")</f>
        <v>PÓLIZA</v>
      </c>
      <c r="BF79" s="12" t="str">
        <f>IFERROR(__xludf.DUMMYFUNCTION("""COMPUTED_VALUE"""),"PÓLIZA")</f>
        <v>PÓLIZA</v>
      </c>
      <c r="BG79" s="6">
        <f>IFERROR(__xludf.DUMMYFUNCTION("""COMPUTED_VALUE"""),2040.0)</f>
        <v>2040</v>
      </c>
      <c r="BH79" s="15">
        <f>IFERROR(__xludf.DUMMYFUNCTION("""COMPUTED_VALUE"""),46209.609988425924)</f>
        <v>46209.60999</v>
      </c>
      <c r="BI79" s="6">
        <f>IFERROR(__xludf.DUMMYFUNCTION("""COMPUTED_VALUE"""),78.0)</f>
        <v>78</v>
      </c>
      <c r="BJ79" s="6"/>
      <c r="BK79" s="6"/>
      <c r="BL79" s="6" t="str">
        <f>IFERROR(__xludf.DUMMYFUNCTION("""COMPUTED_VALUE"""),"GISGOM0013")</f>
        <v>GISGOM0013</v>
      </c>
      <c r="BM79" s="6"/>
      <c r="BN79" s="6"/>
      <c r="BO79" s="6"/>
      <c r="BP79" s="6"/>
      <c r="BQ79" s="6"/>
      <c r="BR79" s="6"/>
      <c r="BS79" s="6"/>
      <c r="BT79" s="6"/>
      <c r="BU79" s="6" t="str">
        <f>IFERROR(__xludf.DUMMYFUNCTION("""COMPUTED_VALUE"""),"SI")</f>
        <v>SI</v>
      </c>
      <c r="BV79" s="6" t="str">
        <f>IFERROR(__xludf.DUMMYFUNCTION("""COMPUTED_VALUE"""),"miguel.g2039")</f>
        <v>miguel.g2039</v>
      </c>
      <c r="BW79" s="6"/>
      <c r="BX79" s="6"/>
      <c r="BY79" s="6"/>
      <c r="BZ79" s="6"/>
    </row>
    <row r="80">
      <c r="A80" s="12">
        <f>IFERROR(__xludf.DUMMYFUNCTION("""COMPUTED_VALUE"""),1.092866032E9)</f>
        <v>1092866032</v>
      </c>
      <c r="B80" s="6">
        <f>IFERROR(__xludf.DUMMYFUNCTION("""COMPUTED_VALUE"""),9.0)</f>
        <v>9</v>
      </c>
      <c r="C80" s="6" t="str">
        <f>IFERROR(__xludf.DUMMYFUNCTION("""COMPUTED_VALUE"""),"Luciana")</f>
        <v>Luciana</v>
      </c>
      <c r="D80" s="6"/>
      <c r="E80" s="6" t="str">
        <f>IFERROR(__xludf.DUMMYFUNCTION("""COMPUTED_VALUE"""),"Grisales Colonia")</f>
        <v>Grisales Colonia</v>
      </c>
      <c r="F80" s="6" t="str">
        <f>IFERROR(__xludf.DUMMYFUNCTION("""COMPUTED_VALUE"""),"Bosque Residencial La Pradera Casa 3 - Cra 6 No50Nte - 1 Av Centenario")</f>
        <v>Bosque Residencial La Pradera Casa 3 - Cra 6 No50Nte - 1 Av Centenario</v>
      </c>
      <c r="G80" s="12" t="str">
        <f>IFERROR(__xludf.DUMMYFUNCTION("""COMPUTED_VALUE"""),"2022")</f>
        <v>2022</v>
      </c>
      <c r="H80" s="6" t="str">
        <f>IFERROR(__xludf.DUMMYFUNCTION("""COMPUTED_VALUE"""),"Mayo")</f>
        <v>Mayo</v>
      </c>
      <c r="I80" s="12" t="str">
        <f>IFERROR(__xludf.DUMMYFUNCTION("""COMPUTED_VALUE"""),"21")</f>
        <v>21</v>
      </c>
      <c r="J80" s="6" t="str">
        <f>IFERROR(__xludf.DUMMYFUNCTION("""COMPUTED_VALUE"""),"Armenia")</f>
        <v>Armenia</v>
      </c>
      <c r="K80" s="6" t="str">
        <f>IFERROR(__xludf.DUMMYFUNCTION("""COMPUTED_VALUE"""),"luciana.g2040@gi.edu.co")</f>
        <v>luciana.g2040@gi.edu.co</v>
      </c>
      <c r="L80" s="6" t="str">
        <f>IFERROR(__xludf.DUMMYFUNCTION("""COMPUTED_VALUE"""),"RC")</f>
        <v>RC</v>
      </c>
      <c r="M80" s="6" t="str">
        <f>IFERROR(__xludf.DUMMYFUNCTION("""COMPUTED_VALUE"""),"Armenia")</f>
        <v>Armenia</v>
      </c>
      <c r="N80" s="6" t="str">
        <f>IFERROR(__xludf.DUMMYFUNCTION("""COMPUTED_VALUE"""),"F")</f>
        <v>F</v>
      </c>
      <c r="O80" s="6" t="str">
        <f>IFERROR(__xludf.DUMMYFUNCTION("""COMPUTED_VALUE"""),"ACTIVE")</f>
        <v>ACTIVE</v>
      </c>
      <c r="P80" s="6"/>
      <c r="Q80" s="6" t="str">
        <f>IFERROR(__xludf.DUMMYFUNCTION("""COMPUTED_VALUE"""),"Armenia")</f>
        <v>Armenia</v>
      </c>
      <c r="R80" s="12" t="str">
        <f>IFERROR(__xludf.DUMMYFUNCTION("""COMPUTED_VALUE"""),"Gizu51n8*")</f>
        <v>Gizu51n8*</v>
      </c>
      <c r="S80" s="6" t="str">
        <f>IFERROR(__xludf.DUMMYFUNCTION("""COMPUTED_VALUE"""),"Grisales Colonia Luciana ")</f>
        <v>Grisales Colonia Luciana </v>
      </c>
      <c r="T80" s="6" t="str">
        <f>IFERROR(__xludf.DUMMYFUNCTION("""COMPUTED_VALUE"""),"CARLOS FERNANDO GRISALES ALVAREZ")</f>
        <v>CARLOS FERNANDO GRISALES ALVAREZ</v>
      </c>
      <c r="U80" s="12" t="str">
        <f>IFERROR(__xludf.DUMMYFUNCTION("""COMPUTED_VALUE"""),"18389000")</f>
        <v>18389000</v>
      </c>
      <c r="V80" s="6">
        <f>IFERROR(__xludf.DUMMYFUNCTION("""COMPUTED_VALUE"""),3.216438299E9)</f>
        <v>3216438299</v>
      </c>
      <c r="W80" s="6" t="str">
        <f>IFERROR(__xludf.DUMMYFUNCTION("""COMPUTED_VALUE"""),"cafegrial1996@gmail.com")</f>
        <v>cafegrial1996@gmail.com</v>
      </c>
      <c r="X80" s="12" t="str">
        <f>IFERROR(__xludf.DUMMYFUNCTION("""COMPUTED_VALUE"""),"O+")</f>
        <v>O+</v>
      </c>
      <c r="Y80" s="12" t="str">
        <f>IFERROR(__xludf.DUMMYFUNCTION("""COMPUTED_VALUE"""),"K4")</f>
        <v>K4</v>
      </c>
      <c r="Z80" s="12">
        <f>IFERROR(__xludf.DUMMYFUNCTION("""COMPUTED_VALUE"""),120429.0)</f>
        <v>120429</v>
      </c>
      <c r="AA80" s="6" t="str">
        <f>IFERROR(__xludf.DUMMYFUNCTION("""COMPUTED_VALUE"""),"SURA")</f>
        <v>SURA</v>
      </c>
      <c r="AB80" s="6"/>
      <c r="AC80" s="6"/>
      <c r="AD80" s="12" t="str">
        <f>IFERROR(__xludf.DUMMYFUNCTION("""COMPUTED_VALUE"""),"K4B")</f>
        <v>K4B</v>
      </c>
      <c r="AE80" s="12" t="str">
        <f>IFERROR(__xludf.DUMMYFUNCTION("""COMPUTED_VALUE"""),"1345282430")</f>
        <v>1345282430</v>
      </c>
      <c r="AF80" s="12" t="str">
        <f>IFERROR(__xludf.DUMMYFUNCTION("""COMPUTED_VALUE"""),"1345282430")</f>
        <v>1345282430</v>
      </c>
      <c r="AG80" s="12" t="str">
        <f>IFERROR(__xludf.DUMMYFUNCTION("""COMPUTED_VALUE"""),"Carolina")</f>
        <v>Carolina</v>
      </c>
      <c r="AH80" s="6"/>
      <c r="AI80" s="6" t="str">
        <f>IFERROR(__xludf.DUMMYFUNCTION("""COMPUTED_VALUE"""),"Colonia Sánchez")</f>
        <v>Colonia Sánchez</v>
      </c>
      <c r="AJ80" s="6" t="str">
        <f>IFERROR(__xludf.DUMMYFUNCTION("""COMPUTED_VALUE"""),"carolinacoloniadotaciones@hotmail.com")</f>
        <v>carolinacoloniadotaciones@hotmail.com</v>
      </c>
      <c r="AK80" s="6" t="str">
        <f>IFERROR(__xludf.DUMMYFUNCTION("""COMPUTED_VALUE"""),"Profesional en mercadeo y negocios")</f>
        <v>Profesional en mercadeo y negocios</v>
      </c>
      <c r="AL80" s="6" t="str">
        <f>IFERROR(__xludf.DUMMYFUNCTION("""COMPUTED_VALUE"""),"CAROLINA COLONIA EMPRESA SAS")</f>
        <v>CAROLINA COLONIA EMPRESA SAS</v>
      </c>
      <c r="AM80" s="12" t="str">
        <f>IFERROR(__xludf.DUMMYFUNCTION("""COMPUTED_VALUE"""),"29363698")</f>
        <v>29363698</v>
      </c>
      <c r="AN80" s="12" t="str">
        <f>IFERROR(__xludf.DUMMYFUNCTION("""COMPUTED_VALUE"""),"3145868944")</f>
        <v>3145868944</v>
      </c>
      <c r="AO80" s="6" t="str">
        <f>IFERROR(__xludf.DUMMYFUNCTION("""COMPUTED_VALUE"""),"Madre")</f>
        <v>Madre</v>
      </c>
      <c r="AP80" s="6" t="str">
        <f>IFERROR(__xludf.DUMMYFUNCTION("""COMPUTED_VALUE"""),"Estudiante(s): Grisales Colonia")</f>
        <v>Estudiante(s): Grisales Colonia</v>
      </c>
      <c r="AQ80" s="6" t="str">
        <f>IFERROR(__xludf.DUMMYFUNCTION("""COMPUTED_VALUE"""),"120256*Gi")</f>
        <v>120256*Gi</v>
      </c>
      <c r="AR80" s="6" t="str">
        <f>IFERROR(__xludf.DUMMYFUNCTION("""COMPUTED_VALUE"""),"Carlos")</f>
        <v>Carlos</v>
      </c>
      <c r="AS80" s="6" t="str">
        <f>IFERROR(__xludf.DUMMYFUNCTION("""COMPUTED_VALUE"""),"Fernando")</f>
        <v>Fernando</v>
      </c>
      <c r="AT80" s="6" t="str">
        <f>IFERROR(__xludf.DUMMYFUNCTION("""COMPUTED_VALUE"""),"Grisales Álvarez")</f>
        <v>Grisales Álvarez</v>
      </c>
      <c r="AU80" s="6" t="str">
        <f>IFERROR(__xludf.DUMMYFUNCTION("""COMPUTED_VALUE"""),"cafegrial1966@gmail.com")</f>
        <v>cafegrial1966@gmail.com</v>
      </c>
      <c r="AV80" s="6" t="str">
        <f>IFERROR(__xludf.DUMMYFUNCTION("""COMPUTED_VALUE"""),"TECNOLOGO AGROPECUARIO ")</f>
        <v>TECNOLOGO AGROPECUARIO </v>
      </c>
      <c r="AW80" s="6" t="str">
        <f>IFERROR(__xludf.DUMMYFUNCTION("""COMPUTED_VALUE"""),"TRANSPORTES ARMENIA SA")</f>
        <v>TRANSPORTES ARMENIA SA</v>
      </c>
      <c r="AX80" s="12" t="str">
        <f>IFERROR(__xludf.DUMMYFUNCTION("""COMPUTED_VALUE"""),"18389000")</f>
        <v>18389000</v>
      </c>
      <c r="AY80" s="12" t="str">
        <f>IFERROR(__xludf.DUMMYFUNCTION("""COMPUTED_VALUE"""),"3216438299")</f>
        <v>3216438299</v>
      </c>
      <c r="AZ80" s="6" t="str">
        <f>IFERROR(__xludf.DUMMYFUNCTION("""COMPUTED_VALUE"""),"Padre")</f>
        <v>Padre</v>
      </c>
      <c r="BA80" s="6" t="str">
        <f>IFERROR(__xludf.DUMMYFUNCTION("""COMPUTED_VALUE"""),"ADRIANA LUCIA GRISALES ALVAREZ")</f>
        <v>ADRIANA LUCIA GRISALES ALVAREZ</v>
      </c>
      <c r="BB80" s="6">
        <f>IFERROR(__xludf.DUMMYFUNCTION("""COMPUTED_VALUE"""),3.104231531E9)</f>
        <v>3104231531</v>
      </c>
      <c r="BC80" s="6" t="str">
        <f>IFERROR(__xludf.DUMMYFUNCTION("""COMPUTED_VALUE"""),"Madre")</f>
        <v>Madre</v>
      </c>
      <c r="BD80" s="12" t="str">
        <f>IFERROR(__xludf.DUMMYFUNCTION("""COMPUTED_VALUE"""),"gri0002")</f>
        <v>gri0002</v>
      </c>
      <c r="BE80" s="6"/>
      <c r="BF80" s="6"/>
      <c r="BG80" s="6">
        <f>IFERROR(__xludf.DUMMYFUNCTION("""COMPUTED_VALUE"""),2040.0)</f>
        <v>2040</v>
      </c>
      <c r="BH80" s="15">
        <f>IFERROR(__xludf.DUMMYFUNCTION("""COMPUTED_VALUE"""),46209.364756944444)</f>
        <v>46209.36476</v>
      </c>
      <c r="BI80" s="6">
        <f>IFERROR(__xludf.DUMMYFUNCTION("""COMPUTED_VALUE"""),79.0)</f>
        <v>79</v>
      </c>
      <c r="BJ80" s="6"/>
      <c r="BK80" s="6"/>
      <c r="BL80" s="6" t="str">
        <f>IFERROR(__xludf.DUMMYFUNCTION("""COMPUTED_VALUE"""),"GISGRI0002")</f>
        <v>GISGRI0002</v>
      </c>
      <c r="BM80" s="6"/>
      <c r="BN80" s="6"/>
      <c r="BO80" s="6"/>
      <c r="BP80" s="6" t="str">
        <f>IFERROR(__xludf.DUMMYFUNCTION("""COMPUTED_VALUE"""),"XC_K4_IniciaDanzas")</f>
        <v>XC_K4_IniciaDanzas</v>
      </c>
      <c r="BQ80" s="6" t="str">
        <f>IFERROR(__xludf.DUMMYFUNCTION("""COMPUTED_VALUE"""),"XC_K4_Polimotor")</f>
        <v>XC_K4_Polimotor</v>
      </c>
      <c r="BR80" s="6"/>
      <c r="BS80" s="6"/>
      <c r="BT80" s="6"/>
      <c r="BU80" s="6" t="str">
        <f>IFERROR(__xludf.DUMMYFUNCTION("""COMPUTED_VALUE"""),"SI")</f>
        <v>SI</v>
      </c>
      <c r="BV80" s="6" t="str">
        <f>IFERROR(__xludf.DUMMYFUNCTION("""COMPUTED_VALUE"""),"luciana.g2040")</f>
        <v>luciana.g2040</v>
      </c>
      <c r="BW80" s="6"/>
      <c r="BX80" s="6"/>
      <c r="BY80" s="6"/>
      <c r="BZ80" s="6"/>
    </row>
    <row r="81">
      <c r="A81" s="12">
        <f>IFERROR(__xludf.DUMMYFUNCTION("""COMPUTED_VALUE"""),1.24786854E9)</f>
        <v>1247868540</v>
      </c>
      <c r="B81" s="6">
        <f>IFERROR(__xludf.DUMMYFUNCTION("""COMPUTED_VALUE"""),10.0)</f>
        <v>10</v>
      </c>
      <c r="C81" s="6" t="str">
        <f>IFERROR(__xludf.DUMMYFUNCTION("""COMPUTED_VALUE"""),"Agustín")</f>
        <v>Agustín</v>
      </c>
      <c r="D81" s="6"/>
      <c r="E81" s="6" t="str">
        <f>IFERROR(__xludf.DUMMYFUNCTION("""COMPUTED_VALUE"""),"Gutiérrez Botero")</f>
        <v>Gutiérrez Botero</v>
      </c>
      <c r="F81" s="6" t="str">
        <f>IFERROR(__xludf.DUMMYFUNCTION("""COMPUTED_VALUE"""),"Bosques del Eden Casa 12 - Via La Tebaida El Caimo")</f>
        <v>Bosques del Eden Casa 12 - Via La Tebaida El Caimo</v>
      </c>
      <c r="G81" s="12">
        <f>IFERROR(__xludf.DUMMYFUNCTION("""COMPUTED_VALUE"""),2022.0)</f>
        <v>2022</v>
      </c>
      <c r="H81" s="6" t="str">
        <f>IFERROR(__xludf.DUMMYFUNCTION("""COMPUTED_VALUE"""),"Agosto")</f>
        <v>Agosto</v>
      </c>
      <c r="I81" s="12">
        <f>IFERROR(__xludf.DUMMYFUNCTION("""COMPUTED_VALUE"""),30.0)</f>
        <v>30</v>
      </c>
      <c r="J81" s="6" t="str">
        <f>IFERROR(__xludf.DUMMYFUNCTION("""COMPUTED_VALUE"""),"Manizales")</f>
        <v>Manizales</v>
      </c>
      <c r="K81" s="6" t="str">
        <f>IFERROR(__xludf.DUMMYFUNCTION("""COMPUTED_VALUE"""),"agustin.g2040@gi.edu.co")</f>
        <v>agustin.g2040@gi.edu.co</v>
      </c>
      <c r="L81" s="6" t="str">
        <f>IFERROR(__xludf.DUMMYFUNCTION("""COMPUTED_VALUE"""),"RC")</f>
        <v>RC</v>
      </c>
      <c r="M81" s="6" t="str">
        <f>IFERROR(__xludf.DUMMYFUNCTION("""COMPUTED_VALUE"""),"Manizales")</f>
        <v>Manizales</v>
      </c>
      <c r="N81" s="6" t="str">
        <f>IFERROR(__xludf.DUMMYFUNCTION("""COMPUTED_VALUE"""),"M")</f>
        <v>M</v>
      </c>
      <c r="O81" s="6" t="str">
        <f>IFERROR(__xludf.DUMMYFUNCTION("""COMPUTED_VALUE"""),"ACTIVE")</f>
        <v>ACTIVE</v>
      </c>
      <c r="P81" s="6"/>
      <c r="Q81" s="6" t="str">
        <f>IFERROR(__xludf.DUMMYFUNCTION("""COMPUTED_VALUE"""),"Armenia")</f>
        <v>Armenia</v>
      </c>
      <c r="R81" s="12" t="str">
        <f>IFERROR(__xludf.DUMMYFUNCTION("""COMPUTED_VALUE"""),"Git4fwn9*")</f>
        <v>Git4fwn9*</v>
      </c>
      <c r="S81" s="6" t="str">
        <f>IFERROR(__xludf.DUMMYFUNCTION("""COMPUTED_VALUE"""),"Gutiérrez Botero Agustín ")</f>
        <v>Gutiérrez Botero Agustín </v>
      </c>
      <c r="T81" s="6" t="str">
        <f>IFERROR(__xludf.DUMMYFUNCTION("""COMPUTED_VALUE"""),"GABRIEL GUTIERREZ ASOCIADOS S.A.S.")</f>
        <v>GABRIEL GUTIERREZ ASOCIADOS S.A.S.</v>
      </c>
      <c r="U81" s="12" t="str">
        <f>IFERROR(__xludf.DUMMYFUNCTION("""COMPUTED_VALUE"""),"901773395")</f>
        <v>901773395</v>
      </c>
      <c r="V81" s="6">
        <f>IFERROR(__xludf.DUMMYFUNCTION("""COMPUTED_VALUE"""),3.104247332E9)</f>
        <v>3104247332</v>
      </c>
      <c r="W81" s="6" t="str">
        <f>IFERROR(__xludf.DUMMYFUNCTION("""COMPUTED_VALUE"""),"ggbsas7@gmail.com")</f>
        <v>ggbsas7@gmail.com</v>
      </c>
      <c r="X81" s="12" t="str">
        <f>IFERROR(__xludf.DUMMYFUNCTION("""COMPUTED_VALUE"""),"A+")</f>
        <v>A+</v>
      </c>
      <c r="Y81" s="12" t="str">
        <f>IFERROR(__xludf.DUMMYFUNCTION("""COMPUTED_VALUE"""),"K4")</f>
        <v>K4</v>
      </c>
      <c r="Z81" s="12">
        <f>IFERROR(__xludf.DUMMYFUNCTION("""COMPUTED_VALUE"""),120430.0)</f>
        <v>120430</v>
      </c>
      <c r="AA81" s="6" t="str">
        <f>IFERROR(__xludf.DUMMYFUNCTION("""COMPUTED_VALUE"""),"SURA")</f>
        <v>SURA</v>
      </c>
      <c r="AB81" s="6"/>
      <c r="AC81" s="6"/>
      <c r="AD81" s="12" t="str">
        <f>IFERROR(__xludf.DUMMYFUNCTION("""COMPUTED_VALUE"""),"K4B")</f>
        <v>K4B</v>
      </c>
      <c r="AE81" s="12" t="str">
        <f>IFERROR(__xludf.DUMMYFUNCTION("""COMPUTED_VALUE"""),"1345282442")</f>
        <v>1345282442</v>
      </c>
      <c r="AF81" s="12" t="str">
        <f>IFERROR(__xludf.DUMMYFUNCTION("""COMPUTED_VALUE"""),"1345282442")</f>
        <v>1345282442</v>
      </c>
      <c r="AG81" s="12" t="str">
        <f>IFERROR(__xludf.DUMMYFUNCTION("""COMPUTED_VALUE"""),"Sara")</f>
        <v>Sara</v>
      </c>
      <c r="AH81" s="6"/>
      <c r="AI81" s="6" t="str">
        <f>IFERROR(__xludf.DUMMYFUNCTION("""COMPUTED_VALUE"""),"Botero Villegas")</f>
        <v>Botero Villegas</v>
      </c>
      <c r="AJ81" s="6" t="str">
        <f>IFERROR(__xludf.DUMMYFUNCTION("""COMPUTED_VALUE"""),"sarisbv4@hotmail.com")</f>
        <v>sarisbv4@hotmail.com</v>
      </c>
      <c r="AK81" s="6" t="str">
        <f>IFERROR(__xludf.DUMMYFUNCTION("""COMPUTED_VALUE"""),"Administradora de Empresas")</f>
        <v>Administradora de Empresas</v>
      </c>
      <c r="AL81" s="6" t="str">
        <f>IFERROR(__xludf.DUMMYFUNCTION("""COMPUTED_VALUE"""),"Lico Distribuciones")</f>
        <v>Lico Distribuciones</v>
      </c>
      <c r="AM81" s="12" t="str">
        <f>IFERROR(__xludf.DUMMYFUNCTION("""COMPUTED_VALUE"""),"1053827153")</f>
        <v>1053827153</v>
      </c>
      <c r="AN81" s="12" t="str">
        <f>IFERROR(__xludf.DUMMYFUNCTION("""COMPUTED_VALUE"""),"3104527781")</f>
        <v>3104527781</v>
      </c>
      <c r="AO81" s="6" t="str">
        <f>IFERROR(__xludf.DUMMYFUNCTION("""COMPUTED_VALUE"""),"Madre")</f>
        <v>Madre</v>
      </c>
      <c r="AP81" s="6" t="str">
        <f>IFERROR(__xludf.DUMMYFUNCTION("""COMPUTED_VALUE"""),"Estudiante(s): Gutiérrez Botero")</f>
        <v>Estudiante(s): Gutiérrez Botero</v>
      </c>
      <c r="AQ81" s="6" t="str">
        <f>IFERROR(__xludf.DUMMYFUNCTION("""COMPUTED_VALUE"""),"120430*Gi")</f>
        <v>120430*Gi</v>
      </c>
      <c r="AR81" s="6" t="str">
        <f>IFERROR(__xludf.DUMMYFUNCTION("""COMPUTED_VALUE"""),"Joaquín")</f>
        <v>Joaquín</v>
      </c>
      <c r="AS81" s="6"/>
      <c r="AT81" s="6" t="str">
        <f>IFERROR(__xludf.DUMMYFUNCTION("""COMPUTED_VALUE"""),"Gutiérrez Agudelo")</f>
        <v>Gutiérrez Agudelo</v>
      </c>
      <c r="AU81" s="6" t="str">
        <f>IFERROR(__xludf.DUMMYFUNCTION("""COMPUTED_VALUE"""),"joaquingutierrez91@hotmail.com")</f>
        <v>joaquingutierrez91@hotmail.com</v>
      </c>
      <c r="AV81" s="6" t="str">
        <f>IFERROR(__xludf.DUMMYFUNCTION("""COMPUTED_VALUE"""),"ZOOTECNISTA")</f>
        <v>ZOOTECNISTA</v>
      </c>
      <c r="AW81" s="6" t="str">
        <f>IFERROR(__xludf.DUMMYFUNCTION("""COMPUTED_VALUE"""),"Quindio Y Valle del Cauca")</f>
        <v>Quindio Y Valle del Cauca</v>
      </c>
      <c r="AX81" s="12" t="str">
        <f>IFERROR(__xludf.DUMMYFUNCTION("""COMPUTED_VALUE"""),"1094920366")</f>
        <v>1094920366</v>
      </c>
      <c r="AY81" s="12" t="str">
        <f>IFERROR(__xludf.DUMMYFUNCTION("""COMPUTED_VALUE"""),"3173646840")</f>
        <v>3173646840</v>
      </c>
      <c r="AZ81" s="6" t="str">
        <f>IFERROR(__xludf.DUMMYFUNCTION("""COMPUTED_VALUE"""),"Padre")</f>
        <v>Padre</v>
      </c>
      <c r="BA81" s="6" t="str">
        <f>IFERROR(__xludf.DUMMYFUNCTION("""COMPUTED_VALUE"""),"GABRIEL GUTIERREZ ASOCIADOS S.A.S.")</f>
        <v>GABRIEL GUTIERREZ ASOCIADOS S.A.S.</v>
      </c>
      <c r="BB81" s="6">
        <f>IFERROR(__xludf.DUMMYFUNCTION("""COMPUTED_VALUE"""),3.104247332E9)</f>
        <v>3104247332</v>
      </c>
      <c r="BC81" s="6" t="str">
        <f>IFERROR(__xludf.DUMMYFUNCTION("""COMPUTED_VALUE"""),"Persona Jurídica 
ggbsas7@gmail.com")</f>
        <v>Persona Jurídica 
ggbsas7@gmail.com</v>
      </c>
      <c r="BD81" s="12" t="str">
        <f>IFERROR(__xludf.DUMMYFUNCTION("""COMPUTED_VALUE"""),"gut0009")</f>
        <v>gut0009</v>
      </c>
      <c r="BE81" s="6"/>
      <c r="BF81" s="6"/>
      <c r="BG81" s="6">
        <f>IFERROR(__xludf.DUMMYFUNCTION("""COMPUTED_VALUE"""),2040.0)</f>
        <v>2040</v>
      </c>
      <c r="BH81" s="15">
        <f>IFERROR(__xludf.DUMMYFUNCTION("""COMPUTED_VALUE"""),46199.68337962963)</f>
        <v>46199.68338</v>
      </c>
      <c r="BI81" s="6">
        <f>IFERROR(__xludf.DUMMYFUNCTION("""COMPUTED_VALUE"""),80.0)</f>
        <v>80</v>
      </c>
      <c r="BJ81" s="6"/>
      <c r="BK81" s="6"/>
      <c r="BL81" s="6" t="str">
        <f>IFERROR(__xludf.DUMMYFUNCTION("""COMPUTED_VALUE"""),"GISGUT0009")</f>
        <v>GISGUT0009</v>
      </c>
      <c r="BM81" s="6"/>
      <c r="BN81" s="6"/>
      <c r="BO81" s="6"/>
      <c r="BP81" s="6"/>
      <c r="BQ81" s="6"/>
      <c r="BR81" s="6"/>
      <c r="BS81" s="6"/>
      <c r="BT81" s="6"/>
      <c r="BU81" s="6" t="str">
        <f>IFERROR(__xludf.DUMMYFUNCTION("""COMPUTED_VALUE"""),"SI")</f>
        <v>SI</v>
      </c>
      <c r="BV81" s="6" t="str">
        <f>IFERROR(__xludf.DUMMYFUNCTION("""COMPUTED_VALUE"""),"agustin.g2040")</f>
        <v>agustin.g2040</v>
      </c>
      <c r="BW81" s="6"/>
      <c r="BX81" s="6"/>
      <c r="BY81" s="6"/>
      <c r="BZ81" s="6"/>
    </row>
    <row r="82">
      <c r="A82" s="12">
        <f>IFERROR(__xludf.DUMMYFUNCTION("""COMPUTED_VALUE"""),1.031426775E9)</f>
        <v>1031426775</v>
      </c>
      <c r="B82" s="6">
        <f>IFERROR(__xludf.DUMMYFUNCTION("""COMPUTED_VALUE"""),11.0)</f>
        <v>11</v>
      </c>
      <c r="C82" s="6" t="str">
        <f>IFERROR(__xludf.DUMMYFUNCTION("""COMPUTED_VALUE"""),"Pedro")</f>
        <v>Pedro</v>
      </c>
      <c r="D82" s="6"/>
      <c r="E82" s="6" t="str">
        <f>IFERROR(__xludf.DUMMYFUNCTION("""COMPUTED_VALUE"""),"Jaramillo Botero")</f>
        <v>Jaramillo Botero</v>
      </c>
      <c r="F82" s="6" t="str">
        <f>IFERROR(__xludf.DUMMYFUNCTION("""COMPUTED_VALUE"""),"Condominio Guaduales del Eden Casa 8 - Km 9 Via La Tebaida")</f>
        <v>Condominio Guaduales del Eden Casa 8 - Km 9 Via La Tebaida</v>
      </c>
      <c r="G82" s="12" t="str">
        <f>IFERROR(__xludf.DUMMYFUNCTION("""COMPUTED_VALUE"""),"2022")</f>
        <v>2022</v>
      </c>
      <c r="H82" s="6" t="str">
        <f>IFERROR(__xludf.DUMMYFUNCTION("""COMPUTED_VALUE"""),"Marzo")</f>
        <v>Marzo</v>
      </c>
      <c r="I82" s="12" t="str">
        <f>IFERROR(__xludf.DUMMYFUNCTION("""COMPUTED_VALUE"""),"13")</f>
        <v>13</v>
      </c>
      <c r="J82" s="6" t="str">
        <f>IFERROR(__xludf.DUMMYFUNCTION("""COMPUTED_VALUE"""),"Bogotá D.C.")</f>
        <v>Bogotá D.C.</v>
      </c>
      <c r="K82" s="6" t="str">
        <f>IFERROR(__xludf.DUMMYFUNCTION("""COMPUTED_VALUE"""),"pedro.j2040@gi.edu.co")</f>
        <v>pedro.j2040@gi.edu.co</v>
      </c>
      <c r="L82" s="6" t="str">
        <f>IFERROR(__xludf.DUMMYFUNCTION("""COMPUTED_VALUE"""),"RC")</f>
        <v>RC</v>
      </c>
      <c r="M82" s="6" t="str">
        <f>IFERROR(__xludf.DUMMYFUNCTION("""COMPUTED_VALUE"""),"Bogotá D.C.")</f>
        <v>Bogotá D.C.</v>
      </c>
      <c r="N82" s="6" t="str">
        <f>IFERROR(__xludf.DUMMYFUNCTION("""COMPUTED_VALUE"""),"M")</f>
        <v>M</v>
      </c>
      <c r="O82" s="6" t="str">
        <f>IFERROR(__xludf.DUMMYFUNCTION("""COMPUTED_VALUE"""),"ACTIVE")</f>
        <v>ACTIVE</v>
      </c>
      <c r="P82" s="6"/>
      <c r="Q82" s="6" t="str">
        <f>IFERROR(__xludf.DUMMYFUNCTION("""COMPUTED_VALUE"""),"Bogotá D.C.")</f>
        <v>Bogotá D.C.</v>
      </c>
      <c r="R82" s="12" t="str">
        <f>IFERROR(__xludf.DUMMYFUNCTION("""COMPUTED_VALUE"""),"Gijrm177u*")</f>
        <v>Gijrm177u*</v>
      </c>
      <c r="S82" s="6" t="str">
        <f>IFERROR(__xludf.DUMMYFUNCTION("""COMPUTED_VALUE"""),"Jaramillo Botero Pedro ")</f>
        <v>Jaramillo Botero Pedro </v>
      </c>
      <c r="T82" s="6" t="str">
        <f>IFERROR(__xludf.DUMMYFUNCTION("""COMPUTED_VALUE"""),"LILIANA BOTERO AGUDELO")</f>
        <v>LILIANA BOTERO AGUDELO</v>
      </c>
      <c r="U82" s="12" t="str">
        <f>IFERROR(__xludf.DUMMYFUNCTION("""COMPUTED_VALUE"""),"1094928508")</f>
        <v>1094928508</v>
      </c>
      <c r="V82" s="6">
        <f>IFERROR(__xludf.DUMMYFUNCTION("""COMPUTED_VALUE"""),3.105892353E9)</f>
        <v>3105892353</v>
      </c>
      <c r="W82" s="6" t="str">
        <f>IFERROR(__xludf.DUMMYFUNCTION("""COMPUTED_VALUE"""),"boteroaliliana@gmail.com")</f>
        <v>boteroaliliana@gmail.com</v>
      </c>
      <c r="X82" s="12" t="str">
        <f>IFERROR(__xludf.DUMMYFUNCTION("""COMPUTED_VALUE"""),"O-")</f>
        <v>O-</v>
      </c>
      <c r="Y82" s="12" t="str">
        <f>IFERROR(__xludf.DUMMYFUNCTION("""COMPUTED_VALUE"""),"K4")</f>
        <v>K4</v>
      </c>
      <c r="Z82" s="6">
        <f>IFERROR(__xludf.DUMMYFUNCTION("""COMPUTED_VALUE"""),120501.0)</f>
        <v>120501</v>
      </c>
      <c r="AA82" s="6" t="str">
        <f>IFERROR(__xludf.DUMMYFUNCTION("""COMPUTED_VALUE"""),"SURA")</f>
        <v>SURA</v>
      </c>
      <c r="AB82" s="6"/>
      <c r="AC82" s="12" t="str">
        <f>IFERROR(__xludf.DUMMYFUNCTION("""COMPUTED_VALUE"""),"Ácaros")</f>
        <v>Ácaros</v>
      </c>
      <c r="AD82" s="12" t="str">
        <f>IFERROR(__xludf.DUMMYFUNCTION("""COMPUTED_VALUE"""),"K4B")</f>
        <v>K4B</v>
      </c>
      <c r="AE82" s="6" t="str">
        <f>IFERROR(__xludf.DUMMYFUNCTION("""COMPUTED_VALUE"""),"1345282500")</f>
        <v>1345282500</v>
      </c>
      <c r="AF82" s="12" t="str">
        <f>IFERROR(__xludf.DUMMYFUNCTION("""COMPUTED_VALUE"""),"1345282500")</f>
        <v>1345282500</v>
      </c>
      <c r="AG82" s="12" t="str">
        <f>IFERROR(__xludf.DUMMYFUNCTION("""COMPUTED_VALUE"""),"Liliana")</f>
        <v>Liliana</v>
      </c>
      <c r="AH82" s="6"/>
      <c r="AI82" s="6" t="str">
        <f>IFERROR(__xludf.DUMMYFUNCTION("""COMPUTED_VALUE"""),"Botero Agudelo")</f>
        <v>Botero Agudelo</v>
      </c>
      <c r="AJ82" s="6" t="str">
        <f>IFERROR(__xludf.DUMMYFUNCTION("""COMPUTED_VALUE"""),"boteroaliliana@gmail.com")</f>
        <v>boteroaliliana@gmail.com</v>
      </c>
      <c r="AK82" s="6" t="str">
        <f>IFERROR(__xludf.DUMMYFUNCTION("""COMPUTED_VALUE"""),"Ingeniera Industrial")</f>
        <v>Ingeniera Industrial</v>
      </c>
      <c r="AL82" s="6" t="str">
        <f>IFERROR(__xludf.DUMMYFUNCTION("""COMPUTED_VALUE"""),"Johnson &amp; Johnson Medtech")</f>
        <v>Johnson &amp; Johnson Medtech</v>
      </c>
      <c r="AM82" s="12" t="str">
        <f>IFERROR(__xludf.DUMMYFUNCTION("""COMPUTED_VALUE"""),"1094928508")</f>
        <v>1094928508</v>
      </c>
      <c r="AN82" s="12" t="str">
        <f>IFERROR(__xludf.DUMMYFUNCTION("""COMPUTED_VALUE"""),"3105892353")</f>
        <v>3105892353</v>
      </c>
      <c r="AO82" s="6" t="str">
        <f>IFERROR(__xludf.DUMMYFUNCTION("""COMPUTED_VALUE"""),"Madre")</f>
        <v>Madre</v>
      </c>
      <c r="AP82" s="12" t="str">
        <f>IFERROR(__xludf.DUMMYFUNCTION("""COMPUTED_VALUE"""),"Estudiante(s): Jaramillo Botero")</f>
        <v>Estudiante(s): Jaramillo Botero</v>
      </c>
      <c r="AQ82" s="6" t="str">
        <f>IFERROR(__xludf.DUMMYFUNCTION("""COMPUTED_VALUE"""),"120501*Gi")</f>
        <v>120501*Gi</v>
      </c>
      <c r="AR82" s="6" t="str">
        <f>IFERROR(__xludf.DUMMYFUNCTION("""COMPUTED_VALUE"""),"Sebastián")</f>
        <v>Sebastián</v>
      </c>
      <c r="AS82" s="6"/>
      <c r="AT82" s="6" t="str">
        <f>IFERROR(__xludf.DUMMYFUNCTION("""COMPUTED_VALUE"""),"Jaramillo Giraldo")</f>
        <v>Jaramillo Giraldo</v>
      </c>
      <c r="AU82" s="6" t="str">
        <f>IFERROR(__xludf.DUMMYFUNCTION("""COMPUTED_VALUE"""),"sjara92@gmail.com")</f>
        <v>sjara92@gmail.com</v>
      </c>
      <c r="AV82" s="6" t="str">
        <f>IFERROR(__xludf.DUMMYFUNCTION("""COMPUTED_VALUE"""),"Administrador de empresas")</f>
        <v>Administrador de empresas</v>
      </c>
      <c r="AW82" s="6" t="str">
        <f>IFERROR(__xludf.DUMMYFUNCTION("""COMPUTED_VALUE"""),"Grupo Niño Sanchez")</f>
        <v>Grupo Niño Sanchez</v>
      </c>
      <c r="AX82" s="12" t="str">
        <f>IFERROR(__xludf.DUMMYFUNCTION("""COMPUTED_VALUE"""),"1094926615")</f>
        <v>1094926615</v>
      </c>
      <c r="AY82" s="12" t="str">
        <f>IFERROR(__xludf.DUMMYFUNCTION("""COMPUTED_VALUE"""),"3167532810")</f>
        <v>3167532810</v>
      </c>
      <c r="AZ82" s="6" t="str">
        <f>IFERROR(__xludf.DUMMYFUNCTION("""COMPUTED_VALUE"""),"Padre")</f>
        <v>Padre</v>
      </c>
      <c r="BA82" s="6" t="str">
        <f>IFERROR(__xludf.DUMMYFUNCTION("""COMPUTED_VALUE"""),"Luz Patricia Agudelo")</f>
        <v>Luz Patricia Agudelo</v>
      </c>
      <c r="BB82" s="6">
        <f>IFERROR(__xludf.DUMMYFUNCTION("""COMPUTED_VALUE"""),3.164691727E9)</f>
        <v>3164691727</v>
      </c>
      <c r="BC82" s="6" t="str">
        <f>IFERROR(__xludf.DUMMYFUNCTION("""COMPUTED_VALUE"""),"Abuelo(a)")</f>
        <v>Abuelo(a)</v>
      </c>
      <c r="BD82" s="12" t="str">
        <f>IFERROR(__xludf.DUMMYFUNCTION("""COMPUTED_VALUE"""),"jar0027")</f>
        <v>jar0027</v>
      </c>
      <c r="BE82" s="6"/>
      <c r="BF82" s="6"/>
      <c r="BG82" s="6">
        <f>IFERROR(__xludf.DUMMYFUNCTION("""COMPUTED_VALUE"""),2040.0)</f>
        <v>2040</v>
      </c>
      <c r="BH82" s="15">
        <f>IFERROR(__xludf.DUMMYFUNCTION("""COMPUTED_VALUE"""),46210.621412037035)</f>
        <v>46210.62141</v>
      </c>
      <c r="BI82" s="6">
        <f>IFERROR(__xludf.DUMMYFUNCTION("""COMPUTED_VALUE"""),81.0)</f>
        <v>81</v>
      </c>
      <c r="BJ82" s="6"/>
      <c r="BK82" s="6"/>
      <c r="BL82" s="6" t="str">
        <f>IFERROR(__xludf.DUMMYFUNCTION("""COMPUTED_VALUE"""),"GISJAR0027")</f>
        <v>GISJAR0027</v>
      </c>
      <c r="BM82" s="6"/>
      <c r="BN82" s="6"/>
      <c r="BO82" s="6"/>
      <c r="BP82" s="6"/>
      <c r="BQ82" s="6" t="str">
        <f>IFERROR(__xludf.DUMMYFUNCTION("""COMPUTED_VALUE"""),"XC_K4_Futbol")</f>
        <v>XC_K4_Futbol</v>
      </c>
      <c r="BR82" s="6"/>
      <c r="BS82" s="6"/>
      <c r="BT82" s="6"/>
      <c r="BU82" s="6" t="str">
        <f>IFERROR(__xludf.DUMMYFUNCTION("""COMPUTED_VALUE"""),"SI")</f>
        <v>SI</v>
      </c>
      <c r="BV82" s="6" t="str">
        <f>IFERROR(__xludf.DUMMYFUNCTION("""COMPUTED_VALUE"""),"pedro.j2040")</f>
        <v>pedro.j2040</v>
      </c>
      <c r="BW82" s="6"/>
      <c r="BX82" s="6"/>
      <c r="BY82" s="6"/>
      <c r="BZ82" s="6"/>
    </row>
    <row r="83">
      <c r="A83" s="12">
        <f>IFERROR(__xludf.DUMMYFUNCTION("""COMPUTED_VALUE"""),1.108341268E9)</f>
        <v>1108341268</v>
      </c>
      <c r="B83" s="6">
        <f>IFERROR(__xludf.DUMMYFUNCTION("""COMPUTED_VALUE"""),12.0)</f>
        <v>12</v>
      </c>
      <c r="C83" s="6" t="str">
        <f>IFERROR(__xludf.DUMMYFUNCTION("""COMPUTED_VALUE"""),"Juan")</f>
        <v>Juan</v>
      </c>
      <c r="D83" s="6"/>
      <c r="E83" s="6" t="str">
        <f>IFERROR(__xludf.DUMMYFUNCTION("""COMPUTED_VALUE"""),"Maya Botero")</f>
        <v>Maya Botero</v>
      </c>
      <c r="F83" s="6" t="str">
        <f>IFERROR(__xludf.DUMMYFUNCTION("""COMPUTED_VALUE"""),"Conjunto Los Rosales Casa 39 - Km 3 Via Circasia")</f>
        <v>Conjunto Los Rosales Casa 39 - Km 3 Via Circasia</v>
      </c>
      <c r="G83" s="12">
        <f>IFERROR(__xludf.DUMMYFUNCTION("""COMPUTED_VALUE"""),2022.0)</f>
        <v>2022</v>
      </c>
      <c r="H83" s="6" t="str">
        <f>IFERROR(__xludf.DUMMYFUNCTION("""COMPUTED_VALUE"""),"Agosto")</f>
        <v>Agosto</v>
      </c>
      <c r="I83" s="12">
        <f>IFERROR(__xludf.DUMMYFUNCTION("""COMPUTED_VALUE"""),3.0)</f>
        <v>3</v>
      </c>
      <c r="J83" s="6" t="str">
        <f>IFERROR(__xludf.DUMMYFUNCTION("""COMPUTED_VALUE"""),"Cali")</f>
        <v>Cali</v>
      </c>
      <c r="K83" s="6" t="str">
        <f>IFERROR(__xludf.DUMMYFUNCTION("""COMPUTED_VALUE"""),"juan.m2040@gi.edu.co")</f>
        <v>juan.m2040@gi.edu.co</v>
      </c>
      <c r="L83" s="6" t="str">
        <f>IFERROR(__xludf.DUMMYFUNCTION("""COMPUTED_VALUE"""),"RC")</f>
        <v>RC</v>
      </c>
      <c r="M83" s="6" t="str">
        <f>IFERROR(__xludf.DUMMYFUNCTION("""COMPUTED_VALUE"""),"Cali")</f>
        <v>Cali</v>
      </c>
      <c r="N83" s="6" t="str">
        <f>IFERROR(__xludf.DUMMYFUNCTION("""COMPUTED_VALUE"""),"M")</f>
        <v>M</v>
      </c>
      <c r="O83" s="6" t="str">
        <f>IFERROR(__xludf.DUMMYFUNCTION("""COMPUTED_VALUE"""),"INACTIVE")</f>
        <v>INACTIVE</v>
      </c>
      <c r="P83" s="6"/>
      <c r="Q83" s="6" t="str">
        <f>IFERROR(__xludf.DUMMYFUNCTION("""COMPUTED_VALUE"""),"Circasia")</f>
        <v>Circasia</v>
      </c>
      <c r="R83" s="12" t="str">
        <f>IFERROR(__xludf.DUMMYFUNCTION("""COMPUTED_VALUE"""),"Gicmmy32*")</f>
        <v>Gicmmy32*</v>
      </c>
      <c r="S83" s="6" t="str">
        <f>IFERROR(__xludf.DUMMYFUNCTION("""COMPUTED_VALUE"""),"Maya Botero Juan ")</f>
        <v>Maya Botero Juan </v>
      </c>
      <c r="T83" s="6" t="str">
        <f>IFERROR(__xludf.DUMMYFUNCTION("""COMPUTED_VALUE"""),"AGROPECUARIA CORCEGA SAS")</f>
        <v>AGROPECUARIA CORCEGA SAS</v>
      </c>
      <c r="U83" s="12" t="str">
        <f>IFERROR(__xludf.DUMMYFUNCTION("""COMPUTED_VALUE"""),"900298194-4")</f>
        <v>900298194-4</v>
      </c>
      <c r="V83" s="6">
        <f>IFERROR(__xludf.DUMMYFUNCTION("""COMPUTED_VALUE"""),3.173665446E9)</f>
        <v>3173665446</v>
      </c>
      <c r="W83" s="6" t="str">
        <f>IFERROR(__xludf.DUMMYFUNCTION("""COMPUTED_VALUE"""),"facturacionindustriascorcega@hotmail.com")</f>
        <v>facturacionindustriascorcega@hotmail.com</v>
      </c>
      <c r="X83" s="12" t="str">
        <f>IFERROR(__xludf.DUMMYFUNCTION("""COMPUTED_VALUE"""),"A-")</f>
        <v>A-</v>
      </c>
      <c r="Y83" s="12" t="str">
        <f>IFERROR(__xludf.DUMMYFUNCTION("""COMPUTED_VALUE"""),"K4")</f>
        <v>K4</v>
      </c>
      <c r="Z83" s="6">
        <f>IFERROR(__xludf.DUMMYFUNCTION("""COMPUTED_VALUE"""),120550.0)</f>
        <v>120550</v>
      </c>
      <c r="AA83" s="6" t="str">
        <f>IFERROR(__xludf.DUMMYFUNCTION("""COMPUTED_VALUE"""),"SURA")</f>
        <v>SURA</v>
      </c>
      <c r="AB83" s="6" t="str">
        <f>IFERROR(__xludf.DUMMYFUNCTION("""COMPUTED_VALUE"""),"EMI")</f>
        <v>EMI</v>
      </c>
      <c r="AC83" s="6"/>
      <c r="AD83" s="12" t="str">
        <f>IFERROR(__xludf.DUMMYFUNCTION("""COMPUTED_VALUE"""),"K4B")</f>
        <v>K4B</v>
      </c>
      <c r="AE83" s="6">
        <f>IFERROR(__xludf.DUMMYFUNCTION("""COMPUTED_VALUE"""),1.345282548E9)</f>
        <v>1345282548</v>
      </c>
      <c r="AF83" s="12">
        <f>IFERROR(__xludf.DUMMYFUNCTION("""COMPUTED_VALUE"""),1.345282548E9)</f>
        <v>1345282548</v>
      </c>
      <c r="AG83" s="12" t="str">
        <f>IFERROR(__xludf.DUMMYFUNCTION("""COMPUTED_VALUE"""),"Mariana")</f>
        <v>Mariana</v>
      </c>
      <c r="AH83" s="6"/>
      <c r="AI83" s="6" t="str">
        <f>IFERROR(__xludf.DUMMYFUNCTION("""COMPUTED_VALUE"""),"Botero Hincapié")</f>
        <v>Botero Hincapié</v>
      </c>
      <c r="AJ83" s="6" t="str">
        <f>IFERROR(__xludf.DUMMYFUNCTION("""COMPUTED_VALUE"""),"mariboteroh@gmail.com")</f>
        <v>mariboteroh@gmail.com</v>
      </c>
      <c r="AK83" s="6" t="str">
        <f>IFERROR(__xludf.DUMMYFUNCTION("""COMPUTED_VALUE"""),"Administración de Empresas")</f>
        <v>Administración de Empresas</v>
      </c>
      <c r="AL83" s="6" t="str">
        <f>IFERROR(__xludf.DUMMYFUNCTION("""COMPUTED_VALUE"""),"El Calafate SAS")</f>
        <v>El Calafate SAS</v>
      </c>
      <c r="AM83" s="12">
        <f>IFERROR(__xludf.DUMMYFUNCTION("""COMPUTED_VALUE"""),1.094922572E9)</f>
        <v>1094922572</v>
      </c>
      <c r="AN83" s="12">
        <f>IFERROR(__xludf.DUMMYFUNCTION("""COMPUTED_VALUE"""),3.182063117E9)</f>
        <v>3182063117</v>
      </c>
      <c r="AO83" s="6" t="str">
        <f>IFERROR(__xludf.DUMMYFUNCTION("""COMPUTED_VALUE"""),"Madre")</f>
        <v>Madre</v>
      </c>
      <c r="AP83" s="12" t="str">
        <f>IFERROR(__xludf.DUMMYFUNCTION("""COMPUTED_VALUE"""),"Estudiante(s): Maya Botero")</f>
        <v>Estudiante(s): Maya Botero</v>
      </c>
      <c r="AQ83" s="6" t="str">
        <f>IFERROR(__xludf.DUMMYFUNCTION("""COMPUTED_VALUE"""),"120550*Gi")</f>
        <v>120550*Gi</v>
      </c>
      <c r="AR83" s="6" t="str">
        <f>IFERROR(__xludf.DUMMYFUNCTION("""COMPUTED_VALUE"""),"Esteban")</f>
        <v>Esteban</v>
      </c>
      <c r="AS83" s="6"/>
      <c r="AT83" s="6" t="str">
        <f>IFERROR(__xludf.DUMMYFUNCTION("""COMPUTED_VALUE"""),"Maya Mejía")</f>
        <v>Maya Mejía</v>
      </c>
      <c r="AU83" s="6" t="str">
        <f>IFERROR(__xludf.DUMMYFUNCTION("""COMPUTED_VALUE"""),"esteban.maya.mejia@gmail.com")</f>
        <v>esteban.maya.mejia@gmail.com</v>
      </c>
      <c r="AV83" s="6" t="str">
        <f>IFERROR(__xludf.DUMMYFUNCTION("""COMPUTED_VALUE"""),"Arquitecto")</f>
        <v>Arquitecto</v>
      </c>
      <c r="AW83" s="6"/>
      <c r="AX83" s="12">
        <f>IFERROR(__xludf.DUMMYFUNCTION("""COMPUTED_VALUE"""),9736562.0)</f>
        <v>9736562</v>
      </c>
      <c r="AY83" s="12">
        <f>IFERROR(__xludf.DUMMYFUNCTION("""COMPUTED_VALUE"""),3.105385283E9)</f>
        <v>3105385283</v>
      </c>
      <c r="AZ83" s="6" t="str">
        <f>IFERROR(__xludf.DUMMYFUNCTION("""COMPUTED_VALUE"""),"Padre")</f>
        <v>Padre</v>
      </c>
      <c r="BA83" s="6"/>
      <c r="BB83" s="6"/>
      <c r="BC83" s="6"/>
      <c r="BD83" s="12" t="str">
        <f>IFERROR(__xludf.DUMMYFUNCTION("""COMPUTED_VALUE"""),"may0001")</f>
        <v>may0001</v>
      </c>
      <c r="BE83" s="12" t="str">
        <f>IFERROR(__xludf.DUMMYFUNCTION("""COMPUTED_VALUE"""),"FALTAN FIRMAS")</f>
        <v>FALTAN FIRMAS</v>
      </c>
      <c r="BF83" s="6"/>
      <c r="BG83" s="6">
        <f>IFERROR(__xludf.DUMMYFUNCTION("""COMPUTED_VALUE"""),2040.0)</f>
        <v>2040</v>
      </c>
      <c r="BH83" s="15">
        <f>IFERROR(__xludf.DUMMYFUNCTION("""COMPUTED_VALUE"""),46213.42868055555)</f>
        <v>46213.42868</v>
      </c>
      <c r="BI83" s="6">
        <f>IFERROR(__xludf.DUMMYFUNCTION("""COMPUTED_VALUE"""),82.0)</f>
        <v>82</v>
      </c>
      <c r="BJ83" s="6"/>
      <c r="BK83" s="6"/>
      <c r="BL83" s="6" t="str">
        <f>IFERROR(__xludf.DUMMYFUNCTION("""COMPUTED_VALUE"""),"GISMAY0001")</f>
        <v>GISMAY0001</v>
      </c>
      <c r="BM83" s="6"/>
      <c r="BN83" s="6"/>
      <c r="BO83" s="6"/>
      <c r="BP83" s="6"/>
      <c r="BQ83" s="6" t="str">
        <f>IFERROR(__xludf.DUMMYFUNCTION("""COMPUTED_VALUE"""),"XC_K4_Futbol")</f>
        <v>XC_K4_Futbol</v>
      </c>
      <c r="BR83" s="6"/>
      <c r="BS83" s="6"/>
      <c r="BT83" s="6"/>
      <c r="BU83" s="6" t="str">
        <f>IFERROR(__xludf.DUMMYFUNCTION("""COMPUTED_VALUE"""),"SI")</f>
        <v>SI</v>
      </c>
      <c r="BV83" s="6" t="str">
        <f>IFERROR(__xludf.DUMMYFUNCTION("""COMPUTED_VALUE"""),"juan.m2040")</f>
        <v>juan.m2040</v>
      </c>
      <c r="BW83" s="6"/>
      <c r="BX83" s="6"/>
      <c r="BY83" s="6"/>
      <c r="BZ83" s="6"/>
    </row>
    <row r="84">
      <c r="A84" s="12">
        <f>IFERROR(__xludf.DUMMYFUNCTION("""COMPUTED_VALUE"""),1.092865982E9)</f>
        <v>1092865982</v>
      </c>
      <c r="B84" s="6">
        <f>IFERROR(__xludf.DUMMYFUNCTION("""COMPUTED_VALUE"""),13.0)</f>
        <v>13</v>
      </c>
      <c r="C84" s="6" t="str">
        <f>IFERROR(__xludf.DUMMYFUNCTION("""COMPUTED_VALUE"""),"Fátima")</f>
        <v>Fátima</v>
      </c>
      <c r="D84" s="6"/>
      <c r="E84" s="6" t="str">
        <f>IFERROR(__xludf.DUMMYFUNCTION("""COMPUTED_VALUE"""),"Moreno Mora")</f>
        <v>Moreno Mora</v>
      </c>
      <c r="F84" s="6" t="str">
        <f>IFERROR(__xludf.DUMMYFUNCTION("""COMPUTED_VALUE"""),"Condominio Hacienda Horizontes - Km 3 Via Circasia Vereda la Florida")</f>
        <v>Condominio Hacienda Horizontes - Km 3 Via Circasia Vereda la Florida</v>
      </c>
      <c r="G84" s="12" t="str">
        <f>IFERROR(__xludf.DUMMYFUNCTION("""COMPUTED_VALUE"""),"2022")</f>
        <v>2022</v>
      </c>
      <c r="H84" s="6" t="str">
        <f>IFERROR(__xludf.DUMMYFUNCTION("""COMPUTED_VALUE"""),"Mayo")</f>
        <v>Mayo</v>
      </c>
      <c r="I84" s="12" t="str">
        <f>IFERROR(__xludf.DUMMYFUNCTION("""COMPUTED_VALUE"""),"10")</f>
        <v>10</v>
      </c>
      <c r="J84" s="6" t="str">
        <f>IFERROR(__xludf.DUMMYFUNCTION("""COMPUTED_VALUE"""),"Cali")</f>
        <v>Cali</v>
      </c>
      <c r="K84" s="6" t="str">
        <f>IFERROR(__xludf.DUMMYFUNCTION("""COMPUTED_VALUE"""),"fatima.m2040@gi.edu.co")</f>
        <v>fatima.m2040@gi.edu.co</v>
      </c>
      <c r="L84" s="6" t="str">
        <f>IFERROR(__xludf.DUMMYFUNCTION("""COMPUTED_VALUE"""),"RC")</f>
        <v>RC</v>
      </c>
      <c r="M84" s="6" t="str">
        <f>IFERROR(__xludf.DUMMYFUNCTION("""COMPUTED_VALUE"""),"Armenia")</f>
        <v>Armenia</v>
      </c>
      <c r="N84" s="6" t="str">
        <f>IFERROR(__xludf.DUMMYFUNCTION("""COMPUTED_VALUE"""),"F")</f>
        <v>F</v>
      </c>
      <c r="O84" s="6" t="str">
        <f>IFERROR(__xludf.DUMMYFUNCTION("""COMPUTED_VALUE"""),"ACTIVE")</f>
        <v>ACTIVE</v>
      </c>
      <c r="P84" s="6"/>
      <c r="Q84" s="6" t="str">
        <f>IFERROR(__xludf.DUMMYFUNCTION("""COMPUTED_VALUE"""),"Armenia")</f>
        <v>Armenia</v>
      </c>
      <c r="R84" s="12" t="str">
        <f>IFERROR(__xludf.DUMMYFUNCTION("""COMPUTED_VALUE"""),"Gixz4md6*")</f>
        <v>Gixz4md6*</v>
      </c>
      <c r="S84" s="6" t="str">
        <f>IFERROR(__xludf.DUMMYFUNCTION("""COMPUTED_VALUE"""),"Moreno Mora Fátima ")</f>
        <v>Moreno Mora Fátima </v>
      </c>
      <c r="T84" s="6" t="str">
        <f>IFERROR(__xludf.DUMMYFUNCTION("""COMPUTED_VALUE"""),"CAFE QUINDIO SAS -")</f>
        <v>CAFE QUINDIO SAS -</v>
      </c>
      <c r="U84" s="12" t="str">
        <f>IFERROR(__xludf.DUMMYFUNCTION("""COMPUTED_VALUE"""),"900273380")</f>
        <v>900273380</v>
      </c>
      <c r="V84" s="6">
        <f>IFERROR(__xludf.DUMMYFUNCTION("""COMPUTED_VALUE"""),3.127603343E9)</f>
        <v>3127603343</v>
      </c>
      <c r="W84" s="6" t="str">
        <f>IFERROR(__xludf.DUMMYFUNCTION("""COMPUTED_VALUE"""),"cq@cafequindio.com.co")</f>
        <v>cq@cafequindio.com.co</v>
      </c>
      <c r="X84" s="12" t="str">
        <f>IFERROR(__xludf.DUMMYFUNCTION("""COMPUTED_VALUE"""),"A+")</f>
        <v>A+</v>
      </c>
      <c r="Y84" s="12" t="str">
        <f>IFERROR(__xludf.DUMMYFUNCTION("""COMPUTED_VALUE"""),"K4")</f>
        <v>K4</v>
      </c>
      <c r="Z84" s="12">
        <f>IFERROR(__xludf.DUMMYFUNCTION("""COMPUTED_VALUE"""),120436.0)</f>
        <v>120436</v>
      </c>
      <c r="AA84" s="6" t="str">
        <f>IFERROR(__xludf.DUMMYFUNCTION("""COMPUTED_VALUE"""),"SURA")</f>
        <v>SURA</v>
      </c>
      <c r="AB84" s="6"/>
      <c r="AC84" s="6"/>
      <c r="AD84" s="12" t="str">
        <f>IFERROR(__xludf.DUMMYFUNCTION("""COMPUTED_VALUE"""),"K4B")</f>
        <v>K4B</v>
      </c>
      <c r="AE84" s="12" t="str">
        <f>IFERROR(__xludf.DUMMYFUNCTION("""COMPUTED_VALUE"""),"1345282440")</f>
        <v>1345282440</v>
      </c>
      <c r="AF84" s="12" t="str">
        <f>IFERROR(__xludf.DUMMYFUNCTION("""COMPUTED_VALUE"""),"1345282440")</f>
        <v>1345282440</v>
      </c>
      <c r="AG84" s="12" t="str">
        <f>IFERROR(__xludf.DUMMYFUNCTION("""COMPUTED_VALUE"""),"Melissa")</f>
        <v>Melissa</v>
      </c>
      <c r="AH84" s="6"/>
      <c r="AI84" s="6" t="str">
        <f>IFERROR(__xludf.DUMMYFUNCTION("""COMPUTED_VALUE"""),"Mora Martínez")</f>
        <v>Mora Martínez</v>
      </c>
      <c r="AJ84" s="6" t="str">
        <f>IFERROR(__xludf.DUMMYFUNCTION("""COMPUTED_VALUE"""),"mely_mmm@hotmail.com")</f>
        <v>mely_mmm@hotmail.com</v>
      </c>
      <c r="AK84" s="6" t="str">
        <f>IFERROR(__xludf.DUMMYFUNCTION("""COMPUTED_VALUE"""),"administrador de empresas")</f>
        <v>administrador de empresas</v>
      </c>
      <c r="AL84" s="6" t="str">
        <f>IFERROR(__xludf.DUMMYFUNCTION("""COMPUTED_VALUE"""),"Ama de casa")</f>
        <v>Ama de casa</v>
      </c>
      <c r="AM84" s="12" t="str">
        <f>IFERROR(__xludf.DUMMYFUNCTION("""COMPUTED_VALUE"""),"1082935776")</f>
        <v>1082935776</v>
      </c>
      <c r="AN84" s="12" t="str">
        <f>IFERROR(__xludf.DUMMYFUNCTION("""COMPUTED_VALUE"""),"3215405001")</f>
        <v>3215405001</v>
      </c>
      <c r="AO84" s="6" t="str">
        <f>IFERROR(__xludf.DUMMYFUNCTION("""COMPUTED_VALUE"""),"Madre")</f>
        <v>Madre</v>
      </c>
      <c r="AP84" s="6" t="str">
        <f>IFERROR(__xludf.DUMMYFUNCTION("""COMPUTED_VALUE"""),"Estudiante(s): Moreno Mora")</f>
        <v>Estudiante(s): Moreno Mora</v>
      </c>
      <c r="AQ84" s="6" t="str">
        <f>IFERROR(__xludf.DUMMYFUNCTION("""COMPUTED_VALUE"""),"120436*Gi")</f>
        <v>120436*Gi</v>
      </c>
      <c r="AR84" s="6" t="str">
        <f>IFERROR(__xludf.DUMMYFUNCTION("""COMPUTED_VALUE"""),"Jaime")</f>
        <v>Jaime</v>
      </c>
      <c r="AS84" s="6" t="str">
        <f>IFERROR(__xludf.DUMMYFUNCTION("""COMPUTED_VALUE"""),"Andrés")</f>
        <v>Andrés</v>
      </c>
      <c r="AT84" s="6" t="str">
        <f>IFERROR(__xludf.DUMMYFUNCTION("""COMPUTED_VALUE"""),"Moreno Motta")</f>
        <v>Moreno Motta</v>
      </c>
      <c r="AU84" s="6" t="str">
        <f>IFERROR(__xludf.DUMMYFUNCTION("""COMPUTED_VALUE"""),"jaimeamoreno@gmail.com")</f>
        <v>jaimeamoreno@gmail.com</v>
      </c>
      <c r="AV84" s="6" t="str">
        <f>IFERROR(__xludf.DUMMYFUNCTION("""COMPUTED_VALUE"""),"administrador de empresas")</f>
        <v>administrador de empresas</v>
      </c>
      <c r="AW84" s="6" t="str">
        <f>IFERROR(__xludf.DUMMYFUNCTION("""COMPUTED_VALUE"""),"Cafe Quindio")</f>
        <v>Cafe Quindio</v>
      </c>
      <c r="AX84" s="12" t="str">
        <f>IFERROR(__xludf.DUMMYFUNCTION("""COMPUTED_VALUE"""),"1094887542")</f>
        <v>1094887542</v>
      </c>
      <c r="AY84" s="12" t="str">
        <f>IFERROR(__xludf.DUMMYFUNCTION("""COMPUTED_VALUE"""),"3206936900")</f>
        <v>3206936900</v>
      </c>
      <c r="AZ84" s="6" t="str">
        <f>IFERROR(__xludf.DUMMYFUNCTION("""COMPUTED_VALUE"""),"Padre")</f>
        <v>Padre</v>
      </c>
      <c r="BA84" s="6" t="str">
        <f>IFERROR(__xludf.DUMMYFUNCTION("""COMPUTED_VALUE"""),"CAFE QUINDIO SAS -")</f>
        <v>CAFE QUINDIO SAS -</v>
      </c>
      <c r="BB84" s="6">
        <f>IFERROR(__xludf.DUMMYFUNCTION("""COMPUTED_VALUE"""),3.127603343E9)</f>
        <v>3127603343</v>
      </c>
      <c r="BC84" s="6" t="str">
        <f>IFERROR(__xludf.DUMMYFUNCTION("""COMPUTED_VALUE"""),"Persona Jurídica")</f>
        <v>Persona Jurídica</v>
      </c>
      <c r="BD84" s="12" t="str">
        <f>IFERROR(__xludf.DUMMYFUNCTION("""COMPUTED_VALUE"""),"mor0012")</f>
        <v>mor0012</v>
      </c>
      <c r="BE84" s="6"/>
      <c r="BF84" s="12" t="str">
        <f>IFERROR(__xludf.DUMMYFUNCTION("""COMPUTED_VALUE"""),"HIJA DE EGRESADO")</f>
        <v>HIJA DE EGRESADO</v>
      </c>
      <c r="BG84" s="6">
        <f>IFERROR(__xludf.DUMMYFUNCTION("""COMPUTED_VALUE"""),2040.0)</f>
        <v>2040</v>
      </c>
      <c r="BH84" s="15">
        <f>IFERROR(__xludf.DUMMYFUNCTION("""COMPUTED_VALUE"""),46211.52278935185)</f>
        <v>46211.52279</v>
      </c>
      <c r="BI84" s="6">
        <f>IFERROR(__xludf.DUMMYFUNCTION("""COMPUTED_VALUE"""),83.0)</f>
        <v>83</v>
      </c>
      <c r="BJ84" s="6"/>
      <c r="BK84" s="6"/>
      <c r="BL84" s="6" t="str">
        <f>IFERROR(__xludf.DUMMYFUNCTION("""COMPUTED_VALUE"""),"GISMOR0012")</f>
        <v>GISMOR0012</v>
      </c>
      <c r="BM84" s="6"/>
      <c r="BN84" s="6"/>
      <c r="BO84" s="6"/>
      <c r="BP84" s="6"/>
      <c r="BQ84" s="6"/>
      <c r="BR84" s="6"/>
      <c r="BS84" s="6"/>
      <c r="BT84" s="6"/>
      <c r="BU84" s="6" t="str">
        <f>IFERROR(__xludf.DUMMYFUNCTION("""COMPUTED_VALUE"""),"SI")</f>
        <v>SI</v>
      </c>
      <c r="BV84" s="6" t="str">
        <f>IFERROR(__xludf.DUMMYFUNCTION("""COMPUTED_VALUE"""),"fatima.m2040")</f>
        <v>fatima.m2040</v>
      </c>
      <c r="BW84" s="6"/>
      <c r="BX84" s="6"/>
      <c r="BY84" s="6"/>
      <c r="BZ84" s="6"/>
    </row>
    <row r="85">
      <c r="A85" s="12">
        <f>IFERROR(__xludf.DUMMYFUNCTION("""COMPUTED_VALUE"""),1.091890095E9)</f>
        <v>1091890095</v>
      </c>
      <c r="B85" s="6">
        <f>IFERROR(__xludf.DUMMYFUNCTION("""COMPUTED_VALUE"""),14.0)</f>
        <v>14</v>
      </c>
      <c r="C85" s="6" t="str">
        <f>IFERROR(__xludf.DUMMYFUNCTION("""COMPUTED_VALUE"""),"Elena")</f>
        <v>Elena</v>
      </c>
      <c r="D85" s="6"/>
      <c r="E85" s="6" t="str">
        <f>IFERROR(__xludf.DUMMYFUNCTION("""COMPUTED_VALUE"""),"Ospina Jaramillo")</f>
        <v>Ospina Jaramillo</v>
      </c>
      <c r="F85" s="6" t="str">
        <f>IFERROR(__xludf.DUMMYFUNCTION("""COMPUTED_VALUE"""),"Condominio Campestre La Reserva Apto 1002 - Cra 5 No10Nte - 25 Av Centenario")</f>
        <v>Condominio Campestre La Reserva Apto 1002 - Cra 5 No10Nte - 25 Av Centenario</v>
      </c>
      <c r="G85" s="12" t="str">
        <f>IFERROR(__xludf.DUMMYFUNCTION("""COMPUTED_VALUE"""),"2022")</f>
        <v>2022</v>
      </c>
      <c r="H85" s="6" t="str">
        <f>IFERROR(__xludf.DUMMYFUNCTION("""COMPUTED_VALUE"""),"Junio")</f>
        <v>Junio</v>
      </c>
      <c r="I85" s="12" t="str">
        <f>IFERROR(__xludf.DUMMYFUNCTION("""COMPUTED_VALUE"""),"26")</f>
        <v>26</v>
      </c>
      <c r="J85" s="6" t="str">
        <f>IFERROR(__xludf.DUMMYFUNCTION("""COMPUTED_VALUE"""),"Armenia")</f>
        <v>Armenia</v>
      </c>
      <c r="K85" s="6" t="str">
        <f>IFERROR(__xludf.DUMMYFUNCTION("""COMPUTED_VALUE"""),"elena.o2040@gi.edu.co")</f>
        <v>elena.o2040@gi.edu.co</v>
      </c>
      <c r="L85" s="6" t="str">
        <f>IFERROR(__xludf.DUMMYFUNCTION("""COMPUTED_VALUE"""),"RC")</f>
        <v>RC</v>
      </c>
      <c r="M85" s="6" t="str">
        <f>IFERROR(__xludf.DUMMYFUNCTION("""COMPUTED_VALUE"""),"Armenia")</f>
        <v>Armenia</v>
      </c>
      <c r="N85" s="6" t="str">
        <f>IFERROR(__xludf.DUMMYFUNCTION("""COMPUTED_VALUE"""),"F")</f>
        <v>F</v>
      </c>
      <c r="O85" s="6" t="str">
        <f>IFERROR(__xludf.DUMMYFUNCTION("""COMPUTED_VALUE"""),"ACTIVE")</f>
        <v>ACTIVE</v>
      </c>
      <c r="P85" s="6"/>
      <c r="Q85" s="6" t="str">
        <f>IFERROR(__xludf.DUMMYFUNCTION("""COMPUTED_VALUE"""),"Armenia")</f>
        <v>Armenia</v>
      </c>
      <c r="R85" s="12" t="str">
        <f>IFERROR(__xludf.DUMMYFUNCTION("""COMPUTED_VALUE"""),"Giut3jvz*")</f>
        <v>Giut3jvz*</v>
      </c>
      <c r="S85" s="6" t="str">
        <f>IFERROR(__xludf.DUMMYFUNCTION("""COMPUTED_VALUE"""),"Ospina Jaramillo Elena ")</f>
        <v>Ospina Jaramillo Elena </v>
      </c>
      <c r="T85" s="6" t="str">
        <f>IFERROR(__xludf.DUMMYFUNCTION("""COMPUTED_VALUE"""),"MANUELA JARAMILLO GOMEZ")</f>
        <v>MANUELA JARAMILLO GOMEZ</v>
      </c>
      <c r="U85" s="12" t="str">
        <f>IFERROR(__xludf.DUMMYFUNCTION("""COMPUTED_VALUE"""),"1094915045")</f>
        <v>1094915045</v>
      </c>
      <c r="V85" s="6">
        <f>IFERROR(__xludf.DUMMYFUNCTION("""COMPUTED_VALUE"""),3.148947052E9)</f>
        <v>3148947052</v>
      </c>
      <c r="W85" s="6" t="str">
        <f>IFERROR(__xludf.DUMMYFUNCTION("""COMPUTED_VALUE"""),"manuelajaramillo_gomez@hotmail.com")</f>
        <v>manuelajaramillo_gomez@hotmail.com</v>
      </c>
      <c r="X85" s="12" t="str">
        <f>IFERROR(__xludf.DUMMYFUNCTION("""COMPUTED_VALUE"""),"O+")</f>
        <v>O+</v>
      </c>
      <c r="Y85" s="12" t="str">
        <f>IFERROR(__xludf.DUMMYFUNCTION("""COMPUTED_VALUE"""),"K4")</f>
        <v>K4</v>
      </c>
      <c r="Z85" s="12">
        <f>IFERROR(__xludf.DUMMYFUNCTION("""COMPUTED_VALUE"""),120478.0)</f>
        <v>120478</v>
      </c>
      <c r="AA85" s="6" t="str">
        <f>IFERROR(__xludf.DUMMYFUNCTION("""COMPUTED_VALUE"""),"SURA")</f>
        <v>SURA</v>
      </c>
      <c r="AB85" s="6"/>
      <c r="AC85" s="6"/>
      <c r="AD85" s="12" t="str">
        <f>IFERROR(__xludf.DUMMYFUNCTION("""COMPUTED_VALUE"""),"K4B")</f>
        <v>K4B</v>
      </c>
      <c r="AE85" s="12" t="str">
        <f>IFERROR(__xludf.DUMMYFUNCTION("""COMPUTED_VALUE"""),"1345282486")</f>
        <v>1345282486</v>
      </c>
      <c r="AF85" s="12" t="str">
        <f>IFERROR(__xludf.DUMMYFUNCTION("""COMPUTED_VALUE"""),"1345282486")</f>
        <v>1345282486</v>
      </c>
      <c r="AG85" s="12" t="str">
        <f>IFERROR(__xludf.DUMMYFUNCTION("""COMPUTED_VALUE"""),"Manuela")</f>
        <v>Manuela</v>
      </c>
      <c r="AH85" s="6"/>
      <c r="AI85" s="6" t="str">
        <f>IFERROR(__xludf.DUMMYFUNCTION("""COMPUTED_VALUE"""),"Jaramillo Gómez")</f>
        <v>Jaramillo Gómez</v>
      </c>
      <c r="AJ85" s="6" t="str">
        <f>IFERROR(__xludf.DUMMYFUNCTION("""COMPUTED_VALUE"""),"manuelajaramillo_gomez@hotmail.com")</f>
        <v>manuelajaramillo_gomez@hotmail.com</v>
      </c>
      <c r="AK85" s="6" t="str">
        <f>IFERROR(__xludf.DUMMYFUNCTION("""COMPUTED_VALUE"""),"Politóloga")</f>
        <v>Politóloga</v>
      </c>
      <c r="AL85" s="6" t="str">
        <f>IFERROR(__xludf.DUMMYFUNCTION("""COMPUTED_VALUE"""),"ANCESTRAL ORGANICS")</f>
        <v>ANCESTRAL ORGANICS</v>
      </c>
      <c r="AM85" s="12" t="str">
        <f>IFERROR(__xludf.DUMMYFUNCTION("""COMPUTED_VALUE"""),"1094915045")</f>
        <v>1094915045</v>
      </c>
      <c r="AN85" s="12" t="str">
        <f>IFERROR(__xludf.DUMMYFUNCTION("""COMPUTED_VALUE"""),"3148947052")</f>
        <v>3148947052</v>
      </c>
      <c r="AO85" s="6" t="str">
        <f>IFERROR(__xludf.DUMMYFUNCTION("""COMPUTED_VALUE"""),"Madre")</f>
        <v>Madre</v>
      </c>
      <c r="AP85" s="6" t="str">
        <f>IFERROR(__xludf.DUMMYFUNCTION("""COMPUTED_VALUE"""),"Estudiante(s): Ospina Jaramillo")</f>
        <v>Estudiante(s): Ospina Jaramillo</v>
      </c>
      <c r="AQ85" s="6" t="str">
        <f>IFERROR(__xludf.DUMMYFUNCTION("""COMPUTED_VALUE"""),"120478Gi*")</f>
        <v>120478Gi*</v>
      </c>
      <c r="AR85" s="6" t="str">
        <f>IFERROR(__xludf.DUMMYFUNCTION("""COMPUTED_VALUE"""),"Mateo")</f>
        <v>Mateo</v>
      </c>
      <c r="AS85" s="6"/>
      <c r="AT85" s="6" t="str">
        <f>IFERROR(__xludf.DUMMYFUNCTION("""COMPUTED_VALUE"""),"Ospina Mejía")</f>
        <v>Ospina Mejía</v>
      </c>
      <c r="AU85" s="6" t="str">
        <f>IFERROR(__xludf.DUMMYFUNCTION("""COMPUTED_VALUE"""),"ospinamejiamateo@gmail.com")</f>
        <v>ospinamejiamateo@gmail.com</v>
      </c>
      <c r="AV85" s="6" t="str">
        <f>IFERROR(__xludf.DUMMYFUNCTION("""COMPUTED_VALUE"""),"Administrador de Empresas")</f>
        <v>Administrador de Empresas</v>
      </c>
      <c r="AW85" s="6" t="str">
        <f>IFERROR(__xludf.DUMMYFUNCTION("""COMPUTED_VALUE"""),"Ancestral Foods SAS BIC")</f>
        <v>Ancestral Foods SAS BIC</v>
      </c>
      <c r="AX85" s="12" t="str">
        <f>IFERROR(__xludf.DUMMYFUNCTION("""COMPUTED_VALUE"""),"1018459198")</f>
        <v>1018459198</v>
      </c>
      <c r="AY85" s="12" t="str">
        <f>IFERROR(__xludf.DUMMYFUNCTION("""COMPUTED_VALUE"""),"3146747508")</f>
        <v>3146747508</v>
      </c>
      <c r="AZ85" s="6" t="str">
        <f>IFERROR(__xludf.DUMMYFUNCTION("""COMPUTED_VALUE"""),"Padre")</f>
        <v>Padre</v>
      </c>
      <c r="BA85" s="6"/>
      <c r="BB85" s="6"/>
      <c r="BC85" s="6"/>
      <c r="BD85" s="12" t="str">
        <f>IFERROR(__xludf.DUMMYFUNCTION("""COMPUTED_VALUE"""),"osp0003")</f>
        <v>osp0003</v>
      </c>
      <c r="BE85" s="6"/>
      <c r="BF85" s="6"/>
      <c r="BG85" s="6">
        <f>IFERROR(__xludf.DUMMYFUNCTION("""COMPUTED_VALUE"""),2040.0)</f>
        <v>2040</v>
      </c>
      <c r="BH85" s="16">
        <f>IFERROR(__xludf.DUMMYFUNCTION("""COMPUTED_VALUE"""),46213.40891203703)</f>
        <v>46213.40891</v>
      </c>
      <c r="BI85" s="6">
        <f>IFERROR(__xludf.DUMMYFUNCTION("""COMPUTED_VALUE"""),84.0)</f>
        <v>84</v>
      </c>
      <c r="BJ85" s="6"/>
      <c r="BK85" s="6"/>
      <c r="BL85" s="6" t="str">
        <f>IFERROR(__xludf.DUMMYFUNCTION("""COMPUTED_VALUE"""),"GISOSP0003")</f>
        <v>GISOSP0003</v>
      </c>
      <c r="BM85" s="6"/>
      <c r="BN85" s="6"/>
      <c r="BO85" s="6"/>
      <c r="BP85" s="6" t="str">
        <f>IFERROR(__xludf.DUMMYFUNCTION("""COMPUTED_VALUE"""),"XC_K4_IniciaDanzas")</f>
        <v>XC_K4_IniciaDanzas</v>
      </c>
      <c r="BQ85" s="6" t="str">
        <f>IFERROR(__xludf.DUMMYFUNCTION("""COMPUTED_VALUE"""),"XC_K4_Polimotor")</f>
        <v>XC_K4_Polimotor</v>
      </c>
      <c r="BR85" s="6"/>
      <c r="BS85" s="6"/>
      <c r="BT85" s="6"/>
      <c r="BU85" s="6" t="str">
        <f>IFERROR(__xludf.DUMMYFUNCTION("""COMPUTED_VALUE"""),"SI")</f>
        <v>SI</v>
      </c>
      <c r="BV85" s="6" t="str">
        <f>IFERROR(__xludf.DUMMYFUNCTION("""COMPUTED_VALUE"""),"elena.o2040")</f>
        <v>elena.o2040</v>
      </c>
      <c r="BW85" s="6"/>
      <c r="BX85" s="6"/>
      <c r="BY85" s="6"/>
      <c r="BZ85" s="6"/>
    </row>
    <row r="86">
      <c r="A86" s="12">
        <f>IFERROR(__xludf.DUMMYFUNCTION("""COMPUTED_VALUE"""),1.092865549E9)</f>
        <v>1092865549</v>
      </c>
      <c r="B86" s="6">
        <f>IFERROR(__xludf.DUMMYFUNCTION("""COMPUTED_VALUE"""),15.0)</f>
        <v>15</v>
      </c>
      <c r="C86" s="6" t="str">
        <f>IFERROR(__xludf.DUMMYFUNCTION("""COMPUTED_VALUE"""),"Amelia")</f>
        <v>Amelia</v>
      </c>
      <c r="D86" s="6"/>
      <c r="E86" s="6" t="str">
        <f>IFERROR(__xludf.DUMMYFUNCTION("""COMPUTED_VALUE"""),"Rodríguez Giraldo")</f>
        <v>Rodríguez Giraldo</v>
      </c>
      <c r="F86" s="6" t="str">
        <f>IFERROR(__xludf.DUMMYFUNCTION("""COMPUTED_VALUE"""),"Torre Bellagio Apto 803 - Calle 12Nte No10 - 32 La Castellana")</f>
        <v>Torre Bellagio Apto 803 - Calle 12Nte No10 - 32 La Castellana</v>
      </c>
      <c r="G86" s="12" t="str">
        <f>IFERROR(__xludf.DUMMYFUNCTION("""COMPUTED_VALUE"""),"2021")</f>
        <v>2021</v>
      </c>
      <c r="H86" s="6" t="str">
        <f>IFERROR(__xludf.DUMMYFUNCTION("""COMPUTED_VALUE"""),"Noviembre")</f>
        <v>Noviembre</v>
      </c>
      <c r="I86" s="12" t="str">
        <f>IFERROR(__xludf.DUMMYFUNCTION("""COMPUTED_VALUE"""),"27")</f>
        <v>27</v>
      </c>
      <c r="J86" s="6" t="str">
        <f>IFERROR(__xludf.DUMMYFUNCTION("""COMPUTED_VALUE"""),"Armenia")</f>
        <v>Armenia</v>
      </c>
      <c r="K86" s="6" t="str">
        <f>IFERROR(__xludf.DUMMYFUNCTION("""COMPUTED_VALUE"""),"amelia.r2040@gi.edu.co")</f>
        <v>amelia.r2040@gi.edu.co</v>
      </c>
      <c r="L86" s="6" t="str">
        <f>IFERROR(__xludf.DUMMYFUNCTION("""COMPUTED_VALUE"""),"RC")</f>
        <v>RC</v>
      </c>
      <c r="M86" s="6" t="str">
        <f>IFERROR(__xludf.DUMMYFUNCTION("""COMPUTED_VALUE"""),"Armenia")</f>
        <v>Armenia</v>
      </c>
      <c r="N86" s="6" t="str">
        <f>IFERROR(__xludf.DUMMYFUNCTION("""COMPUTED_VALUE"""),"F")</f>
        <v>F</v>
      </c>
      <c r="O86" s="6" t="str">
        <f>IFERROR(__xludf.DUMMYFUNCTION("""COMPUTED_VALUE"""),"ACTIVE")</f>
        <v>ACTIVE</v>
      </c>
      <c r="P86" s="6"/>
      <c r="Q86" s="6" t="str">
        <f>IFERROR(__xludf.DUMMYFUNCTION("""COMPUTED_VALUE"""),"Armenia")</f>
        <v>Armenia</v>
      </c>
      <c r="R86" s="12" t="str">
        <f>IFERROR(__xludf.DUMMYFUNCTION("""COMPUTED_VALUE"""),"Gibbr467*")</f>
        <v>Gibbr467*</v>
      </c>
      <c r="S86" s="6" t="str">
        <f>IFERROR(__xludf.DUMMYFUNCTION("""COMPUTED_VALUE"""),"Rodríguez Giraldo Amelia ")</f>
        <v>Rodríguez Giraldo Amelia </v>
      </c>
      <c r="T86" s="6" t="str">
        <f>IFERROR(__xludf.DUMMYFUNCTION("""COMPUTED_VALUE"""),"MARCIA CATALINA GIRALDO BEDOYA")</f>
        <v>MARCIA CATALINA GIRALDO BEDOYA</v>
      </c>
      <c r="U86" s="12" t="str">
        <f>IFERROR(__xludf.DUMMYFUNCTION("""COMPUTED_VALUE"""),"1010188412")</f>
        <v>1010188412</v>
      </c>
      <c r="V86" s="6">
        <f>IFERROR(__xludf.DUMMYFUNCTION("""COMPUTED_VALUE"""),3.104820265E9)</f>
        <v>3104820265</v>
      </c>
      <c r="W86" s="6" t="str">
        <f>IFERROR(__xludf.DUMMYFUNCTION("""COMPUTED_VALUE"""),"catagiraldo0@gmail.com")</f>
        <v>catagiraldo0@gmail.com</v>
      </c>
      <c r="X86" s="12" t="str">
        <f>IFERROR(__xludf.DUMMYFUNCTION("""COMPUTED_VALUE"""),"O+")</f>
        <v>O+</v>
      </c>
      <c r="Y86" s="12" t="str">
        <f>IFERROR(__xludf.DUMMYFUNCTION("""COMPUTED_VALUE"""),"K4")</f>
        <v>K4</v>
      </c>
      <c r="Z86" s="6">
        <f>IFERROR(__xludf.DUMMYFUNCTION("""COMPUTED_VALUE"""),120505.0)</f>
        <v>120505</v>
      </c>
      <c r="AA86" s="6" t="str">
        <f>IFERROR(__xludf.DUMMYFUNCTION("""COMPUTED_VALUE"""),"SANITAS")</f>
        <v>SANITAS</v>
      </c>
      <c r="AB86" s="6"/>
      <c r="AC86" s="6"/>
      <c r="AD86" s="12" t="str">
        <f>IFERROR(__xludf.DUMMYFUNCTION("""COMPUTED_VALUE"""),"K4B")</f>
        <v>K4B</v>
      </c>
      <c r="AE86" s="6" t="str">
        <f>IFERROR(__xludf.DUMMYFUNCTION("""COMPUTED_VALUE"""),"1345282504")</f>
        <v>1345282504</v>
      </c>
      <c r="AF86" s="12" t="str">
        <f>IFERROR(__xludf.DUMMYFUNCTION("""COMPUTED_VALUE"""),"1345282504")</f>
        <v>1345282504</v>
      </c>
      <c r="AG86" s="12" t="str">
        <f>IFERROR(__xludf.DUMMYFUNCTION("""COMPUTED_VALUE"""),"Marcia")</f>
        <v>Marcia</v>
      </c>
      <c r="AH86" s="12" t="str">
        <f>IFERROR(__xludf.DUMMYFUNCTION("""COMPUTED_VALUE"""),"Catalina")</f>
        <v>Catalina</v>
      </c>
      <c r="AI86" s="6" t="str">
        <f>IFERROR(__xludf.DUMMYFUNCTION("""COMPUTED_VALUE"""),"Giraldo Bedoya")</f>
        <v>Giraldo Bedoya</v>
      </c>
      <c r="AJ86" s="6" t="str">
        <f>IFERROR(__xludf.DUMMYFUNCTION("""COMPUTED_VALUE"""),"catagiraldo0@gmail.com")</f>
        <v>catagiraldo0@gmail.com</v>
      </c>
      <c r="AK86" s="6" t="str">
        <f>IFERROR(__xludf.DUMMYFUNCTION("""COMPUTED_VALUE"""),"Administradora de Empresas")</f>
        <v>Administradora de Empresas</v>
      </c>
      <c r="AL86" s="6" t="str">
        <f>IFERROR(__xludf.DUMMYFUNCTION("""COMPUTED_VALUE"""),"Independiente")</f>
        <v>Independiente</v>
      </c>
      <c r="AM86" s="12" t="str">
        <f>IFERROR(__xludf.DUMMYFUNCTION("""COMPUTED_VALUE"""),"1010188412")</f>
        <v>1010188412</v>
      </c>
      <c r="AN86" s="12" t="str">
        <f>IFERROR(__xludf.DUMMYFUNCTION("""COMPUTED_VALUE"""),"3104820265")</f>
        <v>3104820265</v>
      </c>
      <c r="AO86" s="6" t="str">
        <f>IFERROR(__xludf.DUMMYFUNCTION("""COMPUTED_VALUE"""),"Madre")</f>
        <v>Madre</v>
      </c>
      <c r="AP86" s="12" t="str">
        <f>IFERROR(__xludf.DUMMYFUNCTION("""COMPUTED_VALUE"""),"Estudiante(s): Rodríguez Giraldo")</f>
        <v>Estudiante(s): Rodríguez Giraldo</v>
      </c>
      <c r="AQ86" s="6" t="str">
        <f>IFERROR(__xludf.DUMMYFUNCTION("""COMPUTED_VALUE"""),"120505*Gi")</f>
        <v>120505*Gi</v>
      </c>
      <c r="AR86" s="6" t="str">
        <f>IFERROR(__xludf.DUMMYFUNCTION("""COMPUTED_VALUE"""),"Jhon")</f>
        <v>Jhon</v>
      </c>
      <c r="AS86" s="6" t="str">
        <f>IFERROR(__xludf.DUMMYFUNCTION("""COMPUTED_VALUE"""),"Marlon")</f>
        <v>Marlon</v>
      </c>
      <c r="AT86" s="6" t="str">
        <f>IFERROR(__xludf.DUMMYFUNCTION("""COMPUTED_VALUE"""),"Rodríguez Ortiz")</f>
        <v>Rodríguez Ortiz</v>
      </c>
      <c r="AU86" s="6" t="str">
        <f>IFERROR(__xludf.DUMMYFUNCTION("""COMPUTED_VALUE"""),"jmarodriguez0@gmail.com")</f>
        <v>jmarodriguez0@gmail.com</v>
      </c>
      <c r="AV86" s="6" t="str">
        <f>IFERROR(__xludf.DUMMYFUNCTION("""COMPUTED_VALUE"""),"Ingeniero Industrial")</f>
        <v>Ingeniero Industrial</v>
      </c>
      <c r="AW86" s="6" t="str">
        <f>IFERROR(__xludf.DUMMYFUNCTION("""COMPUTED_VALUE"""),"Moviired Incomm Payments-Cheaf")</f>
        <v>Moviired Incomm Payments-Cheaf</v>
      </c>
      <c r="AX86" s="12" t="str">
        <f>IFERROR(__xludf.DUMMYFUNCTION("""COMPUTED_VALUE"""),"80198888")</f>
        <v>80198888</v>
      </c>
      <c r="AY86" s="12" t="str">
        <f>IFERROR(__xludf.DUMMYFUNCTION("""COMPUTED_VALUE"""),"3015295191")</f>
        <v>3015295191</v>
      </c>
      <c r="AZ86" s="6" t="str">
        <f>IFERROR(__xludf.DUMMYFUNCTION("""COMPUTED_VALUE"""),"Padre")</f>
        <v>Padre</v>
      </c>
      <c r="BA86" s="6"/>
      <c r="BB86" s="6"/>
      <c r="BC86" s="6"/>
      <c r="BD86" s="12" t="str">
        <f>IFERROR(__xludf.DUMMYFUNCTION("""COMPUTED_VALUE"""),"rod0015")</f>
        <v>rod0015</v>
      </c>
      <c r="BE86" s="6"/>
      <c r="BF86" s="6"/>
      <c r="BG86" s="6">
        <f>IFERROR(__xludf.DUMMYFUNCTION("""COMPUTED_VALUE"""),2040.0)</f>
        <v>2040</v>
      </c>
      <c r="BH86" s="15">
        <f>IFERROR(__xludf.DUMMYFUNCTION("""COMPUTED_VALUE"""),46211.478842592594)</f>
        <v>46211.47884</v>
      </c>
      <c r="BI86" s="6">
        <f>IFERROR(__xludf.DUMMYFUNCTION("""COMPUTED_VALUE"""),85.0)</f>
        <v>85</v>
      </c>
      <c r="BJ86" s="6"/>
      <c r="BK86" s="6"/>
      <c r="BL86" s="6" t="str">
        <f>IFERROR(__xludf.DUMMYFUNCTION("""COMPUTED_VALUE"""),"GISROD0015")</f>
        <v>GISROD0015</v>
      </c>
      <c r="BM86" s="6"/>
      <c r="BN86" s="6"/>
      <c r="BO86" s="6"/>
      <c r="BP86" s="6"/>
      <c r="BQ86" s="6"/>
      <c r="BR86" s="6"/>
      <c r="BS86" s="6"/>
      <c r="BT86" s="6"/>
      <c r="BU86" s="6" t="str">
        <f>IFERROR(__xludf.DUMMYFUNCTION("""COMPUTED_VALUE"""),"SI")</f>
        <v>SI</v>
      </c>
      <c r="BV86" s="6" t="str">
        <f>IFERROR(__xludf.DUMMYFUNCTION("""COMPUTED_VALUE"""),"amelia.r2040")</f>
        <v>amelia.r2040</v>
      </c>
      <c r="BW86" s="6"/>
      <c r="BX86" s="6"/>
      <c r="BY86" s="6"/>
      <c r="BZ86" s="6"/>
    </row>
    <row r="87">
      <c r="A87" s="12">
        <f>IFERROR(__xludf.DUMMYFUNCTION("""COMPUTED_VALUE"""),1.092866243E9)</f>
        <v>1092866243</v>
      </c>
      <c r="B87" s="6">
        <f>IFERROR(__xludf.DUMMYFUNCTION("""COMPUTED_VALUE"""),16.0)</f>
        <v>16</v>
      </c>
      <c r="C87" s="6" t="str">
        <f>IFERROR(__xludf.DUMMYFUNCTION("""COMPUTED_VALUE"""),"Jerónimo")</f>
        <v>Jerónimo</v>
      </c>
      <c r="D87" s="6"/>
      <c r="E87" s="6" t="str">
        <f>IFERROR(__xludf.DUMMYFUNCTION("""COMPUTED_VALUE"""),"Salazar Rojas")</f>
        <v>Salazar Rojas</v>
      </c>
      <c r="F87" s="6" t="str">
        <f>IFERROR(__xludf.DUMMYFUNCTION("""COMPUTED_VALUE"""),"Conjunto Campestre Bosques del Eden Casa 3 - Km 1.5 Via El Caimo")</f>
        <v>Conjunto Campestre Bosques del Eden Casa 3 - Km 1.5 Via El Caimo</v>
      </c>
      <c r="G87" s="12" t="str">
        <f>IFERROR(__xludf.DUMMYFUNCTION("""COMPUTED_VALUE"""),"2022")</f>
        <v>2022</v>
      </c>
      <c r="H87" s="6" t="str">
        <f>IFERROR(__xludf.DUMMYFUNCTION("""COMPUTED_VALUE"""),"Agosto")</f>
        <v>Agosto</v>
      </c>
      <c r="I87" s="12" t="str">
        <f>IFERROR(__xludf.DUMMYFUNCTION("""COMPUTED_VALUE"""),"1")</f>
        <v>1</v>
      </c>
      <c r="J87" s="6" t="str">
        <f>IFERROR(__xludf.DUMMYFUNCTION("""COMPUTED_VALUE"""),"Armenia")</f>
        <v>Armenia</v>
      </c>
      <c r="K87" s="6" t="str">
        <f>IFERROR(__xludf.DUMMYFUNCTION("""COMPUTED_VALUE"""),"jeronimo.s2040@gi.edu.co")</f>
        <v>jeronimo.s2040@gi.edu.co</v>
      </c>
      <c r="L87" s="6" t="str">
        <f>IFERROR(__xludf.DUMMYFUNCTION("""COMPUTED_VALUE"""),"RC")</f>
        <v>RC</v>
      </c>
      <c r="M87" s="6" t="str">
        <f>IFERROR(__xludf.DUMMYFUNCTION("""COMPUTED_VALUE"""),"Armenia")</f>
        <v>Armenia</v>
      </c>
      <c r="N87" s="6" t="str">
        <f>IFERROR(__xludf.DUMMYFUNCTION("""COMPUTED_VALUE"""),"M")</f>
        <v>M</v>
      </c>
      <c r="O87" s="6" t="str">
        <f>IFERROR(__xludf.DUMMYFUNCTION("""COMPUTED_VALUE"""),"ACTIVE")</f>
        <v>ACTIVE</v>
      </c>
      <c r="P87" s="6"/>
      <c r="Q87" s="6" t="str">
        <f>IFERROR(__xludf.DUMMYFUNCTION("""COMPUTED_VALUE"""),"Armenia")</f>
        <v>Armenia</v>
      </c>
      <c r="R87" s="12" t="str">
        <f>IFERROR(__xludf.DUMMYFUNCTION("""COMPUTED_VALUE"""),"Gi92Qxtu*")</f>
        <v>Gi92Qxtu*</v>
      </c>
      <c r="S87" s="6" t="str">
        <f>IFERROR(__xludf.DUMMYFUNCTION("""COMPUTED_VALUE"""),"Salazar Rojas Jerónimo ")</f>
        <v>Salazar Rojas Jerónimo </v>
      </c>
      <c r="T87" s="6" t="str">
        <f>IFERROR(__xludf.DUMMYFUNCTION("""COMPUTED_VALUE"""),"JOSE ALEXANDER SALAZAR AGUIRRE EMPRESA UNIPERSONAL")</f>
        <v>JOSE ALEXANDER SALAZAR AGUIRRE EMPRESA UNIPERSONAL</v>
      </c>
      <c r="U87" s="12" t="str">
        <f>IFERROR(__xludf.DUMMYFUNCTION("""COMPUTED_VALUE"""),"830066966")</f>
        <v>830066966</v>
      </c>
      <c r="V87" s="6">
        <f>IFERROR(__xludf.DUMMYFUNCTION("""COMPUTED_VALUE"""),3.11321493E9)</f>
        <v>3113214930</v>
      </c>
      <c r="W87" s="6" t="str">
        <f>IFERROR(__xludf.DUMMYFUNCTION("""COMPUTED_VALUE"""),"director@jasa.co")</f>
        <v>director@jasa.co</v>
      </c>
      <c r="X87" s="12" t="str">
        <f>IFERROR(__xludf.DUMMYFUNCTION("""COMPUTED_VALUE"""),"O+")</f>
        <v>O+</v>
      </c>
      <c r="Y87" s="12" t="str">
        <f>IFERROR(__xludf.DUMMYFUNCTION("""COMPUTED_VALUE"""),"K4")</f>
        <v>K4</v>
      </c>
      <c r="Z87" s="12">
        <f>IFERROR(__xludf.DUMMYFUNCTION("""COMPUTED_VALUE"""),120481.0)</f>
        <v>120481</v>
      </c>
      <c r="AA87" s="6" t="str">
        <f>IFERROR(__xludf.DUMMYFUNCTION("""COMPUTED_VALUE"""),"SURA")</f>
        <v>SURA</v>
      </c>
      <c r="AB87" s="6"/>
      <c r="AC87" s="12" t="str">
        <f>IFERROR(__xludf.DUMMYFUNCTION("""COMPUTED_VALUE"""),"SUDOR")</f>
        <v>SUDOR</v>
      </c>
      <c r="AD87" s="12" t="str">
        <f>IFERROR(__xludf.DUMMYFUNCTION("""COMPUTED_VALUE"""),"K4B")</f>
        <v>K4B</v>
      </c>
      <c r="AE87" s="12" t="str">
        <f>IFERROR(__xludf.DUMMYFUNCTION("""COMPUTED_VALUE"""),"1345282479")</f>
        <v>1345282479</v>
      </c>
      <c r="AF87" s="12" t="str">
        <f>IFERROR(__xludf.DUMMYFUNCTION("""COMPUTED_VALUE"""),"1345282479")</f>
        <v>1345282479</v>
      </c>
      <c r="AG87" s="12" t="str">
        <f>IFERROR(__xludf.DUMMYFUNCTION("""COMPUTED_VALUE"""),"Paula")</f>
        <v>Paula</v>
      </c>
      <c r="AH87" s="12" t="str">
        <f>IFERROR(__xludf.DUMMYFUNCTION("""COMPUTED_VALUE"""),"Cristina")</f>
        <v>Cristina</v>
      </c>
      <c r="AI87" s="6" t="str">
        <f>IFERROR(__xludf.DUMMYFUNCTION("""COMPUTED_VALUE"""),"Rojas Angulo")</f>
        <v>Rojas Angulo</v>
      </c>
      <c r="AJ87" s="6" t="str">
        <f>IFERROR(__xludf.DUMMYFUNCTION("""COMPUTED_VALUE"""),"paularojas47@hotmail.com")</f>
        <v>paularojas47@hotmail.com</v>
      </c>
      <c r="AK87" s="6" t="str">
        <f>IFERROR(__xludf.DUMMYFUNCTION("""COMPUTED_VALUE"""),"Ingeniera Industrial")</f>
        <v>Ingeniera Industrial</v>
      </c>
      <c r="AL87" s="6" t="str">
        <f>IFERROR(__xludf.DUMMYFUNCTION("""COMPUTED_VALUE"""),"CAFE QUINDIO SAS")</f>
        <v>CAFE QUINDIO SAS</v>
      </c>
      <c r="AM87" s="12" t="str">
        <f>IFERROR(__xludf.DUMMYFUNCTION("""COMPUTED_VALUE"""),"1077864512")</f>
        <v>1077864512</v>
      </c>
      <c r="AN87" s="12" t="str">
        <f>IFERROR(__xludf.DUMMYFUNCTION("""COMPUTED_VALUE"""),"3102385963")</f>
        <v>3102385963</v>
      </c>
      <c r="AO87" s="6" t="str">
        <f>IFERROR(__xludf.DUMMYFUNCTION("""COMPUTED_VALUE"""),"Madre")</f>
        <v>Madre</v>
      </c>
      <c r="AP87" s="6" t="str">
        <f>IFERROR(__xludf.DUMMYFUNCTION("""COMPUTED_VALUE"""),"Estudiante(s): Salazar Rojas")</f>
        <v>Estudiante(s): Salazar Rojas</v>
      </c>
      <c r="AQ87" s="6" t="str">
        <f>IFERROR(__xludf.DUMMYFUNCTION("""COMPUTED_VALUE"""),"120481*Gi")</f>
        <v>120481*Gi</v>
      </c>
      <c r="AR87" s="6" t="str">
        <f>IFERROR(__xludf.DUMMYFUNCTION("""COMPUTED_VALUE"""),"Julián")</f>
        <v>Julián</v>
      </c>
      <c r="AS87" s="6" t="str">
        <f>IFERROR(__xludf.DUMMYFUNCTION("""COMPUTED_VALUE"""),"Andrés")</f>
        <v>Andrés</v>
      </c>
      <c r="AT87" s="6" t="str">
        <f>IFERROR(__xludf.DUMMYFUNCTION("""COMPUTED_VALUE"""),"Salazar Aguirre")</f>
        <v>Salazar Aguirre</v>
      </c>
      <c r="AU87" s="6" t="str">
        <f>IFERROR(__xludf.DUMMYFUNCTION("""COMPUTED_VALUE"""),"juliansalazaraguirre@gmail.com")</f>
        <v>juliansalazaraguirre@gmail.com</v>
      </c>
      <c r="AV87" s="6" t="str">
        <f>IFERROR(__xludf.DUMMYFUNCTION("""COMPUTED_VALUE"""),"Ingeniero de Alimentos")</f>
        <v>Ingeniero de Alimentos</v>
      </c>
      <c r="AW87" s="6" t="str">
        <f>IFERROR(__xludf.DUMMYFUNCTION("""COMPUTED_VALUE"""),"OLAM AGRO COLOMBIA SAS")</f>
        <v>OLAM AGRO COLOMBIA SAS</v>
      </c>
      <c r="AX87" s="12" t="str">
        <f>IFERROR(__xludf.DUMMYFUNCTION("""COMPUTED_VALUE"""),"75086643")</f>
        <v>75086643</v>
      </c>
      <c r="AY87" s="12" t="str">
        <f>IFERROR(__xludf.DUMMYFUNCTION("""COMPUTED_VALUE"""),"3208653874")</f>
        <v>3208653874</v>
      </c>
      <c r="AZ87" s="6" t="str">
        <f>IFERROR(__xludf.DUMMYFUNCTION("""COMPUTED_VALUE"""),"Padre")</f>
        <v>Padre</v>
      </c>
      <c r="BA87" s="6" t="str">
        <f>IFERROR(__xludf.DUMMYFUNCTION("""COMPUTED_VALUE"""),"JOSE ALEXANDER SALAZAR AGUIRRE")</f>
        <v>JOSE ALEXANDER SALAZAR AGUIRRE</v>
      </c>
      <c r="BB87" s="6">
        <f>IFERROR(__xludf.DUMMYFUNCTION("""COMPUTED_VALUE"""),3.11321493E9)</f>
        <v>3113214930</v>
      </c>
      <c r="BC87" s="6" t="str">
        <f>IFERROR(__xludf.DUMMYFUNCTION("""COMPUTED_VALUE"""),"TIO")</f>
        <v>TIO</v>
      </c>
      <c r="BD87" s="12" t="str">
        <f>IFERROR(__xludf.DUMMYFUNCTION("""COMPUTED_VALUE"""),"sal0020")</f>
        <v>sal0020</v>
      </c>
      <c r="BE87" s="6"/>
      <c r="BF87" s="6"/>
      <c r="BG87" s="6">
        <f>IFERROR(__xludf.DUMMYFUNCTION("""COMPUTED_VALUE"""),2040.0)</f>
        <v>2040</v>
      </c>
      <c r="BH87" s="15">
        <f>IFERROR(__xludf.DUMMYFUNCTION("""COMPUTED_VALUE"""),46210.4384375)</f>
        <v>46210.43844</v>
      </c>
      <c r="BI87" s="6">
        <f>IFERROR(__xludf.DUMMYFUNCTION("""COMPUTED_VALUE"""),86.0)</f>
        <v>86</v>
      </c>
      <c r="BJ87" s="6"/>
      <c r="BK87" s="6"/>
      <c r="BL87" s="6" t="str">
        <f>IFERROR(__xludf.DUMMYFUNCTION("""COMPUTED_VALUE"""),"GISSAL0020")</f>
        <v>GISSAL0020</v>
      </c>
      <c r="BM87" s="6"/>
      <c r="BN87" s="6"/>
      <c r="BO87" s="6"/>
      <c r="BP87" s="6"/>
      <c r="BQ87" s="6"/>
      <c r="BR87" s="6"/>
      <c r="BS87" s="6"/>
      <c r="BT87" s="6"/>
      <c r="BU87" s="6" t="str">
        <f>IFERROR(__xludf.DUMMYFUNCTION("""COMPUTED_VALUE"""),"SI")</f>
        <v>SI</v>
      </c>
      <c r="BV87" s="6" t="str">
        <f>IFERROR(__xludf.DUMMYFUNCTION("""COMPUTED_VALUE"""),"jeronimo.s2040")</f>
        <v>jeronimo.s2040</v>
      </c>
      <c r="BW87" s="6"/>
      <c r="BX87" s="6"/>
      <c r="BY87" s="6"/>
      <c r="BZ87" s="6"/>
    </row>
    <row r="88">
      <c r="A88" s="12">
        <f>IFERROR(__xludf.DUMMYFUNCTION("""COMPUTED_VALUE"""),1.092866313E9)</f>
        <v>1092866313</v>
      </c>
      <c r="B88" s="6">
        <f>IFERROR(__xludf.DUMMYFUNCTION("""COMPUTED_VALUE"""),17.0)</f>
        <v>17</v>
      </c>
      <c r="C88" s="6" t="str">
        <f>IFERROR(__xludf.DUMMYFUNCTION("""COMPUTED_VALUE"""),"Federico")</f>
        <v>Federico</v>
      </c>
      <c r="D88" s="6"/>
      <c r="E88" s="6" t="str">
        <f>IFERROR(__xludf.DUMMYFUNCTION("""COMPUTED_VALUE"""),"Sánchez González")</f>
        <v>Sánchez González</v>
      </c>
      <c r="F88" s="6" t="str">
        <f>IFERROR(__xludf.DUMMYFUNCTION("""COMPUTED_VALUE"""),"Condominio Pradera Boreal Casa 54 - Km. 5 Via Armenia Pereira")</f>
        <v>Condominio Pradera Boreal Casa 54 - Km. 5 Via Armenia Pereira</v>
      </c>
      <c r="G88" s="12">
        <f>IFERROR(__xludf.DUMMYFUNCTION("""COMPUTED_VALUE"""),2022.0)</f>
        <v>2022</v>
      </c>
      <c r="H88" s="6" t="str">
        <f>IFERROR(__xludf.DUMMYFUNCTION("""COMPUTED_VALUE"""),"Septiembre")</f>
        <v>Septiembre</v>
      </c>
      <c r="I88" s="12">
        <f>IFERROR(__xludf.DUMMYFUNCTION("""COMPUTED_VALUE"""),1.0)</f>
        <v>1</v>
      </c>
      <c r="J88" s="6" t="str">
        <f>IFERROR(__xludf.DUMMYFUNCTION("""COMPUTED_VALUE"""),"Armenia")</f>
        <v>Armenia</v>
      </c>
      <c r="K88" s="6" t="str">
        <f>IFERROR(__xludf.DUMMYFUNCTION("""COMPUTED_VALUE"""),"federico.s2040@gi.edu.co")</f>
        <v>federico.s2040@gi.edu.co</v>
      </c>
      <c r="L88" s="6" t="str">
        <f>IFERROR(__xludf.DUMMYFUNCTION("""COMPUTED_VALUE"""),"RC")</f>
        <v>RC</v>
      </c>
      <c r="M88" s="6" t="str">
        <f>IFERROR(__xludf.DUMMYFUNCTION("""COMPUTED_VALUE"""),"Armenia")</f>
        <v>Armenia</v>
      </c>
      <c r="N88" s="6" t="str">
        <f>IFERROR(__xludf.DUMMYFUNCTION("""COMPUTED_VALUE"""),"M")</f>
        <v>M</v>
      </c>
      <c r="O88" s="6" t="str">
        <f>IFERROR(__xludf.DUMMYFUNCTION("""COMPUTED_VALUE"""),"ACTIVE")</f>
        <v>ACTIVE</v>
      </c>
      <c r="P88" s="6"/>
      <c r="Q88" s="6" t="str">
        <f>IFERROR(__xludf.DUMMYFUNCTION("""COMPUTED_VALUE"""),"Circasia")</f>
        <v>Circasia</v>
      </c>
      <c r="R88" s="12" t="str">
        <f>IFERROR(__xludf.DUMMYFUNCTION("""COMPUTED_VALUE"""),"Gi9x1tz5i*")</f>
        <v>Gi9x1tz5i*</v>
      </c>
      <c r="S88" s="6" t="str">
        <f>IFERROR(__xludf.DUMMYFUNCTION("""COMPUTED_VALUE"""),"Sánchez González Federico ")</f>
        <v>Sánchez González Federico </v>
      </c>
      <c r="T88" s="6" t="str">
        <f>IFERROR(__xludf.DUMMYFUNCTION("""COMPUTED_VALUE"""),"CRISTOBAL SANCHEZ FLOREZ")</f>
        <v>CRISTOBAL SANCHEZ FLOREZ</v>
      </c>
      <c r="U88" s="12" t="str">
        <f>IFERROR(__xludf.DUMMYFUNCTION("""COMPUTED_VALUE"""),"4372478")</f>
        <v>4372478</v>
      </c>
      <c r="V88" s="6">
        <f>IFERROR(__xludf.DUMMYFUNCTION("""COMPUTED_VALUE"""),3.232219906E9)</f>
        <v>3232219906</v>
      </c>
      <c r="W88" s="6" t="str">
        <f>IFERROR(__xludf.DUMMYFUNCTION("""COMPUTED_VALUE"""),"csanchezflorez@gmail.com")</f>
        <v>csanchezflorez@gmail.com</v>
      </c>
      <c r="X88" s="12" t="str">
        <f>IFERROR(__xludf.DUMMYFUNCTION("""COMPUTED_VALUE"""),"A+")</f>
        <v>A+</v>
      </c>
      <c r="Y88" s="12" t="str">
        <f>IFERROR(__xludf.DUMMYFUNCTION("""COMPUTED_VALUE"""),"K4")</f>
        <v>K4</v>
      </c>
      <c r="Z88" s="12">
        <f>IFERROR(__xludf.DUMMYFUNCTION("""COMPUTED_VALUE"""),120439.0)</f>
        <v>120439</v>
      </c>
      <c r="AA88" s="6" t="str">
        <f>IFERROR(__xludf.DUMMYFUNCTION("""COMPUTED_VALUE"""),"SURA")</f>
        <v>SURA</v>
      </c>
      <c r="AB88" s="6"/>
      <c r="AC88" s="6"/>
      <c r="AD88" s="12" t="str">
        <f>IFERROR(__xludf.DUMMYFUNCTION("""COMPUTED_VALUE"""),"K4B")</f>
        <v>K4B</v>
      </c>
      <c r="AE88" s="12" t="str">
        <f>IFERROR(__xludf.DUMMYFUNCTION("""COMPUTED_VALUE"""),"1345282459")</f>
        <v>1345282459</v>
      </c>
      <c r="AF88" s="12" t="str">
        <f>IFERROR(__xludf.DUMMYFUNCTION("""COMPUTED_VALUE"""),"1345282459")</f>
        <v>1345282459</v>
      </c>
      <c r="AG88" s="12" t="str">
        <f>IFERROR(__xludf.DUMMYFUNCTION("""COMPUTED_VALUE"""),"Carolina")</f>
        <v>Carolina</v>
      </c>
      <c r="AH88" s="6"/>
      <c r="AI88" s="6" t="str">
        <f>IFERROR(__xludf.DUMMYFUNCTION("""COMPUTED_VALUE"""),"González Acosta")</f>
        <v>González Acosta</v>
      </c>
      <c r="AJ88" s="6" t="str">
        <f>IFERROR(__xludf.DUMMYFUNCTION("""COMPUTED_VALUE"""),"carolinagonzalezam@gmail.com")</f>
        <v>carolinagonzalezam@gmail.com</v>
      </c>
      <c r="AK88" s="6" t="str">
        <f>IFERROR(__xludf.DUMMYFUNCTION("""COMPUTED_VALUE"""),"Relaciones Internacionales ")</f>
        <v>Relaciones Internacionales </v>
      </c>
      <c r="AL88" s="6" t="str">
        <f>IFERROR(__xludf.DUMMYFUNCTION("""COMPUTED_VALUE"""),"Admon Propiedades en USA")</f>
        <v>Admon Propiedades en USA</v>
      </c>
      <c r="AM88" s="12" t="str">
        <f>IFERROR(__xludf.DUMMYFUNCTION("""COMPUTED_VALUE"""),"1094935867")</f>
        <v>1094935867</v>
      </c>
      <c r="AN88" s="12" t="str">
        <f>IFERROR(__xludf.DUMMYFUNCTION("""COMPUTED_VALUE"""),"3147941959")</f>
        <v>3147941959</v>
      </c>
      <c r="AO88" s="6" t="str">
        <f>IFERROR(__xludf.DUMMYFUNCTION("""COMPUTED_VALUE"""),"Madre")</f>
        <v>Madre</v>
      </c>
      <c r="AP88" s="6" t="str">
        <f>IFERROR(__xludf.DUMMYFUNCTION("""COMPUTED_VALUE"""),"Estudiante(s): Sánchez González")</f>
        <v>Estudiante(s): Sánchez González</v>
      </c>
      <c r="AQ88" s="6" t="str">
        <f>IFERROR(__xludf.DUMMYFUNCTION("""COMPUTED_VALUE"""),"120439*Gi")</f>
        <v>120439*Gi</v>
      </c>
      <c r="AR88" s="6" t="str">
        <f>IFERROR(__xludf.DUMMYFUNCTION("""COMPUTED_VALUE"""),"Cristobal")</f>
        <v>Cristobal</v>
      </c>
      <c r="AS88" s="6"/>
      <c r="AT88" s="6" t="str">
        <f>IFERROR(__xludf.DUMMYFUNCTION("""COMPUTED_VALUE"""),"Sánchez Flórez")</f>
        <v>Sánchez Flórez</v>
      </c>
      <c r="AU88" s="6" t="str">
        <f>IFERROR(__xludf.DUMMYFUNCTION("""COMPUTED_VALUE"""),"csanchezflorez@gmail.com")</f>
        <v>csanchezflorez@gmail.com</v>
      </c>
      <c r="AV88" s="6" t="str">
        <f>IFERROR(__xludf.DUMMYFUNCTION("""COMPUTED_VALUE"""),"Mercadeo Internacional")</f>
        <v>Mercadeo Internacional</v>
      </c>
      <c r="AW88" s="6" t="str">
        <f>IFERROR(__xludf.DUMMYFUNCTION("""COMPUTED_VALUE"""),"Ganadero Independiente ")</f>
        <v>Ganadero Independiente </v>
      </c>
      <c r="AX88" s="12" t="str">
        <f>IFERROR(__xludf.DUMMYFUNCTION("""COMPUTED_VALUE"""),"4372478")</f>
        <v>4372478</v>
      </c>
      <c r="AY88" s="12">
        <f>IFERROR(__xludf.DUMMYFUNCTION("""COMPUTED_VALUE"""),3.232219906E9)</f>
        <v>3232219906</v>
      </c>
      <c r="AZ88" s="6" t="str">
        <f>IFERROR(__xludf.DUMMYFUNCTION("""COMPUTED_VALUE"""),"Padre")</f>
        <v>Padre</v>
      </c>
      <c r="BA88" s="6"/>
      <c r="BB88" s="6"/>
      <c r="BC88" s="6"/>
      <c r="BD88" s="12" t="str">
        <f>IFERROR(__xludf.DUMMYFUNCTION("""COMPUTED_VALUE"""),"san0009")</f>
        <v>san0009</v>
      </c>
      <c r="BE88" s="6"/>
      <c r="BF88" s="6"/>
      <c r="BG88" s="6">
        <f>IFERROR(__xludf.DUMMYFUNCTION("""COMPUTED_VALUE"""),2040.0)</f>
        <v>2040</v>
      </c>
      <c r="BH88" s="15">
        <f>IFERROR(__xludf.DUMMYFUNCTION("""COMPUTED_VALUE"""),46211.883356481485)</f>
        <v>46211.88336</v>
      </c>
      <c r="BI88" s="6">
        <f>IFERROR(__xludf.DUMMYFUNCTION("""COMPUTED_VALUE"""),87.0)</f>
        <v>87</v>
      </c>
      <c r="BJ88" s="6"/>
      <c r="BK88" s="6"/>
      <c r="BL88" s="6" t="str">
        <f>IFERROR(__xludf.DUMMYFUNCTION("""COMPUTED_VALUE"""),"GISSAN0009")</f>
        <v>GISSAN0009</v>
      </c>
      <c r="BM88" s="6"/>
      <c r="BN88" s="6"/>
      <c r="BO88" s="6"/>
      <c r="BP88" s="6"/>
      <c r="BQ88" s="6" t="str">
        <f>IFERROR(__xludf.DUMMYFUNCTION("""COMPUTED_VALUE"""),"XC_K4_Futbol")</f>
        <v>XC_K4_Futbol</v>
      </c>
      <c r="BR88" s="6"/>
      <c r="BS88" s="6" t="str">
        <f>IFERROR(__xludf.DUMMYFUNCTION("""COMPUTED_VALUE"""),"XC_K4_IniciaMusical")</f>
        <v>XC_K4_IniciaMusical</v>
      </c>
      <c r="BT88" s="6"/>
      <c r="BU88" s="6" t="str">
        <f>IFERROR(__xludf.DUMMYFUNCTION("""COMPUTED_VALUE"""),"SI")</f>
        <v>SI</v>
      </c>
      <c r="BV88" s="6" t="str">
        <f>IFERROR(__xludf.DUMMYFUNCTION("""COMPUTED_VALUE"""),"federico.s2040")</f>
        <v>federico.s2040</v>
      </c>
      <c r="BW88" s="6"/>
      <c r="BX88" s="6"/>
      <c r="BY88" s="6"/>
      <c r="BZ88" s="6"/>
    </row>
    <row r="89">
      <c r="A89" s="12">
        <f>IFERROR(__xludf.DUMMYFUNCTION("""COMPUTED_VALUE"""),1.092865515E9)</f>
        <v>1092865515</v>
      </c>
      <c r="B89" s="6">
        <f>IFERROR(__xludf.DUMMYFUNCTION("""COMPUTED_VALUE"""),18.0)</f>
        <v>18</v>
      </c>
      <c r="C89" s="6" t="str">
        <f>IFERROR(__xludf.DUMMYFUNCTION("""COMPUTED_VALUE"""),"María")</f>
        <v>María</v>
      </c>
      <c r="D89" s="6" t="str">
        <f>IFERROR(__xludf.DUMMYFUNCTION("""COMPUTED_VALUE"""),"Emilia")</f>
        <v>Emilia</v>
      </c>
      <c r="E89" s="6" t="str">
        <f>IFERROR(__xludf.DUMMYFUNCTION("""COMPUTED_VALUE"""),"Vanegas Rivera")</f>
        <v>Vanegas Rivera</v>
      </c>
      <c r="F89" s="6" t="str">
        <f>IFERROR(__xludf.DUMMYFUNCTION("""COMPUTED_VALUE"""),"Conjunto Campestre Los Robles Casa 14")</f>
        <v>Conjunto Campestre Los Robles Casa 14</v>
      </c>
      <c r="G89" s="12" t="str">
        <f>IFERROR(__xludf.DUMMYFUNCTION("""COMPUTED_VALUE"""),"2021")</f>
        <v>2021</v>
      </c>
      <c r="H89" s="6" t="str">
        <f>IFERROR(__xludf.DUMMYFUNCTION("""COMPUTED_VALUE"""),"Noviembre")</f>
        <v>Noviembre</v>
      </c>
      <c r="I89" s="12" t="str">
        <f>IFERROR(__xludf.DUMMYFUNCTION("""COMPUTED_VALUE"""),"14")</f>
        <v>14</v>
      </c>
      <c r="J89" s="6" t="str">
        <f>IFERROR(__xludf.DUMMYFUNCTION("""COMPUTED_VALUE"""),"Armenia")</f>
        <v>Armenia</v>
      </c>
      <c r="K89" s="6" t="str">
        <f>IFERROR(__xludf.DUMMYFUNCTION("""COMPUTED_VALUE"""),"mariae.v2040@gi.edu.co")</f>
        <v>mariae.v2040@gi.edu.co</v>
      </c>
      <c r="L89" s="6" t="str">
        <f>IFERROR(__xludf.DUMMYFUNCTION("""COMPUTED_VALUE"""),"RC")</f>
        <v>RC</v>
      </c>
      <c r="M89" s="6" t="str">
        <f>IFERROR(__xludf.DUMMYFUNCTION("""COMPUTED_VALUE"""),"Armenia")</f>
        <v>Armenia</v>
      </c>
      <c r="N89" s="6" t="str">
        <f>IFERROR(__xludf.DUMMYFUNCTION("""COMPUTED_VALUE"""),"F")</f>
        <v>F</v>
      </c>
      <c r="O89" s="6" t="str">
        <f>IFERROR(__xludf.DUMMYFUNCTION("""COMPUTED_VALUE"""),"ACTIVE")</f>
        <v>ACTIVE</v>
      </c>
      <c r="P89" s="6"/>
      <c r="Q89" s="6" t="str">
        <f>IFERROR(__xludf.DUMMYFUNCTION("""COMPUTED_VALUE"""),"Armenia")</f>
        <v>Armenia</v>
      </c>
      <c r="R89" s="12" t="str">
        <f>IFERROR(__xludf.DUMMYFUNCTION("""COMPUTED_VALUE"""),"Gide55vgp*")</f>
        <v>Gide55vgp*</v>
      </c>
      <c r="S89" s="6" t="str">
        <f>IFERROR(__xludf.DUMMYFUNCTION("""COMPUTED_VALUE"""),"Vanegas Rivera María Emilia")</f>
        <v>Vanegas Rivera María Emilia</v>
      </c>
      <c r="T89" s="6" t="str">
        <f>IFERROR(__xludf.DUMMYFUNCTION("""COMPUTED_VALUE"""),"JHON FREDDY VANEGAS MUÑOZ")</f>
        <v>JHON FREDDY VANEGAS MUÑOZ</v>
      </c>
      <c r="U89" s="12" t="str">
        <f>IFERROR(__xludf.DUMMYFUNCTION("""COMPUTED_VALUE"""),"1116789180")</f>
        <v>1116789180</v>
      </c>
      <c r="V89" s="6">
        <f>IFERROR(__xludf.DUMMYFUNCTION("""COMPUTED_VALUE"""),3.123311318E9)</f>
        <v>3123311318</v>
      </c>
      <c r="W89" s="6" t="str">
        <f>IFERROR(__xludf.DUMMYFUNCTION("""COMPUTED_VALUE"""),"freddyvanegas89@hotmail.com")</f>
        <v>freddyvanegas89@hotmail.com</v>
      </c>
      <c r="X89" s="12" t="str">
        <f>IFERROR(__xludf.DUMMYFUNCTION("""COMPUTED_VALUE"""),"A+")</f>
        <v>A+</v>
      </c>
      <c r="Y89" s="12" t="str">
        <f>IFERROR(__xludf.DUMMYFUNCTION("""COMPUTED_VALUE"""),"K4")</f>
        <v>K4</v>
      </c>
      <c r="Z89" s="6">
        <f>IFERROR(__xludf.DUMMYFUNCTION("""COMPUTED_VALUE"""),120538.0)</f>
        <v>120538</v>
      </c>
      <c r="AA89" s="6" t="str">
        <f>IFERROR(__xludf.DUMMYFUNCTION("""COMPUTED_VALUE"""),"SANITAS")</f>
        <v>SANITAS</v>
      </c>
      <c r="AB89" s="6"/>
      <c r="AC89" s="6"/>
      <c r="AD89" s="12" t="str">
        <f>IFERROR(__xludf.DUMMYFUNCTION("""COMPUTED_VALUE"""),"K4B")</f>
        <v>K4B</v>
      </c>
      <c r="AE89" s="12" t="str">
        <f>IFERROR(__xludf.DUMMYFUNCTION("""COMPUTED_VALUE"""),"1345282537")</f>
        <v>1345282537</v>
      </c>
      <c r="AF89" s="12" t="str">
        <f>IFERROR(__xludf.DUMMYFUNCTION("""COMPUTED_VALUE"""),"1345282537")</f>
        <v>1345282537</v>
      </c>
      <c r="AG89" s="12" t="str">
        <f>IFERROR(__xludf.DUMMYFUNCTION("""COMPUTED_VALUE"""),"Gisely")</f>
        <v>Gisely</v>
      </c>
      <c r="AH89" s="12" t="str">
        <f>IFERROR(__xludf.DUMMYFUNCTION("""COMPUTED_VALUE"""),"Fernanda")</f>
        <v>Fernanda</v>
      </c>
      <c r="AI89" s="6" t="str">
        <f>IFERROR(__xludf.DUMMYFUNCTION("""COMPUTED_VALUE"""),"Rivera Montoya")</f>
        <v>Rivera Montoya</v>
      </c>
      <c r="AJ89" s="6" t="str">
        <f>IFERROR(__xludf.DUMMYFUNCTION("""COMPUTED_VALUE"""),"giselmontoya395@gmail.com")</f>
        <v>giselmontoya395@gmail.com</v>
      </c>
      <c r="AK89" s="6" t="str">
        <f>IFERROR(__xludf.DUMMYFUNCTION("""COMPUTED_VALUE"""),"Enfermera profesional ")</f>
        <v>Enfermera profesional </v>
      </c>
      <c r="AL89" s="6" t="str">
        <f>IFERROR(__xludf.DUMMYFUNCTION("""COMPUTED_VALUE"""),"Taurus Steak House")</f>
        <v>Taurus Steak House</v>
      </c>
      <c r="AM89" s="12" t="str">
        <f>IFERROR(__xludf.DUMMYFUNCTION("""COMPUTED_VALUE"""),"1098311462")</f>
        <v>1098311462</v>
      </c>
      <c r="AN89" s="12" t="str">
        <f>IFERROR(__xludf.DUMMYFUNCTION("""COMPUTED_VALUE"""),"3128336756")</f>
        <v>3128336756</v>
      </c>
      <c r="AO89" s="6" t="str">
        <f>IFERROR(__xludf.DUMMYFUNCTION("""COMPUTED_VALUE"""),"Madre")</f>
        <v>Madre</v>
      </c>
      <c r="AP89" s="6" t="str">
        <f>IFERROR(__xludf.DUMMYFUNCTION("""COMPUTED_VALUE"""),"Estudiante(s): Vanegas Rivera")</f>
        <v>Estudiante(s): Vanegas Rivera</v>
      </c>
      <c r="AQ89" s="6" t="str">
        <f>IFERROR(__xludf.DUMMYFUNCTION("""COMPUTED_VALUE"""),"120538*Gi")</f>
        <v>120538*Gi</v>
      </c>
      <c r="AR89" s="6" t="str">
        <f>IFERROR(__xludf.DUMMYFUNCTION("""COMPUTED_VALUE"""),"Jhon")</f>
        <v>Jhon</v>
      </c>
      <c r="AS89" s="6" t="str">
        <f>IFERROR(__xludf.DUMMYFUNCTION("""COMPUTED_VALUE"""),"Freddy")</f>
        <v>Freddy</v>
      </c>
      <c r="AT89" s="6" t="str">
        <f>IFERROR(__xludf.DUMMYFUNCTION("""COMPUTED_VALUE"""),"Vanegas Muñoz")</f>
        <v>Vanegas Muñoz</v>
      </c>
      <c r="AU89" s="6" t="str">
        <f>IFERROR(__xludf.DUMMYFUNCTION("""COMPUTED_VALUE"""),"freddyvanegas89@hotmail.com")</f>
        <v>freddyvanegas89@hotmail.com</v>
      </c>
      <c r="AV89" s="6" t="str">
        <f>IFERROR(__xludf.DUMMYFUNCTION("""COMPUTED_VALUE"""),"Contador")</f>
        <v>Contador</v>
      </c>
      <c r="AW89" s="6" t="str">
        <f>IFERROR(__xludf.DUMMYFUNCTION("""COMPUTED_VALUE"""),"Fundacion Sikuaso Ipsi")</f>
        <v>Fundacion Sikuaso Ipsi</v>
      </c>
      <c r="AX89" s="12" t="str">
        <f>IFERROR(__xludf.DUMMYFUNCTION("""COMPUTED_VALUE"""),"1116789180")</f>
        <v>1116789180</v>
      </c>
      <c r="AY89" s="12" t="str">
        <f>IFERROR(__xludf.DUMMYFUNCTION("""COMPUTED_VALUE"""),"3123311318")</f>
        <v>3123311318</v>
      </c>
      <c r="AZ89" s="6" t="str">
        <f>IFERROR(__xludf.DUMMYFUNCTION("""COMPUTED_VALUE"""),"Padre")</f>
        <v>Padre</v>
      </c>
      <c r="BA89" s="6"/>
      <c r="BB89" s="6"/>
      <c r="BC89" s="6"/>
      <c r="BD89" s="12" t="str">
        <f>IFERROR(__xludf.DUMMYFUNCTION("""COMPUTED_VALUE"""),"van0004")</f>
        <v>van0004</v>
      </c>
      <c r="BE89" s="6"/>
      <c r="BF89" s="6"/>
      <c r="BG89" s="6">
        <f>IFERROR(__xludf.DUMMYFUNCTION("""COMPUTED_VALUE"""),2040.0)</f>
        <v>2040</v>
      </c>
      <c r="BH89" s="15">
        <f>IFERROR(__xludf.DUMMYFUNCTION("""COMPUTED_VALUE"""),46228.82991898148)</f>
        <v>46228.82992</v>
      </c>
      <c r="BI89" s="6">
        <f>IFERROR(__xludf.DUMMYFUNCTION("""COMPUTED_VALUE"""),88.0)</f>
        <v>88</v>
      </c>
      <c r="BJ89" s="6"/>
      <c r="BK89" s="6"/>
      <c r="BL89" s="6" t="str">
        <f>IFERROR(__xludf.DUMMYFUNCTION("""COMPUTED_VALUE"""),"GISVAN0004")</f>
        <v>GISVAN0004</v>
      </c>
      <c r="BM89" s="6"/>
      <c r="BN89" s="6"/>
      <c r="BO89" s="6"/>
      <c r="BP89" s="6"/>
      <c r="BQ89" s="6"/>
      <c r="BR89" s="6"/>
      <c r="BS89" s="6"/>
      <c r="BT89" s="6"/>
      <c r="BU89" s="6" t="str">
        <f>IFERROR(__xludf.DUMMYFUNCTION("""COMPUTED_VALUE"""),"SI")</f>
        <v>SI</v>
      </c>
      <c r="BV89" s="6" t="str">
        <f>IFERROR(__xludf.DUMMYFUNCTION("""COMPUTED_VALUE"""),"mariae.v2040")</f>
        <v>mariae.v2040</v>
      </c>
      <c r="BW89" s="6"/>
      <c r="BX89" s="6"/>
      <c r="BY89" s="6"/>
      <c r="BZ89" s="6"/>
    </row>
    <row r="90">
      <c r="A90" s="12">
        <f>IFERROR(__xludf.DUMMYFUNCTION("""COMPUTED_VALUE"""),1.091890172E9)</f>
        <v>1091890172</v>
      </c>
      <c r="B90" s="6">
        <f>IFERROR(__xludf.DUMMYFUNCTION("""COMPUTED_VALUE"""),19.0)</f>
        <v>19</v>
      </c>
      <c r="C90" s="6" t="str">
        <f>IFERROR(__xludf.DUMMYFUNCTION("""COMPUTED_VALUE"""),"Rebeca")</f>
        <v>Rebeca</v>
      </c>
      <c r="D90" s="6"/>
      <c r="E90" s="6" t="str">
        <f>IFERROR(__xludf.DUMMYFUNCTION("""COMPUTED_VALUE"""),"Velásquez Velásquez")</f>
        <v>Velásquez Velásquez</v>
      </c>
      <c r="F90" s="6" t="str">
        <f>IFERROR(__xludf.DUMMYFUNCTION("""COMPUTED_VALUE"""),"Parque Residencial Altos Del Rio Casa 61 - Calle 41 No36 - 110")</f>
        <v>Parque Residencial Altos Del Rio Casa 61 - Calle 41 No36 - 110</v>
      </c>
      <c r="G90" s="12" t="str">
        <f>IFERROR(__xludf.DUMMYFUNCTION("""COMPUTED_VALUE"""),"2022")</f>
        <v>2022</v>
      </c>
      <c r="H90" s="6" t="str">
        <f>IFERROR(__xludf.DUMMYFUNCTION("""COMPUTED_VALUE"""),"Septiembre")</f>
        <v>Septiembre</v>
      </c>
      <c r="I90" s="12" t="str">
        <f>IFERROR(__xludf.DUMMYFUNCTION("""COMPUTED_VALUE"""),"26")</f>
        <v>26</v>
      </c>
      <c r="J90" s="6" t="str">
        <f>IFERROR(__xludf.DUMMYFUNCTION("""COMPUTED_VALUE"""),"Armenia")</f>
        <v>Armenia</v>
      </c>
      <c r="K90" s="6" t="str">
        <f>IFERROR(__xludf.DUMMYFUNCTION("""COMPUTED_VALUE"""),"rebeca.v2040@gi.edu.co")</f>
        <v>rebeca.v2040@gi.edu.co</v>
      </c>
      <c r="L90" s="6" t="str">
        <f>IFERROR(__xludf.DUMMYFUNCTION("""COMPUTED_VALUE"""),"RC")</f>
        <v>RC</v>
      </c>
      <c r="M90" s="6" t="str">
        <f>IFERROR(__xludf.DUMMYFUNCTION("""COMPUTED_VALUE"""),"Calarcá")</f>
        <v>Calarcá</v>
      </c>
      <c r="N90" s="6" t="str">
        <f>IFERROR(__xludf.DUMMYFUNCTION("""COMPUTED_VALUE"""),"F")</f>
        <v>F</v>
      </c>
      <c r="O90" s="6" t="str">
        <f>IFERROR(__xludf.DUMMYFUNCTION("""COMPUTED_VALUE"""),"INACTIVE")</f>
        <v>INACTIVE</v>
      </c>
      <c r="P90" s="6"/>
      <c r="Q90" s="6" t="str">
        <f>IFERROR(__xludf.DUMMYFUNCTION("""COMPUTED_VALUE"""),"Calarcá")</f>
        <v>Calarcá</v>
      </c>
      <c r="R90" s="12" t="str">
        <f>IFERROR(__xludf.DUMMYFUNCTION("""COMPUTED_VALUE"""),"GiXy83za*")</f>
        <v>GiXy83za*</v>
      </c>
      <c r="S90" s="6" t="str">
        <f>IFERROR(__xludf.DUMMYFUNCTION("""COMPUTED_VALUE"""),"Velásquez Velásquez Rebeca ")</f>
        <v>Velásquez Velásquez Rebeca </v>
      </c>
      <c r="T90" s="6" t="str">
        <f>IFERROR(__xludf.DUMMYFUNCTION("""COMPUTED_VALUE"""),"DANIELA VELÁSQUEZ BOTERO")</f>
        <v>DANIELA VELÁSQUEZ BOTERO</v>
      </c>
      <c r="U90" s="12" t="str">
        <f>IFERROR(__xludf.DUMMYFUNCTION("""COMPUTED_VALUE"""),"1094888736")</f>
        <v>1094888736</v>
      </c>
      <c r="V90" s="6">
        <f>IFERROR(__xludf.DUMMYFUNCTION("""COMPUTED_VALUE"""),3.146309864E9)</f>
        <v>3146309864</v>
      </c>
      <c r="W90" s="6" t="str">
        <f>IFERROR(__xludf.DUMMYFUNCTION("""COMPUTED_VALUE"""),"daniela3159@gmail.com")</f>
        <v>daniela3159@gmail.com</v>
      </c>
      <c r="X90" s="12" t="str">
        <f>IFERROR(__xludf.DUMMYFUNCTION("""COMPUTED_VALUE"""),"O-")</f>
        <v>O-</v>
      </c>
      <c r="Y90" s="12" t="str">
        <f>IFERROR(__xludf.DUMMYFUNCTION("""COMPUTED_VALUE"""),"K4")</f>
        <v>K4</v>
      </c>
      <c r="Z90" s="12">
        <f>IFERROR(__xludf.DUMMYFUNCTION("""COMPUTED_VALUE"""),120477.0)</f>
        <v>120477</v>
      </c>
      <c r="AA90" s="6" t="str">
        <f>IFERROR(__xludf.DUMMYFUNCTION("""COMPUTED_VALUE"""),"SURA")</f>
        <v>SURA</v>
      </c>
      <c r="AB90" s="6"/>
      <c r="AC90" s="6"/>
      <c r="AD90" s="12" t="str">
        <f>IFERROR(__xludf.DUMMYFUNCTION("""COMPUTED_VALUE"""),"K4B")</f>
        <v>K4B</v>
      </c>
      <c r="AE90" s="12" t="str">
        <f>IFERROR(__xludf.DUMMYFUNCTION("""COMPUTED_VALUE"""),"1345282475")</f>
        <v>1345282475</v>
      </c>
      <c r="AF90" s="12" t="str">
        <f>IFERROR(__xludf.DUMMYFUNCTION("""COMPUTED_VALUE"""),"1345282475")</f>
        <v>1345282475</v>
      </c>
      <c r="AG90" s="12" t="str">
        <f>IFERROR(__xludf.DUMMYFUNCTION("""COMPUTED_VALUE"""),"Daniela")</f>
        <v>Daniela</v>
      </c>
      <c r="AH90" s="6"/>
      <c r="AI90" s="6" t="str">
        <f>IFERROR(__xludf.DUMMYFUNCTION("""COMPUTED_VALUE"""),"Velásquez Botero")</f>
        <v>Velásquez Botero</v>
      </c>
      <c r="AJ90" s="6" t="str">
        <f>IFERROR(__xludf.DUMMYFUNCTION("""COMPUTED_VALUE"""),"daniela3159@gmail.com")</f>
        <v>daniela3159@gmail.com</v>
      </c>
      <c r="AK90" s="6" t="str">
        <f>IFERROR(__xludf.DUMMYFUNCTION("""COMPUTED_VALUE"""),"Profesional en seguridad y salud en el trabajo")</f>
        <v>Profesional en seguridad y salud en el trabajo</v>
      </c>
      <c r="AL90" s="6" t="str">
        <f>IFERROR(__xludf.DUMMYFUNCTION("""COMPUTED_VALUE"""),"Proarquitectura")</f>
        <v>Proarquitectura</v>
      </c>
      <c r="AM90" s="12" t="str">
        <f>IFERROR(__xludf.DUMMYFUNCTION("""COMPUTED_VALUE"""),"1094888736")</f>
        <v>1094888736</v>
      </c>
      <c r="AN90" s="12" t="str">
        <f>IFERROR(__xludf.DUMMYFUNCTION("""COMPUTED_VALUE"""),"3146309864")</f>
        <v>3146309864</v>
      </c>
      <c r="AO90" s="6" t="str">
        <f>IFERROR(__xludf.DUMMYFUNCTION("""COMPUTED_VALUE"""),"Madre")</f>
        <v>Madre</v>
      </c>
      <c r="AP90" s="6" t="str">
        <f>IFERROR(__xludf.DUMMYFUNCTION("""COMPUTED_VALUE"""),"Estudiante(s): Velásquez Velásquez")</f>
        <v>Estudiante(s): Velásquez Velásquez</v>
      </c>
      <c r="AQ90" s="6" t="str">
        <f>IFERROR(__xludf.DUMMYFUNCTION("""COMPUTED_VALUE"""),"120341Gi*")</f>
        <v>120341Gi*</v>
      </c>
      <c r="AR90" s="6" t="str">
        <f>IFERROR(__xludf.DUMMYFUNCTION("""COMPUTED_VALUE"""),"Jaime")</f>
        <v>Jaime</v>
      </c>
      <c r="AS90" s="6" t="str">
        <f>IFERROR(__xludf.DUMMYFUNCTION("""COMPUTED_VALUE"""),"Alberto")</f>
        <v>Alberto</v>
      </c>
      <c r="AT90" s="6" t="str">
        <f>IFERROR(__xludf.DUMMYFUNCTION("""COMPUTED_VALUE"""),"Velásquez López")</f>
        <v>Velásquez López</v>
      </c>
      <c r="AU90" s="6" t="str">
        <f>IFERROR(__xludf.DUMMYFUNCTION("""COMPUTED_VALUE"""),"papeto001@hotmail.com")</f>
        <v>papeto001@hotmail.com</v>
      </c>
      <c r="AV90" s="6" t="str">
        <f>IFERROR(__xludf.DUMMYFUNCTION("""COMPUTED_VALUE"""),"Zootecnista")</f>
        <v>Zootecnista</v>
      </c>
      <c r="AW90" s="6" t="str">
        <f>IFERROR(__xludf.DUMMYFUNCTION("""COMPUTED_VALUE"""),"Detectores Colombia SAS")</f>
        <v>Detectores Colombia SAS</v>
      </c>
      <c r="AX90" s="12" t="str">
        <f>IFERROR(__xludf.DUMMYFUNCTION("""COMPUTED_VALUE"""),"9736163")</f>
        <v>9736163</v>
      </c>
      <c r="AY90" s="12" t="str">
        <f>IFERROR(__xludf.DUMMYFUNCTION("""COMPUTED_VALUE"""),"3023616031")</f>
        <v>3023616031</v>
      </c>
      <c r="AZ90" s="6" t="str">
        <f>IFERROR(__xludf.DUMMYFUNCTION("""COMPUTED_VALUE"""),"Padre")</f>
        <v>Padre</v>
      </c>
      <c r="BA90" s="6"/>
      <c r="BB90" s="6"/>
      <c r="BC90" s="6"/>
      <c r="BD90" s="12" t="str">
        <f>IFERROR(__xludf.DUMMYFUNCTION("""COMPUTED_VALUE"""),"vel0020")</f>
        <v>vel0020</v>
      </c>
      <c r="BE90" s="6" t="str">
        <f>IFERROR(__xludf.DUMMYFUNCTION("""COMPUTED_VALUE"""),"FALTAN FIRMAS")</f>
        <v>FALTAN FIRMAS</v>
      </c>
      <c r="BF90" s="12" t="str">
        <f>IFERROR(__xludf.DUMMYFUNCTION("""COMPUTED_VALUE"""),"PÓLIZA")</f>
        <v>PÓLIZA</v>
      </c>
      <c r="BG90" s="6">
        <f>IFERROR(__xludf.DUMMYFUNCTION("""COMPUTED_VALUE"""),2040.0)</f>
        <v>2040</v>
      </c>
      <c r="BH90" s="15">
        <f>IFERROR(__xludf.DUMMYFUNCTION("""COMPUTED_VALUE"""),46211.4415625)</f>
        <v>46211.44156</v>
      </c>
      <c r="BI90" s="6">
        <f>IFERROR(__xludf.DUMMYFUNCTION("""COMPUTED_VALUE"""),89.0)</f>
        <v>89</v>
      </c>
      <c r="BJ90" s="6"/>
      <c r="BK90" s="6"/>
      <c r="BL90" s="6" t="str">
        <f>IFERROR(__xludf.DUMMYFUNCTION("""COMPUTED_VALUE"""),"GISVEL0020")</f>
        <v>GISVEL0020</v>
      </c>
      <c r="BM90" s="6"/>
      <c r="BN90" s="6"/>
      <c r="BO90" s="6"/>
      <c r="BP90" s="6" t="str">
        <f>IFERROR(__xludf.DUMMYFUNCTION("""COMPUTED_VALUE"""),"XC_K4_IniciaDanzas")</f>
        <v>XC_K4_IniciaDanzas</v>
      </c>
      <c r="BQ90" s="6" t="str">
        <f>IFERROR(__xludf.DUMMYFUNCTION("""COMPUTED_VALUE"""),"XC_K4_Polimotor")</f>
        <v>XC_K4_Polimotor</v>
      </c>
      <c r="BR90" s="6"/>
      <c r="BS90" s="6"/>
      <c r="BT90" s="6"/>
      <c r="BU90" s="6" t="str">
        <f>IFERROR(__xludf.DUMMYFUNCTION("""COMPUTED_VALUE"""),"SI")</f>
        <v>SI</v>
      </c>
      <c r="BV90" s="6" t="str">
        <f>IFERROR(__xludf.DUMMYFUNCTION("""COMPUTED_VALUE"""),"rebeca.v2040")</f>
        <v>rebeca.v2040</v>
      </c>
      <c r="BW90" s="6"/>
      <c r="BX90" s="6"/>
      <c r="BY90" s="6"/>
      <c r="B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 t="str">
        <f>IFERROR(__xludf.DUMMYFUNCTION("""COMPUTED_VALUE"""),"Madre")</f>
        <v>Madre</v>
      </c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 t="str">
        <f>IFERROR(__xludf.DUMMYFUNCTION("""COMPUTED_VALUE"""),"Padre")</f>
        <v>Padre</v>
      </c>
      <c r="BA91" s="6"/>
      <c r="BB91" s="6"/>
      <c r="BC91" s="6"/>
      <c r="BD91" s="6"/>
      <c r="BE91" s="6"/>
      <c r="BF91" s="6"/>
      <c r="BG91" s="6"/>
      <c r="BH91" s="6"/>
      <c r="BI91" s="6">
        <f>IFERROR(__xludf.DUMMYFUNCTION("""COMPUTED_VALUE"""),90.0)</f>
        <v>90</v>
      </c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</row>
    <row r="92">
      <c r="A92" s="12">
        <f>IFERROR(__xludf.DUMMYFUNCTION("""COMPUTED_VALUE"""),1.092467691E9)</f>
        <v>1092467691</v>
      </c>
      <c r="B92" s="6">
        <f>IFERROR(__xludf.DUMMYFUNCTION("""COMPUTED_VALUE"""),1.0)</f>
        <v>1</v>
      </c>
      <c r="C92" s="6" t="str">
        <f>IFERROR(__xludf.DUMMYFUNCTION("""COMPUTED_VALUE"""),"Irene")</f>
        <v>Irene</v>
      </c>
      <c r="D92" s="6"/>
      <c r="E92" s="6" t="str">
        <f>IFERROR(__xludf.DUMMYFUNCTION("""COMPUTED_VALUE"""),"Arango Murillas")</f>
        <v>Arango Murillas</v>
      </c>
      <c r="F92" s="6" t="str">
        <f>IFERROR(__xludf.DUMMYFUNCTION("""COMPUTED_VALUE"""),"Calle 17Nte No9 - 03 Apt104 Barrio El Nogal")</f>
        <v>Calle 17Nte No9 - 03 Apt104 Barrio El Nogal</v>
      </c>
      <c r="G92" s="12" t="str">
        <f>IFERROR(__xludf.DUMMYFUNCTION("""COMPUTED_VALUE"""),"2022")</f>
        <v>2022</v>
      </c>
      <c r="H92" s="6" t="str">
        <f>IFERROR(__xludf.DUMMYFUNCTION("""COMPUTED_VALUE"""),"Mayo")</f>
        <v>Mayo</v>
      </c>
      <c r="I92" s="12" t="str">
        <f>IFERROR(__xludf.DUMMYFUNCTION("""COMPUTED_VALUE"""),"26")</f>
        <v>26</v>
      </c>
      <c r="J92" s="6" t="str">
        <f>IFERROR(__xludf.DUMMYFUNCTION("""COMPUTED_VALUE"""),"Armenia")</f>
        <v>Armenia</v>
      </c>
      <c r="K92" s="6" t="str">
        <f>IFERROR(__xludf.DUMMYFUNCTION("""COMPUTED_VALUE"""),"irene.a2040@gi.edu.co")</f>
        <v>irene.a2040@gi.edu.co</v>
      </c>
      <c r="L92" s="6" t="str">
        <f>IFERROR(__xludf.DUMMYFUNCTION("""COMPUTED_VALUE"""),"RC")</f>
        <v>RC</v>
      </c>
      <c r="M92" s="6" t="str">
        <f>IFERROR(__xludf.DUMMYFUNCTION("""COMPUTED_VALUE"""),"Armenia")</f>
        <v>Armenia</v>
      </c>
      <c r="N92" s="6" t="str">
        <f>IFERROR(__xludf.DUMMYFUNCTION("""COMPUTED_VALUE"""),"F")</f>
        <v>F</v>
      </c>
      <c r="O92" s="6" t="str">
        <f>IFERROR(__xludf.DUMMYFUNCTION("""COMPUTED_VALUE"""),"ACTIVE")</f>
        <v>ACTIVE</v>
      </c>
      <c r="P92" s="6"/>
      <c r="Q92" s="6" t="str">
        <f>IFERROR(__xludf.DUMMYFUNCTION("""COMPUTED_VALUE"""),"Armenia")</f>
        <v>Armenia</v>
      </c>
      <c r="R92" s="12" t="str">
        <f>IFERROR(__xludf.DUMMYFUNCTION("""COMPUTED_VALUE"""),"Gi4z4rm*")</f>
        <v>Gi4z4rm*</v>
      </c>
      <c r="S92" s="6" t="str">
        <f>IFERROR(__xludf.DUMMYFUNCTION("""COMPUTED_VALUE"""),"Arango Murillas Irene ")</f>
        <v>Arango Murillas Irene </v>
      </c>
      <c r="T92" s="6" t="str">
        <f>IFERROR(__xludf.DUMMYFUNCTION("""COMPUTED_VALUE"""),"ARTURO ARANGO GIRALDO")</f>
        <v>ARTURO ARANGO GIRALDO</v>
      </c>
      <c r="U92" s="12" t="str">
        <f>IFERROR(__xludf.DUMMYFUNCTION("""COMPUTED_VALUE"""),"1094902026")</f>
        <v>1094902026</v>
      </c>
      <c r="V92" s="6">
        <f>IFERROR(__xludf.DUMMYFUNCTION("""COMPUTED_VALUE"""),3.128597047E9)</f>
        <v>3128597047</v>
      </c>
      <c r="W92" s="6" t="str">
        <f>IFERROR(__xludf.DUMMYFUNCTION("""COMPUTED_VALUE"""),"arturoarango@outlook.com")</f>
        <v>arturoarango@outlook.com</v>
      </c>
      <c r="X92" s="12" t="str">
        <f>IFERROR(__xludf.DUMMYFUNCTION("""COMPUTED_VALUE"""),"A+")</f>
        <v>A+</v>
      </c>
      <c r="Y92" s="12" t="str">
        <f>IFERROR(__xludf.DUMMYFUNCTION("""COMPUTED_VALUE"""),"K4")</f>
        <v>K4</v>
      </c>
      <c r="Z92" s="12">
        <f>IFERROR(__xludf.DUMMYFUNCTION("""COMPUTED_VALUE"""),120479.0)</f>
        <v>120479</v>
      </c>
      <c r="AA92" s="6" t="str">
        <f>IFERROR(__xludf.DUMMYFUNCTION("""COMPUTED_VALUE"""),"SURA")</f>
        <v>SURA</v>
      </c>
      <c r="AB92" s="6"/>
      <c r="AC92" s="12" t="str">
        <f>IFERROR(__xludf.DUMMYFUNCTION("""COMPUTED_VALUE"""),"CARNES FRIAS")</f>
        <v>CARNES FRIAS</v>
      </c>
      <c r="AD92" s="12" t="str">
        <f>IFERROR(__xludf.DUMMYFUNCTION("""COMPUTED_VALUE"""),"K4C")</f>
        <v>K4C</v>
      </c>
      <c r="AE92" s="12" t="str">
        <f>IFERROR(__xludf.DUMMYFUNCTION("""COMPUTED_VALUE"""),"1345282477")</f>
        <v>1345282477</v>
      </c>
      <c r="AF92" s="12" t="str">
        <f>IFERROR(__xludf.DUMMYFUNCTION("""COMPUTED_VALUE"""),"1345282477")</f>
        <v>1345282477</v>
      </c>
      <c r="AG92" s="12" t="str">
        <f>IFERROR(__xludf.DUMMYFUNCTION("""COMPUTED_VALUE"""),"Lina")</f>
        <v>Lina</v>
      </c>
      <c r="AH92" s="12" t="str">
        <f>IFERROR(__xludf.DUMMYFUNCTION("""COMPUTED_VALUE"""),"María")</f>
        <v>María</v>
      </c>
      <c r="AI92" s="6" t="str">
        <f>IFERROR(__xludf.DUMMYFUNCTION("""COMPUTED_VALUE"""),"Murillas Arcila")</f>
        <v>Murillas Arcila</v>
      </c>
      <c r="AJ92" s="6" t="str">
        <f>IFERROR(__xludf.DUMMYFUNCTION("""COMPUTED_VALUE"""),"lina_murillas@hotmail.com")</f>
        <v>lina_murillas@hotmail.com</v>
      </c>
      <c r="AK92" s="6" t="str">
        <f>IFERROR(__xludf.DUMMYFUNCTION("""COMPUTED_VALUE"""),"Odontóloga")</f>
        <v>Odontóloga</v>
      </c>
      <c r="AL92" s="6" t="str">
        <f>IFERROR(__xludf.DUMMYFUNCTION("""COMPUTED_VALUE"""),"MINIMOUTH")</f>
        <v>MINIMOUTH</v>
      </c>
      <c r="AM92" s="12" t="str">
        <f>IFERROR(__xludf.DUMMYFUNCTION("""COMPUTED_VALUE"""),"1094885166")</f>
        <v>1094885166</v>
      </c>
      <c r="AN92" s="12" t="str">
        <f>IFERROR(__xludf.DUMMYFUNCTION("""COMPUTED_VALUE"""),"3156593727")</f>
        <v>3156593727</v>
      </c>
      <c r="AO92" s="6" t="str">
        <f>IFERROR(__xludf.DUMMYFUNCTION("""COMPUTED_VALUE"""),"Madre")</f>
        <v>Madre</v>
      </c>
      <c r="AP92" s="6" t="str">
        <f>IFERROR(__xludf.DUMMYFUNCTION("""COMPUTED_VALUE"""),"Estudiante(s): Arango Murillas")</f>
        <v>Estudiante(s): Arango Murillas</v>
      </c>
      <c r="AQ92" s="6" t="str">
        <f>IFERROR(__xludf.DUMMYFUNCTION("""COMPUTED_VALUE"""),"120479*Gi")</f>
        <v>120479*Gi</v>
      </c>
      <c r="AR92" s="6" t="str">
        <f>IFERROR(__xludf.DUMMYFUNCTION("""COMPUTED_VALUE"""),"Arturo")</f>
        <v>Arturo</v>
      </c>
      <c r="AS92" s="6"/>
      <c r="AT92" s="6" t="str">
        <f>IFERROR(__xludf.DUMMYFUNCTION("""COMPUTED_VALUE"""),"Arango Giraldo")</f>
        <v>Arango Giraldo</v>
      </c>
      <c r="AU92" s="6" t="str">
        <f>IFERROR(__xludf.DUMMYFUNCTION("""COMPUTED_VALUE"""),"arturoarango@outlook.com")</f>
        <v>arturoarango@outlook.com</v>
      </c>
      <c r="AV92" s="6" t="str">
        <f>IFERROR(__xludf.DUMMYFUNCTION("""COMPUTED_VALUE"""),"Administrador de Empresas")</f>
        <v>Administrador de Empresas</v>
      </c>
      <c r="AW92" s="6" t="str">
        <f>IFERROR(__xludf.DUMMYFUNCTION("""COMPUTED_VALUE"""),"HACIENDA EL PARAISO")</f>
        <v>HACIENDA EL PARAISO</v>
      </c>
      <c r="AX92" s="12" t="str">
        <f>IFERROR(__xludf.DUMMYFUNCTION("""COMPUTED_VALUE"""),"1094902026")</f>
        <v>1094902026</v>
      </c>
      <c r="AY92" s="12" t="str">
        <f>IFERROR(__xludf.DUMMYFUNCTION("""COMPUTED_VALUE"""),"3128597047")</f>
        <v>3128597047</v>
      </c>
      <c r="AZ92" s="6" t="str">
        <f>IFERROR(__xludf.DUMMYFUNCTION("""COMPUTED_VALUE"""),"Padre")</f>
        <v>Padre</v>
      </c>
      <c r="BA92" s="6"/>
      <c r="BB92" s="6"/>
      <c r="BC92" s="6"/>
      <c r="BD92" s="12" t="str">
        <f>IFERROR(__xludf.DUMMYFUNCTION("""COMPUTED_VALUE"""),"ara0012")</f>
        <v>ara0012</v>
      </c>
      <c r="BE92" s="6"/>
      <c r="BF92" s="6"/>
      <c r="BG92" s="6">
        <f>IFERROR(__xludf.DUMMYFUNCTION("""COMPUTED_VALUE"""),2040.0)</f>
        <v>2040</v>
      </c>
      <c r="BH92" s="16">
        <f>IFERROR(__xludf.DUMMYFUNCTION("""COMPUTED_VALUE"""),46212.5174537037)</f>
        <v>46212.51745</v>
      </c>
      <c r="BI92" s="6">
        <f>IFERROR(__xludf.DUMMYFUNCTION("""COMPUTED_VALUE"""),91.0)</f>
        <v>91</v>
      </c>
      <c r="BJ92" s="6"/>
      <c r="BK92" s="6"/>
      <c r="BL92" s="6" t="str">
        <f>IFERROR(__xludf.DUMMYFUNCTION("""COMPUTED_VALUE"""),"GISARA0012")</f>
        <v>GISARA0012</v>
      </c>
      <c r="BM92" s="6"/>
      <c r="BN92" s="6"/>
      <c r="BO92" s="6"/>
      <c r="BP92" s="6"/>
      <c r="BQ92" s="6"/>
      <c r="BR92" s="6"/>
      <c r="BS92" s="6"/>
      <c r="BT92" s="6"/>
      <c r="BU92" s="6" t="str">
        <f>IFERROR(__xludf.DUMMYFUNCTION("""COMPUTED_VALUE"""),"SI")</f>
        <v>SI</v>
      </c>
      <c r="BV92" s="6" t="str">
        <f>IFERROR(__xludf.DUMMYFUNCTION("""COMPUTED_VALUE"""),"irene.a2040")</f>
        <v>irene.a2040</v>
      </c>
      <c r="BW92" s="6"/>
      <c r="BX92" s="6"/>
      <c r="BY92" s="6"/>
      <c r="BZ92" s="6"/>
    </row>
    <row r="93">
      <c r="A93" s="12">
        <f>IFERROR(__xludf.DUMMYFUNCTION("""COMPUTED_VALUE"""),1.092865565E9)</f>
        <v>1092865565</v>
      </c>
      <c r="B93" s="6">
        <f>IFERROR(__xludf.DUMMYFUNCTION("""COMPUTED_VALUE"""),2.0)</f>
        <v>2</v>
      </c>
      <c r="C93" s="6" t="str">
        <f>IFERROR(__xludf.DUMMYFUNCTION("""COMPUTED_VALUE"""),"Elías")</f>
        <v>Elías</v>
      </c>
      <c r="D93" s="6"/>
      <c r="E93" s="6" t="str">
        <f>IFERROR(__xludf.DUMMYFUNCTION("""COMPUTED_VALUE"""),"Botero García")</f>
        <v>Botero García</v>
      </c>
      <c r="F93" s="6" t="str">
        <f>IFERROR(__xludf.DUMMYFUNCTION("""COMPUTED_VALUE"""),"Lagos de Iraka Casa 68 - Km 12 Via Armenia - El Caimo")</f>
        <v>Lagos de Iraka Casa 68 - Km 12 Via Armenia - El Caimo</v>
      </c>
      <c r="G93" s="12">
        <f>IFERROR(__xludf.DUMMYFUNCTION("""COMPUTED_VALUE"""),2021.0)</f>
        <v>2021</v>
      </c>
      <c r="H93" s="6" t="str">
        <f>IFERROR(__xludf.DUMMYFUNCTION("""COMPUTED_VALUE"""),"Diciembre")</f>
        <v>Diciembre</v>
      </c>
      <c r="I93" s="12">
        <f>IFERROR(__xludf.DUMMYFUNCTION("""COMPUTED_VALUE"""),1.0)</f>
        <v>1</v>
      </c>
      <c r="J93" s="6" t="str">
        <f>IFERROR(__xludf.DUMMYFUNCTION("""COMPUTED_VALUE"""),"Armenia")</f>
        <v>Armenia</v>
      </c>
      <c r="K93" s="6" t="str">
        <f>IFERROR(__xludf.DUMMYFUNCTION("""COMPUTED_VALUE"""),"elias.b2040@gi.edu.co")</f>
        <v>elias.b2040@gi.edu.co</v>
      </c>
      <c r="L93" s="6" t="str">
        <f>IFERROR(__xludf.DUMMYFUNCTION("""COMPUTED_VALUE"""),"RC")</f>
        <v>RC</v>
      </c>
      <c r="M93" s="6" t="str">
        <f>IFERROR(__xludf.DUMMYFUNCTION("""COMPUTED_VALUE"""),"Armenia")</f>
        <v>Armenia</v>
      </c>
      <c r="N93" s="6" t="str">
        <f>IFERROR(__xludf.DUMMYFUNCTION("""COMPUTED_VALUE"""),"M")</f>
        <v>M</v>
      </c>
      <c r="O93" s="6" t="str">
        <f>IFERROR(__xludf.DUMMYFUNCTION("""COMPUTED_VALUE"""),"ACTIVE")</f>
        <v>ACTIVE</v>
      </c>
      <c r="P93" s="6"/>
      <c r="Q93" s="6" t="str">
        <f>IFERROR(__xludf.DUMMYFUNCTION("""COMPUTED_VALUE"""),"Armenia")</f>
        <v>Armenia</v>
      </c>
      <c r="R93" s="12" t="str">
        <f>IFERROR(__xludf.DUMMYFUNCTION("""COMPUTED_VALUE"""),"Gig9r5tw*")</f>
        <v>Gig9r5tw*</v>
      </c>
      <c r="S93" s="6" t="str">
        <f>IFERROR(__xludf.DUMMYFUNCTION("""COMPUTED_VALUE"""),"Botero García Elías ")</f>
        <v>Botero García Elías </v>
      </c>
      <c r="T93" s="6" t="str">
        <f>IFERROR(__xludf.DUMMYFUNCTION("""COMPUTED_VALUE"""),"SEBASTIAN BOTERO BUENO")</f>
        <v>SEBASTIAN BOTERO BUENO</v>
      </c>
      <c r="U93" s="12" t="str">
        <f>IFERROR(__xludf.DUMMYFUNCTION("""COMPUTED_VALUE"""),"1094898447")</f>
        <v>1094898447</v>
      </c>
      <c r="V93" s="6">
        <f>IFERROR(__xludf.DUMMYFUNCTION("""COMPUTED_VALUE"""),3.128225327E9)</f>
        <v>3128225327</v>
      </c>
      <c r="W93" s="6" t="str">
        <f>IFERROR(__xludf.DUMMYFUNCTION("""COMPUTED_VALUE"""),"polo400@hotmail.com")</f>
        <v>polo400@hotmail.com</v>
      </c>
      <c r="X93" s="12" t="str">
        <f>IFERROR(__xludf.DUMMYFUNCTION("""COMPUTED_VALUE"""),"O+")</f>
        <v>O+</v>
      </c>
      <c r="Y93" s="12" t="str">
        <f>IFERROR(__xludf.DUMMYFUNCTION("""COMPUTED_VALUE"""),"K4")</f>
        <v>K4</v>
      </c>
      <c r="Z93" s="12">
        <f>IFERROR(__xludf.DUMMYFUNCTION("""COMPUTED_VALUE"""),120423.0)</f>
        <v>120423</v>
      </c>
      <c r="AA93" s="6" t="str">
        <f>IFERROR(__xludf.DUMMYFUNCTION("""COMPUTED_VALUE"""),"SALUD TOTAL")</f>
        <v>SALUD TOTAL</v>
      </c>
      <c r="AB93" s="6"/>
      <c r="AC93" s="6"/>
      <c r="AD93" s="12" t="str">
        <f>IFERROR(__xludf.DUMMYFUNCTION("""COMPUTED_VALUE"""),"K4C")</f>
        <v>K4C</v>
      </c>
      <c r="AE93" s="12" t="str">
        <f>IFERROR(__xludf.DUMMYFUNCTION("""COMPUTED_VALUE"""),"1345282448")</f>
        <v>1345282448</v>
      </c>
      <c r="AF93" s="12" t="str">
        <f>IFERROR(__xludf.DUMMYFUNCTION("""COMPUTED_VALUE"""),"1345282448")</f>
        <v>1345282448</v>
      </c>
      <c r="AG93" s="12" t="str">
        <f>IFERROR(__xludf.DUMMYFUNCTION("""COMPUTED_VALUE"""),"Melina")</f>
        <v>Melina</v>
      </c>
      <c r="AH93" s="6"/>
      <c r="AI93" s="6" t="str">
        <f>IFERROR(__xludf.DUMMYFUNCTION("""COMPUTED_VALUE"""),"García Cruz")</f>
        <v>García Cruz</v>
      </c>
      <c r="AJ93" s="6" t="str">
        <f>IFERROR(__xludf.DUMMYFUNCTION("""COMPUTED_VALUE"""),"meligarciacruz@hotmail.com")</f>
        <v>meligarciacruz@hotmail.com</v>
      </c>
      <c r="AK93" s="6" t="str">
        <f>IFERROR(__xludf.DUMMYFUNCTION("""COMPUTED_VALUE"""),"Economista")</f>
        <v>Economista</v>
      </c>
      <c r="AL93" s="6"/>
      <c r="AM93" s="12" t="str">
        <f>IFERROR(__xludf.DUMMYFUNCTION("""COMPUTED_VALUE"""),"1094943750")</f>
        <v>1094943750</v>
      </c>
      <c r="AN93" s="12" t="str">
        <f>IFERROR(__xludf.DUMMYFUNCTION("""COMPUTED_VALUE"""),"3153502776")</f>
        <v>3153502776</v>
      </c>
      <c r="AO93" s="6" t="str">
        <f>IFERROR(__xludf.DUMMYFUNCTION("""COMPUTED_VALUE"""),"Madre")</f>
        <v>Madre</v>
      </c>
      <c r="AP93" s="6" t="str">
        <f>IFERROR(__xludf.DUMMYFUNCTION("""COMPUTED_VALUE"""),"Estudiante(s): Botero García")</f>
        <v>Estudiante(s): Botero García</v>
      </c>
      <c r="AQ93" s="6" t="str">
        <f>IFERROR(__xludf.DUMMYFUNCTION("""COMPUTED_VALUE"""),"120423*Gi")</f>
        <v>120423*Gi</v>
      </c>
      <c r="AR93" s="6" t="str">
        <f>IFERROR(__xludf.DUMMYFUNCTION("""COMPUTED_VALUE"""),"Sebastián")</f>
        <v>Sebastián</v>
      </c>
      <c r="AS93" s="6"/>
      <c r="AT93" s="6" t="str">
        <f>IFERROR(__xludf.DUMMYFUNCTION("""COMPUTED_VALUE"""),"Botero Bueno")</f>
        <v>Botero Bueno</v>
      </c>
      <c r="AU93" s="6" t="str">
        <f>IFERROR(__xludf.DUMMYFUNCTION("""COMPUTED_VALUE"""),"polo400@hotmail.com")</f>
        <v>polo400@hotmail.com</v>
      </c>
      <c r="AV93" s="6" t="str">
        <f>IFERROR(__xludf.DUMMYFUNCTION("""COMPUTED_VALUE"""),"Abogado")</f>
        <v>Abogado</v>
      </c>
      <c r="AW93" s="6" t="str">
        <f>IFERROR(__xludf.DUMMYFUNCTION("""COMPUTED_VALUE"""),"Only muebles ")</f>
        <v>Only muebles </v>
      </c>
      <c r="AX93" s="12" t="str">
        <f>IFERROR(__xludf.DUMMYFUNCTION("""COMPUTED_VALUE"""),"1094898447")</f>
        <v>1094898447</v>
      </c>
      <c r="AY93" s="12" t="str">
        <f>IFERROR(__xludf.DUMMYFUNCTION("""COMPUTED_VALUE"""),"3128225327")</f>
        <v>3128225327</v>
      </c>
      <c r="AZ93" s="6" t="str">
        <f>IFERROR(__xludf.DUMMYFUNCTION("""COMPUTED_VALUE"""),"Padre")</f>
        <v>Padre</v>
      </c>
      <c r="BA93" s="6"/>
      <c r="BB93" s="6"/>
      <c r="BC93" s="6"/>
      <c r="BD93" s="12" t="str">
        <f>IFERROR(__xludf.DUMMYFUNCTION("""COMPUTED_VALUE"""),"bot0022")</f>
        <v>bot0022</v>
      </c>
      <c r="BE93" s="6"/>
      <c r="BF93" s="6"/>
      <c r="BG93" s="6">
        <f>IFERROR(__xludf.DUMMYFUNCTION("""COMPUTED_VALUE"""),2040.0)</f>
        <v>2040</v>
      </c>
      <c r="BH93" s="15">
        <f>IFERROR(__xludf.DUMMYFUNCTION("""COMPUTED_VALUE"""),46212.43641203704)</f>
        <v>46212.43641</v>
      </c>
      <c r="BI93" s="6">
        <f>IFERROR(__xludf.DUMMYFUNCTION("""COMPUTED_VALUE"""),92.0)</f>
        <v>92</v>
      </c>
      <c r="BJ93" s="6"/>
      <c r="BK93" s="6"/>
      <c r="BL93" s="6" t="str">
        <f>IFERROR(__xludf.DUMMYFUNCTION("""COMPUTED_VALUE"""),"GISBOT0022")</f>
        <v>GISBOT0022</v>
      </c>
      <c r="BM93" s="6"/>
      <c r="BN93" s="6"/>
      <c r="BO93" s="6"/>
      <c r="BP93" s="6"/>
      <c r="BQ93" s="6" t="str">
        <f>IFERROR(__xludf.DUMMYFUNCTION("""COMPUTED_VALUE"""),"XC_K4_Futbol")</f>
        <v>XC_K4_Futbol</v>
      </c>
      <c r="BR93" s="6"/>
      <c r="BS93" s="6"/>
      <c r="BT93" s="6"/>
      <c r="BU93" s="6" t="str">
        <f>IFERROR(__xludf.DUMMYFUNCTION("""COMPUTED_VALUE"""),"SI")</f>
        <v>SI</v>
      </c>
      <c r="BV93" s="6" t="str">
        <f>IFERROR(__xludf.DUMMYFUNCTION("""COMPUTED_VALUE"""),"elias.b2040")</f>
        <v>elias.b2040</v>
      </c>
      <c r="BW93" s="6"/>
      <c r="BX93" s="6"/>
      <c r="BY93" s="6"/>
      <c r="BZ93" s="6"/>
    </row>
    <row r="94">
      <c r="A94" s="12">
        <f>IFERROR(__xludf.DUMMYFUNCTION("""COMPUTED_VALUE"""),1.092865592E9)</f>
        <v>1092865592</v>
      </c>
      <c r="B94" s="6">
        <f>IFERROR(__xludf.DUMMYFUNCTION("""COMPUTED_VALUE"""),3.0)</f>
        <v>3</v>
      </c>
      <c r="C94" s="6" t="str">
        <f>IFERROR(__xludf.DUMMYFUNCTION("""COMPUTED_VALUE"""),"Paloma")</f>
        <v>Paloma</v>
      </c>
      <c r="D94" s="6"/>
      <c r="E94" s="6" t="str">
        <f>IFERROR(__xludf.DUMMYFUNCTION("""COMPUTED_VALUE"""),"Giraldo Taborda")</f>
        <v>Giraldo Taborda</v>
      </c>
      <c r="F94" s="6" t="str">
        <f>IFERROR(__xludf.DUMMYFUNCTION("""COMPUTED_VALUE"""),"Los Abedules Casa 19 - Km 7 Via Armenia Pereira")</f>
        <v>Los Abedules Casa 19 - Km 7 Via Armenia Pereira</v>
      </c>
      <c r="G94" s="12" t="str">
        <f>IFERROR(__xludf.DUMMYFUNCTION("""COMPUTED_VALUE"""),"2021")</f>
        <v>2021</v>
      </c>
      <c r="H94" s="6" t="str">
        <f>IFERROR(__xludf.DUMMYFUNCTION("""COMPUTED_VALUE"""),"Diciembre")</f>
        <v>Diciembre</v>
      </c>
      <c r="I94" s="12" t="str">
        <f>IFERROR(__xludf.DUMMYFUNCTION("""COMPUTED_VALUE"""),"13")</f>
        <v>13</v>
      </c>
      <c r="J94" s="6" t="str">
        <f>IFERROR(__xludf.DUMMYFUNCTION("""COMPUTED_VALUE"""),"Armenia")</f>
        <v>Armenia</v>
      </c>
      <c r="K94" s="6" t="str">
        <f>IFERROR(__xludf.DUMMYFUNCTION("""COMPUTED_VALUE"""),"paloma.g2040@gi.edu.co")</f>
        <v>paloma.g2040@gi.edu.co</v>
      </c>
      <c r="L94" s="6" t="str">
        <f>IFERROR(__xludf.DUMMYFUNCTION("""COMPUTED_VALUE"""),"RC")</f>
        <v>RC</v>
      </c>
      <c r="M94" s="6" t="str">
        <f>IFERROR(__xludf.DUMMYFUNCTION("""COMPUTED_VALUE"""),"Armenia")</f>
        <v>Armenia</v>
      </c>
      <c r="N94" s="6" t="str">
        <f>IFERROR(__xludf.DUMMYFUNCTION("""COMPUTED_VALUE"""),"F")</f>
        <v>F</v>
      </c>
      <c r="O94" s="6" t="str">
        <f>IFERROR(__xludf.DUMMYFUNCTION("""COMPUTED_VALUE"""),"ACTIVE")</f>
        <v>ACTIVE</v>
      </c>
      <c r="P94" s="6"/>
      <c r="Q94" s="6" t="str">
        <f>IFERROR(__xludf.DUMMYFUNCTION("""COMPUTED_VALUE"""),"Circasia")</f>
        <v>Circasia</v>
      </c>
      <c r="R94" s="12" t="str">
        <f>IFERROR(__xludf.DUMMYFUNCTION("""COMPUTED_VALUE"""),"Gixny85m*")</f>
        <v>Gixny85m*</v>
      </c>
      <c r="S94" s="6" t="str">
        <f>IFERROR(__xludf.DUMMYFUNCTION("""COMPUTED_VALUE"""),"Giraldo Taborda Paloma ")</f>
        <v>Giraldo Taborda Paloma </v>
      </c>
      <c r="T94" s="6" t="str">
        <f>IFERROR(__xludf.DUMMYFUNCTION("""COMPUTED_VALUE"""),"ATILANO ALONSO GIRALDO ARBOLEDA")</f>
        <v>ATILANO ALONSO GIRALDO ARBOLEDA</v>
      </c>
      <c r="U94" s="12" t="str">
        <f>IFERROR(__xludf.DUMMYFUNCTION("""COMPUTED_VALUE"""),"7522447")</f>
        <v>7522447</v>
      </c>
      <c r="V94" s="6">
        <f>IFERROR(__xludf.DUMMYFUNCTION("""COMPUTED_VALUE"""),3.155345471E9)</f>
        <v>3155345471</v>
      </c>
      <c r="W94" s="6" t="str">
        <f>IFERROR(__xludf.DUMMYFUNCTION("""COMPUTED_VALUE"""),"ing.atilanogiraldo@gmail.com")</f>
        <v>ing.atilanogiraldo@gmail.com</v>
      </c>
      <c r="X94" s="12" t="str">
        <f>IFERROR(__xludf.DUMMYFUNCTION("""COMPUTED_VALUE"""),"O+")</f>
        <v>O+</v>
      </c>
      <c r="Y94" s="12" t="str">
        <f>IFERROR(__xludf.DUMMYFUNCTION("""COMPUTED_VALUE"""),"K4")</f>
        <v>K4</v>
      </c>
      <c r="Z94" s="6">
        <f>IFERROR(__xludf.DUMMYFUNCTION("""COMPUTED_VALUE"""),120570.0)</f>
        <v>120570</v>
      </c>
      <c r="AA94" s="6" t="str">
        <f>IFERROR(__xludf.DUMMYFUNCTION("""COMPUTED_VALUE"""),"SANITAS")</f>
        <v>SANITAS</v>
      </c>
      <c r="AB94" s="6"/>
      <c r="AC94" s="6"/>
      <c r="AD94" s="12" t="str">
        <f>IFERROR(__xludf.DUMMYFUNCTION("""COMPUTED_VALUE"""),"K4C")</f>
        <v>K4C</v>
      </c>
      <c r="AE94" s="12">
        <f>IFERROR(__xludf.DUMMYFUNCTION("""COMPUTED_VALUE"""),1.345282568E9)</f>
        <v>1345282568</v>
      </c>
      <c r="AF94" s="12">
        <f>IFERROR(__xludf.DUMMYFUNCTION("""COMPUTED_VALUE"""),1.345282568E9)</f>
        <v>1345282568</v>
      </c>
      <c r="AG94" s="12" t="str">
        <f>IFERROR(__xludf.DUMMYFUNCTION("""COMPUTED_VALUE"""),"Karol")</f>
        <v>Karol</v>
      </c>
      <c r="AH94" s="12" t="str">
        <f>IFERROR(__xludf.DUMMYFUNCTION("""COMPUTED_VALUE"""),"Juliana")</f>
        <v>Juliana</v>
      </c>
      <c r="AI94" s="6" t="str">
        <f>IFERROR(__xludf.DUMMYFUNCTION("""COMPUTED_VALUE"""),"Taborda Martínez")</f>
        <v>Taborda Martínez</v>
      </c>
      <c r="AJ94" s="6" t="str">
        <f>IFERROR(__xludf.DUMMYFUNCTION("""COMPUTED_VALUE"""),"takaro17@hotmail.com")</f>
        <v>takaro17@hotmail.com</v>
      </c>
      <c r="AK94" s="6" t="str">
        <f>IFERROR(__xludf.DUMMYFUNCTION("""COMPUTED_VALUE"""),"Ing. Agroindustrial")</f>
        <v>Ing. Agroindustrial</v>
      </c>
      <c r="AL94" s="6" t="str">
        <f>IFERROR(__xludf.DUMMYFUNCTION("""COMPUTED_VALUE"""),"Camara de Representantes")</f>
        <v>Camara de Representantes</v>
      </c>
      <c r="AM94" s="12">
        <f>IFERROR(__xludf.DUMMYFUNCTION("""COMPUTED_VALUE"""),4.1958223E7)</f>
        <v>41958223</v>
      </c>
      <c r="AN94" s="12">
        <f>IFERROR(__xludf.DUMMYFUNCTION("""COMPUTED_VALUE"""),3.207252469E9)</f>
        <v>3207252469</v>
      </c>
      <c r="AO94" s="6" t="str">
        <f>IFERROR(__xludf.DUMMYFUNCTION("""COMPUTED_VALUE"""),"Madre")</f>
        <v>Madre</v>
      </c>
      <c r="AP94" s="6" t="str">
        <f>IFERROR(__xludf.DUMMYFUNCTION("""COMPUTED_VALUE"""),"Estudiante(s): Giraldo Taborda")</f>
        <v>Estudiante(s): Giraldo Taborda</v>
      </c>
      <c r="AQ94" s="6" t="str">
        <f>IFERROR(__xludf.DUMMYFUNCTION("""COMPUTED_VALUE"""),"120570*Gi")</f>
        <v>120570*Gi</v>
      </c>
      <c r="AR94" s="6" t="str">
        <f>IFERROR(__xludf.DUMMYFUNCTION("""COMPUTED_VALUE"""),"Atilano")</f>
        <v>Atilano</v>
      </c>
      <c r="AS94" s="6" t="str">
        <f>IFERROR(__xludf.DUMMYFUNCTION("""COMPUTED_VALUE"""),"Alonso")</f>
        <v>Alonso</v>
      </c>
      <c r="AT94" s="6" t="str">
        <f>IFERROR(__xludf.DUMMYFUNCTION("""COMPUTED_VALUE"""),"Giraldo Arboleda")</f>
        <v>Giraldo Arboleda</v>
      </c>
      <c r="AU94" s="6" t="str">
        <f>IFERROR(__xludf.DUMMYFUNCTION("""COMPUTED_VALUE"""),"ing.atilanogiraldo@gmail.com")</f>
        <v>ing.atilanogiraldo@gmail.com</v>
      </c>
      <c r="AV94" s="6" t="str">
        <f>IFERROR(__xludf.DUMMYFUNCTION("""COMPUTED_VALUE"""),"Matematico e Ing.Civil")</f>
        <v>Matematico e Ing.Civil</v>
      </c>
      <c r="AW94" s="6" t="str">
        <f>IFERROR(__xludf.DUMMYFUNCTION("""COMPUTED_VALUE"""),"HACIENDA PALMICHAL GENOVA")</f>
        <v>HACIENDA PALMICHAL GENOVA</v>
      </c>
      <c r="AX94" s="12">
        <f>IFERROR(__xludf.DUMMYFUNCTION("""COMPUTED_VALUE"""),7522447.0)</f>
        <v>7522447</v>
      </c>
      <c r="AY94" s="12" t="str">
        <f>IFERROR(__xludf.DUMMYFUNCTION("""COMPUTED_VALUE"""),"3155345471")</f>
        <v>3155345471</v>
      </c>
      <c r="AZ94" s="6" t="str">
        <f>IFERROR(__xludf.DUMMYFUNCTION("""COMPUTED_VALUE"""),"Padre")</f>
        <v>Padre</v>
      </c>
      <c r="BA94" s="6"/>
      <c r="BB94" s="6"/>
      <c r="BC94" s="6"/>
      <c r="BD94" s="12" t="str">
        <f>IFERROR(__xludf.DUMMYFUNCTION("""COMPUTED_VALUE"""),"gir0017")</f>
        <v>gir0017</v>
      </c>
      <c r="BE94" s="6"/>
      <c r="BF94" s="12" t="str">
        <f>IFERROR(__xludf.DUMMYFUNCTION("""COMPUTED_VALUE"""),"5M+6m ENE/26 A DIC/26 SE APLICA MATR Y CTOS ESPECIALES")</f>
        <v>5M+6m ENE/26 A DIC/26 SE APLICA MATR Y CTOS ESPECIALES</v>
      </c>
      <c r="BG94" s="6">
        <f>IFERROR(__xludf.DUMMYFUNCTION("""COMPUTED_VALUE"""),2040.0)</f>
        <v>2040</v>
      </c>
      <c r="BH94" s="15">
        <f>IFERROR(__xludf.DUMMYFUNCTION("""COMPUTED_VALUE"""),46211.68212962963)</f>
        <v>46211.68213</v>
      </c>
      <c r="BI94" s="6">
        <f>IFERROR(__xludf.DUMMYFUNCTION("""COMPUTED_VALUE"""),93.0)</f>
        <v>93</v>
      </c>
      <c r="BJ94" s="6"/>
      <c r="BK94" s="6"/>
      <c r="BL94" s="6" t="str">
        <f>IFERROR(__xludf.DUMMYFUNCTION("""COMPUTED_VALUE"""),"GISGIR0017")</f>
        <v>GISGIR0017</v>
      </c>
      <c r="BM94" s="6"/>
      <c r="BN94" s="6"/>
      <c r="BO94" s="6"/>
      <c r="BP94" s="6"/>
      <c r="BQ94" s="6" t="str">
        <f>IFERROR(__xludf.DUMMYFUNCTION("""COMPUTED_VALUE"""),"XC_K4_Polimotor")</f>
        <v>XC_K4_Polimotor</v>
      </c>
      <c r="BR94" s="6"/>
      <c r="BS94" s="6"/>
      <c r="BT94" s="6"/>
      <c r="BU94" s="6" t="str">
        <f>IFERROR(__xludf.DUMMYFUNCTION("""COMPUTED_VALUE"""),"SI")</f>
        <v>SI</v>
      </c>
      <c r="BV94" s="6" t="str">
        <f>IFERROR(__xludf.DUMMYFUNCTION("""COMPUTED_VALUE"""),"paloma.g2040")</f>
        <v>paloma.g2040</v>
      </c>
      <c r="BW94" s="6"/>
      <c r="BX94" s="6"/>
      <c r="BY94" s="6"/>
      <c r="BZ94" s="6"/>
    </row>
    <row r="95">
      <c r="A95" s="12">
        <f>IFERROR(__xludf.DUMMYFUNCTION("""COMPUTED_VALUE"""),1.013041131E9)</f>
        <v>1013041131</v>
      </c>
      <c r="B95" s="6">
        <f>IFERROR(__xludf.DUMMYFUNCTION("""COMPUTED_VALUE"""),4.0)</f>
        <v>4</v>
      </c>
      <c r="C95" s="6" t="str">
        <f>IFERROR(__xludf.DUMMYFUNCTION("""COMPUTED_VALUE"""),"Helena")</f>
        <v>Helena</v>
      </c>
      <c r="D95" s="6"/>
      <c r="E95" s="6" t="str">
        <f>IFERROR(__xludf.DUMMYFUNCTION("""COMPUTED_VALUE"""),"González Bernal")</f>
        <v>González Bernal</v>
      </c>
      <c r="F95" s="6" t="str">
        <f>IFERROR(__xludf.DUMMYFUNCTION("""COMPUTED_VALUE"""),"Condominio Entre Maderos - Vereda El Congal Km 1.2 Via Circasia - Armenia")</f>
        <v>Condominio Entre Maderos - Vereda El Congal Km 1.2 Via Circasia - Armenia</v>
      </c>
      <c r="G95" s="12" t="str">
        <f>IFERROR(__xludf.DUMMYFUNCTION("""COMPUTED_VALUE"""),"2021")</f>
        <v>2021</v>
      </c>
      <c r="H95" s="6" t="str">
        <f>IFERROR(__xludf.DUMMYFUNCTION("""COMPUTED_VALUE"""),"Noviembre")</f>
        <v>Noviembre</v>
      </c>
      <c r="I95" s="12" t="str">
        <f>IFERROR(__xludf.DUMMYFUNCTION("""COMPUTED_VALUE"""),"27")</f>
        <v>27</v>
      </c>
      <c r="J95" s="6" t="str">
        <f>IFERROR(__xludf.DUMMYFUNCTION("""COMPUTED_VALUE"""),"Bogotá D.C.")</f>
        <v>Bogotá D.C.</v>
      </c>
      <c r="K95" s="6" t="str">
        <f>IFERROR(__xludf.DUMMYFUNCTION("""COMPUTED_VALUE"""),"helena.g2040@gi.edu.co")</f>
        <v>helena.g2040@gi.edu.co</v>
      </c>
      <c r="L95" s="6" t="str">
        <f>IFERROR(__xludf.DUMMYFUNCTION("""COMPUTED_VALUE"""),"RC")</f>
        <v>RC</v>
      </c>
      <c r="M95" s="6" t="str">
        <f>IFERROR(__xludf.DUMMYFUNCTION("""COMPUTED_VALUE"""),"Bogotá D.C.")</f>
        <v>Bogotá D.C.</v>
      </c>
      <c r="N95" s="6" t="str">
        <f>IFERROR(__xludf.DUMMYFUNCTION("""COMPUTED_VALUE"""),"F")</f>
        <v>F</v>
      </c>
      <c r="O95" s="6" t="str">
        <f>IFERROR(__xludf.DUMMYFUNCTION("""COMPUTED_VALUE"""),"INACTIVE")</f>
        <v>INACTIVE</v>
      </c>
      <c r="P95" s="6"/>
      <c r="Q95" s="6" t="str">
        <f>IFERROR(__xludf.DUMMYFUNCTION("""COMPUTED_VALUE"""),"Bogotá D.C.")</f>
        <v>Bogotá D.C.</v>
      </c>
      <c r="R95" s="12" t="str">
        <f>IFERROR(__xludf.DUMMYFUNCTION("""COMPUTED_VALUE"""),"Gif6s7j2nn*")</f>
        <v>Gif6s7j2nn*</v>
      </c>
      <c r="S95" s="6" t="str">
        <f>IFERROR(__xludf.DUMMYFUNCTION("""COMPUTED_VALUE"""),"González Bernal Helena ")</f>
        <v>González Bernal Helena </v>
      </c>
      <c r="T95" s="6" t="str">
        <f>IFERROR(__xludf.DUMMYFUNCTION("""COMPUTED_VALUE"""),"HERNANDO JOSÉ GONZÁLEZ AMIN")</f>
        <v>HERNANDO JOSÉ GONZÁLEZ AMIN</v>
      </c>
      <c r="U95" s="12" t="str">
        <f>IFERROR(__xludf.DUMMYFUNCTION("""COMPUTED_VALUE"""),"79941545")</f>
        <v>79941545</v>
      </c>
      <c r="V95" s="6">
        <f>IFERROR(__xludf.DUMMYFUNCTION("""COMPUTED_VALUE"""),3.105699325E9)</f>
        <v>3105699325</v>
      </c>
      <c r="W95" s="6" t="str">
        <f>IFERROR(__xludf.DUMMYFUNCTION("""COMPUTED_VALUE"""),"hgona1@hotmail.com")</f>
        <v>hgona1@hotmail.com</v>
      </c>
      <c r="X95" s="12" t="str">
        <f>IFERROR(__xludf.DUMMYFUNCTION("""COMPUTED_VALUE"""),"O+")</f>
        <v>O+</v>
      </c>
      <c r="Y95" s="12" t="str">
        <f>IFERROR(__xludf.DUMMYFUNCTION("""COMPUTED_VALUE"""),"K4")</f>
        <v>K4</v>
      </c>
      <c r="Z95" s="6">
        <f>IFERROR(__xludf.DUMMYFUNCTION("""COMPUTED_VALUE"""),120499.0)</f>
        <v>120499</v>
      </c>
      <c r="AA95" s="6" t="str">
        <f>IFERROR(__xludf.DUMMYFUNCTION("""COMPUTED_VALUE"""),"OTRA")</f>
        <v>OTRA</v>
      </c>
      <c r="AB95" s="6"/>
      <c r="AC95" s="6"/>
      <c r="AD95" s="12" t="str">
        <f>IFERROR(__xludf.DUMMYFUNCTION("""COMPUTED_VALUE"""),"K4C")</f>
        <v>K4C</v>
      </c>
      <c r="AE95" s="6" t="str">
        <f>IFERROR(__xludf.DUMMYFUNCTION("""COMPUTED_VALUE"""),"1345282498")</f>
        <v>1345282498</v>
      </c>
      <c r="AF95" s="12" t="str">
        <f>IFERROR(__xludf.DUMMYFUNCTION("""COMPUTED_VALUE"""),"1345282498")</f>
        <v>1345282498</v>
      </c>
      <c r="AG95" s="12" t="str">
        <f>IFERROR(__xludf.DUMMYFUNCTION("""COMPUTED_VALUE"""),"Verónica")</f>
        <v>Verónica</v>
      </c>
      <c r="AH95" s="6"/>
      <c r="AI95" s="6" t="str">
        <f>IFERROR(__xludf.DUMMYFUNCTION("""COMPUTED_VALUE"""),"Bernal de González")</f>
        <v>Bernal de González</v>
      </c>
      <c r="AJ95" s="6" t="str">
        <f>IFERROR(__xludf.DUMMYFUNCTION("""COMPUTED_VALUE"""),"veronicabernalg@gmail.com")</f>
        <v>veronicabernalg@gmail.com</v>
      </c>
      <c r="AK95" s="6" t="str">
        <f>IFERROR(__xludf.DUMMYFUNCTION("""COMPUTED_VALUE"""),"Publicista")</f>
        <v>Publicista</v>
      </c>
      <c r="AL95" s="6" t="str">
        <f>IFERROR(__xludf.DUMMYFUNCTION("""COMPUTED_VALUE"""),"Ramon Bernal y Cia.")</f>
        <v>Ramon Bernal y Cia.</v>
      </c>
      <c r="AM95" s="12" t="str">
        <f>IFERROR(__xludf.DUMMYFUNCTION("""COMPUTED_VALUE"""),"1019053345")</f>
        <v>1019053345</v>
      </c>
      <c r="AN95" s="12" t="str">
        <f>IFERROR(__xludf.DUMMYFUNCTION("""COMPUTED_VALUE"""),"3158999559")</f>
        <v>3158999559</v>
      </c>
      <c r="AO95" s="6" t="str">
        <f>IFERROR(__xludf.DUMMYFUNCTION("""COMPUTED_VALUE"""),"Madre")</f>
        <v>Madre</v>
      </c>
      <c r="AP95" s="12" t="str">
        <f>IFERROR(__xludf.DUMMYFUNCTION("""COMPUTED_VALUE"""),"Estudiante(s): González Bernal")</f>
        <v>Estudiante(s): González Bernal</v>
      </c>
      <c r="AQ95" s="6" t="str">
        <f>IFERROR(__xludf.DUMMYFUNCTION("""COMPUTED_VALUE"""),"120499*Gi")</f>
        <v>120499*Gi</v>
      </c>
      <c r="AR95" s="6" t="str">
        <f>IFERROR(__xludf.DUMMYFUNCTION("""COMPUTED_VALUE"""),"Hernando")</f>
        <v>Hernando</v>
      </c>
      <c r="AS95" s="6" t="str">
        <f>IFERROR(__xludf.DUMMYFUNCTION("""COMPUTED_VALUE"""),"José")</f>
        <v>José</v>
      </c>
      <c r="AT95" s="6" t="str">
        <f>IFERROR(__xludf.DUMMYFUNCTION("""COMPUTED_VALUE"""),"González Amín")</f>
        <v>González Amín</v>
      </c>
      <c r="AU95" s="6" t="str">
        <f>IFERROR(__xludf.DUMMYFUNCTION("""COMPUTED_VALUE"""),"hgona1@hotmail.com")</f>
        <v>hgona1@hotmail.com</v>
      </c>
      <c r="AV95" s="6" t="str">
        <f>IFERROR(__xludf.DUMMYFUNCTION("""COMPUTED_VALUE"""),"Administrador de empresas")</f>
        <v>Administrador de empresas</v>
      </c>
      <c r="AW95" s="6" t="str">
        <f>IFERROR(__xludf.DUMMYFUNCTION("""COMPUTED_VALUE"""),"Global Partners")</f>
        <v>Global Partners</v>
      </c>
      <c r="AX95" s="12" t="str">
        <f>IFERROR(__xludf.DUMMYFUNCTION("""COMPUTED_VALUE"""),"79941545")</f>
        <v>79941545</v>
      </c>
      <c r="AY95" s="12" t="str">
        <f>IFERROR(__xludf.DUMMYFUNCTION("""COMPUTED_VALUE"""),"3105699325")</f>
        <v>3105699325</v>
      </c>
      <c r="AZ95" s="6" t="str">
        <f>IFERROR(__xludf.DUMMYFUNCTION("""COMPUTED_VALUE"""),"Padre")</f>
        <v>Padre</v>
      </c>
      <c r="BA95" s="6"/>
      <c r="BB95" s="6"/>
      <c r="BC95" s="6"/>
      <c r="BD95" s="12" t="str">
        <f>IFERROR(__xludf.DUMMYFUNCTION("""COMPUTED_VALUE"""),"gon0018")</f>
        <v>gon0018</v>
      </c>
      <c r="BE95" s="12" t="str">
        <f>IFERROR(__xludf.DUMMYFUNCTION("""COMPUTED_VALUE"""),"FALTAN FIRMAS")</f>
        <v>FALTAN FIRMAS</v>
      </c>
      <c r="BF95" s="12" t="str">
        <f>IFERROR(__xludf.DUMMYFUNCTION("""COMPUTED_VALUE"""),"11M AGO/25 A JUN/27 SE APLICA MATR Y CTOS ESPECIALES")</f>
        <v>11M AGO/25 A JUN/27 SE APLICA MATR Y CTOS ESPECIALES</v>
      </c>
      <c r="BG95" s="6">
        <f>IFERROR(__xludf.DUMMYFUNCTION("""COMPUTED_VALUE"""),2040.0)</f>
        <v>2040</v>
      </c>
      <c r="BH95" s="15">
        <f>IFERROR(__xludf.DUMMYFUNCTION("""COMPUTED_VALUE"""),46212.89472222222)</f>
        <v>46212.89472</v>
      </c>
      <c r="BI95" s="6">
        <f>IFERROR(__xludf.DUMMYFUNCTION("""COMPUTED_VALUE"""),94.0)</f>
        <v>94</v>
      </c>
      <c r="BJ95" s="6"/>
      <c r="BK95" s="6"/>
      <c r="BL95" s="6" t="str">
        <f>IFERROR(__xludf.DUMMYFUNCTION("""COMPUTED_VALUE"""),"GISGON0018")</f>
        <v>GISGON0018</v>
      </c>
      <c r="BM95" s="6"/>
      <c r="BN95" s="6"/>
      <c r="BO95" s="6"/>
      <c r="BP95" s="6" t="str">
        <f>IFERROR(__xludf.DUMMYFUNCTION("""COMPUTED_VALUE"""),"XC_K4_IniciaDanzas")</f>
        <v>XC_K4_IniciaDanzas</v>
      </c>
      <c r="BQ95" s="6"/>
      <c r="BR95" s="6"/>
      <c r="BS95" s="6"/>
      <c r="BT95" s="6"/>
      <c r="BU95" s="6" t="str">
        <f>IFERROR(__xludf.DUMMYFUNCTION("""COMPUTED_VALUE"""),"SI")</f>
        <v>SI</v>
      </c>
      <c r="BV95" s="6" t="str">
        <f>IFERROR(__xludf.DUMMYFUNCTION("""COMPUTED_VALUE"""),"helena.g2040")</f>
        <v>helena.g2040</v>
      </c>
      <c r="BW95" s="6"/>
      <c r="BX95" s="6"/>
      <c r="BY95" s="6"/>
      <c r="BZ95" s="6"/>
    </row>
    <row r="96">
      <c r="A96" s="12">
        <f>IFERROR(__xludf.DUMMYFUNCTION("""COMPUTED_VALUE"""),1.017942845E9)</f>
        <v>1017942845</v>
      </c>
      <c r="B96" s="6">
        <f>IFERROR(__xludf.DUMMYFUNCTION("""COMPUTED_VALUE"""),5.0)</f>
        <v>5</v>
      </c>
      <c r="C96" s="6" t="str">
        <f>IFERROR(__xludf.DUMMYFUNCTION("""COMPUTED_VALUE"""),"Ezequiel")</f>
        <v>Ezequiel</v>
      </c>
      <c r="D96" s="6"/>
      <c r="E96" s="6" t="str">
        <f>IFERROR(__xludf.DUMMYFUNCTION("""COMPUTED_VALUE"""),"González Marín")</f>
        <v>González Marín</v>
      </c>
      <c r="F96" s="6" t="str">
        <f>IFERROR(__xludf.DUMMYFUNCTION("""COMPUTED_VALUE"""),"Calle 25Nte No13 - 41 - COINCA")</f>
        <v>Calle 25Nte No13 - 41 - COINCA</v>
      </c>
      <c r="G96" s="12" t="str">
        <f>IFERROR(__xludf.DUMMYFUNCTION("""COMPUTED_VALUE"""),"2021")</f>
        <v>2021</v>
      </c>
      <c r="H96" s="6" t="str">
        <f>IFERROR(__xludf.DUMMYFUNCTION("""COMPUTED_VALUE"""),"Octubre")</f>
        <v>Octubre</v>
      </c>
      <c r="I96" s="12" t="str">
        <f>IFERROR(__xludf.DUMMYFUNCTION("""COMPUTED_VALUE"""),"16")</f>
        <v>16</v>
      </c>
      <c r="J96" s="6" t="str">
        <f>IFERROR(__xludf.DUMMYFUNCTION("""COMPUTED_VALUE"""),"Medellín")</f>
        <v>Medellín</v>
      </c>
      <c r="K96" s="6" t="str">
        <f>IFERROR(__xludf.DUMMYFUNCTION("""COMPUTED_VALUE"""),"ezequiel.g2040@gi.edu.co")</f>
        <v>ezequiel.g2040@gi.edu.co</v>
      </c>
      <c r="L96" s="6" t="str">
        <f>IFERROR(__xludf.DUMMYFUNCTION("""COMPUTED_VALUE"""),"RC")</f>
        <v>RC</v>
      </c>
      <c r="M96" s="6" t="str">
        <f>IFERROR(__xludf.DUMMYFUNCTION("""COMPUTED_VALUE"""),"Medellín")</f>
        <v>Medellín</v>
      </c>
      <c r="N96" s="6" t="str">
        <f>IFERROR(__xludf.DUMMYFUNCTION("""COMPUTED_VALUE"""),"M")</f>
        <v>M</v>
      </c>
      <c r="O96" s="6" t="str">
        <f>IFERROR(__xludf.DUMMYFUNCTION("""COMPUTED_VALUE"""),"ACTIVE")</f>
        <v>ACTIVE</v>
      </c>
      <c r="P96" s="6"/>
      <c r="Q96" s="6" t="str">
        <f>IFERROR(__xludf.DUMMYFUNCTION("""COMPUTED_VALUE"""),"Armenia")</f>
        <v>Armenia</v>
      </c>
      <c r="R96" s="12" t="str">
        <f>IFERROR(__xludf.DUMMYFUNCTION("""COMPUTED_VALUE"""),"Giwtbip1*")</f>
        <v>Giwtbip1*</v>
      </c>
      <c r="S96" s="6" t="str">
        <f>IFERROR(__xludf.DUMMYFUNCTION("""COMPUTED_VALUE"""),"González Marín Ezequiel ")</f>
        <v>González Marín Ezequiel </v>
      </c>
      <c r="T96" s="6" t="str">
        <f>IFERROR(__xludf.DUMMYFUNCTION("""COMPUTED_VALUE"""),"ANDRES GONZALEZ RAMIREZ")</f>
        <v>ANDRES GONZALEZ RAMIREZ</v>
      </c>
      <c r="U96" s="12" t="str">
        <f>IFERROR(__xludf.DUMMYFUNCTION("""COMPUTED_VALUE"""),"1094890985")</f>
        <v>1094890985</v>
      </c>
      <c r="V96" s="6">
        <f>IFERROR(__xludf.DUMMYFUNCTION("""COMPUTED_VALUE"""),3.206614741E9)</f>
        <v>3206614741</v>
      </c>
      <c r="W96" s="6" t="str">
        <f>IFERROR(__xludf.DUMMYFUNCTION("""COMPUTED_VALUE"""),"centralgeneticalamartina1@gmail.com")</f>
        <v>centralgeneticalamartina1@gmail.com</v>
      </c>
      <c r="X96" s="12" t="str">
        <f>IFERROR(__xludf.DUMMYFUNCTION("""COMPUTED_VALUE"""),"A+")</f>
        <v>A+</v>
      </c>
      <c r="Y96" s="12" t="str">
        <f>IFERROR(__xludf.DUMMYFUNCTION("""COMPUTED_VALUE"""),"K4")</f>
        <v>K4</v>
      </c>
      <c r="Z96" s="12">
        <f>IFERROR(__xludf.DUMMYFUNCTION("""COMPUTED_VALUE"""),120428.0)</f>
        <v>120428</v>
      </c>
      <c r="AA96" s="6" t="str">
        <f>IFERROR(__xludf.DUMMYFUNCTION("""COMPUTED_VALUE"""),"SURA")</f>
        <v>SURA</v>
      </c>
      <c r="AB96" s="6"/>
      <c r="AC96" s="6"/>
      <c r="AD96" s="12" t="str">
        <f>IFERROR(__xludf.DUMMYFUNCTION("""COMPUTED_VALUE"""),"K4C")</f>
        <v>K4C</v>
      </c>
      <c r="AE96" s="12" t="str">
        <f>IFERROR(__xludf.DUMMYFUNCTION("""COMPUTED_VALUE"""),"1345282453")</f>
        <v>1345282453</v>
      </c>
      <c r="AF96" s="12" t="str">
        <f>IFERROR(__xludf.DUMMYFUNCTION("""COMPUTED_VALUE"""),"1345282453")</f>
        <v>1345282453</v>
      </c>
      <c r="AG96" s="12" t="str">
        <f>IFERROR(__xludf.DUMMYFUNCTION("""COMPUTED_VALUE"""),"María")</f>
        <v>María</v>
      </c>
      <c r="AH96" s="12" t="str">
        <f>IFERROR(__xludf.DUMMYFUNCTION("""COMPUTED_VALUE"""),"Isabel")</f>
        <v>Isabel</v>
      </c>
      <c r="AI96" s="6" t="str">
        <f>IFERROR(__xludf.DUMMYFUNCTION("""COMPUTED_VALUE"""),"Marín")</f>
        <v>Marín</v>
      </c>
      <c r="AJ96" s="6" t="str">
        <f>IFERROR(__xludf.DUMMYFUNCTION("""COMPUTED_VALUE"""),"mariamarinsa@hotmail.com")</f>
        <v>mariamarinsa@hotmail.com</v>
      </c>
      <c r="AK96" s="6" t="str">
        <f>IFERROR(__xludf.DUMMYFUNCTION("""COMPUTED_VALUE"""),"Medica Veterinaria ")</f>
        <v>Medica Veterinaria </v>
      </c>
      <c r="AL96" s="6" t="str">
        <f>IFERROR(__xludf.DUMMYFUNCTION("""COMPUTED_VALUE"""),"Universidad de Antioquia")</f>
        <v>Universidad de Antioquia</v>
      </c>
      <c r="AM96" s="12" t="str">
        <f>IFERROR(__xludf.DUMMYFUNCTION("""COMPUTED_VALUE"""),"1037323626")</f>
        <v>1037323626</v>
      </c>
      <c r="AN96" s="12" t="str">
        <f>IFERROR(__xludf.DUMMYFUNCTION("""COMPUTED_VALUE"""),"3113981582")</f>
        <v>3113981582</v>
      </c>
      <c r="AO96" s="6" t="str">
        <f>IFERROR(__xludf.DUMMYFUNCTION("""COMPUTED_VALUE"""),"Madre")</f>
        <v>Madre</v>
      </c>
      <c r="AP96" s="6" t="str">
        <f>IFERROR(__xludf.DUMMYFUNCTION("""COMPUTED_VALUE"""),"Estudiante(s): González Marín")</f>
        <v>Estudiante(s): González Marín</v>
      </c>
      <c r="AQ96" s="6" t="str">
        <f>IFERROR(__xludf.DUMMYFUNCTION("""COMPUTED_VALUE"""),"120428*Gi")</f>
        <v>120428*Gi</v>
      </c>
      <c r="AR96" s="6" t="str">
        <f>IFERROR(__xludf.DUMMYFUNCTION("""COMPUTED_VALUE"""),"Andrés")</f>
        <v>Andrés</v>
      </c>
      <c r="AS96" s="6"/>
      <c r="AT96" s="6" t="str">
        <f>IFERROR(__xludf.DUMMYFUNCTION("""COMPUTED_VALUE"""),"González Ramírez")</f>
        <v>González Ramírez</v>
      </c>
      <c r="AU96" s="6" t="str">
        <f>IFERROR(__xludf.DUMMYFUNCTION("""COMPUTED_VALUE"""),"centralgeneticalamartina1@gmail.com")</f>
        <v>centralgeneticalamartina1@gmail.com</v>
      </c>
      <c r="AV96" s="6" t="str">
        <f>IFERROR(__xludf.DUMMYFUNCTION("""COMPUTED_VALUE"""),"Medico Veterinario")</f>
        <v>Medico Veterinario</v>
      </c>
      <c r="AW96" s="6" t="str">
        <f>IFERROR(__xludf.DUMMYFUNCTION("""COMPUTED_VALUE"""),"Gironda SA")</f>
        <v>Gironda SA</v>
      </c>
      <c r="AX96" s="12" t="str">
        <f>IFERROR(__xludf.DUMMYFUNCTION("""COMPUTED_VALUE"""),"1094890985")</f>
        <v>1094890985</v>
      </c>
      <c r="AY96" s="12" t="str">
        <f>IFERROR(__xludf.DUMMYFUNCTION("""COMPUTED_VALUE"""),"3206614741")</f>
        <v>3206614741</v>
      </c>
      <c r="AZ96" s="6" t="str">
        <f>IFERROR(__xludf.DUMMYFUNCTION("""COMPUTED_VALUE"""),"Padre")</f>
        <v>Padre</v>
      </c>
      <c r="BA96" s="6"/>
      <c r="BB96" s="6"/>
      <c r="BC96" s="6"/>
      <c r="BD96" s="12" t="str">
        <f>IFERROR(__xludf.DUMMYFUNCTION("""COMPUTED_VALUE"""),"gon0017")</f>
        <v>gon0017</v>
      </c>
      <c r="BE96" s="6"/>
      <c r="BF96" s="6"/>
      <c r="BG96" s="6">
        <f>IFERROR(__xludf.DUMMYFUNCTION("""COMPUTED_VALUE"""),2040.0)</f>
        <v>2040</v>
      </c>
      <c r="BH96" s="15">
        <f>IFERROR(__xludf.DUMMYFUNCTION("""COMPUTED_VALUE"""),46211.70674768519)</f>
        <v>46211.70675</v>
      </c>
      <c r="BI96" s="6">
        <f>IFERROR(__xludf.DUMMYFUNCTION("""COMPUTED_VALUE"""),95.0)</f>
        <v>95</v>
      </c>
      <c r="BJ96" s="6"/>
      <c r="BK96" s="6"/>
      <c r="BL96" s="6" t="str">
        <f>IFERROR(__xludf.DUMMYFUNCTION("""COMPUTED_VALUE"""),"GISGON0017")</f>
        <v>GISGON0017</v>
      </c>
      <c r="BM96" s="6"/>
      <c r="BN96" s="6"/>
      <c r="BO96" s="6"/>
      <c r="BP96" s="6"/>
      <c r="BQ96" s="6" t="str">
        <f>IFERROR(__xludf.DUMMYFUNCTION("""COMPUTED_VALUE"""),"XC_K4_Futbol")</f>
        <v>XC_K4_Futbol</v>
      </c>
      <c r="BR96" s="6"/>
      <c r="BS96" s="6"/>
      <c r="BT96" s="6"/>
      <c r="BU96" s="6" t="str">
        <f>IFERROR(__xludf.DUMMYFUNCTION("""COMPUTED_VALUE"""),"SI")</f>
        <v>SI</v>
      </c>
      <c r="BV96" s="6" t="str">
        <f>IFERROR(__xludf.DUMMYFUNCTION("""COMPUTED_VALUE"""),"ezequiel.g2040")</f>
        <v>ezequiel.g2040</v>
      </c>
      <c r="BW96" s="6"/>
      <c r="BX96" s="6"/>
      <c r="BY96" s="6"/>
      <c r="BZ96" s="6"/>
    </row>
    <row r="97">
      <c r="A97" s="12">
        <f>IFERROR(__xludf.DUMMYFUNCTION("""COMPUTED_VALUE"""),1.094983854E9)</f>
        <v>1094983854</v>
      </c>
      <c r="B97" s="6">
        <f>IFERROR(__xludf.DUMMYFUNCTION("""COMPUTED_VALUE"""),6.0)</f>
        <v>6</v>
      </c>
      <c r="C97" s="6" t="str">
        <f>IFERROR(__xludf.DUMMYFUNCTION("""COMPUTED_VALUE"""),"Salomón")</f>
        <v>Salomón</v>
      </c>
      <c r="D97" s="6"/>
      <c r="E97" s="6" t="str">
        <f>IFERROR(__xludf.DUMMYFUNCTION("""COMPUTED_VALUE"""),"Hoyos Ruíz")</f>
        <v>Hoyos Ruíz</v>
      </c>
      <c r="F97" s="6" t="str">
        <f>IFERROR(__xludf.DUMMYFUNCTION("""COMPUTED_VALUE"""),"Calle 16Nte No14 - 08 - Av Bolivar")</f>
        <v>Calle 16Nte No14 - 08 - Av Bolivar</v>
      </c>
      <c r="G97" s="12">
        <f>IFERROR(__xludf.DUMMYFUNCTION("""COMPUTED_VALUE"""),2022.0)</f>
        <v>2022</v>
      </c>
      <c r="H97" s="6" t="str">
        <f>IFERROR(__xludf.DUMMYFUNCTION("""COMPUTED_VALUE"""),"Abril")</f>
        <v>Abril</v>
      </c>
      <c r="I97" s="12">
        <f>IFERROR(__xludf.DUMMYFUNCTION("""COMPUTED_VALUE"""),23.0)</f>
        <v>23</v>
      </c>
      <c r="J97" s="6" t="str">
        <f>IFERROR(__xludf.DUMMYFUNCTION("""COMPUTED_VALUE"""),"Miami")</f>
        <v>Miami</v>
      </c>
      <c r="K97" s="6" t="str">
        <f>IFERROR(__xludf.DUMMYFUNCTION("""COMPUTED_VALUE"""),"salomon.h2040@gi.edu.co")</f>
        <v>salomon.h2040@gi.edu.co</v>
      </c>
      <c r="L97" s="6" t="str">
        <f>IFERROR(__xludf.DUMMYFUNCTION("""COMPUTED_VALUE"""),"RC")</f>
        <v>RC</v>
      </c>
      <c r="M97" s="6" t="str">
        <f>IFERROR(__xludf.DUMMYFUNCTION("""COMPUTED_VALUE"""),"Armenia")</f>
        <v>Armenia</v>
      </c>
      <c r="N97" s="6" t="str">
        <f>IFERROR(__xludf.DUMMYFUNCTION("""COMPUTED_VALUE"""),"M")</f>
        <v>M</v>
      </c>
      <c r="O97" s="6" t="str">
        <f>IFERROR(__xludf.DUMMYFUNCTION("""COMPUTED_VALUE"""),"ACTIVE")</f>
        <v>ACTIVE</v>
      </c>
      <c r="P97" s="6"/>
      <c r="Q97" s="6" t="str">
        <f>IFERROR(__xludf.DUMMYFUNCTION("""COMPUTED_VALUE"""),"Armenia")</f>
        <v>Armenia</v>
      </c>
      <c r="R97" s="12" t="str">
        <f>IFERROR(__xludf.DUMMYFUNCTION("""COMPUTED_VALUE"""),"Gixm37uz*")</f>
        <v>Gixm37uz*</v>
      </c>
      <c r="S97" s="6" t="str">
        <f>IFERROR(__xludf.DUMMYFUNCTION("""COMPUTED_VALUE"""),"Hoyos Ruíz Salomón ")</f>
        <v>Hoyos Ruíz Salomón </v>
      </c>
      <c r="T97" s="6" t="str">
        <f>IFERROR(__xludf.DUMMYFUNCTION("""COMPUTED_VALUE"""),"CORNELIO ANDRES HOYOS LLARA")</f>
        <v>CORNELIO ANDRES HOYOS LLARA</v>
      </c>
      <c r="U97" s="12" t="str">
        <f>IFERROR(__xludf.DUMMYFUNCTION("""COMPUTED_VALUE"""),"1094884935")</f>
        <v>1094884935</v>
      </c>
      <c r="V97" s="6">
        <f>IFERROR(__xludf.DUMMYFUNCTION("""COMPUTED_VALUE"""),3.176420221E9)</f>
        <v>3176420221</v>
      </c>
      <c r="W97" s="6" t="str">
        <f>IFERROR(__xludf.DUMMYFUNCTION("""COMPUTED_VALUE"""),"andreschoyos@gmail.com")</f>
        <v>andreschoyos@gmail.com</v>
      </c>
      <c r="X97" s="12" t="str">
        <f>IFERROR(__xludf.DUMMYFUNCTION("""COMPUTED_VALUE"""),"O+")</f>
        <v>O+</v>
      </c>
      <c r="Y97" s="12" t="str">
        <f>IFERROR(__xludf.DUMMYFUNCTION("""COMPUTED_VALUE"""),"K4")</f>
        <v>K4</v>
      </c>
      <c r="Z97" s="12">
        <f>IFERROR(__xludf.DUMMYFUNCTION("""COMPUTED_VALUE"""),120431.0)</f>
        <v>120431</v>
      </c>
      <c r="AA97" s="6" t="str">
        <f>IFERROR(__xludf.DUMMYFUNCTION("""COMPUTED_VALUE"""),"SURA")</f>
        <v>SURA</v>
      </c>
      <c r="AB97" s="6"/>
      <c r="AC97" s="6"/>
      <c r="AD97" s="12" t="str">
        <f>IFERROR(__xludf.DUMMYFUNCTION("""COMPUTED_VALUE"""),"K4C")</f>
        <v>K4C</v>
      </c>
      <c r="AE97" s="12" t="str">
        <f>IFERROR(__xludf.DUMMYFUNCTION("""COMPUTED_VALUE"""),"1345282436")</f>
        <v>1345282436</v>
      </c>
      <c r="AF97" s="12" t="str">
        <f>IFERROR(__xludf.DUMMYFUNCTION("""COMPUTED_VALUE"""),"1345282436")</f>
        <v>1345282436</v>
      </c>
      <c r="AG97" s="12" t="str">
        <f>IFERROR(__xludf.DUMMYFUNCTION("""COMPUTED_VALUE"""),"Erika")</f>
        <v>Erika</v>
      </c>
      <c r="AH97" s="12" t="str">
        <f>IFERROR(__xludf.DUMMYFUNCTION("""COMPUTED_VALUE"""),"Vanessa")</f>
        <v>Vanessa</v>
      </c>
      <c r="AI97" s="6" t="str">
        <f>IFERROR(__xludf.DUMMYFUNCTION("""COMPUTED_VALUE"""),"Ruíz Casas")</f>
        <v>Ruíz Casas</v>
      </c>
      <c r="AJ97" s="6" t="str">
        <f>IFERROR(__xludf.DUMMYFUNCTION("""COMPUTED_VALUE"""),"erikav_ruiz@hotmail.com")</f>
        <v>erikav_ruiz@hotmail.com</v>
      </c>
      <c r="AK97" s="6" t="str">
        <f>IFERROR(__xludf.DUMMYFUNCTION("""COMPUTED_VALUE"""),"Ingeniera Industrial")</f>
        <v>Ingeniera Industrial</v>
      </c>
      <c r="AL97" s="6" t="str">
        <f>IFERROR(__xludf.DUMMYFUNCTION("""COMPUTED_VALUE"""),"Pan &amp; Chocolate / Café - Restaurante")</f>
        <v>Pan &amp; Chocolate / Café - Restaurante</v>
      </c>
      <c r="AM97" s="12" t="str">
        <f>IFERROR(__xludf.DUMMYFUNCTION("""COMPUTED_VALUE"""),"1107035739")</f>
        <v>1107035739</v>
      </c>
      <c r="AN97" s="12">
        <f>IFERROR(__xludf.DUMMYFUNCTION("""COMPUTED_VALUE"""),3.178649932E9)</f>
        <v>3178649932</v>
      </c>
      <c r="AO97" s="6" t="str">
        <f>IFERROR(__xludf.DUMMYFUNCTION("""COMPUTED_VALUE"""),"Madre")</f>
        <v>Madre</v>
      </c>
      <c r="AP97" s="6" t="str">
        <f>IFERROR(__xludf.DUMMYFUNCTION("""COMPUTED_VALUE"""),"Estudiante(s): Hoyos Ruíz")</f>
        <v>Estudiante(s): Hoyos Ruíz</v>
      </c>
      <c r="AQ97" s="6" t="str">
        <f>IFERROR(__xludf.DUMMYFUNCTION("""COMPUTED_VALUE"""),"120431*Gi")</f>
        <v>120431*Gi</v>
      </c>
      <c r="AR97" s="6" t="str">
        <f>IFERROR(__xludf.DUMMYFUNCTION("""COMPUTED_VALUE"""),"Cornelio")</f>
        <v>Cornelio</v>
      </c>
      <c r="AS97" s="6" t="str">
        <f>IFERROR(__xludf.DUMMYFUNCTION("""COMPUTED_VALUE"""),"Andrés")</f>
        <v>Andrés</v>
      </c>
      <c r="AT97" s="6" t="str">
        <f>IFERROR(__xludf.DUMMYFUNCTION("""COMPUTED_VALUE"""),"Hoyos Ruíz")</f>
        <v>Hoyos Ruíz</v>
      </c>
      <c r="AU97" s="6" t="str">
        <f>IFERROR(__xludf.DUMMYFUNCTION("""COMPUTED_VALUE"""),"andreschoyos@gmail.com")</f>
        <v>andreschoyos@gmail.com</v>
      </c>
      <c r="AV97" s="6" t="str">
        <f>IFERROR(__xludf.DUMMYFUNCTION("""COMPUTED_VALUE"""),"Economista")</f>
        <v>Economista</v>
      </c>
      <c r="AW97" s="6" t="str">
        <f>IFERROR(__xludf.DUMMYFUNCTION("""COMPUTED_VALUE"""),"Luxury Time / Joyas y relojes")</f>
        <v>Luxury Time / Joyas y relojes</v>
      </c>
      <c r="AX97" s="12" t="str">
        <f>IFERROR(__xludf.DUMMYFUNCTION("""COMPUTED_VALUE"""),"1094884935")</f>
        <v>1094884935</v>
      </c>
      <c r="AY97" s="12" t="str">
        <f>IFERROR(__xludf.DUMMYFUNCTION("""COMPUTED_VALUE"""),"3176420221")</f>
        <v>3176420221</v>
      </c>
      <c r="AZ97" s="6" t="str">
        <f>IFERROR(__xludf.DUMMYFUNCTION("""COMPUTED_VALUE"""),"Padre")</f>
        <v>Padre</v>
      </c>
      <c r="BA97" s="6"/>
      <c r="BB97" s="6"/>
      <c r="BC97" s="6"/>
      <c r="BD97" s="12" t="str">
        <f>IFERROR(__xludf.DUMMYFUNCTION("""COMPUTED_VALUE"""),"hoy0007")</f>
        <v>hoy0007</v>
      </c>
      <c r="BE97" s="6"/>
      <c r="BF97" s="6"/>
      <c r="BG97" s="6">
        <f>IFERROR(__xludf.DUMMYFUNCTION("""COMPUTED_VALUE"""),2040.0)</f>
        <v>2040</v>
      </c>
      <c r="BH97" s="15">
        <f>IFERROR(__xludf.DUMMYFUNCTION("""COMPUTED_VALUE"""),46211.748032407406)</f>
        <v>46211.74803</v>
      </c>
      <c r="BI97" s="6">
        <f>IFERROR(__xludf.DUMMYFUNCTION("""COMPUTED_VALUE"""),96.0)</f>
        <v>96</v>
      </c>
      <c r="BJ97" s="6"/>
      <c r="BK97" s="6"/>
      <c r="BL97" s="6" t="str">
        <f>IFERROR(__xludf.DUMMYFUNCTION("""COMPUTED_VALUE"""),"GISHOY0007")</f>
        <v>GISHOY0007</v>
      </c>
      <c r="BM97" s="6"/>
      <c r="BN97" s="6"/>
      <c r="BO97" s="6"/>
      <c r="BP97" s="6"/>
      <c r="BQ97" s="6"/>
      <c r="BR97" s="6"/>
      <c r="BS97" s="6"/>
      <c r="BT97" s="6"/>
      <c r="BU97" s="6" t="str">
        <f>IFERROR(__xludf.DUMMYFUNCTION("""COMPUTED_VALUE"""),"SI")</f>
        <v>SI</v>
      </c>
      <c r="BV97" s="6" t="str">
        <f>IFERROR(__xludf.DUMMYFUNCTION("""COMPUTED_VALUE"""),"salomon.h2040")</f>
        <v>salomon.h2040</v>
      </c>
      <c r="BW97" s="6"/>
      <c r="BX97" s="6"/>
      <c r="BY97" s="6"/>
      <c r="BZ97" s="6"/>
    </row>
    <row r="98">
      <c r="A98" s="12">
        <f>IFERROR(__xludf.DUMMYFUNCTION("""COMPUTED_VALUE"""),1.092866265E9)</f>
        <v>1092866265</v>
      </c>
      <c r="B98" s="6">
        <f>IFERROR(__xludf.DUMMYFUNCTION("""COMPUTED_VALUE"""),7.0)</f>
        <v>7</v>
      </c>
      <c r="C98" s="6" t="str">
        <f>IFERROR(__xludf.DUMMYFUNCTION("""COMPUTED_VALUE"""),"Juan")</f>
        <v>Juan</v>
      </c>
      <c r="D98" s="6" t="str">
        <f>IFERROR(__xludf.DUMMYFUNCTION("""COMPUTED_VALUE"""),"Salvador")</f>
        <v>Salvador</v>
      </c>
      <c r="E98" s="6" t="str">
        <f>IFERROR(__xludf.DUMMYFUNCTION("""COMPUTED_VALUE"""),"Jiménez Montoya")</f>
        <v>Jiménez Montoya</v>
      </c>
      <c r="F98" s="6" t="str">
        <f>IFERROR(__xludf.DUMMYFUNCTION("""COMPUTED_VALUE"""),"Condominio Hacienda Horizontes Casa 49 - Km 3 Via Circasia Vereda la Florida")</f>
        <v>Condominio Hacienda Horizontes Casa 49 - Km 3 Via Circasia Vereda la Florida</v>
      </c>
      <c r="G98" s="12" t="str">
        <f>IFERROR(__xludf.DUMMYFUNCTION("""COMPUTED_VALUE"""),"2022")</f>
        <v>2022</v>
      </c>
      <c r="H98" s="6" t="str">
        <f>IFERROR(__xludf.DUMMYFUNCTION("""COMPUTED_VALUE"""),"Agosto")</f>
        <v>Agosto</v>
      </c>
      <c r="I98" s="12" t="str">
        <f>IFERROR(__xludf.DUMMYFUNCTION("""COMPUTED_VALUE"""),"10")</f>
        <v>10</v>
      </c>
      <c r="J98" s="6" t="str">
        <f>IFERROR(__xludf.DUMMYFUNCTION("""COMPUTED_VALUE"""),"Armenia")</f>
        <v>Armenia</v>
      </c>
      <c r="K98" s="6" t="str">
        <f>IFERROR(__xludf.DUMMYFUNCTION("""COMPUTED_VALUE"""),"juans.j2040@gi.edu.co")</f>
        <v>juans.j2040@gi.edu.co</v>
      </c>
      <c r="L98" s="6" t="str">
        <f>IFERROR(__xludf.DUMMYFUNCTION("""COMPUTED_VALUE"""),"RC")</f>
        <v>RC</v>
      </c>
      <c r="M98" s="6" t="str">
        <f>IFERROR(__xludf.DUMMYFUNCTION("""COMPUTED_VALUE"""),"Armenia")</f>
        <v>Armenia</v>
      </c>
      <c r="N98" s="6" t="str">
        <f>IFERROR(__xludf.DUMMYFUNCTION("""COMPUTED_VALUE"""),"M")</f>
        <v>M</v>
      </c>
      <c r="O98" s="6" t="str">
        <f>IFERROR(__xludf.DUMMYFUNCTION("""COMPUTED_VALUE"""),"ACTIVE")</f>
        <v>ACTIVE</v>
      </c>
      <c r="P98" s="6"/>
      <c r="Q98" s="6" t="str">
        <f>IFERROR(__xludf.DUMMYFUNCTION("""COMPUTED_VALUE"""),"Circasia")</f>
        <v>Circasia</v>
      </c>
      <c r="R98" s="12" t="str">
        <f>IFERROR(__xludf.DUMMYFUNCTION("""COMPUTED_VALUE"""),"Giye23m6*")</f>
        <v>Giye23m6*</v>
      </c>
      <c r="S98" s="6" t="str">
        <f>IFERROR(__xludf.DUMMYFUNCTION("""COMPUTED_VALUE"""),"Jiménez Montoya Juan Salvador")</f>
        <v>Jiménez Montoya Juan Salvador</v>
      </c>
      <c r="T98" s="6" t="str">
        <f>IFERROR(__xludf.DUMMYFUNCTION("""COMPUTED_VALUE"""),"LUIS FELIPE JIMÉNEZ CEBALLOS")</f>
        <v>LUIS FELIPE JIMÉNEZ CEBALLOS</v>
      </c>
      <c r="U98" s="12" t="str">
        <f>IFERROR(__xludf.DUMMYFUNCTION("""COMPUTED_VALUE"""),"1094891605")</f>
        <v>1094891605</v>
      </c>
      <c r="V98" s="6">
        <f>IFERROR(__xludf.DUMMYFUNCTION("""COMPUTED_VALUE"""),3.152008699E9)</f>
        <v>3152008699</v>
      </c>
      <c r="W98" s="6" t="str">
        <f>IFERROR(__xludf.DUMMYFUNCTION("""COMPUTED_VALUE"""),"familiajimenezmontoya@gmail.com")</f>
        <v>familiajimenezmontoya@gmail.com</v>
      </c>
      <c r="X98" s="12" t="str">
        <f>IFERROR(__xludf.DUMMYFUNCTION("""COMPUTED_VALUE"""),"O+")</f>
        <v>O+</v>
      </c>
      <c r="Y98" s="12" t="str">
        <f>IFERROR(__xludf.DUMMYFUNCTION("""COMPUTED_VALUE"""),"K4")</f>
        <v>K4</v>
      </c>
      <c r="Z98" s="12">
        <f>IFERROR(__xludf.DUMMYFUNCTION("""COMPUTED_VALUE"""),120432.0)</f>
        <v>120432</v>
      </c>
      <c r="AA98" s="6" t="str">
        <f>IFERROR(__xludf.DUMMYFUNCTION("""COMPUTED_VALUE"""),"SURA")</f>
        <v>SURA</v>
      </c>
      <c r="AB98" s="6"/>
      <c r="AC98" s="6"/>
      <c r="AD98" s="12" t="str">
        <f>IFERROR(__xludf.DUMMYFUNCTION("""COMPUTED_VALUE"""),"K4C")</f>
        <v>K4C</v>
      </c>
      <c r="AE98" s="12" t="str">
        <f>IFERROR(__xludf.DUMMYFUNCTION("""COMPUTED_VALUE"""),"1345282454")</f>
        <v>1345282454</v>
      </c>
      <c r="AF98" s="12" t="str">
        <f>IFERROR(__xludf.DUMMYFUNCTION("""COMPUTED_VALUE"""),"1345282454")</f>
        <v>1345282454</v>
      </c>
      <c r="AG98" s="12" t="str">
        <f>IFERROR(__xludf.DUMMYFUNCTION("""COMPUTED_VALUE"""),"Paula")</f>
        <v>Paula</v>
      </c>
      <c r="AH98" s="12" t="str">
        <f>IFERROR(__xludf.DUMMYFUNCTION("""COMPUTED_VALUE"""),"Andrea")</f>
        <v>Andrea</v>
      </c>
      <c r="AI98" s="6" t="str">
        <f>IFERROR(__xludf.DUMMYFUNCTION("""COMPUTED_VALUE"""),"Montoya Macias")</f>
        <v>Montoya Macias</v>
      </c>
      <c r="AJ98" s="6" t="str">
        <f>IFERROR(__xludf.DUMMYFUNCTION("""COMPUTED_VALUE"""),"familiajimenezmontoya@gmail.com")</f>
        <v>familiajimenezmontoya@gmail.com</v>
      </c>
      <c r="AK98" s="6" t="str">
        <f>IFERROR(__xludf.DUMMYFUNCTION("""COMPUTED_VALUE"""),"Ing. Ambiental")</f>
        <v>Ing. Ambiental</v>
      </c>
      <c r="AL98" s="6" t="str">
        <f>IFERROR(__xludf.DUMMYFUNCTION("""COMPUTED_VALUE"""),"INGETEC SAS")</f>
        <v>INGETEC SAS</v>
      </c>
      <c r="AM98" s="12" t="str">
        <f>IFERROR(__xludf.DUMMYFUNCTION("""COMPUTED_VALUE"""),"1020713836")</f>
        <v>1020713836</v>
      </c>
      <c r="AN98" s="12" t="str">
        <f>IFERROR(__xludf.DUMMYFUNCTION("""COMPUTED_VALUE"""),"3152009668")</f>
        <v>3152009668</v>
      </c>
      <c r="AO98" s="6" t="str">
        <f>IFERROR(__xludf.DUMMYFUNCTION("""COMPUTED_VALUE"""),"Madre")</f>
        <v>Madre</v>
      </c>
      <c r="AP98" s="6" t="str">
        <f>IFERROR(__xludf.DUMMYFUNCTION("""COMPUTED_VALUE"""),"Estudiante(s): Jiménez Montoya")</f>
        <v>Estudiante(s): Jiménez Montoya</v>
      </c>
      <c r="AQ98" s="6" t="str">
        <f>IFERROR(__xludf.DUMMYFUNCTION("""COMPUTED_VALUE"""),"120120*Gi")</f>
        <v>120120*Gi</v>
      </c>
      <c r="AR98" s="6" t="str">
        <f>IFERROR(__xludf.DUMMYFUNCTION("""COMPUTED_VALUE"""),"Luis")</f>
        <v>Luis</v>
      </c>
      <c r="AS98" s="6" t="str">
        <f>IFERROR(__xludf.DUMMYFUNCTION("""COMPUTED_VALUE"""),"Felipe")</f>
        <v>Felipe</v>
      </c>
      <c r="AT98" s="6" t="str">
        <f>IFERROR(__xludf.DUMMYFUNCTION("""COMPUTED_VALUE"""),"Jiménez Ceballos")</f>
        <v>Jiménez Ceballos</v>
      </c>
      <c r="AU98" s="6" t="str">
        <f>IFERROR(__xludf.DUMMYFUNCTION("""COMPUTED_VALUE"""),"familiajimenezmontoya@gmail.com")</f>
        <v>familiajimenezmontoya@gmail.com</v>
      </c>
      <c r="AV98" s="6" t="str">
        <f>IFERROR(__xludf.DUMMYFUNCTION("""COMPUTED_VALUE"""),"Ing. Civil")</f>
        <v>Ing. Civil</v>
      </c>
      <c r="AW98" s="6" t="str">
        <f>IFERROR(__xludf.DUMMYFUNCTION("""COMPUTED_VALUE"""),"Henkel")</f>
        <v>Henkel</v>
      </c>
      <c r="AX98" s="12" t="str">
        <f>IFERROR(__xludf.DUMMYFUNCTION("""COMPUTED_VALUE"""),"1094891605")</f>
        <v>1094891605</v>
      </c>
      <c r="AY98" s="12" t="str">
        <f>IFERROR(__xludf.DUMMYFUNCTION("""COMPUTED_VALUE"""),"3152008699")</f>
        <v>3152008699</v>
      </c>
      <c r="AZ98" s="6" t="str">
        <f>IFERROR(__xludf.DUMMYFUNCTION("""COMPUTED_VALUE"""),"Padre")</f>
        <v>Padre</v>
      </c>
      <c r="BA98" s="6"/>
      <c r="BB98" s="6"/>
      <c r="BC98" s="6"/>
      <c r="BD98" s="12" t="str">
        <f>IFERROR(__xludf.DUMMYFUNCTION("""COMPUTED_VALUE"""),"jim0007")</f>
        <v>jim0007</v>
      </c>
      <c r="BE98" s="6"/>
      <c r="BF98" s="6"/>
      <c r="BG98" s="6">
        <f>IFERROR(__xludf.DUMMYFUNCTION("""COMPUTED_VALUE"""),2040.0)</f>
        <v>2040</v>
      </c>
      <c r="BH98" s="15">
        <f>IFERROR(__xludf.DUMMYFUNCTION("""COMPUTED_VALUE"""),46209.42658564815)</f>
        <v>46209.42659</v>
      </c>
      <c r="BI98" s="6">
        <f>IFERROR(__xludf.DUMMYFUNCTION("""COMPUTED_VALUE"""),97.0)</f>
        <v>97</v>
      </c>
      <c r="BJ98" s="6"/>
      <c r="BK98" s="6"/>
      <c r="BL98" s="6" t="str">
        <f>IFERROR(__xludf.DUMMYFUNCTION("""COMPUTED_VALUE"""),"GISJIM0007")</f>
        <v>GISJIM0007</v>
      </c>
      <c r="BM98" s="6"/>
      <c r="BN98" s="6"/>
      <c r="BO98" s="6"/>
      <c r="BP98" s="6"/>
      <c r="BQ98" s="6" t="str">
        <f>IFERROR(__xludf.DUMMYFUNCTION("""COMPUTED_VALUE"""),"XC_K4_Futbol")</f>
        <v>XC_K4_Futbol</v>
      </c>
      <c r="BR98" s="6"/>
      <c r="BS98" s="6" t="str">
        <f>IFERROR(__xludf.DUMMYFUNCTION("""COMPUTED_VALUE"""),"XC_K4_IniciaMusical")</f>
        <v>XC_K4_IniciaMusical</v>
      </c>
      <c r="BT98" s="6"/>
      <c r="BU98" s="6" t="str">
        <f>IFERROR(__xludf.DUMMYFUNCTION("""COMPUTED_VALUE"""),"SI")</f>
        <v>SI</v>
      </c>
      <c r="BV98" s="6" t="str">
        <f>IFERROR(__xludf.DUMMYFUNCTION("""COMPUTED_VALUE"""),"juans.j2040")</f>
        <v>juans.j2040</v>
      </c>
      <c r="BW98" s="6"/>
      <c r="BX98" s="6"/>
      <c r="BY98" s="6"/>
      <c r="BZ98" s="6"/>
    </row>
    <row r="99">
      <c r="A99" s="12">
        <f>IFERROR(__xludf.DUMMYFUNCTION("""COMPUTED_VALUE"""),1.091208515E9)</f>
        <v>1091208515</v>
      </c>
      <c r="B99" s="6">
        <f>IFERROR(__xludf.DUMMYFUNCTION("""COMPUTED_VALUE"""),8.0)</f>
        <v>8</v>
      </c>
      <c r="C99" s="6" t="str">
        <f>IFERROR(__xludf.DUMMYFUNCTION("""COMPUTED_VALUE"""),"Mateo")</f>
        <v>Mateo</v>
      </c>
      <c r="D99" s="6"/>
      <c r="E99" s="6" t="str">
        <f>IFERROR(__xludf.DUMMYFUNCTION("""COMPUTED_VALUE"""),"Lesmes Ramírez")</f>
        <v>Lesmes Ramírez</v>
      </c>
      <c r="F99" s="6" t="str">
        <f>IFERROR(__xludf.DUMMYFUNCTION("""COMPUTED_VALUE"""),"Cra 13 No21Nte - 18 Apto 501 - COINCA")</f>
        <v>Cra 13 No21Nte - 18 Apto 501 - COINCA</v>
      </c>
      <c r="G99" s="12" t="str">
        <f>IFERROR(__xludf.DUMMYFUNCTION("""COMPUTED_VALUE"""),"2022")</f>
        <v>2022</v>
      </c>
      <c r="H99" s="6" t="str">
        <f>IFERROR(__xludf.DUMMYFUNCTION("""COMPUTED_VALUE"""),"Julio")</f>
        <v>Julio</v>
      </c>
      <c r="I99" s="12" t="str">
        <f>IFERROR(__xludf.DUMMYFUNCTION("""COMPUTED_VALUE"""),"20")</f>
        <v>20</v>
      </c>
      <c r="J99" s="6" t="str">
        <f>IFERROR(__xludf.DUMMYFUNCTION("""COMPUTED_VALUE"""),"Armenia")</f>
        <v>Armenia</v>
      </c>
      <c r="K99" s="6" t="str">
        <f>IFERROR(__xludf.DUMMYFUNCTION("""COMPUTED_VALUE"""),"mateo.l2040@gi.edu.co")</f>
        <v>mateo.l2040@gi.edu.co</v>
      </c>
      <c r="L99" s="6" t="str">
        <f>IFERROR(__xludf.DUMMYFUNCTION("""COMPUTED_VALUE"""),"RC")</f>
        <v>RC</v>
      </c>
      <c r="M99" s="6" t="str">
        <f>IFERROR(__xludf.DUMMYFUNCTION("""COMPUTED_VALUE"""),"Armenia")</f>
        <v>Armenia</v>
      </c>
      <c r="N99" s="6" t="str">
        <f>IFERROR(__xludf.DUMMYFUNCTION("""COMPUTED_VALUE"""),"M")</f>
        <v>M</v>
      </c>
      <c r="O99" s="6" t="str">
        <f>IFERROR(__xludf.DUMMYFUNCTION("""COMPUTED_VALUE"""),"ACTIVE")</f>
        <v>ACTIVE</v>
      </c>
      <c r="P99" s="6"/>
      <c r="Q99" s="6" t="str">
        <f>IFERROR(__xludf.DUMMYFUNCTION("""COMPUTED_VALUE"""),"Armenia")</f>
        <v>Armenia</v>
      </c>
      <c r="R99" s="12" t="str">
        <f>IFERROR(__xludf.DUMMYFUNCTION("""COMPUTED_VALUE"""),"Giwq66hv*")</f>
        <v>Giwq66hv*</v>
      </c>
      <c r="S99" s="6" t="str">
        <f>IFERROR(__xludf.DUMMYFUNCTION("""COMPUTED_VALUE"""),"Lesmes Ramírez Mateo ")</f>
        <v>Lesmes Ramírez Mateo </v>
      </c>
      <c r="T99" s="6" t="str">
        <f>IFERROR(__xludf.DUMMYFUNCTION("""COMPUTED_VALUE"""),"LAURA JULIANA RAMIREZ GONZALEZ")</f>
        <v>LAURA JULIANA RAMIREZ GONZALEZ</v>
      </c>
      <c r="U99" s="12" t="str">
        <f>IFERROR(__xludf.DUMMYFUNCTION("""COMPUTED_VALUE"""),"1094949089")</f>
        <v>1094949089</v>
      </c>
      <c r="V99" s="6">
        <f>IFERROR(__xludf.DUMMYFUNCTION("""COMPUTED_VALUE"""),3.108654324E9)</f>
        <v>3108654324</v>
      </c>
      <c r="W99" s="6" t="str">
        <f>IFERROR(__xludf.DUMMYFUNCTION("""COMPUTED_VALUE"""),"lajura21@gmail.com")</f>
        <v>lajura21@gmail.com</v>
      </c>
      <c r="X99" s="12" t="str">
        <f>IFERROR(__xludf.DUMMYFUNCTION("""COMPUTED_VALUE"""),"A+")</f>
        <v>A+</v>
      </c>
      <c r="Y99" s="12" t="str">
        <f>IFERROR(__xludf.DUMMYFUNCTION("""COMPUTED_VALUE"""),"K4")</f>
        <v>K4</v>
      </c>
      <c r="Z99" s="6">
        <f>IFERROR(__xludf.DUMMYFUNCTION("""COMPUTED_VALUE"""),120522.0)</f>
        <v>120522</v>
      </c>
      <c r="AA99" s="6" t="str">
        <f>IFERROR(__xludf.DUMMYFUNCTION("""COMPUTED_VALUE"""),"SURA")</f>
        <v>SURA</v>
      </c>
      <c r="AB99" s="6"/>
      <c r="AC99" s="6"/>
      <c r="AD99" s="12" t="str">
        <f>IFERROR(__xludf.DUMMYFUNCTION("""COMPUTED_VALUE"""),"K4C")</f>
        <v>K4C</v>
      </c>
      <c r="AE99" s="12" t="str">
        <f>IFERROR(__xludf.DUMMYFUNCTION("""COMPUTED_VALUE"""),"1345282521")</f>
        <v>1345282521</v>
      </c>
      <c r="AF99" s="12" t="str">
        <f>IFERROR(__xludf.DUMMYFUNCTION("""COMPUTED_VALUE"""),"1345282521")</f>
        <v>1345282521</v>
      </c>
      <c r="AG99" s="12" t="str">
        <f>IFERROR(__xludf.DUMMYFUNCTION("""COMPUTED_VALUE"""),"Laura")</f>
        <v>Laura</v>
      </c>
      <c r="AH99" s="12" t="str">
        <f>IFERROR(__xludf.DUMMYFUNCTION("""COMPUTED_VALUE"""),"Juliana")</f>
        <v>Juliana</v>
      </c>
      <c r="AI99" s="6" t="str">
        <f>IFERROR(__xludf.DUMMYFUNCTION("""COMPUTED_VALUE"""),"Ramírez González")</f>
        <v>Ramírez González</v>
      </c>
      <c r="AJ99" s="6" t="str">
        <f>IFERROR(__xludf.DUMMYFUNCTION("""COMPUTED_VALUE"""),"lajura21@gmail.com")</f>
        <v>lajura21@gmail.com</v>
      </c>
      <c r="AK99" s="6" t="str">
        <f>IFERROR(__xludf.DUMMYFUNCTION("""COMPUTED_VALUE"""),"ABOGADA")</f>
        <v>ABOGADA</v>
      </c>
      <c r="AL99" s="6" t="str">
        <f>IFERROR(__xludf.DUMMYFUNCTION("""COMPUTED_VALUE"""),"DPTO DEL QUINDIO - INVEST IN - QUINDIO CONVENTION BUREAU")</f>
        <v>DPTO DEL QUINDIO - INVEST IN - QUINDIO CONVENTION BUREAU</v>
      </c>
      <c r="AM99" s="12" t="str">
        <f>IFERROR(__xludf.DUMMYFUNCTION("""COMPUTED_VALUE"""),"1094949089")</f>
        <v>1094949089</v>
      </c>
      <c r="AN99" s="12" t="str">
        <f>IFERROR(__xludf.DUMMYFUNCTION("""COMPUTED_VALUE"""),"3108654324")</f>
        <v>3108654324</v>
      </c>
      <c r="AO99" s="6" t="str">
        <f>IFERROR(__xludf.DUMMYFUNCTION("""COMPUTED_VALUE"""),"Madre")</f>
        <v>Madre</v>
      </c>
      <c r="AP99" s="12" t="str">
        <f>IFERROR(__xludf.DUMMYFUNCTION("""COMPUTED_VALUE"""),"Estudiante(s): Lesmes Ramírez")</f>
        <v>Estudiante(s): Lesmes Ramírez</v>
      </c>
      <c r="AQ99" s="6" t="str">
        <f>IFERROR(__xludf.DUMMYFUNCTION("""COMPUTED_VALUE"""),"120522*Gi")</f>
        <v>120522*Gi</v>
      </c>
      <c r="AR99" s="6" t="str">
        <f>IFERROR(__xludf.DUMMYFUNCTION("""COMPUTED_VALUE"""),"Johnny")</f>
        <v>Johnny</v>
      </c>
      <c r="AS99" s="6" t="str">
        <f>IFERROR(__xludf.DUMMYFUNCTION("""COMPUTED_VALUE"""),"Alejandro")</f>
        <v>Alejandro</v>
      </c>
      <c r="AT99" s="6" t="str">
        <f>IFERROR(__xludf.DUMMYFUNCTION("""COMPUTED_VALUE"""),"Lesmes Angarita")</f>
        <v>Lesmes Angarita</v>
      </c>
      <c r="AU99" s="6" t="str">
        <f>IFERROR(__xludf.DUMMYFUNCTION("""COMPUTED_VALUE"""),"lesmesangarita_juridico@hotmail.com")</f>
        <v>lesmesangarita_juridico@hotmail.com</v>
      </c>
      <c r="AV99" s="6" t="str">
        <f>IFERROR(__xludf.DUMMYFUNCTION("""COMPUTED_VALUE"""),"ABOGADO")</f>
        <v>ABOGADO</v>
      </c>
      <c r="AW99" s="6" t="str">
        <f>IFERROR(__xludf.DUMMYFUNCTION("""COMPUTED_VALUE"""),"RAMA JUDICIAL")</f>
        <v>RAMA JUDICIAL</v>
      </c>
      <c r="AX99" s="12" t="str">
        <f>IFERROR(__xludf.DUMMYFUNCTION("""COMPUTED_VALUE"""),"1094889202")</f>
        <v>1094889202</v>
      </c>
      <c r="AY99" s="12" t="str">
        <f>IFERROR(__xludf.DUMMYFUNCTION("""COMPUTED_VALUE"""),"3233205308")</f>
        <v>3233205308</v>
      </c>
      <c r="AZ99" s="6" t="str">
        <f>IFERROR(__xludf.DUMMYFUNCTION("""COMPUTED_VALUE"""),"Padre")</f>
        <v>Padre</v>
      </c>
      <c r="BA99" s="6"/>
      <c r="BB99" s="6"/>
      <c r="BC99" s="6"/>
      <c r="BD99" s="12" t="str">
        <f>IFERROR(__xludf.DUMMYFUNCTION("""COMPUTED_VALUE"""),"les0001")</f>
        <v>les0001</v>
      </c>
      <c r="BE99" s="6"/>
      <c r="BF99" s="6"/>
      <c r="BG99" s="6">
        <f>IFERROR(__xludf.DUMMYFUNCTION("""COMPUTED_VALUE"""),2040.0)</f>
        <v>2040</v>
      </c>
      <c r="BH99" s="15">
        <f>IFERROR(__xludf.DUMMYFUNCTION("""COMPUTED_VALUE"""),46205.76)</f>
        <v>46205.76</v>
      </c>
      <c r="BI99" s="6">
        <f>IFERROR(__xludf.DUMMYFUNCTION("""COMPUTED_VALUE"""),98.0)</f>
        <v>98</v>
      </c>
      <c r="BJ99" s="6"/>
      <c r="BK99" s="6"/>
      <c r="BL99" s="6" t="str">
        <f>IFERROR(__xludf.DUMMYFUNCTION("""COMPUTED_VALUE"""),"GISLES0001")</f>
        <v>GISLES0001</v>
      </c>
      <c r="BM99" s="6"/>
      <c r="BN99" s="6"/>
      <c r="BO99" s="6"/>
      <c r="BP99" s="6"/>
      <c r="BQ99" s="6" t="str">
        <f>IFERROR(__xludf.DUMMYFUNCTION("""COMPUTED_VALUE"""),"XC_K4_Futbol")</f>
        <v>XC_K4_Futbol</v>
      </c>
      <c r="BR99" s="6"/>
      <c r="BS99" s="6"/>
      <c r="BT99" s="6"/>
      <c r="BU99" s="6" t="str">
        <f>IFERROR(__xludf.DUMMYFUNCTION("""COMPUTED_VALUE"""),"SI")</f>
        <v>SI</v>
      </c>
      <c r="BV99" s="6" t="str">
        <f>IFERROR(__xludf.DUMMYFUNCTION("""COMPUTED_VALUE"""),"mateo.l2040")</f>
        <v>mateo.l2040</v>
      </c>
      <c r="BW99" s="6"/>
      <c r="BX99" s="6"/>
      <c r="BY99" s="6"/>
      <c r="BZ99" s="6"/>
    </row>
    <row r="100">
      <c r="A100" s="12">
        <f>IFERROR(__xludf.DUMMYFUNCTION("""COMPUTED_VALUE"""),1.092865741E9)</f>
        <v>1092865741</v>
      </c>
      <c r="B100" s="6">
        <f>IFERROR(__xludf.DUMMYFUNCTION("""COMPUTED_VALUE"""),9.0)</f>
        <v>9</v>
      </c>
      <c r="C100" s="6" t="str">
        <f>IFERROR(__xludf.DUMMYFUNCTION("""COMPUTED_VALUE"""),"Enzo")</f>
        <v>Enzo</v>
      </c>
      <c r="D100" s="6" t="str">
        <f>IFERROR(__xludf.DUMMYFUNCTION("""COMPUTED_VALUE"""),"Felipe")</f>
        <v>Felipe</v>
      </c>
      <c r="E100" s="6" t="str">
        <f>IFERROR(__xludf.DUMMYFUNCTION("""COMPUTED_VALUE"""),"Londoño Castellanos")</f>
        <v>Londoño Castellanos</v>
      </c>
      <c r="F100" s="6" t="str">
        <f>IFERROR(__xludf.DUMMYFUNCTION("""COMPUTED_VALUE"""),"Altos de la Sierra Casa 13 - Cra 19 No21Nte - 48")</f>
        <v>Altos de la Sierra Casa 13 - Cra 19 No21Nte - 48</v>
      </c>
      <c r="G100" s="12">
        <f>IFERROR(__xludf.DUMMYFUNCTION("""COMPUTED_VALUE"""),2022.0)</f>
        <v>2022</v>
      </c>
      <c r="H100" s="6" t="str">
        <f>IFERROR(__xludf.DUMMYFUNCTION("""COMPUTED_VALUE"""),"Febrero")</f>
        <v>Febrero</v>
      </c>
      <c r="I100" s="12">
        <f>IFERROR(__xludf.DUMMYFUNCTION("""COMPUTED_VALUE"""),1.0)</f>
        <v>1</v>
      </c>
      <c r="J100" s="6" t="str">
        <f>IFERROR(__xludf.DUMMYFUNCTION("""COMPUTED_VALUE"""),"Armenia")</f>
        <v>Armenia</v>
      </c>
      <c r="K100" s="6" t="str">
        <f>IFERROR(__xludf.DUMMYFUNCTION("""COMPUTED_VALUE"""),"enzof.l2040@gi.edu.co")</f>
        <v>enzof.l2040@gi.edu.co</v>
      </c>
      <c r="L100" s="6" t="str">
        <f>IFERROR(__xludf.DUMMYFUNCTION("""COMPUTED_VALUE"""),"RC")</f>
        <v>RC</v>
      </c>
      <c r="M100" s="6" t="str">
        <f>IFERROR(__xludf.DUMMYFUNCTION("""COMPUTED_VALUE"""),"Armenia")</f>
        <v>Armenia</v>
      </c>
      <c r="N100" s="6" t="str">
        <f>IFERROR(__xludf.DUMMYFUNCTION("""COMPUTED_VALUE"""),"M")</f>
        <v>M</v>
      </c>
      <c r="O100" s="6" t="str">
        <f>IFERROR(__xludf.DUMMYFUNCTION("""COMPUTED_VALUE"""),"ACTIVE")</f>
        <v>ACTIVE</v>
      </c>
      <c r="P100" s="6"/>
      <c r="Q100" s="6" t="str">
        <f>IFERROR(__xludf.DUMMYFUNCTION("""COMPUTED_VALUE"""),"Circasia")</f>
        <v>Circasia</v>
      </c>
      <c r="R100" s="12" t="str">
        <f>IFERROR(__xludf.DUMMYFUNCTION("""COMPUTED_VALUE"""),"Girq87b4*")</f>
        <v>Girq87b4*</v>
      </c>
      <c r="S100" s="6" t="str">
        <f>IFERROR(__xludf.DUMMYFUNCTION("""COMPUTED_VALUE"""),"Londoño Castellanos Enzo Felipe")</f>
        <v>Londoño Castellanos Enzo Felipe</v>
      </c>
      <c r="T100" s="6" t="str">
        <f>IFERROR(__xludf.DUMMYFUNCTION("""COMPUTED_VALUE"""),"PAOLA MARCELA CASTELLANOS ACEVEDO")</f>
        <v>PAOLA MARCELA CASTELLANOS ACEVEDO</v>
      </c>
      <c r="U100" s="12" t="str">
        <f>IFERROR(__xludf.DUMMYFUNCTION("""COMPUTED_VALUE"""),"1094938615")</f>
        <v>1094938615</v>
      </c>
      <c r="V100" s="6">
        <f>IFERROR(__xludf.DUMMYFUNCTION("""COMPUTED_VALUE"""),3.217009074E9)</f>
        <v>3217009074</v>
      </c>
      <c r="W100" s="6" t="str">
        <f>IFERROR(__xludf.DUMMYFUNCTION("""COMPUTED_VALUE"""),"paoma911@gmail.com")</f>
        <v>paoma911@gmail.com</v>
      </c>
      <c r="X100" s="12" t="str">
        <f>IFERROR(__xludf.DUMMYFUNCTION("""COMPUTED_VALUE"""),"A+")</f>
        <v>A+</v>
      </c>
      <c r="Y100" s="12" t="str">
        <f>IFERROR(__xludf.DUMMYFUNCTION("""COMPUTED_VALUE"""),"K4")</f>
        <v>K4</v>
      </c>
      <c r="Z100" s="12">
        <f>IFERROR(__xludf.DUMMYFUNCTION("""COMPUTED_VALUE"""),120433.0)</f>
        <v>120433</v>
      </c>
      <c r="AA100" s="6" t="str">
        <f>IFERROR(__xludf.DUMMYFUNCTION("""COMPUTED_VALUE"""),"SURA")</f>
        <v>SURA</v>
      </c>
      <c r="AB100" s="6"/>
      <c r="AC100" s="6"/>
      <c r="AD100" s="12" t="str">
        <f>IFERROR(__xludf.DUMMYFUNCTION("""COMPUTED_VALUE"""),"K4C")</f>
        <v>K4C</v>
      </c>
      <c r="AE100" s="12" t="str">
        <f>IFERROR(__xludf.DUMMYFUNCTION("""COMPUTED_VALUE"""),"1345282425")</f>
        <v>1345282425</v>
      </c>
      <c r="AF100" s="12" t="str">
        <f>IFERROR(__xludf.DUMMYFUNCTION("""COMPUTED_VALUE"""),"1345282425")</f>
        <v>1345282425</v>
      </c>
      <c r="AG100" s="12" t="str">
        <f>IFERROR(__xludf.DUMMYFUNCTION("""COMPUTED_VALUE"""),"Paola")</f>
        <v>Paola</v>
      </c>
      <c r="AH100" s="12" t="str">
        <f>IFERROR(__xludf.DUMMYFUNCTION("""COMPUTED_VALUE"""),"Marcela")</f>
        <v>Marcela</v>
      </c>
      <c r="AI100" s="6" t="str">
        <f>IFERROR(__xludf.DUMMYFUNCTION("""COMPUTED_VALUE"""),"Castellanos Acevedo")</f>
        <v>Castellanos Acevedo</v>
      </c>
      <c r="AJ100" s="6" t="str">
        <f>IFERROR(__xludf.DUMMYFUNCTION("""COMPUTED_VALUE"""),"paoma911@gmail.com")</f>
        <v>paoma911@gmail.com</v>
      </c>
      <c r="AK100" s="6" t="str">
        <f>IFERROR(__xludf.DUMMYFUNCTION("""COMPUTED_VALUE"""),"Arquitecta ")</f>
        <v>Arquitecta </v>
      </c>
      <c r="AL100" s="6" t="str">
        <f>IFERROR(__xludf.DUMMYFUNCTION("""COMPUTED_VALUE"""),"Independiente")</f>
        <v>Independiente</v>
      </c>
      <c r="AM100" s="12" t="str">
        <f>IFERROR(__xludf.DUMMYFUNCTION("""COMPUTED_VALUE"""),"1094938615")</f>
        <v>1094938615</v>
      </c>
      <c r="AN100" s="12" t="str">
        <f>IFERROR(__xludf.DUMMYFUNCTION("""COMPUTED_VALUE"""),"3217009074")</f>
        <v>3217009074</v>
      </c>
      <c r="AO100" s="6" t="str">
        <f>IFERROR(__xludf.DUMMYFUNCTION("""COMPUTED_VALUE"""),"Madre")</f>
        <v>Madre</v>
      </c>
      <c r="AP100" s="6" t="str">
        <f>IFERROR(__xludf.DUMMYFUNCTION("""COMPUTED_VALUE"""),"Estudiante(s): Londoño Ramírez César &amp; Londoño Castellanos Enzo Felipe")</f>
        <v>Estudiante(s): Londoño Ramírez César &amp; Londoño Castellanos Enzo Felipe</v>
      </c>
      <c r="AQ100" s="6" t="str">
        <f>IFERROR(__xludf.DUMMYFUNCTION("""COMPUTED_VALUE"""),"120433*Gi")</f>
        <v>120433*Gi</v>
      </c>
      <c r="AR100" s="6" t="str">
        <f>IFERROR(__xludf.DUMMYFUNCTION("""COMPUTED_VALUE"""),"Mario")</f>
        <v>Mario</v>
      </c>
      <c r="AS100" s="6"/>
      <c r="AT100" s="6" t="str">
        <f>IFERROR(__xludf.DUMMYFUNCTION("""COMPUTED_VALUE"""),"Londoño Varon")</f>
        <v>Londoño Varon</v>
      </c>
      <c r="AU100" s="6" t="str">
        <f>IFERROR(__xludf.DUMMYFUNCTION("""COMPUTED_VALUE"""),"mariolond33@gmail.com")</f>
        <v>mariolond33@gmail.com</v>
      </c>
      <c r="AV100" s="6" t="str">
        <f>IFERROR(__xludf.DUMMYFUNCTION("""COMPUTED_VALUE"""),"Administrador empresas")</f>
        <v>Administrador empresas</v>
      </c>
      <c r="AW100" s="6" t="str">
        <f>IFERROR(__xludf.DUMMYFUNCTION("""COMPUTED_VALUE"""),"Independiente")</f>
        <v>Independiente</v>
      </c>
      <c r="AX100" s="12" t="str">
        <f>IFERROR(__xludf.DUMMYFUNCTION("""COMPUTED_VALUE"""),"1094917171")</f>
        <v>1094917171</v>
      </c>
      <c r="AY100" s="12" t="str">
        <f>IFERROR(__xludf.DUMMYFUNCTION("""COMPUTED_VALUE"""),"3165894784")</f>
        <v>3165894784</v>
      </c>
      <c r="AZ100" s="6" t="str">
        <f>IFERROR(__xludf.DUMMYFUNCTION("""COMPUTED_VALUE"""),"Padre")</f>
        <v>Padre</v>
      </c>
      <c r="BA100" s="6"/>
      <c r="BB100" s="6"/>
      <c r="BC100" s="6"/>
      <c r="BD100" s="12" t="str">
        <f>IFERROR(__xludf.DUMMYFUNCTION("""COMPUTED_VALUE"""),"lon0015")</f>
        <v>lon0015</v>
      </c>
      <c r="BE100" s="6"/>
      <c r="BF100" s="6"/>
      <c r="BG100" s="6">
        <f>IFERROR(__xludf.DUMMYFUNCTION("""COMPUTED_VALUE"""),2040.0)</f>
        <v>2040</v>
      </c>
      <c r="BH100" s="15">
        <f>IFERROR(__xludf.DUMMYFUNCTION("""COMPUTED_VALUE"""),46233.49805555555)</f>
        <v>46233.49806</v>
      </c>
      <c r="BI100" s="6">
        <f>IFERROR(__xludf.DUMMYFUNCTION("""COMPUTED_VALUE"""),99.0)</f>
        <v>99</v>
      </c>
      <c r="BJ100" s="6"/>
      <c r="BK100" s="6"/>
      <c r="BL100" s="6" t="str">
        <f>IFERROR(__xludf.DUMMYFUNCTION("""COMPUTED_VALUE"""),"GISLON0015")</f>
        <v>GISLON0015</v>
      </c>
      <c r="BM100" s="6"/>
      <c r="BN100" s="6"/>
      <c r="BO100" s="6"/>
      <c r="BP100" s="6"/>
      <c r="BQ100" s="6" t="str">
        <f>IFERROR(__xludf.DUMMYFUNCTION("""COMPUTED_VALUE"""),"XC_K4_Futbol")</f>
        <v>XC_K4_Futbol</v>
      </c>
      <c r="BR100" s="6"/>
      <c r="BS100" s="6"/>
      <c r="BT100" s="6"/>
      <c r="BU100" s="6" t="str">
        <f>IFERROR(__xludf.DUMMYFUNCTION("""COMPUTED_VALUE"""),"SI")</f>
        <v>SI</v>
      </c>
      <c r="BV100" s="6" t="str">
        <f>IFERROR(__xludf.DUMMYFUNCTION("""COMPUTED_VALUE"""),"enzof.l2040")</f>
        <v>enzof.l2040</v>
      </c>
      <c r="BW100" s="6"/>
      <c r="BX100" s="6"/>
      <c r="BY100" s="6"/>
      <c r="BZ100" s="6"/>
    </row>
    <row r="101">
      <c r="A101" s="12">
        <f>IFERROR(__xludf.DUMMYFUNCTION("""COMPUTED_VALUE"""),1.09286575E9)</f>
        <v>1092865750</v>
      </c>
      <c r="B101" s="6">
        <f>IFERROR(__xludf.DUMMYFUNCTION("""COMPUTED_VALUE"""),10.0)</f>
        <v>10</v>
      </c>
      <c r="C101" s="6" t="str">
        <f>IFERROR(__xludf.DUMMYFUNCTION("""COMPUTED_VALUE"""),"María")</f>
        <v>María</v>
      </c>
      <c r="D101" s="6"/>
      <c r="E101" s="6" t="str">
        <f>IFERROR(__xludf.DUMMYFUNCTION("""COMPUTED_VALUE"""),"Madrigal Villegas")</f>
        <v>Madrigal Villegas</v>
      </c>
      <c r="F101" s="6" t="str">
        <f>IFERROR(__xludf.DUMMYFUNCTION("""COMPUTED_VALUE"""),"Parque Residencial Los Cedros Mz 2 Casa 10 - Calle 50Nte No15 - 1")</f>
        <v>Parque Residencial Los Cedros Mz 2 Casa 10 - Calle 50Nte No15 - 1</v>
      </c>
      <c r="G101" s="12" t="str">
        <f>IFERROR(__xludf.DUMMYFUNCTION("""COMPUTED_VALUE"""),"2022")</f>
        <v>2022</v>
      </c>
      <c r="H101" s="6" t="str">
        <f>IFERROR(__xludf.DUMMYFUNCTION("""COMPUTED_VALUE"""),"Febrero")</f>
        <v>Febrero</v>
      </c>
      <c r="I101" s="12" t="str">
        <f>IFERROR(__xludf.DUMMYFUNCTION("""COMPUTED_VALUE"""),"16")</f>
        <v>16</v>
      </c>
      <c r="J101" s="6" t="str">
        <f>IFERROR(__xludf.DUMMYFUNCTION("""COMPUTED_VALUE"""),"Pereira")</f>
        <v>Pereira</v>
      </c>
      <c r="K101" s="6" t="str">
        <f>IFERROR(__xludf.DUMMYFUNCTION("""COMPUTED_VALUE"""),"maria.m2040@gi.edu.co")</f>
        <v>maria.m2040@gi.edu.co</v>
      </c>
      <c r="L101" s="6" t="str">
        <f>IFERROR(__xludf.DUMMYFUNCTION("""COMPUTED_VALUE"""),"RC")</f>
        <v>RC</v>
      </c>
      <c r="M101" s="6" t="str">
        <f>IFERROR(__xludf.DUMMYFUNCTION("""COMPUTED_VALUE"""),"Armenia")</f>
        <v>Armenia</v>
      </c>
      <c r="N101" s="6" t="str">
        <f>IFERROR(__xludf.DUMMYFUNCTION("""COMPUTED_VALUE"""),"F")</f>
        <v>F</v>
      </c>
      <c r="O101" s="6" t="str">
        <f>IFERROR(__xludf.DUMMYFUNCTION("""COMPUTED_VALUE"""),"ACTIVE")</f>
        <v>ACTIVE</v>
      </c>
      <c r="P101" s="6"/>
      <c r="Q101" s="6" t="str">
        <f>IFERROR(__xludf.DUMMYFUNCTION("""COMPUTED_VALUE"""),"Armenia")</f>
        <v>Armenia</v>
      </c>
      <c r="R101" s="12" t="str">
        <f>IFERROR(__xludf.DUMMYFUNCTION("""COMPUTED_VALUE"""),"Gicnr5u48*")</f>
        <v>Gicnr5u48*</v>
      </c>
      <c r="S101" s="6" t="str">
        <f>IFERROR(__xludf.DUMMYFUNCTION("""COMPUTED_VALUE"""),"Madrigal Villegas María ")</f>
        <v>Madrigal Villegas María </v>
      </c>
      <c r="T101" s="6" t="str">
        <f>IFERROR(__xludf.DUMMYFUNCTION("""COMPUTED_VALUE"""),"JUAN DAVID MADRIGAL VIEIRA")</f>
        <v>JUAN DAVID MADRIGAL VIEIRA</v>
      </c>
      <c r="U101" s="12" t="str">
        <f>IFERROR(__xludf.DUMMYFUNCTION("""COMPUTED_VALUE"""),"9738729")</f>
        <v>9738729</v>
      </c>
      <c r="V101" s="6">
        <f>IFERROR(__xludf.DUMMYFUNCTION("""COMPUTED_VALUE"""),3.148694336E9)</f>
        <v>3148694336</v>
      </c>
      <c r="W101" s="6" t="str">
        <f>IFERROR(__xludf.DUMMYFUNCTION("""COMPUTED_VALUE"""),"juanmadrigal@outlook.com")</f>
        <v>juanmadrigal@outlook.com</v>
      </c>
      <c r="X101" s="12" t="str">
        <f>IFERROR(__xludf.DUMMYFUNCTION("""COMPUTED_VALUE"""),"O+")</f>
        <v>O+</v>
      </c>
      <c r="Y101" s="12" t="str">
        <f>IFERROR(__xludf.DUMMYFUNCTION("""COMPUTED_VALUE"""),"K4")</f>
        <v>K4</v>
      </c>
      <c r="Z101" s="6">
        <f>IFERROR(__xludf.DUMMYFUNCTION("""COMPUTED_VALUE"""),120504.0)</f>
        <v>120504</v>
      </c>
      <c r="AA101" s="6" t="str">
        <f>IFERROR(__xludf.DUMMYFUNCTION("""COMPUTED_VALUE"""),"SURA")</f>
        <v>SURA</v>
      </c>
      <c r="AB101" s="6"/>
      <c r="AC101" s="6"/>
      <c r="AD101" s="12" t="str">
        <f>IFERROR(__xludf.DUMMYFUNCTION("""COMPUTED_VALUE"""),"K4C")</f>
        <v>K4C</v>
      </c>
      <c r="AE101" s="6" t="str">
        <f>IFERROR(__xludf.DUMMYFUNCTION("""COMPUTED_VALUE"""),"1345282503")</f>
        <v>1345282503</v>
      </c>
      <c r="AF101" s="12" t="str">
        <f>IFERROR(__xludf.DUMMYFUNCTION("""COMPUTED_VALUE"""),"1345282503")</f>
        <v>1345282503</v>
      </c>
      <c r="AG101" s="12" t="str">
        <f>IFERROR(__xludf.DUMMYFUNCTION("""COMPUTED_VALUE"""),"Verónica")</f>
        <v>Verónica</v>
      </c>
      <c r="AH101" s="6"/>
      <c r="AI101" s="6" t="str">
        <f>IFERROR(__xludf.DUMMYFUNCTION("""COMPUTED_VALUE"""),"Villegas Gutiérrez")</f>
        <v>Villegas Gutiérrez</v>
      </c>
      <c r="AJ101" s="6" t="str">
        <f>IFERROR(__xludf.DUMMYFUNCTION("""COMPUTED_VALUE"""),"verovi@gmail.com")</f>
        <v>verovi@gmail.com</v>
      </c>
      <c r="AK101" s="6" t="str">
        <f>IFERROR(__xludf.DUMMYFUNCTION("""COMPUTED_VALUE"""),"Diseñadora gráfica")</f>
        <v>Diseñadora gráfica</v>
      </c>
      <c r="AL101" s="6" t="str">
        <f>IFERROR(__xludf.DUMMYFUNCTION("""COMPUTED_VALUE"""),"Vintage in LoVe nail spa")</f>
        <v>Vintage in LoVe nail spa</v>
      </c>
      <c r="AM101" s="12" t="str">
        <f>IFERROR(__xludf.DUMMYFUNCTION("""COMPUTED_VALUE"""),"41958760")</f>
        <v>41958760</v>
      </c>
      <c r="AN101" s="12" t="str">
        <f>IFERROR(__xludf.DUMMYFUNCTION("""COMPUTED_VALUE"""),"3228582606")</f>
        <v>3228582606</v>
      </c>
      <c r="AO101" s="6" t="str">
        <f>IFERROR(__xludf.DUMMYFUNCTION("""COMPUTED_VALUE"""),"Madre")</f>
        <v>Madre</v>
      </c>
      <c r="AP101" s="12" t="str">
        <f>IFERROR(__xludf.DUMMYFUNCTION("""COMPUTED_VALUE"""),"Estudiante(s): Madrigal Villegas")</f>
        <v>Estudiante(s): Madrigal Villegas</v>
      </c>
      <c r="AQ101" s="6" t="str">
        <f>IFERROR(__xludf.DUMMYFUNCTION("""COMPUTED_VALUE"""),"120504*Gi")</f>
        <v>120504*Gi</v>
      </c>
      <c r="AR101" s="6" t="str">
        <f>IFERROR(__xludf.DUMMYFUNCTION("""COMPUTED_VALUE"""),"Juan")</f>
        <v>Juan</v>
      </c>
      <c r="AS101" s="6" t="str">
        <f>IFERROR(__xludf.DUMMYFUNCTION("""COMPUTED_VALUE"""),"David")</f>
        <v>David</v>
      </c>
      <c r="AT101" s="6" t="str">
        <f>IFERROR(__xludf.DUMMYFUNCTION("""COMPUTED_VALUE"""),"Madrigal Vieira")</f>
        <v>Madrigal Vieira</v>
      </c>
      <c r="AU101" s="6" t="str">
        <f>IFERROR(__xludf.DUMMYFUNCTION("""COMPUTED_VALUE"""),"juanmadrigal@outlook.com")</f>
        <v>juanmadrigal@outlook.com</v>
      </c>
      <c r="AV101" s="6" t="str">
        <f>IFERROR(__xludf.DUMMYFUNCTION("""COMPUTED_VALUE"""),"Ingeniero marino")</f>
        <v>Ingeniero marino</v>
      </c>
      <c r="AW101" s="6" t="str">
        <f>IFERROR(__xludf.DUMMYFUNCTION("""COMPUTED_VALUE"""),"Motor Yatch Alchemy")</f>
        <v>Motor Yatch Alchemy</v>
      </c>
      <c r="AX101" s="12" t="str">
        <f>IFERROR(__xludf.DUMMYFUNCTION("""COMPUTED_VALUE"""),"9738729")</f>
        <v>9738729</v>
      </c>
      <c r="AY101" s="12" t="str">
        <f>IFERROR(__xludf.DUMMYFUNCTION("""COMPUTED_VALUE"""),"3148694336")</f>
        <v>3148694336</v>
      </c>
      <c r="AZ101" s="6" t="str">
        <f>IFERROR(__xludf.DUMMYFUNCTION("""COMPUTED_VALUE"""),"Padre")</f>
        <v>Padre</v>
      </c>
      <c r="BA101" s="6"/>
      <c r="BB101" s="6"/>
      <c r="BC101" s="6"/>
      <c r="BD101" s="12" t="str">
        <f>IFERROR(__xludf.DUMMYFUNCTION("""COMPUTED_VALUE"""),"mad0003")</f>
        <v>mad0003</v>
      </c>
      <c r="BE101" s="6"/>
      <c r="BF101" s="6"/>
      <c r="BG101" s="6">
        <f>IFERROR(__xludf.DUMMYFUNCTION("""COMPUTED_VALUE"""),2040.0)</f>
        <v>2040</v>
      </c>
      <c r="BH101" s="15">
        <f>IFERROR(__xludf.DUMMYFUNCTION("""COMPUTED_VALUE"""),46211.54240740741)</f>
        <v>46211.54241</v>
      </c>
      <c r="BI101" s="6">
        <f>IFERROR(__xludf.DUMMYFUNCTION("""COMPUTED_VALUE"""),100.0)</f>
        <v>100</v>
      </c>
      <c r="BJ101" s="6"/>
      <c r="BK101" s="6"/>
      <c r="BL101" s="6" t="str">
        <f>IFERROR(__xludf.DUMMYFUNCTION("""COMPUTED_VALUE"""),"GISMAD0003")</f>
        <v>GISMAD0003</v>
      </c>
      <c r="BM101" s="6"/>
      <c r="BN101" s="6"/>
      <c r="BO101" s="6"/>
      <c r="BP101" s="6"/>
      <c r="BQ101" s="6" t="str">
        <f>IFERROR(__xludf.DUMMYFUNCTION("""COMPUTED_VALUE"""),"XC_K4_Polimotor")</f>
        <v>XC_K4_Polimotor</v>
      </c>
      <c r="BR101" s="6"/>
      <c r="BS101" s="6"/>
      <c r="BT101" s="6"/>
      <c r="BU101" s="6" t="str">
        <f>IFERROR(__xludf.DUMMYFUNCTION("""COMPUTED_VALUE"""),"SI")</f>
        <v>SI</v>
      </c>
      <c r="BV101" s="6" t="str">
        <f>IFERROR(__xludf.DUMMYFUNCTION("""COMPUTED_VALUE"""),"maria.m2040")</f>
        <v>maria.m2040</v>
      </c>
      <c r="BW101" s="6"/>
      <c r="BX101" s="6"/>
      <c r="BY101" s="6"/>
      <c r="BZ101" s="6"/>
    </row>
    <row r="102">
      <c r="A102" s="12">
        <f>IFERROR(__xludf.DUMMYFUNCTION("""COMPUTED_VALUE"""),1.090282841E9)</f>
        <v>1090282841</v>
      </c>
      <c r="B102" s="6">
        <f>IFERROR(__xludf.DUMMYFUNCTION("""COMPUTED_VALUE"""),11.0)</f>
        <v>11</v>
      </c>
      <c r="C102" s="6" t="str">
        <f>IFERROR(__xludf.DUMMYFUNCTION("""COMPUTED_VALUE"""),"Eva")</f>
        <v>Eva</v>
      </c>
      <c r="D102" s="6"/>
      <c r="E102" s="6" t="str">
        <f>IFERROR(__xludf.DUMMYFUNCTION("""COMPUTED_VALUE"""),"Melchor Urrego")</f>
        <v>Melchor Urrego</v>
      </c>
      <c r="F102" s="6" t="str">
        <f>IFERROR(__xludf.DUMMYFUNCTION("""COMPUTED_VALUE"""),"Edificio Quimbaya Apto 704 - Cra 12 No14Nte - 41 La Castellana")</f>
        <v>Edificio Quimbaya Apto 704 - Cra 12 No14Nte - 41 La Castellana</v>
      </c>
      <c r="G102" s="12" t="str">
        <f>IFERROR(__xludf.DUMMYFUNCTION("""COMPUTED_VALUE"""),"2022")</f>
        <v>2022</v>
      </c>
      <c r="H102" s="6" t="str">
        <f>IFERROR(__xludf.DUMMYFUNCTION("""COMPUTED_VALUE"""),"Marzo")</f>
        <v>Marzo</v>
      </c>
      <c r="I102" s="12" t="str">
        <f>IFERROR(__xludf.DUMMYFUNCTION("""COMPUTED_VALUE"""),"6")</f>
        <v>6</v>
      </c>
      <c r="J102" s="6" t="str">
        <f>IFERROR(__xludf.DUMMYFUNCTION("""COMPUTED_VALUE"""),"Armenia")</f>
        <v>Armenia</v>
      </c>
      <c r="K102" s="6" t="str">
        <f>IFERROR(__xludf.DUMMYFUNCTION("""COMPUTED_VALUE"""),"eva.m2040@gi.edu.co")</f>
        <v>eva.m2040@gi.edu.co</v>
      </c>
      <c r="L102" s="6" t="str">
        <f>IFERROR(__xludf.DUMMYFUNCTION("""COMPUTED_VALUE"""),"RC")</f>
        <v>RC</v>
      </c>
      <c r="M102" s="6" t="str">
        <f>IFERROR(__xludf.DUMMYFUNCTION("""COMPUTED_VALUE"""),"Armenia")</f>
        <v>Armenia</v>
      </c>
      <c r="N102" s="6" t="str">
        <f>IFERROR(__xludf.DUMMYFUNCTION("""COMPUTED_VALUE"""),"F")</f>
        <v>F</v>
      </c>
      <c r="O102" s="6" t="str">
        <f>IFERROR(__xludf.DUMMYFUNCTION("""COMPUTED_VALUE"""),"INACTIVE")</f>
        <v>INACTIVE</v>
      </c>
      <c r="P102" s="6"/>
      <c r="Q102" s="6" t="str">
        <f>IFERROR(__xludf.DUMMYFUNCTION("""COMPUTED_VALUE"""),"Armenia")</f>
        <v>Armenia</v>
      </c>
      <c r="R102" s="12" t="str">
        <f>IFERROR(__xludf.DUMMYFUNCTION("""COMPUTED_VALUE"""),"Gipf33nc7*")</f>
        <v>Gipf33nc7*</v>
      </c>
      <c r="S102" s="6" t="str">
        <f>IFERROR(__xludf.DUMMYFUNCTION("""COMPUTED_VALUE"""),"Melchor Urrego Eva ")</f>
        <v>Melchor Urrego Eva </v>
      </c>
      <c r="T102" s="6" t="str">
        <f>IFERROR(__xludf.DUMMYFUNCTION("""COMPUTED_VALUE"""),"CRISTIAN ALEJANDRO MELCHOR AGUDELO")</f>
        <v>CRISTIAN ALEJANDRO MELCHOR AGUDELO</v>
      </c>
      <c r="U102" s="12" t="str">
        <f>IFERROR(__xludf.DUMMYFUNCTION("""COMPUTED_VALUE"""),"1094913953")</f>
        <v>1094913953</v>
      </c>
      <c r="V102" s="6">
        <f>IFERROR(__xludf.DUMMYFUNCTION("""COMPUTED_VALUE"""),3.13668732E9)</f>
        <v>3136687320</v>
      </c>
      <c r="W102" s="6" t="str">
        <f>IFERROR(__xludf.DUMMYFUNCTION("""COMPUTED_VALUE"""),"cristianmelchor1@outlook.com")</f>
        <v>cristianmelchor1@outlook.com</v>
      </c>
      <c r="X102" s="12" t="str">
        <f>IFERROR(__xludf.DUMMYFUNCTION("""COMPUTED_VALUE"""),"O+")</f>
        <v>O+</v>
      </c>
      <c r="Y102" s="12" t="str">
        <f>IFERROR(__xludf.DUMMYFUNCTION("""COMPUTED_VALUE"""),"K4")</f>
        <v>K4</v>
      </c>
      <c r="Z102" s="6">
        <f>IFERROR(__xludf.DUMMYFUNCTION("""COMPUTED_VALUE"""),120526.0)</f>
        <v>120526</v>
      </c>
      <c r="AA102" s="6" t="str">
        <f>IFERROR(__xludf.DUMMYFUNCTION("""COMPUTED_VALUE"""),"NUEVA EPS")</f>
        <v>NUEVA EPS</v>
      </c>
      <c r="AB102" s="6"/>
      <c r="AC102" s="6"/>
      <c r="AD102" s="12" t="str">
        <f>IFERROR(__xludf.DUMMYFUNCTION("""COMPUTED_VALUE"""),"K4C")</f>
        <v>K4C</v>
      </c>
      <c r="AE102" s="12" t="str">
        <f>IFERROR(__xludf.DUMMYFUNCTION("""COMPUTED_VALUE"""),"1345282525")</f>
        <v>1345282525</v>
      </c>
      <c r="AF102" s="12" t="str">
        <f>IFERROR(__xludf.DUMMYFUNCTION("""COMPUTED_VALUE"""),"1345282525")</f>
        <v>1345282525</v>
      </c>
      <c r="AG102" s="12" t="str">
        <f>IFERROR(__xludf.DUMMYFUNCTION("""COMPUTED_VALUE"""),"Karen")</f>
        <v>Karen</v>
      </c>
      <c r="AH102" s="12" t="str">
        <f>IFERROR(__xludf.DUMMYFUNCTION("""COMPUTED_VALUE"""),"Tatiana")</f>
        <v>Tatiana</v>
      </c>
      <c r="AI102" s="6" t="str">
        <f>IFERROR(__xludf.DUMMYFUNCTION("""COMPUTED_VALUE"""),"Urrego Gómez")</f>
        <v>Urrego Gómez</v>
      </c>
      <c r="AJ102" s="6" t="str">
        <f>IFERROR(__xludf.DUMMYFUNCTION("""COMPUTED_VALUE"""),"tatianau2293@gmail.com")</f>
        <v>tatianau2293@gmail.com</v>
      </c>
      <c r="AK102" s="6" t="str">
        <f>IFERROR(__xludf.DUMMYFUNCTION("""COMPUTED_VALUE"""),"ECONOMISTA")</f>
        <v>ECONOMISTA</v>
      </c>
      <c r="AL102" s="6" t="str">
        <f>IFERROR(__xludf.DUMMYFUNCTION("""COMPUTED_VALUE"""),"ASESORIAS")</f>
        <v>ASESORIAS</v>
      </c>
      <c r="AM102" s="12" t="str">
        <f>IFERROR(__xludf.DUMMYFUNCTION("""COMPUTED_VALUE"""),"1094939534")</f>
        <v>1094939534</v>
      </c>
      <c r="AN102" s="12" t="str">
        <f>IFERROR(__xludf.DUMMYFUNCTION("""COMPUTED_VALUE"""),"3127487609")</f>
        <v>3127487609</v>
      </c>
      <c r="AO102" s="6" t="str">
        <f>IFERROR(__xludf.DUMMYFUNCTION("""COMPUTED_VALUE"""),"Madre")</f>
        <v>Madre</v>
      </c>
      <c r="AP102" s="12" t="str">
        <f>IFERROR(__xludf.DUMMYFUNCTION("""COMPUTED_VALUE"""),"Estudiante(s): Melchor Urrego")</f>
        <v>Estudiante(s): Melchor Urrego</v>
      </c>
      <c r="AQ102" s="6" t="str">
        <f>IFERROR(__xludf.DUMMYFUNCTION("""COMPUTED_VALUE"""),"120526*Gi")</f>
        <v>120526*Gi</v>
      </c>
      <c r="AR102" s="6" t="str">
        <f>IFERROR(__xludf.DUMMYFUNCTION("""COMPUTED_VALUE"""),"Cristian")</f>
        <v>Cristian</v>
      </c>
      <c r="AS102" s="6" t="str">
        <f>IFERROR(__xludf.DUMMYFUNCTION("""COMPUTED_VALUE"""),"Alejandro")</f>
        <v>Alejandro</v>
      </c>
      <c r="AT102" s="6" t="str">
        <f>IFERROR(__xludf.DUMMYFUNCTION("""COMPUTED_VALUE"""),"Melchor Agudelo")</f>
        <v>Melchor Agudelo</v>
      </c>
      <c r="AU102" s="6" t="str">
        <f>IFERROR(__xludf.DUMMYFUNCTION("""COMPUTED_VALUE"""),"cristianmelchor1@outlook.com")</f>
        <v>cristianmelchor1@outlook.com</v>
      </c>
      <c r="AV102" s="6" t="str">
        <f>IFERROR(__xludf.DUMMYFUNCTION("""COMPUTED_VALUE"""),"ADMINISTRADOR FINANCIERO")</f>
        <v>ADMINISTRADOR FINANCIERO</v>
      </c>
      <c r="AW102" s="6" t="str">
        <f>IFERROR(__xludf.DUMMYFUNCTION("""COMPUTED_VALUE"""),"UNIVERSIDAD JAVERIANA, MINISTERIO ")</f>
        <v>UNIVERSIDAD JAVERIANA, MINISTERIO </v>
      </c>
      <c r="AX102" s="12" t="str">
        <f>IFERROR(__xludf.DUMMYFUNCTION("""COMPUTED_VALUE"""),"1094913953")</f>
        <v>1094913953</v>
      </c>
      <c r="AY102" s="12" t="str">
        <f>IFERROR(__xludf.DUMMYFUNCTION("""COMPUTED_VALUE"""),"3136887320")</f>
        <v>3136887320</v>
      </c>
      <c r="AZ102" s="6" t="str">
        <f>IFERROR(__xludf.DUMMYFUNCTION("""COMPUTED_VALUE"""),"Padre")</f>
        <v>Padre</v>
      </c>
      <c r="BA102" s="6"/>
      <c r="BB102" s="6"/>
      <c r="BC102" s="6"/>
      <c r="BD102" s="12" t="str">
        <f>IFERROR(__xludf.DUMMYFUNCTION("""COMPUTED_VALUE"""),"mel0001")</f>
        <v>mel0001</v>
      </c>
      <c r="BE102" s="12" t="str">
        <f>IFERROR(__xludf.DUMMYFUNCTION("""COMPUTED_VALUE"""),"FALTAN FIRMAS")</f>
        <v>FALTAN FIRMAS</v>
      </c>
      <c r="BF102" s="6"/>
      <c r="BG102" s="6">
        <f>IFERROR(__xludf.DUMMYFUNCTION("""COMPUTED_VALUE"""),2040.0)</f>
        <v>2040</v>
      </c>
      <c r="BH102" s="15">
        <f>IFERROR(__xludf.DUMMYFUNCTION("""COMPUTED_VALUE"""),46209.83819444444)</f>
        <v>46209.83819</v>
      </c>
      <c r="BI102" s="6">
        <f>IFERROR(__xludf.DUMMYFUNCTION("""COMPUTED_VALUE"""),101.0)</f>
        <v>101</v>
      </c>
      <c r="BJ102" s="6"/>
      <c r="BK102" s="6"/>
      <c r="BL102" s="6" t="str">
        <f>IFERROR(__xludf.DUMMYFUNCTION("""COMPUTED_VALUE"""),"GISMEL0001")</f>
        <v>GISMEL0001</v>
      </c>
      <c r="BM102" s="6"/>
      <c r="BN102" s="6"/>
      <c r="BO102" s="6"/>
      <c r="BP102" s="6"/>
      <c r="BQ102" s="6"/>
      <c r="BR102" s="6"/>
      <c r="BS102" s="6"/>
      <c r="BT102" s="6"/>
      <c r="BU102" s="6" t="str">
        <f>IFERROR(__xludf.DUMMYFUNCTION("""COMPUTED_VALUE"""),"SI")</f>
        <v>SI</v>
      </c>
      <c r="BV102" s="6" t="str">
        <f>IFERROR(__xludf.DUMMYFUNCTION("""COMPUTED_VALUE"""),"eva.m2040")</f>
        <v>eva.m2040</v>
      </c>
      <c r="BW102" s="6"/>
      <c r="BX102" s="6"/>
      <c r="BY102" s="6"/>
      <c r="BZ102" s="6"/>
    </row>
    <row r="103">
      <c r="A103" s="12">
        <f>IFERROR(__xludf.DUMMYFUNCTION("""COMPUTED_VALUE"""),1.013030413E9)</f>
        <v>1013030413</v>
      </c>
      <c r="B103" s="6">
        <f>IFERROR(__xludf.DUMMYFUNCTION("""COMPUTED_VALUE"""),12.0)</f>
        <v>12</v>
      </c>
      <c r="C103" s="6" t="str">
        <f>IFERROR(__xludf.DUMMYFUNCTION("""COMPUTED_VALUE"""),"Matías")</f>
        <v>Matías</v>
      </c>
      <c r="D103" s="6"/>
      <c r="E103" s="6" t="str">
        <f>IFERROR(__xludf.DUMMYFUNCTION("""COMPUTED_VALUE"""),"Morales Acosta")</f>
        <v>Morales Acosta</v>
      </c>
      <c r="F103" s="6" t="str">
        <f>IFERROR(__xludf.DUMMYFUNCTION("""COMPUTED_VALUE"""),"Cra 15a No23Nte -50")</f>
        <v>Cra 15a No23Nte -50</v>
      </c>
      <c r="G103" s="12">
        <f>IFERROR(__xludf.DUMMYFUNCTION("""COMPUTED_VALUE"""),2021.0)</f>
        <v>2021</v>
      </c>
      <c r="H103" s="12" t="str">
        <f>IFERROR(__xludf.DUMMYFUNCTION("""COMPUTED_VALUE"""),"Marzo")</f>
        <v>Marzo</v>
      </c>
      <c r="I103" s="12">
        <f>IFERROR(__xludf.DUMMYFUNCTION("""COMPUTED_VALUE"""),12.0)</f>
        <v>12</v>
      </c>
      <c r="J103" s="6"/>
      <c r="K103" s="12" t="str">
        <f>IFERROR(__xludf.DUMMYFUNCTION("""COMPUTED_VALUE"""),"matias.m2040@gi.edu.co")</f>
        <v>matias.m2040@gi.edu.co</v>
      </c>
      <c r="L103" s="6" t="str">
        <f>IFERROR(__xludf.DUMMYFUNCTION("""COMPUTED_VALUE"""),"TI")</f>
        <v>TI</v>
      </c>
      <c r="M103" s="6" t="str">
        <f>IFERROR(__xludf.DUMMYFUNCTION("""COMPUTED_VALUE"""),"Bogotá D.C.")</f>
        <v>Bogotá D.C.</v>
      </c>
      <c r="N103" s="6" t="str">
        <f>IFERROR(__xludf.DUMMYFUNCTION("""COMPUTED_VALUE"""),"M")</f>
        <v>M</v>
      </c>
      <c r="O103" s="6" t="str">
        <f>IFERROR(__xludf.DUMMYFUNCTION("""COMPUTED_VALUE"""),"ACTIVE")</f>
        <v>ACTIVE</v>
      </c>
      <c r="P103" s="6"/>
      <c r="Q103" s="6"/>
      <c r="R103" s="12" t="str">
        <f>IFERROR(__xludf.DUMMYFUNCTION("""COMPUTED_VALUE"""),"GiY8Lj5M*")</f>
        <v>GiY8Lj5M*</v>
      </c>
      <c r="S103" s="6" t="str">
        <f>IFERROR(__xludf.DUMMYFUNCTION("""COMPUTED_VALUE"""),"Morales Acosta Matías ")</f>
        <v>Morales Acosta Matías </v>
      </c>
      <c r="T103" s="6" t="str">
        <f>IFERROR(__xludf.DUMMYFUNCTION("""COMPUTED_VALUE"""),"MAURICIO EFRAIN MORALES RIGUEROS")</f>
        <v>MAURICIO EFRAIN MORALES RIGUEROS</v>
      </c>
      <c r="U103" s="12" t="str">
        <f>IFERROR(__xludf.DUMMYFUNCTION("""COMPUTED_VALUE"""),"80414306")</f>
        <v>80414306</v>
      </c>
      <c r="V103" s="6">
        <f>IFERROR(__xludf.DUMMYFUNCTION("""COMPUTED_VALUE"""),3.212449014E9)</f>
        <v>3212449014</v>
      </c>
      <c r="W103" s="6" t="str">
        <f>IFERROR(__xludf.DUMMYFUNCTION("""COMPUTED_VALUE"""),"mauricio.morales18@hotmail.com")</f>
        <v>mauricio.morales18@hotmail.com</v>
      </c>
      <c r="X103" s="12" t="str">
        <f>IFERROR(__xludf.DUMMYFUNCTION("""COMPUTED_VALUE"""),"A+")</f>
        <v>A+</v>
      </c>
      <c r="Y103" s="12" t="str">
        <f>IFERROR(__xludf.DUMMYFUNCTION("""COMPUTED_VALUE"""),"K4")</f>
        <v>K4</v>
      </c>
      <c r="Z103" s="6">
        <f>IFERROR(__xludf.DUMMYFUNCTION("""COMPUTED_VALUE"""),120630.0)</f>
        <v>120630</v>
      </c>
      <c r="AA103" s="6" t="str">
        <f>IFERROR(__xludf.DUMMYFUNCTION("""COMPUTED_VALUE"""),"SANITAS")</f>
        <v>SANITAS</v>
      </c>
      <c r="AB103" s="6"/>
      <c r="AC103" s="12" t="str">
        <f>IFERROR(__xludf.DUMMYFUNCTION("""COMPUTED_VALUE"""),"Caballos y camarones")</f>
        <v>Caballos y camarones</v>
      </c>
      <c r="AD103" s="12" t="str">
        <f>IFERROR(__xludf.DUMMYFUNCTION("""COMPUTED_VALUE"""),"K4C")</f>
        <v>K4C</v>
      </c>
      <c r="AE103" s="12" t="str">
        <f>IFERROR(__xludf.DUMMYFUNCTION("""COMPUTED_VALUE"""),"1345282627")</f>
        <v>1345282627</v>
      </c>
      <c r="AF103" s="12" t="str">
        <f>IFERROR(__xludf.DUMMYFUNCTION("""COMPUTED_VALUE"""),"1345282627")</f>
        <v>1345282627</v>
      </c>
      <c r="AG103" s="12" t="str">
        <f>IFERROR(__xludf.DUMMYFUNCTION("""COMPUTED_VALUE"""),"Estefania")</f>
        <v>Estefania</v>
      </c>
      <c r="AH103" s="6"/>
      <c r="AI103" s="6" t="str">
        <f>IFERROR(__xludf.DUMMYFUNCTION("""COMPUTED_VALUE"""),"Acosta Bustamante")</f>
        <v>Acosta Bustamante</v>
      </c>
      <c r="AJ103" s="6" t="str">
        <f>IFERROR(__xludf.DUMMYFUNCTION("""COMPUTED_VALUE"""),"tefala@msn.com")</f>
        <v>tefala@msn.com</v>
      </c>
      <c r="AK103" s="6" t="str">
        <f>IFERROR(__xludf.DUMMYFUNCTION("""COMPUTED_VALUE"""),"administradora empresas")</f>
        <v>administradora empresas</v>
      </c>
      <c r="AL103" s="6"/>
      <c r="AM103" s="12" t="str">
        <f>IFERROR(__xludf.DUMMYFUNCTION("""COMPUTED_VALUE"""),"1094904856")</f>
        <v>1094904856</v>
      </c>
      <c r="AN103" s="12" t="str">
        <f>IFERROR(__xludf.DUMMYFUNCTION("""COMPUTED_VALUE"""),"3182063193")</f>
        <v>3182063193</v>
      </c>
      <c r="AO103" s="6" t="str">
        <f>IFERROR(__xludf.DUMMYFUNCTION("""COMPUTED_VALUE"""),"Madre")</f>
        <v>Madre</v>
      </c>
      <c r="AP103" s="6" t="str">
        <f>IFERROR(__xludf.DUMMYFUNCTION("""COMPUTED_VALUE"""),"Estudiante(s): Morales Acosta")</f>
        <v>Estudiante(s): Morales Acosta</v>
      </c>
      <c r="AQ103" s="6" t="str">
        <f>IFERROR(__xludf.DUMMYFUNCTION("""COMPUTED_VALUE"""),"120630*Gi")</f>
        <v>120630*Gi</v>
      </c>
      <c r="AR103" s="6" t="str">
        <f>IFERROR(__xludf.DUMMYFUNCTION("""COMPUTED_VALUE"""),"Mauricio")</f>
        <v>Mauricio</v>
      </c>
      <c r="AS103" s="6" t="str">
        <f>IFERROR(__xludf.DUMMYFUNCTION("""COMPUTED_VALUE"""),"Efrain")</f>
        <v>Efrain</v>
      </c>
      <c r="AT103" s="6" t="str">
        <f>IFERROR(__xludf.DUMMYFUNCTION("""COMPUTED_VALUE"""),"Morales Rigueros")</f>
        <v>Morales Rigueros</v>
      </c>
      <c r="AU103" s="6" t="str">
        <f>IFERROR(__xludf.DUMMYFUNCTION("""COMPUTED_VALUE"""),"mauricio.morales18@hotmail.com")</f>
        <v>mauricio.morales18@hotmail.com</v>
      </c>
      <c r="AV103" s="6" t="str">
        <f>IFERROR(__xludf.DUMMYFUNCTION("""COMPUTED_VALUE"""),"ingeniero industrial")</f>
        <v>ingeniero industrial</v>
      </c>
      <c r="AW103" s="6"/>
      <c r="AX103" s="12" t="str">
        <f>IFERROR(__xludf.DUMMYFUNCTION("""COMPUTED_VALUE"""),"80414306")</f>
        <v>80414306</v>
      </c>
      <c r="AY103" s="12" t="str">
        <f>IFERROR(__xludf.DUMMYFUNCTION("""COMPUTED_VALUE"""),"3212449014")</f>
        <v>3212449014</v>
      </c>
      <c r="AZ103" s="6" t="str">
        <f>IFERROR(__xludf.DUMMYFUNCTION("""COMPUTED_VALUE"""),"Padre")</f>
        <v>Padre</v>
      </c>
      <c r="BA103" s="6"/>
      <c r="BB103" s="6"/>
      <c r="BC103" s="6"/>
      <c r="BD103" s="12" t="str">
        <f>IFERROR(__xludf.DUMMYFUNCTION("""COMPUTED_VALUE"""),"mor0014")</f>
        <v>mor0014</v>
      </c>
      <c r="BE103" s="6" t="str">
        <f>IFERROR(__xludf.DUMMYFUNCTION("""COMPUTED_VALUE"""),"NUEVO(A)")</f>
        <v>NUEVO(A)</v>
      </c>
      <c r="BF103" s="6"/>
      <c r="BG103" s="6">
        <f>IFERROR(__xludf.DUMMYFUNCTION("""COMPUTED_VALUE"""),2040.0)</f>
        <v>2040</v>
      </c>
      <c r="BH103" s="15">
        <f>IFERROR(__xludf.DUMMYFUNCTION("""COMPUTED_VALUE"""),46204.5246412037)</f>
        <v>46204.52464</v>
      </c>
      <c r="BI103" s="6">
        <f>IFERROR(__xludf.DUMMYFUNCTION("""COMPUTED_VALUE"""),102.0)</f>
        <v>102</v>
      </c>
      <c r="BJ103" s="6"/>
      <c r="BK103" s="6"/>
      <c r="BL103" s="6" t="str">
        <f>IFERROR(__xludf.DUMMYFUNCTION("""COMPUTED_VALUE"""),"GISMOR0014")</f>
        <v>GISMOR0014</v>
      </c>
      <c r="BM103" s="6"/>
      <c r="BN103" s="6"/>
      <c r="BO103" s="6"/>
      <c r="BP103" s="6"/>
      <c r="BQ103" s="6" t="str">
        <f>IFERROR(__xludf.DUMMYFUNCTION("""COMPUTED_VALUE"""),"XC_K4_Futbol")</f>
        <v>XC_K4_Futbol</v>
      </c>
      <c r="BR103" s="6"/>
      <c r="BS103" s="6" t="str">
        <f>IFERROR(__xludf.DUMMYFUNCTION("""COMPUTED_VALUE"""),"XC_K4_IniciaMusical")</f>
        <v>XC_K4_IniciaMusical</v>
      </c>
      <c r="BT103" s="6"/>
      <c r="BU103" s="6" t="str">
        <f>IFERROR(__xludf.DUMMYFUNCTION("""COMPUTED_VALUE"""),"SI")</f>
        <v>SI</v>
      </c>
      <c r="BV103" s="12" t="str">
        <f>IFERROR(__xludf.DUMMYFUNCTION("""COMPUTED_VALUE"""),"matias.m2040")</f>
        <v>matias.m2040</v>
      </c>
      <c r="BW103" s="6"/>
      <c r="BX103" s="6"/>
      <c r="BY103" s="6"/>
      <c r="BZ103" s="6"/>
    </row>
    <row r="104">
      <c r="A104" s="12">
        <f>IFERROR(__xludf.DUMMYFUNCTION("""COMPUTED_VALUE"""),1.092865685E9)</f>
        <v>1092865685</v>
      </c>
      <c r="B104" s="6">
        <f>IFERROR(__xludf.DUMMYFUNCTION("""COMPUTED_VALUE"""),13.0)</f>
        <v>13</v>
      </c>
      <c r="C104" s="6" t="str">
        <f>IFERROR(__xludf.DUMMYFUNCTION("""COMPUTED_VALUE"""),"David")</f>
        <v>David</v>
      </c>
      <c r="D104" s="6" t="str">
        <f>IFERROR(__xludf.DUMMYFUNCTION("""COMPUTED_VALUE"""),"Felipe")</f>
        <v>Felipe</v>
      </c>
      <c r="E104" s="6" t="str">
        <f>IFERROR(__xludf.DUMMYFUNCTION("""COMPUTED_VALUE"""),"Olarte Gutiérrez")</f>
        <v>Olarte Gutiérrez</v>
      </c>
      <c r="F104" s="6" t="str">
        <f>IFERROR(__xludf.DUMMYFUNCTION("""COMPUTED_VALUE"""),"Bosques de Toscana Casa 4 - Congal")</f>
        <v>Bosques de Toscana Casa 4 - Congal</v>
      </c>
      <c r="G104" s="12" t="str">
        <f>IFERROR(__xludf.DUMMYFUNCTION("""COMPUTED_VALUE"""),"2022")</f>
        <v>2022</v>
      </c>
      <c r="H104" s="6" t="str">
        <f>IFERROR(__xludf.DUMMYFUNCTION("""COMPUTED_VALUE"""),"Enero")</f>
        <v>Enero</v>
      </c>
      <c r="I104" s="12" t="str">
        <f>IFERROR(__xludf.DUMMYFUNCTION("""COMPUTED_VALUE"""),"27")</f>
        <v>27</v>
      </c>
      <c r="J104" s="6" t="str">
        <f>IFERROR(__xludf.DUMMYFUNCTION("""COMPUTED_VALUE"""),"Armenia")</f>
        <v>Armenia</v>
      </c>
      <c r="K104" s="6" t="str">
        <f>IFERROR(__xludf.DUMMYFUNCTION("""COMPUTED_VALUE"""),"davidf.o2040@gi.edu.co")</f>
        <v>davidf.o2040@gi.edu.co</v>
      </c>
      <c r="L104" s="6" t="str">
        <f>IFERROR(__xludf.DUMMYFUNCTION("""COMPUTED_VALUE"""),"RC")</f>
        <v>RC</v>
      </c>
      <c r="M104" s="6" t="str">
        <f>IFERROR(__xludf.DUMMYFUNCTION("""COMPUTED_VALUE"""),"Armenia")</f>
        <v>Armenia</v>
      </c>
      <c r="N104" s="6" t="str">
        <f>IFERROR(__xludf.DUMMYFUNCTION("""COMPUTED_VALUE"""),"M")</f>
        <v>M</v>
      </c>
      <c r="O104" s="6" t="str">
        <f>IFERROR(__xludf.DUMMYFUNCTION("""COMPUTED_VALUE"""),"ACTIVE")</f>
        <v>ACTIVE</v>
      </c>
      <c r="P104" s="6"/>
      <c r="Q104" s="6" t="str">
        <f>IFERROR(__xludf.DUMMYFUNCTION("""COMPUTED_VALUE"""),"Armenia")</f>
        <v>Armenia</v>
      </c>
      <c r="R104" s="12" t="str">
        <f>IFERROR(__xludf.DUMMYFUNCTION("""COMPUTED_VALUE"""),"Gi92vhm5*")</f>
        <v>Gi92vhm5*</v>
      </c>
      <c r="S104" s="6" t="str">
        <f>IFERROR(__xludf.DUMMYFUNCTION("""COMPUTED_VALUE"""),"Olarte Gutiérrez David Felipe")</f>
        <v>Olarte Gutiérrez David Felipe</v>
      </c>
      <c r="T104" s="6" t="str">
        <f>IFERROR(__xludf.DUMMYFUNCTION("""COMPUTED_VALUE"""),"JULIAN CAMILO OLARTE RODRIGUEZ")</f>
        <v>JULIAN CAMILO OLARTE RODRIGUEZ</v>
      </c>
      <c r="U104" s="12" t="str">
        <f>IFERROR(__xludf.DUMMYFUNCTION("""COMPUTED_VALUE"""),"7185400")</f>
        <v>7185400</v>
      </c>
      <c r="V104" s="6">
        <f>IFERROR(__xludf.DUMMYFUNCTION("""COMPUTED_VALUE"""),3.176685739E9)</f>
        <v>3176685739</v>
      </c>
      <c r="W104" s="6" t="str">
        <f>IFERROR(__xludf.DUMMYFUNCTION("""COMPUTED_VALUE"""),"julianolarte0909@gmail.com")</f>
        <v>julianolarte0909@gmail.com</v>
      </c>
      <c r="X104" s="12" t="str">
        <f>IFERROR(__xludf.DUMMYFUNCTION("""COMPUTED_VALUE"""),"A+")</f>
        <v>A+</v>
      </c>
      <c r="Y104" s="12" t="str">
        <f>IFERROR(__xludf.DUMMYFUNCTION("""COMPUTED_VALUE"""),"K4")</f>
        <v>K4</v>
      </c>
      <c r="Z104" s="6">
        <f>IFERROR(__xludf.DUMMYFUNCTION("""COMPUTED_VALUE"""),120532.0)</f>
        <v>120532</v>
      </c>
      <c r="AA104" s="6" t="str">
        <f>IFERROR(__xludf.DUMMYFUNCTION("""COMPUTED_VALUE"""),"SURA")</f>
        <v>SURA</v>
      </c>
      <c r="AB104" s="6"/>
      <c r="AC104" s="6"/>
      <c r="AD104" s="12" t="str">
        <f>IFERROR(__xludf.DUMMYFUNCTION("""COMPUTED_VALUE"""),"K4C")</f>
        <v>K4C</v>
      </c>
      <c r="AE104" s="12" t="str">
        <f>IFERROR(__xludf.DUMMYFUNCTION("""COMPUTED_VALUE"""),"1345282531")</f>
        <v>1345282531</v>
      </c>
      <c r="AF104" s="12" t="str">
        <f>IFERROR(__xludf.DUMMYFUNCTION("""COMPUTED_VALUE"""),"1345282531")</f>
        <v>1345282531</v>
      </c>
      <c r="AG104" s="12" t="str">
        <f>IFERROR(__xludf.DUMMYFUNCTION("""COMPUTED_VALUE"""),"Laura")</f>
        <v>Laura</v>
      </c>
      <c r="AH104" s="12" t="str">
        <f>IFERROR(__xludf.DUMMYFUNCTION("""COMPUTED_VALUE"""),"Cristina")</f>
        <v>Cristina</v>
      </c>
      <c r="AI104" s="6" t="str">
        <f>IFERROR(__xludf.DUMMYFUNCTION("""COMPUTED_VALUE"""),"Gutiérrez Guevara")</f>
        <v>Gutiérrez Guevara</v>
      </c>
      <c r="AJ104" s="6" t="str">
        <f>IFERROR(__xludf.DUMMYFUNCTION("""COMPUTED_VALUE"""),"gutierrezguevara@gmail.com")</f>
        <v>gutierrezguevara@gmail.com</v>
      </c>
      <c r="AK104" s="6" t="str">
        <f>IFERROR(__xludf.DUMMYFUNCTION("""COMPUTED_VALUE"""),"CIRUJANA DE PIE Y TOBILLO")</f>
        <v>CIRUJANA DE PIE Y TOBILLO</v>
      </c>
      <c r="AL104" s="6" t="str">
        <f>IFERROR(__xludf.DUMMYFUNCTION("""COMPUTED_VALUE"""),"DEPORTMED/CLINICA SAGRADA FAMILIA")</f>
        <v>DEPORTMED/CLINICA SAGRADA FAMILIA</v>
      </c>
      <c r="AM104" s="12" t="str">
        <f>IFERROR(__xludf.DUMMYFUNCTION("""COMPUTED_VALUE"""),"1098647797")</f>
        <v>1098647797</v>
      </c>
      <c r="AN104" s="12" t="str">
        <f>IFERROR(__xludf.DUMMYFUNCTION("""COMPUTED_VALUE"""),"3015549824")</f>
        <v>3015549824</v>
      </c>
      <c r="AO104" s="6" t="str">
        <f>IFERROR(__xludf.DUMMYFUNCTION("""COMPUTED_VALUE"""),"Madre")</f>
        <v>Madre</v>
      </c>
      <c r="AP104" s="6" t="str">
        <f>IFERROR(__xludf.DUMMYFUNCTION("""COMPUTED_VALUE"""),"Estudiante(s): Olarte Gutiérrez")</f>
        <v>Estudiante(s): Olarte Gutiérrez</v>
      </c>
      <c r="AQ104" s="6" t="str">
        <f>IFERROR(__xludf.DUMMYFUNCTION("""COMPUTED_VALUE"""),"120532*Gi")</f>
        <v>120532*Gi</v>
      </c>
      <c r="AR104" s="6" t="str">
        <f>IFERROR(__xludf.DUMMYFUNCTION("""COMPUTED_VALUE"""),"Julian")</f>
        <v>Julian</v>
      </c>
      <c r="AS104" s="6" t="str">
        <f>IFERROR(__xludf.DUMMYFUNCTION("""COMPUTED_VALUE"""),"Camilo")</f>
        <v>Camilo</v>
      </c>
      <c r="AT104" s="6" t="str">
        <f>IFERROR(__xludf.DUMMYFUNCTION("""COMPUTED_VALUE"""),"Olarte Rodríguez")</f>
        <v>Olarte Rodríguez</v>
      </c>
      <c r="AU104" s="6" t="str">
        <f>IFERROR(__xludf.DUMMYFUNCTION("""COMPUTED_VALUE"""),"julianolarte0909@gmail.com")</f>
        <v>julianolarte0909@gmail.com</v>
      </c>
      <c r="AV104" s="6" t="str">
        <f>IFERROR(__xludf.DUMMYFUNCTION("""COMPUTED_VALUE"""),"MEDICO ESPECIALISTA EN MEDICINA DEPORTIVA")</f>
        <v>MEDICO ESPECIALISTA EN MEDICINA DEPORTIVA</v>
      </c>
      <c r="AW104" s="6" t="str">
        <f>IFERROR(__xludf.DUMMYFUNCTION("""COMPUTED_VALUE"""),"CEMDE/ DEPORTMED")</f>
        <v>CEMDE/ DEPORTMED</v>
      </c>
      <c r="AX104" s="12" t="str">
        <f>IFERROR(__xludf.DUMMYFUNCTION("""COMPUTED_VALUE"""),"7185400")</f>
        <v>7185400</v>
      </c>
      <c r="AY104" s="12" t="str">
        <f>IFERROR(__xludf.DUMMYFUNCTION("""COMPUTED_VALUE"""),"3176685739")</f>
        <v>3176685739</v>
      </c>
      <c r="AZ104" s="6" t="str">
        <f>IFERROR(__xludf.DUMMYFUNCTION("""COMPUTED_VALUE"""),"Padre")</f>
        <v>Padre</v>
      </c>
      <c r="BA104" s="6"/>
      <c r="BB104" s="6"/>
      <c r="BC104" s="6"/>
      <c r="BD104" s="12" t="str">
        <f>IFERROR(__xludf.DUMMYFUNCTION("""COMPUTED_VALUE"""),"ola0001")</f>
        <v>ola0001</v>
      </c>
      <c r="BE104" s="6"/>
      <c r="BF104" s="6"/>
      <c r="BG104" s="6">
        <f>IFERROR(__xludf.DUMMYFUNCTION("""COMPUTED_VALUE"""),2040.0)</f>
        <v>2040</v>
      </c>
      <c r="BH104" s="15">
        <f>IFERROR(__xludf.DUMMYFUNCTION("""COMPUTED_VALUE"""),46204.611180555556)</f>
        <v>46204.61118</v>
      </c>
      <c r="BI104" s="6">
        <f>IFERROR(__xludf.DUMMYFUNCTION("""COMPUTED_VALUE"""),103.0)</f>
        <v>103</v>
      </c>
      <c r="BJ104" s="6"/>
      <c r="BK104" s="6"/>
      <c r="BL104" s="6" t="str">
        <f>IFERROR(__xludf.DUMMYFUNCTION("""COMPUTED_VALUE"""),"GISOLA0001")</f>
        <v>GISOLA0001</v>
      </c>
      <c r="BM104" s="6"/>
      <c r="BN104" s="6"/>
      <c r="BO104" s="6"/>
      <c r="BP104" s="6"/>
      <c r="BQ104" s="6" t="str">
        <f>IFERROR(__xludf.DUMMYFUNCTION("""COMPUTED_VALUE"""),"XC_K4_Futbol")</f>
        <v>XC_K4_Futbol</v>
      </c>
      <c r="BR104" s="6"/>
      <c r="BS104" s="6"/>
      <c r="BT104" s="6"/>
      <c r="BU104" s="6" t="str">
        <f>IFERROR(__xludf.DUMMYFUNCTION("""COMPUTED_VALUE"""),"SI")</f>
        <v>SI</v>
      </c>
      <c r="BV104" s="6" t="str">
        <f>IFERROR(__xludf.DUMMYFUNCTION("""COMPUTED_VALUE"""),"davidf.o2040")</f>
        <v>davidf.o2040</v>
      </c>
      <c r="BW104" s="6"/>
      <c r="BX104" s="6"/>
      <c r="BY104" s="6"/>
      <c r="BZ104" s="6"/>
    </row>
    <row r="105">
      <c r="A105" s="12">
        <f>IFERROR(__xludf.DUMMYFUNCTION("""COMPUTED_VALUE"""),1.246698075E9)</f>
        <v>1246698075</v>
      </c>
      <c r="B105" s="6">
        <f>IFERROR(__xludf.DUMMYFUNCTION("""COMPUTED_VALUE"""),14.0)</f>
        <v>14</v>
      </c>
      <c r="C105" s="6" t="str">
        <f>IFERROR(__xludf.DUMMYFUNCTION("""COMPUTED_VALUE"""),"Federico")</f>
        <v>Federico</v>
      </c>
      <c r="D105" s="6"/>
      <c r="E105" s="6" t="str">
        <f>IFERROR(__xludf.DUMMYFUNCTION("""COMPUTED_VALUE"""),"Reyes Montenegro")</f>
        <v>Reyes Montenegro</v>
      </c>
      <c r="F105" s="6" t="str">
        <f>IFERROR(__xludf.DUMMYFUNCTION("""COMPUTED_VALUE"""),"Condominio Tres Colinas -Casas 42 - Km 2.8 Via al Caimo")</f>
        <v>Condominio Tres Colinas -Casas 42 - Km 2.8 Via al Caimo</v>
      </c>
      <c r="G105" s="12" t="str">
        <f>IFERROR(__xludf.DUMMYFUNCTION("""COMPUTED_VALUE"""),"2022")</f>
        <v>2022</v>
      </c>
      <c r="H105" s="6" t="str">
        <f>IFERROR(__xludf.DUMMYFUNCTION("""COMPUTED_VALUE"""),"Febrero")</f>
        <v>Febrero</v>
      </c>
      <c r="I105" s="12" t="str">
        <f>IFERROR(__xludf.DUMMYFUNCTION("""COMPUTED_VALUE"""),"15")</f>
        <v>15</v>
      </c>
      <c r="J105" s="6" t="str">
        <f>IFERROR(__xludf.DUMMYFUNCTION("""COMPUTED_VALUE"""),"Armenia")</f>
        <v>Armenia</v>
      </c>
      <c r="K105" s="6" t="str">
        <f>IFERROR(__xludf.DUMMYFUNCTION("""COMPUTED_VALUE"""),"federico.r2040@gi.edu.co")</f>
        <v>federico.r2040@gi.edu.co</v>
      </c>
      <c r="L105" s="6" t="str">
        <f>IFERROR(__xludf.DUMMYFUNCTION("""COMPUTED_VALUE"""),"RC")</f>
        <v>RC</v>
      </c>
      <c r="M105" s="6" t="str">
        <f>IFERROR(__xludf.DUMMYFUNCTION("""COMPUTED_VALUE"""),"Armenia")</f>
        <v>Armenia</v>
      </c>
      <c r="N105" s="6" t="str">
        <f>IFERROR(__xludf.DUMMYFUNCTION("""COMPUTED_VALUE"""),"M")</f>
        <v>M</v>
      </c>
      <c r="O105" s="6" t="str">
        <f>IFERROR(__xludf.DUMMYFUNCTION("""COMPUTED_VALUE"""),"ACTIVE")</f>
        <v>ACTIVE</v>
      </c>
      <c r="P105" s="6"/>
      <c r="Q105" s="6" t="str">
        <f>IFERROR(__xludf.DUMMYFUNCTION("""COMPUTED_VALUE"""),"Armenia")</f>
        <v>Armenia</v>
      </c>
      <c r="R105" s="12" t="str">
        <f>IFERROR(__xludf.DUMMYFUNCTION("""COMPUTED_VALUE"""),"GizwpA12*")</f>
        <v>GizwpA12*</v>
      </c>
      <c r="S105" s="6" t="str">
        <f>IFERROR(__xludf.DUMMYFUNCTION("""COMPUTED_VALUE"""),"Reyes Montenegro Federico ")</f>
        <v>Reyes Montenegro Federico </v>
      </c>
      <c r="T105" s="6" t="str">
        <f>IFERROR(__xludf.DUMMYFUNCTION("""COMPUTED_VALUE"""),"LINA MARCELA MONTENEGRO MUNETON")</f>
        <v>LINA MARCELA MONTENEGRO MUNETON</v>
      </c>
      <c r="U105" s="12" t="str">
        <f>IFERROR(__xludf.DUMMYFUNCTION("""COMPUTED_VALUE"""),"53076758")</f>
        <v>53076758</v>
      </c>
      <c r="V105" s="6">
        <f>IFERROR(__xludf.DUMMYFUNCTION("""COMPUTED_VALUE"""),3.115103774E9)</f>
        <v>3115103774</v>
      </c>
      <c r="W105" s="6" t="str">
        <f>IFERROR(__xludf.DUMMYFUNCTION("""COMPUTED_VALUE"""),"linatachela@hotmail.com")</f>
        <v>linatachela@hotmail.com</v>
      </c>
      <c r="X105" s="12" t="str">
        <f>IFERROR(__xludf.DUMMYFUNCTION("""COMPUTED_VALUE"""),"AB+")</f>
        <v>AB+</v>
      </c>
      <c r="Y105" s="12" t="str">
        <f>IFERROR(__xludf.DUMMYFUNCTION("""COMPUTED_VALUE"""),"K4")</f>
        <v>K4</v>
      </c>
      <c r="Z105" s="12">
        <f>IFERROR(__xludf.DUMMYFUNCTION("""COMPUTED_VALUE"""),120488.0)</f>
        <v>120488</v>
      </c>
      <c r="AA105" s="6" t="str">
        <f>IFERROR(__xludf.DUMMYFUNCTION("""COMPUTED_VALUE"""),"SANITAS")</f>
        <v>SANITAS</v>
      </c>
      <c r="AB105" s="6" t="str">
        <f>IFERROR(__xludf.DUMMYFUNCTION("""COMPUTED_VALUE"""),"COLSANITAS PREPAGADA")</f>
        <v>COLSANITAS PREPAGADA</v>
      </c>
      <c r="AC105" s="6"/>
      <c r="AD105" s="12" t="str">
        <f>IFERROR(__xludf.DUMMYFUNCTION("""COMPUTED_VALUE"""),"K4C")</f>
        <v>K4C</v>
      </c>
      <c r="AE105" s="12" t="str">
        <f>IFERROR(__xludf.DUMMYFUNCTION("""COMPUTED_VALUE"""),"1345282487")</f>
        <v>1345282487</v>
      </c>
      <c r="AF105" s="12" t="str">
        <f>IFERROR(__xludf.DUMMYFUNCTION("""COMPUTED_VALUE"""),"1345282487")</f>
        <v>1345282487</v>
      </c>
      <c r="AG105" s="12" t="str">
        <f>IFERROR(__xludf.DUMMYFUNCTION("""COMPUTED_VALUE"""),"Lina")</f>
        <v>Lina</v>
      </c>
      <c r="AH105" s="12" t="str">
        <f>IFERROR(__xludf.DUMMYFUNCTION("""COMPUTED_VALUE"""),"Marcela")</f>
        <v>Marcela</v>
      </c>
      <c r="AI105" s="6" t="str">
        <f>IFERROR(__xludf.DUMMYFUNCTION("""COMPUTED_VALUE"""),"Montenegro Muñetón")</f>
        <v>Montenegro Muñetón</v>
      </c>
      <c r="AJ105" s="6" t="str">
        <f>IFERROR(__xludf.DUMMYFUNCTION("""COMPUTED_VALUE"""),"linatachela@hotmail.com")</f>
        <v>linatachela@hotmail.com</v>
      </c>
      <c r="AK105" s="6" t="str">
        <f>IFERROR(__xludf.DUMMYFUNCTION("""COMPUTED_VALUE"""),"Finanzas y relaciones internacionales")</f>
        <v>Finanzas y relaciones internacionales</v>
      </c>
      <c r="AL105" s="6" t="str">
        <f>IFERROR(__xludf.DUMMYFUNCTION("""COMPUTED_VALUE"""),"Nokia Solutions &amp; Networks Colombia")</f>
        <v>Nokia Solutions &amp; Networks Colombia</v>
      </c>
      <c r="AM105" s="12" t="str">
        <f>IFERROR(__xludf.DUMMYFUNCTION("""COMPUTED_VALUE"""),"53076758")</f>
        <v>53076758</v>
      </c>
      <c r="AN105" s="12" t="str">
        <f>IFERROR(__xludf.DUMMYFUNCTION("""COMPUTED_VALUE"""),"3115103774")</f>
        <v>3115103774</v>
      </c>
      <c r="AO105" s="6" t="str">
        <f>IFERROR(__xludf.DUMMYFUNCTION("""COMPUTED_VALUE"""),"Madre")</f>
        <v>Madre</v>
      </c>
      <c r="AP105" s="6" t="str">
        <f>IFERROR(__xludf.DUMMYFUNCTION("""COMPUTED_VALUE"""),"Estudiante(s): Reyes Montenegro")</f>
        <v>Estudiante(s): Reyes Montenegro</v>
      </c>
      <c r="AQ105" s="6" t="str">
        <f>IFERROR(__xludf.DUMMYFUNCTION("""COMPUTED_VALUE"""),"120488*Gi")</f>
        <v>120488*Gi</v>
      </c>
      <c r="AR105" s="6" t="str">
        <f>IFERROR(__xludf.DUMMYFUNCTION("""COMPUTED_VALUE"""),"David")</f>
        <v>David</v>
      </c>
      <c r="AS105" s="6"/>
      <c r="AT105" s="6" t="str">
        <f>IFERROR(__xludf.DUMMYFUNCTION("""COMPUTED_VALUE"""),"Reyes Martínez")</f>
        <v>Reyes Martínez</v>
      </c>
      <c r="AU105" s="6" t="str">
        <f>IFERROR(__xludf.DUMMYFUNCTION("""COMPUTED_VALUE"""),"davidreyes52@hotmail.com")</f>
        <v>davidreyes52@hotmail.com</v>
      </c>
      <c r="AV105" s="6" t="str">
        <f>IFERROR(__xludf.DUMMYFUNCTION("""COMPUTED_VALUE"""),"Administracion de empresas")</f>
        <v>Administracion de empresas</v>
      </c>
      <c r="AW105" s="6" t="str">
        <f>IFERROR(__xludf.DUMMYFUNCTION("""COMPUTED_VALUE"""),"Grupo Only Muebles")</f>
        <v>Grupo Only Muebles</v>
      </c>
      <c r="AX105" s="12" t="str">
        <f>IFERROR(__xludf.DUMMYFUNCTION("""COMPUTED_VALUE"""),"14549035")</f>
        <v>14549035</v>
      </c>
      <c r="AY105" s="12" t="str">
        <f>IFERROR(__xludf.DUMMYFUNCTION("""COMPUTED_VALUE"""),"3104712601")</f>
        <v>3104712601</v>
      </c>
      <c r="AZ105" s="6" t="str">
        <f>IFERROR(__xludf.DUMMYFUNCTION("""COMPUTED_VALUE"""),"Padre")</f>
        <v>Padre</v>
      </c>
      <c r="BA105" s="6"/>
      <c r="BB105" s="6"/>
      <c r="BC105" s="6"/>
      <c r="BD105" s="12" t="str">
        <f>IFERROR(__xludf.DUMMYFUNCTION("""COMPUTED_VALUE"""),"rey0004")</f>
        <v>rey0004</v>
      </c>
      <c r="BE105" s="6"/>
      <c r="BF105" s="6"/>
      <c r="BG105" s="6">
        <f>IFERROR(__xludf.DUMMYFUNCTION("""COMPUTED_VALUE"""),2040.0)</f>
        <v>2040</v>
      </c>
      <c r="BH105" s="16">
        <f>IFERROR(__xludf.DUMMYFUNCTION("""COMPUTED_VALUE"""),46212.03498842593)</f>
        <v>46212.03499</v>
      </c>
      <c r="BI105" s="6">
        <f>IFERROR(__xludf.DUMMYFUNCTION("""COMPUTED_VALUE"""),104.0)</f>
        <v>104</v>
      </c>
      <c r="BJ105" s="6"/>
      <c r="BK105" s="6"/>
      <c r="BL105" s="6" t="str">
        <f>IFERROR(__xludf.DUMMYFUNCTION("""COMPUTED_VALUE"""),"GISREY0004")</f>
        <v>GISREY0004</v>
      </c>
      <c r="BM105" s="6"/>
      <c r="BN105" s="6"/>
      <c r="BO105" s="6"/>
      <c r="BP105" s="6"/>
      <c r="BQ105" s="6"/>
      <c r="BR105" s="6"/>
      <c r="BS105" s="6"/>
      <c r="BT105" s="6"/>
      <c r="BU105" s="6" t="str">
        <f>IFERROR(__xludf.DUMMYFUNCTION("""COMPUTED_VALUE"""),"SI")</f>
        <v>SI</v>
      </c>
      <c r="BV105" s="6" t="str">
        <f>IFERROR(__xludf.DUMMYFUNCTION("""COMPUTED_VALUE"""),"federico.r2040")</f>
        <v>federico.r2040</v>
      </c>
      <c r="BW105" s="6"/>
      <c r="BX105" s="6"/>
      <c r="BY105" s="6"/>
      <c r="BZ105" s="6"/>
    </row>
    <row r="106">
      <c r="A106" s="12">
        <f>IFERROR(__xludf.DUMMYFUNCTION("""COMPUTED_VALUE"""),1.092866047E9)</f>
        <v>1092866047</v>
      </c>
      <c r="B106" s="6">
        <f>IFERROR(__xludf.DUMMYFUNCTION("""COMPUTED_VALUE"""),15.0)</f>
        <v>15</v>
      </c>
      <c r="C106" s="6" t="str">
        <f>IFERROR(__xludf.DUMMYFUNCTION("""COMPUTED_VALUE"""),"Jared")</f>
        <v>Jared</v>
      </c>
      <c r="D106" s="6" t="str">
        <f>IFERROR(__xludf.DUMMYFUNCTION("""COMPUTED_VALUE"""),"Daniel")</f>
        <v>Daniel</v>
      </c>
      <c r="E106" s="6" t="str">
        <f>IFERROR(__xludf.DUMMYFUNCTION("""COMPUTED_VALUE"""),"Rivera Zambrano")</f>
        <v>Rivera Zambrano</v>
      </c>
      <c r="F106" s="6" t="str">
        <f>IFERROR(__xludf.DUMMYFUNCTION("""COMPUTED_VALUE"""),"Finca Hotel Mahanaim - Vereda Santa Rita Montenegro enseguida de Las Bailarinas")</f>
        <v>Finca Hotel Mahanaim - Vereda Santa Rita Montenegro enseguida de Las Bailarinas</v>
      </c>
      <c r="G106" s="12" t="str">
        <f>IFERROR(__xludf.DUMMYFUNCTION("""COMPUTED_VALUE"""),"2022")</f>
        <v>2022</v>
      </c>
      <c r="H106" s="6" t="str">
        <f>IFERROR(__xludf.DUMMYFUNCTION("""COMPUTED_VALUE"""),"Mayo")</f>
        <v>Mayo</v>
      </c>
      <c r="I106" s="12" t="str">
        <f>IFERROR(__xludf.DUMMYFUNCTION("""COMPUTED_VALUE"""),"20")</f>
        <v>20</v>
      </c>
      <c r="J106" s="6" t="str">
        <f>IFERROR(__xludf.DUMMYFUNCTION("""COMPUTED_VALUE"""),"Armenia")</f>
        <v>Armenia</v>
      </c>
      <c r="K106" s="6" t="str">
        <f>IFERROR(__xludf.DUMMYFUNCTION("""COMPUTED_VALUE"""),"jared.r2040@gi.edu.co")</f>
        <v>jared.r2040@gi.edu.co</v>
      </c>
      <c r="L106" s="6" t="str">
        <f>IFERROR(__xludf.DUMMYFUNCTION("""COMPUTED_VALUE"""),"RC")</f>
        <v>RC</v>
      </c>
      <c r="M106" s="6" t="str">
        <f>IFERROR(__xludf.DUMMYFUNCTION("""COMPUTED_VALUE"""),"Armenia")</f>
        <v>Armenia</v>
      </c>
      <c r="N106" s="6" t="str">
        <f>IFERROR(__xludf.DUMMYFUNCTION("""COMPUTED_VALUE"""),"M")</f>
        <v>M</v>
      </c>
      <c r="O106" s="6" t="str">
        <f>IFERROR(__xludf.DUMMYFUNCTION("""COMPUTED_VALUE"""),"INACTIVE")</f>
        <v>INACTIVE</v>
      </c>
      <c r="P106" s="6"/>
      <c r="Q106" s="6" t="str">
        <f>IFERROR(__xludf.DUMMYFUNCTION("""COMPUTED_VALUE"""),"Armenia")</f>
        <v>Armenia</v>
      </c>
      <c r="R106" s="12" t="str">
        <f>IFERROR(__xludf.DUMMYFUNCTION("""COMPUTED_VALUE"""),"Gic33eu7*")</f>
        <v>Gic33eu7*</v>
      </c>
      <c r="S106" s="6" t="str">
        <f>IFERROR(__xludf.DUMMYFUNCTION("""COMPUTED_VALUE"""),"Rivera Zambrano Jared Daniel")</f>
        <v>Rivera Zambrano Jared Daniel</v>
      </c>
      <c r="T106" s="6" t="str">
        <f>IFERROR(__xludf.DUMMYFUNCTION("""COMPUTED_VALUE"""),"SAMUEL ANDRES RIVERA GARCIA")</f>
        <v>SAMUEL ANDRES RIVERA GARCIA</v>
      </c>
      <c r="U106" s="12" t="str">
        <f>IFERROR(__xludf.DUMMYFUNCTION("""COMPUTED_VALUE"""),"1127073929")</f>
        <v>1127073929</v>
      </c>
      <c r="V106" s="6">
        <f>IFERROR(__xludf.DUMMYFUNCTION("""COMPUTED_VALUE"""),3.209023404E9)</f>
        <v>3209023404</v>
      </c>
      <c r="W106" s="6" t="str">
        <f>IFERROR(__xludf.DUMMYFUNCTION("""COMPUTED_VALUE"""),"autoserviciosuperbarato@hotmail.com")</f>
        <v>autoserviciosuperbarato@hotmail.com</v>
      </c>
      <c r="X106" s="12" t="str">
        <f>IFERROR(__xludf.DUMMYFUNCTION("""COMPUTED_VALUE"""),"O+")</f>
        <v>O+</v>
      </c>
      <c r="Y106" s="12" t="str">
        <f>IFERROR(__xludf.DUMMYFUNCTION("""COMPUTED_VALUE"""),"K4")</f>
        <v>K4</v>
      </c>
      <c r="Z106" s="6">
        <f>IFERROR(__xludf.DUMMYFUNCTION("""COMPUTED_VALUE"""),120544.0)</f>
        <v>120544</v>
      </c>
      <c r="AA106" s="6"/>
      <c r="AB106" s="6"/>
      <c r="AC106" s="6"/>
      <c r="AD106" s="12" t="str">
        <f>IFERROR(__xludf.DUMMYFUNCTION("""COMPUTED_VALUE"""),"K4C")</f>
        <v>K4C</v>
      </c>
      <c r="AE106" s="12" t="str">
        <f>IFERROR(__xludf.DUMMYFUNCTION("""COMPUTED_VALUE"""),"1345282544")</f>
        <v>1345282544</v>
      </c>
      <c r="AF106" s="12" t="str">
        <f>IFERROR(__xludf.DUMMYFUNCTION("""COMPUTED_VALUE"""),"1345282544")</f>
        <v>1345282544</v>
      </c>
      <c r="AG106" s="12" t="str">
        <f>IFERROR(__xludf.DUMMYFUNCTION("""COMPUTED_VALUE"""),"Angie")</f>
        <v>Angie</v>
      </c>
      <c r="AH106" s="12" t="str">
        <f>IFERROR(__xludf.DUMMYFUNCTION("""COMPUTED_VALUE"""),"Paola")</f>
        <v>Paola</v>
      </c>
      <c r="AI106" s="6" t="str">
        <f>IFERROR(__xludf.DUMMYFUNCTION("""COMPUTED_VALUE"""),"Zambrano Burgos")</f>
        <v>Zambrano Burgos</v>
      </c>
      <c r="AJ106" s="6" t="str">
        <f>IFERROR(__xludf.DUMMYFUNCTION("""COMPUTED_VALUE"""),"angiie_zambrano@hotmail.es")</f>
        <v>angiie_zambrano@hotmail.es</v>
      </c>
      <c r="AK106" s="6" t="str">
        <f>IFERROR(__xludf.DUMMYFUNCTION("""COMPUTED_VALUE"""),"comerciante")</f>
        <v>comerciante</v>
      </c>
      <c r="AL106" s="6" t="str">
        <f>IFERROR(__xludf.DUMMYFUNCTION("""COMPUTED_VALUE"""),"Finca Hotel Mahanaim")</f>
        <v>Finca Hotel Mahanaim</v>
      </c>
      <c r="AM106" s="12" t="str">
        <f>IFERROR(__xludf.DUMMYFUNCTION("""COMPUTED_VALUE"""),"1127074435")</f>
        <v>1127074435</v>
      </c>
      <c r="AN106" s="12" t="str">
        <f>IFERROR(__xludf.DUMMYFUNCTION("""COMPUTED_VALUE"""),"3102906722")</f>
        <v>3102906722</v>
      </c>
      <c r="AO106" s="6" t="str">
        <f>IFERROR(__xludf.DUMMYFUNCTION("""COMPUTED_VALUE"""),"Madre")</f>
        <v>Madre</v>
      </c>
      <c r="AP106" s="6" t="str">
        <f>IFERROR(__xludf.DUMMYFUNCTION("""COMPUTED_VALUE"""),"Estudiante(s): Rivera Zambrano")</f>
        <v>Estudiante(s): Rivera Zambrano</v>
      </c>
      <c r="AQ106" s="6" t="str">
        <f>IFERROR(__xludf.DUMMYFUNCTION("""COMPUTED_VALUE"""),"120287*Gi")</f>
        <v>120287*Gi</v>
      </c>
      <c r="AR106" s="6" t="str">
        <f>IFERROR(__xludf.DUMMYFUNCTION("""COMPUTED_VALUE"""),"Samuel")</f>
        <v>Samuel</v>
      </c>
      <c r="AS106" s="6" t="str">
        <f>IFERROR(__xludf.DUMMYFUNCTION("""COMPUTED_VALUE"""),"Andrés")</f>
        <v>Andrés</v>
      </c>
      <c r="AT106" s="6" t="str">
        <f>IFERROR(__xludf.DUMMYFUNCTION("""COMPUTED_VALUE"""),"Rivera García")</f>
        <v>Rivera García</v>
      </c>
      <c r="AU106" s="6" t="str">
        <f>IFERROR(__xludf.DUMMYFUNCTION("""COMPUTED_VALUE"""),"saanrigar@hotmail.es")</f>
        <v>saanrigar@hotmail.es</v>
      </c>
      <c r="AV106" s="6" t="str">
        <f>IFERROR(__xludf.DUMMYFUNCTION("""COMPUTED_VALUE"""),"comerciante")</f>
        <v>comerciante</v>
      </c>
      <c r="AW106" s="6" t="str">
        <f>IFERROR(__xludf.DUMMYFUNCTION("""COMPUTED_VALUE"""),"HOTEL SAN FRANCISCO REAL")</f>
        <v>HOTEL SAN FRANCISCO REAL</v>
      </c>
      <c r="AX106" s="12" t="str">
        <f>IFERROR(__xludf.DUMMYFUNCTION("""COMPUTED_VALUE"""),"1127073929")</f>
        <v>1127073929</v>
      </c>
      <c r="AY106" s="12" t="str">
        <f>IFERROR(__xludf.DUMMYFUNCTION("""COMPUTED_VALUE"""),"3209023404")</f>
        <v>3209023404</v>
      </c>
      <c r="AZ106" s="6" t="str">
        <f>IFERROR(__xludf.DUMMYFUNCTION("""COMPUTED_VALUE"""),"Padre")</f>
        <v>Padre</v>
      </c>
      <c r="BA106" s="6"/>
      <c r="BB106" s="6"/>
      <c r="BC106" s="6"/>
      <c r="BD106" s="12" t="str">
        <f>IFERROR(__xludf.DUMMYFUNCTION("""COMPUTED_VALUE"""),"riv0004")</f>
        <v>riv0004</v>
      </c>
      <c r="BE106" s="6" t="str">
        <f>IFERROR(__xludf.DUMMYFUNCTION("""COMPUTED_VALUE"""),"FALTAN FIRMAS")</f>
        <v>FALTAN FIRMAS</v>
      </c>
      <c r="BF106" s="6"/>
      <c r="BG106" s="6">
        <f>IFERROR(__xludf.DUMMYFUNCTION("""COMPUTED_VALUE"""),2040.0)</f>
        <v>2040</v>
      </c>
      <c r="BH106" s="15">
        <f>IFERROR(__xludf.DUMMYFUNCTION("""COMPUTED_VALUE"""),46212.44467592592)</f>
        <v>46212.44468</v>
      </c>
      <c r="BI106" s="6">
        <f>IFERROR(__xludf.DUMMYFUNCTION("""COMPUTED_VALUE"""),105.0)</f>
        <v>105</v>
      </c>
      <c r="BJ106" s="6"/>
      <c r="BK106" s="6"/>
      <c r="BL106" s="6" t="str">
        <f>IFERROR(__xludf.DUMMYFUNCTION("""COMPUTED_VALUE"""),"GISRIV0004")</f>
        <v>GISRIV0004</v>
      </c>
      <c r="BM106" s="6"/>
      <c r="BN106" s="6"/>
      <c r="BO106" s="6"/>
      <c r="BP106" s="6"/>
      <c r="BQ106" s="6" t="str">
        <f>IFERROR(__xludf.DUMMYFUNCTION("""COMPUTED_VALUE"""),"XC_K4_Polimotor")</f>
        <v>XC_K4_Polimotor</v>
      </c>
      <c r="BR106" s="6"/>
      <c r="BS106" s="6"/>
      <c r="BT106" s="6"/>
      <c r="BU106" s="6" t="str">
        <f>IFERROR(__xludf.DUMMYFUNCTION("""COMPUTED_VALUE"""),"SI")</f>
        <v>SI</v>
      </c>
      <c r="BV106" s="6" t="str">
        <f>IFERROR(__xludf.DUMMYFUNCTION("""COMPUTED_VALUE"""),"jared.r2040")</f>
        <v>jared.r2040</v>
      </c>
      <c r="BW106" s="6"/>
      <c r="BX106" s="6"/>
      <c r="BY106" s="6"/>
      <c r="BZ106" s="6"/>
    </row>
    <row r="107">
      <c r="A107" s="12">
        <f>IFERROR(__xludf.DUMMYFUNCTION("""COMPUTED_VALUE"""),1.092866211E9)</f>
        <v>1092866211</v>
      </c>
      <c r="B107" s="6">
        <f>IFERROR(__xludf.DUMMYFUNCTION("""COMPUTED_VALUE"""),16.0)</f>
        <v>16</v>
      </c>
      <c r="C107" s="6" t="str">
        <f>IFERROR(__xludf.DUMMYFUNCTION("""COMPUTED_VALUE"""),"Palma")</f>
        <v>Palma</v>
      </c>
      <c r="D107" s="6"/>
      <c r="E107" s="6" t="str">
        <f>IFERROR(__xludf.DUMMYFUNCTION("""COMPUTED_VALUE"""),"Tobón Alzate")</f>
        <v>Tobón Alzate</v>
      </c>
      <c r="F107" s="6" t="str">
        <f>IFERROR(__xludf.DUMMYFUNCTION("""COMPUTED_VALUE"""),"Km 10 Vía Armenia La Tebaida - Entrada Restaurante Rancho Edén")</f>
        <v>Km 10 Vía Armenia La Tebaida - Entrada Restaurante Rancho Edén</v>
      </c>
      <c r="G107" s="12" t="str">
        <f>IFERROR(__xludf.DUMMYFUNCTION("""COMPUTED_VALUE"""),"2022")</f>
        <v>2022</v>
      </c>
      <c r="H107" s="6" t="str">
        <f>IFERROR(__xludf.DUMMYFUNCTION("""COMPUTED_VALUE"""),"Julio")</f>
        <v>Julio</v>
      </c>
      <c r="I107" s="12" t="str">
        <f>IFERROR(__xludf.DUMMYFUNCTION("""COMPUTED_VALUE"""),"11")</f>
        <v>11</v>
      </c>
      <c r="J107" s="6" t="str">
        <f>IFERROR(__xludf.DUMMYFUNCTION("""COMPUTED_VALUE"""),"Armenia")</f>
        <v>Armenia</v>
      </c>
      <c r="K107" s="6" t="str">
        <f>IFERROR(__xludf.DUMMYFUNCTION("""COMPUTED_VALUE"""),"palma.t2040@gi.edu.co")</f>
        <v>palma.t2040@gi.edu.co</v>
      </c>
      <c r="L107" s="6" t="str">
        <f>IFERROR(__xludf.DUMMYFUNCTION("""COMPUTED_VALUE"""),"RC")</f>
        <v>RC</v>
      </c>
      <c r="M107" s="6" t="str">
        <f>IFERROR(__xludf.DUMMYFUNCTION("""COMPUTED_VALUE"""),"Armenia")</f>
        <v>Armenia</v>
      </c>
      <c r="N107" s="6" t="str">
        <f>IFERROR(__xludf.DUMMYFUNCTION("""COMPUTED_VALUE"""),"F")</f>
        <v>F</v>
      </c>
      <c r="O107" s="6" t="str">
        <f>IFERROR(__xludf.DUMMYFUNCTION("""COMPUTED_VALUE"""),"ACTIVE")</f>
        <v>ACTIVE</v>
      </c>
      <c r="P107" s="6"/>
      <c r="Q107" s="6" t="str">
        <f>IFERROR(__xludf.DUMMYFUNCTION("""COMPUTED_VALUE"""),"Armenia")</f>
        <v>Armenia</v>
      </c>
      <c r="R107" s="12" t="str">
        <f>IFERROR(__xludf.DUMMYFUNCTION("""COMPUTED_VALUE"""),"Gi88uy4f*")</f>
        <v>Gi88uy4f*</v>
      </c>
      <c r="S107" s="6" t="str">
        <f>IFERROR(__xludf.DUMMYFUNCTION("""COMPUTED_VALUE"""),"Tobón Alzate Palma ")</f>
        <v>Tobón Alzate Palma </v>
      </c>
      <c r="T107" s="6" t="str">
        <f>IFERROR(__xludf.DUMMYFUNCTION("""COMPUTED_VALUE"""),"DANIEL TOBON FAJARDO")</f>
        <v>DANIEL TOBON FAJARDO</v>
      </c>
      <c r="U107" s="12" t="str">
        <f>IFERROR(__xludf.DUMMYFUNCTION("""COMPUTED_VALUE"""),"1094897587")</f>
        <v>1094897587</v>
      </c>
      <c r="V107" s="6">
        <f>IFERROR(__xludf.DUMMYFUNCTION("""COMPUTED_VALUE"""),3.187079596E9)</f>
        <v>3187079596</v>
      </c>
      <c r="W107" s="6" t="str">
        <f>IFERROR(__xludf.DUMMYFUNCTION("""COMPUTED_VALUE"""),"tobon11@gmail.com")</f>
        <v>tobon11@gmail.com</v>
      </c>
      <c r="X107" s="12" t="str">
        <f>IFERROR(__xludf.DUMMYFUNCTION("""COMPUTED_VALUE"""),"A+")</f>
        <v>A+</v>
      </c>
      <c r="Y107" s="12" t="str">
        <f>IFERROR(__xludf.DUMMYFUNCTION("""COMPUTED_VALUE"""),"K4")</f>
        <v>K4</v>
      </c>
      <c r="Z107" s="6">
        <f>IFERROR(__xludf.DUMMYFUNCTION("""COMPUTED_VALUE"""),120545.0)</f>
        <v>120545</v>
      </c>
      <c r="AA107" s="6" t="str">
        <f>IFERROR(__xludf.DUMMYFUNCTION("""COMPUTED_VALUE"""),"SANITAS")</f>
        <v>SANITAS</v>
      </c>
      <c r="AB107" s="6"/>
      <c r="AC107" s="6"/>
      <c r="AD107" s="12" t="str">
        <f>IFERROR(__xludf.DUMMYFUNCTION("""COMPUTED_VALUE"""),"K4C")</f>
        <v>K4C</v>
      </c>
      <c r="AE107" s="12" t="str">
        <f>IFERROR(__xludf.DUMMYFUNCTION("""COMPUTED_VALUE"""),"1345282541")</f>
        <v>1345282541</v>
      </c>
      <c r="AF107" s="12" t="str">
        <f>IFERROR(__xludf.DUMMYFUNCTION("""COMPUTED_VALUE"""),"1345282541")</f>
        <v>1345282541</v>
      </c>
      <c r="AG107" s="12" t="str">
        <f>IFERROR(__xludf.DUMMYFUNCTION("""COMPUTED_VALUE"""),"Susana")</f>
        <v>Susana</v>
      </c>
      <c r="AH107" s="12" t="str">
        <f>IFERROR(__xludf.DUMMYFUNCTION("""COMPUTED_VALUE"""),"Andrea")</f>
        <v>Andrea</v>
      </c>
      <c r="AI107" s="6" t="str">
        <f>IFERROR(__xludf.DUMMYFUNCTION("""COMPUTED_VALUE"""),"Alzate Ramos")</f>
        <v>Alzate Ramos</v>
      </c>
      <c r="AJ107" s="6" t="str">
        <f>IFERROR(__xludf.DUMMYFUNCTION("""COMPUTED_VALUE"""),"susalzate@hotmail.com")</f>
        <v>susalzate@hotmail.com</v>
      </c>
      <c r="AK107" s="6" t="str">
        <f>IFERROR(__xludf.DUMMYFUNCTION("""COMPUTED_VALUE"""),"Médico Estético ")</f>
        <v>Médico Estético </v>
      </c>
      <c r="AL107" s="6" t="str">
        <f>IFERROR(__xludf.DUMMYFUNCTION("""COMPUTED_VALUE"""),"ANTI Medicina Estética ")</f>
        <v>ANTI Medicina Estética </v>
      </c>
      <c r="AM107" s="12" t="str">
        <f>IFERROR(__xludf.DUMMYFUNCTION("""COMPUTED_VALUE"""),"1094912248")</f>
        <v>1094912248</v>
      </c>
      <c r="AN107" s="12" t="str">
        <f>IFERROR(__xludf.DUMMYFUNCTION("""COMPUTED_VALUE"""),"3155358513")</f>
        <v>3155358513</v>
      </c>
      <c r="AO107" s="6" t="str">
        <f>IFERROR(__xludf.DUMMYFUNCTION("""COMPUTED_VALUE"""),"Madre")</f>
        <v>Madre</v>
      </c>
      <c r="AP107" s="6" t="str">
        <f>IFERROR(__xludf.DUMMYFUNCTION("""COMPUTED_VALUE"""),"Estudiante(s): Tobón Alzate")</f>
        <v>Estudiante(s): Tobón Alzate</v>
      </c>
      <c r="AQ107" s="6" t="str">
        <f>IFERROR(__xludf.DUMMYFUNCTION("""COMPUTED_VALUE"""),"120545*Gi")</f>
        <v>120545*Gi</v>
      </c>
      <c r="AR107" s="6" t="str">
        <f>IFERROR(__xludf.DUMMYFUNCTION("""COMPUTED_VALUE"""),"Daniel")</f>
        <v>Daniel</v>
      </c>
      <c r="AS107" s="6"/>
      <c r="AT107" s="6" t="str">
        <f>IFERROR(__xludf.DUMMYFUNCTION("""COMPUTED_VALUE"""),"Tobón Fajardo")</f>
        <v>Tobón Fajardo</v>
      </c>
      <c r="AU107" s="6" t="str">
        <f>IFERROR(__xludf.DUMMYFUNCTION("""COMPUTED_VALUE"""),"tobon11@gmail.com")</f>
        <v>tobon11@gmail.com</v>
      </c>
      <c r="AV107" s="6" t="str">
        <f>IFERROR(__xludf.DUMMYFUNCTION("""COMPUTED_VALUE"""),"Administrador de Empresas")</f>
        <v>Administrador de Empresas</v>
      </c>
      <c r="AW107" s="6" t="str">
        <f>IFERROR(__xludf.DUMMYFUNCTION("""COMPUTED_VALUE"""),"BIANCO")</f>
        <v>BIANCO</v>
      </c>
      <c r="AX107" s="12" t="str">
        <f>IFERROR(__xludf.DUMMYFUNCTION("""COMPUTED_VALUE"""),"1094897587")</f>
        <v>1094897587</v>
      </c>
      <c r="AY107" s="12" t="str">
        <f>IFERROR(__xludf.DUMMYFUNCTION("""COMPUTED_VALUE"""),"3187079596")</f>
        <v>3187079596</v>
      </c>
      <c r="AZ107" s="6" t="str">
        <f>IFERROR(__xludf.DUMMYFUNCTION("""COMPUTED_VALUE"""),"Padre")</f>
        <v>Padre</v>
      </c>
      <c r="BA107" s="6"/>
      <c r="BB107" s="6"/>
      <c r="BC107" s="6"/>
      <c r="BD107" s="12" t="str">
        <f>IFERROR(__xludf.DUMMYFUNCTION("""COMPUTED_VALUE"""),"tob0007")</f>
        <v>tob0007</v>
      </c>
      <c r="BE107" s="6"/>
      <c r="BF107" s="6"/>
      <c r="BG107" s="6">
        <f>IFERROR(__xludf.DUMMYFUNCTION("""COMPUTED_VALUE"""),2040.0)</f>
        <v>2040</v>
      </c>
      <c r="BH107" s="15">
        <f>IFERROR(__xludf.DUMMYFUNCTION("""COMPUTED_VALUE"""),46211.9109375)</f>
        <v>46211.91094</v>
      </c>
      <c r="BI107" s="6">
        <f>IFERROR(__xludf.DUMMYFUNCTION("""COMPUTED_VALUE"""),106.0)</f>
        <v>106</v>
      </c>
      <c r="BJ107" s="6"/>
      <c r="BK107" s="6"/>
      <c r="BL107" s="6" t="str">
        <f>IFERROR(__xludf.DUMMYFUNCTION("""COMPUTED_VALUE"""),"GISTOB0007")</f>
        <v>GISTOB0007</v>
      </c>
      <c r="BM107" s="6"/>
      <c r="BN107" s="6"/>
      <c r="BO107" s="6"/>
      <c r="BP107" s="6" t="str">
        <f>IFERROR(__xludf.DUMMYFUNCTION("""COMPUTED_VALUE"""),"XC_K4_IniciaDanzas")</f>
        <v>XC_K4_IniciaDanzas</v>
      </c>
      <c r="BQ107" s="6" t="str">
        <f>IFERROR(__xludf.DUMMYFUNCTION("""COMPUTED_VALUE"""),"XC_K4_Polimotor")</f>
        <v>XC_K4_Polimotor</v>
      </c>
      <c r="BR107" s="6"/>
      <c r="BS107" s="6"/>
      <c r="BT107" s="6"/>
      <c r="BU107" s="6" t="str">
        <f>IFERROR(__xludf.DUMMYFUNCTION("""COMPUTED_VALUE"""),"SI")</f>
        <v>SI</v>
      </c>
      <c r="BV107" s="6" t="str">
        <f>IFERROR(__xludf.DUMMYFUNCTION("""COMPUTED_VALUE"""),"palma.t2040")</f>
        <v>palma.t2040</v>
      </c>
      <c r="BW107" s="6"/>
      <c r="BX107" s="6"/>
      <c r="BY107" s="6"/>
      <c r="BZ107" s="6"/>
    </row>
    <row r="108">
      <c r="A108" s="12">
        <f>IFERROR(__xludf.DUMMYFUNCTION("""COMPUTED_VALUE"""),1.092865491E9)</f>
        <v>1092865491</v>
      </c>
      <c r="B108" s="6">
        <f>IFERROR(__xludf.DUMMYFUNCTION("""COMPUTED_VALUE"""),17.0)</f>
        <v>17</v>
      </c>
      <c r="C108" s="6" t="str">
        <f>IFERROR(__xludf.DUMMYFUNCTION("""COMPUTED_VALUE"""),"Amalia")</f>
        <v>Amalia</v>
      </c>
      <c r="D108" s="6"/>
      <c r="E108" s="6" t="str">
        <f>IFERROR(__xludf.DUMMYFUNCTION("""COMPUTED_VALUE"""),"Urrea Cano")</f>
        <v>Urrea Cano</v>
      </c>
      <c r="F108" s="6" t="str">
        <f>IFERROR(__xludf.DUMMYFUNCTION("""COMPUTED_VALUE"""),"PARQUE RESIDENCIAL PAPIRO TORRE B - ")</f>
        <v>PARQUE RESIDENCIAL PAPIRO TORRE B - </v>
      </c>
      <c r="G108" s="12">
        <f>IFERROR(__xludf.DUMMYFUNCTION("""COMPUTED_VALUE"""),2021.0)</f>
        <v>2021</v>
      </c>
      <c r="H108" s="12" t="str">
        <f>IFERROR(__xludf.DUMMYFUNCTION("""COMPUTED_VALUE"""),"Octubre")</f>
        <v>Octubre</v>
      </c>
      <c r="I108" s="12">
        <f>IFERROR(__xludf.DUMMYFUNCTION("""COMPUTED_VALUE"""),27.0)</f>
        <v>27</v>
      </c>
      <c r="J108" s="6"/>
      <c r="K108" s="12" t="str">
        <f>IFERROR(__xludf.DUMMYFUNCTION("""COMPUTED_VALUE"""),"amalia.u2040@gi.edu.co")</f>
        <v>amalia.u2040@gi.edu.co</v>
      </c>
      <c r="L108" s="6" t="str">
        <f>IFERROR(__xludf.DUMMYFUNCTION("""COMPUTED_VALUE"""),"RC")</f>
        <v>RC</v>
      </c>
      <c r="M108" s="6" t="str">
        <f>IFERROR(__xludf.DUMMYFUNCTION("""COMPUTED_VALUE"""),"Armenia")</f>
        <v>Armenia</v>
      </c>
      <c r="N108" s="6" t="str">
        <f>IFERROR(__xludf.DUMMYFUNCTION("""COMPUTED_VALUE"""),"F")</f>
        <v>F</v>
      </c>
      <c r="O108" s="6" t="str">
        <f>IFERROR(__xludf.DUMMYFUNCTION("""COMPUTED_VALUE"""),"INACTIVE")</f>
        <v>INACTIVE</v>
      </c>
      <c r="P108" s="6"/>
      <c r="Q108" s="6"/>
      <c r="R108" s="12" t="str">
        <f>IFERROR(__xludf.DUMMYFUNCTION("""COMPUTED_VALUE"""),"GiF7Mv3L*")</f>
        <v>GiF7Mv3L*</v>
      </c>
      <c r="S108" s="6" t="str">
        <f>IFERROR(__xludf.DUMMYFUNCTION("""COMPUTED_VALUE"""),"Urrea Cano Amalia ")</f>
        <v>Urrea Cano Amalia </v>
      </c>
      <c r="T108" s="6"/>
      <c r="U108" s="6"/>
      <c r="V108" s="6"/>
      <c r="W108" s="6"/>
      <c r="X108" s="6"/>
      <c r="Y108" s="12" t="str">
        <f>IFERROR(__xludf.DUMMYFUNCTION("""COMPUTED_VALUE"""),"K4")</f>
        <v>K4</v>
      </c>
      <c r="Z108" s="6">
        <f>IFERROR(__xludf.DUMMYFUNCTION("""COMPUTED_VALUE"""),120609.0)</f>
        <v>120609</v>
      </c>
      <c r="AA108" s="6"/>
      <c r="AB108" s="6"/>
      <c r="AC108" s="6"/>
      <c r="AD108" s="12" t="str">
        <f>IFERROR(__xludf.DUMMYFUNCTION("""COMPUTED_VALUE"""),"K4C")</f>
        <v>K4C</v>
      </c>
      <c r="AE108" s="12" t="str">
        <f>IFERROR(__xludf.DUMMYFUNCTION("""COMPUTED_VALUE"""),"1345282606")</f>
        <v>1345282606</v>
      </c>
      <c r="AF108" s="12" t="str">
        <f>IFERROR(__xludf.DUMMYFUNCTION("""COMPUTED_VALUE"""),"1345282606")</f>
        <v>1345282606</v>
      </c>
      <c r="AG108" s="12" t="str">
        <f>IFERROR(__xludf.DUMMYFUNCTION("""COMPUTED_VALUE"""),"Daniela")</f>
        <v>Daniela</v>
      </c>
      <c r="AH108" s="6"/>
      <c r="AI108" s="6" t="str">
        <f>IFERROR(__xludf.DUMMYFUNCTION("""COMPUTED_VALUE"""),"Cano Villegas")</f>
        <v>Cano Villegas</v>
      </c>
      <c r="AJ108" s="6" t="str">
        <f>IFERROR(__xludf.DUMMYFUNCTION("""COMPUTED_VALUE"""),"danielacanovillegas6@gmail.com")</f>
        <v>danielacanovillegas6@gmail.com</v>
      </c>
      <c r="AK108" s="6" t="str">
        <f>IFERROR(__xludf.DUMMYFUNCTION("""COMPUTED_VALUE"""),"ODONTOLOGA ")</f>
        <v>ODONTOLOGA </v>
      </c>
      <c r="AL108" s="6"/>
      <c r="AM108" s="12" t="str">
        <f>IFERROR(__xludf.DUMMYFUNCTION("""COMPUTED_VALUE"""),"1094915764")</f>
        <v>1094915764</v>
      </c>
      <c r="AN108" s="12" t="str">
        <f>IFERROR(__xludf.DUMMYFUNCTION("""COMPUTED_VALUE"""),"3174013602")</f>
        <v>3174013602</v>
      </c>
      <c r="AO108" s="6" t="str">
        <f>IFERROR(__xludf.DUMMYFUNCTION("""COMPUTED_VALUE"""),"Madre")</f>
        <v>Madre</v>
      </c>
      <c r="AP108" s="6" t="str">
        <f>IFERROR(__xludf.DUMMYFUNCTION("""COMPUTED_VALUE"""),"Estudiante(s): Urrea Cano")</f>
        <v>Estudiante(s): Urrea Cano</v>
      </c>
      <c r="AQ108" s="6" t="str">
        <f>IFERROR(__xludf.DUMMYFUNCTION("""COMPUTED_VALUE"""),"120609*Gi")</f>
        <v>120609*Gi</v>
      </c>
      <c r="AR108" s="6" t="str">
        <f>IFERROR(__xludf.DUMMYFUNCTION("""COMPUTED_VALUE"""),"Juan")</f>
        <v>Juan</v>
      </c>
      <c r="AS108" s="6" t="str">
        <f>IFERROR(__xludf.DUMMYFUNCTION("""COMPUTED_VALUE"""),"Camilo")</f>
        <v>Camilo</v>
      </c>
      <c r="AT108" s="6" t="str">
        <f>IFERROR(__xludf.DUMMYFUNCTION("""COMPUTED_VALUE"""),"Urrea Arango")</f>
        <v>Urrea Arango</v>
      </c>
      <c r="AU108" s="6" t="str">
        <f>IFERROR(__xludf.DUMMYFUNCTION("""COMPUTED_VALUE"""),"jcua_92@hotmail.com")</f>
        <v>jcua_92@hotmail.com</v>
      </c>
      <c r="AV108" s="6" t="str">
        <f>IFERROR(__xludf.DUMMYFUNCTION("""COMPUTED_VALUE"""),"Administrador de Empresas")</f>
        <v>Administrador de Empresas</v>
      </c>
      <c r="AW108" s="6"/>
      <c r="AX108" s="12" t="str">
        <f>IFERROR(__xludf.DUMMYFUNCTION("""COMPUTED_VALUE"""),"1094925682")</f>
        <v>1094925682</v>
      </c>
      <c r="AY108" s="12" t="str">
        <f>IFERROR(__xludf.DUMMYFUNCTION("""COMPUTED_VALUE"""),"3045848793")</f>
        <v>3045848793</v>
      </c>
      <c r="AZ108" s="6" t="str">
        <f>IFERROR(__xludf.DUMMYFUNCTION("""COMPUTED_VALUE"""),"Padre")</f>
        <v>Padre</v>
      </c>
      <c r="BA108" s="6"/>
      <c r="BB108" s="6"/>
      <c r="BC108" s="6"/>
      <c r="BD108" s="12" t="str">
        <f>IFERROR(__xludf.DUMMYFUNCTION("""COMPUTED_VALUE"""),"urr0006")</f>
        <v>urr0006</v>
      </c>
      <c r="BE108" s="6" t="str">
        <f>IFERROR(__xludf.DUMMYFUNCTION("""COMPUTED_VALUE"""),"NUEVO(A)")</f>
        <v>NUEVO(A)</v>
      </c>
      <c r="BF108" s="6" t="str">
        <f>IFERROR(__xludf.DUMMYFUNCTION("""COMPUTED_VALUE"""),"FALTAN FIRMAS")</f>
        <v>FALTAN FIRMAS</v>
      </c>
      <c r="BG108" s="6">
        <f>IFERROR(__xludf.DUMMYFUNCTION("""COMPUTED_VALUE"""),2040.0)</f>
        <v>2040</v>
      </c>
      <c r="BH108" s="15">
        <f>IFERROR(__xludf.DUMMYFUNCTION("""COMPUTED_VALUE"""),46248.596180555556)</f>
        <v>46248.59618</v>
      </c>
      <c r="BI108" s="6">
        <f>IFERROR(__xludf.DUMMYFUNCTION("""COMPUTED_VALUE"""),107.0)</f>
        <v>107</v>
      </c>
      <c r="BJ108" s="6"/>
      <c r="BK108" s="6"/>
      <c r="BL108" s="6" t="str">
        <f>IFERROR(__xludf.DUMMYFUNCTION("""COMPUTED_VALUE"""),"GISURR0006")</f>
        <v>GISURR0006</v>
      </c>
      <c r="BM108" s="6"/>
      <c r="BN108" s="6"/>
      <c r="BO108" s="6"/>
      <c r="BP108" s="6" t="str">
        <f>IFERROR(__xludf.DUMMYFUNCTION("""COMPUTED_VALUE"""),"XC_K4_IniciaDanzas")</f>
        <v>XC_K4_IniciaDanzas</v>
      </c>
      <c r="BQ108" s="6" t="str">
        <f>IFERROR(__xludf.DUMMYFUNCTION("""COMPUTED_VALUE"""),"XC_K4_Polimotor")</f>
        <v>XC_K4_Polimotor</v>
      </c>
      <c r="BR108" s="6"/>
      <c r="BS108" s="6"/>
      <c r="BT108" s="6"/>
      <c r="BU108" s="6" t="str">
        <f>IFERROR(__xludf.DUMMYFUNCTION("""COMPUTED_VALUE"""),"SI")</f>
        <v>SI</v>
      </c>
      <c r="BV108" s="12" t="str">
        <f>IFERROR(__xludf.DUMMYFUNCTION("""COMPUTED_VALUE"""),"amalia.u2040")</f>
        <v>amalia.u2040</v>
      </c>
      <c r="BW108" s="6"/>
      <c r="BX108" s="6"/>
      <c r="BY108" s="6"/>
      <c r="BZ108" s="6"/>
    </row>
    <row r="109">
      <c r="A109" s="12">
        <f>IFERROR(__xludf.DUMMYFUNCTION("""COMPUTED_VALUE"""),1.092866225E9)</f>
        <v>1092866225</v>
      </c>
      <c r="B109" s="6">
        <f>IFERROR(__xludf.DUMMYFUNCTION("""COMPUTED_VALUE"""),18.0)</f>
        <v>18</v>
      </c>
      <c r="C109" s="6" t="str">
        <f>IFERROR(__xludf.DUMMYFUNCTION("""COMPUTED_VALUE"""),"Emilia")</f>
        <v>Emilia</v>
      </c>
      <c r="D109" s="6"/>
      <c r="E109" s="6" t="str">
        <f>IFERROR(__xludf.DUMMYFUNCTION("""COMPUTED_VALUE"""),"Valencia Uribe")</f>
        <v>Valencia Uribe</v>
      </c>
      <c r="F109" s="6" t="str">
        <f>IFERROR(__xludf.DUMMYFUNCTION("""COMPUTED_VALUE"""),"Tacuara No2 - Km 7 Via Eden Entrada Policia Murillo")</f>
        <v>Tacuara No2 - Km 7 Via Eden Entrada Policia Murillo</v>
      </c>
      <c r="G109" s="12">
        <f>IFERROR(__xludf.DUMMYFUNCTION("""COMPUTED_VALUE"""),2022.0)</f>
        <v>2022</v>
      </c>
      <c r="H109" s="6" t="str">
        <f>IFERROR(__xludf.DUMMYFUNCTION("""COMPUTED_VALUE"""),"Julio")</f>
        <v>Julio</v>
      </c>
      <c r="I109" s="12">
        <f>IFERROR(__xludf.DUMMYFUNCTION("""COMPUTED_VALUE"""),25.0)</f>
        <v>25</v>
      </c>
      <c r="J109" s="6" t="str">
        <f>IFERROR(__xludf.DUMMYFUNCTION("""COMPUTED_VALUE"""),"Cali")</f>
        <v>Cali</v>
      </c>
      <c r="K109" s="6" t="str">
        <f>IFERROR(__xludf.DUMMYFUNCTION("""COMPUTED_VALUE"""),"emilia.v2040@gi.edu.co")</f>
        <v>emilia.v2040@gi.edu.co</v>
      </c>
      <c r="L109" s="6" t="str">
        <f>IFERROR(__xludf.DUMMYFUNCTION("""COMPUTED_VALUE"""),"RC")</f>
        <v>RC</v>
      </c>
      <c r="M109" s="6" t="str">
        <f>IFERROR(__xludf.DUMMYFUNCTION("""COMPUTED_VALUE"""),"Armenia")</f>
        <v>Armenia</v>
      </c>
      <c r="N109" s="6" t="str">
        <f>IFERROR(__xludf.DUMMYFUNCTION("""COMPUTED_VALUE"""),"F")</f>
        <v>F</v>
      </c>
      <c r="O109" s="6" t="str">
        <f>IFERROR(__xludf.DUMMYFUNCTION("""COMPUTED_VALUE"""),"ACTIVE")</f>
        <v>ACTIVE</v>
      </c>
      <c r="P109" s="6"/>
      <c r="Q109" s="6" t="str">
        <f>IFERROR(__xludf.DUMMYFUNCTION("""COMPUTED_VALUE"""),"Armenia")</f>
        <v>Armenia</v>
      </c>
      <c r="R109" s="12" t="str">
        <f>IFERROR(__xludf.DUMMYFUNCTION("""COMPUTED_VALUE"""),"Gilob34s*")</f>
        <v>Gilob34s*</v>
      </c>
      <c r="S109" s="6" t="str">
        <f>IFERROR(__xludf.DUMMYFUNCTION("""COMPUTED_VALUE"""),"Valencia Uribe Emilia ")</f>
        <v>Valencia Uribe Emilia </v>
      </c>
      <c r="T109" s="6" t="str">
        <f>IFERROR(__xludf.DUMMYFUNCTION("""COMPUTED_VALUE"""),"DANIELA URIBE GONZALEZ")</f>
        <v>DANIELA URIBE GONZALEZ</v>
      </c>
      <c r="U109" s="12" t="str">
        <f>IFERROR(__xludf.DUMMYFUNCTION("""COMPUTED_VALUE"""),"1004915688")</f>
        <v>1004915688</v>
      </c>
      <c r="V109" s="6">
        <f>IFERROR(__xludf.DUMMYFUNCTION("""COMPUTED_VALUE"""),3.23285001E8)</f>
        <v>323285001</v>
      </c>
      <c r="W109" s="6" t="str">
        <f>IFERROR(__xludf.DUMMYFUNCTION("""COMPUTED_VALUE"""),"danielauribeg1@gmail.com")</f>
        <v>danielauribeg1@gmail.com</v>
      </c>
      <c r="X109" s="12" t="str">
        <f>IFERROR(__xludf.DUMMYFUNCTION("""COMPUTED_VALUE"""),"O+")</f>
        <v>O+</v>
      </c>
      <c r="Y109" s="12" t="str">
        <f>IFERROR(__xludf.DUMMYFUNCTION("""COMPUTED_VALUE"""),"K4")</f>
        <v>K4</v>
      </c>
      <c r="Z109" s="6">
        <f>IFERROR(__xludf.DUMMYFUNCTION("""COMPUTED_VALUE"""),120564.0)</f>
        <v>120564</v>
      </c>
      <c r="AA109" s="6" t="str">
        <f>IFERROR(__xludf.DUMMYFUNCTION("""COMPUTED_VALUE"""),"OTRA")</f>
        <v>OTRA</v>
      </c>
      <c r="AB109" s="6"/>
      <c r="AC109" s="6"/>
      <c r="AD109" s="12" t="str">
        <f>IFERROR(__xludf.DUMMYFUNCTION("""COMPUTED_VALUE"""),"K4C")</f>
        <v>K4C</v>
      </c>
      <c r="AE109" s="12">
        <f>IFERROR(__xludf.DUMMYFUNCTION("""COMPUTED_VALUE"""),1.345282561E9)</f>
        <v>1345282561</v>
      </c>
      <c r="AF109" s="12">
        <f>IFERROR(__xludf.DUMMYFUNCTION("""COMPUTED_VALUE"""),1.345282561E9)</f>
        <v>1345282561</v>
      </c>
      <c r="AG109" s="12" t="str">
        <f>IFERROR(__xludf.DUMMYFUNCTION("""COMPUTED_VALUE"""),"Daniela")</f>
        <v>Daniela</v>
      </c>
      <c r="AH109" s="6"/>
      <c r="AI109" s="6" t="str">
        <f>IFERROR(__xludf.DUMMYFUNCTION("""COMPUTED_VALUE"""),"Uribe González")</f>
        <v>Uribe González</v>
      </c>
      <c r="AJ109" s="6" t="str">
        <f>IFERROR(__xludf.DUMMYFUNCTION("""COMPUTED_VALUE"""),"danielauribeg1@gmail.com")</f>
        <v>danielauribeg1@gmail.com</v>
      </c>
      <c r="AK109" s="6" t="str">
        <f>IFERROR(__xludf.DUMMYFUNCTION("""COMPUTED_VALUE"""),"MEDICA VETERINARIA ZOOTECNISTA")</f>
        <v>MEDICA VETERINARIA ZOOTECNISTA</v>
      </c>
      <c r="AL109" s="6" t="str">
        <f>IFERROR(__xludf.DUMMYFUNCTION("""COMPUTED_VALUE"""),"don pollo sas")</f>
        <v>don pollo sas</v>
      </c>
      <c r="AM109" s="12">
        <f>IFERROR(__xludf.DUMMYFUNCTION("""COMPUTED_VALUE"""),1.004915688E9)</f>
        <v>1004915688</v>
      </c>
      <c r="AN109" s="12" t="str">
        <f>IFERROR(__xludf.DUMMYFUNCTION("""COMPUTED_VALUE"""),"3232850061")</f>
        <v>3232850061</v>
      </c>
      <c r="AO109" s="6" t="str">
        <f>IFERROR(__xludf.DUMMYFUNCTION("""COMPUTED_VALUE"""),"Madre")</f>
        <v>Madre</v>
      </c>
      <c r="AP109" s="6" t="str">
        <f>IFERROR(__xludf.DUMMYFUNCTION("""COMPUTED_VALUE"""),"Estudiante(s): Valencia Uribe")</f>
        <v>Estudiante(s): Valencia Uribe</v>
      </c>
      <c r="AQ109" s="6" t="str">
        <f>IFERROR(__xludf.DUMMYFUNCTION("""COMPUTED_VALUE"""),"120564*Gi")</f>
        <v>120564*Gi</v>
      </c>
      <c r="AR109" s="6" t="str">
        <f>IFERROR(__xludf.DUMMYFUNCTION("""COMPUTED_VALUE"""),"Sebastián")</f>
        <v>Sebastián</v>
      </c>
      <c r="AS109" s="6"/>
      <c r="AT109" s="6" t="str">
        <f>IFERROR(__xludf.DUMMYFUNCTION("""COMPUTED_VALUE"""),"Valencia Serna")</f>
        <v>Valencia Serna</v>
      </c>
      <c r="AU109" s="6" t="str">
        <f>IFERROR(__xludf.DUMMYFUNCTION("""COMPUTED_VALUE"""),"sebas_897@hotmail.es")</f>
        <v>sebas_897@hotmail.es</v>
      </c>
      <c r="AV109" s="6" t="str">
        <f>IFERROR(__xludf.DUMMYFUNCTION("""COMPUTED_VALUE"""),"MEDICO VETERINARIO ZOOTECNISTA")</f>
        <v>MEDICO VETERINARIO ZOOTECNISTA</v>
      </c>
      <c r="AW109" s="6" t="str">
        <f>IFERROR(__xludf.DUMMYFUNCTION("""COMPUTED_VALUE"""),"avidesa de occidente")</f>
        <v>avidesa de occidente</v>
      </c>
      <c r="AX109" s="12" t="str">
        <f>IFERROR(__xludf.DUMMYFUNCTION("""COMPUTED_VALUE"""),"1094940703")</f>
        <v>1094940703</v>
      </c>
      <c r="AY109" s="12">
        <f>IFERROR(__xludf.DUMMYFUNCTION("""COMPUTED_VALUE"""),3.14628509E9)</f>
        <v>3146285090</v>
      </c>
      <c r="AZ109" s="6" t="str">
        <f>IFERROR(__xludf.DUMMYFUNCTION("""COMPUTED_VALUE"""),"Padre")</f>
        <v>Padre</v>
      </c>
      <c r="BA109" s="6"/>
      <c r="BB109" s="6"/>
      <c r="BC109" s="6"/>
      <c r="BD109" s="12" t="str">
        <f>IFERROR(__xludf.DUMMYFUNCTION("""COMPUTED_VALUE"""),"val0015")</f>
        <v>val0015</v>
      </c>
      <c r="BE109" s="6"/>
      <c r="BF109" s="12" t="str">
        <f>IFERROR(__xludf.DUMMYFUNCTION("""COMPUTED_VALUE"""),"2M+9m OCT/25 A SEP/26 SE APLICA MATR Y CTOS ESPECIALES")</f>
        <v>2M+9m OCT/25 A SEP/26 SE APLICA MATR Y CTOS ESPECIALES</v>
      </c>
      <c r="BG109" s="6">
        <f>IFERROR(__xludf.DUMMYFUNCTION("""COMPUTED_VALUE"""),2040.0)</f>
        <v>2040</v>
      </c>
      <c r="BH109" s="15">
        <f>IFERROR(__xludf.DUMMYFUNCTION("""COMPUTED_VALUE"""),46209.385567129626)</f>
        <v>46209.38557</v>
      </c>
      <c r="BI109" s="6">
        <f>IFERROR(__xludf.DUMMYFUNCTION("""COMPUTED_VALUE"""),108.0)</f>
        <v>108</v>
      </c>
      <c r="BJ109" s="6"/>
      <c r="BK109" s="6"/>
      <c r="BL109" s="6" t="str">
        <f>IFERROR(__xludf.DUMMYFUNCTION("""COMPUTED_VALUE"""),"GISVAL0015")</f>
        <v>GISVAL0015</v>
      </c>
      <c r="BM109" s="6"/>
      <c r="BN109" s="6"/>
      <c r="BO109" s="6"/>
      <c r="BP109" s="6" t="str">
        <f>IFERROR(__xludf.DUMMYFUNCTION("""COMPUTED_VALUE"""),"XC_K4_IniciaDanzas")</f>
        <v>XC_K4_IniciaDanzas</v>
      </c>
      <c r="BQ109" s="6"/>
      <c r="BR109" s="6"/>
      <c r="BS109" s="6"/>
      <c r="BT109" s="6"/>
      <c r="BU109" s="6" t="str">
        <f>IFERROR(__xludf.DUMMYFUNCTION("""COMPUTED_VALUE"""),"SI")</f>
        <v>SI</v>
      </c>
      <c r="BV109" s="6" t="str">
        <f>IFERROR(__xludf.DUMMYFUNCTION("""COMPUTED_VALUE"""),"emilia.v2040")</f>
        <v>emilia.v2040</v>
      </c>
      <c r="BW109" s="6"/>
      <c r="BX109" s="6"/>
      <c r="BY109" s="6"/>
      <c r="BZ109" s="6"/>
    </row>
    <row r="110">
      <c r="A110" s="12">
        <f>IFERROR(__xludf.DUMMYFUNCTION("""COMPUTED_VALUE"""),1.11703558E9)</f>
        <v>1117035580</v>
      </c>
      <c r="B110" s="6">
        <f>IFERROR(__xludf.DUMMYFUNCTION("""COMPUTED_VALUE"""),19.0)</f>
        <v>19</v>
      </c>
      <c r="C110" s="6" t="str">
        <f>IFERROR(__xludf.DUMMYFUNCTION("""COMPUTED_VALUE"""),"Nicolás")</f>
        <v>Nicolás</v>
      </c>
      <c r="D110" s="6"/>
      <c r="E110" s="6" t="str">
        <f>IFERROR(__xludf.DUMMYFUNCTION("""COMPUTED_VALUE"""),"Vélez Zuluaga")</f>
        <v>Vélez Zuluaga</v>
      </c>
      <c r="F110" s="6" t="str">
        <f>IFERROR(__xludf.DUMMYFUNCTION("""COMPUTED_VALUE"""),"Condominio Hacienda Horizontes Casa 39 - Km 3 Via Circasia Vereda la Florida")</f>
        <v>Condominio Hacienda Horizontes Casa 39 - Km 3 Via Circasia Vereda la Florida</v>
      </c>
      <c r="G110" s="12" t="str">
        <f>IFERROR(__xludf.DUMMYFUNCTION("""COMPUTED_VALUE"""),"2022")</f>
        <v>2022</v>
      </c>
      <c r="H110" s="6" t="str">
        <f>IFERROR(__xludf.DUMMYFUNCTION("""COMPUTED_VALUE"""),"Enero")</f>
        <v>Enero</v>
      </c>
      <c r="I110" s="12" t="str">
        <f>IFERROR(__xludf.DUMMYFUNCTION("""COMPUTED_VALUE"""),"15")</f>
        <v>15</v>
      </c>
      <c r="J110" s="6" t="str">
        <f>IFERROR(__xludf.DUMMYFUNCTION("""COMPUTED_VALUE"""),"Tuluá")</f>
        <v>Tuluá</v>
      </c>
      <c r="K110" s="6" t="str">
        <f>IFERROR(__xludf.DUMMYFUNCTION("""COMPUTED_VALUE"""),"nicolas.v2040@gi.edu.co")</f>
        <v>nicolas.v2040@gi.edu.co</v>
      </c>
      <c r="L110" s="6" t="str">
        <f>IFERROR(__xludf.DUMMYFUNCTION("""COMPUTED_VALUE"""),"RC")</f>
        <v>RC</v>
      </c>
      <c r="M110" s="6" t="str">
        <f>IFERROR(__xludf.DUMMYFUNCTION("""COMPUTED_VALUE"""),"Tuluá")</f>
        <v>Tuluá</v>
      </c>
      <c r="N110" s="6" t="str">
        <f>IFERROR(__xludf.DUMMYFUNCTION("""COMPUTED_VALUE"""),"M")</f>
        <v>M</v>
      </c>
      <c r="O110" s="6" t="str">
        <f>IFERROR(__xludf.DUMMYFUNCTION("""COMPUTED_VALUE"""),"INACTIVE")</f>
        <v>INACTIVE</v>
      </c>
      <c r="P110" s="6"/>
      <c r="Q110" s="6" t="str">
        <f>IFERROR(__xludf.DUMMYFUNCTION("""COMPUTED_VALUE"""),"Circasia")</f>
        <v>Circasia</v>
      </c>
      <c r="R110" s="12" t="str">
        <f>IFERROR(__xludf.DUMMYFUNCTION("""COMPUTED_VALUE"""),"Gi8fl3x9m2*")</f>
        <v>Gi8fl3x9m2*</v>
      </c>
      <c r="S110" s="6" t="str">
        <f>IFERROR(__xludf.DUMMYFUNCTION("""COMPUTED_VALUE"""),"Vélez Zuluaga Nicolás ")</f>
        <v>Vélez Zuluaga Nicolás </v>
      </c>
      <c r="T110" s="6" t="str">
        <f>IFERROR(__xludf.DUMMYFUNCTION("""COMPUTED_VALUE"""),"OSCAR ANDRES VELEZ LONDOÑO")</f>
        <v>OSCAR ANDRES VELEZ LONDOÑO</v>
      </c>
      <c r="U110" s="12" t="str">
        <f>IFERROR(__xludf.DUMMYFUNCTION("""COMPUTED_VALUE"""),"1116272497")</f>
        <v>1116272497</v>
      </c>
      <c r="V110" s="6">
        <f>IFERROR(__xludf.DUMMYFUNCTION("""COMPUTED_VALUE"""),3.207251594E9)</f>
        <v>3207251594</v>
      </c>
      <c r="W110" s="6" t="str">
        <f>IFERROR(__xludf.DUMMYFUNCTION("""COMPUTED_VALUE"""),"oavelez_23@hotmail.com")</f>
        <v>oavelez_23@hotmail.com</v>
      </c>
      <c r="X110" s="12" t="str">
        <f>IFERROR(__xludf.DUMMYFUNCTION("""COMPUTED_VALUE"""),"O+")</f>
        <v>O+</v>
      </c>
      <c r="Y110" s="12" t="str">
        <f>IFERROR(__xludf.DUMMYFUNCTION("""COMPUTED_VALUE"""),"K4")</f>
        <v>K4</v>
      </c>
      <c r="Z110" s="12">
        <f>IFERROR(__xludf.DUMMYFUNCTION("""COMPUTED_VALUE"""),120438.0)</f>
        <v>120438</v>
      </c>
      <c r="AA110" s="6" t="str">
        <f>IFERROR(__xludf.DUMMYFUNCTION("""COMPUTED_VALUE"""),"SANITAS")</f>
        <v>SANITAS</v>
      </c>
      <c r="AB110" s="6"/>
      <c r="AC110" s="6"/>
      <c r="AD110" s="12" t="str">
        <f>IFERROR(__xludf.DUMMYFUNCTION("""COMPUTED_VALUE"""),"K4C")</f>
        <v>K4C</v>
      </c>
      <c r="AE110" s="12" t="str">
        <f>IFERROR(__xludf.DUMMYFUNCTION("""COMPUTED_VALUE"""),"1345282460")</f>
        <v>1345282460</v>
      </c>
      <c r="AF110" s="12" t="str">
        <f>IFERROR(__xludf.DUMMYFUNCTION("""COMPUTED_VALUE"""),"1345282460")</f>
        <v>1345282460</v>
      </c>
      <c r="AG110" s="12" t="str">
        <f>IFERROR(__xludf.DUMMYFUNCTION("""COMPUTED_VALUE"""),"Carolina")</f>
        <v>Carolina</v>
      </c>
      <c r="AH110" s="6"/>
      <c r="AI110" s="6" t="str">
        <f>IFERROR(__xludf.DUMMYFUNCTION("""COMPUTED_VALUE"""),"Zuluaga Mejía")</f>
        <v>Zuluaga Mejía</v>
      </c>
      <c r="AJ110" s="6" t="str">
        <f>IFERROR(__xludf.DUMMYFUNCTION("""COMPUTED_VALUE"""),"caromejia7@hotmail.com")</f>
        <v>caromejia7@hotmail.com</v>
      </c>
      <c r="AK110" s="6" t="str">
        <f>IFERROR(__xludf.DUMMYFUNCTION("""COMPUTED_VALUE"""),"Administradora de Empresas")</f>
        <v>Administradora de Empresas</v>
      </c>
      <c r="AL110" s="6" t="str">
        <f>IFERROR(__xludf.DUMMYFUNCTION("""COMPUTED_VALUE"""),"VyZ Construcciones S.A.S")</f>
        <v>VyZ Construcciones S.A.S</v>
      </c>
      <c r="AM110" s="12" t="str">
        <f>IFERROR(__xludf.DUMMYFUNCTION("""COMPUTED_VALUE"""),"1094908068")</f>
        <v>1094908068</v>
      </c>
      <c r="AN110" s="12" t="str">
        <f>IFERROR(__xludf.DUMMYFUNCTION("""COMPUTED_VALUE"""),"3214386292")</f>
        <v>3214386292</v>
      </c>
      <c r="AO110" s="6" t="str">
        <f>IFERROR(__xludf.DUMMYFUNCTION("""COMPUTED_VALUE"""),"Madre")</f>
        <v>Madre</v>
      </c>
      <c r="AP110" s="6" t="str">
        <f>IFERROR(__xludf.DUMMYFUNCTION("""COMPUTED_VALUE"""),"Estudiante(s): Vélez Zuluaga")</f>
        <v>Estudiante(s): Vélez Zuluaga</v>
      </c>
      <c r="AQ110" s="6" t="str">
        <f>IFERROR(__xludf.DUMMYFUNCTION("""COMPUTED_VALUE"""),"120317*Gi")</f>
        <v>120317*Gi</v>
      </c>
      <c r="AR110" s="6" t="str">
        <f>IFERROR(__xludf.DUMMYFUNCTION("""COMPUTED_VALUE"""),"Oscar")</f>
        <v>Oscar</v>
      </c>
      <c r="AS110" s="6" t="str">
        <f>IFERROR(__xludf.DUMMYFUNCTION("""COMPUTED_VALUE"""),"Andres")</f>
        <v>Andres</v>
      </c>
      <c r="AT110" s="6" t="str">
        <f>IFERROR(__xludf.DUMMYFUNCTION("""COMPUTED_VALUE"""),"Vélez Londoño")</f>
        <v>Vélez Londoño</v>
      </c>
      <c r="AU110" s="6" t="str">
        <f>IFERROR(__xludf.DUMMYFUNCTION("""COMPUTED_VALUE"""),"oavelez_23@hotmail.com")</f>
        <v>oavelez_23@hotmail.com</v>
      </c>
      <c r="AV110" s="6" t="str">
        <f>IFERROR(__xludf.DUMMYFUNCTION("""COMPUTED_VALUE"""),"Ingeniero Civil")</f>
        <v>Ingeniero Civil</v>
      </c>
      <c r="AW110" s="6" t="str">
        <f>IFERROR(__xludf.DUMMYFUNCTION("""COMPUTED_VALUE"""),"Cofintec s.a")</f>
        <v>Cofintec s.a</v>
      </c>
      <c r="AX110" s="12" t="str">
        <f>IFERROR(__xludf.DUMMYFUNCTION("""COMPUTED_VALUE"""),"1116272497")</f>
        <v>1116272497</v>
      </c>
      <c r="AY110" s="12" t="str">
        <f>IFERROR(__xludf.DUMMYFUNCTION("""COMPUTED_VALUE"""),"3207251594")</f>
        <v>3207251594</v>
      </c>
      <c r="AZ110" s="6" t="str">
        <f>IFERROR(__xludf.DUMMYFUNCTION("""COMPUTED_VALUE"""),"Padre")</f>
        <v>Padre</v>
      </c>
      <c r="BA110" s="6"/>
      <c r="BB110" s="6"/>
      <c r="BC110" s="6"/>
      <c r="BD110" s="12" t="str">
        <f>IFERROR(__xludf.DUMMYFUNCTION("""COMPUTED_VALUE"""),"vel0019")</f>
        <v>vel0019</v>
      </c>
      <c r="BE110" s="6" t="str">
        <f>IFERROR(__xludf.DUMMYFUNCTION("""COMPUTED_VALUE"""),"FALTAN FIRMAS")</f>
        <v>FALTAN FIRMAS</v>
      </c>
      <c r="BF110" s="6"/>
      <c r="BG110" s="6">
        <f>IFERROR(__xludf.DUMMYFUNCTION("""COMPUTED_VALUE"""),2040.0)</f>
        <v>2040</v>
      </c>
      <c r="BH110" s="15">
        <f>IFERROR(__xludf.DUMMYFUNCTION("""COMPUTED_VALUE"""),46234.47320601852)</f>
        <v>46234.47321</v>
      </c>
      <c r="BI110" s="6">
        <f>IFERROR(__xludf.DUMMYFUNCTION("""COMPUTED_VALUE"""),109.0)</f>
        <v>109</v>
      </c>
      <c r="BJ110" s="6"/>
      <c r="BK110" s="6"/>
      <c r="BL110" s="6" t="str">
        <f>IFERROR(__xludf.DUMMYFUNCTION("""COMPUTED_VALUE"""),"GISVEL0019")</f>
        <v>GISVEL0019</v>
      </c>
      <c r="BM110" s="6"/>
      <c r="BN110" s="6"/>
      <c r="BO110" s="6"/>
      <c r="BP110" s="6"/>
      <c r="BQ110" s="6" t="str">
        <f>IFERROR(__xludf.DUMMYFUNCTION("""COMPUTED_VALUE"""),"XC_K4_Polimotor")</f>
        <v>XC_K4_Polimotor</v>
      </c>
      <c r="BR110" s="6"/>
      <c r="BS110" s="6"/>
      <c r="BT110" s="6"/>
      <c r="BU110" s="6" t="str">
        <f>IFERROR(__xludf.DUMMYFUNCTION("""COMPUTED_VALUE"""),"SI")</f>
        <v>SI</v>
      </c>
      <c r="BV110" s="6" t="str">
        <f>IFERROR(__xludf.DUMMYFUNCTION("""COMPUTED_VALUE"""),"nicolas.v2040")</f>
        <v>nicolas.v2040</v>
      </c>
      <c r="BW110" s="6"/>
      <c r="BX110" s="6"/>
      <c r="BY110" s="6"/>
      <c r="B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 t="str">
        <f>IFERROR(__xludf.DUMMYFUNCTION("""COMPUTED_VALUE"""),"Madre")</f>
        <v>Madre</v>
      </c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 t="str">
        <f>IFERROR(__xludf.DUMMYFUNCTION("""COMPUTED_VALUE"""),"Padre")</f>
        <v>Padre</v>
      </c>
      <c r="BA111" s="6"/>
      <c r="BB111" s="6"/>
      <c r="BC111" s="6"/>
      <c r="BD111" s="6"/>
      <c r="BE111" s="6"/>
      <c r="BF111" s="6"/>
      <c r="BG111" s="6"/>
      <c r="BH111" s="6"/>
      <c r="BI111" s="6">
        <f>IFERROR(__xludf.DUMMYFUNCTION("""COMPUTED_VALUE"""),110.0)</f>
        <v>110</v>
      </c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</row>
    <row r="112">
      <c r="A112" s="12">
        <f>IFERROR(__xludf.DUMMYFUNCTION("""COMPUTED_VALUE"""),1.092865399E9)</f>
        <v>1092865399</v>
      </c>
      <c r="B112" s="6">
        <f>IFERROR(__xludf.DUMMYFUNCTION("""COMPUTED_VALUE"""),1.0)</f>
        <v>1</v>
      </c>
      <c r="C112" s="6" t="str">
        <f>IFERROR(__xludf.DUMMYFUNCTION("""COMPUTED_VALUE"""),"Sofía")</f>
        <v>Sofía</v>
      </c>
      <c r="D112" s="6"/>
      <c r="E112" s="6" t="str">
        <f>IFERROR(__xludf.DUMMYFUNCTION("""COMPUTED_VALUE"""),"Agreda Cortés")</f>
        <v>Agreda Cortés</v>
      </c>
      <c r="F112" s="6" t="str">
        <f>IFERROR(__xludf.DUMMYFUNCTION("""COMPUTED_VALUE"""),"Condominio Campestre La Reserva Torre Malpelo Apto 205 - Cra 5 No10Nte - 25 Av Centenario")</f>
        <v>Condominio Campestre La Reserva Torre Malpelo Apto 205 - Cra 5 No10Nte - 25 Av Centenario</v>
      </c>
      <c r="G112" s="12" t="str">
        <f>IFERROR(__xludf.DUMMYFUNCTION("""COMPUTED_VALUE"""),"2021")</f>
        <v>2021</v>
      </c>
      <c r="H112" s="6" t="str">
        <f>IFERROR(__xludf.DUMMYFUNCTION("""COMPUTED_VALUE"""),"Septiembre")</f>
        <v>Septiembre</v>
      </c>
      <c r="I112" s="12" t="str">
        <f>IFERROR(__xludf.DUMMYFUNCTION("""COMPUTED_VALUE"""),"30")</f>
        <v>30</v>
      </c>
      <c r="J112" s="6" t="str">
        <f>IFERROR(__xludf.DUMMYFUNCTION("""COMPUTED_VALUE"""),"Armenia")</f>
        <v>Armenia</v>
      </c>
      <c r="K112" s="6" t="str">
        <f>IFERROR(__xludf.DUMMYFUNCTION("""COMPUTED_VALUE"""),"sofia.a2039@gi.edu.co")</f>
        <v>sofia.a2039@gi.edu.co</v>
      </c>
      <c r="L112" s="6" t="str">
        <f>IFERROR(__xludf.DUMMYFUNCTION("""COMPUTED_VALUE"""),"RC")</f>
        <v>RC</v>
      </c>
      <c r="M112" s="6" t="str">
        <f>IFERROR(__xludf.DUMMYFUNCTION("""COMPUTED_VALUE"""),"Cali")</f>
        <v>Cali</v>
      </c>
      <c r="N112" s="6" t="str">
        <f>IFERROR(__xludf.DUMMYFUNCTION("""COMPUTED_VALUE"""),"F")</f>
        <v>F</v>
      </c>
      <c r="O112" s="6" t="str">
        <f>IFERROR(__xludf.DUMMYFUNCTION("""COMPUTED_VALUE"""),"ACTIVE")</f>
        <v>ACTIVE</v>
      </c>
      <c r="P112" s="6"/>
      <c r="Q112" s="6" t="str">
        <f>IFERROR(__xludf.DUMMYFUNCTION("""COMPUTED_VALUE"""),"Armenia")</f>
        <v>Armenia</v>
      </c>
      <c r="R112" s="12" t="str">
        <f>IFERROR(__xludf.DUMMYFUNCTION("""COMPUTED_VALUE"""),"Gi2sg4j6*")</f>
        <v>Gi2sg4j6*</v>
      </c>
      <c r="S112" s="6" t="str">
        <f>IFERROR(__xludf.DUMMYFUNCTION("""COMPUTED_VALUE"""),"Agreda Cortés Sofía ")</f>
        <v>Agreda Cortés Sofía </v>
      </c>
      <c r="T112" s="6" t="str">
        <f>IFERROR(__xludf.DUMMYFUNCTION("""COMPUTED_VALUE"""),"CRISTIAN GUILLERMO AGREDA CEBALLOS")</f>
        <v>CRISTIAN GUILLERMO AGREDA CEBALLOS</v>
      </c>
      <c r="U112" s="12" t="str">
        <f>IFERROR(__xludf.DUMMYFUNCTION("""COMPUTED_VALUE"""),"1094879447")</f>
        <v>1094879447</v>
      </c>
      <c r="V112" s="6">
        <f>IFERROR(__xludf.DUMMYFUNCTION("""COMPUTED_VALUE"""),3.186183938E9)</f>
        <v>3186183938</v>
      </c>
      <c r="W112" s="6" t="str">
        <f>IFERROR(__xludf.DUMMYFUNCTION("""COMPUTED_VALUE"""),"agredac@gmail.com")</f>
        <v>agredac@gmail.com</v>
      </c>
      <c r="X112" s="12" t="str">
        <f>IFERROR(__xludf.DUMMYFUNCTION("""COMPUTED_VALUE"""),"A+")</f>
        <v>A+</v>
      </c>
      <c r="Y112" s="12" t="str">
        <f>IFERROR(__xludf.DUMMYFUNCTION("""COMPUTED_VALUE"""),"K5")</f>
        <v>K5</v>
      </c>
      <c r="Z112" s="12" t="str">
        <f>IFERROR(__xludf.DUMMYFUNCTION("""COMPUTED_VALUE"""),"120395")</f>
        <v>120395</v>
      </c>
      <c r="AA112" s="6" t="str">
        <f>IFERROR(__xludf.DUMMYFUNCTION("""COMPUTED_VALUE"""),"SURA")</f>
        <v>SURA</v>
      </c>
      <c r="AB112" s="6"/>
      <c r="AC112" s="6"/>
      <c r="AD112" s="12" t="str">
        <f>IFERROR(__xludf.DUMMYFUNCTION("""COMPUTED_VALUE"""),"K5A")</f>
        <v>K5A</v>
      </c>
      <c r="AE112" s="12" t="str">
        <f>IFERROR(__xludf.DUMMYFUNCTION("""COMPUTED_VALUE"""),"1345282397")</f>
        <v>1345282397</v>
      </c>
      <c r="AF112" s="12" t="str">
        <f>IFERROR(__xludf.DUMMYFUNCTION("""COMPUTED_VALUE"""),"1345282397")</f>
        <v>1345282397</v>
      </c>
      <c r="AG112" s="12" t="str">
        <f>IFERROR(__xludf.DUMMYFUNCTION("""COMPUTED_VALUE"""),"Jessica")</f>
        <v>Jessica</v>
      </c>
      <c r="AH112" s="12" t="str">
        <f>IFERROR(__xludf.DUMMYFUNCTION("""COMPUTED_VALUE"""),"Juliana")</f>
        <v>Juliana</v>
      </c>
      <c r="AI112" s="6" t="str">
        <f>IFERROR(__xludf.DUMMYFUNCTION("""COMPUTED_VALUE"""),"Cortés Alzate")</f>
        <v>Cortés Alzate</v>
      </c>
      <c r="AJ112" s="6" t="str">
        <f>IFERROR(__xludf.DUMMYFUNCTION("""COMPUTED_VALUE"""),"jessjuli-12@hotmail.com")</f>
        <v>jessjuli-12@hotmail.com</v>
      </c>
      <c r="AK112" s="6" t="str">
        <f>IFERROR(__xludf.DUMMYFUNCTION("""COMPUTED_VALUE"""),"Arquitecta")</f>
        <v>Arquitecta</v>
      </c>
      <c r="AL112" s="6" t="str">
        <f>IFERROR(__xludf.DUMMYFUNCTION("""COMPUTED_VALUE"""),"Ilimitada Arquitectura")</f>
        <v>Ilimitada Arquitectura</v>
      </c>
      <c r="AM112" s="12" t="str">
        <f>IFERROR(__xludf.DUMMYFUNCTION("""COMPUTED_VALUE"""),"1094900826")</f>
        <v>1094900826</v>
      </c>
      <c r="AN112" s="12" t="str">
        <f>IFERROR(__xludf.DUMMYFUNCTION("""COMPUTED_VALUE"""),"3165302015")</f>
        <v>3165302015</v>
      </c>
      <c r="AO112" s="6" t="str">
        <f>IFERROR(__xludf.DUMMYFUNCTION("""COMPUTED_VALUE"""),"Madre")</f>
        <v>Madre</v>
      </c>
      <c r="AP112" s="6" t="str">
        <f>IFERROR(__xludf.DUMMYFUNCTION("""COMPUTED_VALUE"""),"Estudiante(s): Agreda Cortes")</f>
        <v>Estudiante(s): Agreda Cortes</v>
      </c>
      <c r="AQ112" s="6" t="str">
        <f>IFERROR(__xludf.DUMMYFUNCTION("""COMPUTED_VALUE"""),"120395*Gi")</f>
        <v>120395*Gi</v>
      </c>
      <c r="AR112" s="6" t="str">
        <f>IFERROR(__xludf.DUMMYFUNCTION("""COMPUTED_VALUE"""),"Cristian")</f>
        <v>Cristian</v>
      </c>
      <c r="AS112" s="6" t="str">
        <f>IFERROR(__xludf.DUMMYFUNCTION("""COMPUTED_VALUE"""),"Guillermo")</f>
        <v>Guillermo</v>
      </c>
      <c r="AT112" s="6" t="str">
        <f>IFERROR(__xludf.DUMMYFUNCTION("""COMPUTED_VALUE"""),"Agreda Ceballos")</f>
        <v>Agreda Ceballos</v>
      </c>
      <c r="AU112" s="6" t="str">
        <f>IFERROR(__xludf.DUMMYFUNCTION("""COMPUTED_VALUE"""),"agredac@gmail.com")</f>
        <v>agredac@gmail.com</v>
      </c>
      <c r="AV112" s="6" t="str">
        <f>IFERROR(__xludf.DUMMYFUNCTION("""COMPUTED_VALUE"""),"Ingeniero de sistemas")</f>
        <v>Ingeniero de sistemas</v>
      </c>
      <c r="AW112" s="6" t="str">
        <f>IFERROR(__xludf.DUMMYFUNCTION("""COMPUTED_VALUE"""),"ECSFin Latam")</f>
        <v>ECSFin Latam</v>
      </c>
      <c r="AX112" s="12" t="str">
        <f>IFERROR(__xludf.DUMMYFUNCTION("""COMPUTED_VALUE"""),"1094879447")</f>
        <v>1094879447</v>
      </c>
      <c r="AY112" s="12">
        <f>IFERROR(__xludf.DUMMYFUNCTION("""COMPUTED_VALUE"""),3.186183938E9)</f>
        <v>3186183938</v>
      </c>
      <c r="AZ112" s="6" t="str">
        <f>IFERROR(__xludf.DUMMYFUNCTION("""COMPUTED_VALUE"""),"Padre")</f>
        <v>Padre</v>
      </c>
      <c r="BA112" s="6"/>
      <c r="BB112" s="6"/>
      <c r="BC112" s="6"/>
      <c r="BD112" s="12" t="str">
        <f>IFERROR(__xludf.DUMMYFUNCTION("""COMPUTED_VALUE"""),"cor0014")</f>
        <v>cor0014</v>
      </c>
      <c r="BE112" s="6"/>
      <c r="BF112" s="6"/>
      <c r="BG112" s="6">
        <f>IFERROR(__xludf.DUMMYFUNCTION("""COMPUTED_VALUE"""),2039.0)</f>
        <v>2039</v>
      </c>
      <c r="BH112" s="15">
        <f>IFERROR(__xludf.DUMMYFUNCTION("""COMPUTED_VALUE"""),46211.63815972222)</f>
        <v>46211.63816</v>
      </c>
      <c r="BI112" s="6">
        <f>IFERROR(__xludf.DUMMYFUNCTION("""COMPUTED_VALUE"""),111.0)</f>
        <v>111</v>
      </c>
      <c r="BJ112" s="6"/>
      <c r="BK112" s="6"/>
      <c r="BL112" s="6" t="str">
        <f>IFERROR(__xludf.DUMMYFUNCTION("""COMPUTED_VALUE"""),"GISCOR0014")</f>
        <v>GISCOR0014</v>
      </c>
      <c r="BM112" s="6"/>
      <c r="BN112" s="6"/>
      <c r="BO112" s="6"/>
      <c r="BP112" s="6"/>
      <c r="BQ112" s="6"/>
      <c r="BR112" s="6"/>
      <c r="BS112" s="6"/>
      <c r="BT112" s="6"/>
      <c r="BU112" s="6" t="str">
        <f>IFERROR(__xludf.DUMMYFUNCTION("""COMPUTED_VALUE"""),"SI")</f>
        <v>SI</v>
      </c>
      <c r="BV112" s="6" t="str">
        <f>IFERROR(__xludf.DUMMYFUNCTION("""COMPUTED_VALUE"""),"sofia.a2039")</f>
        <v>sofia.a2039</v>
      </c>
      <c r="BW112" s="6"/>
      <c r="BX112" s="6"/>
      <c r="BY112" s="6"/>
      <c r="BZ112" s="6"/>
    </row>
    <row r="113">
      <c r="A113" s="12">
        <f>IFERROR(__xludf.DUMMYFUNCTION("""COMPUTED_VALUE"""),1.092467003E9)</f>
        <v>1092467003</v>
      </c>
      <c r="B113" s="6">
        <f>IFERROR(__xludf.DUMMYFUNCTION("""COMPUTED_VALUE"""),2.0)</f>
        <v>2</v>
      </c>
      <c r="C113" s="6" t="str">
        <f>IFERROR(__xludf.DUMMYFUNCTION("""COMPUTED_VALUE"""),"Jeremías")</f>
        <v>Jeremías</v>
      </c>
      <c r="D113" s="6"/>
      <c r="E113" s="6" t="str">
        <f>IFERROR(__xludf.DUMMYFUNCTION("""COMPUTED_VALUE"""),"Agudelo Giraldo")</f>
        <v>Agudelo Giraldo</v>
      </c>
      <c r="F113" s="6" t="str">
        <f>IFERROR(__xludf.DUMMYFUNCTION("""COMPUTED_VALUE"""),"Condominio Campestre La Reserva Torre Malpelo Apto 506 - Cra 5 No10Nte - 25 Av Centenario")</f>
        <v>Condominio Campestre La Reserva Torre Malpelo Apto 506 - Cra 5 No10Nte - 25 Av Centenario</v>
      </c>
      <c r="G113" s="12" t="str">
        <f>IFERROR(__xludf.DUMMYFUNCTION("""COMPUTED_VALUE"""),"2020")</f>
        <v>2020</v>
      </c>
      <c r="H113" s="6" t="str">
        <f>IFERROR(__xludf.DUMMYFUNCTION("""COMPUTED_VALUE"""),"Octubre")</f>
        <v>Octubre</v>
      </c>
      <c r="I113" s="12" t="str">
        <f>IFERROR(__xludf.DUMMYFUNCTION("""COMPUTED_VALUE"""),"30")</f>
        <v>30</v>
      </c>
      <c r="J113" s="6" t="str">
        <f>IFERROR(__xludf.DUMMYFUNCTION("""COMPUTED_VALUE"""),"Armenia")</f>
        <v>Armenia</v>
      </c>
      <c r="K113" s="6" t="str">
        <f>IFERROR(__xludf.DUMMYFUNCTION("""COMPUTED_VALUE"""),"jeremias.ag2039@gi.edu.co")</f>
        <v>jeremias.ag2039@gi.edu.co</v>
      </c>
      <c r="L113" s="6" t="str">
        <f>IFERROR(__xludf.DUMMYFUNCTION("""COMPUTED_VALUE"""),"RC")</f>
        <v>RC</v>
      </c>
      <c r="M113" s="6" t="str">
        <f>IFERROR(__xludf.DUMMYFUNCTION("""COMPUTED_VALUE"""),"Armenia")</f>
        <v>Armenia</v>
      </c>
      <c r="N113" s="6" t="str">
        <f>IFERROR(__xludf.DUMMYFUNCTION("""COMPUTED_VALUE"""),"M")</f>
        <v>M</v>
      </c>
      <c r="O113" s="6" t="str">
        <f>IFERROR(__xludf.DUMMYFUNCTION("""COMPUTED_VALUE"""),"ACTIVE")</f>
        <v>ACTIVE</v>
      </c>
      <c r="P113" s="6"/>
      <c r="Q113" s="6" t="str">
        <f>IFERROR(__xludf.DUMMYFUNCTION("""COMPUTED_VALUE"""),"Armenia")</f>
        <v>Armenia</v>
      </c>
      <c r="R113" s="12" t="str">
        <f>IFERROR(__xludf.DUMMYFUNCTION("""COMPUTED_VALUE"""),"Gis7J8nb*")</f>
        <v>Gis7J8nb*</v>
      </c>
      <c r="S113" s="6" t="str">
        <f>IFERROR(__xludf.DUMMYFUNCTION("""COMPUTED_VALUE"""),"Agudelo Giraldo Jeremías ")</f>
        <v>Agudelo Giraldo Jeremías </v>
      </c>
      <c r="T113" s="6" t="str">
        <f>IFERROR(__xludf.DUMMYFUNCTION("""COMPUTED_VALUE"""),"ANDRES FELIPE AGUDELO ARIAS")</f>
        <v>ANDRES FELIPE AGUDELO ARIAS</v>
      </c>
      <c r="U113" s="12" t="str">
        <f>IFERROR(__xludf.DUMMYFUNCTION("""COMPUTED_VALUE"""),"1094906488")</f>
        <v>1094906488</v>
      </c>
      <c r="V113" s="6">
        <f>IFERROR(__xludf.DUMMYFUNCTION("""COMPUTED_VALUE"""),3.135344384E9)</f>
        <v>3135344384</v>
      </c>
      <c r="W113" s="6" t="str">
        <f>IFERROR(__xludf.DUMMYFUNCTION("""COMPUTED_VALUE"""),"andresagudelo223@gmail.com")</f>
        <v>andresagudelo223@gmail.com</v>
      </c>
      <c r="X113" s="12" t="str">
        <f>IFERROR(__xludf.DUMMYFUNCTION("""COMPUTED_VALUE"""),"A-")</f>
        <v>A-</v>
      </c>
      <c r="Y113" s="12" t="str">
        <f>IFERROR(__xludf.DUMMYFUNCTION("""COMPUTED_VALUE"""),"K5")</f>
        <v>K5</v>
      </c>
      <c r="Z113" s="12">
        <f>IFERROR(__xludf.DUMMYFUNCTION("""COMPUTED_VALUE"""),120321.0)</f>
        <v>120321</v>
      </c>
      <c r="AA113" s="6" t="str">
        <f>IFERROR(__xludf.DUMMYFUNCTION("""COMPUTED_VALUE"""),"SURA")</f>
        <v>SURA</v>
      </c>
      <c r="AB113" s="6"/>
      <c r="AC113" s="12" t="str">
        <f>IFERROR(__xludf.DUMMYFUNCTION("""COMPUTED_VALUE"""),"acaros del polvo")</f>
        <v>acaros del polvo</v>
      </c>
      <c r="AD113" s="12" t="str">
        <f>IFERROR(__xludf.DUMMYFUNCTION("""COMPUTED_VALUE"""),"K5A")</f>
        <v>K5A</v>
      </c>
      <c r="AE113" s="12">
        <f>IFERROR(__xludf.DUMMYFUNCTION("""COMPUTED_VALUE"""),1.345282327E9)</f>
        <v>1345282327</v>
      </c>
      <c r="AF113" s="12" t="str">
        <f>IFERROR(__xludf.DUMMYFUNCTION("""COMPUTED_VALUE"""),"1345282327")</f>
        <v>1345282327</v>
      </c>
      <c r="AG113" s="12" t="str">
        <f>IFERROR(__xludf.DUMMYFUNCTION("""COMPUTED_VALUE"""),"María")</f>
        <v>María</v>
      </c>
      <c r="AH113" s="12" t="str">
        <f>IFERROR(__xludf.DUMMYFUNCTION("""COMPUTED_VALUE"""),"Alejandra")</f>
        <v>Alejandra</v>
      </c>
      <c r="AI113" s="6" t="str">
        <f>IFERROR(__xludf.DUMMYFUNCTION("""COMPUTED_VALUE"""),"Giraldo Arias")</f>
        <v>Giraldo Arias</v>
      </c>
      <c r="AJ113" s="6" t="str">
        <f>IFERROR(__xludf.DUMMYFUNCTION("""COMPUTED_VALUE"""),"mariaagiraldo91@gmail.com")</f>
        <v>mariaagiraldo91@gmail.com</v>
      </c>
      <c r="AK113" s="6" t="str">
        <f>IFERROR(__xludf.DUMMYFUNCTION("""COMPUTED_VALUE"""),"Veterinaria")</f>
        <v>Veterinaria</v>
      </c>
      <c r="AL113" s="6"/>
      <c r="AM113" s="12" t="str">
        <f>IFERROR(__xludf.DUMMYFUNCTION("""COMPUTED_VALUE"""),"1094911963")</f>
        <v>1094911963</v>
      </c>
      <c r="AN113" s="12" t="str">
        <f>IFERROR(__xludf.DUMMYFUNCTION("""COMPUTED_VALUE"""),"3148514772")</f>
        <v>3148514772</v>
      </c>
      <c r="AO113" s="6" t="str">
        <f>IFERROR(__xludf.DUMMYFUNCTION("""COMPUTED_VALUE"""),"Madre")</f>
        <v>Madre</v>
      </c>
      <c r="AP113" s="6" t="str">
        <f>IFERROR(__xludf.DUMMYFUNCTION("""COMPUTED_VALUE"""),"Estudiante(s): Agudelo Giraldo")</f>
        <v>Estudiante(s): Agudelo Giraldo</v>
      </c>
      <c r="AQ113" s="6" t="str">
        <f>IFERROR(__xludf.DUMMYFUNCTION("""COMPUTED_VALUE"""),"120321*Gi")</f>
        <v>120321*Gi</v>
      </c>
      <c r="AR113" s="6" t="str">
        <f>IFERROR(__xludf.DUMMYFUNCTION("""COMPUTED_VALUE"""),"Andrés")</f>
        <v>Andrés</v>
      </c>
      <c r="AS113" s="6" t="str">
        <f>IFERROR(__xludf.DUMMYFUNCTION("""COMPUTED_VALUE"""),"Felipe")</f>
        <v>Felipe</v>
      </c>
      <c r="AT113" s="6" t="str">
        <f>IFERROR(__xludf.DUMMYFUNCTION("""COMPUTED_VALUE"""),"Agudelo Arias")</f>
        <v>Agudelo Arias</v>
      </c>
      <c r="AU113" s="6" t="str">
        <f>IFERROR(__xludf.DUMMYFUNCTION("""COMPUTED_VALUE"""),"andresagudelo223@gmail.com")</f>
        <v>andresagudelo223@gmail.com</v>
      </c>
      <c r="AV113" s="6" t="str">
        <f>IFERROR(__xludf.DUMMYFUNCTION("""COMPUTED_VALUE"""),"Administrador de empresas")</f>
        <v>Administrador de empresas</v>
      </c>
      <c r="AW113" s="6"/>
      <c r="AX113" s="12" t="str">
        <f>IFERROR(__xludf.DUMMYFUNCTION("""COMPUTED_VALUE"""),"1094906488")</f>
        <v>1094906488</v>
      </c>
      <c r="AY113" s="12" t="str">
        <f>IFERROR(__xludf.DUMMYFUNCTION("""COMPUTED_VALUE"""),"3135344384")</f>
        <v>3135344384</v>
      </c>
      <c r="AZ113" s="6" t="str">
        <f>IFERROR(__xludf.DUMMYFUNCTION("""COMPUTED_VALUE"""),"Padre")</f>
        <v>Padre</v>
      </c>
      <c r="BA113" s="6"/>
      <c r="BB113" s="6"/>
      <c r="BC113" s="6"/>
      <c r="BD113" s="12" t="str">
        <f>IFERROR(__xludf.DUMMYFUNCTION("""COMPUTED_VALUE"""),"agu0010")</f>
        <v>agu0010</v>
      </c>
      <c r="BE113" s="6"/>
      <c r="BF113" s="6"/>
      <c r="BG113" s="6">
        <f>IFERROR(__xludf.DUMMYFUNCTION("""COMPUTED_VALUE"""),2039.0)</f>
        <v>2039</v>
      </c>
      <c r="BH113" s="15">
        <f>IFERROR(__xludf.DUMMYFUNCTION("""COMPUTED_VALUE"""),46212.62231481481)</f>
        <v>46212.62231</v>
      </c>
      <c r="BI113" s="6">
        <f>IFERROR(__xludf.DUMMYFUNCTION("""COMPUTED_VALUE"""),112.0)</f>
        <v>112</v>
      </c>
      <c r="BJ113" s="6"/>
      <c r="BK113" s="6"/>
      <c r="BL113" s="6" t="str">
        <f>IFERROR(__xludf.DUMMYFUNCTION("""COMPUTED_VALUE"""),"GISAGU0010")</f>
        <v>GISAGU0010</v>
      </c>
      <c r="BM113" s="6"/>
      <c r="BN113" s="6"/>
      <c r="BO113" s="6" t="str">
        <f>IFERROR(__xludf.DUMMYFUNCTION("""COMPUTED_VALUE"""),"XC_K5_Futbol")</f>
        <v>XC_K5_Futbol</v>
      </c>
      <c r="BP113" s="6"/>
      <c r="BQ113" s="6"/>
      <c r="BR113" s="6" t="str">
        <f>IFERROR(__xludf.DUMMYFUNCTION("""COMPUTED_VALUE"""),"XC_K5_Futbol")</f>
        <v>XC_K5_Futbol</v>
      </c>
      <c r="BS113" s="6"/>
      <c r="BT113" s="6"/>
      <c r="BU113" s="6" t="str">
        <f>IFERROR(__xludf.DUMMYFUNCTION("""COMPUTED_VALUE"""),"SI")</f>
        <v>SI</v>
      </c>
      <c r="BV113" s="6" t="str">
        <f>IFERROR(__xludf.DUMMYFUNCTION("""COMPUTED_VALUE"""),"jeremias.ag2039")</f>
        <v>jeremias.ag2039</v>
      </c>
      <c r="BW113" s="6"/>
      <c r="BX113" s="6"/>
      <c r="BY113" s="6"/>
      <c r="BZ113" s="6"/>
    </row>
    <row r="114">
      <c r="A114" s="12">
        <f>IFERROR(__xludf.DUMMYFUNCTION("""COMPUTED_VALUE"""),1.091890559E9)</f>
        <v>1091890559</v>
      </c>
      <c r="B114" s="6">
        <f>IFERROR(__xludf.DUMMYFUNCTION("""COMPUTED_VALUE"""),3.0)</f>
        <v>3</v>
      </c>
      <c r="C114" s="6" t="str">
        <f>IFERROR(__xludf.DUMMYFUNCTION("""COMPUTED_VALUE"""),"Elena")</f>
        <v>Elena</v>
      </c>
      <c r="D114" s="6"/>
      <c r="E114" s="6" t="str">
        <f>IFERROR(__xludf.DUMMYFUNCTION("""COMPUTED_VALUE"""),"Arcila Rodríguez")</f>
        <v>Arcila Rodríguez</v>
      </c>
      <c r="F114" s="6" t="str">
        <f>IFERROR(__xludf.DUMMYFUNCTION("""COMPUTED_VALUE"""),"Condominio Hacienda Horizontes Casa 28 - Km 3 Via Circasia Vereda la Florida")</f>
        <v>Condominio Hacienda Horizontes Casa 28 - Km 3 Via Circasia Vereda la Florida</v>
      </c>
      <c r="G114" s="12" t="str">
        <f>IFERROR(__xludf.DUMMYFUNCTION("""COMPUTED_VALUE"""),"2021")</f>
        <v>2021</v>
      </c>
      <c r="H114" s="6" t="str">
        <f>IFERROR(__xludf.DUMMYFUNCTION("""COMPUTED_VALUE"""),"Julio")</f>
        <v>Julio</v>
      </c>
      <c r="I114" s="12" t="str">
        <f>IFERROR(__xludf.DUMMYFUNCTION("""COMPUTED_VALUE"""),"9")</f>
        <v>9</v>
      </c>
      <c r="J114" s="6" t="str">
        <f>IFERROR(__xludf.DUMMYFUNCTION("""COMPUTED_VALUE"""),"Sydney")</f>
        <v>Sydney</v>
      </c>
      <c r="K114" s="6" t="str">
        <f>IFERROR(__xludf.DUMMYFUNCTION("""COMPUTED_VALUE"""),"elena.a2039@gi.edu.co")</f>
        <v>elena.a2039@gi.edu.co</v>
      </c>
      <c r="L114" s="6" t="str">
        <f>IFERROR(__xludf.DUMMYFUNCTION("""COMPUTED_VALUE"""),"RC")</f>
        <v>RC</v>
      </c>
      <c r="M114" s="6" t="str">
        <f>IFERROR(__xludf.DUMMYFUNCTION("""COMPUTED_VALUE"""),"Sydney")</f>
        <v>Sydney</v>
      </c>
      <c r="N114" s="6" t="str">
        <f>IFERROR(__xludf.DUMMYFUNCTION("""COMPUTED_VALUE"""),"F")</f>
        <v>F</v>
      </c>
      <c r="O114" s="6" t="str">
        <f>IFERROR(__xludf.DUMMYFUNCTION("""COMPUTED_VALUE"""),"ACTIVE")</f>
        <v>ACTIVE</v>
      </c>
      <c r="P114" s="6"/>
      <c r="Q114" s="6" t="str">
        <f>IFERROR(__xludf.DUMMYFUNCTION("""COMPUTED_VALUE"""),"Armenia")</f>
        <v>Armenia</v>
      </c>
      <c r="R114" s="12" t="str">
        <f>IFERROR(__xludf.DUMMYFUNCTION("""COMPUTED_VALUE"""),"Gi6Hr2v7*")</f>
        <v>Gi6Hr2v7*</v>
      </c>
      <c r="S114" s="6" t="str">
        <f>IFERROR(__xludf.DUMMYFUNCTION("""COMPUTED_VALUE"""),"Arcila Rodríguez Elena ")</f>
        <v>Arcila Rodríguez Elena </v>
      </c>
      <c r="T114" s="6" t="str">
        <f>IFERROR(__xludf.DUMMYFUNCTION("""COMPUTED_VALUE"""),"CARLOS ANDRES ARCILA SALAZAR")</f>
        <v>CARLOS ANDRES ARCILA SALAZAR</v>
      </c>
      <c r="U114" s="12" t="str">
        <f>IFERROR(__xludf.DUMMYFUNCTION("""COMPUTED_VALUE"""),"9772354")</f>
        <v>9772354</v>
      </c>
      <c r="V114" s="6">
        <f>IFERROR(__xludf.DUMMYFUNCTION("""COMPUTED_VALUE"""),3.102338158E9)</f>
        <v>3102338158</v>
      </c>
      <c r="W114" s="6" t="str">
        <f>IFERROR(__xludf.DUMMYFUNCTION("""COMPUTED_VALUE"""),"c.arcila@cofinet.com.au")</f>
        <v>c.arcila@cofinet.com.au</v>
      </c>
      <c r="X114" s="12" t="str">
        <f>IFERROR(__xludf.DUMMYFUNCTION("""COMPUTED_VALUE"""),"O+")</f>
        <v>O+</v>
      </c>
      <c r="Y114" s="12" t="str">
        <f>IFERROR(__xludf.DUMMYFUNCTION("""COMPUTED_VALUE"""),"K5")</f>
        <v>K5</v>
      </c>
      <c r="Z114" s="12">
        <f>IFERROR(__xludf.DUMMYFUNCTION("""COMPUTED_VALUE"""),120403.0)</f>
        <v>120403</v>
      </c>
      <c r="AA114" s="6" t="str">
        <f>IFERROR(__xludf.DUMMYFUNCTION("""COMPUTED_VALUE"""),"SURA")</f>
        <v>SURA</v>
      </c>
      <c r="AB114" s="6"/>
      <c r="AC114" s="6"/>
      <c r="AD114" s="12" t="str">
        <f>IFERROR(__xludf.DUMMYFUNCTION("""COMPUTED_VALUE"""),"K5A")</f>
        <v>K5A</v>
      </c>
      <c r="AE114" s="12" t="str">
        <f>IFERROR(__xludf.DUMMYFUNCTION("""COMPUTED_VALUE"""),"1345282405")</f>
        <v>1345282405</v>
      </c>
      <c r="AF114" s="12" t="str">
        <f>IFERROR(__xludf.DUMMYFUNCTION("""COMPUTED_VALUE"""),"1345282405")</f>
        <v>1345282405</v>
      </c>
      <c r="AG114" s="12" t="str">
        <f>IFERROR(__xludf.DUMMYFUNCTION("""COMPUTED_VALUE"""),"María")</f>
        <v>María</v>
      </c>
      <c r="AH114" s="12" t="str">
        <f>IFERROR(__xludf.DUMMYFUNCTION("""COMPUTED_VALUE"""),"Paulina")</f>
        <v>Paulina</v>
      </c>
      <c r="AI114" s="6" t="str">
        <f>IFERROR(__xludf.DUMMYFUNCTION("""COMPUTED_VALUE"""),"Rodríguez Duque")</f>
        <v>Rodríguez Duque</v>
      </c>
      <c r="AJ114" s="6" t="str">
        <f>IFERROR(__xludf.DUMMYFUNCTION("""COMPUTED_VALUE"""),"paulinarodriguezduque@gmail.com")</f>
        <v>paulinarodriguezduque@gmail.com</v>
      </c>
      <c r="AK114" s="6" t="str">
        <f>IFERROR(__xludf.DUMMYFUNCTION("""COMPUTED_VALUE"""),"Comunicacion Social")</f>
        <v>Comunicacion Social</v>
      </c>
      <c r="AL114" s="6"/>
      <c r="AM114" s="12" t="str">
        <f>IFERROR(__xludf.DUMMYFUNCTION("""COMPUTED_VALUE"""),"1053778375")</f>
        <v>1053778375</v>
      </c>
      <c r="AN114" s="12" t="str">
        <f>IFERROR(__xludf.DUMMYFUNCTION("""COMPUTED_VALUE"""),"3182109696")</f>
        <v>3182109696</v>
      </c>
      <c r="AO114" s="6" t="str">
        <f>IFERROR(__xludf.DUMMYFUNCTION("""COMPUTED_VALUE"""),"Madre")</f>
        <v>Madre</v>
      </c>
      <c r="AP114" s="6" t="str">
        <f>IFERROR(__xludf.DUMMYFUNCTION("""COMPUTED_VALUE"""),"Estudiante(s): Arcila Rodríguez")</f>
        <v>Estudiante(s): Arcila Rodríguez</v>
      </c>
      <c r="AQ114" s="6" t="str">
        <f>IFERROR(__xludf.DUMMYFUNCTION("""COMPUTED_VALUE"""),"120403*Gi")</f>
        <v>120403*Gi</v>
      </c>
      <c r="AR114" s="6" t="str">
        <f>IFERROR(__xludf.DUMMYFUNCTION("""COMPUTED_VALUE"""),"Carlos")</f>
        <v>Carlos</v>
      </c>
      <c r="AS114" s="6" t="str">
        <f>IFERROR(__xludf.DUMMYFUNCTION("""COMPUTED_VALUE"""),"Andrés")</f>
        <v>Andrés</v>
      </c>
      <c r="AT114" s="6" t="str">
        <f>IFERROR(__xludf.DUMMYFUNCTION("""COMPUTED_VALUE"""),"Arcila Salazar")</f>
        <v>Arcila Salazar</v>
      </c>
      <c r="AU114" s="6" t="str">
        <f>IFERROR(__xludf.DUMMYFUNCTION("""COMPUTED_VALUE"""),"c.arcila@cofinet.com.au")</f>
        <v>c.arcila@cofinet.com.au</v>
      </c>
      <c r="AV114" s="6" t="str">
        <f>IFERROR(__xludf.DUMMYFUNCTION("""COMPUTED_VALUE"""),"ingeniero civil")</f>
        <v>ingeniero civil</v>
      </c>
      <c r="AW114" s="6" t="str">
        <f>IFERROR(__xludf.DUMMYFUNCTION("""COMPUTED_VALUE"""),"Inversora Arcilaza SAS")</f>
        <v>Inversora Arcilaza SAS</v>
      </c>
      <c r="AX114" s="12" t="str">
        <f>IFERROR(__xludf.DUMMYFUNCTION("""COMPUTED_VALUE"""),"9772354")</f>
        <v>9772354</v>
      </c>
      <c r="AY114" s="12">
        <f>IFERROR(__xludf.DUMMYFUNCTION("""COMPUTED_VALUE"""),3.102338158E9)</f>
        <v>3102338158</v>
      </c>
      <c r="AZ114" s="6" t="str">
        <f>IFERROR(__xludf.DUMMYFUNCTION("""COMPUTED_VALUE"""),"Padre")</f>
        <v>Padre</v>
      </c>
      <c r="BA114" s="6"/>
      <c r="BB114" s="6"/>
      <c r="BC114" s="6"/>
      <c r="BD114" s="12" t="str">
        <f>IFERROR(__xludf.DUMMYFUNCTION("""COMPUTED_VALUE"""),"arc0003")</f>
        <v>arc0003</v>
      </c>
      <c r="BE114" s="6"/>
      <c r="BF114" s="6"/>
      <c r="BG114" s="6">
        <f>IFERROR(__xludf.DUMMYFUNCTION("""COMPUTED_VALUE"""),2039.0)</f>
        <v>2039</v>
      </c>
      <c r="BH114" s="15">
        <f>IFERROR(__xludf.DUMMYFUNCTION("""COMPUTED_VALUE"""),46209.870254629626)</f>
        <v>46209.87025</v>
      </c>
      <c r="BI114" s="6">
        <f>IFERROR(__xludf.DUMMYFUNCTION("""COMPUTED_VALUE"""),113.0)</f>
        <v>113</v>
      </c>
      <c r="BJ114" s="6"/>
      <c r="BK114" s="6"/>
      <c r="BL114" s="6" t="str">
        <f>IFERROR(__xludf.DUMMYFUNCTION("""COMPUTED_VALUE"""),"GISARC0003")</f>
        <v>GISARC0003</v>
      </c>
      <c r="BM114" s="6"/>
      <c r="BN114" s="6"/>
      <c r="BO114" s="6" t="str">
        <f>IFERROR(__xludf.DUMMYFUNCTION("""COMPUTED_VALUE"""),"XC_K5_Polimotor")</f>
        <v>XC_K5_Polimotor</v>
      </c>
      <c r="BP114" s="6"/>
      <c r="BQ114" s="6"/>
      <c r="BR114" s="6" t="str">
        <f>IFERROR(__xludf.DUMMYFUNCTION("""COMPUTED_VALUE"""),"XC_K5_Polimotor")</f>
        <v>XC_K5_Polimotor</v>
      </c>
      <c r="BS114" s="6"/>
      <c r="BT114" s="6"/>
      <c r="BU114" s="6" t="str">
        <f>IFERROR(__xludf.DUMMYFUNCTION("""COMPUTED_VALUE"""),"SI")</f>
        <v>SI</v>
      </c>
      <c r="BV114" s="6" t="str">
        <f>IFERROR(__xludf.DUMMYFUNCTION("""COMPUTED_VALUE"""),"elena.a2039")</f>
        <v>elena.a2039</v>
      </c>
      <c r="BW114" s="6"/>
      <c r="BX114" s="6"/>
      <c r="BY114" s="6"/>
      <c r="BZ114" s="6"/>
    </row>
    <row r="115">
      <c r="A115" s="12">
        <f>IFERROR(__xludf.DUMMYFUNCTION("""COMPUTED_VALUE"""),1.092865068E9)</f>
        <v>1092865068</v>
      </c>
      <c r="B115" s="6">
        <f>IFERROR(__xludf.DUMMYFUNCTION("""COMPUTED_VALUE"""),4.0)</f>
        <v>4</v>
      </c>
      <c r="C115" s="6" t="str">
        <f>IFERROR(__xludf.DUMMYFUNCTION("""COMPUTED_VALUE"""),"Rafael")</f>
        <v>Rafael</v>
      </c>
      <c r="D115" s="6"/>
      <c r="E115" s="6" t="str">
        <f>IFERROR(__xludf.DUMMYFUNCTION("""COMPUTED_VALUE"""),"Bejarano Hernández")</f>
        <v>Bejarano Hernández</v>
      </c>
      <c r="F115" s="6" t="str">
        <f>IFERROR(__xludf.DUMMYFUNCTION("""COMPUTED_VALUE"""),"Calle 50 norte 15-01 casa 11 mz 5 - Los cedros")</f>
        <v>Calle 50 norte 15-01 casa 11 mz 5 - Los cedros</v>
      </c>
      <c r="G115" s="12">
        <f>IFERROR(__xludf.DUMMYFUNCTION("""COMPUTED_VALUE"""),2021.0)</f>
        <v>2021</v>
      </c>
      <c r="H115" s="12" t="str">
        <f>IFERROR(__xludf.DUMMYFUNCTION("""COMPUTED_VALUE"""),"Mayo")</f>
        <v>Mayo</v>
      </c>
      <c r="I115" s="12">
        <f>IFERROR(__xludf.DUMMYFUNCTION("""COMPUTED_VALUE"""),10.0)</f>
        <v>10</v>
      </c>
      <c r="J115" s="6"/>
      <c r="K115" s="12" t="str">
        <f>IFERROR(__xludf.DUMMYFUNCTION("""COMPUTED_VALUE"""),"rafael.b2039@gi.edu.co")</f>
        <v>rafael.b2039@gi.edu.co</v>
      </c>
      <c r="L115" s="6" t="str">
        <f>IFERROR(__xludf.DUMMYFUNCTION("""COMPUTED_VALUE"""),"RC")</f>
        <v>RC</v>
      </c>
      <c r="M115" s="6" t="str">
        <f>IFERROR(__xludf.DUMMYFUNCTION("""COMPUTED_VALUE"""),"Armenia")</f>
        <v>Armenia</v>
      </c>
      <c r="N115" s="6" t="str">
        <f>IFERROR(__xludf.DUMMYFUNCTION("""COMPUTED_VALUE"""),"M")</f>
        <v>M</v>
      </c>
      <c r="O115" s="6" t="str">
        <f>IFERROR(__xludf.DUMMYFUNCTION("""COMPUTED_VALUE"""),"ACTIVE")</f>
        <v>ACTIVE</v>
      </c>
      <c r="P115" s="6"/>
      <c r="Q115" s="6"/>
      <c r="R115" s="12" t="str">
        <f>IFERROR(__xludf.DUMMYFUNCTION("""COMPUTED_VALUE"""),"GiL9Dh5R*")</f>
        <v>GiL9Dh5R*</v>
      </c>
      <c r="S115" s="6" t="str">
        <f>IFERROR(__xludf.DUMMYFUNCTION("""COMPUTED_VALUE"""),"Bejarano Hernández Rafael ")</f>
        <v>Bejarano Hernández Rafael </v>
      </c>
      <c r="T115" s="6" t="str">
        <f>IFERROR(__xludf.DUMMYFUNCTION("""COMPUTED_VALUE"""),"JAIME ANDRES BEJARANO LOPEZ")</f>
        <v>JAIME ANDRES BEJARANO LOPEZ</v>
      </c>
      <c r="U115" s="12" t="str">
        <f>IFERROR(__xludf.DUMMYFUNCTION("""COMPUTED_VALUE"""),"1094902867")</f>
        <v>1094902867</v>
      </c>
      <c r="V115" s="6">
        <f>IFERROR(__xludf.DUMMYFUNCTION("""COMPUTED_VALUE"""),3.137697997E9)</f>
        <v>3137697997</v>
      </c>
      <c r="W115" s="6" t="str">
        <f>IFERROR(__xludf.DUMMYFUNCTION("""COMPUTED_VALUE"""),"jaimeandresbejarano@gmail.com")</f>
        <v>jaimeandresbejarano@gmail.com</v>
      </c>
      <c r="X115" s="12" t="str">
        <f>IFERROR(__xludf.DUMMYFUNCTION("""COMPUTED_VALUE"""),"O+")</f>
        <v>O+</v>
      </c>
      <c r="Y115" s="12" t="str">
        <f>IFERROR(__xludf.DUMMYFUNCTION("""COMPUTED_VALUE"""),"K5")</f>
        <v>K5</v>
      </c>
      <c r="Z115" s="6">
        <f>IFERROR(__xludf.DUMMYFUNCTION("""COMPUTED_VALUE"""),120614.0)</f>
        <v>120614</v>
      </c>
      <c r="AA115" s="6"/>
      <c r="AB115" s="6"/>
      <c r="AC115" s="12" t="str">
        <f>IFERROR(__xludf.DUMMYFUNCTION("""COMPUTED_VALUE"""),"Mani, lacteos")</f>
        <v>Mani, lacteos</v>
      </c>
      <c r="AD115" s="12" t="str">
        <f>IFERROR(__xludf.DUMMYFUNCTION("""COMPUTED_VALUE"""),"K5A")</f>
        <v>K5A</v>
      </c>
      <c r="AE115" s="12" t="str">
        <f>IFERROR(__xludf.DUMMYFUNCTION("""COMPUTED_VALUE"""),"1345282612")</f>
        <v>1345282612</v>
      </c>
      <c r="AF115" s="12" t="str">
        <f>IFERROR(__xludf.DUMMYFUNCTION("""COMPUTED_VALUE"""),"1345282612")</f>
        <v>1345282612</v>
      </c>
      <c r="AG115" s="12" t="str">
        <f>IFERROR(__xludf.DUMMYFUNCTION("""COMPUTED_VALUE"""),"Tatiana")</f>
        <v>Tatiana</v>
      </c>
      <c r="AH115" s="6"/>
      <c r="AI115" s="6" t="str">
        <f>IFERROR(__xludf.DUMMYFUNCTION("""COMPUTED_VALUE"""),"Hernández Mejía")</f>
        <v>Hernández Mejía</v>
      </c>
      <c r="AJ115" s="6" t="str">
        <f>IFERROR(__xludf.DUMMYFUNCTION("""COMPUTED_VALUE"""),"tatianahernandezmejia@gmail.com")</f>
        <v>tatianahernandezmejia@gmail.com</v>
      </c>
      <c r="AK115" s="6"/>
      <c r="AL115" s="6"/>
      <c r="AM115" s="12" t="str">
        <f>IFERROR(__xludf.DUMMYFUNCTION("""COMPUTED_VALUE"""),"1152435233")</f>
        <v>1152435233</v>
      </c>
      <c r="AN115" s="12" t="str">
        <f>IFERROR(__xludf.DUMMYFUNCTION("""COMPUTED_VALUE"""),"3155886153")</f>
        <v>3155886153</v>
      </c>
      <c r="AO115" s="6" t="str">
        <f>IFERROR(__xludf.DUMMYFUNCTION("""COMPUTED_VALUE"""),"Madre")</f>
        <v>Madre</v>
      </c>
      <c r="AP115" s="12" t="str">
        <f>IFERROR(__xludf.DUMMYFUNCTION("""COMPUTED_VALUE"""),"Estudiante(s): Bejarano Hernández")</f>
        <v>Estudiante(s): Bejarano Hernández</v>
      </c>
      <c r="AQ115" s="6" t="str">
        <f>IFERROR(__xludf.DUMMYFUNCTION("""COMPUTED_VALUE"""),"120614*Gi")</f>
        <v>120614*Gi</v>
      </c>
      <c r="AR115" s="6" t="str">
        <f>IFERROR(__xludf.DUMMYFUNCTION("""COMPUTED_VALUE"""),"Jaime")</f>
        <v>Jaime</v>
      </c>
      <c r="AS115" s="6" t="str">
        <f>IFERROR(__xludf.DUMMYFUNCTION("""COMPUTED_VALUE"""),"Andrés")</f>
        <v>Andrés</v>
      </c>
      <c r="AT115" s="6" t="str">
        <f>IFERROR(__xludf.DUMMYFUNCTION("""COMPUTED_VALUE"""),"Bejarano López")</f>
        <v>Bejarano López</v>
      </c>
      <c r="AU115" s="6" t="str">
        <f>IFERROR(__xludf.DUMMYFUNCTION("""COMPUTED_VALUE"""),"jaimeandresbejarano@gmail.com")</f>
        <v>jaimeandresbejarano@gmail.com</v>
      </c>
      <c r="AV115" s="6" t="str">
        <f>IFERROR(__xludf.DUMMYFUNCTION("""COMPUTED_VALUE"""),"Arquitecto")</f>
        <v>Arquitecto</v>
      </c>
      <c r="AW115" s="6"/>
      <c r="AX115" s="12" t="str">
        <f>IFERROR(__xludf.DUMMYFUNCTION("""COMPUTED_VALUE"""),"1094902867")</f>
        <v>1094902867</v>
      </c>
      <c r="AY115" s="12" t="str">
        <f>IFERROR(__xludf.DUMMYFUNCTION("""COMPUTED_VALUE"""),"3137697997")</f>
        <v>3137697997</v>
      </c>
      <c r="AZ115" s="6" t="str">
        <f>IFERROR(__xludf.DUMMYFUNCTION("""COMPUTED_VALUE"""),"Padre")</f>
        <v>Padre</v>
      </c>
      <c r="BA115" s="6"/>
      <c r="BB115" s="6"/>
      <c r="BC115" s="6"/>
      <c r="BD115" s="12" t="str">
        <f>IFERROR(__xludf.DUMMYFUNCTION("""COMPUTED_VALUE"""),"bej0001")</f>
        <v>bej0001</v>
      </c>
      <c r="BE115" s="6" t="str">
        <f>IFERROR(__xludf.DUMMYFUNCTION("""COMPUTED_VALUE"""),"NUEVO(A)")</f>
        <v>NUEVO(A)</v>
      </c>
      <c r="BF115" s="6"/>
      <c r="BG115" s="6">
        <f>IFERROR(__xludf.DUMMYFUNCTION("""COMPUTED_VALUE"""),2039.0)</f>
        <v>2039</v>
      </c>
      <c r="BH115" s="15">
        <f>IFERROR(__xludf.DUMMYFUNCTION("""COMPUTED_VALUE"""),46197.877488425926)</f>
        <v>46197.87749</v>
      </c>
      <c r="BI115" s="6">
        <f>IFERROR(__xludf.DUMMYFUNCTION("""COMPUTED_VALUE"""),114.0)</f>
        <v>114</v>
      </c>
      <c r="BJ115" s="6"/>
      <c r="BK115" s="6"/>
      <c r="BL115" s="6" t="str">
        <f>IFERROR(__xludf.DUMMYFUNCTION("""COMPUTED_VALUE"""),"GISBEJ0001")</f>
        <v>GISBEJ0001</v>
      </c>
      <c r="BM115" s="6"/>
      <c r="BN115" s="6"/>
      <c r="BO115" s="6"/>
      <c r="BP115" s="6"/>
      <c r="BQ115" s="6"/>
      <c r="BR115" s="6"/>
      <c r="BS115" s="6"/>
      <c r="BT115" s="6"/>
      <c r="BU115" s="6" t="str">
        <f>IFERROR(__xludf.DUMMYFUNCTION("""COMPUTED_VALUE"""),"SI")</f>
        <v>SI</v>
      </c>
      <c r="BV115" s="12" t="str">
        <f>IFERROR(__xludf.DUMMYFUNCTION("""COMPUTED_VALUE"""),"rafael.b2039")</f>
        <v>rafael.b2039</v>
      </c>
      <c r="BW115" s="6"/>
      <c r="BX115" s="6"/>
      <c r="BY115" s="6"/>
      <c r="BZ115" s="6"/>
    </row>
    <row r="116">
      <c r="A116" s="12">
        <f>IFERROR(__xludf.DUMMYFUNCTION("""COMPUTED_VALUE"""),1.054892897E9)</f>
        <v>1054892897</v>
      </c>
      <c r="B116" s="6">
        <f>IFERROR(__xludf.DUMMYFUNCTION("""COMPUTED_VALUE"""),5.0)</f>
        <v>5</v>
      </c>
      <c r="C116" s="6" t="str">
        <f>IFERROR(__xludf.DUMMYFUNCTION("""COMPUTED_VALUE"""),"Belén")</f>
        <v>Belén</v>
      </c>
      <c r="D116" s="6"/>
      <c r="E116" s="6" t="str">
        <f>IFERROR(__xludf.DUMMYFUNCTION("""COMPUTED_VALUE"""),"Botero García")</f>
        <v>Botero García</v>
      </c>
      <c r="F116" s="6" t="str">
        <f>IFERROR(__xludf.DUMMYFUNCTION("""COMPUTED_VALUE"""),"Conjunto Residencial Pontevedra Casa 28 - Km 8 Vía El Caimo El Campestre Via Panamericana Zip 630008")</f>
        <v>Conjunto Residencial Pontevedra Casa 28 - Km 8 Vía El Caimo El Campestre Via Panamericana Zip 630008</v>
      </c>
      <c r="G116" s="12" t="str">
        <f>IFERROR(__xludf.DUMMYFUNCTION("""COMPUTED_VALUE"""),"2021")</f>
        <v>2021</v>
      </c>
      <c r="H116" s="6" t="str">
        <f>IFERROR(__xludf.DUMMYFUNCTION("""COMPUTED_VALUE"""),"Junio")</f>
        <v>Junio</v>
      </c>
      <c r="I116" s="12" t="str">
        <f>IFERROR(__xludf.DUMMYFUNCTION("""COMPUTED_VALUE"""),"14")</f>
        <v>14</v>
      </c>
      <c r="J116" s="6" t="str">
        <f>IFERROR(__xludf.DUMMYFUNCTION("""COMPUTED_VALUE"""),"Manizales")</f>
        <v>Manizales</v>
      </c>
      <c r="K116" s="6" t="str">
        <f>IFERROR(__xludf.DUMMYFUNCTION("""COMPUTED_VALUE"""),"belen.b2039@gi.edu.co")</f>
        <v>belen.b2039@gi.edu.co</v>
      </c>
      <c r="L116" s="6" t="str">
        <f>IFERROR(__xludf.DUMMYFUNCTION("""COMPUTED_VALUE"""),"RC")</f>
        <v>RC</v>
      </c>
      <c r="M116" s="6" t="str">
        <f>IFERROR(__xludf.DUMMYFUNCTION("""COMPUTED_VALUE"""),"Manizales")</f>
        <v>Manizales</v>
      </c>
      <c r="N116" s="6" t="str">
        <f>IFERROR(__xludf.DUMMYFUNCTION("""COMPUTED_VALUE"""),"F")</f>
        <v>F</v>
      </c>
      <c r="O116" s="6" t="str">
        <f>IFERROR(__xludf.DUMMYFUNCTION("""COMPUTED_VALUE"""),"ACTIVE")</f>
        <v>ACTIVE</v>
      </c>
      <c r="P116" s="6"/>
      <c r="Q116" s="6" t="str">
        <f>IFERROR(__xludf.DUMMYFUNCTION("""COMPUTED_VALUE"""),"Armenia")</f>
        <v>Armenia</v>
      </c>
      <c r="R116" s="12" t="str">
        <f>IFERROR(__xludf.DUMMYFUNCTION("""COMPUTED_VALUE"""),"Gigtru8*")</f>
        <v>Gigtru8*</v>
      </c>
      <c r="S116" s="6" t="str">
        <f>IFERROR(__xludf.DUMMYFUNCTION("""COMPUTED_VALUE"""),"Botero García Belén ")</f>
        <v>Botero García Belén </v>
      </c>
      <c r="T116" s="6" t="str">
        <f>IFERROR(__xludf.DUMMYFUNCTION("""COMPUTED_VALUE"""),"MARIA JOSE GARCIA SUAREZ")</f>
        <v>MARIA JOSE GARCIA SUAREZ</v>
      </c>
      <c r="U116" s="12" t="str">
        <f>IFERROR(__xludf.DUMMYFUNCTION("""COMPUTED_VALUE"""),"1140822669")</f>
        <v>1140822669</v>
      </c>
      <c r="V116" s="6">
        <f>IFERROR(__xludf.DUMMYFUNCTION("""COMPUTED_VALUE"""),3.21538099E9)</f>
        <v>3215380990</v>
      </c>
      <c r="W116" s="6" t="str">
        <f>IFERROR(__xludf.DUMMYFUNCTION("""COMPUTED_VALUE"""),"mjgarcia@emelegal.co")</f>
        <v>mjgarcia@emelegal.co</v>
      </c>
      <c r="X116" s="12" t="str">
        <f>IFERROR(__xludf.DUMMYFUNCTION("""COMPUTED_VALUE"""),"A+")</f>
        <v>A+</v>
      </c>
      <c r="Y116" s="12" t="str">
        <f>IFERROR(__xludf.DUMMYFUNCTION("""COMPUTED_VALUE"""),"K5")</f>
        <v>K5</v>
      </c>
      <c r="Z116" s="12">
        <f>IFERROR(__xludf.DUMMYFUNCTION("""COMPUTED_VALUE"""),120367.0)</f>
        <v>120367</v>
      </c>
      <c r="AA116" s="6" t="str">
        <f>IFERROR(__xludf.DUMMYFUNCTION("""COMPUTED_VALUE"""),"SURA")</f>
        <v>SURA</v>
      </c>
      <c r="AB116" s="6"/>
      <c r="AC116" s="12" t="str">
        <f>IFERROR(__xludf.DUMMYFUNCTION("""COMPUTED_VALUE"""),"Por identificar (Dermatitis Atópica)")</f>
        <v>Por identificar (Dermatitis Atópica)</v>
      </c>
      <c r="AD116" s="12" t="str">
        <f>IFERROR(__xludf.DUMMYFUNCTION("""COMPUTED_VALUE"""),"K5A")</f>
        <v>K5A</v>
      </c>
      <c r="AE116" s="12">
        <f>IFERROR(__xludf.DUMMYFUNCTION("""COMPUTED_VALUE"""),1.345282363E9)</f>
        <v>1345282363</v>
      </c>
      <c r="AF116" s="12" t="str">
        <f>IFERROR(__xludf.DUMMYFUNCTION("""COMPUTED_VALUE"""),"1345282363")</f>
        <v>1345282363</v>
      </c>
      <c r="AG116" s="12" t="str">
        <f>IFERROR(__xludf.DUMMYFUNCTION("""COMPUTED_VALUE"""),"María")</f>
        <v>María</v>
      </c>
      <c r="AH116" s="12" t="str">
        <f>IFERROR(__xludf.DUMMYFUNCTION("""COMPUTED_VALUE"""),"José")</f>
        <v>José</v>
      </c>
      <c r="AI116" s="6" t="str">
        <f>IFERROR(__xludf.DUMMYFUNCTION("""COMPUTED_VALUE"""),"García Suárez")</f>
        <v>García Suárez</v>
      </c>
      <c r="AJ116" s="6" t="str">
        <f>IFERROR(__xludf.DUMMYFUNCTION("""COMPUTED_VALUE"""),"mjgarcia@emelegal.co")</f>
        <v>mjgarcia@emelegal.co</v>
      </c>
      <c r="AK116" s="6" t="str">
        <f>IFERROR(__xludf.DUMMYFUNCTION("""COMPUTED_VALUE"""),"Abogada")</f>
        <v>Abogada</v>
      </c>
      <c r="AL116" s="6" t="str">
        <f>IFERROR(__xludf.DUMMYFUNCTION("""COMPUTED_VALUE"""),"EME Legal")</f>
        <v>EME Legal</v>
      </c>
      <c r="AM116" s="12" t="str">
        <f>IFERROR(__xludf.DUMMYFUNCTION("""COMPUTED_VALUE"""),"1140822669")</f>
        <v>1140822669</v>
      </c>
      <c r="AN116" s="12" t="str">
        <f>IFERROR(__xludf.DUMMYFUNCTION("""COMPUTED_VALUE"""),"3215380990")</f>
        <v>3215380990</v>
      </c>
      <c r="AO116" s="6" t="str">
        <f>IFERROR(__xludf.DUMMYFUNCTION("""COMPUTED_VALUE"""),"Madre")</f>
        <v>Madre</v>
      </c>
      <c r="AP116" s="6" t="str">
        <f>IFERROR(__xludf.DUMMYFUNCTION("""COMPUTED_VALUE"""),"Estudiante(s): Botero Garcia")</f>
        <v>Estudiante(s): Botero Garcia</v>
      </c>
      <c r="AQ116" s="6" t="str">
        <f>IFERROR(__xludf.DUMMYFUNCTION("""COMPUTED_VALUE"""),"120367*Gi")</f>
        <v>120367*Gi</v>
      </c>
      <c r="AR116" s="6" t="str">
        <f>IFERROR(__xludf.DUMMYFUNCTION("""COMPUTED_VALUE"""),"Martín")</f>
        <v>Martín</v>
      </c>
      <c r="AS116" s="6"/>
      <c r="AT116" s="6" t="str">
        <f>IFERROR(__xludf.DUMMYFUNCTION("""COMPUTED_VALUE"""),"Botero Villegas")</f>
        <v>Botero Villegas</v>
      </c>
      <c r="AU116" s="6" t="str">
        <f>IFERROR(__xludf.DUMMYFUNCTION("""COMPUTED_VALUE"""),"martinbotero@hotmail.com")</f>
        <v>martinbotero@hotmail.com</v>
      </c>
      <c r="AV116" s="6" t="str">
        <f>IFERROR(__xludf.DUMMYFUNCTION("""COMPUTED_VALUE"""),"Administrador")</f>
        <v>Administrador</v>
      </c>
      <c r="AW116" s="6" t="str">
        <f>IFERROR(__xludf.DUMMYFUNCTION("""COMPUTED_VALUE"""),"Lico Distribuciones SAS")</f>
        <v>Lico Distribuciones SAS</v>
      </c>
      <c r="AX116" s="12" t="str">
        <f>IFERROR(__xludf.DUMMYFUNCTION("""COMPUTED_VALUE"""),"1053790482")</f>
        <v>1053790482</v>
      </c>
      <c r="AY116" s="12">
        <f>IFERROR(__xludf.DUMMYFUNCTION("""COMPUTED_VALUE"""),3.14822143E9)</f>
        <v>3148221430</v>
      </c>
      <c r="AZ116" s="6" t="str">
        <f>IFERROR(__xludf.DUMMYFUNCTION("""COMPUTED_VALUE"""),"Padre")</f>
        <v>Padre</v>
      </c>
      <c r="BA116" s="6"/>
      <c r="BB116" s="6"/>
      <c r="BC116" s="6"/>
      <c r="BD116" s="12" t="str">
        <f>IFERROR(__xludf.DUMMYFUNCTION("""COMPUTED_VALUE"""),"bot0021")</f>
        <v>bot0021</v>
      </c>
      <c r="BE116" s="6"/>
      <c r="BF116" s="6"/>
      <c r="BG116" s="6">
        <f>IFERROR(__xludf.DUMMYFUNCTION("""COMPUTED_VALUE"""),2039.0)</f>
        <v>2039</v>
      </c>
      <c r="BH116" s="15">
        <f>IFERROR(__xludf.DUMMYFUNCTION("""COMPUTED_VALUE"""),46210.807662037034)</f>
        <v>46210.80766</v>
      </c>
      <c r="BI116" s="6">
        <f>IFERROR(__xludf.DUMMYFUNCTION("""COMPUTED_VALUE"""),115.0)</f>
        <v>115</v>
      </c>
      <c r="BJ116" s="6"/>
      <c r="BK116" s="6"/>
      <c r="BL116" s="6" t="str">
        <f>IFERROR(__xludf.DUMMYFUNCTION("""COMPUTED_VALUE"""),"GISBOT0021")</f>
        <v>GISBOT0021</v>
      </c>
      <c r="BM116" s="6"/>
      <c r="BN116" s="6"/>
      <c r="BO116" s="6"/>
      <c r="BP116" s="6"/>
      <c r="BQ116" s="6"/>
      <c r="BR116" s="6"/>
      <c r="BS116" s="6"/>
      <c r="BT116" s="6"/>
      <c r="BU116" s="6" t="str">
        <f>IFERROR(__xludf.DUMMYFUNCTION("""COMPUTED_VALUE"""),"SI")</f>
        <v>SI</v>
      </c>
      <c r="BV116" s="6" t="str">
        <f>IFERROR(__xludf.DUMMYFUNCTION("""COMPUTED_VALUE"""),"belen.b2039")</f>
        <v>belen.b2039</v>
      </c>
      <c r="BW116" s="6"/>
      <c r="BX116" s="6"/>
      <c r="BY116" s="6"/>
      <c r="BZ116" s="6"/>
    </row>
    <row r="117">
      <c r="A117" s="12">
        <f>IFERROR(__xludf.DUMMYFUNCTION("""COMPUTED_VALUE"""),1.025157816E9)</f>
        <v>1025157816</v>
      </c>
      <c r="B117" s="6">
        <f>IFERROR(__xludf.DUMMYFUNCTION("""COMPUTED_VALUE"""),6.0)</f>
        <v>6</v>
      </c>
      <c r="C117" s="6" t="str">
        <f>IFERROR(__xludf.DUMMYFUNCTION("""COMPUTED_VALUE"""),"Fidel")</f>
        <v>Fidel</v>
      </c>
      <c r="D117" s="6"/>
      <c r="E117" s="6" t="str">
        <f>IFERROR(__xludf.DUMMYFUNCTION("""COMPUTED_VALUE"""),"Duque París")</f>
        <v>Duque París</v>
      </c>
      <c r="F117" s="6" t="str">
        <f>IFERROR(__xludf.DUMMYFUNCTION("""COMPUTED_VALUE"""),"Bosques del Edén - Eden")</f>
        <v>Bosques del Edén - Eden</v>
      </c>
      <c r="G117" s="12">
        <f>IFERROR(__xludf.DUMMYFUNCTION("""COMPUTED_VALUE"""),2021.0)</f>
        <v>2021</v>
      </c>
      <c r="H117" s="12" t="str">
        <f>IFERROR(__xludf.DUMMYFUNCTION("""COMPUTED_VALUE"""),"Junio")</f>
        <v>Junio</v>
      </c>
      <c r="I117" s="12">
        <f>IFERROR(__xludf.DUMMYFUNCTION("""COMPUTED_VALUE"""),12.0)</f>
        <v>12</v>
      </c>
      <c r="J117" s="6"/>
      <c r="K117" s="12" t="str">
        <f>IFERROR(__xludf.DUMMYFUNCTION("""COMPUTED_VALUE"""),"fidel.d2039@gi.edu.co")</f>
        <v>fidel.d2039@gi.edu.co</v>
      </c>
      <c r="L117" s="6" t="str">
        <f>IFERROR(__xludf.DUMMYFUNCTION("""COMPUTED_VALUE"""),"RC")</f>
        <v>RC</v>
      </c>
      <c r="M117" s="6" t="str">
        <f>IFERROR(__xludf.DUMMYFUNCTION("""COMPUTED_VALUE"""),"Bogotá D.C.")</f>
        <v>Bogotá D.C.</v>
      </c>
      <c r="N117" s="6" t="str">
        <f>IFERROR(__xludf.DUMMYFUNCTION("""COMPUTED_VALUE"""),"M")</f>
        <v>M</v>
      </c>
      <c r="O117" s="6" t="str">
        <f>IFERROR(__xludf.DUMMYFUNCTION("""COMPUTED_VALUE"""),"ACTIVE")</f>
        <v>ACTIVE</v>
      </c>
      <c r="P117" s="6"/>
      <c r="Q117" s="6"/>
      <c r="R117" s="12" t="str">
        <f>IFERROR(__xludf.DUMMYFUNCTION("""COMPUTED_VALUE"""),"GiK3Yq6N*")</f>
        <v>GiK3Yq6N*</v>
      </c>
      <c r="S117" s="6" t="str">
        <f>IFERROR(__xludf.DUMMYFUNCTION("""COMPUTED_VALUE"""),"Duque París Fidel ")</f>
        <v>Duque París Fidel </v>
      </c>
      <c r="T117" s="6" t="str">
        <f>IFERROR(__xludf.DUMMYFUNCTION("""COMPUTED_VALUE"""),"JUANA PARIS BENAVIDES")</f>
        <v>JUANA PARIS BENAVIDES</v>
      </c>
      <c r="U117" s="12" t="str">
        <f>IFERROR(__xludf.DUMMYFUNCTION("""COMPUTED_VALUE"""),"1020757014")</f>
        <v>1020757014</v>
      </c>
      <c r="V117" s="6">
        <f>IFERROR(__xludf.DUMMYFUNCTION("""COMPUTED_VALUE"""),3.208019805E9)</f>
        <v>3208019805</v>
      </c>
      <c r="W117" s="6" t="str">
        <f>IFERROR(__xludf.DUMMYFUNCTION("""COMPUTED_VALUE"""),"juanaparisb@gmail.com")</f>
        <v>juanaparisb@gmail.com</v>
      </c>
      <c r="X117" s="12" t="str">
        <f>IFERROR(__xludf.DUMMYFUNCTION("""COMPUTED_VALUE"""),"O+")</f>
        <v>O+</v>
      </c>
      <c r="Y117" s="12" t="str">
        <f>IFERROR(__xludf.DUMMYFUNCTION("""COMPUTED_VALUE"""),"K5")</f>
        <v>K5</v>
      </c>
      <c r="Z117" s="6">
        <f>IFERROR(__xludf.DUMMYFUNCTION("""COMPUTED_VALUE"""),120613.0)</f>
        <v>120613</v>
      </c>
      <c r="AA117" s="6" t="str">
        <f>IFERROR(__xludf.DUMMYFUNCTION("""COMPUTED_VALUE"""),"ALIANSALUD")</f>
        <v>ALIANSALUD</v>
      </c>
      <c r="AB117" s="6"/>
      <c r="AC117" s="6"/>
      <c r="AD117" s="12" t="str">
        <f>IFERROR(__xludf.DUMMYFUNCTION("""COMPUTED_VALUE"""),"K5A")</f>
        <v>K5A</v>
      </c>
      <c r="AE117" s="12" t="str">
        <f>IFERROR(__xludf.DUMMYFUNCTION("""COMPUTED_VALUE"""),"1345282610")</f>
        <v>1345282610</v>
      </c>
      <c r="AF117" s="12" t="str">
        <f>IFERROR(__xludf.DUMMYFUNCTION("""COMPUTED_VALUE"""),"1345282610")</f>
        <v>1345282610</v>
      </c>
      <c r="AG117" s="12" t="str">
        <f>IFERROR(__xludf.DUMMYFUNCTION("""COMPUTED_VALUE"""),"Juana")</f>
        <v>Juana</v>
      </c>
      <c r="AH117" s="6"/>
      <c r="AI117" s="6" t="str">
        <f>IFERROR(__xludf.DUMMYFUNCTION("""COMPUTED_VALUE"""),"París Benavides")</f>
        <v>París Benavides</v>
      </c>
      <c r="AJ117" s="6" t="str">
        <f>IFERROR(__xludf.DUMMYFUNCTION("""COMPUTED_VALUE"""),"juanaparisb@gmail.com")</f>
        <v>juanaparisb@gmail.com</v>
      </c>
      <c r="AK117" s="6" t="str">
        <f>IFERROR(__xludf.DUMMYFUNCTION("""COMPUTED_VALUE"""),"Administradora de empresas")</f>
        <v>Administradora de empresas</v>
      </c>
      <c r="AL117" s="6"/>
      <c r="AM117" s="12" t="str">
        <f>IFERROR(__xludf.DUMMYFUNCTION("""COMPUTED_VALUE"""),"1020757014")</f>
        <v>1020757014</v>
      </c>
      <c r="AN117" s="12" t="str">
        <f>IFERROR(__xludf.DUMMYFUNCTION("""COMPUTED_VALUE"""),"3208019805")</f>
        <v>3208019805</v>
      </c>
      <c r="AO117" s="6" t="str">
        <f>IFERROR(__xludf.DUMMYFUNCTION("""COMPUTED_VALUE"""),"Madre")</f>
        <v>Madre</v>
      </c>
      <c r="AP117" s="6" t="str">
        <f>IFERROR(__xludf.DUMMYFUNCTION("""COMPUTED_VALUE"""),"Estudiante(s): Duque París")</f>
        <v>Estudiante(s): Duque París</v>
      </c>
      <c r="AQ117" s="6" t="str">
        <f>IFERROR(__xludf.DUMMYFUNCTION("""COMPUTED_VALUE"""),"120613*Gi")</f>
        <v>120613*Gi</v>
      </c>
      <c r="AR117" s="6" t="str">
        <f>IFERROR(__xludf.DUMMYFUNCTION("""COMPUTED_VALUE"""),"Rodrigo")</f>
        <v>Rodrigo</v>
      </c>
      <c r="AS117" s="6" t="str">
        <f>IFERROR(__xludf.DUMMYFUNCTION("""COMPUTED_VALUE"""),"Andrés")</f>
        <v>Andrés</v>
      </c>
      <c r="AT117" s="6" t="str">
        <f>IFERROR(__xludf.DUMMYFUNCTION("""COMPUTED_VALUE"""),"Duque Quiros")</f>
        <v>Duque Quiros</v>
      </c>
      <c r="AU117" s="6" t="str">
        <f>IFERROR(__xludf.DUMMYFUNCTION("""COMPUTED_VALUE"""),"rduqueq@gmail.com")</f>
        <v>rduqueq@gmail.com</v>
      </c>
      <c r="AV117" s="6" t="str">
        <f>IFERROR(__xludf.DUMMYFUNCTION("""COMPUTED_VALUE"""),"Economista")</f>
        <v>Economista</v>
      </c>
      <c r="AW117" s="6"/>
      <c r="AX117" s="12" t="str">
        <f>IFERROR(__xludf.DUMMYFUNCTION("""COMPUTED_VALUE"""),"80871371")</f>
        <v>80871371</v>
      </c>
      <c r="AY117" s="12" t="str">
        <f>IFERROR(__xludf.DUMMYFUNCTION("""COMPUTED_VALUE"""),"3223661813")</f>
        <v>3223661813</v>
      </c>
      <c r="AZ117" s="6" t="str">
        <f>IFERROR(__xludf.DUMMYFUNCTION("""COMPUTED_VALUE"""),"Padre")</f>
        <v>Padre</v>
      </c>
      <c r="BA117" s="6"/>
      <c r="BB117" s="6"/>
      <c r="BC117" s="6"/>
      <c r="BD117" s="12" t="str">
        <f>IFERROR(__xludf.DUMMYFUNCTION("""COMPUTED_VALUE"""),"duq0008")</f>
        <v>duq0008</v>
      </c>
      <c r="BE117" s="6" t="str">
        <f>IFERROR(__xludf.DUMMYFUNCTION("""COMPUTED_VALUE"""),"NUEVO(A)")</f>
        <v>NUEVO(A)</v>
      </c>
      <c r="BF117" s="6"/>
      <c r="BG117" s="6">
        <f>IFERROR(__xludf.DUMMYFUNCTION("""COMPUTED_VALUE"""),2039.0)</f>
        <v>2039</v>
      </c>
      <c r="BH117" s="15">
        <f>IFERROR(__xludf.DUMMYFUNCTION("""COMPUTED_VALUE"""),46191.78365740741)</f>
        <v>46191.78366</v>
      </c>
      <c r="BI117" s="6">
        <f>IFERROR(__xludf.DUMMYFUNCTION("""COMPUTED_VALUE"""),116.0)</f>
        <v>116</v>
      </c>
      <c r="BJ117" s="6"/>
      <c r="BK117" s="6"/>
      <c r="BL117" s="6" t="str">
        <f>IFERROR(__xludf.DUMMYFUNCTION("""COMPUTED_VALUE"""),"GISDUQ0008")</f>
        <v>GISDUQ0008</v>
      </c>
      <c r="BM117" s="6"/>
      <c r="BN117" s="6"/>
      <c r="BO117" s="6" t="str">
        <f>IFERROR(__xludf.DUMMYFUNCTION("""COMPUTED_VALUE"""),"XC_K5_Futbol")</f>
        <v>XC_K5_Futbol</v>
      </c>
      <c r="BP117" s="6"/>
      <c r="BQ117" s="6"/>
      <c r="BR117" s="6" t="str">
        <f>IFERROR(__xludf.DUMMYFUNCTION("""COMPUTED_VALUE"""),"XC_K5_Futbol")</f>
        <v>XC_K5_Futbol</v>
      </c>
      <c r="BS117" s="6"/>
      <c r="BT117" s="6"/>
      <c r="BU117" s="6" t="str">
        <f>IFERROR(__xludf.DUMMYFUNCTION("""COMPUTED_VALUE"""),"SI")</f>
        <v>SI</v>
      </c>
      <c r="BV117" s="6" t="str">
        <f>IFERROR(__xludf.DUMMYFUNCTION("""COMPUTED_VALUE"""),"fidel.d2039")</f>
        <v>fidel.d2039</v>
      </c>
      <c r="BW117" s="6"/>
      <c r="BX117" s="6"/>
      <c r="BY117" s="6"/>
      <c r="BZ117" s="6"/>
    </row>
    <row r="118">
      <c r="A118" s="12">
        <f>IFERROR(__xludf.DUMMYFUNCTION("""COMPUTED_VALUE"""),1.091889861E9)</f>
        <v>1091889861</v>
      </c>
      <c r="B118" s="6">
        <f>IFERROR(__xludf.DUMMYFUNCTION("""COMPUTED_VALUE"""),7.0)</f>
        <v>7</v>
      </c>
      <c r="C118" s="6" t="str">
        <f>IFERROR(__xludf.DUMMYFUNCTION("""COMPUTED_VALUE"""),"Fátima")</f>
        <v>Fátima</v>
      </c>
      <c r="D118" s="6"/>
      <c r="E118" s="6" t="str">
        <f>IFERROR(__xludf.DUMMYFUNCTION("""COMPUTED_VALUE"""),"Giraldo González")</f>
        <v>Giraldo González</v>
      </c>
      <c r="F118" s="6" t="str">
        <f>IFERROR(__xludf.DUMMYFUNCTION("""COMPUTED_VALUE"""),"Cra 11A No10Nte - 48 Apto 701- La Castellana")</f>
        <v>Cra 11A No10Nte - 48 Apto 701- La Castellana</v>
      </c>
      <c r="G118" s="12" t="str">
        <f>IFERROR(__xludf.DUMMYFUNCTION("""COMPUTED_VALUE"""),"2021")</f>
        <v>2021</v>
      </c>
      <c r="H118" s="6" t="str">
        <f>IFERROR(__xludf.DUMMYFUNCTION("""COMPUTED_VALUE"""),"Septiembre")</f>
        <v>Septiembre</v>
      </c>
      <c r="I118" s="12" t="str">
        <f>IFERROR(__xludf.DUMMYFUNCTION("""COMPUTED_VALUE"""),"6")</f>
        <v>6</v>
      </c>
      <c r="J118" s="6" t="str">
        <f>IFERROR(__xludf.DUMMYFUNCTION("""COMPUTED_VALUE"""),"Armenia")</f>
        <v>Armenia</v>
      </c>
      <c r="K118" s="6" t="str">
        <f>IFERROR(__xludf.DUMMYFUNCTION("""COMPUTED_VALUE"""),"fatima.g2039@gi.edu.co")</f>
        <v>fatima.g2039@gi.edu.co</v>
      </c>
      <c r="L118" s="6" t="str">
        <f>IFERROR(__xludf.DUMMYFUNCTION("""COMPUTED_VALUE"""),"RC")</f>
        <v>RC</v>
      </c>
      <c r="M118" s="6" t="str">
        <f>IFERROR(__xludf.DUMMYFUNCTION("""COMPUTED_VALUE"""),"Armenia")</f>
        <v>Armenia</v>
      </c>
      <c r="N118" s="6" t="str">
        <f>IFERROR(__xludf.DUMMYFUNCTION("""COMPUTED_VALUE"""),"F")</f>
        <v>F</v>
      </c>
      <c r="O118" s="6" t="str">
        <f>IFERROR(__xludf.DUMMYFUNCTION("""COMPUTED_VALUE"""),"ACTIVE")</f>
        <v>ACTIVE</v>
      </c>
      <c r="P118" s="6"/>
      <c r="Q118" s="6" t="str">
        <f>IFERROR(__xludf.DUMMYFUNCTION("""COMPUTED_VALUE"""),"Armenia")</f>
        <v>Armenia</v>
      </c>
      <c r="R118" s="12" t="str">
        <f>IFERROR(__xludf.DUMMYFUNCTION("""COMPUTED_VALUE"""),"Gi3Zwy69*")</f>
        <v>Gi3Zwy69*</v>
      </c>
      <c r="S118" s="6" t="str">
        <f>IFERROR(__xludf.DUMMYFUNCTION("""COMPUTED_VALUE"""),"Giraldo González Fátima ")</f>
        <v>Giraldo González Fátima </v>
      </c>
      <c r="T118" s="6" t="str">
        <f>IFERROR(__xludf.DUMMYFUNCTION("""COMPUTED_VALUE"""),"CESAR ANDRES GIRALDO BEDOYA")</f>
        <v>CESAR ANDRES GIRALDO BEDOYA</v>
      </c>
      <c r="U118" s="12" t="str">
        <f>IFERROR(__xludf.DUMMYFUNCTION("""COMPUTED_VALUE"""),"1010170640")</f>
        <v>1010170640</v>
      </c>
      <c r="V118" s="6">
        <f>IFERROR(__xludf.DUMMYFUNCTION("""COMPUTED_VALUE"""),3.212024981E9)</f>
        <v>3212024981</v>
      </c>
      <c r="W118" s="6" t="str">
        <f>IFERROR(__xludf.DUMMYFUNCTION("""COMPUTED_VALUE"""),"cesarandres1@msn.com")</f>
        <v>cesarandres1@msn.com</v>
      </c>
      <c r="X118" s="12" t="str">
        <f>IFERROR(__xludf.DUMMYFUNCTION("""COMPUTED_VALUE"""),"O+")</f>
        <v>O+</v>
      </c>
      <c r="Y118" s="12" t="str">
        <f>IFERROR(__xludf.DUMMYFUNCTION("""COMPUTED_VALUE"""),"K5")</f>
        <v>K5</v>
      </c>
      <c r="Z118" s="12">
        <f>IFERROR(__xludf.DUMMYFUNCTION("""COMPUTED_VALUE"""),120482.0)</f>
        <v>120482</v>
      </c>
      <c r="AA118" s="6" t="str">
        <f>IFERROR(__xludf.DUMMYFUNCTION("""COMPUTED_VALUE"""),"SANITAS")</f>
        <v>SANITAS</v>
      </c>
      <c r="AB118" s="6"/>
      <c r="AC118" s="6"/>
      <c r="AD118" s="12" t="str">
        <f>IFERROR(__xludf.DUMMYFUNCTION("""COMPUTED_VALUE"""),"K5A")</f>
        <v>K5A</v>
      </c>
      <c r="AE118" s="12" t="str">
        <f>IFERROR(__xludf.DUMMYFUNCTION("""COMPUTED_VALUE"""),"1345282480")</f>
        <v>1345282480</v>
      </c>
      <c r="AF118" s="12" t="str">
        <f>IFERROR(__xludf.DUMMYFUNCTION("""COMPUTED_VALUE"""),"1345282480")</f>
        <v>1345282480</v>
      </c>
      <c r="AG118" s="12" t="str">
        <f>IFERROR(__xludf.DUMMYFUNCTION("""COMPUTED_VALUE"""),"Juliana")</f>
        <v>Juliana</v>
      </c>
      <c r="AH118" s="12" t="str">
        <f>IFERROR(__xludf.DUMMYFUNCTION("""COMPUTED_VALUE"""),"Andrea")</f>
        <v>Andrea</v>
      </c>
      <c r="AI118" s="6" t="str">
        <f>IFERROR(__xludf.DUMMYFUNCTION("""COMPUTED_VALUE"""),"González Vega")</f>
        <v>González Vega</v>
      </c>
      <c r="AJ118" s="6" t="str">
        <f>IFERROR(__xludf.DUMMYFUNCTION("""COMPUTED_VALUE"""),"juliana.gove88@gmail.com")</f>
        <v>juliana.gove88@gmail.com</v>
      </c>
      <c r="AK118" s="6" t="str">
        <f>IFERROR(__xludf.DUMMYFUNCTION("""COMPUTED_VALUE"""),"Publicista")</f>
        <v>Publicista</v>
      </c>
      <c r="AL118" s="6" t="str">
        <f>IFERROR(__xludf.DUMMYFUNCTION("""COMPUTED_VALUE"""),"HOGAR")</f>
        <v>HOGAR</v>
      </c>
      <c r="AM118" s="12" t="str">
        <f>IFERROR(__xludf.DUMMYFUNCTION("""COMPUTED_VALUE"""),"1053787719")</f>
        <v>1053787719</v>
      </c>
      <c r="AN118" s="12" t="str">
        <f>IFERROR(__xludf.DUMMYFUNCTION("""COMPUTED_VALUE"""),"3154123418")</f>
        <v>3154123418</v>
      </c>
      <c r="AO118" s="6" t="str">
        <f>IFERROR(__xludf.DUMMYFUNCTION("""COMPUTED_VALUE"""),"Madre")</f>
        <v>Madre</v>
      </c>
      <c r="AP118" s="6" t="str">
        <f>IFERROR(__xludf.DUMMYFUNCTION("""COMPUTED_VALUE"""),"Estudiante(s): Valencia González Rafael &amp; Giraldo González Fátima")</f>
        <v>Estudiante(s): Valencia González Rafael &amp; Giraldo González Fátima</v>
      </c>
      <c r="AQ118" s="6" t="str">
        <f>IFERROR(__xludf.DUMMYFUNCTION("""COMPUTED_VALUE"""),"120482*Gi")</f>
        <v>120482*Gi</v>
      </c>
      <c r="AR118" s="6" t="str">
        <f>IFERROR(__xludf.DUMMYFUNCTION("""COMPUTED_VALUE"""),"César")</f>
        <v>César</v>
      </c>
      <c r="AS118" s="6" t="str">
        <f>IFERROR(__xludf.DUMMYFUNCTION("""COMPUTED_VALUE"""),"Andrés")</f>
        <v>Andrés</v>
      </c>
      <c r="AT118" s="6" t="str">
        <f>IFERROR(__xludf.DUMMYFUNCTION("""COMPUTED_VALUE"""),"Giraldo Bedoya")</f>
        <v>Giraldo Bedoya</v>
      </c>
      <c r="AU118" s="6" t="str">
        <f>IFERROR(__xludf.DUMMYFUNCTION("""COMPUTED_VALUE"""),"cesarandres1@msn.com")</f>
        <v>cesarandres1@msn.com</v>
      </c>
      <c r="AV118" s="6" t="str">
        <f>IFERROR(__xludf.DUMMYFUNCTION("""COMPUTED_VALUE"""),"Administrador de Empresas")</f>
        <v>Administrador de Empresas</v>
      </c>
      <c r="AW118" s="6" t="str">
        <f>IFERROR(__xludf.DUMMYFUNCTION("""COMPUTED_VALUE"""),"Finca Hotel La Manuela")</f>
        <v>Finca Hotel La Manuela</v>
      </c>
      <c r="AX118" s="12" t="str">
        <f>IFERROR(__xludf.DUMMYFUNCTION("""COMPUTED_VALUE"""),"1010170640")</f>
        <v>1010170640</v>
      </c>
      <c r="AY118" s="12" t="str">
        <f>IFERROR(__xludf.DUMMYFUNCTION("""COMPUTED_VALUE"""),"3212024981")</f>
        <v>3212024981</v>
      </c>
      <c r="AZ118" s="6" t="str">
        <f>IFERROR(__xludf.DUMMYFUNCTION("""COMPUTED_VALUE"""),"Padre")</f>
        <v>Padre</v>
      </c>
      <c r="BA118" s="6"/>
      <c r="BB118" s="6"/>
      <c r="BC118" s="6"/>
      <c r="BD118" s="12" t="str">
        <f>IFERROR(__xludf.DUMMYFUNCTION("""COMPUTED_VALUE"""),"val0016")</f>
        <v>val0016</v>
      </c>
      <c r="BE118" s="6"/>
      <c r="BF118" s="6"/>
      <c r="BG118" s="6">
        <f>IFERROR(__xludf.DUMMYFUNCTION("""COMPUTED_VALUE"""),2039.0)</f>
        <v>2039</v>
      </c>
      <c r="BH118" s="16">
        <f>IFERROR(__xludf.DUMMYFUNCTION("""COMPUTED_VALUE"""),46211.34658564815)</f>
        <v>46211.34659</v>
      </c>
      <c r="BI118" s="6">
        <f>IFERROR(__xludf.DUMMYFUNCTION("""COMPUTED_VALUE"""),117.0)</f>
        <v>117</v>
      </c>
      <c r="BJ118" s="6"/>
      <c r="BK118" s="6"/>
      <c r="BL118" s="6" t="str">
        <f>IFERROR(__xludf.DUMMYFUNCTION("""COMPUTED_VALUE"""),"GISVAL0016")</f>
        <v>GISVAL0016</v>
      </c>
      <c r="BM118" s="6"/>
      <c r="BN118" s="6"/>
      <c r="BO118" s="6"/>
      <c r="BP118" s="6"/>
      <c r="BQ118" s="6"/>
      <c r="BR118" s="6"/>
      <c r="BS118" s="6"/>
      <c r="BT118" s="6"/>
      <c r="BU118" s="6" t="str">
        <f>IFERROR(__xludf.DUMMYFUNCTION("""COMPUTED_VALUE"""),"SI")</f>
        <v>SI</v>
      </c>
      <c r="BV118" s="6" t="str">
        <f>IFERROR(__xludf.DUMMYFUNCTION("""COMPUTED_VALUE"""),"fatima.g2039")</f>
        <v>fatima.g2039</v>
      </c>
      <c r="BW118" s="6"/>
      <c r="BX118" s="6"/>
      <c r="BY118" s="6"/>
      <c r="BZ118" s="6"/>
    </row>
    <row r="119">
      <c r="A119" s="12">
        <f>IFERROR(__xludf.DUMMYFUNCTION("""COMPUTED_VALUE"""),1.09740979E9)</f>
        <v>1097409790</v>
      </c>
      <c r="B119" s="6">
        <f>IFERROR(__xludf.DUMMYFUNCTION("""COMPUTED_VALUE"""),8.0)</f>
        <v>8</v>
      </c>
      <c r="C119" s="6" t="str">
        <f>IFERROR(__xludf.DUMMYFUNCTION("""COMPUTED_VALUE"""),"Santiago")</f>
        <v>Santiago</v>
      </c>
      <c r="D119" s="6"/>
      <c r="E119" s="6" t="str">
        <f>IFERROR(__xludf.DUMMYFUNCTION("""COMPUTED_VALUE"""),"Gómez Arango")</f>
        <v>Gómez Arango</v>
      </c>
      <c r="F119" s="6" t="str">
        <f>IFERROR(__xludf.DUMMYFUNCTION("""COMPUTED_VALUE"""),"Cra 10 No11Nte - 05 - La Castellana")</f>
        <v>Cra 10 No11Nte - 05 - La Castellana</v>
      </c>
      <c r="G119" s="12" t="str">
        <f>IFERROR(__xludf.DUMMYFUNCTION("""COMPUTED_VALUE"""),"2021")</f>
        <v>2021</v>
      </c>
      <c r="H119" s="6" t="str">
        <f>IFERROR(__xludf.DUMMYFUNCTION("""COMPUTED_VALUE"""),"Enero")</f>
        <v>Enero</v>
      </c>
      <c r="I119" s="12" t="str">
        <f>IFERROR(__xludf.DUMMYFUNCTION("""COMPUTED_VALUE"""),"18")</f>
        <v>18</v>
      </c>
      <c r="J119" s="6" t="str">
        <f>IFERROR(__xludf.DUMMYFUNCTION("""COMPUTED_VALUE"""),"Armenia")</f>
        <v>Armenia</v>
      </c>
      <c r="K119" s="6" t="str">
        <f>IFERROR(__xludf.DUMMYFUNCTION("""COMPUTED_VALUE"""),"santiago.g2039@gi.edu.co")</f>
        <v>santiago.g2039@gi.edu.co</v>
      </c>
      <c r="L119" s="6" t="str">
        <f>IFERROR(__xludf.DUMMYFUNCTION("""COMPUTED_VALUE"""),"RC")</f>
        <v>RC</v>
      </c>
      <c r="M119" s="6" t="str">
        <f>IFERROR(__xludf.DUMMYFUNCTION("""COMPUTED_VALUE"""),"Armenia")</f>
        <v>Armenia</v>
      </c>
      <c r="N119" s="6" t="str">
        <f>IFERROR(__xludf.DUMMYFUNCTION("""COMPUTED_VALUE"""),"M")</f>
        <v>M</v>
      </c>
      <c r="O119" s="6" t="str">
        <f>IFERROR(__xludf.DUMMYFUNCTION("""COMPUTED_VALUE"""),"INACTIVE")</f>
        <v>INACTIVE</v>
      </c>
      <c r="P119" s="6"/>
      <c r="Q119" s="6" t="str">
        <f>IFERROR(__xludf.DUMMYFUNCTION("""COMPUTED_VALUE"""),"Armenia")</f>
        <v>Armenia</v>
      </c>
      <c r="R119" s="12" t="str">
        <f>IFERROR(__xludf.DUMMYFUNCTION("""COMPUTED_VALUE"""),"Gi89fgcbs*")</f>
        <v>Gi89fgcbs*</v>
      </c>
      <c r="S119" s="6" t="str">
        <f>IFERROR(__xludf.DUMMYFUNCTION("""COMPUTED_VALUE"""),"Gómez Arango Santiago ")</f>
        <v>Gómez Arango Santiago </v>
      </c>
      <c r="T119" s="6" t="str">
        <f>IFERROR(__xludf.DUMMYFUNCTION("""COMPUTED_VALUE"""),"CLAUDIA SILVANA ARANGO CAMPO")</f>
        <v>CLAUDIA SILVANA ARANGO CAMPO</v>
      </c>
      <c r="U119" s="12" t="str">
        <f>IFERROR(__xludf.DUMMYFUNCTION("""COMPUTED_VALUE"""),"41937434")</f>
        <v>41937434</v>
      </c>
      <c r="V119" s="6">
        <f>IFERROR(__xludf.DUMMYFUNCTION("""COMPUTED_VALUE"""),3.174230247E9)</f>
        <v>3174230247</v>
      </c>
      <c r="W119" s="6" t="str">
        <f>IFERROR(__xludf.DUMMYFUNCTION("""COMPUTED_VALUE"""),"arangosilvana012@gmail.com")</f>
        <v>arangosilvana012@gmail.com</v>
      </c>
      <c r="X119" s="12" t="str">
        <f>IFERROR(__xludf.DUMMYFUNCTION("""COMPUTED_VALUE"""),"O+")</f>
        <v>O+</v>
      </c>
      <c r="Y119" s="12" t="str">
        <f>IFERROR(__xludf.DUMMYFUNCTION("""COMPUTED_VALUE"""),"K5")</f>
        <v>K5</v>
      </c>
      <c r="Z119" s="6">
        <f>IFERROR(__xludf.DUMMYFUNCTION("""COMPUTED_VALUE"""),120579.0)</f>
        <v>120579</v>
      </c>
      <c r="AA119" s="6" t="str">
        <f>IFERROR(__xludf.DUMMYFUNCTION("""COMPUTED_VALUE"""),"SURA")</f>
        <v>SURA</v>
      </c>
      <c r="AB119" s="6" t="str">
        <f>IFERROR(__xludf.DUMMYFUNCTION("""COMPUTED_VALUE"""),"EMI")</f>
        <v>EMI</v>
      </c>
      <c r="AC119" s="6"/>
      <c r="AD119" s="12" t="str">
        <f>IFERROR(__xludf.DUMMYFUNCTION("""COMPUTED_VALUE"""),"K5A")</f>
        <v>K5A</v>
      </c>
      <c r="AE119" s="12" t="str">
        <f>IFERROR(__xludf.DUMMYFUNCTION("""COMPUTED_VALUE"""),"1345282576")</f>
        <v>1345282576</v>
      </c>
      <c r="AF119" s="12" t="str">
        <f>IFERROR(__xludf.DUMMYFUNCTION("""COMPUTED_VALUE"""),"1345282576")</f>
        <v>1345282576</v>
      </c>
      <c r="AG119" s="12" t="str">
        <f>IFERROR(__xludf.DUMMYFUNCTION("""COMPUTED_VALUE"""),"Claudia")</f>
        <v>Claudia</v>
      </c>
      <c r="AH119" s="12" t="str">
        <f>IFERROR(__xludf.DUMMYFUNCTION("""COMPUTED_VALUE"""),"Silvana")</f>
        <v>Silvana</v>
      </c>
      <c r="AI119" s="6" t="str">
        <f>IFERROR(__xludf.DUMMYFUNCTION("""COMPUTED_VALUE"""),"Arango Campo")</f>
        <v>Arango Campo</v>
      </c>
      <c r="AJ119" s="6" t="str">
        <f>IFERROR(__xludf.DUMMYFUNCTION("""COMPUTED_VALUE"""),"arangosilvana012@gmail.com")</f>
        <v>arangosilvana012@gmail.com</v>
      </c>
      <c r="AK119" s="6" t="str">
        <f>IFERROR(__xludf.DUMMYFUNCTION("""COMPUTED_VALUE"""),"Ing industrial")</f>
        <v>Ing industrial</v>
      </c>
      <c r="AL119" s="6" t="str">
        <f>IFERROR(__xludf.DUMMYFUNCTION("""COMPUTED_VALUE"""),"Banco de Occidente")</f>
        <v>Banco de Occidente</v>
      </c>
      <c r="AM119" s="12" t="str">
        <f>IFERROR(__xludf.DUMMYFUNCTION("""COMPUTED_VALUE"""),"41937434")</f>
        <v>41937434</v>
      </c>
      <c r="AN119" s="12" t="str">
        <f>IFERROR(__xludf.DUMMYFUNCTION("""COMPUTED_VALUE"""),"3174230247")</f>
        <v>3174230247</v>
      </c>
      <c r="AO119" s="6" t="str">
        <f>IFERROR(__xludf.DUMMYFUNCTION("""COMPUTED_VALUE"""),"Madre")</f>
        <v>Madre</v>
      </c>
      <c r="AP119" s="6" t="str">
        <f>IFERROR(__xludf.DUMMYFUNCTION("""COMPUTED_VALUE"""),"Estudiante(s): Gómez Arango")</f>
        <v>Estudiante(s): Gómez Arango</v>
      </c>
      <c r="AQ119" s="6" t="str">
        <f>IFERROR(__xludf.DUMMYFUNCTION("""COMPUTED_VALUE"""),"102914*Gi")</f>
        <v>102914*Gi</v>
      </c>
      <c r="AR119" s="6" t="str">
        <f>IFERROR(__xludf.DUMMYFUNCTION("""COMPUTED_VALUE"""),"Carlos")</f>
        <v>Carlos</v>
      </c>
      <c r="AS119" s="6" t="str">
        <f>IFERROR(__xludf.DUMMYFUNCTION("""COMPUTED_VALUE"""),"Alberto")</f>
        <v>Alberto</v>
      </c>
      <c r="AT119" s="6" t="str">
        <f>IFERROR(__xludf.DUMMYFUNCTION("""COMPUTED_VALUE"""),"Gómez Chacón")</f>
        <v>Gómez Chacón</v>
      </c>
      <c r="AU119" s="6" t="str">
        <f>IFERROR(__xludf.DUMMYFUNCTION("""COMPUTED_VALUE"""),"gomezchaconmsp@gmail.com")</f>
        <v>gomezchaconmsp@gmail.com</v>
      </c>
      <c r="AV119" s="6" t="str">
        <f>IFERROR(__xludf.DUMMYFUNCTION("""COMPUTED_VALUE"""),"MEDICO VETERINARIO ZOOTECNISTA")</f>
        <v>MEDICO VETERINARIO ZOOTECNISTA</v>
      </c>
      <c r="AW119" s="6" t="str">
        <f>IFERROR(__xludf.DUMMYFUNCTION("""COMPUTED_VALUE"""),"GOBERNACION DEL QUINDIO")</f>
        <v>GOBERNACION DEL QUINDIO</v>
      </c>
      <c r="AX119" s="12" t="str">
        <f>IFERROR(__xludf.DUMMYFUNCTION("""COMPUTED_VALUE"""),"18391685")</f>
        <v>18391685</v>
      </c>
      <c r="AY119" s="12" t="str">
        <f>IFERROR(__xludf.DUMMYFUNCTION("""COMPUTED_VALUE"""),"3168240716")</f>
        <v>3168240716</v>
      </c>
      <c r="AZ119" s="6" t="str">
        <f>IFERROR(__xludf.DUMMYFUNCTION("""COMPUTED_VALUE"""),"Padre")</f>
        <v>Padre</v>
      </c>
      <c r="BA119" s="6"/>
      <c r="BB119" s="6"/>
      <c r="BC119" s="6"/>
      <c r="BD119" s="12" t="str">
        <f>IFERROR(__xludf.DUMMYFUNCTION("""COMPUTED_VALUE"""),"jim0004")</f>
        <v>jim0004</v>
      </c>
      <c r="BE119" s="6" t="str">
        <f>IFERROR(__xludf.DUMMYFUNCTION("""COMPUTED_VALUE"""),"FALTAN FIRMAS")</f>
        <v>FALTAN FIRMAS</v>
      </c>
      <c r="BF119" s="6"/>
      <c r="BG119" s="6">
        <f>IFERROR(__xludf.DUMMYFUNCTION("""COMPUTED_VALUE"""),2039.0)</f>
        <v>2039</v>
      </c>
      <c r="BH119" s="15">
        <f>IFERROR(__xludf.DUMMYFUNCTION("""COMPUTED_VALUE"""),46212.58467592593)</f>
        <v>46212.58468</v>
      </c>
      <c r="BI119" s="6">
        <f>IFERROR(__xludf.DUMMYFUNCTION("""COMPUTED_VALUE"""),118.0)</f>
        <v>118</v>
      </c>
      <c r="BJ119" s="6"/>
      <c r="BK119" s="6"/>
      <c r="BL119" s="6" t="str">
        <f>IFERROR(__xludf.DUMMYFUNCTION("""COMPUTED_VALUE"""),"GISJIM0004")</f>
        <v>GISJIM0004</v>
      </c>
      <c r="BM119" s="6"/>
      <c r="BN119" s="6"/>
      <c r="BO119" s="6"/>
      <c r="BP119" s="6"/>
      <c r="BQ119" s="6"/>
      <c r="BR119" s="6"/>
      <c r="BS119" s="6"/>
      <c r="BT119" s="6"/>
      <c r="BU119" s="6" t="str">
        <f>IFERROR(__xludf.DUMMYFUNCTION("""COMPUTED_VALUE"""),"SI")</f>
        <v>SI</v>
      </c>
      <c r="BV119" s="6" t="str">
        <f>IFERROR(__xludf.DUMMYFUNCTION("""COMPUTED_VALUE"""),"santiago.g2039")</f>
        <v>santiago.g2039</v>
      </c>
      <c r="BW119" s="6"/>
      <c r="BX119" s="6"/>
      <c r="BY119" s="6"/>
      <c r="BZ119" s="6"/>
    </row>
    <row r="120">
      <c r="A120" s="12">
        <f>IFERROR(__xludf.DUMMYFUNCTION("""COMPUTED_VALUE"""),1.092864903E9)</f>
        <v>1092864903</v>
      </c>
      <c r="B120" s="6">
        <f>IFERROR(__xludf.DUMMYFUNCTION("""COMPUTED_VALUE"""),9.0)</f>
        <v>9</v>
      </c>
      <c r="C120" s="6" t="str">
        <f>IFERROR(__xludf.DUMMYFUNCTION("""COMPUTED_VALUE"""),"Emiliano")</f>
        <v>Emiliano</v>
      </c>
      <c r="D120" s="6"/>
      <c r="E120" s="6" t="str">
        <f>IFERROR(__xludf.DUMMYFUNCTION("""COMPUTED_VALUE"""),"Gómez Gómez")</f>
        <v>Gómez Gómez</v>
      </c>
      <c r="F120" s="6" t="str">
        <f>IFERROR(__xludf.DUMMYFUNCTION("""COMPUTED_VALUE"""),"Condominio Casas de Campo Casa 26 - Calle 23ANte No19 - 47")</f>
        <v>Condominio Casas de Campo Casa 26 - Calle 23ANte No19 - 47</v>
      </c>
      <c r="G120" s="12" t="str">
        <f>IFERROR(__xludf.DUMMYFUNCTION("""COMPUTED_VALUE"""),"2021")</f>
        <v>2021</v>
      </c>
      <c r="H120" s="6" t="str">
        <f>IFERROR(__xludf.DUMMYFUNCTION("""COMPUTED_VALUE"""),"Febrero")</f>
        <v>Febrero</v>
      </c>
      <c r="I120" s="12" t="str">
        <f>IFERROR(__xludf.DUMMYFUNCTION("""COMPUTED_VALUE"""),"26")</f>
        <v>26</v>
      </c>
      <c r="J120" s="6" t="str">
        <f>IFERROR(__xludf.DUMMYFUNCTION("""COMPUTED_VALUE"""),"Armenia")</f>
        <v>Armenia</v>
      </c>
      <c r="K120" s="6" t="str">
        <f>IFERROR(__xludf.DUMMYFUNCTION("""COMPUTED_VALUE"""),"emiliano.g2039@gi.edu.co")</f>
        <v>emiliano.g2039@gi.edu.co</v>
      </c>
      <c r="L120" s="6" t="str">
        <f>IFERROR(__xludf.DUMMYFUNCTION("""COMPUTED_VALUE"""),"RC")</f>
        <v>RC</v>
      </c>
      <c r="M120" s="6" t="str">
        <f>IFERROR(__xludf.DUMMYFUNCTION("""COMPUTED_VALUE"""),"Armenia")</f>
        <v>Armenia</v>
      </c>
      <c r="N120" s="6" t="str">
        <f>IFERROR(__xludf.DUMMYFUNCTION("""COMPUTED_VALUE"""),"M")</f>
        <v>M</v>
      </c>
      <c r="O120" s="6" t="str">
        <f>IFERROR(__xludf.DUMMYFUNCTION("""COMPUTED_VALUE"""),"ACTIVE")</f>
        <v>ACTIVE</v>
      </c>
      <c r="P120" s="6"/>
      <c r="Q120" s="6" t="str">
        <f>IFERROR(__xludf.DUMMYFUNCTION("""COMPUTED_VALUE"""),"Armenia")</f>
        <v>Armenia</v>
      </c>
      <c r="R120" s="12" t="str">
        <f>IFERROR(__xludf.DUMMYFUNCTION("""COMPUTED_VALUE"""),"Gisvkn7*")</f>
        <v>Gisvkn7*</v>
      </c>
      <c r="S120" s="6" t="str">
        <f>IFERROR(__xludf.DUMMYFUNCTION("""COMPUTED_VALUE"""),"Gómez Gómez Emiliano ")</f>
        <v>Gómez Gómez Emiliano </v>
      </c>
      <c r="T120" s="6" t="str">
        <f>IFERROR(__xludf.DUMMYFUNCTION("""COMPUTED_VALUE"""),"ANGÉLICA MARIA GÓMEZ LEAL")</f>
        <v>ANGÉLICA MARIA GÓMEZ LEAL</v>
      </c>
      <c r="U120" s="12" t="str">
        <f>IFERROR(__xludf.DUMMYFUNCTION("""COMPUTED_VALUE"""),"38793176")</f>
        <v>38793176</v>
      </c>
      <c r="V120" s="6">
        <f>IFERROR(__xludf.DUMMYFUNCTION("""COMPUTED_VALUE"""),3.137166445E9)</f>
        <v>3137166445</v>
      </c>
      <c r="W120" s="6" t="str">
        <f>IFERROR(__xludf.DUMMYFUNCTION("""COMPUTED_VALUE"""),"angelica.gomvi@gmail.com")</f>
        <v>angelica.gomvi@gmail.com</v>
      </c>
      <c r="X120" s="12" t="str">
        <f>IFERROR(__xludf.DUMMYFUNCTION("""COMPUTED_VALUE"""),"AB+")</f>
        <v>AB+</v>
      </c>
      <c r="Y120" s="12" t="str">
        <f>IFERROR(__xludf.DUMMYFUNCTION("""COMPUTED_VALUE"""),"K5")</f>
        <v>K5</v>
      </c>
      <c r="Z120" s="12">
        <f>IFERROR(__xludf.DUMMYFUNCTION("""COMPUTED_VALUE"""),120347.0)</f>
        <v>120347</v>
      </c>
      <c r="AA120" s="6" t="str">
        <f>IFERROR(__xludf.DUMMYFUNCTION("""COMPUTED_VALUE"""),"SURA")</f>
        <v>SURA</v>
      </c>
      <c r="AB120" s="6"/>
      <c r="AC120" s="6"/>
      <c r="AD120" s="12" t="str">
        <f>IFERROR(__xludf.DUMMYFUNCTION("""COMPUTED_VALUE"""),"K5A")</f>
        <v>K5A</v>
      </c>
      <c r="AE120" s="12">
        <f>IFERROR(__xludf.DUMMYFUNCTION("""COMPUTED_VALUE"""),1.345282356E9)</f>
        <v>1345282356</v>
      </c>
      <c r="AF120" s="12" t="str">
        <f>IFERROR(__xludf.DUMMYFUNCTION("""COMPUTED_VALUE"""),"1345282356")</f>
        <v>1345282356</v>
      </c>
      <c r="AG120" s="12" t="str">
        <f>IFERROR(__xludf.DUMMYFUNCTION("""COMPUTED_VALUE"""),"Angélica")</f>
        <v>Angélica</v>
      </c>
      <c r="AH120" s="12" t="str">
        <f>IFERROR(__xludf.DUMMYFUNCTION("""COMPUTED_VALUE"""),"María")</f>
        <v>María</v>
      </c>
      <c r="AI120" s="6" t="str">
        <f>IFERROR(__xludf.DUMMYFUNCTION("""COMPUTED_VALUE"""),"Gómez Leal")</f>
        <v>Gómez Leal</v>
      </c>
      <c r="AJ120" s="6" t="str">
        <f>IFERROR(__xludf.DUMMYFUNCTION("""COMPUTED_VALUE"""),"angelica.gomvi@gmail.com")</f>
        <v>angelica.gomvi@gmail.com</v>
      </c>
      <c r="AK120" s="6" t="str">
        <f>IFERROR(__xludf.DUMMYFUNCTION("""COMPUTED_VALUE"""),"Comerciante")</f>
        <v>Comerciante</v>
      </c>
      <c r="AL120" s="6" t="str">
        <f>IFERROR(__xludf.DUMMYFUNCTION("""COMPUTED_VALUE"""),"Gomvi Fashion")</f>
        <v>Gomvi Fashion</v>
      </c>
      <c r="AM120" s="12" t="str">
        <f>IFERROR(__xludf.DUMMYFUNCTION("""COMPUTED_VALUE"""),"38793176")</f>
        <v>38793176</v>
      </c>
      <c r="AN120" s="12" t="str">
        <f>IFERROR(__xludf.DUMMYFUNCTION("""COMPUTED_VALUE"""),"3137166445")</f>
        <v>3137166445</v>
      </c>
      <c r="AO120" s="6" t="str">
        <f>IFERROR(__xludf.DUMMYFUNCTION("""COMPUTED_VALUE"""),"Madre")</f>
        <v>Madre</v>
      </c>
      <c r="AP120" s="6" t="str">
        <f>IFERROR(__xludf.DUMMYFUNCTION("""COMPUTED_VALUE"""),"Estudiante(s): Gómez Gómez")</f>
        <v>Estudiante(s): Gómez Gómez</v>
      </c>
      <c r="AQ120" s="6" t="str">
        <f>IFERROR(__xludf.DUMMYFUNCTION("""COMPUTED_VALUE"""),"103013*Gi")</f>
        <v>103013*Gi</v>
      </c>
      <c r="AR120" s="6" t="str">
        <f>IFERROR(__xludf.DUMMYFUNCTION("""COMPUTED_VALUE"""),"Nelson")</f>
        <v>Nelson</v>
      </c>
      <c r="AS120" s="6" t="str">
        <f>IFERROR(__xludf.DUMMYFUNCTION("""COMPUTED_VALUE"""),"Alexander")</f>
        <v>Alexander</v>
      </c>
      <c r="AT120" s="6" t="str">
        <f>IFERROR(__xludf.DUMMYFUNCTION("""COMPUTED_VALUE"""),"Gómez Villegas")</f>
        <v>Gómez Villegas</v>
      </c>
      <c r="AU120" s="6" t="str">
        <f>IFERROR(__xludf.DUMMYFUNCTION("""COMPUTED_VALUE"""),"nelson.gomez@gomvi.com")</f>
        <v>nelson.gomez@gomvi.com</v>
      </c>
      <c r="AV120" s="6" t="str">
        <f>IFERROR(__xludf.DUMMYFUNCTION("""COMPUTED_VALUE"""),"Comerciante")</f>
        <v>Comerciante</v>
      </c>
      <c r="AW120" s="6" t="str">
        <f>IFERROR(__xludf.DUMMYFUNCTION("""COMPUTED_VALUE"""),"Gomvi Company Sas")</f>
        <v>Gomvi Company Sas</v>
      </c>
      <c r="AX120" s="12" t="str">
        <f>IFERROR(__xludf.DUMMYFUNCTION("""COMPUTED_VALUE"""),"71784701")</f>
        <v>71784701</v>
      </c>
      <c r="AY120" s="12" t="str">
        <f>IFERROR(__xludf.DUMMYFUNCTION("""COMPUTED_VALUE"""),"3206935933")</f>
        <v>3206935933</v>
      </c>
      <c r="AZ120" s="6" t="str">
        <f>IFERROR(__xludf.DUMMYFUNCTION("""COMPUTED_VALUE"""),"Padre")</f>
        <v>Padre</v>
      </c>
      <c r="BA120" s="6"/>
      <c r="BB120" s="6"/>
      <c r="BC120" s="6"/>
      <c r="BD120" s="12" t="str">
        <f>IFERROR(__xludf.DUMMYFUNCTION("""COMPUTED_VALUE"""),"gme0015")</f>
        <v>gme0015</v>
      </c>
      <c r="BE120" s="6"/>
      <c r="BF120" s="6"/>
      <c r="BG120" s="6">
        <f>IFERROR(__xludf.DUMMYFUNCTION("""COMPUTED_VALUE"""),2039.0)</f>
        <v>2039</v>
      </c>
      <c r="BH120" s="15">
        <f>IFERROR(__xludf.DUMMYFUNCTION("""COMPUTED_VALUE"""),46206.19861111111)</f>
        <v>46206.19861</v>
      </c>
      <c r="BI120" s="6">
        <f>IFERROR(__xludf.DUMMYFUNCTION("""COMPUTED_VALUE"""),119.0)</f>
        <v>119</v>
      </c>
      <c r="BJ120" s="6"/>
      <c r="BK120" s="6"/>
      <c r="BL120" s="6" t="str">
        <f>IFERROR(__xludf.DUMMYFUNCTION("""COMPUTED_VALUE"""),"GISGME0015")</f>
        <v>GISGME0015</v>
      </c>
      <c r="BM120" s="6"/>
      <c r="BN120" s="6"/>
      <c r="BO120" s="6" t="str">
        <f>IFERROR(__xludf.DUMMYFUNCTION("""COMPUTED_VALUE"""),"XC_K5_Futbol")</f>
        <v>XC_K5_Futbol</v>
      </c>
      <c r="BP120" s="6"/>
      <c r="BQ120" s="6"/>
      <c r="BR120" s="6" t="str">
        <f>IFERROR(__xludf.DUMMYFUNCTION("""COMPUTED_VALUE"""),"XC_K5_Futbol")</f>
        <v>XC_K5_Futbol</v>
      </c>
      <c r="BS120" s="6"/>
      <c r="BT120" s="6"/>
      <c r="BU120" s="6" t="str">
        <f>IFERROR(__xludf.DUMMYFUNCTION("""COMPUTED_VALUE"""),"SI")</f>
        <v>SI</v>
      </c>
      <c r="BV120" s="6" t="str">
        <f>IFERROR(__xludf.DUMMYFUNCTION("""COMPUTED_VALUE"""),"emiliano.g2039")</f>
        <v>emiliano.g2039</v>
      </c>
      <c r="BW120" s="6"/>
      <c r="BX120" s="6"/>
      <c r="BY120" s="6"/>
      <c r="BZ120" s="6"/>
    </row>
    <row r="121">
      <c r="A121" s="12">
        <f>IFERROR(__xludf.DUMMYFUNCTION("""COMPUTED_VALUE"""),1.092864952E9)</f>
        <v>1092864952</v>
      </c>
      <c r="B121" s="6">
        <f>IFERROR(__xludf.DUMMYFUNCTION("""COMPUTED_VALUE"""),10.0)</f>
        <v>10</v>
      </c>
      <c r="C121" s="6" t="str">
        <f>IFERROR(__xludf.DUMMYFUNCTION("""COMPUTED_VALUE"""),"Lucía")</f>
        <v>Lucía</v>
      </c>
      <c r="D121" s="6"/>
      <c r="E121" s="6" t="str">
        <f>IFERROR(__xludf.DUMMYFUNCTION("""COMPUTED_VALUE"""),"Gómez Gómez")</f>
        <v>Gómez Gómez</v>
      </c>
      <c r="F121" s="6" t="str">
        <f>IFERROR(__xludf.DUMMYFUNCTION("""COMPUTED_VALUE"""),"Lagos de Iraka Homesuites Casa 156B Km 12 Via Glorieta Club Campestre al Caimo")</f>
        <v>Lagos de Iraka Homesuites Casa 156B Km 12 Via Glorieta Club Campestre al Caimo</v>
      </c>
      <c r="G121" s="12" t="str">
        <f>IFERROR(__xludf.DUMMYFUNCTION("""COMPUTED_VALUE"""),"2021")</f>
        <v>2021</v>
      </c>
      <c r="H121" s="6" t="str">
        <f>IFERROR(__xludf.DUMMYFUNCTION("""COMPUTED_VALUE"""),"Marzo")</f>
        <v>Marzo</v>
      </c>
      <c r="I121" s="12" t="str">
        <f>IFERROR(__xludf.DUMMYFUNCTION("""COMPUTED_VALUE"""),"23")</f>
        <v>23</v>
      </c>
      <c r="J121" s="6" t="str">
        <f>IFERROR(__xludf.DUMMYFUNCTION("""COMPUTED_VALUE"""),"Armenia")</f>
        <v>Armenia</v>
      </c>
      <c r="K121" s="6" t="str">
        <f>IFERROR(__xludf.DUMMYFUNCTION("""COMPUTED_VALUE"""),"lucia.g2039@gi.edu.co")</f>
        <v>lucia.g2039@gi.edu.co</v>
      </c>
      <c r="L121" s="6" t="str">
        <f>IFERROR(__xludf.DUMMYFUNCTION("""COMPUTED_VALUE"""),"RC")</f>
        <v>RC</v>
      </c>
      <c r="M121" s="6" t="str">
        <f>IFERROR(__xludf.DUMMYFUNCTION("""COMPUTED_VALUE"""),"Armenia")</f>
        <v>Armenia</v>
      </c>
      <c r="N121" s="6" t="str">
        <f>IFERROR(__xludf.DUMMYFUNCTION("""COMPUTED_VALUE"""),"F")</f>
        <v>F</v>
      </c>
      <c r="O121" s="6" t="str">
        <f>IFERROR(__xludf.DUMMYFUNCTION("""COMPUTED_VALUE"""),"INACTIVE")</f>
        <v>INACTIVE</v>
      </c>
      <c r="P121" s="6"/>
      <c r="Q121" s="6" t="str">
        <f>IFERROR(__xludf.DUMMYFUNCTION("""COMPUTED_VALUE"""),"Armenia")</f>
        <v>Armenia</v>
      </c>
      <c r="R121" s="12" t="str">
        <f>IFERROR(__xludf.DUMMYFUNCTION("""COMPUTED_VALUE"""),"Gik8ectd*")</f>
        <v>Gik8ectd*</v>
      </c>
      <c r="S121" s="6" t="str">
        <f>IFERROR(__xludf.DUMMYFUNCTION("""COMPUTED_VALUE"""),"Gómez Gómez Lucía ")</f>
        <v>Gómez Gómez Lucía </v>
      </c>
      <c r="T121" s="6" t="str">
        <f>IFERROR(__xludf.DUMMYFUNCTION("""COMPUTED_VALUE"""),"ANDRES GOMEZ JARAMILLO")</f>
        <v>ANDRES GOMEZ JARAMILLO</v>
      </c>
      <c r="U121" s="12" t="str">
        <f>IFERROR(__xludf.DUMMYFUNCTION("""COMPUTED_VALUE"""),"1094906595")</f>
        <v>1094906595</v>
      </c>
      <c r="V121" s="6">
        <f>IFERROR(__xludf.DUMMYFUNCTION("""COMPUTED_VALUE"""),3.136490114E9)</f>
        <v>3136490114</v>
      </c>
      <c r="W121" s="6" t="str">
        <f>IFERROR(__xludf.DUMMYFUNCTION("""COMPUTED_VALUE"""),"andresgoja89@hotmail.com")</f>
        <v>andresgoja89@hotmail.com</v>
      </c>
      <c r="X121" s="12" t="str">
        <f>IFERROR(__xludf.DUMMYFUNCTION("""COMPUTED_VALUE"""),"O-")</f>
        <v>O-</v>
      </c>
      <c r="Y121" s="12" t="str">
        <f>IFERROR(__xludf.DUMMYFUNCTION("""COMPUTED_VALUE"""),"K5")</f>
        <v>K5</v>
      </c>
      <c r="Z121" s="12">
        <f>IFERROR(__xludf.DUMMYFUNCTION("""COMPUTED_VALUE"""),120337.0)</f>
        <v>120337</v>
      </c>
      <c r="AA121" s="6" t="str">
        <f>IFERROR(__xludf.DUMMYFUNCTION("""COMPUTED_VALUE"""),"SURA")</f>
        <v>SURA</v>
      </c>
      <c r="AB121" s="6"/>
      <c r="AC121" s="6"/>
      <c r="AD121" s="12" t="str">
        <f>IFERROR(__xludf.DUMMYFUNCTION("""COMPUTED_VALUE"""),"K5A")</f>
        <v>K5A</v>
      </c>
      <c r="AE121" s="12">
        <f>IFERROR(__xludf.DUMMYFUNCTION("""COMPUTED_VALUE"""),1.345282345E9)</f>
        <v>1345282345</v>
      </c>
      <c r="AF121" s="12" t="str">
        <f>IFERROR(__xludf.DUMMYFUNCTION("""COMPUTED_VALUE"""),"1345282345")</f>
        <v>1345282345</v>
      </c>
      <c r="AG121" s="12" t="str">
        <f>IFERROR(__xludf.DUMMYFUNCTION("""COMPUTED_VALUE"""),"Luisa")</f>
        <v>Luisa</v>
      </c>
      <c r="AH121" s="12" t="str">
        <f>IFERROR(__xludf.DUMMYFUNCTION("""COMPUTED_VALUE"""),"Fernanda")</f>
        <v>Fernanda</v>
      </c>
      <c r="AI121" s="6" t="str">
        <f>IFERROR(__xludf.DUMMYFUNCTION("""COMPUTED_VALUE"""),"Gómez Rendón")</f>
        <v>Gómez Rendón</v>
      </c>
      <c r="AJ121" s="6" t="str">
        <f>IFERROR(__xludf.DUMMYFUNCTION("""COMPUTED_VALUE"""),"luisagomez93_2@hotmail.com")</f>
        <v>luisagomez93_2@hotmail.com</v>
      </c>
      <c r="AK121" s="6" t="str">
        <f>IFERROR(__xludf.DUMMYFUNCTION("""COMPUTED_VALUE"""),"Administradora de Empresas")</f>
        <v>Administradora de Empresas</v>
      </c>
      <c r="AL121" s="6" t="str">
        <f>IFERROR(__xludf.DUMMYFUNCTION("""COMPUTED_VALUE"""),"Centro Automotor Ltda")</f>
        <v>Centro Automotor Ltda</v>
      </c>
      <c r="AM121" s="12" t="str">
        <f>IFERROR(__xludf.DUMMYFUNCTION("""COMPUTED_VALUE"""),"1094933197")</f>
        <v>1094933197</v>
      </c>
      <c r="AN121" s="12" t="str">
        <f>IFERROR(__xludf.DUMMYFUNCTION("""COMPUTED_VALUE"""),"3136588655")</f>
        <v>3136588655</v>
      </c>
      <c r="AO121" s="6" t="str">
        <f>IFERROR(__xludf.DUMMYFUNCTION("""COMPUTED_VALUE"""),"Madre")</f>
        <v>Madre</v>
      </c>
      <c r="AP121" s="6" t="str">
        <f>IFERROR(__xludf.DUMMYFUNCTION("""COMPUTED_VALUE"""),"Estudiante(s): Gomez Gomez")</f>
        <v>Estudiante(s): Gomez Gomez</v>
      </c>
      <c r="AQ121" s="6" t="str">
        <f>IFERROR(__xludf.DUMMYFUNCTION("""COMPUTED_VALUE"""),"120337*Gi")</f>
        <v>120337*Gi</v>
      </c>
      <c r="AR121" s="6" t="str">
        <f>IFERROR(__xludf.DUMMYFUNCTION("""COMPUTED_VALUE"""),"Andrés")</f>
        <v>Andrés</v>
      </c>
      <c r="AS121" s="6"/>
      <c r="AT121" s="6" t="str">
        <f>IFERROR(__xludf.DUMMYFUNCTION("""COMPUTED_VALUE"""),"Gómez Jaramillo")</f>
        <v>Gómez Jaramillo</v>
      </c>
      <c r="AU121" s="6" t="str">
        <f>IFERROR(__xludf.DUMMYFUNCTION("""COMPUTED_VALUE"""),"andresgoja89@hotmail.com")</f>
        <v>andresgoja89@hotmail.com</v>
      </c>
      <c r="AV121" s="6" t="str">
        <f>IFERROR(__xludf.DUMMYFUNCTION("""COMPUTED_VALUE"""),"Administracion de Empresas Agropecuarias")</f>
        <v>Administracion de Empresas Agropecuarias</v>
      </c>
      <c r="AW121" s="6" t="str">
        <f>IFERROR(__xludf.DUMMYFUNCTION("""COMPUTED_VALUE"""),"Entrópicos SAS")</f>
        <v>Entrópicos SAS</v>
      </c>
      <c r="AX121" s="12" t="str">
        <f>IFERROR(__xludf.DUMMYFUNCTION("""COMPUTED_VALUE"""),"1094906595")</f>
        <v>1094906595</v>
      </c>
      <c r="AY121" s="12">
        <f>IFERROR(__xludf.DUMMYFUNCTION("""COMPUTED_VALUE"""),3.136490114E9)</f>
        <v>3136490114</v>
      </c>
      <c r="AZ121" s="6" t="str">
        <f>IFERROR(__xludf.DUMMYFUNCTION("""COMPUTED_VALUE"""),"Padre")</f>
        <v>Padre</v>
      </c>
      <c r="BA121" s="6"/>
      <c r="BB121" s="6"/>
      <c r="BC121" s="6"/>
      <c r="BD121" s="12" t="str">
        <f>IFERROR(__xludf.DUMMYFUNCTION("""COMPUTED_VALUE"""),"gom0011")</f>
        <v>gom0011</v>
      </c>
      <c r="BE121" s="6" t="str">
        <f>IFERROR(__xludf.DUMMYFUNCTION("""COMPUTED_VALUE"""),"FALTAN FIRMAS")</f>
        <v>FALTAN FIRMAS</v>
      </c>
      <c r="BF121" s="6"/>
      <c r="BG121" s="6">
        <f>IFERROR(__xludf.DUMMYFUNCTION("""COMPUTED_VALUE"""),2039.0)</f>
        <v>2039</v>
      </c>
      <c r="BH121" s="15">
        <f>IFERROR(__xludf.DUMMYFUNCTION("""COMPUTED_VALUE"""),46238.48042824074)</f>
        <v>46238.48043</v>
      </c>
      <c r="BI121" s="6">
        <f>IFERROR(__xludf.DUMMYFUNCTION("""COMPUTED_VALUE"""),120.0)</f>
        <v>120</v>
      </c>
      <c r="BJ121" s="6"/>
      <c r="BK121" s="6"/>
      <c r="BL121" s="6" t="str">
        <f>IFERROR(__xludf.DUMMYFUNCTION("""COMPUTED_VALUE"""),"GISGOM0011")</f>
        <v>GISGOM0011</v>
      </c>
      <c r="BM121" s="6"/>
      <c r="BN121" s="6"/>
      <c r="BO121" s="6" t="str">
        <f>IFERROR(__xludf.DUMMYFUNCTION("""COMPUTED_VALUE"""),"XC_K5_Polimotor")</f>
        <v>XC_K5_Polimotor</v>
      </c>
      <c r="BP121" s="6"/>
      <c r="BQ121" s="6"/>
      <c r="BR121" s="6" t="str">
        <f>IFERROR(__xludf.DUMMYFUNCTION("""COMPUTED_VALUE"""),"XC_K5_Polimotor")</f>
        <v>XC_K5_Polimotor</v>
      </c>
      <c r="BS121" s="6"/>
      <c r="BT121" s="6"/>
      <c r="BU121" s="6" t="str">
        <f>IFERROR(__xludf.DUMMYFUNCTION("""COMPUTED_VALUE"""),"SI")</f>
        <v>SI</v>
      </c>
      <c r="BV121" s="6" t="str">
        <f>IFERROR(__xludf.DUMMYFUNCTION("""COMPUTED_VALUE"""),"lucia.g2039")</f>
        <v>lucia.g2039</v>
      </c>
      <c r="BW121" s="6"/>
      <c r="BX121" s="6"/>
      <c r="BY121" s="6"/>
      <c r="BZ121" s="6"/>
    </row>
    <row r="122">
      <c r="A122" s="12">
        <f>IFERROR(__xludf.DUMMYFUNCTION("""COMPUTED_VALUE"""),1.22047613E9)</f>
        <v>1220476130</v>
      </c>
      <c r="B122" s="6">
        <f>IFERROR(__xludf.DUMMYFUNCTION("""COMPUTED_VALUE"""),11.0)</f>
        <v>11</v>
      </c>
      <c r="C122" s="6" t="str">
        <f>IFERROR(__xludf.DUMMYFUNCTION("""COMPUTED_VALUE"""),"Nina")</f>
        <v>Nina</v>
      </c>
      <c r="D122" s="6"/>
      <c r="E122" s="6" t="str">
        <f>IFERROR(__xludf.DUMMYFUNCTION("""COMPUTED_VALUE"""),"Izquierdo Muñoz")</f>
        <v>Izquierdo Muñoz</v>
      </c>
      <c r="F122" s="6" t="str">
        <f>IFERROR(__xludf.DUMMYFUNCTION("""COMPUTED_VALUE"""),"Km 2.2 Via El Caimo Aeropuerto - La Tebaida")</f>
        <v>Km 2.2 Via El Caimo Aeropuerto - La Tebaida</v>
      </c>
      <c r="G122" s="12" t="str">
        <f>IFERROR(__xludf.DUMMYFUNCTION("""COMPUTED_VALUE"""),"2021")</f>
        <v>2021</v>
      </c>
      <c r="H122" s="6" t="str">
        <f>IFERROR(__xludf.DUMMYFUNCTION("""COMPUTED_VALUE"""),"Julio")</f>
        <v>Julio</v>
      </c>
      <c r="I122" s="12" t="str">
        <f>IFERROR(__xludf.DUMMYFUNCTION("""COMPUTED_VALUE"""),"10")</f>
        <v>10</v>
      </c>
      <c r="J122" s="6" t="str">
        <f>IFERROR(__xludf.DUMMYFUNCTION("""COMPUTED_VALUE"""),"Miami")</f>
        <v>Miami</v>
      </c>
      <c r="K122" s="6" t="str">
        <f>IFERROR(__xludf.DUMMYFUNCTION("""COMPUTED_VALUE"""),"nina.i2039@gi.edu.co")</f>
        <v>nina.i2039@gi.edu.co</v>
      </c>
      <c r="L122" s="6" t="str">
        <f>IFERROR(__xludf.DUMMYFUNCTION("""COMPUTED_VALUE"""),"RC")</f>
        <v>RC</v>
      </c>
      <c r="M122" s="6" t="str">
        <f>IFERROR(__xludf.DUMMYFUNCTION("""COMPUTED_VALUE"""),"Bogotá D.C.")</f>
        <v>Bogotá D.C.</v>
      </c>
      <c r="N122" s="6" t="str">
        <f>IFERROR(__xludf.DUMMYFUNCTION("""COMPUTED_VALUE"""),"F")</f>
        <v>F</v>
      </c>
      <c r="O122" s="6" t="str">
        <f>IFERROR(__xludf.DUMMYFUNCTION("""COMPUTED_VALUE"""),"ACTIVE")</f>
        <v>ACTIVE</v>
      </c>
      <c r="P122" s="6"/>
      <c r="Q122" s="6" t="str">
        <f>IFERROR(__xludf.DUMMYFUNCTION("""COMPUTED_VALUE"""),"Armenia")</f>
        <v>Armenia</v>
      </c>
      <c r="R122" s="12" t="str">
        <f>IFERROR(__xludf.DUMMYFUNCTION("""COMPUTED_VALUE"""),"Gigyt78*")</f>
        <v>Gigyt78*</v>
      </c>
      <c r="S122" s="6" t="str">
        <f>IFERROR(__xludf.DUMMYFUNCTION("""COMPUTED_VALUE"""),"Izquierdo Muñoz Nina ")</f>
        <v>Izquierdo Muñoz Nina </v>
      </c>
      <c r="T122" s="6" t="str">
        <f>IFERROR(__xludf.DUMMYFUNCTION("""COMPUTED_VALUE"""),"NICOLAS IZQUIERDO MONTOYA")</f>
        <v>NICOLAS IZQUIERDO MONTOYA</v>
      </c>
      <c r="U122" s="12" t="str">
        <f>IFERROR(__xludf.DUMMYFUNCTION("""COMPUTED_VALUE"""),"1020757302")</f>
        <v>1020757302</v>
      </c>
      <c r="V122" s="6">
        <f>IFERROR(__xludf.DUMMYFUNCTION("""COMPUTED_VALUE"""),3.138355011E9)</f>
        <v>3138355011</v>
      </c>
      <c r="W122" s="6" t="str">
        <f>IFERROR(__xludf.DUMMYFUNCTION("""COMPUTED_VALUE"""),"nizquierdo1115@hotmail.com")</f>
        <v>nizquierdo1115@hotmail.com</v>
      </c>
      <c r="X122" s="12" t="str">
        <f>IFERROR(__xludf.DUMMYFUNCTION("""COMPUTED_VALUE"""),"O+")</f>
        <v>O+</v>
      </c>
      <c r="Y122" s="12" t="str">
        <f>IFERROR(__xludf.DUMMYFUNCTION("""COMPUTED_VALUE"""),"K5")</f>
        <v>K5</v>
      </c>
      <c r="Z122" s="12" t="str">
        <f>IFERROR(__xludf.DUMMYFUNCTION("""COMPUTED_VALUE"""),"120357")</f>
        <v>120357</v>
      </c>
      <c r="AA122" s="6" t="str">
        <f>IFERROR(__xludf.DUMMYFUNCTION("""COMPUTED_VALUE"""),"SANITAS")</f>
        <v>SANITAS</v>
      </c>
      <c r="AB122" s="6"/>
      <c r="AC122" s="6"/>
      <c r="AD122" s="12" t="str">
        <f>IFERROR(__xludf.DUMMYFUNCTION("""COMPUTED_VALUE"""),"K5A")</f>
        <v>K5A</v>
      </c>
      <c r="AE122" s="12" t="str">
        <f>IFERROR(__xludf.DUMMYFUNCTION("""COMPUTED_VALUE"""),"1345282362")</f>
        <v>1345282362</v>
      </c>
      <c r="AF122" s="12" t="str">
        <f>IFERROR(__xludf.DUMMYFUNCTION("""COMPUTED_VALUE"""),"1345282362")</f>
        <v>1345282362</v>
      </c>
      <c r="AG122" s="12" t="str">
        <f>IFERROR(__xludf.DUMMYFUNCTION("""COMPUTED_VALUE"""),"Andrea")</f>
        <v>Andrea</v>
      </c>
      <c r="AH122" s="12" t="str">
        <f>IFERROR(__xludf.DUMMYFUNCTION("""COMPUTED_VALUE"""),"Catalina")</f>
        <v>Catalina</v>
      </c>
      <c r="AI122" s="6" t="str">
        <f>IFERROR(__xludf.DUMMYFUNCTION("""COMPUTED_VALUE"""),"Muñoz  Diaz")</f>
        <v>Muñoz  Diaz</v>
      </c>
      <c r="AJ122" s="6" t="str">
        <f>IFERROR(__xludf.DUMMYFUNCTION("""COMPUTED_VALUE"""),"andremu.diaz@gmail.com")</f>
        <v>andremu.diaz@gmail.com</v>
      </c>
      <c r="AK122" s="6" t="str">
        <f>IFERROR(__xludf.DUMMYFUNCTION("""COMPUTED_VALUE"""),"ADMINISTRADORA")</f>
        <v>ADMINISTRADORA</v>
      </c>
      <c r="AL122" s="6" t="str">
        <f>IFERROR(__xludf.DUMMYFUNCTION("""COMPUTED_VALUE"""),"BOSEM")</f>
        <v>BOSEM</v>
      </c>
      <c r="AM122" s="12" t="str">
        <f>IFERROR(__xludf.DUMMYFUNCTION("""COMPUTED_VALUE"""),"1136883588")</f>
        <v>1136883588</v>
      </c>
      <c r="AN122" s="12" t="str">
        <f>IFERROR(__xludf.DUMMYFUNCTION("""COMPUTED_VALUE"""),"3138193867")</f>
        <v>3138193867</v>
      </c>
      <c r="AO122" s="6" t="str">
        <f>IFERROR(__xludf.DUMMYFUNCTION("""COMPUTED_VALUE"""),"Madre")</f>
        <v>Madre</v>
      </c>
      <c r="AP122" s="6" t="str">
        <f>IFERROR(__xludf.DUMMYFUNCTION("""COMPUTED_VALUE"""),"Estudiante(s): Izquierdo Muñoz")</f>
        <v>Estudiante(s): Izquierdo Muñoz</v>
      </c>
      <c r="AQ122" s="6" t="str">
        <f>IFERROR(__xludf.DUMMYFUNCTION("""COMPUTED_VALUE"""),"120357*Gi")</f>
        <v>120357*Gi</v>
      </c>
      <c r="AR122" s="6" t="str">
        <f>IFERROR(__xludf.DUMMYFUNCTION("""COMPUTED_VALUE"""),"Nicolas")</f>
        <v>Nicolas</v>
      </c>
      <c r="AS122" s="6"/>
      <c r="AT122" s="6" t="str">
        <f>IFERROR(__xludf.DUMMYFUNCTION("""COMPUTED_VALUE"""),"Izquierdo Montoya")</f>
        <v>Izquierdo Montoya</v>
      </c>
      <c r="AU122" s="6" t="str">
        <f>IFERROR(__xludf.DUMMYFUNCTION("""COMPUTED_VALUE"""),"nizquierdo1115@hotmail.com")</f>
        <v>nizquierdo1115@hotmail.com</v>
      </c>
      <c r="AV122" s="6" t="str">
        <f>IFERROR(__xludf.DUMMYFUNCTION("""COMPUTED_VALUE"""),"ADMINISTRACION")</f>
        <v>ADMINISTRACION</v>
      </c>
      <c r="AW122" s="6" t="str">
        <f>IFERROR(__xludf.DUMMYFUNCTION("""COMPUTED_VALUE"""),"CAMBA")</f>
        <v>CAMBA</v>
      </c>
      <c r="AX122" s="12" t="str">
        <f>IFERROR(__xludf.DUMMYFUNCTION("""COMPUTED_VALUE"""),"1020757302")</f>
        <v>1020757302</v>
      </c>
      <c r="AY122" s="12">
        <f>IFERROR(__xludf.DUMMYFUNCTION("""COMPUTED_VALUE"""),3.138355011E9)</f>
        <v>3138355011</v>
      </c>
      <c r="AZ122" s="6" t="str">
        <f>IFERROR(__xludf.DUMMYFUNCTION("""COMPUTED_VALUE"""),"Padre")</f>
        <v>Padre</v>
      </c>
      <c r="BA122" s="6"/>
      <c r="BB122" s="6"/>
      <c r="BC122" s="6"/>
      <c r="BD122" s="12" t="str">
        <f>IFERROR(__xludf.DUMMYFUNCTION("""COMPUTED_VALUE"""),"izq0001")</f>
        <v>izq0001</v>
      </c>
      <c r="BE122" s="6"/>
      <c r="BF122" s="6"/>
      <c r="BG122" s="6">
        <f>IFERROR(__xludf.DUMMYFUNCTION("""COMPUTED_VALUE"""),2039.0)</f>
        <v>2039</v>
      </c>
      <c r="BH122" s="15">
        <f>IFERROR(__xludf.DUMMYFUNCTION("""COMPUTED_VALUE"""),46211.36283564815)</f>
        <v>46211.36284</v>
      </c>
      <c r="BI122" s="6">
        <f>IFERROR(__xludf.DUMMYFUNCTION("""COMPUTED_VALUE"""),121.0)</f>
        <v>121</v>
      </c>
      <c r="BJ122" s="6"/>
      <c r="BK122" s="6"/>
      <c r="BL122" s="6" t="str">
        <f>IFERROR(__xludf.DUMMYFUNCTION("""COMPUTED_VALUE"""),"GISIZQ0001")</f>
        <v>GISIZQ0001</v>
      </c>
      <c r="BM122" s="6"/>
      <c r="BN122" s="6"/>
      <c r="BO122" s="6"/>
      <c r="BP122" s="6"/>
      <c r="BQ122" s="6"/>
      <c r="BR122" s="6"/>
      <c r="BS122" s="6"/>
      <c r="BT122" s="6"/>
      <c r="BU122" s="6" t="str">
        <f>IFERROR(__xludf.DUMMYFUNCTION("""COMPUTED_VALUE"""),"SI")</f>
        <v>SI</v>
      </c>
      <c r="BV122" s="6" t="str">
        <f>IFERROR(__xludf.DUMMYFUNCTION("""COMPUTED_VALUE"""),"nina.i2039")</f>
        <v>nina.i2039</v>
      </c>
      <c r="BW122" s="6"/>
      <c r="BX122" s="6"/>
      <c r="BY122" s="6"/>
      <c r="BZ122" s="6"/>
    </row>
    <row r="123">
      <c r="A123" s="12">
        <f>IFERROR(__xludf.DUMMYFUNCTION("""COMPUTED_VALUE"""),1.098314263E9)</f>
        <v>1098314263</v>
      </c>
      <c r="B123" s="6">
        <f>IFERROR(__xludf.DUMMYFUNCTION("""COMPUTED_VALUE"""),12.0)</f>
        <v>12</v>
      </c>
      <c r="C123" s="6" t="str">
        <f>IFERROR(__xludf.DUMMYFUNCTION("""COMPUTED_VALUE"""),"Helena")</f>
        <v>Helena</v>
      </c>
      <c r="D123" s="6"/>
      <c r="E123" s="6" t="str">
        <f>IFERROR(__xludf.DUMMYFUNCTION("""COMPUTED_VALUE"""),"Jiménez Parra")</f>
        <v>Jiménez Parra</v>
      </c>
      <c r="F123" s="6" t="str">
        <f>IFERROR(__xludf.DUMMYFUNCTION("""COMPUTED_VALUE"""),"Condominio Reservas del Recreo - Vereda Hojas Anchas")</f>
        <v>Condominio Reservas del Recreo - Vereda Hojas Anchas</v>
      </c>
      <c r="G123" s="12" t="str">
        <f>IFERROR(__xludf.DUMMYFUNCTION("""COMPUTED_VALUE"""),"2021")</f>
        <v>2021</v>
      </c>
      <c r="H123" s="6" t="str">
        <f>IFERROR(__xludf.DUMMYFUNCTION("""COMPUTED_VALUE"""),"Enero")</f>
        <v>Enero</v>
      </c>
      <c r="I123" s="12" t="str">
        <f>IFERROR(__xludf.DUMMYFUNCTION("""COMPUTED_VALUE"""),"28")</f>
        <v>28</v>
      </c>
      <c r="J123" s="6" t="str">
        <f>IFERROR(__xludf.DUMMYFUNCTION("""COMPUTED_VALUE"""),"Armenia")</f>
        <v>Armenia</v>
      </c>
      <c r="K123" s="6" t="str">
        <f>IFERROR(__xludf.DUMMYFUNCTION("""COMPUTED_VALUE"""),"helena.j2039@gi.edu.co")</f>
        <v>helena.j2039@gi.edu.co</v>
      </c>
      <c r="L123" s="6" t="str">
        <f>IFERROR(__xludf.DUMMYFUNCTION("""COMPUTED_VALUE"""),"RC")</f>
        <v>RC</v>
      </c>
      <c r="M123" s="6" t="str">
        <f>IFERROR(__xludf.DUMMYFUNCTION("""COMPUTED_VALUE"""),"Armenia")</f>
        <v>Armenia</v>
      </c>
      <c r="N123" s="6" t="str">
        <f>IFERROR(__xludf.DUMMYFUNCTION("""COMPUTED_VALUE"""),"F")</f>
        <v>F</v>
      </c>
      <c r="O123" s="6" t="str">
        <f>IFERROR(__xludf.DUMMYFUNCTION("""COMPUTED_VALUE"""),"ACTIVE")</f>
        <v>ACTIVE</v>
      </c>
      <c r="P123" s="6"/>
      <c r="Q123" s="6" t="str">
        <f>IFERROR(__xludf.DUMMYFUNCTION("""COMPUTED_VALUE"""),"Circasia")</f>
        <v>Circasia</v>
      </c>
      <c r="R123" s="12" t="str">
        <f>IFERROR(__xludf.DUMMYFUNCTION("""COMPUTED_VALUE"""),"Giqsaa3t6*")</f>
        <v>Giqsaa3t6*</v>
      </c>
      <c r="S123" s="6" t="str">
        <f>IFERROR(__xludf.DUMMYFUNCTION("""COMPUTED_VALUE"""),"Jiménez Parra Helena ")</f>
        <v>Jiménez Parra Helena </v>
      </c>
      <c r="T123" s="6" t="str">
        <f>IFERROR(__xludf.DUMMYFUNCTION("""COMPUTED_VALUE"""),"RICARDO ANDRES JIMENEZ HERNANDEZ")</f>
        <v>RICARDO ANDRES JIMENEZ HERNANDEZ</v>
      </c>
      <c r="U123" s="12" t="str">
        <f>IFERROR(__xludf.DUMMYFUNCTION("""COMPUTED_VALUE"""),"4408565")</f>
        <v>4408565</v>
      </c>
      <c r="V123" s="6">
        <f>IFERROR(__xludf.DUMMYFUNCTION("""COMPUTED_VALUE"""),3.233088375E9)</f>
        <v>3233088375</v>
      </c>
      <c r="W123" s="6" t="str">
        <f>IFERROR(__xludf.DUMMYFUNCTION("""COMPUTED_VALUE"""),"rajhna@gmail.com")</f>
        <v>rajhna@gmail.com</v>
      </c>
      <c r="X123" s="12" t="str">
        <f>IFERROR(__xludf.DUMMYFUNCTION("""COMPUTED_VALUE"""),"B+")</f>
        <v>B+</v>
      </c>
      <c r="Y123" s="12" t="str">
        <f>IFERROR(__xludf.DUMMYFUNCTION("""COMPUTED_VALUE"""),"K5")</f>
        <v>K5</v>
      </c>
      <c r="Z123" s="6">
        <f>IFERROR(__xludf.DUMMYFUNCTION("""COMPUTED_VALUE"""),120521.0)</f>
        <v>120521</v>
      </c>
      <c r="AA123" s="6" t="str">
        <f>IFERROR(__xludf.DUMMYFUNCTION("""COMPUTED_VALUE"""),"SURA")</f>
        <v>SURA</v>
      </c>
      <c r="AB123" s="6"/>
      <c r="AC123" s="6"/>
      <c r="AD123" s="12" t="str">
        <f>IFERROR(__xludf.DUMMYFUNCTION("""COMPUTED_VALUE"""),"K5A")</f>
        <v>K5A</v>
      </c>
      <c r="AE123" s="12" t="str">
        <f>IFERROR(__xludf.DUMMYFUNCTION("""COMPUTED_VALUE"""),"1345282520")</f>
        <v>1345282520</v>
      </c>
      <c r="AF123" s="12" t="str">
        <f>IFERROR(__xludf.DUMMYFUNCTION("""COMPUTED_VALUE"""),"1345282520")</f>
        <v>1345282520</v>
      </c>
      <c r="AG123" s="12" t="str">
        <f>IFERROR(__xludf.DUMMYFUNCTION("""COMPUTED_VALUE"""),"Daniela")</f>
        <v>Daniela</v>
      </c>
      <c r="AH123" s="6"/>
      <c r="AI123" s="6" t="str">
        <f>IFERROR(__xludf.DUMMYFUNCTION("""COMPUTED_VALUE"""),"Parra Castaño")</f>
        <v>Parra Castaño</v>
      </c>
      <c r="AJ123" s="6" t="str">
        <f>IFERROR(__xludf.DUMMYFUNCTION("""COMPUTED_VALUE"""),"daniparra1440@gmail.com")</f>
        <v>daniparra1440@gmail.com</v>
      </c>
      <c r="AK123" s="6" t="str">
        <f>IFERROR(__xludf.DUMMYFUNCTION("""COMPUTED_VALUE"""),"Administrador de Empresas")</f>
        <v>Administrador de Empresas</v>
      </c>
      <c r="AL123" s="6" t="str">
        <f>IFERROR(__xludf.DUMMYFUNCTION("""COMPUTED_VALUE"""),"Carboneutral S.A.S")</f>
        <v>Carboneutral S.A.S</v>
      </c>
      <c r="AM123" s="12" t="str">
        <f>IFERROR(__xludf.DUMMYFUNCTION("""COMPUTED_VALUE"""),"1098309835")</f>
        <v>1098309835</v>
      </c>
      <c r="AN123" s="12" t="str">
        <f>IFERROR(__xludf.DUMMYFUNCTION("""COMPUTED_VALUE"""),"3232931444")</f>
        <v>3232931444</v>
      </c>
      <c r="AO123" s="6" t="str">
        <f>IFERROR(__xludf.DUMMYFUNCTION("""COMPUTED_VALUE"""),"Madre")</f>
        <v>Madre</v>
      </c>
      <c r="AP123" s="12" t="str">
        <f>IFERROR(__xludf.DUMMYFUNCTION("""COMPUTED_VALUE"""),"Estudiante(s): Jiménez Parra")</f>
        <v>Estudiante(s): Jiménez Parra</v>
      </c>
      <c r="AQ123" s="6" t="str">
        <f>IFERROR(__xludf.DUMMYFUNCTION("""COMPUTED_VALUE"""),"120521*Gi")</f>
        <v>120521*Gi</v>
      </c>
      <c r="AR123" s="6" t="str">
        <f>IFERROR(__xludf.DUMMYFUNCTION("""COMPUTED_VALUE"""),"Ricardo")</f>
        <v>Ricardo</v>
      </c>
      <c r="AS123" s="6" t="str">
        <f>IFERROR(__xludf.DUMMYFUNCTION("""COMPUTED_VALUE"""),"Andrés")</f>
        <v>Andrés</v>
      </c>
      <c r="AT123" s="6" t="str">
        <f>IFERROR(__xludf.DUMMYFUNCTION("""COMPUTED_VALUE"""),"Jiménez Hernández")</f>
        <v>Jiménez Hernández</v>
      </c>
      <c r="AU123" s="6" t="str">
        <f>IFERROR(__xludf.DUMMYFUNCTION("""COMPUTED_VALUE"""),"rajhna@gmail.com")</f>
        <v>rajhna@gmail.com</v>
      </c>
      <c r="AV123" s="6" t="str">
        <f>IFERROR(__xludf.DUMMYFUNCTION("""COMPUTED_VALUE"""),"Ingeniero Ambiental")</f>
        <v>Ingeniero Ambiental</v>
      </c>
      <c r="AW123" s="6" t="str">
        <f>IFERROR(__xludf.DUMMYFUNCTION("""COMPUTED_VALUE"""),"Carboneutral S.A.")</f>
        <v>Carboneutral S.A.</v>
      </c>
      <c r="AX123" s="12" t="str">
        <f>IFERROR(__xludf.DUMMYFUNCTION("""COMPUTED_VALUE"""),"4408565")</f>
        <v>4408565</v>
      </c>
      <c r="AY123" s="12" t="str">
        <f>IFERROR(__xludf.DUMMYFUNCTION("""COMPUTED_VALUE"""),"3233088375")</f>
        <v>3233088375</v>
      </c>
      <c r="AZ123" s="6" t="str">
        <f>IFERROR(__xludf.DUMMYFUNCTION("""COMPUTED_VALUE"""),"Padre")</f>
        <v>Padre</v>
      </c>
      <c r="BA123" s="6"/>
      <c r="BB123" s="6"/>
      <c r="BC123" s="6"/>
      <c r="BD123" s="12" t="str">
        <f>IFERROR(__xludf.DUMMYFUNCTION("""COMPUTED_VALUE"""),"jim0009")</f>
        <v>jim0009</v>
      </c>
      <c r="BE123" s="6"/>
      <c r="BF123" s="6"/>
      <c r="BG123" s="6">
        <f>IFERROR(__xludf.DUMMYFUNCTION("""COMPUTED_VALUE"""),2039.0)</f>
        <v>2039</v>
      </c>
      <c r="BH123" s="15">
        <f>IFERROR(__xludf.DUMMYFUNCTION("""COMPUTED_VALUE"""),46209.426828703705)</f>
        <v>46209.42683</v>
      </c>
      <c r="BI123" s="6">
        <f>IFERROR(__xludf.DUMMYFUNCTION("""COMPUTED_VALUE"""),122.0)</f>
        <v>122</v>
      </c>
      <c r="BJ123" s="6"/>
      <c r="BK123" s="6"/>
      <c r="BL123" s="6" t="str">
        <f>IFERROR(__xludf.DUMMYFUNCTION("""COMPUTED_VALUE"""),"GISJIM0009")</f>
        <v>GISJIM0009</v>
      </c>
      <c r="BM123" s="6"/>
      <c r="BN123" s="6"/>
      <c r="BO123" s="6"/>
      <c r="BP123" s="6"/>
      <c r="BQ123" s="6"/>
      <c r="BR123" s="6"/>
      <c r="BS123" s="6"/>
      <c r="BT123" s="6"/>
      <c r="BU123" s="6" t="str">
        <f>IFERROR(__xludf.DUMMYFUNCTION("""COMPUTED_VALUE"""),"SI")</f>
        <v>SI</v>
      </c>
      <c r="BV123" s="6" t="str">
        <f>IFERROR(__xludf.DUMMYFUNCTION("""COMPUTED_VALUE"""),"helena.j2039")</f>
        <v>helena.j2039</v>
      </c>
      <c r="BW123" s="6"/>
      <c r="BX123" s="6"/>
      <c r="BY123" s="6"/>
      <c r="BZ123" s="6"/>
    </row>
    <row r="124">
      <c r="A124" s="12">
        <f>IFERROR(__xludf.DUMMYFUNCTION("""COMPUTED_VALUE"""),1.091889807E9)</f>
        <v>1091889807</v>
      </c>
      <c r="B124" s="6">
        <f>IFERROR(__xludf.DUMMYFUNCTION("""COMPUTED_VALUE"""),13.0)</f>
        <v>13</v>
      </c>
      <c r="C124" s="6" t="str">
        <f>IFERROR(__xludf.DUMMYFUNCTION("""COMPUTED_VALUE"""),"Elias")</f>
        <v>Elias</v>
      </c>
      <c r="D124" s="6"/>
      <c r="E124" s="6" t="str">
        <f>IFERROR(__xludf.DUMMYFUNCTION("""COMPUTED_VALUE"""),"Londoño González")</f>
        <v>Londoño González</v>
      </c>
      <c r="F124" s="6" t="str">
        <f>IFERROR(__xludf.DUMMYFUNCTION("""COMPUTED_VALUE"""),"Condominio El Robledal Casa 16 - Calle 14Nte No10 - 05 La Castellana")</f>
        <v>Condominio El Robledal Casa 16 - Calle 14Nte No10 - 05 La Castellana</v>
      </c>
      <c r="G124" s="12" t="str">
        <f>IFERROR(__xludf.DUMMYFUNCTION("""COMPUTED_VALUE"""),"2021")</f>
        <v>2021</v>
      </c>
      <c r="H124" s="6" t="str">
        <f>IFERROR(__xludf.DUMMYFUNCTION("""COMPUTED_VALUE"""),"Junio")</f>
        <v>Junio</v>
      </c>
      <c r="I124" s="12" t="str">
        <f>IFERROR(__xludf.DUMMYFUNCTION("""COMPUTED_VALUE"""),"11")</f>
        <v>11</v>
      </c>
      <c r="J124" s="6" t="str">
        <f>IFERROR(__xludf.DUMMYFUNCTION("""COMPUTED_VALUE"""),"Armenia")</f>
        <v>Armenia</v>
      </c>
      <c r="K124" s="6" t="str">
        <f>IFERROR(__xludf.DUMMYFUNCTION("""COMPUTED_VALUE"""),"elias.l2039@gi.edu.co")</f>
        <v>elias.l2039@gi.edu.co</v>
      </c>
      <c r="L124" s="6" t="str">
        <f>IFERROR(__xludf.DUMMYFUNCTION("""COMPUTED_VALUE"""),"RC")</f>
        <v>RC</v>
      </c>
      <c r="M124" s="6" t="str">
        <f>IFERROR(__xludf.DUMMYFUNCTION("""COMPUTED_VALUE"""),"Armenia")</f>
        <v>Armenia</v>
      </c>
      <c r="N124" s="6" t="str">
        <f>IFERROR(__xludf.DUMMYFUNCTION("""COMPUTED_VALUE"""),"M")</f>
        <v>M</v>
      </c>
      <c r="O124" s="6" t="str">
        <f>IFERROR(__xludf.DUMMYFUNCTION("""COMPUTED_VALUE"""),"ACTIVE")</f>
        <v>ACTIVE</v>
      </c>
      <c r="P124" s="6"/>
      <c r="Q124" s="6" t="str">
        <f>IFERROR(__xludf.DUMMYFUNCTION("""COMPUTED_VALUE"""),"Armenia")</f>
        <v>Armenia</v>
      </c>
      <c r="R124" s="12" t="str">
        <f>IFERROR(__xludf.DUMMYFUNCTION("""COMPUTED_VALUE"""),"Gikfeu3*")</f>
        <v>Gikfeu3*</v>
      </c>
      <c r="S124" s="6" t="str">
        <f>IFERROR(__xludf.DUMMYFUNCTION("""COMPUTED_VALUE"""),"Londoño González Elias ")</f>
        <v>Londoño González Elias </v>
      </c>
      <c r="T124" s="6" t="str">
        <f>IFERROR(__xludf.DUMMYFUNCTION("""COMPUTED_VALUE"""),"OLGA INES GONZALEZ URREA")</f>
        <v>OLGA INES GONZALEZ URREA</v>
      </c>
      <c r="U124" s="12" t="str">
        <f>IFERROR(__xludf.DUMMYFUNCTION("""COMPUTED_VALUE"""),"43878960")</f>
        <v>43878960</v>
      </c>
      <c r="V124" s="6">
        <f>IFERROR(__xludf.DUMMYFUNCTION("""COMPUTED_VALUE"""),3.216456794E9)</f>
        <v>3216456794</v>
      </c>
      <c r="W124" s="6" t="str">
        <f>IFERROR(__xludf.DUMMYFUNCTION("""COMPUTED_VALUE"""),"folguines@gmail.com")</f>
        <v>folguines@gmail.com</v>
      </c>
      <c r="X124" s="12" t="str">
        <f>IFERROR(__xludf.DUMMYFUNCTION("""COMPUTED_VALUE"""),"O+")</f>
        <v>O+</v>
      </c>
      <c r="Y124" s="12" t="str">
        <f>IFERROR(__xludf.DUMMYFUNCTION("""COMPUTED_VALUE"""),"K5")</f>
        <v>K5</v>
      </c>
      <c r="Z124" s="12">
        <f>IFERROR(__xludf.DUMMYFUNCTION("""COMPUTED_VALUE"""),120361.0)</f>
        <v>120361</v>
      </c>
      <c r="AA124" s="6" t="str">
        <f>IFERROR(__xludf.DUMMYFUNCTION("""COMPUTED_VALUE"""),"SURA")</f>
        <v>SURA</v>
      </c>
      <c r="AB124" s="6"/>
      <c r="AC124" s="6"/>
      <c r="AD124" s="12" t="str">
        <f>IFERROR(__xludf.DUMMYFUNCTION("""COMPUTED_VALUE"""),"K5A")</f>
        <v>K5A</v>
      </c>
      <c r="AE124" s="12">
        <f>IFERROR(__xludf.DUMMYFUNCTION("""COMPUTED_VALUE"""),1.345282336E9)</f>
        <v>1345282336</v>
      </c>
      <c r="AF124" s="12" t="str">
        <f>IFERROR(__xludf.DUMMYFUNCTION("""COMPUTED_VALUE"""),"1345282336")</f>
        <v>1345282336</v>
      </c>
      <c r="AG124" s="12" t="str">
        <f>IFERROR(__xludf.DUMMYFUNCTION("""COMPUTED_VALUE"""),"Olga ")</f>
        <v>Olga </v>
      </c>
      <c r="AH124" s="12" t="str">
        <f>IFERROR(__xludf.DUMMYFUNCTION("""COMPUTED_VALUE"""),"Inés")</f>
        <v>Inés</v>
      </c>
      <c r="AI124" s="6" t="str">
        <f>IFERROR(__xludf.DUMMYFUNCTION("""COMPUTED_VALUE"""),"González Urrea")</f>
        <v>González Urrea</v>
      </c>
      <c r="AJ124" s="6" t="str">
        <f>IFERROR(__xludf.DUMMYFUNCTION("""COMPUTED_VALUE"""),"folguines@gmail.com")</f>
        <v>folguines@gmail.com</v>
      </c>
      <c r="AK124" s="6" t="str">
        <f>IFERROR(__xludf.DUMMYFUNCTION("""COMPUTED_VALUE"""),"Psicóloga Esp. deporte y el ejercicio")</f>
        <v>Psicóloga Esp. deporte y el ejercicio</v>
      </c>
      <c r="AL124" s="6" t="str">
        <f>IFERROR(__xludf.DUMMYFUNCTION("""COMPUTED_VALUE"""),"SENA")</f>
        <v>SENA</v>
      </c>
      <c r="AM124" s="12" t="str">
        <f>IFERROR(__xludf.DUMMYFUNCTION("""COMPUTED_VALUE"""),"43878960")</f>
        <v>43878960</v>
      </c>
      <c r="AN124" s="12" t="str">
        <f>IFERROR(__xludf.DUMMYFUNCTION("""COMPUTED_VALUE"""),"3216456794")</f>
        <v>3216456794</v>
      </c>
      <c r="AO124" s="6" t="str">
        <f>IFERROR(__xludf.DUMMYFUNCTION("""COMPUTED_VALUE"""),"Madre")</f>
        <v>Madre</v>
      </c>
      <c r="AP124" s="6" t="str">
        <f>IFERROR(__xludf.DUMMYFUNCTION("""COMPUTED_VALUE"""),"Estudiante(s): Londono Gonzalez")</f>
        <v>Estudiante(s): Londono Gonzalez</v>
      </c>
      <c r="AQ124" s="6" t="str">
        <f>IFERROR(__xludf.DUMMYFUNCTION("""COMPUTED_VALUE"""),"120357*Gi")</f>
        <v>120357*Gi</v>
      </c>
      <c r="AR124" s="6" t="str">
        <f>IFERROR(__xludf.DUMMYFUNCTION("""COMPUTED_VALUE"""),"Manuel")</f>
        <v>Manuel</v>
      </c>
      <c r="AS124" s="6" t="str">
        <f>IFERROR(__xludf.DUMMYFUNCTION("""COMPUTED_VALUE"""),"Alejandro")</f>
        <v>Alejandro</v>
      </c>
      <c r="AT124" s="6" t="str">
        <f>IFERROR(__xludf.DUMMYFUNCTION("""COMPUTED_VALUE"""),"Londoño Yepes")</f>
        <v>Londoño Yepes</v>
      </c>
      <c r="AU124" s="6" t="str">
        <f>IFERROR(__xludf.DUMMYFUNCTION("""COMPUTED_VALUE"""),"alejolondo23@hotmail.com")</f>
        <v>alejolondo23@hotmail.com</v>
      </c>
      <c r="AV124" s="6" t="str">
        <f>IFERROR(__xludf.DUMMYFUNCTION("""COMPUTED_VALUE"""),"Abogado Mg. Derecho Económico")</f>
        <v>Abogado Mg. Derecho Económico</v>
      </c>
      <c r="AW124" s="6" t="str">
        <f>IFERROR(__xludf.DUMMYFUNCTION("""COMPUTED_VALUE"""),"Gobernación del Quindío - Secretaria de Hacienda")</f>
        <v>Gobernación del Quindío - Secretaria de Hacienda</v>
      </c>
      <c r="AX124" s="12" t="str">
        <f>IFERROR(__xludf.DUMMYFUNCTION("""COMPUTED_VALUE"""),"9737430")</f>
        <v>9737430</v>
      </c>
      <c r="AY124" s="12">
        <f>IFERROR(__xludf.DUMMYFUNCTION("""COMPUTED_VALUE"""),3.182616107E9)</f>
        <v>3182616107</v>
      </c>
      <c r="AZ124" s="6" t="str">
        <f>IFERROR(__xludf.DUMMYFUNCTION("""COMPUTED_VALUE"""),"Padre")</f>
        <v>Padre</v>
      </c>
      <c r="BA124" s="6"/>
      <c r="BB124" s="6"/>
      <c r="BC124" s="6"/>
      <c r="BD124" s="12" t="str">
        <f>IFERROR(__xludf.DUMMYFUNCTION("""COMPUTED_VALUE"""),"lon0014")</f>
        <v>lon0014</v>
      </c>
      <c r="BE124" s="6"/>
      <c r="BF124" s="6"/>
      <c r="BG124" s="6">
        <f>IFERROR(__xludf.DUMMYFUNCTION("""COMPUTED_VALUE"""),2039.0)</f>
        <v>2039</v>
      </c>
      <c r="BH124" s="15">
        <f>IFERROR(__xludf.DUMMYFUNCTION("""COMPUTED_VALUE"""),46211.591215277775)</f>
        <v>46211.59122</v>
      </c>
      <c r="BI124" s="6">
        <f>IFERROR(__xludf.DUMMYFUNCTION("""COMPUTED_VALUE"""),123.0)</f>
        <v>123</v>
      </c>
      <c r="BJ124" s="6"/>
      <c r="BK124" s="6"/>
      <c r="BL124" s="6" t="str">
        <f>IFERROR(__xludf.DUMMYFUNCTION("""COMPUTED_VALUE"""),"GISLON0014")</f>
        <v>GISLON0014</v>
      </c>
      <c r="BM124" s="6"/>
      <c r="BN124" s="6"/>
      <c r="BO124" s="6" t="str">
        <f>IFERROR(__xludf.DUMMYFUNCTION("""COMPUTED_VALUE"""),"XC_K5_Futbol")</f>
        <v>XC_K5_Futbol</v>
      </c>
      <c r="BP124" s="6"/>
      <c r="BQ124" s="6"/>
      <c r="BR124" s="6" t="str">
        <f>IFERROR(__xludf.DUMMYFUNCTION("""COMPUTED_VALUE"""),"XC_K5_Futbol")</f>
        <v>XC_K5_Futbol</v>
      </c>
      <c r="BS124" s="6"/>
      <c r="BT124" s="6"/>
      <c r="BU124" s="6" t="str">
        <f>IFERROR(__xludf.DUMMYFUNCTION("""COMPUTED_VALUE"""),"SI")</f>
        <v>SI</v>
      </c>
      <c r="BV124" s="6" t="str">
        <f>IFERROR(__xludf.DUMMYFUNCTION("""COMPUTED_VALUE"""),"elias.l2039")</f>
        <v>elias.l2039</v>
      </c>
      <c r="BW124" s="6"/>
      <c r="BX124" s="6"/>
      <c r="BY124" s="6"/>
      <c r="BZ124" s="6"/>
    </row>
    <row r="125">
      <c r="A125" s="12">
        <f>IFERROR(__xludf.DUMMYFUNCTION("""COMPUTED_VALUE"""),1.091889728E9)</f>
        <v>1091889728</v>
      </c>
      <c r="B125" s="6">
        <f>IFERROR(__xludf.DUMMYFUNCTION("""COMPUTED_VALUE"""),14.0)</f>
        <v>14</v>
      </c>
      <c r="C125" s="6" t="str">
        <f>IFERROR(__xludf.DUMMYFUNCTION("""COMPUTED_VALUE"""),"Gael")</f>
        <v>Gael</v>
      </c>
      <c r="D125" s="6"/>
      <c r="E125" s="6" t="str">
        <f>IFERROR(__xludf.DUMMYFUNCTION("""COMPUTED_VALUE"""),"Mejía González")</f>
        <v>Mejía González</v>
      </c>
      <c r="F125" s="6" t="str">
        <f>IFERROR(__xludf.DUMMYFUNCTION("""COMPUTED_VALUE"""),"Condominio Palo de Agua Casa 22 - Km 6 Via Eden Vereda Murillo")</f>
        <v>Condominio Palo de Agua Casa 22 - Km 6 Via Eden Vereda Murillo</v>
      </c>
      <c r="G125" s="12" t="str">
        <f>IFERROR(__xludf.DUMMYFUNCTION("""COMPUTED_VALUE"""),"2021")</f>
        <v>2021</v>
      </c>
      <c r="H125" s="6" t="str">
        <f>IFERROR(__xludf.DUMMYFUNCTION("""COMPUTED_VALUE"""),"Febrero")</f>
        <v>Febrero</v>
      </c>
      <c r="I125" s="12" t="str">
        <f>IFERROR(__xludf.DUMMYFUNCTION("""COMPUTED_VALUE"""),"20")</f>
        <v>20</v>
      </c>
      <c r="J125" s="6" t="str">
        <f>IFERROR(__xludf.DUMMYFUNCTION("""COMPUTED_VALUE"""),"Armenia")</f>
        <v>Armenia</v>
      </c>
      <c r="K125" s="6" t="str">
        <f>IFERROR(__xludf.DUMMYFUNCTION("""COMPUTED_VALUE"""),"gael.m2039@gi.edu.co")</f>
        <v>gael.m2039@gi.edu.co</v>
      </c>
      <c r="L125" s="6" t="str">
        <f>IFERROR(__xludf.DUMMYFUNCTION("""COMPUTED_VALUE"""),"RC")</f>
        <v>RC</v>
      </c>
      <c r="M125" s="6" t="str">
        <f>IFERROR(__xludf.DUMMYFUNCTION("""COMPUTED_VALUE"""),"Armenia")</f>
        <v>Armenia</v>
      </c>
      <c r="N125" s="6" t="str">
        <f>IFERROR(__xludf.DUMMYFUNCTION("""COMPUTED_VALUE"""),"M")</f>
        <v>M</v>
      </c>
      <c r="O125" s="6" t="str">
        <f>IFERROR(__xludf.DUMMYFUNCTION("""COMPUTED_VALUE"""),"ACTIVE")</f>
        <v>ACTIVE</v>
      </c>
      <c r="P125" s="6"/>
      <c r="Q125" s="6" t="str">
        <f>IFERROR(__xludf.DUMMYFUNCTION("""COMPUTED_VALUE"""),"Armenia")</f>
        <v>Armenia</v>
      </c>
      <c r="R125" s="12" t="str">
        <f>IFERROR(__xludf.DUMMYFUNCTION("""COMPUTED_VALUE"""),"Gimert4*")</f>
        <v>Gimert4*</v>
      </c>
      <c r="S125" s="6" t="str">
        <f>IFERROR(__xludf.DUMMYFUNCTION("""COMPUTED_VALUE"""),"Mejía González Gael ")</f>
        <v>Mejía González Gael </v>
      </c>
      <c r="T125" s="6" t="str">
        <f>IFERROR(__xludf.DUMMYFUNCTION("""COMPUTED_VALUE"""),"NATALIA GONZALEZ VALENCIA")</f>
        <v>NATALIA GONZALEZ VALENCIA</v>
      </c>
      <c r="U125" s="12" t="str">
        <f>IFERROR(__xludf.DUMMYFUNCTION("""COMPUTED_VALUE"""),"1094885270")</f>
        <v>1094885270</v>
      </c>
      <c r="V125" s="6">
        <f>IFERROR(__xludf.DUMMYFUNCTION("""COMPUTED_VALUE"""),3.052478202E9)</f>
        <v>3052478202</v>
      </c>
      <c r="W125" s="6" t="str">
        <f>IFERROR(__xludf.DUMMYFUNCTION("""COMPUTED_VALUE"""),"nataliagv@proyectarconstructora.com")</f>
        <v>nataliagv@proyectarconstructora.com</v>
      </c>
      <c r="X125" s="12" t="str">
        <f>IFERROR(__xludf.DUMMYFUNCTION("""COMPUTED_VALUE"""),"O+")</f>
        <v>O+</v>
      </c>
      <c r="Y125" s="12" t="str">
        <f>IFERROR(__xludf.DUMMYFUNCTION("""COMPUTED_VALUE"""),"K5")</f>
        <v>K5</v>
      </c>
      <c r="Z125" s="12">
        <f>IFERROR(__xludf.DUMMYFUNCTION("""COMPUTED_VALUE"""),120318.0)</f>
        <v>120318</v>
      </c>
      <c r="AA125" s="6" t="str">
        <f>IFERROR(__xludf.DUMMYFUNCTION("""COMPUTED_VALUE"""),"SURA")</f>
        <v>SURA</v>
      </c>
      <c r="AB125" s="6"/>
      <c r="AC125" s="6"/>
      <c r="AD125" s="12" t="str">
        <f>IFERROR(__xludf.DUMMYFUNCTION("""COMPUTED_VALUE"""),"K5A")</f>
        <v>K5A</v>
      </c>
      <c r="AE125" s="12">
        <f>IFERROR(__xludf.DUMMYFUNCTION("""COMPUTED_VALUE"""),1.345282322E9)</f>
        <v>1345282322</v>
      </c>
      <c r="AF125" s="12" t="str">
        <f>IFERROR(__xludf.DUMMYFUNCTION("""COMPUTED_VALUE"""),"1345282322")</f>
        <v>1345282322</v>
      </c>
      <c r="AG125" s="12" t="str">
        <f>IFERROR(__xludf.DUMMYFUNCTION("""COMPUTED_VALUE"""),"Natalia")</f>
        <v>Natalia</v>
      </c>
      <c r="AH125" s="6"/>
      <c r="AI125" s="6" t="str">
        <f>IFERROR(__xludf.DUMMYFUNCTION("""COMPUTED_VALUE"""),"González Valencia")</f>
        <v>González Valencia</v>
      </c>
      <c r="AJ125" s="6" t="str">
        <f>IFERROR(__xludf.DUMMYFUNCTION("""COMPUTED_VALUE"""),"nataliagv@proyectarconstructora.com")</f>
        <v>nataliagv@proyectarconstructora.com</v>
      </c>
      <c r="AK125" s="6" t="str">
        <f>IFERROR(__xludf.DUMMYFUNCTION("""COMPUTED_VALUE"""),"Administración de empresas")</f>
        <v>Administración de empresas</v>
      </c>
      <c r="AL125" s="6" t="str">
        <f>IFERROR(__xludf.DUMMYFUNCTION("""COMPUTED_VALUE"""),"Proyectar Hermanos SAS")</f>
        <v>Proyectar Hermanos SAS</v>
      </c>
      <c r="AM125" s="12" t="str">
        <f>IFERROR(__xludf.DUMMYFUNCTION("""COMPUTED_VALUE"""),"1094885270")</f>
        <v>1094885270</v>
      </c>
      <c r="AN125" s="12" t="str">
        <f>IFERROR(__xludf.DUMMYFUNCTION("""COMPUTED_VALUE"""),"3052478202")</f>
        <v>3052478202</v>
      </c>
      <c r="AO125" s="6" t="str">
        <f>IFERROR(__xludf.DUMMYFUNCTION("""COMPUTED_VALUE"""),"Madre")</f>
        <v>Madre</v>
      </c>
      <c r="AP125" s="6" t="str">
        <f>IFERROR(__xludf.DUMMYFUNCTION("""COMPUTED_VALUE"""),"Estudiante(s): Mejía González")</f>
        <v>Estudiante(s): Mejía González</v>
      </c>
      <c r="AQ125" s="6" t="str">
        <f>IFERROR(__xludf.DUMMYFUNCTION("""COMPUTED_VALUE"""),"120318*Gi")</f>
        <v>120318*Gi</v>
      </c>
      <c r="AR125" s="6" t="str">
        <f>IFERROR(__xludf.DUMMYFUNCTION("""COMPUTED_VALUE"""),"Jose")</f>
        <v>Jose</v>
      </c>
      <c r="AS125" s="6" t="str">
        <f>IFERROR(__xludf.DUMMYFUNCTION("""COMPUTED_VALUE"""),"Alejandro")</f>
        <v>Alejandro</v>
      </c>
      <c r="AT125" s="6" t="str">
        <f>IFERROR(__xludf.DUMMYFUNCTION("""COMPUTED_VALUE"""),"Mejía Giraldo")</f>
        <v>Mejía Giraldo</v>
      </c>
      <c r="AU125" s="6" t="str">
        <f>IFERROR(__xludf.DUMMYFUNCTION("""COMPUTED_VALUE"""),"josemeji@hotmail.com")</f>
        <v>josemeji@hotmail.com</v>
      </c>
      <c r="AV125" s="6" t="str">
        <f>IFERROR(__xludf.DUMMYFUNCTION("""COMPUTED_VALUE"""),"Abogado")</f>
        <v>Abogado</v>
      </c>
      <c r="AW125" s="6"/>
      <c r="AX125" s="12" t="str">
        <f>IFERROR(__xludf.DUMMYFUNCTION("""COMPUTED_VALUE"""),"9773746")</f>
        <v>9773746</v>
      </c>
      <c r="AY125" s="12" t="str">
        <f>IFERROR(__xludf.DUMMYFUNCTION("""COMPUTED_VALUE"""),"3182487834")</f>
        <v>3182487834</v>
      </c>
      <c r="AZ125" s="6" t="str">
        <f>IFERROR(__xludf.DUMMYFUNCTION("""COMPUTED_VALUE"""),"Padre")</f>
        <v>Padre</v>
      </c>
      <c r="BA125" s="6"/>
      <c r="BB125" s="6"/>
      <c r="BC125" s="6"/>
      <c r="BD125" s="12" t="str">
        <f>IFERROR(__xludf.DUMMYFUNCTION("""COMPUTED_VALUE"""),"mej0023")</f>
        <v>mej0023</v>
      </c>
      <c r="BE125" s="6"/>
      <c r="BF125" s="6"/>
      <c r="BG125" s="6">
        <f>IFERROR(__xludf.DUMMYFUNCTION("""COMPUTED_VALUE"""),2039.0)</f>
        <v>2039</v>
      </c>
      <c r="BH125" s="15">
        <f>IFERROR(__xludf.DUMMYFUNCTION("""COMPUTED_VALUE"""),46211.3990162037)</f>
        <v>46211.39902</v>
      </c>
      <c r="BI125" s="6">
        <f>IFERROR(__xludf.DUMMYFUNCTION("""COMPUTED_VALUE"""),124.0)</f>
        <v>124</v>
      </c>
      <c r="BJ125" s="6"/>
      <c r="BK125" s="6"/>
      <c r="BL125" s="6" t="str">
        <f>IFERROR(__xludf.DUMMYFUNCTION("""COMPUTED_VALUE"""),"GISMEJ0023")</f>
        <v>GISMEJ0023</v>
      </c>
      <c r="BM125" s="6"/>
      <c r="BN125" s="6"/>
      <c r="BO125" s="6" t="str">
        <f>IFERROR(__xludf.DUMMYFUNCTION("""COMPUTED_VALUE"""),"XC_K5_Futbol")</f>
        <v>XC_K5_Futbol</v>
      </c>
      <c r="BP125" s="6"/>
      <c r="BQ125" s="6"/>
      <c r="BR125" s="6" t="str">
        <f>IFERROR(__xludf.DUMMYFUNCTION("""COMPUTED_VALUE"""),"XC_K5_Futbol")</f>
        <v>XC_K5_Futbol</v>
      </c>
      <c r="BS125" s="6"/>
      <c r="BT125" s="6"/>
      <c r="BU125" s="6" t="str">
        <f>IFERROR(__xludf.DUMMYFUNCTION("""COMPUTED_VALUE"""),"SI")</f>
        <v>SI</v>
      </c>
      <c r="BV125" s="6" t="str">
        <f>IFERROR(__xludf.DUMMYFUNCTION("""COMPUTED_VALUE"""),"gael.m2039")</f>
        <v>gael.m2039</v>
      </c>
      <c r="BW125" s="6"/>
      <c r="BX125" s="6"/>
      <c r="BY125" s="6"/>
      <c r="BZ125" s="6"/>
    </row>
    <row r="126">
      <c r="A126" s="12">
        <f>IFERROR(__xludf.DUMMYFUNCTION("""COMPUTED_VALUE"""),1.092865199E9)</f>
        <v>1092865199</v>
      </c>
      <c r="B126" s="6">
        <f>IFERROR(__xludf.DUMMYFUNCTION("""COMPUTED_VALUE"""),15.0)</f>
        <v>15</v>
      </c>
      <c r="C126" s="6" t="str">
        <f>IFERROR(__xludf.DUMMYFUNCTION("""COMPUTED_VALUE"""),"Adelaida")</f>
        <v>Adelaida</v>
      </c>
      <c r="D126" s="6"/>
      <c r="E126" s="6" t="str">
        <f>IFERROR(__xludf.DUMMYFUNCTION("""COMPUTED_VALUE"""),"Ocampo Jiménez")</f>
        <v>Ocampo Jiménez</v>
      </c>
      <c r="F126" s="6" t="str">
        <f>IFERROR(__xludf.DUMMYFUNCTION("""COMPUTED_VALUE"""),"Parque Residencial Altos Del Rio Casa 63 - Calle 41 No36 - 110")</f>
        <v>Parque Residencial Altos Del Rio Casa 63 - Calle 41 No36 - 110</v>
      </c>
      <c r="G126" s="12" t="str">
        <f>IFERROR(__xludf.DUMMYFUNCTION("""COMPUTED_VALUE"""),"2021")</f>
        <v>2021</v>
      </c>
      <c r="H126" s="6" t="str">
        <f>IFERROR(__xludf.DUMMYFUNCTION("""COMPUTED_VALUE"""),"Julio")</f>
        <v>Julio</v>
      </c>
      <c r="I126" s="12" t="str">
        <f>IFERROR(__xludf.DUMMYFUNCTION("""COMPUTED_VALUE"""),"11")</f>
        <v>11</v>
      </c>
      <c r="J126" s="6" t="str">
        <f>IFERROR(__xludf.DUMMYFUNCTION("""COMPUTED_VALUE"""),"Armenia")</f>
        <v>Armenia</v>
      </c>
      <c r="K126" s="6" t="str">
        <f>IFERROR(__xludf.DUMMYFUNCTION("""COMPUTED_VALUE"""),"adelaida.o2039@gi.edu.co")</f>
        <v>adelaida.o2039@gi.edu.co</v>
      </c>
      <c r="L126" s="6" t="str">
        <f>IFERROR(__xludf.DUMMYFUNCTION("""COMPUTED_VALUE"""),"RC")</f>
        <v>RC</v>
      </c>
      <c r="M126" s="6" t="str">
        <f>IFERROR(__xludf.DUMMYFUNCTION("""COMPUTED_VALUE"""),"Armenia")</f>
        <v>Armenia</v>
      </c>
      <c r="N126" s="6" t="str">
        <f>IFERROR(__xludf.DUMMYFUNCTION("""COMPUTED_VALUE"""),"F")</f>
        <v>F</v>
      </c>
      <c r="O126" s="6" t="str">
        <f>IFERROR(__xludf.DUMMYFUNCTION("""COMPUTED_VALUE"""),"ACTIVE")</f>
        <v>ACTIVE</v>
      </c>
      <c r="P126" s="6"/>
      <c r="Q126" s="6" t="str">
        <f>IFERROR(__xludf.DUMMYFUNCTION("""COMPUTED_VALUE"""),"Calarcá")</f>
        <v>Calarcá</v>
      </c>
      <c r="R126" s="12" t="str">
        <f>IFERROR(__xludf.DUMMYFUNCTION("""COMPUTED_VALUE"""),"Gis34cn6*")</f>
        <v>Gis34cn6*</v>
      </c>
      <c r="S126" s="6" t="str">
        <f>IFERROR(__xludf.DUMMYFUNCTION("""COMPUTED_VALUE"""),"Ocampo Jiménez Adelaida ")</f>
        <v>Ocampo Jiménez Adelaida </v>
      </c>
      <c r="T126" s="6" t="str">
        <f>IFERROR(__xludf.DUMMYFUNCTION("""COMPUTED_VALUE"""),"MAURICIO OCAMPO GALEANO")</f>
        <v>MAURICIO OCAMPO GALEANO</v>
      </c>
      <c r="U126" s="12" t="str">
        <f>IFERROR(__xludf.DUMMYFUNCTION("""COMPUTED_VALUE"""),"1094895942")</f>
        <v>1094895942</v>
      </c>
      <c r="V126" s="6">
        <f>IFERROR(__xludf.DUMMYFUNCTION("""COMPUTED_VALUE"""),3.004945015E9)</f>
        <v>3004945015</v>
      </c>
      <c r="W126" s="6" t="str">
        <f>IFERROR(__xludf.DUMMYFUNCTION("""COMPUTED_VALUE"""),"mauricio.ocampo@cuatrocielos.com.co")</f>
        <v>mauricio.ocampo@cuatrocielos.com.co</v>
      </c>
      <c r="X126" s="12" t="str">
        <f>IFERROR(__xludf.DUMMYFUNCTION("""COMPUTED_VALUE"""),"O+")</f>
        <v>O+</v>
      </c>
      <c r="Y126" s="12" t="str">
        <f>IFERROR(__xludf.DUMMYFUNCTION("""COMPUTED_VALUE"""),"K5")</f>
        <v>K5</v>
      </c>
      <c r="Z126" s="12">
        <f>IFERROR(__xludf.DUMMYFUNCTION("""COMPUTED_VALUE"""),120334.0)</f>
        <v>120334</v>
      </c>
      <c r="AA126" s="6" t="str">
        <f>IFERROR(__xludf.DUMMYFUNCTION("""COMPUTED_VALUE"""),"SURA")</f>
        <v>SURA</v>
      </c>
      <c r="AB126" s="6"/>
      <c r="AC126" s="6"/>
      <c r="AD126" s="12" t="str">
        <f>IFERROR(__xludf.DUMMYFUNCTION("""COMPUTED_VALUE"""),"K5A")</f>
        <v>K5A</v>
      </c>
      <c r="AE126" s="12">
        <f>IFERROR(__xludf.DUMMYFUNCTION("""COMPUTED_VALUE"""),1.345282344E9)</f>
        <v>1345282344</v>
      </c>
      <c r="AF126" s="12" t="str">
        <f>IFERROR(__xludf.DUMMYFUNCTION("""COMPUTED_VALUE"""),"1345282344")</f>
        <v>1345282344</v>
      </c>
      <c r="AG126" s="12" t="str">
        <f>IFERROR(__xludf.DUMMYFUNCTION("""COMPUTED_VALUE"""),"Ana")</f>
        <v>Ana</v>
      </c>
      <c r="AH126" s="12" t="str">
        <f>IFERROR(__xludf.DUMMYFUNCTION("""COMPUTED_VALUE"""),"María")</f>
        <v>María</v>
      </c>
      <c r="AI126" s="6" t="str">
        <f>IFERROR(__xludf.DUMMYFUNCTION("""COMPUTED_VALUE"""),"Jiménez Ceballos")</f>
        <v>Jiménez Ceballos</v>
      </c>
      <c r="AJ126" s="6" t="str">
        <f>IFERROR(__xludf.DUMMYFUNCTION("""COMPUTED_VALUE"""),"ana_jimenez88@hotmail.com")</f>
        <v>ana_jimenez88@hotmail.com</v>
      </c>
      <c r="AK126" s="6" t="str">
        <f>IFERROR(__xludf.DUMMYFUNCTION("""COMPUTED_VALUE"""),"DISEÑADORA CON ENFASIS EN PRODUCTO")</f>
        <v>DISEÑADORA CON ENFASIS EN PRODUCTO</v>
      </c>
      <c r="AL126" s="6" t="str">
        <f>IFERROR(__xludf.DUMMYFUNCTION("""COMPUTED_VALUE"""),"CUATROCIELOS SAS")</f>
        <v>CUATROCIELOS SAS</v>
      </c>
      <c r="AM126" s="12" t="str">
        <f>IFERROR(__xludf.DUMMYFUNCTION("""COMPUTED_VALUE"""),"1094899988")</f>
        <v>1094899988</v>
      </c>
      <c r="AN126" s="12" t="str">
        <f>IFERROR(__xludf.DUMMYFUNCTION("""COMPUTED_VALUE"""),"3155615727")</f>
        <v>3155615727</v>
      </c>
      <c r="AO126" s="6" t="str">
        <f>IFERROR(__xludf.DUMMYFUNCTION("""COMPUTED_VALUE"""),"Madre")</f>
        <v>Madre</v>
      </c>
      <c r="AP126" s="6" t="str">
        <f>IFERROR(__xludf.DUMMYFUNCTION("""COMPUTED_VALUE"""),"Estudiante(s): Ocampo Jimenez")</f>
        <v>Estudiante(s): Ocampo Jimenez</v>
      </c>
      <c r="AQ126" s="6" t="str">
        <f>IFERROR(__xludf.DUMMYFUNCTION("""COMPUTED_VALUE"""),"120282*Gi")</f>
        <v>120282*Gi</v>
      </c>
      <c r="AR126" s="6" t="str">
        <f>IFERROR(__xludf.DUMMYFUNCTION("""COMPUTED_VALUE"""),"Mauricio")</f>
        <v>Mauricio</v>
      </c>
      <c r="AS126" s="6"/>
      <c r="AT126" s="6" t="str">
        <f>IFERROR(__xludf.DUMMYFUNCTION("""COMPUTED_VALUE"""),"Ocampo Galeano")</f>
        <v>Ocampo Galeano</v>
      </c>
      <c r="AU126" s="6" t="str">
        <f>IFERROR(__xludf.DUMMYFUNCTION("""COMPUTED_VALUE"""),"mauricio.ocampo@cuatrocielos.com.co")</f>
        <v>mauricio.ocampo@cuatrocielos.com.co</v>
      </c>
      <c r="AV126" s="6" t="str">
        <f>IFERROR(__xludf.DUMMYFUNCTION("""COMPUTED_VALUE"""),"ADMINISTRADOR DE NEGOCIOS")</f>
        <v>ADMINISTRADOR DE NEGOCIOS</v>
      </c>
      <c r="AW126" s="6" t="str">
        <f>IFERROR(__xludf.DUMMYFUNCTION("""COMPUTED_VALUE"""),"CUATROCIELOS SAS")</f>
        <v>CUATROCIELOS SAS</v>
      </c>
      <c r="AX126" s="12" t="str">
        <f>IFERROR(__xludf.DUMMYFUNCTION("""COMPUTED_VALUE"""),"1094895942")</f>
        <v>1094895942</v>
      </c>
      <c r="AY126" s="12">
        <f>IFERROR(__xludf.DUMMYFUNCTION("""COMPUTED_VALUE"""),3.004945015E9)</f>
        <v>3004945015</v>
      </c>
      <c r="AZ126" s="6" t="str">
        <f>IFERROR(__xludf.DUMMYFUNCTION("""COMPUTED_VALUE"""),"Padre")</f>
        <v>Padre</v>
      </c>
      <c r="BA126" s="6"/>
      <c r="BB126" s="6"/>
      <c r="BC126" s="6"/>
      <c r="BD126" s="12" t="str">
        <f>IFERROR(__xludf.DUMMYFUNCTION("""COMPUTED_VALUE"""),"oca0001")</f>
        <v>oca0001</v>
      </c>
      <c r="BE126" s="6"/>
      <c r="BF126" s="6"/>
      <c r="BG126" s="6">
        <f>IFERROR(__xludf.DUMMYFUNCTION("""COMPUTED_VALUE"""),2039.0)</f>
        <v>2039</v>
      </c>
      <c r="BH126" s="15">
        <f>IFERROR(__xludf.DUMMYFUNCTION("""COMPUTED_VALUE"""),46210.56018518518)</f>
        <v>46210.56019</v>
      </c>
      <c r="BI126" s="6">
        <f>IFERROR(__xludf.DUMMYFUNCTION("""COMPUTED_VALUE"""),125.0)</f>
        <v>125</v>
      </c>
      <c r="BJ126" s="6"/>
      <c r="BK126" s="6" t="str">
        <f>IFERROR(__xludf.DUMMYFUNCTION("""COMPUTED_VALUE"""),"Si: Salbutamol")</f>
        <v>Si: Salbutamol</v>
      </c>
      <c r="BL126" s="6" t="str">
        <f>IFERROR(__xludf.DUMMYFUNCTION("""COMPUTED_VALUE"""),"GISOCA0001")</f>
        <v>GISOCA0001</v>
      </c>
      <c r="BM126" s="6"/>
      <c r="BN126" s="6"/>
      <c r="BO126" s="6" t="str">
        <f>IFERROR(__xludf.DUMMYFUNCTION("""COMPUTED_VALUE"""),"XC_K5_Polimotor")</f>
        <v>XC_K5_Polimotor</v>
      </c>
      <c r="BP126" s="6"/>
      <c r="BQ126" s="6"/>
      <c r="BR126" s="6" t="str">
        <f>IFERROR(__xludf.DUMMYFUNCTION("""COMPUTED_VALUE"""),"XC_K5_Polimotor")</f>
        <v>XC_K5_Polimotor</v>
      </c>
      <c r="BS126" s="6"/>
      <c r="BT126" s="6"/>
      <c r="BU126" s="6" t="str">
        <f>IFERROR(__xludf.DUMMYFUNCTION("""COMPUTED_VALUE"""),"SI")</f>
        <v>SI</v>
      </c>
      <c r="BV126" s="6" t="str">
        <f>IFERROR(__xludf.DUMMYFUNCTION("""COMPUTED_VALUE"""),"adelaida.o2039")</f>
        <v>adelaida.o2039</v>
      </c>
      <c r="BW126" s="6"/>
      <c r="BX126" s="6"/>
      <c r="BY126" s="6"/>
      <c r="BZ126" s="6"/>
    </row>
    <row r="127">
      <c r="A127" s="12">
        <f>IFERROR(__xludf.DUMMYFUNCTION("""COMPUTED_VALUE"""),1.091889365E9)</f>
        <v>1091889365</v>
      </c>
      <c r="B127" s="6">
        <f>IFERROR(__xludf.DUMMYFUNCTION("""COMPUTED_VALUE"""),16.0)</f>
        <v>16</v>
      </c>
      <c r="C127" s="6" t="str">
        <f>IFERROR(__xludf.DUMMYFUNCTION("""COMPUTED_VALUE"""),"Anthony")</f>
        <v>Anthony</v>
      </c>
      <c r="D127" s="6"/>
      <c r="E127" s="6" t="str">
        <f>IFERROR(__xludf.DUMMYFUNCTION("""COMPUTED_VALUE"""),"Patiño Uribe")</f>
        <v>Patiño Uribe</v>
      </c>
      <c r="F127" s="6" t="str">
        <f>IFERROR(__xludf.DUMMYFUNCTION("""COMPUTED_VALUE"""),"Tacuara Casa 2 - Km 7 Via Eden Entrada Policia Murillo")</f>
        <v>Tacuara Casa 2 - Km 7 Via Eden Entrada Policia Murillo</v>
      </c>
      <c r="G127" s="12" t="str">
        <f>IFERROR(__xludf.DUMMYFUNCTION("""COMPUTED_VALUE"""),"2020")</f>
        <v>2020</v>
      </c>
      <c r="H127" s="6" t="str">
        <f>IFERROR(__xludf.DUMMYFUNCTION("""COMPUTED_VALUE"""),"Abril")</f>
        <v>Abril</v>
      </c>
      <c r="I127" s="12" t="str">
        <f>IFERROR(__xludf.DUMMYFUNCTION("""COMPUTED_VALUE"""),"19")</f>
        <v>19</v>
      </c>
      <c r="J127" s="6" t="str">
        <f>IFERROR(__xludf.DUMMYFUNCTION("""COMPUTED_VALUE"""),"Armenia")</f>
        <v>Armenia</v>
      </c>
      <c r="K127" s="6" t="str">
        <f>IFERROR(__xludf.DUMMYFUNCTION("""COMPUTED_VALUE"""),"anthony.p2039@gi.edu.co")</f>
        <v>anthony.p2039@gi.edu.co</v>
      </c>
      <c r="L127" s="6" t="str">
        <f>IFERROR(__xludf.DUMMYFUNCTION("""COMPUTED_VALUE"""),"RC")</f>
        <v>RC</v>
      </c>
      <c r="M127" s="6" t="str">
        <f>IFERROR(__xludf.DUMMYFUNCTION("""COMPUTED_VALUE"""),"Armenia")</f>
        <v>Armenia</v>
      </c>
      <c r="N127" s="6" t="str">
        <f>IFERROR(__xludf.DUMMYFUNCTION("""COMPUTED_VALUE"""),"M")</f>
        <v>M</v>
      </c>
      <c r="O127" s="6" t="str">
        <f>IFERROR(__xludf.DUMMYFUNCTION("""COMPUTED_VALUE"""),"ACTIVE")</f>
        <v>ACTIVE</v>
      </c>
      <c r="P127" s="6"/>
      <c r="Q127" s="6" t="str">
        <f>IFERROR(__xludf.DUMMYFUNCTION("""COMPUTED_VALUE"""),"Armenia")</f>
        <v>Armenia</v>
      </c>
      <c r="R127" s="12" t="str">
        <f>IFERROR(__xludf.DUMMYFUNCTION("""COMPUTED_VALUE"""),"Giet5h722*")</f>
        <v>Giet5h722*</v>
      </c>
      <c r="S127" s="6" t="str">
        <f>IFERROR(__xludf.DUMMYFUNCTION("""COMPUTED_VALUE"""),"Patiño Uribe Anthony ")</f>
        <v>Patiño Uribe Anthony </v>
      </c>
      <c r="T127" s="6" t="str">
        <f>IFERROR(__xludf.DUMMYFUNCTION("""COMPUTED_VALUE"""),"CAROLINA URIBE GONZÁLEZ")</f>
        <v>CAROLINA URIBE GONZÁLEZ</v>
      </c>
      <c r="U127" s="12" t="str">
        <f>IFERROR(__xludf.DUMMYFUNCTION("""COMPUTED_VALUE"""),"1097399512")</f>
        <v>1097399512</v>
      </c>
      <c r="V127" s="6">
        <f>IFERROR(__xludf.DUMMYFUNCTION("""COMPUTED_VALUE"""),3.117498323E9)</f>
        <v>3117498323</v>
      </c>
      <c r="W127" s="6" t="str">
        <f>IFERROR(__xludf.DUMMYFUNCTION("""COMPUTED_VALUE"""),"carouribe07@hotmail.com")</f>
        <v>carouribe07@hotmail.com</v>
      </c>
      <c r="X127" s="12" t="str">
        <f>IFERROR(__xludf.DUMMYFUNCTION("""COMPUTED_VALUE"""),"O+")</f>
        <v>O+</v>
      </c>
      <c r="Y127" s="12" t="str">
        <f>IFERROR(__xludf.DUMMYFUNCTION("""COMPUTED_VALUE"""),"K5")</f>
        <v>K5</v>
      </c>
      <c r="Z127" s="6">
        <f>IFERROR(__xludf.DUMMYFUNCTION("""COMPUTED_VALUE"""),120565.0)</f>
        <v>120565</v>
      </c>
      <c r="AA127" s="6" t="str">
        <f>IFERROR(__xludf.DUMMYFUNCTION("""COMPUTED_VALUE"""),"NUEVA EPS")</f>
        <v>NUEVA EPS</v>
      </c>
      <c r="AB127" s="6"/>
      <c r="AC127" s="6"/>
      <c r="AD127" s="12" t="str">
        <f>IFERROR(__xludf.DUMMYFUNCTION("""COMPUTED_VALUE"""),"K5A")</f>
        <v>K5A</v>
      </c>
      <c r="AE127" s="12" t="str">
        <f>IFERROR(__xludf.DUMMYFUNCTION("""COMPUTED_VALUE"""),"1345282562")</f>
        <v>1345282562</v>
      </c>
      <c r="AF127" s="12" t="str">
        <f>IFERROR(__xludf.DUMMYFUNCTION("""COMPUTED_VALUE"""),"1345282562")</f>
        <v>1345282562</v>
      </c>
      <c r="AG127" s="12" t="str">
        <f>IFERROR(__xludf.DUMMYFUNCTION("""COMPUTED_VALUE"""),"Carolina")</f>
        <v>Carolina</v>
      </c>
      <c r="AH127" s="6"/>
      <c r="AI127" s="6" t="str">
        <f>IFERROR(__xludf.DUMMYFUNCTION("""COMPUTED_VALUE"""),"Uribe González")</f>
        <v>Uribe González</v>
      </c>
      <c r="AJ127" s="6" t="str">
        <f>IFERROR(__xludf.DUMMYFUNCTION("""COMPUTED_VALUE"""),"carouribe07@hotmail.com")</f>
        <v>carouribe07@hotmail.com</v>
      </c>
      <c r="AK127" s="6"/>
      <c r="AL127" s="6" t="str">
        <f>IFERROR(__xludf.DUMMYFUNCTION("""COMPUTED_VALUE"""),"don pollo sas")</f>
        <v>don pollo sas</v>
      </c>
      <c r="AM127" s="12" t="str">
        <f>IFERROR(__xludf.DUMMYFUNCTION("""COMPUTED_VALUE"""),"1097399512")</f>
        <v>1097399512</v>
      </c>
      <c r="AN127" s="12" t="str">
        <f>IFERROR(__xludf.DUMMYFUNCTION("""COMPUTED_VALUE"""),"3117498323")</f>
        <v>3117498323</v>
      </c>
      <c r="AO127" s="6" t="str">
        <f>IFERROR(__xludf.DUMMYFUNCTION("""COMPUTED_VALUE"""),"Madre")</f>
        <v>Madre</v>
      </c>
      <c r="AP127" s="6" t="str">
        <f>IFERROR(__xludf.DUMMYFUNCTION("""COMPUTED_VALUE"""),"Estudiante(s): Patiño Uribe")</f>
        <v>Estudiante(s): Patiño Uribe</v>
      </c>
      <c r="AQ127" s="6" t="str">
        <f>IFERROR(__xludf.DUMMYFUNCTION("""COMPUTED_VALUE"""),"120565*Gi")</f>
        <v>120565*Gi</v>
      </c>
      <c r="AR127" s="6" t="str">
        <f>IFERROR(__xludf.DUMMYFUNCTION("""COMPUTED_VALUE"""),"Julián")</f>
        <v>Julián</v>
      </c>
      <c r="AS127" s="6"/>
      <c r="AT127" s="6" t="str">
        <f>IFERROR(__xludf.DUMMYFUNCTION("""COMPUTED_VALUE"""),"Patiño Rincón")</f>
        <v>Patiño Rincón</v>
      </c>
      <c r="AU127" s="6" t="str">
        <f>IFERROR(__xludf.DUMMYFUNCTION("""COMPUTED_VALUE"""),"jupatino374@gmail.com")</f>
        <v>jupatino374@gmail.com</v>
      </c>
      <c r="AV127" s="6"/>
      <c r="AW127" s="6" t="str">
        <f>IFERROR(__xludf.DUMMYFUNCTION("""COMPUTED_VALUE"""),"don pollo SAS ")</f>
        <v>don pollo SAS </v>
      </c>
      <c r="AX127" s="12" t="str">
        <f>IFERROR(__xludf.DUMMYFUNCTION("""COMPUTED_VALUE"""),"1094934473")</f>
        <v>1094934473</v>
      </c>
      <c r="AY127" s="12" t="str">
        <f>IFERROR(__xludf.DUMMYFUNCTION("""COMPUTED_VALUE"""),"3128196243")</f>
        <v>3128196243</v>
      </c>
      <c r="AZ127" s="6" t="str">
        <f>IFERROR(__xludf.DUMMYFUNCTION("""COMPUTED_VALUE"""),"Padre")</f>
        <v>Padre</v>
      </c>
      <c r="BA127" s="6"/>
      <c r="BB127" s="6"/>
      <c r="BC127" s="6"/>
      <c r="BD127" s="12" t="str">
        <f>IFERROR(__xludf.DUMMYFUNCTION("""COMPUTED_VALUE"""),"pat0003")</f>
        <v>pat0003</v>
      </c>
      <c r="BE127" s="6"/>
      <c r="BF127" s="12" t="str">
        <f>IFERROR(__xludf.DUMMYFUNCTION("""COMPUTED_VALUE"""),"2M+9m OCT/25 A SEP/26 SE APLICA MATR Y CTOS ESPECIALES")</f>
        <v>2M+9m OCT/25 A SEP/26 SE APLICA MATR Y CTOS ESPECIALES</v>
      </c>
      <c r="BG127" s="6">
        <f>IFERROR(__xludf.DUMMYFUNCTION("""COMPUTED_VALUE"""),2039.0)</f>
        <v>2039</v>
      </c>
      <c r="BH127" s="15">
        <f>IFERROR(__xludf.DUMMYFUNCTION("""COMPUTED_VALUE"""),46209.590416666666)</f>
        <v>46209.59042</v>
      </c>
      <c r="BI127" s="6">
        <f>IFERROR(__xludf.DUMMYFUNCTION("""COMPUTED_VALUE"""),126.0)</f>
        <v>126</v>
      </c>
      <c r="BJ127" s="6"/>
      <c r="BK127" s="6"/>
      <c r="BL127" s="6" t="str">
        <f>IFERROR(__xludf.DUMMYFUNCTION("""COMPUTED_VALUE"""),"GISPAT0003")</f>
        <v>GISPAT0003</v>
      </c>
      <c r="BM127" s="6"/>
      <c r="BN127" s="6"/>
      <c r="BO127" s="6" t="str">
        <f>IFERROR(__xludf.DUMMYFUNCTION("""COMPUTED_VALUE"""),"XC_K5_Futbol")</f>
        <v>XC_K5_Futbol</v>
      </c>
      <c r="BP127" s="6" t="str">
        <f>IFERROR(__xludf.DUMMYFUNCTION("""COMPUTED_VALUE"""),"XC_K5_IniciaMusical")</f>
        <v>XC_K5_IniciaMusical</v>
      </c>
      <c r="BQ127" s="6"/>
      <c r="BR127" s="6" t="str">
        <f>IFERROR(__xludf.DUMMYFUNCTION("""COMPUTED_VALUE"""),"XC_K5_Futbol")</f>
        <v>XC_K5_Futbol</v>
      </c>
      <c r="BS127" s="6"/>
      <c r="BT127" s="6"/>
      <c r="BU127" s="6" t="str">
        <f>IFERROR(__xludf.DUMMYFUNCTION("""COMPUTED_VALUE"""),"SI")</f>
        <v>SI</v>
      </c>
      <c r="BV127" s="6" t="str">
        <f>IFERROR(__xludf.DUMMYFUNCTION("""COMPUTED_VALUE"""),"anthony.p2039")</f>
        <v>anthony.p2039</v>
      </c>
      <c r="BW127" s="6"/>
      <c r="BX127" s="6"/>
      <c r="BY127" s="6"/>
      <c r="BZ127" s="6"/>
    </row>
    <row r="128">
      <c r="A128" s="12">
        <f>IFERROR(__xludf.DUMMYFUNCTION("""COMPUTED_VALUE"""),1.091889597E9)</f>
        <v>1091889597</v>
      </c>
      <c r="B128" s="6">
        <f>IFERROR(__xludf.DUMMYFUNCTION("""COMPUTED_VALUE"""),17.0)</f>
        <v>17</v>
      </c>
      <c r="C128" s="6" t="str">
        <f>IFERROR(__xludf.DUMMYFUNCTION("""COMPUTED_VALUE"""),"Jacobo")</f>
        <v>Jacobo</v>
      </c>
      <c r="D128" s="6"/>
      <c r="E128" s="6" t="str">
        <f>IFERROR(__xludf.DUMMYFUNCTION("""COMPUTED_VALUE"""),"Restrepo Orozco")</f>
        <v>Restrepo Orozco</v>
      </c>
      <c r="F128" s="6" t="str">
        <f>IFERROR(__xludf.DUMMYFUNCTION("""COMPUTED_VALUE"""),"Conjunto Residencial Castellon Manzana J Casa 14 -Calle 19Nte No10 - 41")</f>
        <v>Conjunto Residencial Castellon Manzana J Casa 14 -Calle 19Nte No10 - 41</v>
      </c>
      <c r="G128" s="12" t="str">
        <f>IFERROR(__xludf.DUMMYFUNCTION("""COMPUTED_VALUE"""),"2020")</f>
        <v>2020</v>
      </c>
      <c r="H128" s="6" t="str">
        <f>IFERROR(__xludf.DUMMYFUNCTION("""COMPUTED_VALUE"""),"Octubre")</f>
        <v>Octubre</v>
      </c>
      <c r="I128" s="12" t="str">
        <f>IFERROR(__xludf.DUMMYFUNCTION("""COMPUTED_VALUE"""),"11")</f>
        <v>11</v>
      </c>
      <c r="J128" s="6" t="str">
        <f>IFERROR(__xludf.DUMMYFUNCTION("""COMPUTED_VALUE"""),"Armenia")</f>
        <v>Armenia</v>
      </c>
      <c r="K128" s="6" t="str">
        <f>IFERROR(__xludf.DUMMYFUNCTION("""COMPUTED_VALUE"""),"jacobo.r2039@gi.edu.co")</f>
        <v>jacobo.r2039@gi.edu.co</v>
      </c>
      <c r="L128" s="6" t="str">
        <f>IFERROR(__xludf.DUMMYFUNCTION("""COMPUTED_VALUE"""),"RC")</f>
        <v>RC</v>
      </c>
      <c r="M128" s="6" t="str">
        <f>IFERROR(__xludf.DUMMYFUNCTION("""COMPUTED_VALUE"""),"Armenia")</f>
        <v>Armenia</v>
      </c>
      <c r="N128" s="6" t="str">
        <f>IFERROR(__xludf.DUMMYFUNCTION("""COMPUTED_VALUE"""),"M")</f>
        <v>M</v>
      </c>
      <c r="O128" s="6" t="str">
        <f>IFERROR(__xludf.DUMMYFUNCTION("""COMPUTED_VALUE"""),"ACTIVE")</f>
        <v>ACTIVE</v>
      </c>
      <c r="P128" s="6"/>
      <c r="Q128" s="6" t="str">
        <f>IFERROR(__xludf.DUMMYFUNCTION("""COMPUTED_VALUE"""),"Armenia")</f>
        <v>Armenia</v>
      </c>
      <c r="R128" s="12" t="str">
        <f>IFERROR(__xludf.DUMMYFUNCTION("""COMPUTED_VALUE"""),"Gi37tybf*")</f>
        <v>Gi37tybf*</v>
      </c>
      <c r="S128" s="6" t="str">
        <f>IFERROR(__xludf.DUMMYFUNCTION("""COMPUTED_VALUE"""),"Restrepo Orozco Jacobo ")</f>
        <v>Restrepo Orozco Jacobo </v>
      </c>
      <c r="T128" s="6" t="str">
        <f>IFERROR(__xludf.DUMMYFUNCTION("""COMPUTED_VALUE"""),"HUGO ALEJANDRO RESTREPO AGUDELO")</f>
        <v>HUGO ALEJANDRO RESTREPO AGUDELO</v>
      </c>
      <c r="U128" s="12" t="str">
        <f>IFERROR(__xludf.DUMMYFUNCTION("""COMPUTED_VALUE"""),"9770879")</f>
        <v>9770879</v>
      </c>
      <c r="V128" s="6">
        <f>IFERROR(__xludf.DUMMYFUNCTION("""COMPUTED_VALUE"""),3.104992041E9)</f>
        <v>3104992041</v>
      </c>
      <c r="W128" s="6" t="str">
        <f>IFERROR(__xludf.DUMMYFUNCTION("""COMPUTED_VALUE"""),"hugorestrepo99@gmail.com")</f>
        <v>hugorestrepo99@gmail.com</v>
      </c>
      <c r="X128" s="12" t="str">
        <f>IFERROR(__xludf.DUMMYFUNCTION("""COMPUTED_VALUE"""),"A+")</f>
        <v>A+</v>
      </c>
      <c r="Y128" s="12" t="str">
        <f>IFERROR(__xludf.DUMMYFUNCTION("""COMPUTED_VALUE"""),"K5")</f>
        <v>K5</v>
      </c>
      <c r="Z128" s="12">
        <f>IFERROR(__xludf.DUMMYFUNCTION("""COMPUTED_VALUE"""),120408.0)</f>
        <v>120408</v>
      </c>
      <c r="AA128" s="6" t="str">
        <f>IFERROR(__xludf.DUMMYFUNCTION("""COMPUTED_VALUE"""),"SURA")</f>
        <v>SURA</v>
      </c>
      <c r="AB128" s="6"/>
      <c r="AC128" s="6"/>
      <c r="AD128" s="12" t="str">
        <f>IFERROR(__xludf.DUMMYFUNCTION("""COMPUTED_VALUE"""),"K5A")</f>
        <v>K5A</v>
      </c>
      <c r="AE128" s="12" t="str">
        <f>IFERROR(__xludf.DUMMYFUNCTION("""COMPUTED_VALUE"""),"1345282408")</f>
        <v>1345282408</v>
      </c>
      <c r="AF128" s="12" t="str">
        <f>IFERROR(__xludf.DUMMYFUNCTION("""COMPUTED_VALUE"""),"1345282408")</f>
        <v>1345282408</v>
      </c>
      <c r="AG128" s="12" t="str">
        <f>IFERROR(__xludf.DUMMYFUNCTION("""COMPUTED_VALUE"""),"Luisa")</f>
        <v>Luisa</v>
      </c>
      <c r="AH128" s="12" t="str">
        <f>IFERROR(__xludf.DUMMYFUNCTION("""COMPUTED_VALUE"""),"Fernanda")</f>
        <v>Fernanda</v>
      </c>
      <c r="AI128" s="6" t="str">
        <f>IFERROR(__xludf.DUMMYFUNCTION("""COMPUTED_VALUE"""),"Orozco Piedrahita")</f>
        <v>Orozco Piedrahita</v>
      </c>
      <c r="AJ128" s="6" t="str">
        <f>IFERROR(__xludf.DUMMYFUNCTION("""COMPUTED_VALUE"""),"luisafdaoro@gmail.com")</f>
        <v>luisafdaoro@gmail.com</v>
      </c>
      <c r="AK128" s="6" t="str">
        <f>IFERROR(__xludf.DUMMYFUNCTION("""COMPUTED_VALUE"""),"Psicóloga")</f>
        <v>Psicóloga</v>
      </c>
      <c r="AL128" s="6" t="str">
        <f>IFERROR(__xludf.DUMMYFUNCTION("""COMPUTED_VALUE"""),"Centro de bienestar Terra Nova")</f>
        <v>Centro de bienestar Terra Nova</v>
      </c>
      <c r="AM128" s="12" t="str">
        <f>IFERROR(__xludf.DUMMYFUNCTION("""COMPUTED_VALUE"""),"1094938761")</f>
        <v>1094938761</v>
      </c>
      <c r="AN128" s="12" t="str">
        <f>IFERROR(__xludf.DUMMYFUNCTION("""COMPUTED_VALUE"""),"3113508795")</f>
        <v>3113508795</v>
      </c>
      <c r="AO128" s="6" t="str">
        <f>IFERROR(__xludf.DUMMYFUNCTION("""COMPUTED_VALUE"""),"Madre")</f>
        <v>Madre</v>
      </c>
      <c r="AP128" s="6" t="str">
        <f>IFERROR(__xludf.DUMMYFUNCTION("""COMPUTED_VALUE"""),"Estudiante(s): Restrepo Orozco")</f>
        <v>Estudiante(s): Restrepo Orozco</v>
      </c>
      <c r="AQ128" s="6" t="str">
        <f>IFERROR(__xludf.DUMMYFUNCTION("""COMPUTED_VALUE"""),"120408*Gi")</f>
        <v>120408*Gi</v>
      </c>
      <c r="AR128" s="6" t="str">
        <f>IFERROR(__xludf.DUMMYFUNCTION("""COMPUTED_VALUE"""),"Hugo")</f>
        <v>Hugo</v>
      </c>
      <c r="AS128" s="6" t="str">
        <f>IFERROR(__xludf.DUMMYFUNCTION("""COMPUTED_VALUE"""),"Alejandro")</f>
        <v>Alejandro</v>
      </c>
      <c r="AT128" s="6" t="str">
        <f>IFERROR(__xludf.DUMMYFUNCTION("""COMPUTED_VALUE"""),"Restrepo Agudelo")</f>
        <v>Restrepo Agudelo</v>
      </c>
      <c r="AU128" s="6" t="str">
        <f>IFERROR(__xludf.DUMMYFUNCTION("""COMPUTED_VALUE"""),"hugorestrepo99@gmail.com")</f>
        <v>hugorestrepo99@gmail.com</v>
      </c>
      <c r="AV128" s="6" t="str">
        <f>IFERROR(__xludf.DUMMYFUNCTION("""COMPUTED_VALUE"""),"Administrador de empresas")</f>
        <v>Administrador de empresas</v>
      </c>
      <c r="AW128" s="6" t="str">
        <f>IFERROR(__xludf.DUMMYFUNCTION("""COMPUTED_VALUE"""),"Fca las camelias")</f>
        <v>Fca las camelias</v>
      </c>
      <c r="AX128" s="12" t="str">
        <f>IFERROR(__xludf.DUMMYFUNCTION("""COMPUTED_VALUE"""),"9770879")</f>
        <v>9770879</v>
      </c>
      <c r="AY128" s="12">
        <f>IFERROR(__xludf.DUMMYFUNCTION("""COMPUTED_VALUE"""),3.104992041E9)</f>
        <v>3104992041</v>
      </c>
      <c r="AZ128" s="6" t="str">
        <f>IFERROR(__xludf.DUMMYFUNCTION("""COMPUTED_VALUE"""),"Padre")</f>
        <v>Padre</v>
      </c>
      <c r="BA128" s="6"/>
      <c r="BB128" s="6"/>
      <c r="BC128" s="6"/>
      <c r="BD128" s="12" t="str">
        <f>IFERROR(__xludf.DUMMYFUNCTION("""COMPUTED_VALUE"""),"res0010")</f>
        <v>res0010</v>
      </c>
      <c r="BE128" s="6"/>
      <c r="BF128" s="6"/>
      <c r="BG128" s="6">
        <f>IFERROR(__xludf.DUMMYFUNCTION("""COMPUTED_VALUE"""),2039.0)</f>
        <v>2039</v>
      </c>
      <c r="BH128" s="15">
        <f>IFERROR(__xludf.DUMMYFUNCTION("""COMPUTED_VALUE"""),46239.03703703704)</f>
        <v>46239.03704</v>
      </c>
      <c r="BI128" s="6">
        <f>IFERROR(__xludf.DUMMYFUNCTION("""COMPUTED_VALUE"""),127.0)</f>
        <v>127</v>
      </c>
      <c r="BJ128" s="6"/>
      <c r="BK128" s="6"/>
      <c r="BL128" s="6" t="str">
        <f>IFERROR(__xludf.DUMMYFUNCTION("""COMPUTED_VALUE"""),"GISRES0010")</f>
        <v>GISRES0010</v>
      </c>
      <c r="BM128" s="6"/>
      <c r="BN128" s="6"/>
      <c r="BO128" s="6"/>
      <c r="BP128" s="6"/>
      <c r="BQ128" s="6"/>
      <c r="BR128" s="6"/>
      <c r="BS128" s="6"/>
      <c r="BT128" s="6"/>
      <c r="BU128" s="6" t="str">
        <f>IFERROR(__xludf.DUMMYFUNCTION("""COMPUTED_VALUE"""),"SI")</f>
        <v>SI</v>
      </c>
      <c r="BV128" s="6" t="str">
        <f>IFERROR(__xludf.DUMMYFUNCTION("""COMPUTED_VALUE"""),"jacobo.r2039")</f>
        <v>jacobo.r2039</v>
      </c>
      <c r="BW128" s="6"/>
      <c r="BX128" s="6"/>
      <c r="BY128" s="6"/>
      <c r="BZ128" s="6"/>
    </row>
    <row r="129">
      <c r="A129" s="12">
        <f>IFERROR(__xludf.DUMMYFUNCTION("""COMPUTED_VALUE"""),1.023595869E9)</f>
        <v>1023595869</v>
      </c>
      <c r="B129" s="6">
        <f>IFERROR(__xludf.DUMMYFUNCTION("""COMPUTED_VALUE"""),18.0)</f>
        <v>18</v>
      </c>
      <c r="C129" s="6" t="str">
        <f>IFERROR(__xludf.DUMMYFUNCTION("""COMPUTED_VALUE"""),"Celeste")</f>
        <v>Celeste</v>
      </c>
      <c r="D129" s="6"/>
      <c r="E129" s="6" t="str">
        <f>IFERROR(__xludf.DUMMYFUNCTION("""COMPUTED_VALUE"""),"Soto Giraldo")</f>
        <v>Soto Giraldo</v>
      </c>
      <c r="F129" s="6" t="str">
        <f>IFERROR(__xludf.DUMMYFUNCTION("""COMPUTED_VALUE"""),"Condominio Arboretum Torre 1 Apto 404 - Calle 27 Nte No5 00 Av Centenario")</f>
        <v>Condominio Arboretum Torre 1 Apto 404 - Calle 27 Nte No5 00 Av Centenario</v>
      </c>
      <c r="G129" s="12" t="str">
        <f>IFERROR(__xludf.DUMMYFUNCTION("""COMPUTED_VALUE"""),"2021")</f>
        <v>2021</v>
      </c>
      <c r="H129" s="6" t="str">
        <f>IFERROR(__xludf.DUMMYFUNCTION("""COMPUTED_VALUE"""),"Febrero")</f>
        <v>Febrero</v>
      </c>
      <c r="I129" s="12" t="str">
        <f>IFERROR(__xludf.DUMMYFUNCTION("""COMPUTED_VALUE"""),"22")</f>
        <v>22</v>
      </c>
      <c r="J129" s="6" t="str">
        <f>IFERROR(__xludf.DUMMYFUNCTION("""COMPUTED_VALUE"""),"Medellín")</f>
        <v>Medellín</v>
      </c>
      <c r="K129" s="6" t="str">
        <f>IFERROR(__xludf.DUMMYFUNCTION("""COMPUTED_VALUE"""),"celeste.s2039@gi.edu.co")</f>
        <v>celeste.s2039@gi.edu.co</v>
      </c>
      <c r="L129" s="6" t="str">
        <f>IFERROR(__xludf.DUMMYFUNCTION("""COMPUTED_VALUE"""),"RC")</f>
        <v>RC</v>
      </c>
      <c r="M129" s="6" t="str">
        <f>IFERROR(__xludf.DUMMYFUNCTION("""COMPUTED_VALUE"""),"Medellín")</f>
        <v>Medellín</v>
      </c>
      <c r="N129" s="6" t="str">
        <f>IFERROR(__xludf.DUMMYFUNCTION("""COMPUTED_VALUE"""),"F")</f>
        <v>F</v>
      </c>
      <c r="O129" s="6" t="str">
        <f>IFERROR(__xludf.DUMMYFUNCTION("""COMPUTED_VALUE"""),"ACTIVE")</f>
        <v>ACTIVE</v>
      </c>
      <c r="P129" s="6"/>
      <c r="Q129" s="6" t="str">
        <f>IFERROR(__xludf.DUMMYFUNCTION("""COMPUTED_VALUE"""),"Armenia")</f>
        <v>Armenia</v>
      </c>
      <c r="R129" s="12" t="str">
        <f>IFERROR(__xludf.DUMMYFUNCTION("""COMPUTED_VALUE"""),"Gi5hk2q6*")</f>
        <v>Gi5hk2q6*</v>
      </c>
      <c r="S129" s="6" t="str">
        <f>IFERROR(__xludf.DUMMYFUNCTION("""COMPUTED_VALUE"""),"Soto Giraldo Celeste ")</f>
        <v>Soto Giraldo Celeste </v>
      </c>
      <c r="T129" s="6" t="str">
        <f>IFERROR(__xludf.DUMMYFUNCTION("""COMPUTED_VALUE"""),"ANA MARIA GIRALDO ARISTIZABAL")</f>
        <v>ANA MARIA GIRALDO ARISTIZABAL</v>
      </c>
      <c r="U129" s="12" t="str">
        <f>IFERROR(__xludf.DUMMYFUNCTION("""COMPUTED_VALUE"""),"41962364
")</f>
        <v>41962364
</v>
      </c>
      <c r="V129" s="6">
        <f>IFERROR(__xludf.DUMMYFUNCTION("""COMPUTED_VALUE"""),3.00785723E9)</f>
        <v>3007857230</v>
      </c>
      <c r="W129" s="6" t="str">
        <f>IFERROR(__xludf.DUMMYFUNCTION("""COMPUTED_VALUE"""),"anis1101@hotmail.com
")</f>
        <v>anis1101@hotmail.com
</v>
      </c>
      <c r="X129" s="12" t="str">
        <f>IFERROR(__xludf.DUMMYFUNCTION("""COMPUTED_VALUE"""),"O+")</f>
        <v>O+</v>
      </c>
      <c r="Y129" s="12" t="str">
        <f>IFERROR(__xludf.DUMMYFUNCTION("""COMPUTED_VALUE"""),"K5")</f>
        <v>K5</v>
      </c>
      <c r="Z129" s="12">
        <f>IFERROR(__xludf.DUMMYFUNCTION("""COMPUTED_VALUE"""),120483.0)</f>
        <v>120483</v>
      </c>
      <c r="AA129" s="6" t="str">
        <f>IFERROR(__xludf.DUMMYFUNCTION("""COMPUTED_VALUE"""),"SURA")</f>
        <v>SURA</v>
      </c>
      <c r="AB129" s="6"/>
      <c r="AC129" s="6"/>
      <c r="AD129" s="12" t="str">
        <f>IFERROR(__xludf.DUMMYFUNCTION("""COMPUTED_VALUE"""),"K5A")</f>
        <v>K5A</v>
      </c>
      <c r="AE129" s="12" t="str">
        <f>IFERROR(__xludf.DUMMYFUNCTION("""COMPUTED_VALUE"""),"1345282481")</f>
        <v>1345282481</v>
      </c>
      <c r="AF129" s="12" t="str">
        <f>IFERROR(__xludf.DUMMYFUNCTION("""COMPUTED_VALUE"""),"1345282481")</f>
        <v>1345282481</v>
      </c>
      <c r="AG129" s="12" t="str">
        <f>IFERROR(__xludf.DUMMYFUNCTION("""COMPUTED_VALUE"""),"Ana")</f>
        <v>Ana</v>
      </c>
      <c r="AH129" s="12" t="str">
        <f>IFERROR(__xludf.DUMMYFUNCTION("""COMPUTED_VALUE"""),"María")</f>
        <v>María</v>
      </c>
      <c r="AI129" s="6" t="str">
        <f>IFERROR(__xludf.DUMMYFUNCTION("""COMPUTED_VALUE"""),"Giraldo Aristizábal")</f>
        <v>Giraldo Aristizábal</v>
      </c>
      <c r="AJ129" s="6" t="str">
        <f>IFERROR(__xludf.DUMMYFUNCTION("""COMPUTED_VALUE"""),"anis1101@hotmail.com")</f>
        <v>anis1101@hotmail.com</v>
      </c>
      <c r="AK129" s="6" t="str">
        <f>IFERROR(__xludf.DUMMYFUNCTION("""COMPUTED_VALUE"""),"Administradora de Empresas")</f>
        <v>Administradora de Empresas</v>
      </c>
      <c r="AL129" s="6" t="str">
        <f>IFERROR(__xludf.DUMMYFUNCTION("""COMPUTED_VALUE"""),"Bancolombia ")</f>
        <v>Bancolombia </v>
      </c>
      <c r="AM129" s="12" t="str">
        <f>IFERROR(__xludf.DUMMYFUNCTION("""COMPUTED_VALUE"""),"41962364")</f>
        <v>41962364</v>
      </c>
      <c r="AN129" s="12" t="str">
        <f>IFERROR(__xludf.DUMMYFUNCTION("""COMPUTED_VALUE"""),"3007857230")</f>
        <v>3007857230</v>
      </c>
      <c r="AO129" s="6" t="str">
        <f>IFERROR(__xludf.DUMMYFUNCTION("""COMPUTED_VALUE"""),"Madre")</f>
        <v>Madre</v>
      </c>
      <c r="AP129" s="6" t="str">
        <f>IFERROR(__xludf.DUMMYFUNCTION("""COMPUTED_VALUE"""),"Estudiante(s): Soto Giraldo")</f>
        <v>Estudiante(s): Soto Giraldo</v>
      </c>
      <c r="AQ129" s="6" t="str">
        <f>IFERROR(__xludf.DUMMYFUNCTION("""COMPUTED_VALUE"""),"120483*Gi")</f>
        <v>120483*Gi</v>
      </c>
      <c r="AR129" s="6"/>
      <c r="AS129" s="6"/>
      <c r="AT129" s="6"/>
      <c r="AU129" s="6"/>
      <c r="AV129" s="6"/>
      <c r="AW129" s="6"/>
      <c r="AX129" s="6"/>
      <c r="AY129" s="6"/>
      <c r="AZ129" s="6"/>
      <c r="BA129" s="6" t="str">
        <f>IFERROR(__xludf.DUMMYFUNCTION("""COMPUTED_VALUE"""),"JUAN DAVID ARISTIZABAL MUNOZ")</f>
        <v>JUAN DAVID ARISTIZABAL MUNOZ</v>
      </c>
      <c r="BB129" s="6">
        <f>IFERROR(__xludf.DUMMYFUNCTION("""COMPUTED_VALUE"""),3.206950732E9)</f>
        <v>3206950732</v>
      </c>
      <c r="BC129" s="6" t="str">
        <f>IFERROR(__xludf.DUMMYFUNCTION("""COMPUTED_VALUE"""),"otro")</f>
        <v>otro</v>
      </c>
      <c r="BD129" s="12" t="str">
        <f>IFERROR(__xludf.DUMMYFUNCTION("""COMPUTED_VALUE"""),"sot0004")</f>
        <v>sot0004</v>
      </c>
      <c r="BE129" s="6"/>
      <c r="BF129" s="6"/>
      <c r="BG129" s="6">
        <f>IFERROR(__xludf.DUMMYFUNCTION("""COMPUTED_VALUE"""),2039.0)</f>
        <v>2039</v>
      </c>
      <c r="BH129" s="16">
        <f>IFERROR(__xludf.DUMMYFUNCTION("""COMPUTED_VALUE"""),46209.554131944446)</f>
        <v>46209.55413</v>
      </c>
      <c r="BI129" s="6">
        <f>IFERROR(__xludf.DUMMYFUNCTION("""COMPUTED_VALUE"""),128.0)</f>
        <v>128</v>
      </c>
      <c r="BJ129" s="6"/>
      <c r="BK129" s="6"/>
      <c r="BL129" s="6" t="str">
        <f>IFERROR(__xludf.DUMMYFUNCTION("""COMPUTED_VALUE"""),"GISSOT0004")</f>
        <v>GISSOT0004</v>
      </c>
      <c r="BM129" s="6"/>
      <c r="BN129" s="6"/>
      <c r="BO129" s="6"/>
      <c r="BP129" s="6"/>
      <c r="BQ129" s="6"/>
      <c r="BR129" s="6"/>
      <c r="BS129" s="6"/>
      <c r="BT129" s="6"/>
      <c r="BU129" s="6" t="str">
        <f>IFERROR(__xludf.DUMMYFUNCTION("""COMPUTED_VALUE"""),"SI")</f>
        <v>SI</v>
      </c>
      <c r="BV129" s="6" t="str">
        <f>IFERROR(__xludf.DUMMYFUNCTION("""COMPUTED_VALUE"""),"celeste.s2039")</f>
        <v>celeste.s2039</v>
      </c>
      <c r="BW129" s="6"/>
      <c r="BX129" s="6"/>
      <c r="BY129" s="6"/>
      <c r="BZ129" s="6"/>
    </row>
    <row r="130">
      <c r="A130" s="12">
        <f>IFERROR(__xludf.DUMMYFUNCTION("""COMPUTED_VALUE"""),1.092864936E9)</f>
        <v>1092864936</v>
      </c>
      <c r="B130" s="6">
        <f>IFERROR(__xludf.DUMMYFUNCTION("""COMPUTED_VALUE"""),19.0)</f>
        <v>19</v>
      </c>
      <c r="C130" s="6" t="str">
        <f>IFERROR(__xludf.DUMMYFUNCTION("""COMPUTED_VALUE"""),"Agustín")</f>
        <v>Agustín</v>
      </c>
      <c r="D130" s="6"/>
      <c r="E130" s="6" t="str">
        <f>IFERROR(__xludf.DUMMYFUNCTION("""COMPUTED_VALUE"""),"Toro Lozano")</f>
        <v>Toro Lozano</v>
      </c>
      <c r="F130" s="6" t="str">
        <f>IFERROR(__xludf.DUMMYFUNCTION("""COMPUTED_VALUE"""),"Condominio Cedro Negro Casa 11 - Km 6 Via Circasia Vereda El Congal")</f>
        <v>Condominio Cedro Negro Casa 11 - Km 6 Via Circasia Vereda El Congal</v>
      </c>
      <c r="G130" s="12" t="str">
        <f>IFERROR(__xludf.DUMMYFUNCTION("""COMPUTED_VALUE"""),"2021")</f>
        <v>2021</v>
      </c>
      <c r="H130" s="6" t="str">
        <f>IFERROR(__xludf.DUMMYFUNCTION("""COMPUTED_VALUE"""),"Marzo")</f>
        <v>Marzo</v>
      </c>
      <c r="I130" s="12" t="str">
        <f>IFERROR(__xludf.DUMMYFUNCTION("""COMPUTED_VALUE"""),"5")</f>
        <v>5</v>
      </c>
      <c r="J130" s="6" t="str">
        <f>IFERROR(__xludf.DUMMYFUNCTION("""COMPUTED_VALUE"""),"Armenia")</f>
        <v>Armenia</v>
      </c>
      <c r="K130" s="6" t="str">
        <f>IFERROR(__xludf.DUMMYFUNCTION("""COMPUTED_VALUE"""),"agustin.t2039@gi.edu.co")</f>
        <v>agustin.t2039@gi.edu.co</v>
      </c>
      <c r="L130" s="6" t="str">
        <f>IFERROR(__xludf.DUMMYFUNCTION("""COMPUTED_VALUE"""),"RC")</f>
        <v>RC</v>
      </c>
      <c r="M130" s="6" t="str">
        <f>IFERROR(__xludf.DUMMYFUNCTION("""COMPUTED_VALUE"""),"Armenia")</f>
        <v>Armenia</v>
      </c>
      <c r="N130" s="6" t="str">
        <f>IFERROR(__xludf.DUMMYFUNCTION("""COMPUTED_VALUE"""),"M")</f>
        <v>M</v>
      </c>
      <c r="O130" s="6" t="str">
        <f>IFERROR(__xludf.DUMMYFUNCTION("""COMPUTED_VALUE"""),"ACTIVE")</f>
        <v>ACTIVE</v>
      </c>
      <c r="P130" s="6"/>
      <c r="Q130" s="6" t="str">
        <f>IFERROR(__xludf.DUMMYFUNCTION("""COMPUTED_VALUE"""),"Armenia")</f>
        <v>Armenia</v>
      </c>
      <c r="R130" s="12" t="str">
        <f>IFERROR(__xludf.DUMMYFUNCTION("""COMPUTED_VALUE"""),"GiLi5rD*")</f>
        <v>GiLi5rD*</v>
      </c>
      <c r="S130" s="6" t="str">
        <f>IFERROR(__xludf.DUMMYFUNCTION("""COMPUTED_VALUE"""),"Toro Lozano Agustín ")</f>
        <v>Toro Lozano Agustín </v>
      </c>
      <c r="T130" s="6" t="str">
        <f>IFERROR(__xludf.DUMMYFUNCTION("""COMPUTED_VALUE"""),"PAULO ANDRES TORO CAIPA")</f>
        <v>PAULO ANDRES TORO CAIPA</v>
      </c>
      <c r="U130" s="12" t="str">
        <f>IFERROR(__xludf.DUMMYFUNCTION("""COMPUTED_VALUE"""),"89007592")</f>
        <v>89007592</v>
      </c>
      <c r="V130" s="6">
        <f>IFERROR(__xludf.DUMMYFUNCTION("""COMPUTED_VALUE"""),3.113012691E9)</f>
        <v>3113012691</v>
      </c>
      <c r="W130" s="6" t="str">
        <f>IFERROR(__xludf.DUMMYFUNCTION("""COMPUTED_VALUE"""),"paulo_toro@hotmail.com")</f>
        <v>paulo_toro@hotmail.com</v>
      </c>
      <c r="X130" s="12" t="str">
        <f>IFERROR(__xludf.DUMMYFUNCTION("""COMPUTED_VALUE"""),"O+")</f>
        <v>O+</v>
      </c>
      <c r="Y130" s="12" t="str">
        <f>IFERROR(__xludf.DUMMYFUNCTION("""COMPUTED_VALUE"""),"K5")</f>
        <v>K5</v>
      </c>
      <c r="Z130" s="12">
        <f>IFERROR(__xludf.DUMMYFUNCTION("""COMPUTED_VALUE"""),120326.0)</f>
        <v>120326</v>
      </c>
      <c r="AA130" s="6" t="str">
        <f>IFERROR(__xludf.DUMMYFUNCTION("""COMPUTED_VALUE"""),"SURA")</f>
        <v>SURA</v>
      </c>
      <c r="AB130" s="6"/>
      <c r="AC130" s="6"/>
      <c r="AD130" s="12" t="str">
        <f>IFERROR(__xludf.DUMMYFUNCTION("""COMPUTED_VALUE"""),"K5A")</f>
        <v>K5A</v>
      </c>
      <c r="AE130" s="12">
        <f>IFERROR(__xludf.DUMMYFUNCTION("""COMPUTED_VALUE"""),1.345282328E9)</f>
        <v>1345282328</v>
      </c>
      <c r="AF130" s="12" t="str">
        <f>IFERROR(__xludf.DUMMYFUNCTION("""COMPUTED_VALUE"""),"1345282328")</f>
        <v>1345282328</v>
      </c>
      <c r="AG130" s="12" t="str">
        <f>IFERROR(__xludf.DUMMYFUNCTION("""COMPUTED_VALUE"""),"Diana")</f>
        <v>Diana</v>
      </c>
      <c r="AH130" s="12" t="str">
        <f>IFERROR(__xludf.DUMMYFUNCTION("""COMPUTED_VALUE"""),"Patricia")</f>
        <v>Patricia</v>
      </c>
      <c r="AI130" s="6" t="str">
        <f>IFERROR(__xludf.DUMMYFUNCTION("""COMPUTED_VALUE"""),"Lozano Castro")</f>
        <v>Lozano Castro</v>
      </c>
      <c r="AJ130" s="6" t="str">
        <f>IFERROR(__xludf.DUMMYFUNCTION("""COMPUTED_VALUE"""),"dianalozano.arq@gmail.com")</f>
        <v>dianalozano.arq@gmail.com</v>
      </c>
      <c r="AK130" s="6" t="str">
        <f>IFERROR(__xludf.DUMMYFUNCTION("""COMPUTED_VALUE"""),"Arquitectura")</f>
        <v>Arquitectura</v>
      </c>
      <c r="AL130" s="6" t="str">
        <f>IFERROR(__xludf.DUMMYFUNCTION("""COMPUTED_VALUE"""),"sena")</f>
        <v>sena</v>
      </c>
      <c r="AM130" s="12" t="str">
        <f>IFERROR(__xludf.DUMMYFUNCTION("""COMPUTED_VALUE"""),"41943504")</f>
        <v>41943504</v>
      </c>
      <c r="AN130" s="12" t="str">
        <f>IFERROR(__xludf.DUMMYFUNCTION("""COMPUTED_VALUE"""),"3006127515")</f>
        <v>3006127515</v>
      </c>
      <c r="AO130" s="6" t="str">
        <f>IFERROR(__xludf.DUMMYFUNCTION("""COMPUTED_VALUE"""),"Madre")</f>
        <v>Madre</v>
      </c>
      <c r="AP130" s="6" t="str">
        <f>IFERROR(__xludf.DUMMYFUNCTION("""COMPUTED_VALUE"""),"Estudiante(s): Toro Lozano")</f>
        <v>Estudiante(s): Toro Lozano</v>
      </c>
      <c r="AQ130" s="6" t="str">
        <f>IFERROR(__xludf.DUMMYFUNCTION("""COMPUTED_VALUE"""),"120326*Gi")</f>
        <v>120326*Gi</v>
      </c>
      <c r="AR130" s="6" t="str">
        <f>IFERROR(__xludf.DUMMYFUNCTION("""COMPUTED_VALUE"""),"Paulo")</f>
        <v>Paulo</v>
      </c>
      <c r="AS130" s="6" t="str">
        <f>IFERROR(__xludf.DUMMYFUNCTION("""COMPUTED_VALUE"""),"Andrés")</f>
        <v>Andrés</v>
      </c>
      <c r="AT130" s="6" t="str">
        <f>IFERROR(__xludf.DUMMYFUNCTION("""COMPUTED_VALUE"""),"Toro Caipa")</f>
        <v>Toro Caipa</v>
      </c>
      <c r="AU130" s="6" t="str">
        <f>IFERROR(__xludf.DUMMYFUNCTION("""COMPUTED_VALUE"""),"paulo_toro@hotmail.com")</f>
        <v>paulo_toro@hotmail.com</v>
      </c>
      <c r="AV130" s="6" t="str">
        <f>IFERROR(__xludf.DUMMYFUNCTION("""COMPUTED_VALUE"""),"Ingeniería Civil")</f>
        <v>Ingeniería Civil</v>
      </c>
      <c r="AW130" s="6"/>
      <c r="AX130" s="12" t="str">
        <f>IFERROR(__xludf.DUMMYFUNCTION("""COMPUTED_VALUE"""),"89007592")</f>
        <v>89007592</v>
      </c>
      <c r="AY130" s="12" t="str">
        <f>IFERROR(__xludf.DUMMYFUNCTION("""COMPUTED_VALUE"""),"3113012691")</f>
        <v>3113012691</v>
      </c>
      <c r="AZ130" s="6" t="str">
        <f>IFERROR(__xludf.DUMMYFUNCTION("""COMPUTED_VALUE"""),"Padre")</f>
        <v>Padre</v>
      </c>
      <c r="BA130" s="6"/>
      <c r="BB130" s="6"/>
      <c r="BC130" s="6"/>
      <c r="BD130" s="12" t="str">
        <f>IFERROR(__xludf.DUMMYFUNCTION("""COMPUTED_VALUE"""),"tor0009")</f>
        <v>tor0009</v>
      </c>
      <c r="BE130" s="6"/>
      <c r="BF130" s="6"/>
      <c r="BG130" s="6">
        <f>IFERROR(__xludf.DUMMYFUNCTION("""COMPUTED_VALUE"""),2039.0)</f>
        <v>2039</v>
      </c>
      <c r="BH130" s="15">
        <f>IFERROR(__xludf.DUMMYFUNCTION("""COMPUTED_VALUE"""),46224.39665509259)</f>
        <v>46224.39666</v>
      </c>
      <c r="BI130" s="6">
        <f>IFERROR(__xludf.DUMMYFUNCTION("""COMPUTED_VALUE"""),129.0)</f>
        <v>129</v>
      </c>
      <c r="BJ130" s="6"/>
      <c r="BK130" s="6"/>
      <c r="BL130" s="6" t="str">
        <f>IFERROR(__xludf.DUMMYFUNCTION("""COMPUTED_VALUE"""),"GISTOR0009")</f>
        <v>GISTOR0009</v>
      </c>
      <c r="BM130" s="6"/>
      <c r="BN130" s="6"/>
      <c r="BO130" s="6" t="str">
        <f>IFERROR(__xludf.DUMMYFUNCTION("""COMPUTED_VALUE"""),"XC_K5_Futbol")</f>
        <v>XC_K5_Futbol</v>
      </c>
      <c r="BP130" s="6"/>
      <c r="BQ130" s="6"/>
      <c r="BR130" s="6" t="str">
        <f>IFERROR(__xludf.DUMMYFUNCTION("""COMPUTED_VALUE"""),"XC_K5_Futbol")</f>
        <v>XC_K5_Futbol</v>
      </c>
      <c r="BS130" s="6"/>
      <c r="BT130" s="6"/>
      <c r="BU130" s="6" t="str">
        <f>IFERROR(__xludf.DUMMYFUNCTION("""COMPUTED_VALUE"""),"SI")</f>
        <v>SI</v>
      </c>
      <c r="BV130" s="6" t="str">
        <f>IFERROR(__xludf.DUMMYFUNCTION("""COMPUTED_VALUE"""),"agustin.t2039")</f>
        <v>agustin.t2039</v>
      </c>
      <c r="BW130" s="6"/>
      <c r="BX130" s="6"/>
      <c r="BY130" s="6"/>
      <c r="BZ130" s="6"/>
    </row>
    <row r="131">
      <c r="A131" s="12">
        <f>IFERROR(__xludf.DUMMYFUNCTION("""COMPUTED_VALUE"""),1.094985028E9)</f>
        <v>1094985028</v>
      </c>
      <c r="B131" s="6">
        <f>IFERROR(__xludf.DUMMYFUNCTION("""COMPUTED_VALUE"""),20.0)</f>
        <v>20</v>
      </c>
      <c r="C131" s="6" t="str">
        <f>IFERROR(__xludf.DUMMYFUNCTION("""COMPUTED_VALUE"""),"Willow")</f>
        <v>Willow</v>
      </c>
      <c r="D131" s="6" t="str">
        <f>IFERROR(__xludf.DUMMYFUNCTION("""COMPUTED_VALUE"""),"Grace")</f>
        <v>Grace</v>
      </c>
      <c r="E131" s="6" t="str">
        <f>IFERROR(__xludf.DUMMYFUNCTION("""COMPUTED_VALUE"""),"Tredrea")</f>
        <v>Tredrea</v>
      </c>
      <c r="F131" s="6" t="str">
        <f>IFERROR(__xludf.DUMMYFUNCTION("""COMPUTED_VALUE"""),"Bosques De Toscana Casa 6 - Km 3 Via Armenia - Circasia")</f>
        <v>Bosques De Toscana Casa 6 - Km 3 Via Armenia - Circasia</v>
      </c>
      <c r="G131" s="12" t="str">
        <f>IFERROR(__xludf.DUMMYFUNCTION("""COMPUTED_VALUE"""),"2021")</f>
        <v>2021</v>
      </c>
      <c r="H131" s="6" t="str">
        <f>IFERROR(__xludf.DUMMYFUNCTION("""COMPUTED_VALUE"""),"Junio")</f>
        <v>Junio</v>
      </c>
      <c r="I131" s="12" t="str">
        <f>IFERROR(__xludf.DUMMYFUNCTION("""COMPUTED_VALUE"""),"19")</f>
        <v>19</v>
      </c>
      <c r="J131" s="6"/>
      <c r="K131" s="6" t="str">
        <f>IFERROR(__xludf.DUMMYFUNCTION("""COMPUTED_VALUE"""),"grace.t2039@gi.edu.co")</f>
        <v>grace.t2039@gi.edu.co</v>
      </c>
      <c r="L131" s="6" t="str">
        <f>IFERROR(__xludf.DUMMYFUNCTION("""COMPUTED_VALUE"""),"RC")</f>
        <v>RC</v>
      </c>
      <c r="M131" s="6" t="str">
        <f>IFERROR(__xludf.DUMMYFUNCTION("""COMPUTED_VALUE"""),"Armenia")</f>
        <v>Armenia</v>
      </c>
      <c r="N131" s="6" t="str">
        <f>IFERROR(__xludf.DUMMYFUNCTION("""COMPUTED_VALUE"""),"F")</f>
        <v>F</v>
      </c>
      <c r="O131" s="6" t="str">
        <f>IFERROR(__xludf.DUMMYFUNCTION("""COMPUTED_VALUE"""),"INACTIVE")</f>
        <v>INACTIVE</v>
      </c>
      <c r="P131" s="6"/>
      <c r="Q131" s="6"/>
      <c r="R131" s="12" t="str">
        <f>IFERROR(__xludf.DUMMYFUNCTION("""COMPUTED_VALUE"""),"Giu88n4e*")</f>
        <v>Giu88n4e*</v>
      </c>
      <c r="S131" s="6" t="str">
        <f>IFERROR(__xludf.DUMMYFUNCTION("""COMPUTED_VALUE"""),"Tredrea Willow Grace")</f>
        <v>Tredrea Willow Grace</v>
      </c>
      <c r="T131" s="6" t="str">
        <f>IFERROR(__xludf.DUMMYFUNCTION("""COMPUTED_VALUE"""),"KIEL THOMAS TREDREA")</f>
        <v>KIEL THOMAS TREDREA</v>
      </c>
      <c r="U131" s="12" t="str">
        <f>IFERROR(__xludf.DUMMYFUNCTION("""COMPUTED_VALUE"""),"7772953")</f>
        <v>7772953</v>
      </c>
      <c r="V131" s="6">
        <f>IFERROR(__xludf.DUMMYFUNCTION("""COMPUTED_VALUE"""),3.104954212E9)</f>
        <v>3104954212</v>
      </c>
      <c r="W131" s="6" t="str">
        <f>IFERROR(__xludf.DUMMYFUNCTION("""COMPUTED_VALUE"""),"kiel@teamtredrea.com")</f>
        <v>kiel@teamtredrea.com</v>
      </c>
      <c r="X131" s="12" t="str">
        <f>IFERROR(__xludf.DUMMYFUNCTION("""COMPUTED_VALUE"""),"O-")</f>
        <v>O-</v>
      </c>
      <c r="Y131" s="12" t="str">
        <f>IFERROR(__xludf.DUMMYFUNCTION("""COMPUTED_VALUE"""),"K5")</f>
        <v>K5</v>
      </c>
      <c r="Z131" s="6">
        <f>IFERROR(__xludf.DUMMYFUNCTION("""COMPUTED_VALUE"""),120536.0)</f>
        <v>120536</v>
      </c>
      <c r="AA131" s="6" t="str">
        <f>IFERROR(__xludf.DUMMYFUNCTION("""COMPUTED_VALUE"""),"SURA")</f>
        <v>SURA</v>
      </c>
      <c r="AB131" s="6"/>
      <c r="AC131" s="6"/>
      <c r="AD131" s="12" t="str">
        <f>IFERROR(__xludf.DUMMYFUNCTION("""COMPUTED_VALUE"""),"K5A")</f>
        <v>K5A</v>
      </c>
      <c r="AE131" s="12" t="str">
        <f>IFERROR(__xludf.DUMMYFUNCTION("""COMPUTED_VALUE"""),"1345282535")</f>
        <v>1345282535</v>
      </c>
      <c r="AF131" s="12" t="str">
        <f>IFERROR(__xludf.DUMMYFUNCTION("""COMPUTED_VALUE"""),"1345282535")</f>
        <v>1345282535</v>
      </c>
      <c r="AG131" s="12" t="str">
        <f>IFERROR(__xludf.DUMMYFUNCTION("""COMPUTED_VALUE"""),"Ana")</f>
        <v>Ana</v>
      </c>
      <c r="AH131" s="12" t="str">
        <f>IFERROR(__xludf.DUMMYFUNCTION("""COMPUTED_VALUE"""),"Marcela")</f>
        <v>Marcela</v>
      </c>
      <c r="AI131" s="6" t="str">
        <f>IFERROR(__xludf.DUMMYFUNCTION("""COMPUTED_VALUE"""),"Calderón Echeverry")</f>
        <v>Calderón Echeverry</v>
      </c>
      <c r="AJ131" s="6" t="str">
        <f>IFERROR(__xludf.DUMMYFUNCTION("""COMPUTED_VALUE"""),"ana@teamtredrea.com")</f>
        <v>ana@teamtredrea.com</v>
      </c>
      <c r="AK131" s="6" t="str">
        <f>IFERROR(__xludf.DUMMYFUNCTION("""COMPUTED_VALUE"""),"Independiente ")</f>
        <v>Independiente </v>
      </c>
      <c r="AL131" s="6" t="str">
        <f>IFERROR(__xludf.DUMMYFUNCTION("""COMPUTED_VALUE"""),"LUXEVIDA co")</f>
        <v>LUXEVIDA co</v>
      </c>
      <c r="AM131" s="12" t="str">
        <f>IFERROR(__xludf.DUMMYFUNCTION("""COMPUTED_VALUE"""),"1125979868")</f>
        <v>1125979868</v>
      </c>
      <c r="AN131" s="12" t="str">
        <f>IFERROR(__xludf.DUMMYFUNCTION("""COMPUTED_VALUE"""),"3136325695")</f>
        <v>3136325695</v>
      </c>
      <c r="AO131" s="6" t="str">
        <f>IFERROR(__xludf.DUMMYFUNCTION("""COMPUTED_VALUE"""),"Madre")</f>
        <v>Madre</v>
      </c>
      <c r="AP131" s="6" t="str">
        <f>IFERROR(__xludf.DUMMYFUNCTION("""COMPUTED_VALUE"""),"Estudiante(s): Tredrea")</f>
        <v>Estudiante(s): Tredrea</v>
      </c>
      <c r="AQ131" s="6" t="str">
        <f>IFERROR(__xludf.DUMMYFUNCTION("""COMPUTED_VALUE"""),"120536*Gi")</f>
        <v>120536*Gi</v>
      </c>
      <c r="AR131" s="6" t="str">
        <f>IFERROR(__xludf.DUMMYFUNCTION("""COMPUTED_VALUE"""),"Kiel")</f>
        <v>Kiel</v>
      </c>
      <c r="AS131" s="6" t="str">
        <f>IFERROR(__xludf.DUMMYFUNCTION("""COMPUTED_VALUE"""),"Thomas")</f>
        <v>Thomas</v>
      </c>
      <c r="AT131" s="6" t="str">
        <f>IFERROR(__xludf.DUMMYFUNCTION("""COMPUTED_VALUE"""),"Tredrea")</f>
        <v>Tredrea</v>
      </c>
      <c r="AU131" s="6" t="str">
        <f>IFERROR(__xludf.DUMMYFUNCTION("""COMPUTED_VALUE"""),"kiel@teamtredrea.com")</f>
        <v>kiel@teamtredrea.com</v>
      </c>
      <c r="AV131" s="6" t="str">
        <f>IFERROR(__xludf.DUMMYFUNCTION("""COMPUTED_VALUE"""),"Independiente ")</f>
        <v>Independiente </v>
      </c>
      <c r="AW131" s="6" t="str">
        <f>IFERROR(__xludf.DUMMYFUNCTION("""COMPUTED_VALUE"""),"Creation assets inc")</f>
        <v>Creation assets inc</v>
      </c>
      <c r="AX131" s="12" t="str">
        <f>IFERROR(__xludf.DUMMYFUNCTION("""COMPUTED_VALUE"""),"7772953")</f>
        <v>7772953</v>
      </c>
      <c r="AY131" s="12" t="str">
        <f>IFERROR(__xludf.DUMMYFUNCTION("""COMPUTED_VALUE"""),"3104954212")</f>
        <v>3104954212</v>
      </c>
      <c r="AZ131" s="6" t="str">
        <f>IFERROR(__xludf.DUMMYFUNCTION("""COMPUTED_VALUE"""),"Padre")</f>
        <v>Padre</v>
      </c>
      <c r="BA131" s="6"/>
      <c r="BB131" s="6"/>
      <c r="BC131" s="6"/>
      <c r="BD131" s="12" t="str">
        <f>IFERROR(__xludf.DUMMYFUNCTION("""COMPUTED_VALUE"""),"tre0002")</f>
        <v>tre0002</v>
      </c>
      <c r="BE131" s="6" t="str">
        <f>IFERROR(__xludf.DUMMYFUNCTION("""COMPUTED_VALUE"""),"FALTAN FIRMAS")</f>
        <v>FALTAN FIRMAS</v>
      </c>
      <c r="BF131" s="6"/>
      <c r="BG131" s="6">
        <f>IFERROR(__xludf.DUMMYFUNCTION("""COMPUTED_VALUE"""),2039.0)</f>
        <v>2039</v>
      </c>
      <c r="BH131" s="15">
        <f>IFERROR(__xludf.DUMMYFUNCTION("""COMPUTED_VALUE"""),46211.481145833335)</f>
        <v>46211.48115</v>
      </c>
      <c r="BI131" s="6">
        <f>IFERROR(__xludf.DUMMYFUNCTION("""COMPUTED_VALUE"""),130.0)</f>
        <v>130</v>
      </c>
      <c r="BJ131" s="6"/>
      <c r="BK131" s="6"/>
      <c r="BL131" s="6" t="str">
        <f>IFERROR(__xludf.DUMMYFUNCTION("""COMPUTED_VALUE"""),"GISTRE0002")</f>
        <v>GISTRE0002</v>
      </c>
      <c r="BM131" s="6"/>
      <c r="BN131" s="6"/>
      <c r="BO131" s="6" t="str">
        <f>IFERROR(__xludf.DUMMYFUNCTION("""COMPUTED_VALUE"""),"XC_K5_Polimotor")</f>
        <v>XC_K5_Polimotor</v>
      </c>
      <c r="BP131" s="6" t="str">
        <f>IFERROR(__xludf.DUMMYFUNCTION("""COMPUTED_VALUE"""),"XC_K5_IniciaMusical")</f>
        <v>XC_K5_IniciaMusical</v>
      </c>
      <c r="BQ131" s="6"/>
      <c r="BR131" s="6" t="str">
        <f>IFERROR(__xludf.DUMMYFUNCTION("""COMPUTED_VALUE"""),"XC_K5_Polimotor")</f>
        <v>XC_K5_Polimotor</v>
      </c>
      <c r="BS131" s="6"/>
      <c r="BT131" s="6"/>
      <c r="BU131" s="6" t="str">
        <f>IFERROR(__xludf.DUMMYFUNCTION("""COMPUTED_VALUE"""),"SI")</f>
        <v>SI</v>
      </c>
      <c r="BV131" s="6" t="str">
        <f>IFERROR(__xludf.DUMMYFUNCTION("""COMPUTED_VALUE"""),"grace.t2039")</f>
        <v>grace.t2039</v>
      </c>
      <c r="BW131" s="6"/>
      <c r="BX131" s="6"/>
      <c r="BY131" s="6"/>
      <c r="B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 t="str">
        <f>IFERROR(__xludf.DUMMYFUNCTION("""COMPUTED_VALUE"""),"Madre")</f>
        <v>Madre</v>
      </c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 t="str">
        <f>IFERROR(__xludf.DUMMYFUNCTION("""COMPUTED_VALUE"""),"Padre")</f>
        <v>Padre</v>
      </c>
      <c r="BA132" s="6"/>
      <c r="BB132" s="6"/>
      <c r="BC132" s="6"/>
      <c r="BD132" s="6"/>
      <c r="BE132" s="6"/>
      <c r="BF132" s="6"/>
      <c r="BG132" s="6"/>
      <c r="BH132" s="6"/>
      <c r="BI132" s="6">
        <f>IFERROR(__xludf.DUMMYFUNCTION("""COMPUTED_VALUE"""),131.0)</f>
        <v>131</v>
      </c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</row>
    <row r="133">
      <c r="A133" s="12">
        <f>IFERROR(__xludf.DUMMYFUNCTION("""COMPUTED_VALUE"""),1.092466902E9)</f>
        <v>1092466902</v>
      </c>
      <c r="B133" s="6">
        <f>IFERROR(__xludf.DUMMYFUNCTION("""COMPUTED_VALUE"""),1.0)</f>
        <v>1</v>
      </c>
      <c r="C133" s="6" t="str">
        <f>IFERROR(__xludf.DUMMYFUNCTION("""COMPUTED_VALUE"""),"Nicole")</f>
        <v>Nicole</v>
      </c>
      <c r="D133" s="6" t="str">
        <f>IFERROR(__xludf.DUMMYFUNCTION("""COMPUTED_VALUE"""),"Fernanda")</f>
        <v>Fernanda</v>
      </c>
      <c r="E133" s="6" t="str">
        <f>IFERROR(__xludf.DUMMYFUNCTION("""COMPUTED_VALUE"""),"Cordón Arango")</f>
        <v>Cordón Arango</v>
      </c>
      <c r="F133" s="6" t="str">
        <f>IFERROR(__xludf.DUMMYFUNCTION("""COMPUTED_VALUE"""),"Condominio Arboretum - Calle 27 Nte No5 00 Av Centenario")</f>
        <v>Condominio Arboretum - Calle 27 Nte No5 00 Av Centenario</v>
      </c>
      <c r="G133" s="12" t="str">
        <f>IFERROR(__xludf.DUMMYFUNCTION("""COMPUTED_VALUE"""),"2020")</f>
        <v>2020</v>
      </c>
      <c r="H133" s="6" t="str">
        <f>IFERROR(__xludf.DUMMYFUNCTION("""COMPUTED_VALUE"""),"Septiembre")</f>
        <v>Septiembre</v>
      </c>
      <c r="I133" s="12" t="str">
        <f>IFERROR(__xludf.DUMMYFUNCTION("""COMPUTED_VALUE"""),"19")</f>
        <v>19</v>
      </c>
      <c r="J133" s="6" t="str">
        <f>IFERROR(__xludf.DUMMYFUNCTION("""COMPUTED_VALUE"""),"Armenia")</f>
        <v>Armenia</v>
      </c>
      <c r="K133" s="6" t="str">
        <f>IFERROR(__xludf.DUMMYFUNCTION("""COMPUTED_VALUE"""),"nicole.c2039@gi.edu.co")</f>
        <v>nicole.c2039@gi.edu.co</v>
      </c>
      <c r="L133" s="6" t="str">
        <f>IFERROR(__xludf.DUMMYFUNCTION("""COMPUTED_VALUE"""),"RC")</f>
        <v>RC</v>
      </c>
      <c r="M133" s="6" t="str">
        <f>IFERROR(__xludf.DUMMYFUNCTION("""COMPUTED_VALUE"""),"Armenia")</f>
        <v>Armenia</v>
      </c>
      <c r="N133" s="6" t="str">
        <f>IFERROR(__xludf.DUMMYFUNCTION("""COMPUTED_VALUE"""),"F")</f>
        <v>F</v>
      </c>
      <c r="O133" s="6" t="str">
        <f>IFERROR(__xludf.DUMMYFUNCTION("""COMPUTED_VALUE"""),"ACTIVE")</f>
        <v>ACTIVE</v>
      </c>
      <c r="P133" s="6"/>
      <c r="Q133" s="6" t="str">
        <f>IFERROR(__xludf.DUMMYFUNCTION("""COMPUTED_VALUE"""),"Armenia")</f>
        <v>Armenia</v>
      </c>
      <c r="R133" s="12" t="str">
        <f>IFERROR(__xludf.DUMMYFUNCTION("""COMPUTED_VALUE"""),"Gih37onn*")</f>
        <v>Gih37onn*</v>
      </c>
      <c r="S133" s="6" t="str">
        <f>IFERROR(__xludf.DUMMYFUNCTION("""COMPUTED_VALUE"""),"Cordón Arango Nicole Fernanda")</f>
        <v>Cordón Arango Nicole Fernanda</v>
      </c>
      <c r="T133" s="6" t="str">
        <f>IFERROR(__xludf.DUMMYFUNCTION("""COMPUTED_VALUE"""),"LINA MARIA ARANGO TINOCO")</f>
        <v>LINA MARIA ARANGO TINOCO</v>
      </c>
      <c r="U133" s="12" t="str">
        <f>IFERROR(__xludf.DUMMYFUNCTION("""COMPUTED_VALUE"""),"41943976")</f>
        <v>41943976</v>
      </c>
      <c r="V133" s="6">
        <f>IFERROR(__xludf.DUMMYFUNCTION("""COMPUTED_VALUE"""),3.17572189E9)</f>
        <v>3175721890</v>
      </c>
      <c r="W133" s="6" t="str">
        <f>IFERROR(__xludf.DUMMYFUNCTION("""COMPUTED_VALUE"""),"linatinoco@hotmail.com")</f>
        <v>linatinoco@hotmail.com</v>
      </c>
      <c r="X133" s="12" t="str">
        <f>IFERROR(__xludf.DUMMYFUNCTION("""COMPUTED_VALUE"""),"O+")</f>
        <v>O+</v>
      </c>
      <c r="Y133" s="12" t="str">
        <f>IFERROR(__xludf.DUMMYFUNCTION("""COMPUTED_VALUE"""),"K5")</f>
        <v>K5</v>
      </c>
      <c r="Z133" s="6">
        <f>IFERROR(__xludf.DUMMYFUNCTION("""COMPUTED_VALUE"""),120546.0)</f>
        <v>120546</v>
      </c>
      <c r="AA133" s="6" t="str">
        <f>IFERROR(__xludf.DUMMYFUNCTION("""COMPUTED_VALUE"""),"SURA")</f>
        <v>SURA</v>
      </c>
      <c r="AB133" s="6"/>
      <c r="AC133" s="12" t="str">
        <f>IFERROR(__xludf.DUMMYFUNCTION("""COMPUTED_VALUE"""),"Leche entera")</f>
        <v>Leche entera</v>
      </c>
      <c r="AD133" s="12" t="str">
        <f>IFERROR(__xludf.DUMMYFUNCTION("""COMPUTED_VALUE"""),"K5B")</f>
        <v>K5B</v>
      </c>
      <c r="AE133" s="12" t="str">
        <f>IFERROR(__xludf.DUMMYFUNCTION("""COMPUTED_VALUE"""),"1345282539")</f>
        <v>1345282539</v>
      </c>
      <c r="AF133" s="12" t="str">
        <f>IFERROR(__xludf.DUMMYFUNCTION("""COMPUTED_VALUE"""),"1345282539")</f>
        <v>1345282539</v>
      </c>
      <c r="AG133" s="12" t="str">
        <f>IFERROR(__xludf.DUMMYFUNCTION("""COMPUTED_VALUE"""),"Lina")</f>
        <v>Lina</v>
      </c>
      <c r="AH133" s="12" t="str">
        <f>IFERROR(__xludf.DUMMYFUNCTION("""COMPUTED_VALUE"""),"María")</f>
        <v>María</v>
      </c>
      <c r="AI133" s="6" t="str">
        <f>IFERROR(__xludf.DUMMYFUNCTION("""COMPUTED_VALUE"""),"Arango Tinoco")</f>
        <v>Arango Tinoco</v>
      </c>
      <c r="AJ133" s="6" t="str">
        <f>IFERROR(__xludf.DUMMYFUNCTION("""COMPUTED_VALUE"""),"linatinoco@hotmail.com")</f>
        <v>linatinoco@hotmail.com</v>
      </c>
      <c r="AK133" s="6" t="str">
        <f>IFERROR(__xludf.DUMMYFUNCTION("""COMPUTED_VALUE"""),"Independiente ")</f>
        <v>Independiente </v>
      </c>
      <c r="AL133" s="6" t="str">
        <f>IFERROR(__xludf.DUMMYFUNCTION("""COMPUTED_VALUE"""),"Rentista")</f>
        <v>Rentista</v>
      </c>
      <c r="AM133" s="12" t="str">
        <f>IFERROR(__xludf.DUMMYFUNCTION("""COMPUTED_VALUE"""),"41943976")</f>
        <v>41943976</v>
      </c>
      <c r="AN133" s="12" t="str">
        <f>IFERROR(__xludf.DUMMYFUNCTION("""COMPUTED_VALUE"""),"3175721890")</f>
        <v>3175721890</v>
      </c>
      <c r="AO133" s="6" t="str">
        <f>IFERROR(__xludf.DUMMYFUNCTION("""COMPUTED_VALUE"""),"Madre")</f>
        <v>Madre</v>
      </c>
      <c r="AP133" s="6" t="str">
        <f>IFERROR(__xludf.DUMMYFUNCTION("""COMPUTED_VALUE"""),"Estudiante(s): Cordón Arango")</f>
        <v>Estudiante(s): Cordón Arango</v>
      </c>
      <c r="AQ133" s="6" t="str">
        <f>IFERROR(__xludf.DUMMYFUNCTION("""COMPUTED_VALUE"""),"120546*Gi")</f>
        <v>120546*Gi</v>
      </c>
      <c r="AR133" s="6" t="str">
        <f>IFERROR(__xludf.DUMMYFUNCTION("""COMPUTED_VALUE"""),"Fernando")</f>
        <v>Fernando</v>
      </c>
      <c r="AS133" s="6" t="str">
        <f>IFERROR(__xludf.DUMMYFUNCTION("""COMPUTED_VALUE"""),"Andree")</f>
        <v>Andree</v>
      </c>
      <c r="AT133" s="6" t="str">
        <f>IFERROR(__xludf.DUMMYFUNCTION("""COMPUTED_VALUE"""),"Cordón Donis")</f>
        <v>Cordón Donis</v>
      </c>
      <c r="AU133" s="6" t="str">
        <f>IFERROR(__xludf.DUMMYFUNCTION("""COMPUTED_VALUE"""),"fernando.cordon@hotmail.com")</f>
        <v>fernando.cordon@hotmail.com</v>
      </c>
      <c r="AV133" s="6" t="str">
        <f>IFERROR(__xludf.DUMMYFUNCTION("""COMPUTED_VALUE"""),"Empresario ")</f>
        <v>Empresario </v>
      </c>
      <c r="AW133" s="6" t="str">
        <f>IFERROR(__xludf.DUMMYFUNCTION("""COMPUTED_VALUE"""),"Extreme staffing ")</f>
        <v>Extreme staffing </v>
      </c>
      <c r="AX133" s="12" t="str">
        <f>IFERROR(__xludf.DUMMYFUNCTION("""COMPUTED_VALUE"""),"213179687")</f>
        <v>213179687</v>
      </c>
      <c r="AY133" s="12" t="str">
        <f>IFERROR(__xludf.DUMMYFUNCTION("""COMPUTED_VALUE"""),"18175847255")</f>
        <v>18175847255</v>
      </c>
      <c r="AZ133" s="6" t="str">
        <f>IFERROR(__xludf.DUMMYFUNCTION("""COMPUTED_VALUE"""),"Padre")</f>
        <v>Padre</v>
      </c>
      <c r="BA133" s="6"/>
      <c r="BB133" s="6"/>
      <c r="BC133" s="6"/>
      <c r="BD133" s="12" t="str">
        <f>IFERROR(__xludf.DUMMYFUNCTION("""COMPUTED_VALUE"""),"cor0017")</f>
        <v>cor0017</v>
      </c>
      <c r="BE133" s="6"/>
      <c r="BF133" s="6"/>
      <c r="BG133" s="6">
        <f>IFERROR(__xludf.DUMMYFUNCTION("""COMPUTED_VALUE"""),2039.0)</f>
        <v>2039</v>
      </c>
      <c r="BH133" s="15">
        <f>IFERROR(__xludf.DUMMYFUNCTION("""COMPUTED_VALUE"""),46209.53114583333)</f>
        <v>46209.53115</v>
      </c>
      <c r="BI133" s="6">
        <f>IFERROR(__xludf.DUMMYFUNCTION("""COMPUTED_VALUE"""),132.0)</f>
        <v>132</v>
      </c>
      <c r="BJ133" s="6"/>
      <c r="BK133" s="6"/>
      <c r="BL133" s="6" t="str">
        <f>IFERROR(__xludf.DUMMYFUNCTION("""COMPUTED_VALUE"""),"GISCOR0017")</f>
        <v>GISCOR0017</v>
      </c>
      <c r="BM133" s="6"/>
      <c r="BN133" s="6"/>
      <c r="BO133" s="6" t="str">
        <f>IFERROR(__xludf.DUMMYFUNCTION("""COMPUTED_VALUE"""),"XC_K5_Polimotor")</f>
        <v>XC_K5_Polimotor</v>
      </c>
      <c r="BP133" s="6"/>
      <c r="BQ133" s="6"/>
      <c r="BR133" s="6" t="str">
        <f>IFERROR(__xludf.DUMMYFUNCTION("""COMPUTED_VALUE"""),"XC_K5_Polimotor")</f>
        <v>XC_K5_Polimotor</v>
      </c>
      <c r="BS133" s="6"/>
      <c r="BT133" s="6"/>
      <c r="BU133" s="6" t="str">
        <f>IFERROR(__xludf.DUMMYFUNCTION("""COMPUTED_VALUE"""),"SI")</f>
        <v>SI</v>
      </c>
      <c r="BV133" s="6" t="str">
        <f>IFERROR(__xludf.DUMMYFUNCTION("""COMPUTED_VALUE"""),"nicole.c2039")</f>
        <v>nicole.c2039</v>
      </c>
      <c r="BW133" s="6"/>
      <c r="BX133" s="6"/>
      <c r="BY133" s="6"/>
      <c r="BZ133" s="6"/>
    </row>
    <row r="134">
      <c r="A134" s="12">
        <f>IFERROR(__xludf.DUMMYFUNCTION("""COMPUTED_VALUE"""),1.091889665E9)</f>
        <v>1091889665</v>
      </c>
      <c r="B134" s="6">
        <f>IFERROR(__xludf.DUMMYFUNCTION("""COMPUTED_VALUE"""),2.0)</f>
        <v>2</v>
      </c>
      <c r="C134" s="6" t="str">
        <f>IFERROR(__xludf.DUMMYFUNCTION("""COMPUTED_VALUE"""),"Joaquin")</f>
        <v>Joaquin</v>
      </c>
      <c r="D134" s="6"/>
      <c r="E134" s="6" t="str">
        <f>IFERROR(__xludf.DUMMYFUNCTION("""COMPUTED_VALUE"""),"Echeverri Abello")</f>
        <v>Echeverri Abello</v>
      </c>
      <c r="F134" s="6" t="str">
        <f>IFERROR(__xludf.DUMMYFUNCTION("""COMPUTED_VALUE"""),"Condominio Portofino Casa 11 - Km 2.2 Via el Caimo Club Campestre")</f>
        <v>Condominio Portofino Casa 11 - Km 2.2 Via el Caimo Club Campestre</v>
      </c>
      <c r="G134" s="12" t="str">
        <f>IFERROR(__xludf.DUMMYFUNCTION("""COMPUTED_VALUE"""),"2020")</f>
        <v>2020</v>
      </c>
      <c r="H134" s="6" t="str">
        <f>IFERROR(__xludf.DUMMYFUNCTION("""COMPUTED_VALUE"""),"Diciembre")</f>
        <v>Diciembre</v>
      </c>
      <c r="I134" s="12" t="str">
        <f>IFERROR(__xludf.DUMMYFUNCTION("""COMPUTED_VALUE"""),"3")</f>
        <v>3</v>
      </c>
      <c r="J134" s="6" t="str">
        <f>IFERROR(__xludf.DUMMYFUNCTION("""COMPUTED_VALUE"""),"Armenia")</f>
        <v>Armenia</v>
      </c>
      <c r="K134" s="6" t="str">
        <f>IFERROR(__xludf.DUMMYFUNCTION("""COMPUTED_VALUE"""),"joaquin.e2039@gi.edu.co")</f>
        <v>joaquin.e2039@gi.edu.co</v>
      </c>
      <c r="L134" s="6" t="str">
        <f>IFERROR(__xludf.DUMMYFUNCTION("""COMPUTED_VALUE"""),"RC")</f>
        <v>RC</v>
      </c>
      <c r="M134" s="6" t="str">
        <f>IFERROR(__xludf.DUMMYFUNCTION("""COMPUTED_VALUE"""),"Armenia")</f>
        <v>Armenia</v>
      </c>
      <c r="N134" s="6" t="str">
        <f>IFERROR(__xludf.DUMMYFUNCTION("""COMPUTED_VALUE"""),"M")</f>
        <v>M</v>
      </c>
      <c r="O134" s="6" t="str">
        <f>IFERROR(__xludf.DUMMYFUNCTION("""COMPUTED_VALUE"""),"ACTIVE")</f>
        <v>ACTIVE</v>
      </c>
      <c r="P134" s="6"/>
      <c r="Q134" s="6" t="str">
        <f>IFERROR(__xludf.DUMMYFUNCTION("""COMPUTED_VALUE"""),"Armenia")</f>
        <v>Armenia</v>
      </c>
      <c r="R134" s="12" t="str">
        <f>IFERROR(__xludf.DUMMYFUNCTION("""COMPUTED_VALUE"""),"Gias23mn71*")</f>
        <v>Gias23mn71*</v>
      </c>
      <c r="S134" s="6" t="str">
        <f>IFERROR(__xludf.DUMMYFUNCTION("""COMPUTED_VALUE"""),"Echeverri Abello Joaquin ")</f>
        <v>Echeverri Abello Joaquin </v>
      </c>
      <c r="T134" s="6" t="str">
        <f>IFERROR(__xludf.DUMMYFUNCTION("""COMPUTED_VALUE"""),"ECHEVERRI CEBALLOS SANTIAGO")</f>
        <v>ECHEVERRI CEBALLOS SANTIAGO</v>
      </c>
      <c r="U134" s="12" t="str">
        <f>IFERROR(__xludf.DUMMYFUNCTION("""COMPUTED_VALUE"""),"1094884245")</f>
        <v>1094884245</v>
      </c>
      <c r="V134" s="6">
        <f>IFERROR(__xludf.DUMMYFUNCTION("""COMPUTED_VALUE"""),3.183503242E9)</f>
        <v>3183503242</v>
      </c>
      <c r="W134" s="6" t="str">
        <f>IFERROR(__xludf.DUMMYFUNCTION("""COMPUTED_VALUE"""),"santieche6@hotmail.com")</f>
        <v>santieche6@hotmail.com</v>
      </c>
      <c r="X134" s="12" t="str">
        <f>IFERROR(__xludf.DUMMYFUNCTION("""COMPUTED_VALUE"""),"A+")</f>
        <v>A+</v>
      </c>
      <c r="Y134" s="12" t="str">
        <f>IFERROR(__xludf.DUMMYFUNCTION("""COMPUTED_VALUE"""),"K5")</f>
        <v>K5</v>
      </c>
      <c r="Z134" s="12">
        <f>IFERROR(__xludf.DUMMYFUNCTION("""COMPUTED_VALUE"""),120461.0)</f>
        <v>120461</v>
      </c>
      <c r="AA134" s="6" t="str">
        <f>IFERROR(__xludf.DUMMYFUNCTION("""COMPUTED_VALUE"""),"SURA")</f>
        <v>SURA</v>
      </c>
      <c r="AB134" s="6"/>
      <c r="AC134" s="6"/>
      <c r="AD134" s="12" t="str">
        <f>IFERROR(__xludf.DUMMYFUNCTION("""COMPUTED_VALUE"""),"K5B")</f>
        <v>K5B</v>
      </c>
      <c r="AE134" s="12" t="str">
        <f>IFERROR(__xludf.DUMMYFUNCTION("""COMPUTED_VALUE"""),"1345282472")</f>
        <v>1345282472</v>
      </c>
      <c r="AF134" s="12" t="str">
        <f>IFERROR(__xludf.DUMMYFUNCTION("""COMPUTED_VALUE"""),"1345282472")</f>
        <v>1345282472</v>
      </c>
      <c r="AG134" s="12" t="str">
        <f>IFERROR(__xludf.DUMMYFUNCTION("""COMPUTED_VALUE"""),"Natalia")</f>
        <v>Natalia</v>
      </c>
      <c r="AH134" s="12" t="str">
        <f>IFERROR(__xludf.DUMMYFUNCTION("""COMPUTED_VALUE"""),"Andrea")</f>
        <v>Andrea</v>
      </c>
      <c r="AI134" s="6" t="str">
        <f>IFERROR(__xludf.DUMMYFUNCTION("""COMPUTED_VALUE"""),"Abello Camacho")</f>
        <v>Abello Camacho</v>
      </c>
      <c r="AJ134" s="6" t="str">
        <f>IFERROR(__xludf.DUMMYFUNCTION("""COMPUTED_VALUE"""),"n_abello@hotmail.com")</f>
        <v>n_abello@hotmail.com</v>
      </c>
      <c r="AK134" s="6" t="str">
        <f>IFERROR(__xludf.DUMMYFUNCTION("""COMPUTED_VALUE"""),"COMUNICADORA SOCIAL Y PERIODISTA")</f>
        <v>COMUNICADORA SOCIAL Y PERIODISTA</v>
      </c>
      <c r="AL134" s="6"/>
      <c r="AM134" s="12" t="str">
        <f>IFERROR(__xludf.DUMMYFUNCTION("""COMPUTED_VALUE"""),"36312910")</f>
        <v>36312910</v>
      </c>
      <c r="AN134" s="12" t="str">
        <f>IFERROR(__xludf.DUMMYFUNCTION("""COMPUTED_VALUE"""),"3174278989")</f>
        <v>3174278989</v>
      </c>
      <c r="AO134" s="6" t="str">
        <f>IFERROR(__xludf.DUMMYFUNCTION("""COMPUTED_VALUE"""),"Madre")</f>
        <v>Madre</v>
      </c>
      <c r="AP134" s="6" t="str">
        <f>IFERROR(__xludf.DUMMYFUNCTION("""COMPUTED_VALUE"""),"Estudiante(s): Echeverri Abello")</f>
        <v>Estudiante(s): Echeverri Abello</v>
      </c>
      <c r="AQ134" s="6" t="str">
        <f>IFERROR(__xludf.DUMMYFUNCTION("""COMPUTED_VALUE"""),"120461*Gi")</f>
        <v>120461*Gi</v>
      </c>
      <c r="AR134" s="6" t="str">
        <f>IFERROR(__xludf.DUMMYFUNCTION("""COMPUTED_VALUE"""),"Santiago")</f>
        <v>Santiago</v>
      </c>
      <c r="AS134" s="6"/>
      <c r="AT134" s="6" t="str">
        <f>IFERROR(__xludf.DUMMYFUNCTION("""COMPUTED_VALUE"""),"Echeverri Ceballos")</f>
        <v>Echeverri Ceballos</v>
      </c>
      <c r="AU134" s="6" t="str">
        <f>IFERROR(__xludf.DUMMYFUNCTION("""COMPUTED_VALUE"""),"santieche6@hotmail.com")</f>
        <v>santieche6@hotmail.com</v>
      </c>
      <c r="AV134" s="6" t="str">
        <f>IFERROR(__xludf.DUMMYFUNCTION("""COMPUTED_VALUE"""),"NEGOCIADOR INTERNACIONAL")</f>
        <v>NEGOCIADOR INTERNACIONAL</v>
      </c>
      <c r="AW134" s="6" t="str">
        <f>IFERROR(__xludf.DUMMYFUNCTION("""COMPUTED_VALUE"""),"FREE FLIGHT SYSTEMS")</f>
        <v>FREE FLIGHT SYSTEMS</v>
      </c>
      <c r="AX134" s="12" t="str">
        <f>IFERROR(__xludf.DUMMYFUNCTION("""COMPUTED_VALUE"""),"1094884245")</f>
        <v>1094884245</v>
      </c>
      <c r="AY134" s="12" t="str">
        <f>IFERROR(__xludf.DUMMYFUNCTION("""COMPUTED_VALUE"""),"3183503242")</f>
        <v>3183503242</v>
      </c>
      <c r="AZ134" s="6" t="str">
        <f>IFERROR(__xludf.DUMMYFUNCTION("""COMPUTED_VALUE"""),"Padre")</f>
        <v>Padre</v>
      </c>
      <c r="BA134" s="6"/>
      <c r="BB134" s="6"/>
      <c r="BC134" s="6"/>
      <c r="BD134" s="12" t="str">
        <f>IFERROR(__xludf.DUMMYFUNCTION("""COMPUTED_VALUE"""),"ech0007")</f>
        <v>ech0007</v>
      </c>
      <c r="BE134" s="6"/>
      <c r="BF134" s="6"/>
      <c r="BG134" s="6">
        <f>IFERROR(__xludf.DUMMYFUNCTION("""COMPUTED_VALUE"""),2039.0)</f>
        <v>2039</v>
      </c>
      <c r="BH134" s="15">
        <f>IFERROR(__xludf.DUMMYFUNCTION("""COMPUTED_VALUE"""),46205.67040509259)</f>
        <v>46205.67041</v>
      </c>
      <c r="BI134" s="6">
        <f>IFERROR(__xludf.DUMMYFUNCTION("""COMPUTED_VALUE"""),133.0)</f>
        <v>133</v>
      </c>
      <c r="BJ134" s="6"/>
      <c r="BK134" s="6"/>
      <c r="BL134" s="6" t="str">
        <f>IFERROR(__xludf.DUMMYFUNCTION("""COMPUTED_VALUE"""),"GISECH0007")</f>
        <v>GISECH0007</v>
      </c>
      <c r="BM134" s="6"/>
      <c r="BN134" s="6"/>
      <c r="BO134" s="6" t="str">
        <f>IFERROR(__xludf.DUMMYFUNCTION("""COMPUTED_VALUE"""),"XC_K5_Polimotor")</f>
        <v>XC_K5_Polimotor</v>
      </c>
      <c r="BP134" s="6"/>
      <c r="BQ134" s="6"/>
      <c r="BR134" s="6" t="str">
        <f>IFERROR(__xludf.DUMMYFUNCTION("""COMPUTED_VALUE"""),"XC_K5_Polimotor")</f>
        <v>XC_K5_Polimotor</v>
      </c>
      <c r="BS134" s="6"/>
      <c r="BT134" s="6"/>
      <c r="BU134" s="6" t="str">
        <f>IFERROR(__xludf.DUMMYFUNCTION("""COMPUTED_VALUE"""),"SI")</f>
        <v>SI</v>
      </c>
      <c r="BV134" s="6" t="str">
        <f>IFERROR(__xludf.DUMMYFUNCTION("""COMPUTED_VALUE"""),"joaquin.e2039")</f>
        <v>joaquin.e2039</v>
      </c>
      <c r="BW134" s="6"/>
      <c r="BX134" s="6"/>
      <c r="BY134" s="6"/>
      <c r="BZ134" s="6"/>
    </row>
    <row r="135">
      <c r="A135" s="12">
        <f>IFERROR(__xludf.DUMMYFUNCTION("""COMPUTED_VALUE"""),1.084609118E9)</f>
        <v>1084609118</v>
      </c>
      <c r="B135" s="6">
        <f>IFERROR(__xludf.DUMMYFUNCTION("""COMPUTED_VALUE"""),3.0)</f>
        <v>3</v>
      </c>
      <c r="C135" s="6" t="str">
        <f>IFERROR(__xludf.DUMMYFUNCTION("""COMPUTED_VALUE"""),"Tarek")</f>
        <v>Tarek</v>
      </c>
      <c r="D135" s="6"/>
      <c r="E135" s="6" t="str">
        <f>IFERROR(__xludf.DUMMYFUNCTION("""COMPUTED_VALUE"""),"Fakih Dávila")</f>
        <v>Fakih Dávila</v>
      </c>
      <c r="F135" s="6" t="str">
        <f>IFERROR(__xludf.DUMMYFUNCTION("""COMPUTED_VALUE"""),"Cra 10 No 15Nte - 9 - La Castellana")</f>
        <v>Cra 10 No 15Nte - 9 - La Castellana</v>
      </c>
      <c r="G135" s="12">
        <f>IFERROR(__xludf.DUMMYFUNCTION("""COMPUTED_VALUE"""),2020.0)</f>
        <v>2020</v>
      </c>
      <c r="H135" s="12" t="str">
        <f>IFERROR(__xludf.DUMMYFUNCTION("""COMPUTED_VALUE"""),"Septiembre")</f>
        <v>Septiembre</v>
      </c>
      <c r="I135" s="12">
        <f>IFERROR(__xludf.DUMMYFUNCTION("""COMPUTED_VALUE"""),18.0)</f>
        <v>18</v>
      </c>
      <c r="J135" s="6" t="str">
        <f>IFERROR(__xludf.DUMMYFUNCTION("""COMPUTED_VALUE"""),"Santa Marta")</f>
        <v>Santa Marta</v>
      </c>
      <c r="K135" s="12" t="str">
        <f>IFERROR(__xludf.DUMMYFUNCTION("""COMPUTED_VALUE"""),"tarek.f2039@gi.edu.co")</f>
        <v>tarek.f2039@gi.edu.co</v>
      </c>
      <c r="L135" s="6" t="str">
        <f>IFERROR(__xludf.DUMMYFUNCTION("""COMPUTED_VALUE"""),"RC")</f>
        <v>RC</v>
      </c>
      <c r="M135" s="6" t="str">
        <f>IFERROR(__xludf.DUMMYFUNCTION("""COMPUTED_VALUE"""),"Santa Marta")</f>
        <v>Santa Marta</v>
      </c>
      <c r="N135" s="6" t="str">
        <f>IFERROR(__xludf.DUMMYFUNCTION("""COMPUTED_VALUE"""),"M")</f>
        <v>M</v>
      </c>
      <c r="O135" s="6" t="str">
        <f>IFERROR(__xludf.DUMMYFUNCTION("""COMPUTED_VALUE"""),"ACTIVE")</f>
        <v>ACTIVE</v>
      </c>
      <c r="P135" s="6" t="str">
        <f>IFERROR(__xludf.DUMMYFUNCTION("""COMPUTED_VALUE"""),"Nvos Hermanos")</f>
        <v>Nvos Hermanos</v>
      </c>
      <c r="Q135" s="6" t="str">
        <f>IFERROR(__xludf.DUMMYFUNCTION("""COMPUTED_VALUE"""),"Armenia")</f>
        <v>Armenia</v>
      </c>
      <c r="R135" s="12" t="str">
        <f>IFERROR(__xludf.DUMMYFUNCTION("""COMPUTED_VALUE"""),"GiA3Vk7R*")</f>
        <v>GiA3Vk7R*</v>
      </c>
      <c r="S135" s="6" t="str">
        <f>IFERROR(__xludf.DUMMYFUNCTION("""COMPUTED_VALUE"""),"Fakih Dávila Tarek ")</f>
        <v>Fakih Dávila Tarek </v>
      </c>
      <c r="T135" s="6" t="str">
        <f>IFERROR(__xludf.DUMMYFUNCTION("""COMPUTED_VALUE"""),"MARIANA DAVILA ALZAMORA")</f>
        <v>MARIANA DAVILA ALZAMORA</v>
      </c>
      <c r="U135" s="12" t="str">
        <f>IFERROR(__xludf.DUMMYFUNCTION("""COMPUTED_VALUE"""),"1020756318")</f>
        <v>1020756318</v>
      </c>
      <c r="V135" s="6">
        <f>IFERROR(__xludf.DUMMYFUNCTION("""COMPUTED_VALUE"""),3.215398347E9)</f>
        <v>3215398347</v>
      </c>
      <c r="W135" s="6" t="str">
        <f>IFERROR(__xludf.DUMMYFUNCTION("""COMPUTED_VALUE"""),"mona.dav.85@gmail.com")</f>
        <v>mona.dav.85@gmail.com</v>
      </c>
      <c r="X135" s="12" t="str">
        <f>IFERROR(__xludf.DUMMYFUNCTION("""COMPUTED_VALUE"""),"O+")</f>
        <v>O+</v>
      </c>
      <c r="Y135" s="12" t="str">
        <f>IFERROR(__xludf.DUMMYFUNCTION("""COMPUTED_VALUE"""),"K5")</f>
        <v>K5</v>
      </c>
      <c r="Z135" s="6">
        <f>IFERROR(__xludf.DUMMYFUNCTION("""COMPUTED_VALUE"""),120637.0)</f>
        <v>120637</v>
      </c>
      <c r="AA135" s="6" t="str">
        <f>IFERROR(__xludf.DUMMYFUNCTION("""COMPUTED_VALUE"""),"SALUD TOTAL")</f>
        <v>SALUD TOTAL</v>
      </c>
      <c r="AB135" s="6"/>
      <c r="AC135" s="6"/>
      <c r="AD135" s="12" t="str">
        <f>IFERROR(__xludf.DUMMYFUNCTION("""COMPUTED_VALUE"""),"K5B")</f>
        <v>K5B</v>
      </c>
      <c r="AE135" s="12" t="str">
        <f>IFERROR(__xludf.DUMMYFUNCTION("""COMPUTED_VALUE"""),"1345282615")</f>
        <v>1345282615</v>
      </c>
      <c r="AF135" s="12" t="str">
        <f>IFERROR(__xludf.DUMMYFUNCTION("""COMPUTED_VALUE"""),"1345282615")</f>
        <v>1345282615</v>
      </c>
      <c r="AG135" s="12" t="str">
        <f>IFERROR(__xludf.DUMMYFUNCTION("""COMPUTED_VALUE"""),"Mariana")</f>
        <v>Mariana</v>
      </c>
      <c r="AH135" s="12" t="str">
        <f>IFERROR(__xludf.DUMMYFUNCTION("""COMPUTED_VALUE"""),"del Rosario")</f>
        <v>del Rosario</v>
      </c>
      <c r="AI135" s="6" t="str">
        <f>IFERROR(__xludf.DUMMYFUNCTION("""COMPUTED_VALUE"""),"Dávila Alzamora")</f>
        <v>Dávila Alzamora</v>
      </c>
      <c r="AJ135" s="6" t="str">
        <f>IFERROR(__xludf.DUMMYFUNCTION("""COMPUTED_VALUE"""),"mona.dav.85@gmail.com")</f>
        <v>mona.dav.85@gmail.com</v>
      </c>
      <c r="AK135" s="6" t="str">
        <f>IFERROR(__xludf.DUMMYFUNCTION("""COMPUTED_VALUE"""),"LICENCIADA")</f>
        <v>LICENCIADA</v>
      </c>
      <c r="AL135" s="6" t="str">
        <f>IFERROR(__xludf.DUMMYFUNCTION("""COMPUTED_VALUE"""),"GI SCHOOL")</f>
        <v>GI SCHOOL</v>
      </c>
      <c r="AM135" s="12" t="str">
        <f>IFERROR(__xludf.DUMMYFUNCTION("""COMPUTED_VALUE"""),"1020756318")</f>
        <v>1020756318</v>
      </c>
      <c r="AN135" s="12" t="str">
        <f>IFERROR(__xludf.DUMMYFUNCTION("""COMPUTED_VALUE"""),"3215398347")</f>
        <v>3215398347</v>
      </c>
      <c r="AO135" s="6" t="str">
        <f>IFERROR(__xludf.DUMMYFUNCTION("""COMPUTED_VALUE"""),"Madre")</f>
        <v>Madre</v>
      </c>
      <c r="AP135" s="12" t="str">
        <f>IFERROR(__xludf.DUMMYFUNCTION("""COMPUTED_VALUE"""),"Estudiante(s): Fakih Dávila")</f>
        <v>Estudiante(s): Fakih Dávila</v>
      </c>
      <c r="AQ135" s="6" t="str">
        <f>IFERROR(__xludf.DUMMYFUNCTION("""COMPUTED_VALUE"""),"120637*Gi")</f>
        <v>120637*Gi</v>
      </c>
      <c r="AR135" s="6" t="str">
        <f>IFERROR(__xludf.DUMMYFUNCTION("""COMPUTED_VALUE"""),"Yijed")</f>
        <v>Yijed</v>
      </c>
      <c r="AS135" s="6"/>
      <c r="AT135" s="6" t="str">
        <f>IFERROR(__xludf.DUMMYFUNCTION("""COMPUTED_VALUE"""),"Fakih de León")</f>
        <v>Fakih de León</v>
      </c>
      <c r="AU135" s="6" t="str">
        <f>IFERROR(__xludf.DUMMYFUNCTION("""COMPUTED_VALUE"""),"yijed91@gmail.com")</f>
        <v>yijed91@gmail.com</v>
      </c>
      <c r="AV135" s="6" t="str">
        <f>IFERROR(__xludf.DUMMYFUNCTION("""COMPUTED_VALUE"""),"ABOGADO")</f>
        <v>ABOGADO</v>
      </c>
      <c r="AW135" s="6"/>
      <c r="AX135" s="12" t="str">
        <f>IFERROR(__xludf.DUMMYFUNCTION("""COMPUTED_VALUE"""),"1082948746")</f>
        <v>1082948746</v>
      </c>
      <c r="AY135" s="12" t="str">
        <f>IFERROR(__xludf.DUMMYFUNCTION("""COMPUTED_VALUE"""),"3164826591")</f>
        <v>3164826591</v>
      </c>
      <c r="AZ135" s="6" t="str">
        <f>IFERROR(__xludf.DUMMYFUNCTION("""COMPUTED_VALUE"""),"Padre")</f>
        <v>Padre</v>
      </c>
      <c r="BA135" s="6"/>
      <c r="BB135" s="6"/>
      <c r="BC135" s="6"/>
      <c r="BD135" s="12" t="str">
        <f>IFERROR(__xludf.DUMMYFUNCTION("""COMPUTED_VALUE"""),"fak0001")</f>
        <v>fak0001</v>
      </c>
      <c r="BE135" s="6" t="str">
        <f>IFERROR(__xludf.DUMMYFUNCTION("""COMPUTED_VALUE"""),"NUEVO(A)")</f>
        <v>NUEVO(A)</v>
      </c>
      <c r="BF135" s="6"/>
      <c r="BG135" s="6">
        <f>IFERROR(__xludf.DUMMYFUNCTION("""COMPUTED_VALUE"""),2039.0)</f>
        <v>2039</v>
      </c>
      <c r="BH135" s="15">
        <f>IFERROR(__xludf.DUMMYFUNCTION("""COMPUTED_VALUE"""),46233.5727662037)</f>
        <v>46233.57277</v>
      </c>
      <c r="BI135" s="6">
        <f>IFERROR(__xludf.DUMMYFUNCTION("""COMPUTED_VALUE"""),134.0)</f>
        <v>134</v>
      </c>
      <c r="BJ135" s="6"/>
      <c r="BK135" s="6"/>
      <c r="BL135" s="6" t="str">
        <f>IFERROR(__xludf.DUMMYFUNCTION("""COMPUTED_VALUE"""),"GISFAK0001")</f>
        <v>GISFAK0001</v>
      </c>
      <c r="BM135" s="6"/>
      <c r="BN135" s="6"/>
      <c r="BO135" s="6"/>
      <c r="BP135" s="6"/>
      <c r="BQ135" s="6"/>
      <c r="BR135" s="6"/>
      <c r="BS135" s="6"/>
      <c r="BT135" s="6"/>
      <c r="BU135" s="6" t="str">
        <f>IFERROR(__xludf.DUMMYFUNCTION("""COMPUTED_VALUE"""),"SI")</f>
        <v>SI</v>
      </c>
      <c r="BV135" s="6" t="str">
        <f>IFERROR(__xludf.DUMMYFUNCTION("""COMPUTED_VALUE"""),"tarek.f2039")</f>
        <v>tarek.f2039</v>
      </c>
      <c r="BW135" s="6"/>
      <c r="BX135" s="6"/>
      <c r="BY135" s="6"/>
      <c r="BZ135" s="6"/>
    </row>
    <row r="136">
      <c r="A136" s="12">
        <f>IFERROR(__xludf.DUMMYFUNCTION("""COMPUTED_VALUE"""),1.023562038E9)</f>
        <v>1023562038</v>
      </c>
      <c r="B136" s="6">
        <f>IFERROR(__xludf.DUMMYFUNCTION("""COMPUTED_VALUE"""),4.0)</f>
        <v>4</v>
      </c>
      <c r="C136" s="6" t="str">
        <f>IFERROR(__xludf.DUMMYFUNCTION("""COMPUTED_VALUE"""),"Sebastián")</f>
        <v>Sebastián</v>
      </c>
      <c r="D136" s="6"/>
      <c r="E136" s="6" t="str">
        <f>IFERROR(__xludf.DUMMYFUNCTION("""COMPUTED_VALUE"""),"Franco Gil")</f>
        <v>Franco Gil</v>
      </c>
      <c r="F136" s="6" t="str">
        <f>IFERROR(__xludf.DUMMYFUNCTION("""COMPUTED_VALUE"""),"Condominio Campestre La Reserva Casa 11 - Cra 5 No10Nte - 25 Av Centenario")</f>
        <v>Condominio Campestre La Reserva Casa 11 - Cra 5 No10Nte - 25 Av Centenario</v>
      </c>
      <c r="G136" s="12">
        <f>IFERROR(__xludf.DUMMYFUNCTION("""COMPUTED_VALUE"""),2021.0)</f>
        <v>2021</v>
      </c>
      <c r="H136" s="6" t="str">
        <f>IFERROR(__xludf.DUMMYFUNCTION("""COMPUTED_VALUE"""),"Abril")</f>
        <v>Abril</v>
      </c>
      <c r="I136" s="12">
        <f>IFERROR(__xludf.DUMMYFUNCTION("""COMPUTED_VALUE"""),26.0)</f>
        <v>26</v>
      </c>
      <c r="J136" s="6" t="str">
        <f>IFERROR(__xludf.DUMMYFUNCTION("""COMPUTED_VALUE"""),"Medellín")</f>
        <v>Medellín</v>
      </c>
      <c r="K136" s="6" t="str">
        <f>IFERROR(__xludf.DUMMYFUNCTION("""COMPUTED_VALUE"""),"sebastian.f2039@gi.edu.co")</f>
        <v>sebastian.f2039@gi.edu.co</v>
      </c>
      <c r="L136" s="6" t="str">
        <f>IFERROR(__xludf.DUMMYFUNCTION("""COMPUTED_VALUE"""),"RC")</f>
        <v>RC</v>
      </c>
      <c r="M136" s="6" t="str">
        <f>IFERROR(__xludf.DUMMYFUNCTION("""COMPUTED_VALUE"""),"Medellín")</f>
        <v>Medellín</v>
      </c>
      <c r="N136" s="6" t="str">
        <f>IFERROR(__xludf.DUMMYFUNCTION("""COMPUTED_VALUE"""),"M")</f>
        <v>M</v>
      </c>
      <c r="O136" s="6" t="str">
        <f>IFERROR(__xludf.DUMMYFUNCTION("""COMPUTED_VALUE"""),"ACTIVE")</f>
        <v>ACTIVE</v>
      </c>
      <c r="P136" s="6"/>
      <c r="Q136" s="6" t="str">
        <f>IFERROR(__xludf.DUMMYFUNCTION("""COMPUTED_VALUE"""),"Armenia")</f>
        <v>Armenia</v>
      </c>
      <c r="R136" s="12" t="str">
        <f>IFERROR(__xludf.DUMMYFUNCTION("""COMPUTED_VALUE"""),"Gigjlas72*")</f>
        <v>Gigjlas72*</v>
      </c>
      <c r="S136" s="6" t="str">
        <f>IFERROR(__xludf.DUMMYFUNCTION("""COMPUTED_VALUE"""),"Franco Gil Sebastián ")</f>
        <v>Franco Gil Sebastián </v>
      </c>
      <c r="T136" s="6" t="str">
        <f>IFERROR(__xludf.DUMMYFUNCTION("""COMPUTED_VALUE"""),"GLORIA MARIA GIL CASTAÑO")</f>
        <v>GLORIA MARIA GIL CASTAÑO</v>
      </c>
      <c r="U136" s="12" t="str">
        <f>IFERROR(__xludf.DUMMYFUNCTION("""COMPUTED_VALUE"""),"41955807")</f>
        <v>41955807</v>
      </c>
      <c r="V136" s="6">
        <f>IFERROR(__xludf.DUMMYFUNCTION("""COMPUTED_VALUE"""),3.045608733E9)</f>
        <v>3045608733</v>
      </c>
      <c r="W136" s="6" t="str">
        <f>IFERROR(__xludf.DUMMYFUNCTION("""COMPUTED_VALUE"""),"ggilcastano@gmail.com ")</f>
        <v>ggilcastano@gmail.com </v>
      </c>
      <c r="X136" s="12" t="str">
        <f>IFERROR(__xludf.DUMMYFUNCTION("""COMPUTED_VALUE"""),"A+")</f>
        <v>A+</v>
      </c>
      <c r="Y136" s="12" t="str">
        <f>IFERROR(__xludf.DUMMYFUNCTION("""COMPUTED_VALUE"""),"K5")</f>
        <v>K5</v>
      </c>
      <c r="Z136" s="12">
        <f>IFERROR(__xludf.DUMMYFUNCTION("""COMPUTED_VALUE"""),120447.0)</f>
        <v>120447</v>
      </c>
      <c r="AA136" s="6" t="str">
        <f>IFERROR(__xludf.DUMMYFUNCTION("""COMPUTED_VALUE"""),"SURA")</f>
        <v>SURA</v>
      </c>
      <c r="AB136" s="6"/>
      <c r="AC136" s="6"/>
      <c r="AD136" s="12" t="str">
        <f>IFERROR(__xludf.DUMMYFUNCTION("""COMPUTED_VALUE"""),"K5B")</f>
        <v>K5B</v>
      </c>
      <c r="AE136" s="12" t="str">
        <f>IFERROR(__xludf.DUMMYFUNCTION("""COMPUTED_VALUE"""),"1345282461")</f>
        <v>1345282461</v>
      </c>
      <c r="AF136" s="12" t="str">
        <f>IFERROR(__xludf.DUMMYFUNCTION("""COMPUTED_VALUE"""),"1345282461")</f>
        <v>1345282461</v>
      </c>
      <c r="AG136" s="12" t="str">
        <f>IFERROR(__xludf.DUMMYFUNCTION("""COMPUTED_VALUE"""),"Gloria")</f>
        <v>Gloria</v>
      </c>
      <c r="AH136" s="12" t="str">
        <f>IFERROR(__xludf.DUMMYFUNCTION("""COMPUTED_VALUE"""),"María")</f>
        <v>María</v>
      </c>
      <c r="AI136" s="6" t="str">
        <f>IFERROR(__xludf.DUMMYFUNCTION("""COMPUTED_VALUE"""),"Gil Castaño")</f>
        <v>Gil Castaño</v>
      </c>
      <c r="AJ136" s="6" t="str">
        <f>IFERROR(__xludf.DUMMYFUNCTION("""COMPUTED_VALUE"""),"ggilcastano@gmail.com")</f>
        <v>ggilcastano@gmail.com</v>
      </c>
      <c r="AK136" s="6" t="str">
        <f>IFERROR(__xludf.DUMMYFUNCTION("""COMPUTED_VALUE"""),"Medico Especialista en Alergologia  ")</f>
        <v>Medico Especialista en Alergologia  </v>
      </c>
      <c r="AL136" s="6" t="str">
        <f>IFERROR(__xludf.DUMMYFUNCTION("""COMPUTED_VALUE"""),"Alergo IPS ")</f>
        <v>Alergo IPS </v>
      </c>
      <c r="AM136" s="12" t="str">
        <f>IFERROR(__xludf.DUMMYFUNCTION("""COMPUTED_VALUE"""),"41955807")</f>
        <v>41955807</v>
      </c>
      <c r="AN136" s="12" t="str">
        <f>IFERROR(__xludf.DUMMYFUNCTION("""COMPUTED_VALUE"""),"3045608733")</f>
        <v>3045608733</v>
      </c>
      <c r="AO136" s="6" t="str">
        <f>IFERROR(__xludf.DUMMYFUNCTION("""COMPUTED_VALUE"""),"Madre")</f>
        <v>Madre</v>
      </c>
      <c r="AP136" s="6" t="str">
        <f>IFERROR(__xludf.DUMMYFUNCTION("""COMPUTED_VALUE"""),"Estudiante(s): Franco Gil")</f>
        <v>Estudiante(s): Franco Gil</v>
      </c>
      <c r="AQ136" s="6" t="str">
        <f>IFERROR(__xludf.DUMMYFUNCTION("""COMPUTED_VALUE"""),"120447*Gi")</f>
        <v>120447*Gi</v>
      </c>
      <c r="AR136" s="6" t="str">
        <f>IFERROR(__xludf.DUMMYFUNCTION("""COMPUTED_VALUE"""),"Juan")</f>
        <v>Juan</v>
      </c>
      <c r="AS136" s="6" t="str">
        <f>IFERROR(__xludf.DUMMYFUNCTION("""COMPUTED_VALUE"""),"Carlos")</f>
        <v>Carlos</v>
      </c>
      <c r="AT136" s="6" t="str">
        <f>IFERROR(__xludf.DUMMYFUNCTION("""COMPUTED_VALUE"""),"Franco Gutiérrez")</f>
        <v>Franco Gutiérrez</v>
      </c>
      <c r="AU136" s="6" t="str">
        <f>IFERROR(__xludf.DUMMYFUNCTION("""COMPUTED_VALUE"""),"jucafran80@gmail.com")</f>
        <v>jucafran80@gmail.com</v>
      </c>
      <c r="AV136" s="6" t="str">
        <f>IFERROR(__xludf.DUMMYFUNCTION("""COMPUTED_VALUE"""),"Obras Civiles  ")</f>
        <v>Obras Civiles  </v>
      </c>
      <c r="AW136" s="6"/>
      <c r="AX136" s="12" t="str">
        <f>IFERROR(__xludf.DUMMYFUNCTION("""COMPUTED_VALUE"""),"18516104")</f>
        <v>18516104</v>
      </c>
      <c r="AY136" s="12" t="str">
        <f>IFERROR(__xludf.DUMMYFUNCTION("""COMPUTED_VALUE"""),"3135462812")</f>
        <v>3135462812</v>
      </c>
      <c r="AZ136" s="6" t="str">
        <f>IFERROR(__xludf.DUMMYFUNCTION("""COMPUTED_VALUE"""),"Padre")</f>
        <v>Padre</v>
      </c>
      <c r="BA136" s="6" t="str">
        <f>IFERROR(__xludf.DUMMYFUNCTION("""COMPUTED_VALUE"""),"JUAN FABIO CASTAÑO ARCILA")</f>
        <v>JUAN FABIO CASTAÑO ARCILA</v>
      </c>
      <c r="BB136" s="6">
        <f>IFERROR(__xludf.DUMMYFUNCTION("""COMPUTED_VALUE"""),3.113165346E9)</f>
        <v>3113165346</v>
      </c>
      <c r="BC136" s="6" t="str">
        <f>IFERROR(__xludf.DUMMYFUNCTION("""COMPUTED_VALUE"""),"Tio(a)")</f>
        <v>Tio(a)</v>
      </c>
      <c r="BD136" s="12" t="str">
        <f>IFERROR(__xludf.DUMMYFUNCTION("""COMPUTED_VALUE"""),"fra0001")</f>
        <v>fra0001</v>
      </c>
      <c r="BE136" s="6"/>
      <c r="BF136" s="6"/>
      <c r="BG136" s="6">
        <f>IFERROR(__xludf.DUMMYFUNCTION("""COMPUTED_VALUE"""),2039.0)</f>
        <v>2039</v>
      </c>
      <c r="BH136" s="15">
        <f>IFERROR(__xludf.DUMMYFUNCTION("""COMPUTED_VALUE"""),46209.60925925926)</f>
        <v>46209.60926</v>
      </c>
      <c r="BI136" s="6">
        <f>IFERROR(__xludf.DUMMYFUNCTION("""COMPUTED_VALUE"""),135.0)</f>
        <v>135</v>
      </c>
      <c r="BJ136" s="6"/>
      <c r="BK136" s="6"/>
      <c r="BL136" s="6" t="str">
        <f>IFERROR(__xludf.DUMMYFUNCTION("""COMPUTED_VALUE"""),"GISFRA0001")</f>
        <v>GISFRA0001</v>
      </c>
      <c r="BM136" s="6"/>
      <c r="BN136" s="6"/>
      <c r="BO136" s="6" t="str">
        <f>IFERROR(__xludf.DUMMYFUNCTION("""COMPUTED_VALUE"""),"XC_K5_Futbol")</f>
        <v>XC_K5_Futbol</v>
      </c>
      <c r="BP136" s="6"/>
      <c r="BQ136" s="6"/>
      <c r="BR136" s="6" t="str">
        <f>IFERROR(__xludf.DUMMYFUNCTION("""COMPUTED_VALUE"""),"XC_K5_Futbol")</f>
        <v>XC_K5_Futbol</v>
      </c>
      <c r="BS136" s="6"/>
      <c r="BT136" s="6"/>
      <c r="BU136" s="6" t="str">
        <f>IFERROR(__xludf.DUMMYFUNCTION("""COMPUTED_VALUE"""),"SI")</f>
        <v>SI</v>
      </c>
      <c r="BV136" s="6" t="str">
        <f>IFERROR(__xludf.DUMMYFUNCTION("""COMPUTED_VALUE"""),"sebastian.f2039")</f>
        <v>sebastian.f2039</v>
      </c>
      <c r="BW136" s="6"/>
      <c r="BX136" s="6"/>
      <c r="BY136" s="6"/>
      <c r="BZ136" s="6"/>
    </row>
    <row r="137">
      <c r="A137" s="12">
        <f>IFERROR(__xludf.DUMMYFUNCTION("""COMPUTED_VALUE"""),1.094985647E9)</f>
        <v>1094985647</v>
      </c>
      <c r="B137" s="6">
        <f>IFERROR(__xludf.DUMMYFUNCTION("""COMPUTED_VALUE"""),5.0)</f>
        <v>5</v>
      </c>
      <c r="C137" s="6" t="str">
        <f>IFERROR(__xludf.DUMMYFUNCTION("""COMPUTED_VALUE"""),"Samara")</f>
        <v>Samara</v>
      </c>
      <c r="D137" s="6"/>
      <c r="E137" s="6" t="str">
        <f>IFERROR(__xludf.DUMMYFUNCTION("""COMPUTED_VALUE"""),"Guzmán Díaz")</f>
        <v>Guzmán Díaz</v>
      </c>
      <c r="F137" s="6" t="str">
        <f>IFERROR(__xludf.DUMMYFUNCTION("""COMPUTED_VALUE"""),"Horizonte Verde - Calle 27Nte No5 - 02 Av Centenario")</f>
        <v>Horizonte Verde - Calle 27Nte No5 - 02 Av Centenario</v>
      </c>
      <c r="G137" s="12">
        <f>IFERROR(__xludf.DUMMYFUNCTION("""COMPUTED_VALUE"""),2021.0)</f>
        <v>2021</v>
      </c>
      <c r="H137" s="6" t="str">
        <f>IFERROR(__xludf.DUMMYFUNCTION("""COMPUTED_VALUE"""),"Enero")</f>
        <v>Enero</v>
      </c>
      <c r="I137" s="12">
        <f>IFERROR(__xludf.DUMMYFUNCTION("""COMPUTED_VALUE"""),3.0)</f>
        <v>3</v>
      </c>
      <c r="J137" s="6" t="str">
        <f>IFERROR(__xludf.DUMMYFUNCTION("""COMPUTED_VALUE"""),"Brandon")</f>
        <v>Brandon</v>
      </c>
      <c r="K137" s="6" t="str">
        <f>IFERROR(__xludf.DUMMYFUNCTION("""COMPUTED_VALUE"""),"samara.g2039@gi.edu.co")</f>
        <v>samara.g2039@gi.edu.co</v>
      </c>
      <c r="L137" s="6" t="str">
        <f>IFERROR(__xludf.DUMMYFUNCTION("""COMPUTED_VALUE"""),"NUIP")</f>
        <v>NUIP</v>
      </c>
      <c r="M137" s="6" t="str">
        <f>IFERROR(__xludf.DUMMYFUNCTION("""COMPUTED_VALUE"""),"Armenia")</f>
        <v>Armenia</v>
      </c>
      <c r="N137" s="6" t="str">
        <f>IFERROR(__xludf.DUMMYFUNCTION("""COMPUTED_VALUE"""),"F")</f>
        <v>F</v>
      </c>
      <c r="O137" s="6" t="str">
        <f>IFERROR(__xludf.DUMMYFUNCTION("""COMPUTED_VALUE"""),"ACTIVE")</f>
        <v>ACTIVE</v>
      </c>
      <c r="P137" s="6"/>
      <c r="Q137" s="6" t="str">
        <f>IFERROR(__xludf.DUMMYFUNCTION("""COMPUTED_VALUE"""),"Armenia")</f>
        <v>Armenia</v>
      </c>
      <c r="R137" s="12" t="str">
        <f>IFERROR(__xludf.DUMMYFUNCTION("""COMPUTED_VALUE"""),"Gi8y4jnex*")</f>
        <v>Gi8y4jnex*</v>
      </c>
      <c r="S137" s="6" t="str">
        <f>IFERROR(__xludf.DUMMYFUNCTION("""COMPUTED_VALUE"""),"Guzmán Díaz Samara ")</f>
        <v>Guzmán Díaz Samara </v>
      </c>
      <c r="T137" s="6" t="str">
        <f>IFERROR(__xludf.DUMMYFUNCTION("""COMPUTED_VALUE"""),"STEFANY DIAZ OCAMPO")</f>
        <v>STEFANY DIAZ OCAMPO</v>
      </c>
      <c r="U137" s="12" t="str">
        <f>IFERROR(__xludf.DUMMYFUNCTION("""COMPUTED_VALUE"""),"1218464474")</f>
        <v>1218464474</v>
      </c>
      <c r="V137" s="6">
        <f>IFERROR(__xludf.DUMMYFUNCTION("""COMPUTED_VALUE"""),8.484821543E9)</f>
        <v>8484821543</v>
      </c>
      <c r="W137" s="6" t="str">
        <f>IFERROR(__xludf.DUMMYFUNCTION("""COMPUTED_VALUE"""),"stefydiaz19@hotmail.com")</f>
        <v>stefydiaz19@hotmail.com</v>
      </c>
      <c r="X137" s="12" t="str">
        <f>IFERROR(__xludf.DUMMYFUNCTION("""COMPUTED_VALUE"""),"A+")</f>
        <v>A+</v>
      </c>
      <c r="Y137" s="12" t="str">
        <f>IFERROR(__xludf.DUMMYFUNCTION("""COMPUTED_VALUE"""),"K5")</f>
        <v>K5</v>
      </c>
      <c r="Z137" s="12">
        <f>IFERROR(__xludf.DUMMYFUNCTION("""COMPUTED_VALUE"""),120448.0)</f>
        <v>120448</v>
      </c>
      <c r="AA137" s="6" t="str">
        <f>IFERROR(__xludf.DUMMYFUNCTION("""COMPUTED_VALUE"""),"SURA")</f>
        <v>SURA</v>
      </c>
      <c r="AB137" s="6"/>
      <c r="AC137" s="6"/>
      <c r="AD137" s="12" t="str">
        <f>IFERROR(__xludf.DUMMYFUNCTION("""COMPUTED_VALUE"""),"K5B")</f>
        <v>K5B</v>
      </c>
      <c r="AE137" s="12" t="str">
        <f>IFERROR(__xludf.DUMMYFUNCTION("""COMPUTED_VALUE"""),"1345282447")</f>
        <v>1345282447</v>
      </c>
      <c r="AF137" s="12" t="str">
        <f>IFERROR(__xludf.DUMMYFUNCTION("""COMPUTED_VALUE"""),"1345282447")</f>
        <v>1345282447</v>
      </c>
      <c r="AG137" s="12" t="str">
        <f>IFERROR(__xludf.DUMMYFUNCTION("""COMPUTED_VALUE"""),"Stefany")</f>
        <v>Stefany</v>
      </c>
      <c r="AH137" s="6"/>
      <c r="AI137" s="6" t="str">
        <f>IFERROR(__xludf.DUMMYFUNCTION("""COMPUTED_VALUE"""),"Díaz Ocampo")</f>
        <v>Díaz Ocampo</v>
      </c>
      <c r="AJ137" s="6" t="str">
        <f>IFERROR(__xludf.DUMMYFUNCTION("""COMPUTED_VALUE"""),"stefydiaz19@hotmail.com")</f>
        <v>stefydiaz19@hotmail.com</v>
      </c>
      <c r="AK137" s="6" t="str">
        <f>IFERROR(__xludf.DUMMYFUNCTION("""COMPUTED_VALUE"""),"Asistente Medico")</f>
        <v>Asistente Medico</v>
      </c>
      <c r="AL137" s="6" t="str">
        <f>IFERROR(__xludf.DUMMYFUNCTION("""COMPUTED_VALUE"""),"Produce experience Bronx NY ")</f>
        <v>Produce experience Bronx NY </v>
      </c>
      <c r="AM137" s="12" t="str">
        <f>IFERROR(__xludf.DUMMYFUNCTION("""COMPUTED_VALUE"""),"1218464474")</f>
        <v>1218464474</v>
      </c>
      <c r="AN137" s="12">
        <f>IFERROR(__xludf.DUMMYFUNCTION("""COMPUTED_VALUE"""),8.484821543E9)</f>
        <v>8484821543</v>
      </c>
      <c r="AO137" s="6" t="str">
        <f>IFERROR(__xludf.DUMMYFUNCTION("""COMPUTED_VALUE"""),"Madre")</f>
        <v>Madre</v>
      </c>
      <c r="AP137" s="6" t="str">
        <f>IFERROR(__xludf.DUMMYFUNCTION("""COMPUTED_VALUE"""),"Estudiante(s): Guzmán Díaz")</f>
        <v>Estudiante(s): Guzmán Díaz</v>
      </c>
      <c r="AQ137" s="6" t="str">
        <f>IFERROR(__xludf.DUMMYFUNCTION("""COMPUTED_VALUE"""),"120448*Gi")</f>
        <v>120448*Gi</v>
      </c>
      <c r="AR137" s="6" t="str">
        <f>IFERROR(__xludf.DUMMYFUNCTION("""COMPUTED_VALUE"""),"Brian")</f>
        <v>Brian</v>
      </c>
      <c r="AS137" s="6" t="str">
        <f>IFERROR(__xludf.DUMMYFUNCTION("""COMPUTED_VALUE"""),"Ronaudys")</f>
        <v>Ronaudys</v>
      </c>
      <c r="AT137" s="6" t="str">
        <f>IFERROR(__xludf.DUMMYFUNCTION("""COMPUTED_VALUE"""),"Guzmán Díaz")</f>
        <v>Guzmán Díaz</v>
      </c>
      <c r="AU137" s="6" t="str">
        <f>IFERROR(__xludf.DUMMYFUNCTION("""COMPUTED_VALUE"""),"el_dadi13@hotmail.com")</f>
        <v>el_dadi13@hotmail.com</v>
      </c>
      <c r="AV137" s="6" t="str">
        <f>IFERROR(__xludf.DUMMYFUNCTION("""COMPUTED_VALUE"""),"Empresario")</f>
        <v>Empresario</v>
      </c>
      <c r="AW137" s="6" t="str">
        <f>IFERROR(__xludf.DUMMYFUNCTION("""COMPUTED_VALUE"""),"S&amp;B Collision Tampa FL. ")</f>
        <v>S&amp;B Collision Tampa FL. </v>
      </c>
      <c r="AX137" s="12" t="str">
        <f>IFERROR(__xludf.DUMMYFUNCTION("""COMPUTED_VALUE"""),"643816")</f>
        <v>643816</v>
      </c>
      <c r="AY137" s="12" t="str">
        <f>IFERROR(__xludf.DUMMYFUNCTION("""COMPUTED_VALUE"""),"6468303071")</f>
        <v>6468303071</v>
      </c>
      <c r="AZ137" s="6" t="str">
        <f>IFERROR(__xludf.DUMMYFUNCTION("""COMPUTED_VALUE"""),"Padre")</f>
        <v>Padre</v>
      </c>
      <c r="BA137" s="6"/>
      <c r="BB137" s="6"/>
      <c r="BC137" s="6"/>
      <c r="BD137" s="12" t="str">
        <f>IFERROR(__xludf.DUMMYFUNCTION("""COMPUTED_VALUE"""),"guz0003")</f>
        <v>guz0003</v>
      </c>
      <c r="BE137" s="6"/>
      <c r="BF137" s="6"/>
      <c r="BG137" s="6">
        <f>IFERROR(__xludf.DUMMYFUNCTION("""COMPUTED_VALUE"""),2039.0)</f>
        <v>2039</v>
      </c>
      <c r="BH137" s="15">
        <f>IFERROR(__xludf.DUMMYFUNCTION("""COMPUTED_VALUE"""),46252.51621527778)</f>
        <v>46252.51622</v>
      </c>
      <c r="BI137" s="6">
        <f>IFERROR(__xludf.DUMMYFUNCTION("""COMPUTED_VALUE"""),136.0)</f>
        <v>136</v>
      </c>
      <c r="BJ137" s="6" t="str">
        <f>IFERROR(__xludf.DUMMYFUNCTION("""COMPUTED_VALUE"""),"Junio - 2026 Se retira el estudiante de la categoría reportada en SIMAT
Abril-2026 Se reportó que el estudiante aparecía en SIMAT con ""Talento Excepcional en Ciencias Sociales o Humanas"", desde Junio de 2024")</f>
        <v>Junio - 2026 Se retira el estudiante de la categoría reportada en SIMAT
Abril-2026 Se reportó que el estudiante aparecía en SIMAT con "Talento Excepcional en Ciencias Sociales o Humanas", desde Junio de 2024</v>
      </c>
      <c r="BK137" s="6"/>
      <c r="BL137" s="6" t="str">
        <f>IFERROR(__xludf.DUMMYFUNCTION("""COMPUTED_VALUE"""),"GISGUZ0003")</f>
        <v>GISGUZ0003</v>
      </c>
      <c r="BM137" s="6"/>
      <c r="BN137" s="6"/>
      <c r="BO137" s="6" t="str">
        <f>IFERROR(__xludf.DUMMYFUNCTION("""COMPUTED_VALUE"""),"XC_K5_Polimotor")</f>
        <v>XC_K5_Polimotor</v>
      </c>
      <c r="BP137" s="6"/>
      <c r="BQ137" s="6"/>
      <c r="BR137" s="6" t="str">
        <f>IFERROR(__xludf.DUMMYFUNCTION("""COMPUTED_VALUE"""),"XC_K5_Polimotor")</f>
        <v>XC_K5_Polimotor</v>
      </c>
      <c r="BS137" s="6"/>
      <c r="BT137" s="6"/>
      <c r="BU137" s="6" t="str">
        <f>IFERROR(__xludf.DUMMYFUNCTION("""COMPUTED_VALUE"""),"SI")</f>
        <v>SI</v>
      </c>
      <c r="BV137" s="6" t="str">
        <f>IFERROR(__xludf.DUMMYFUNCTION("""COMPUTED_VALUE"""),"samara.g2039")</f>
        <v>samara.g2039</v>
      </c>
      <c r="BW137" s="6"/>
      <c r="BX137" s="6"/>
      <c r="BY137" s="6"/>
      <c r="BZ137" s="6"/>
    </row>
    <row r="138">
      <c r="A138" s="12">
        <f>IFERROR(__xludf.DUMMYFUNCTION("""COMPUTED_VALUE"""),1.092865431E9)</f>
        <v>1092865431</v>
      </c>
      <c r="B138" s="6">
        <f>IFERROR(__xludf.DUMMYFUNCTION("""COMPUTED_VALUE"""),6.0)</f>
        <v>6</v>
      </c>
      <c r="C138" s="6" t="str">
        <f>IFERROR(__xludf.DUMMYFUNCTION("""COMPUTED_VALUE"""),"Macarena")</f>
        <v>Macarena</v>
      </c>
      <c r="D138" s="6"/>
      <c r="E138" s="6" t="str">
        <f>IFERROR(__xludf.DUMMYFUNCTION("""COMPUTED_VALUE"""),"Hoyos Giraldo")</f>
        <v>Hoyos Giraldo</v>
      </c>
      <c r="F138" s="6" t="str">
        <f>IFERROR(__xludf.DUMMYFUNCTION("""COMPUTED_VALUE"""),"Conjunto Residencial La Primavera Manzana 7 Casa 15 - Cra 14 No54Nte 10")</f>
        <v>Conjunto Residencial La Primavera Manzana 7 Casa 15 - Cra 14 No54Nte 10</v>
      </c>
      <c r="G138" s="12" t="str">
        <f>IFERROR(__xludf.DUMMYFUNCTION("""COMPUTED_VALUE"""),"2021")</f>
        <v>2021</v>
      </c>
      <c r="H138" s="6" t="str">
        <f>IFERROR(__xludf.DUMMYFUNCTION("""COMPUTED_VALUE"""),"Octubre")</f>
        <v>Octubre</v>
      </c>
      <c r="I138" s="12" t="str">
        <f>IFERROR(__xludf.DUMMYFUNCTION("""COMPUTED_VALUE"""),"12")</f>
        <v>12</v>
      </c>
      <c r="J138" s="6" t="str">
        <f>IFERROR(__xludf.DUMMYFUNCTION("""COMPUTED_VALUE"""),"Armenia")</f>
        <v>Armenia</v>
      </c>
      <c r="K138" s="6" t="str">
        <f>IFERROR(__xludf.DUMMYFUNCTION("""COMPUTED_VALUE"""),"macarena.h2039@gi.edu.co")</f>
        <v>macarena.h2039@gi.edu.co</v>
      </c>
      <c r="L138" s="6" t="str">
        <f>IFERROR(__xludf.DUMMYFUNCTION("""COMPUTED_VALUE"""),"RC")</f>
        <v>RC</v>
      </c>
      <c r="M138" s="6" t="str">
        <f>IFERROR(__xludf.DUMMYFUNCTION("""COMPUTED_VALUE"""),"Armenia")</f>
        <v>Armenia</v>
      </c>
      <c r="N138" s="6" t="str">
        <f>IFERROR(__xludf.DUMMYFUNCTION("""COMPUTED_VALUE"""),"F")</f>
        <v>F</v>
      </c>
      <c r="O138" s="6" t="str">
        <f>IFERROR(__xludf.DUMMYFUNCTION("""COMPUTED_VALUE"""),"ACTIVE")</f>
        <v>ACTIVE</v>
      </c>
      <c r="P138" s="6"/>
      <c r="Q138" s="6" t="str">
        <f>IFERROR(__xludf.DUMMYFUNCTION("""COMPUTED_VALUE"""),"Armenia")</f>
        <v>Armenia</v>
      </c>
      <c r="R138" s="12" t="str">
        <f>IFERROR(__xludf.DUMMYFUNCTION("""COMPUTED_VALUE"""),"Gi79m3n*")</f>
        <v>Gi79m3n*</v>
      </c>
      <c r="S138" s="6" t="str">
        <f>IFERROR(__xludf.DUMMYFUNCTION("""COMPUTED_VALUE"""),"Hoyos Giraldo Macarena ")</f>
        <v>Hoyos Giraldo Macarena </v>
      </c>
      <c r="T138" s="6" t="str">
        <f>IFERROR(__xludf.DUMMYFUNCTION("""COMPUTED_VALUE"""),"JERONIMO HOYOS LOPEZ")</f>
        <v>JERONIMO HOYOS LOPEZ</v>
      </c>
      <c r="U138" s="12" t="str">
        <f>IFERROR(__xludf.DUMMYFUNCTION("""COMPUTED_VALUE"""),"16076506")</f>
        <v>16076506</v>
      </c>
      <c r="V138" s="6">
        <f>IFERROR(__xludf.DUMMYFUNCTION("""COMPUTED_VALUE"""),3.148512614E9)</f>
        <v>3148512614</v>
      </c>
      <c r="W138" s="6" t="str">
        <f>IFERROR(__xludf.DUMMYFUNCTION("""COMPUTED_VALUE"""),"jeronimolopez08@hotmail.com")</f>
        <v>jeronimolopez08@hotmail.com</v>
      </c>
      <c r="X138" s="12" t="str">
        <f>IFERROR(__xludf.DUMMYFUNCTION("""COMPUTED_VALUE"""),"A+")</f>
        <v>A+</v>
      </c>
      <c r="Y138" s="12" t="str">
        <f>IFERROR(__xludf.DUMMYFUNCTION("""COMPUTED_VALUE"""),"K5")</f>
        <v>K5</v>
      </c>
      <c r="Z138" s="12">
        <f>IFERROR(__xludf.DUMMYFUNCTION("""COMPUTED_VALUE"""),120353.0)</f>
        <v>120353</v>
      </c>
      <c r="AA138" s="6" t="str">
        <f>IFERROR(__xludf.DUMMYFUNCTION("""COMPUTED_VALUE"""),"SANITAS")</f>
        <v>SANITAS</v>
      </c>
      <c r="AB138" s="6"/>
      <c r="AC138" s="6"/>
      <c r="AD138" s="12" t="str">
        <f>IFERROR(__xludf.DUMMYFUNCTION("""COMPUTED_VALUE"""),"K5B")</f>
        <v>K5B</v>
      </c>
      <c r="AE138" s="12">
        <f>IFERROR(__xludf.DUMMYFUNCTION("""COMPUTED_VALUE"""),1.345282361E9)</f>
        <v>1345282361</v>
      </c>
      <c r="AF138" s="12" t="str">
        <f>IFERROR(__xludf.DUMMYFUNCTION("""COMPUTED_VALUE"""),"1345282361")</f>
        <v>1345282361</v>
      </c>
      <c r="AG138" s="12" t="str">
        <f>IFERROR(__xludf.DUMMYFUNCTION("""COMPUTED_VALUE"""),"Johanna")</f>
        <v>Johanna</v>
      </c>
      <c r="AH138" s="12" t="str">
        <f>IFERROR(__xludf.DUMMYFUNCTION("""COMPUTED_VALUE"""),"Andrea")</f>
        <v>Andrea</v>
      </c>
      <c r="AI138" s="6" t="str">
        <f>IFERROR(__xludf.DUMMYFUNCTION("""COMPUTED_VALUE"""),"Giraldo García")</f>
        <v>Giraldo García</v>
      </c>
      <c r="AJ138" s="6" t="str">
        <f>IFERROR(__xludf.DUMMYFUNCTION("""COMPUTED_VALUE"""),"joha_141090@hotmail.com")</f>
        <v>joha_141090@hotmail.com</v>
      </c>
      <c r="AK138" s="6" t="str">
        <f>IFERROR(__xludf.DUMMYFUNCTION("""COMPUTED_VALUE"""),"Universitario")</f>
        <v>Universitario</v>
      </c>
      <c r="AL138" s="6" t="str">
        <f>IFERROR(__xludf.DUMMYFUNCTION("""COMPUTED_VALUE"""),"Hotel montecarlo")</f>
        <v>Hotel montecarlo</v>
      </c>
      <c r="AM138" s="12" t="str">
        <f>IFERROR(__xludf.DUMMYFUNCTION("""COMPUTED_VALUE"""),"1094915763")</f>
        <v>1094915763</v>
      </c>
      <c r="AN138" s="12" t="str">
        <f>IFERROR(__xludf.DUMMYFUNCTION("""COMPUTED_VALUE"""),"3205496621")</f>
        <v>3205496621</v>
      </c>
      <c r="AO138" s="6" t="str">
        <f>IFERROR(__xludf.DUMMYFUNCTION("""COMPUTED_VALUE"""),"Madre")</f>
        <v>Madre</v>
      </c>
      <c r="AP138" s="6" t="str">
        <f>IFERROR(__xludf.DUMMYFUNCTION("""COMPUTED_VALUE"""),"Estudiante(s): Hoyos Giraldo")</f>
        <v>Estudiante(s): Hoyos Giraldo</v>
      </c>
      <c r="AQ138" s="6" t="str">
        <f>IFERROR(__xludf.DUMMYFUNCTION("""COMPUTED_VALUE"""),"120353*Gi")</f>
        <v>120353*Gi</v>
      </c>
      <c r="AR138" s="6" t="str">
        <f>IFERROR(__xludf.DUMMYFUNCTION("""COMPUTED_VALUE"""),"Jerónimo")</f>
        <v>Jerónimo</v>
      </c>
      <c r="AS138" s="6"/>
      <c r="AT138" s="6" t="str">
        <f>IFERROR(__xludf.DUMMYFUNCTION("""COMPUTED_VALUE"""),"Hoyos López")</f>
        <v>Hoyos López</v>
      </c>
      <c r="AU138" s="6" t="str">
        <f>IFERROR(__xludf.DUMMYFUNCTION("""COMPUTED_VALUE"""),"jeronimolopez08@hotmail.com")</f>
        <v>jeronimolopez08@hotmail.com</v>
      </c>
      <c r="AV138" s="6" t="str">
        <f>IFERROR(__xludf.DUMMYFUNCTION("""COMPUTED_VALUE"""),"Ingeniero Agrónomo")</f>
        <v>Ingeniero Agrónomo</v>
      </c>
      <c r="AW138" s="6" t="str">
        <f>IFERROR(__xludf.DUMMYFUNCTION("""COMPUTED_VALUE"""),"Independiente")</f>
        <v>Independiente</v>
      </c>
      <c r="AX138" s="12" t="str">
        <f>IFERROR(__xludf.DUMMYFUNCTION("""COMPUTED_VALUE"""),"16076506")</f>
        <v>16076506</v>
      </c>
      <c r="AY138" s="12">
        <f>IFERROR(__xludf.DUMMYFUNCTION("""COMPUTED_VALUE"""),3.148512614E9)</f>
        <v>3148512614</v>
      </c>
      <c r="AZ138" s="6" t="str">
        <f>IFERROR(__xludf.DUMMYFUNCTION("""COMPUTED_VALUE"""),"Padre")</f>
        <v>Padre</v>
      </c>
      <c r="BA138" s="6"/>
      <c r="BB138" s="6"/>
      <c r="BC138" s="6"/>
      <c r="BD138" s="12" t="str">
        <f>IFERROR(__xludf.DUMMYFUNCTION("""COMPUTED_VALUE"""),"hoy0006")</f>
        <v>hoy0006</v>
      </c>
      <c r="BE138" s="6"/>
      <c r="BF138" s="6"/>
      <c r="BG138" s="6">
        <f>IFERROR(__xludf.DUMMYFUNCTION("""COMPUTED_VALUE"""),2039.0)</f>
        <v>2039</v>
      </c>
      <c r="BH138" s="15">
        <f>IFERROR(__xludf.DUMMYFUNCTION("""COMPUTED_VALUE"""),46211.614016203705)</f>
        <v>46211.61402</v>
      </c>
      <c r="BI138" s="6">
        <f>IFERROR(__xludf.DUMMYFUNCTION("""COMPUTED_VALUE"""),137.0)</f>
        <v>137</v>
      </c>
      <c r="BJ138" s="6"/>
      <c r="BK138" s="6"/>
      <c r="BL138" s="6" t="str">
        <f>IFERROR(__xludf.DUMMYFUNCTION("""COMPUTED_VALUE"""),"GISHOY0006")</f>
        <v>GISHOY0006</v>
      </c>
      <c r="BM138" s="6"/>
      <c r="BN138" s="6"/>
      <c r="BO138" s="6" t="str">
        <f>IFERROR(__xludf.DUMMYFUNCTION("""COMPUTED_VALUE"""),"XC_K5_Polimotor")</f>
        <v>XC_K5_Polimotor</v>
      </c>
      <c r="BP138" s="6"/>
      <c r="BQ138" s="6"/>
      <c r="BR138" s="6" t="str">
        <f>IFERROR(__xludf.DUMMYFUNCTION("""COMPUTED_VALUE"""),"XC_K5_Polimotor")</f>
        <v>XC_K5_Polimotor</v>
      </c>
      <c r="BS138" s="6"/>
      <c r="BT138" s="6"/>
      <c r="BU138" s="6" t="str">
        <f>IFERROR(__xludf.DUMMYFUNCTION("""COMPUTED_VALUE"""),"SI")</f>
        <v>SI</v>
      </c>
      <c r="BV138" s="6" t="str">
        <f>IFERROR(__xludf.DUMMYFUNCTION("""COMPUTED_VALUE"""),"macarena.h2039")</f>
        <v>macarena.h2039</v>
      </c>
      <c r="BW138" s="6"/>
      <c r="BX138" s="6"/>
      <c r="BY138" s="6"/>
      <c r="BZ138" s="6"/>
    </row>
    <row r="139">
      <c r="A139" s="12">
        <f>IFERROR(__xludf.DUMMYFUNCTION("""COMPUTED_VALUE"""),1.109570959E9)</f>
        <v>1109570959</v>
      </c>
      <c r="B139" s="6">
        <f>IFERROR(__xludf.DUMMYFUNCTION("""COMPUTED_VALUE"""),7.0)</f>
        <v>7</v>
      </c>
      <c r="C139" s="6" t="str">
        <f>IFERROR(__xludf.DUMMYFUNCTION("""COMPUTED_VALUE"""),"Arturo")</f>
        <v>Arturo</v>
      </c>
      <c r="D139" s="6"/>
      <c r="E139" s="6" t="str">
        <f>IFERROR(__xludf.DUMMYFUNCTION("""COMPUTED_VALUE"""),"Jaramillo Roa")</f>
        <v>Jaramillo Roa</v>
      </c>
      <c r="F139" s="6" t="str">
        <f>IFERROR(__xludf.DUMMYFUNCTION("""COMPUTED_VALUE"""),"Condominio Hacienda Horizontes Casa 38 - Km 3 Via Circasia Vereda la Florida")</f>
        <v>Condominio Hacienda Horizontes Casa 38 - Km 3 Via Circasia Vereda la Florida</v>
      </c>
      <c r="G139" s="12" t="str">
        <f>IFERROR(__xludf.DUMMYFUNCTION("""COMPUTED_VALUE"""),"2020")</f>
        <v>2020</v>
      </c>
      <c r="H139" s="6" t="str">
        <f>IFERROR(__xludf.DUMMYFUNCTION("""COMPUTED_VALUE"""),"Diciembre")</f>
        <v>Diciembre</v>
      </c>
      <c r="I139" s="12" t="str">
        <f>IFERROR(__xludf.DUMMYFUNCTION("""COMPUTED_VALUE"""),"19")</f>
        <v>19</v>
      </c>
      <c r="J139" s="6" t="str">
        <f>IFERROR(__xludf.DUMMYFUNCTION("""COMPUTED_VALUE"""),"Cali")</f>
        <v>Cali</v>
      </c>
      <c r="K139" s="6" t="str">
        <f>IFERROR(__xludf.DUMMYFUNCTION("""COMPUTED_VALUE"""),"arturo.j2039@gi.edu.co")</f>
        <v>arturo.j2039@gi.edu.co</v>
      </c>
      <c r="L139" s="6" t="str">
        <f>IFERROR(__xludf.DUMMYFUNCTION("""COMPUTED_VALUE"""),"RC")</f>
        <v>RC</v>
      </c>
      <c r="M139" s="6" t="str">
        <f>IFERROR(__xludf.DUMMYFUNCTION("""COMPUTED_VALUE"""),"Cali")</f>
        <v>Cali</v>
      </c>
      <c r="N139" s="6" t="str">
        <f>IFERROR(__xludf.DUMMYFUNCTION("""COMPUTED_VALUE"""),"M")</f>
        <v>M</v>
      </c>
      <c r="O139" s="6" t="str">
        <f>IFERROR(__xludf.DUMMYFUNCTION("""COMPUTED_VALUE"""),"ACTIVE")</f>
        <v>ACTIVE</v>
      </c>
      <c r="P139" s="6"/>
      <c r="Q139" s="6" t="str">
        <f>IFERROR(__xludf.DUMMYFUNCTION("""COMPUTED_VALUE"""),"Circasia")</f>
        <v>Circasia</v>
      </c>
      <c r="R139" s="12" t="str">
        <f>IFERROR(__xludf.DUMMYFUNCTION("""COMPUTED_VALUE"""),"GiJ4ryur4*")</f>
        <v>GiJ4ryur4*</v>
      </c>
      <c r="S139" s="6" t="str">
        <f>IFERROR(__xludf.DUMMYFUNCTION("""COMPUTED_VALUE"""),"Jaramillo Roa Arturo ")</f>
        <v>Jaramillo Roa Arturo </v>
      </c>
      <c r="T139" s="6" t="str">
        <f>IFERROR(__xludf.DUMMYFUNCTION("""COMPUTED_VALUE"""),"HOSPITALITY VENTURES S.A.S.")</f>
        <v>HOSPITALITY VENTURES S.A.S.</v>
      </c>
      <c r="U139" s="12" t="str">
        <f>IFERROR(__xludf.DUMMYFUNCTION("""COMPUTED_VALUE"""),"901887672-4")</f>
        <v>901887672-4</v>
      </c>
      <c r="V139" s="6" t="str">
        <f>IFERROR(__xludf.DUMMYFUNCTION("""COMPUTED_VALUE"""),"3245958960")</f>
        <v>3245958960</v>
      </c>
      <c r="W139" s="6" t="str">
        <f>IFERROR(__xludf.DUMMYFUNCTION("""COMPUTED_VALUE"""),"hospitalityventuressas@gmail.com")</f>
        <v>hospitalityventuressas@gmail.com</v>
      </c>
      <c r="X139" s="12" t="str">
        <f>IFERROR(__xludf.DUMMYFUNCTION("""COMPUTED_VALUE"""),"O-")</f>
        <v>O-</v>
      </c>
      <c r="Y139" s="12" t="str">
        <f>IFERROR(__xludf.DUMMYFUNCTION("""COMPUTED_VALUE"""),"K5")</f>
        <v>K5</v>
      </c>
      <c r="Z139" s="6">
        <f>IFERROR(__xludf.DUMMYFUNCTION("""COMPUTED_VALUE"""),120581.0)</f>
        <v>120581</v>
      </c>
      <c r="AA139" s="6" t="str">
        <f>IFERROR(__xludf.DUMMYFUNCTION("""COMPUTED_VALUE"""),"SURA")</f>
        <v>SURA</v>
      </c>
      <c r="AB139" s="6"/>
      <c r="AC139" s="6"/>
      <c r="AD139" s="12" t="str">
        <f>IFERROR(__xludf.DUMMYFUNCTION("""COMPUTED_VALUE"""),"K5B")</f>
        <v>K5B</v>
      </c>
      <c r="AE139" s="12">
        <f>IFERROR(__xludf.DUMMYFUNCTION("""COMPUTED_VALUE"""),1.345282578E9)</f>
        <v>1345282578</v>
      </c>
      <c r="AF139" s="12" t="str">
        <f>IFERROR(__xludf.DUMMYFUNCTION("""COMPUTED_VALUE"""),"1345282578")</f>
        <v>1345282578</v>
      </c>
      <c r="AG139" s="12" t="str">
        <f>IFERROR(__xludf.DUMMYFUNCTION("""COMPUTED_VALUE"""),"María")</f>
        <v>María</v>
      </c>
      <c r="AH139" s="12" t="str">
        <f>IFERROR(__xludf.DUMMYFUNCTION("""COMPUTED_VALUE"""),"Clara")</f>
        <v>Clara</v>
      </c>
      <c r="AI139" s="6" t="str">
        <f>IFERROR(__xludf.DUMMYFUNCTION("""COMPUTED_VALUE"""),"Roa Cuorvo")</f>
        <v>Roa Cuorvo</v>
      </c>
      <c r="AJ139" s="6" t="str">
        <f>IFERROR(__xludf.DUMMYFUNCTION("""COMPUTED_VALUE"""),"clara.roacuorvo88@gmail.com")</f>
        <v>clara.roacuorvo88@gmail.com</v>
      </c>
      <c r="AK139" s="6" t="str">
        <f>IFERROR(__xludf.DUMMYFUNCTION("""COMPUTED_VALUE"""),"Chef")</f>
        <v>Chef</v>
      </c>
      <c r="AL139" s="6" t="str">
        <f>IFERROR(__xludf.DUMMYFUNCTION("""COMPUTED_VALUE"""),"basto resto bar")</f>
        <v>basto resto bar</v>
      </c>
      <c r="AM139" s="12" t="str">
        <f>IFERROR(__xludf.DUMMYFUNCTION("""COMPUTED_VALUE"""),"1144025112")</f>
        <v>1144025112</v>
      </c>
      <c r="AN139" s="12" t="str">
        <f>IFERROR(__xludf.DUMMYFUNCTION("""COMPUTED_VALUE"""),"3245958960")</f>
        <v>3245958960</v>
      </c>
      <c r="AO139" s="6" t="str">
        <f>IFERROR(__xludf.DUMMYFUNCTION("""COMPUTED_VALUE"""),"Madre")</f>
        <v>Madre</v>
      </c>
      <c r="AP139" s="6" t="str">
        <f>IFERROR(__xludf.DUMMYFUNCTION("""COMPUTED_VALUE"""),"Estudiante(s): Jaramillo Roa")</f>
        <v>Estudiante(s): Jaramillo Roa</v>
      </c>
      <c r="AQ139" s="6" t="str">
        <f>IFERROR(__xludf.DUMMYFUNCTION("""COMPUTED_VALUE"""),"120581*Gi")</f>
        <v>120581*Gi</v>
      </c>
      <c r="AR139" s="6" t="str">
        <f>IFERROR(__xludf.DUMMYFUNCTION("""COMPUTED_VALUE"""),"Juan")</f>
        <v>Juan</v>
      </c>
      <c r="AS139" s="6" t="str">
        <f>IFERROR(__xludf.DUMMYFUNCTION("""COMPUTED_VALUE"""),"David")</f>
        <v>David</v>
      </c>
      <c r="AT139" s="6" t="str">
        <f>IFERROR(__xludf.DUMMYFUNCTION("""COMPUTED_VALUE"""),"Jaramillo Jaramillo")</f>
        <v>Jaramillo Jaramillo</v>
      </c>
      <c r="AU139" s="6" t="str">
        <f>IFERROR(__xludf.DUMMYFUNCTION("""COMPUTED_VALUE"""),"jaramillo.juda@gmail.com")</f>
        <v>jaramillo.juda@gmail.com</v>
      </c>
      <c r="AV139" s="6" t="str">
        <f>IFERROR(__xludf.DUMMYFUNCTION("""COMPUTED_VALUE"""),"economista")</f>
        <v>economista</v>
      </c>
      <c r="AW139" s="6" t="str">
        <f>IFERROR(__xludf.DUMMYFUNCTION("""COMPUTED_VALUE"""),"bio habitat hotel")</f>
        <v>bio habitat hotel</v>
      </c>
      <c r="AX139" s="12" t="str">
        <f>IFERROR(__xludf.DUMMYFUNCTION("""COMPUTED_VALUE"""),"14802020")</f>
        <v>14802020</v>
      </c>
      <c r="AY139" s="12" t="str">
        <f>IFERROR(__xludf.DUMMYFUNCTION("""COMPUTED_VALUE"""),"3245958960")</f>
        <v>3245958960</v>
      </c>
      <c r="AZ139" s="6" t="str">
        <f>IFERROR(__xludf.DUMMYFUNCTION("""COMPUTED_VALUE"""),"Padre")</f>
        <v>Padre</v>
      </c>
      <c r="BA139" s="6"/>
      <c r="BB139" s="6"/>
      <c r="BC139" s="6"/>
      <c r="BD139" s="12" t="str">
        <f>IFERROR(__xludf.DUMMYFUNCTION("""COMPUTED_VALUE"""),"jar0029")</f>
        <v>jar0029</v>
      </c>
      <c r="BE139" s="6"/>
      <c r="BF139" s="12" t="str">
        <f>IFERROR(__xludf.DUMMYFUNCTION("""COMPUTED_VALUE"""),"6M+5m FEB/26 A ENE/27 SE APLICA MATR Y CTOS ESPECIALES")</f>
        <v>6M+5m FEB/26 A ENE/27 SE APLICA MATR Y CTOS ESPECIALES</v>
      </c>
      <c r="BG139" s="6">
        <f>IFERROR(__xludf.DUMMYFUNCTION("""COMPUTED_VALUE"""),2039.0)</f>
        <v>2039</v>
      </c>
      <c r="BH139" s="15">
        <f>IFERROR(__xludf.DUMMYFUNCTION("""COMPUTED_VALUE"""),46211.422800925924)</f>
        <v>46211.4228</v>
      </c>
      <c r="BI139" s="6">
        <f>IFERROR(__xludf.DUMMYFUNCTION("""COMPUTED_VALUE"""),138.0)</f>
        <v>138</v>
      </c>
      <c r="BJ139" s="6"/>
      <c r="BK139" s="6"/>
      <c r="BL139" s="6" t="str">
        <f>IFERROR(__xludf.DUMMYFUNCTION("""COMPUTED_VALUE"""),"GISJAR0029")</f>
        <v>GISJAR0029</v>
      </c>
      <c r="BM139" s="6"/>
      <c r="BN139" s="6"/>
      <c r="BO139" s="6"/>
      <c r="BP139" s="6"/>
      <c r="BQ139" s="6"/>
      <c r="BR139" s="6"/>
      <c r="BS139" s="6"/>
      <c r="BT139" s="6"/>
      <c r="BU139" s="6" t="str">
        <f>IFERROR(__xludf.DUMMYFUNCTION("""COMPUTED_VALUE"""),"SI")</f>
        <v>SI</v>
      </c>
      <c r="BV139" s="6" t="str">
        <f>IFERROR(__xludf.DUMMYFUNCTION("""COMPUTED_VALUE"""),"arturo.j2039")</f>
        <v>arturo.j2039</v>
      </c>
      <c r="BW139" s="6"/>
      <c r="BX139" s="6"/>
      <c r="BY139" s="6"/>
      <c r="BZ139" s="6"/>
    </row>
    <row r="140">
      <c r="A140" s="12">
        <f>IFERROR(__xludf.DUMMYFUNCTION("""COMPUTED_VALUE"""),1.027212861E9)</f>
        <v>1027212861</v>
      </c>
      <c r="B140" s="6">
        <f>IFERROR(__xludf.DUMMYFUNCTION("""COMPUTED_VALUE"""),8.0)</f>
        <v>8</v>
      </c>
      <c r="C140" s="6" t="str">
        <f>IFERROR(__xludf.DUMMYFUNCTION("""COMPUTED_VALUE"""),"Marcelo")</f>
        <v>Marcelo</v>
      </c>
      <c r="D140" s="6"/>
      <c r="E140" s="6" t="str">
        <f>IFERROR(__xludf.DUMMYFUNCTION("""COMPUTED_VALUE"""),"Llamas Granada")</f>
        <v>Llamas Granada</v>
      </c>
      <c r="F140" s="6" t="str">
        <f>IFERROR(__xludf.DUMMYFUNCTION("""COMPUTED_VALUE"""),"Condominio Jordan Campestre Torre A Apto 301 - Cra 6 13Nte - 30 Av Centenario")</f>
        <v>Condominio Jordan Campestre Torre A Apto 301 - Cra 6 13Nte - 30 Av Centenario</v>
      </c>
      <c r="G140" s="12" t="str">
        <f>IFERROR(__xludf.DUMMYFUNCTION("""COMPUTED_VALUE"""),"2021")</f>
        <v>2021</v>
      </c>
      <c r="H140" s="6" t="str">
        <f>IFERROR(__xludf.DUMMYFUNCTION("""COMPUTED_VALUE"""),"Junio")</f>
        <v>Junio</v>
      </c>
      <c r="I140" s="12" t="str">
        <f>IFERROR(__xludf.DUMMYFUNCTION("""COMPUTED_VALUE"""),"4")</f>
        <v>4</v>
      </c>
      <c r="J140" s="6" t="str">
        <f>IFERROR(__xludf.DUMMYFUNCTION("""COMPUTED_VALUE"""),"Bogotá D.C.")</f>
        <v>Bogotá D.C.</v>
      </c>
      <c r="K140" s="6" t="str">
        <f>IFERROR(__xludf.DUMMYFUNCTION("""COMPUTED_VALUE"""),"marcelo.ll2039@gi.edu.co")</f>
        <v>marcelo.ll2039@gi.edu.co</v>
      </c>
      <c r="L140" s="6" t="str">
        <f>IFERROR(__xludf.DUMMYFUNCTION("""COMPUTED_VALUE"""),"RC")</f>
        <v>RC</v>
      </c>
      <c r="M140" s="6" t="str">
        <f>IFERROR(__xludf.DUMMYFUNCTION("""COMPUTED_VALUE"""),"Bogotá D.C.")</f>
        <v>Bogotá D.C.</v>
      </c>
      <c r="N140" s="6" t="str">
        <f>IFERROR(__xludf.DUMMYFUNCTION("""COMPUTED_VALUE"""),"M")</f>
        <v>M</v>
      </c>
      <c r="O140" s="6" t="str">
        <f>IFERROR(__xludf.DUMMYFUNCTION("""COMPUTED_VALUE"""),"ACTIVE")</f>
        <v>ACTIVE</v>
      </c>
      <c r="P140" s="6"/>
      <c r="Q140" s="6" t="str">
        <f>IFERROR(__xludf.DUMMYFUNCTION("""COMPUTED_VALUE"""),"Armenia")</f>
        <v>Armenia</v>
      </c>
      <c r="R140" s="12" t="str">
        <f>IFERROR(__xludf.DUMMYFUNCTION("""COMPUTED_VALUE"""),"GipR5d1*")</f>
        <v>GipR5d1*</v>
      </c>
      <c r="S140" s="6" t="str">
        <f>IFERROR(__xludf.DUMMYFUNCTION("""COMPUTED_VALUE"""),"Llamas Granada Marcelo ")</f>
        <v>Llamas Granada Marcelo </v>
      </c>
      <c r="T140" s="6" t="str">
        <f>IFERROR(__xludf.DUMMYFUNCTION("""COMPUTED_VALUE"""),"JULIANA GRANADA BRITO")</f>
        <v>JULIANA GRANADA BRITO</v>
      </c>
      <c r="U140" s="12" t="str">
        <f>IFERROR(__xludf.DUMMYFUNCTION("""COMPUTED_VALUE"""),"1094920509")</f>
        <v>1094920509</v>
      </c>
      <c r="V140" s="6">
        <f>IFERROR(__xludf.DUMMYFUNCTION("""COMPUTED_VALUE"""),3.12721457E9)</f>
        <v>3127214570</v>
      </c>
      <c r="W140" s="6" t="str">
        <f>IFERROR(__xludf.DUMMYFUNCTION("""COMPUTED_VALUE"""),"juliana2405@hotmail.com")</f>
        <v>juliana2405@hotmail.com</v>
      </c>
      <c r="X140" s="12" t="str">
        <f>IFERROR(__xludf.DUMMYFUNCTION("""COMPUTED_VALUE"""),"O+")</f>
        <v>O+</v>
      </c>
      <c r="Y140" s="12" t="str">
        <f>IFERROR(__xludf.DUMMYFUNCTION("""COMPUTED_VALUE"""),"K5")</f>
        <v>K5</v>
      </c>
      <c r="Z140" s="12">
        <f>IFERROR(__xludf.DUMMYFUNCTION("""COMPUTED_VALUE"""),120325.0)</f>
        <v>120325</v>
      </c>
      <c r="AA140" s="6" t="str">
        <f>IFERROR(__xludf.DUMMYFUNCTION("""COMPUTED_VALUE"""),"SANITAS")</f>
        <v>SANITAS</v>
      </c>
      <c r="AB140" s="6"/>
      <c r="AC140" s="6"/>
      <c r="AD140" s="12" t="str">
        <f>IFERROR(__xludf.DUMMYFUNCTION("""COMPUTED_VALUE"""),"K5B")</f>
        <v>K5B</v>
      </c>
      <c r="AE140" s="12">
        <f>IFERROR(__xludf.DUMMYFUNCTION("""COMPUTED_VALUE"""),1.345282337E9)</f>
        <v>1345282337</v>
      </c>
      <c r="AF140" s="12" t="str">
        <f>IFERROR(__xludf.DUMMYFUNCTION("""COMPUTED_VALUE"""),"1345282337")</f>
        <v>1345282337</v>
      </c>
      <c r="AG140" s="12" t="str">
        <f>IFERROR(__xludf.DUMMYFUNCTION("""COMPUTED_VALUE"""),"Juliana")</f>
        <v>Juliana</v>
      </c>
      <c r="AH140" s="6"/>
      <c r="AI140" s="6" t="str">
        <f>IFERROR(__xludf.DUMMYFUNCTION("""COMPUTED_VALUE"""),"Granada Brito")</f>
        <v>Granada Brito</v>
      </c>
      <c r="AJ140" s="6" t="str">
        <f>IFERROR(__xludf.DUMMYFUNCTION("""COMPUTED_VALUE"""),"juliana2405@hotmail.com")</f>
        <v>juliana2405@hotmail.com</v>
      </c>
      <c r="AK140" s="6" t="str">
        <f>IFERROR(__xludf.DUMMYFUNCTION("""COMPUTED_VALUE"""),"RELACIONES INTERNACIONALES")</f>
        <v>RELACIONES INTERNACIONALES</v>
      </c>
      <c r="AL140" s="6" t="str">
        <f>IFERROR(__xludf.DUMMYFUNCTION("""COMPUTED_VALUE"""),"Clinica San Rafael Socimedicos")</f>
        <v>Clinica San Rafael Socimedicos</v>
      </c>
      <c r="AM140" s="12" t="str">
        <f>IFERROR(__xludf.DUMMYFUNCTION("""COMPUTED_VALUE"""),"1094920509")</f>
        <v>1094920509</v>
      </c>
      <c r="AN140" s="12" t="str">
        <f>IFERROR(__xludf.DUMMYFUNCTION("""COMPUTED_VALUE"""),"3127214570")</f>
        <v>3127214570</v>
      </c>
      <c r="AO140" s="6" t="str">
        <f>IFERROR(__xludf.DUMMYFUNCTION("""COMPUTED_VALUE"""),"Madre")</f>
        <v>Madre</v>
      </c>
      <c r="AP140" s="6" t="str">
        <f>IFERROR(__xludf.DUMMYFUNCTION("""COMPUTED_VALUE"""),"Estudiante(s): Llamas Granada")</f>
        <v>Estudiante(s): Llamas Granada</v>
      </c>
      <c r="AQ140" s="6" t="str">
        <f>IFERROR(__xludf.DUMMYFUNCTION("""COMPUTED_VALUE"""),"120325*Gi")</f>
        <v>120325*Gi</v>
      </c>
      <c r="AR140" s="6" t="str">
        <f>IFERROR(__xludf.DUMMYFUNCTION("""COMPUTED_VALUE"""),"Antonio")</f>
        <v>Antonio</v>
      </c>
      <c r="AS140" s="6" t="str">
        <f>IFERROR(__xludf.DUMMYFUNCTION("""COMPUTED_VALUE"""),"José")</f>
        <v>José</v>
      </c>
      <c r="AT140" s="6" t="str">
        <f>IFERROR(__xludf.DUMMYFUNCTION("""COMPUTED_VALUE"""),"Llamas Fernández")</f>
        <v>Llamas Fernández</v>
      </c>
      <c r="AU140" s="6" t="str">
        <f>IFERROR(__xludf.DUMMYFUNCTION("""COMPUTED_VALUE"""),"allamas7@hotmail.com")</f>
        <v>allamas7@hotmail.com</v>
      </c>
      <c r="AV140" s="6" t="str">
        <f>IFERROR(__xludf.DUMMYFUNCTION("""COMPUTED_VALUE"""),"ECONOMISTA")</f>
        <v>ECONOMISTA</v>
      </c>
      <c r="AW140" s="6" t="str">
        <f>IFERROR(__xludf.DUMMYFUNCTION("""COMPUTED_VALUE"""),"REDEBAN")</f>
        <v>REDEBAN</v>
      </c>
      <c r="AX140" s="12" t="str">
        <f>IFERROR(__xludf.DUMMYFUNCTION("""COMPUTED_VALUE"""),"73192272")</f>
        <v>73192272</v>
      </c>
      <c r="AY140" s="12">
        <f>IFERROR(__xludf.DUMMYFUNCTION("""COMPUTED_VALUE"""),3.134412781E9)</f>
        <v>3134412781</v>
      </c>
      <c r="AZ140" s="6" t="str">
        <f>IFERROR(__xludf.DUMMYFUNCTION("""COMPUTED_VALUE"""),"Padre")</f>
        <v>Padre</v>
      </c>
      <c r="BA140" s="6"/>
      <c r="BB140" s="6"/>
      <c r="BC140" s="6"/>
      <c r="BD140" s="12" t="str">
        <f>IFERROR(__xludf.DUMMYFUNCTION("""COMPUTED_VALUE"""),"lam0001")</f>
        <v>lam0001</v>
      </c>
      <c r="BE140" s="6"/>
      <c r="BF140" s="6"/>
      <c r="BG140" s="6">
        <f>IFERROR(__xludf.DUMMYFUNCTION("""COMPUTED_VALUE"""),2039.0)</f>
        <v>2039</v>
      </c>
      <c r="BH140" s="15">
        <f>IFERROR(__xludf.DUMMYFUNCTION("""COMPUTED_VALUE"""),46210.32208333333)</f>
        <v>46210.32208</v>
      </c>
      <c r="BI140" s="6">
        <f>IFERROR(__xludf.DUMMYFUNCTION("""COMPUTED_VALUE"""),139.0)</f>
        <v>139</v>
      </c>
      <c r="BJ140" s="6"/>
      <c r="BK140" s="6"/>
      <c r="BL140" s="6" t="str">
        <f>IFERROR(__xludf.DUMMYFUNCTION("""COMPUTED_VALUE"""),"GISLAM0001")</f>
        <v>GISLAM0001</v>
      </c>
      <c r="BM140" s="6"/>
      <c r="BN140" s="6"/>
      <c r="BO140" s="6" t="str">
        <f>IFERROR(__xludf.DUMMYFUNCTION("""COMPUTED_VALUE"""),"XC_K5_Futbol")</f>
        <v>XC_K5_Futbol</v>
      </c>
      <c r="BP140" s="6" t="str">
        <f>IFERROR(__xludf.DUMMYFUNCTION("""COMPUTED_VALUE"""),"XC_K5_IniciaMusical")</f>
        <v>XC_K5_IniciaMusical</v>
      </c>
      <c r="BQ140" s="6"/>
      <c r="BR140" s="6" t="str">
        <f>IFERROR(__xludf.DUMMYFUNCTION("""COMPUTED_VALUE"""),"XC_K5_Futbol")</f>
        <v>XC_K5_Futbol</v>
      </c>
      <c r="BS140" s="6"/>
      <c r="BT140" s="6"/>
      <c r="BU140" s="6" t="str">
        <f>IFERROR(__xludf.DUMMYFUNCTION("""COMPUTED_VALUE"""),"SI")</f>
        <v>SI</v>
      </c>
      <c r="BV140" s="6" t="str">
        <f>IFERROR(__xludf.DUMMYFUNCTION("""COMPUTED_VALUE"""),"marcelo.ll2039")</f>
        <v>marcelo.ll2039</v>
      </c>
      <c r="BW140" s="6"/>
      <c r="BX140" s="6"/>
      <c r="BY140" s="6"/>
      <c r="BZ140" s="6"/>
    </row>
    <row r="141">
      <c r="A141" s="12">
        <f>IFERROR(__xludf.DUMMYFUNCTION("""COMPUTED_VALUE"""),1.091889808E9)</f>
        <v>1091889808</v>
      </c>
      <c r="B141" s="6">
        <f>IFERROR(__xludf.DUMMYFUNCTION("""COMPUTED_VALUE"""),9.0)</f>
        <v>9</v>
      </c>
      <c r="C141" s="6" t="str">
        <f>IFERROR(__xludf.DUMMYFUNCTION("""COMPUTED_VALUE"""),"Juan")</f>
        <v>Juan</v>
      </c>
      <c r="D141" s="6"/>
      <c r="E141" s="6" t="str">
        <f>IFERROR(__xludf.DUMMYFUNCTION("""COMPUTED_VALUE"""),"Londoño González")</f>
        <v>Londoño González</v>
      </c>
      <c r="F141" s="6" t="str">
        <f>IFERROR(__xludf.DUMMYFUNCTION("""COMPUTED_VALUE"""),"Condominio El Robledal Casa 16 - Calle 14Nte No10 - 05 La Castellana")</f>
        <v>Condominio El Robledal Casa 16 - Calle 14Nte No10 - 05 La Castellana</v>
      </c>
      <c r="G141" s="12" t="str">
        <f>IFERROR(__xludf.DUMMYFUNCTION("""COMPUTED_VALUE"""),"2021")</f>
        <v>2021</v>
      </c>
      <c r="H141" s="6" t="str">
        <f>IFERROR(__xludf.DUMMYFUNCTION("""COMPUTED_VALUE"""),"Junio")</f>
        <v>Junio</v>
      </c>
      <c r="I141" s="12" t="str">
        <f>IFERROR(__xludf.DUMMYFUNCTION("""COMPUTED_VALUE"""),"11")</f>
        <v>11</v>
      </c>
      <c r="J141" s="6" t="str">
        <f>IFERROR(__xludf.DUMMYFUNCTION("""COMPUTED_VALUE"""),"Armenia")</f>
        <v>Armenia</v>
      </c>
      <c r="K141" s="6" t="str">
        <f>IFERROR(__xludf.DUMMYFUNCTION("""COMPUTED_VALUE"""),"juan.l2039@gi.edu.co")</f>
        <v>juan.l2039@gi.edu.co</v>
      </c>
      <c r="L141" s="6" t="str">
        <f>IFERROR(__xludf.DUMMYFUNCTION("""COMPUTED_VALUE"""),"RC")</f>
        <v>RC</v>
      </c>
      <c r="M141" s="6" t="str">
        <f>IFERROR(__xludf.DUMMYFUNCTION("""COMPUTED_VALUE"""),"Armenia")</f>
        <v>Armenia</v>
      </c>
      <c r="N141" s="6" t="str">
        <f>IFERROR(__xludf.DUMMYFUNCTION("""COMPUTED_VALUE"""),"M")</f>
        <v>M</v>
      </c>
      <c r="O141" s="6" t="str">
        <f>IFERROR(__xludf.DUMMYFUNCTION("""COMPUTED_VALUE"""),"ACTIVE")</f>
        <v>ACTIVE</v>
      </c>
      <c r="P141" s="6"/>
      <c r="Q141" s="6" t="str">
        <f>IFERROR(__xludf.DUMMYFUNCTION("""COMPUTED_VALUE"""),"Armenia")</f>
        <v>Armenia</v>
      </c>
      <c r="R141" s="12" t="str">
        <f>IFERROR(__xludf.DUMMYFUNCTION("""COMPUTED_VALUE"""),"Giurtn2*")</f>
        <v>Giurtn2*</v>
      </c>
      <c r="S141" s="6" t="str">
        <f>IFERROR(__xludf.DUMMYFUNCTION("""COMPUTED_VALUE"""),"Londoño González Juan ")</f>
        <v>Londoño González Juan </v>
      </c>
      <c r="T141" s="6" t="str">
        <f>IFERROR(__xludf.DUMMYFUNCTION("""COMPUTED_VALUE"""),"OLGA INES GONZALEZ URREA")</f>
        <v>OLGA INES GONZALEZ URREA</v>
      </c>
      <c r="U141" s="12" t="str">
        <f>IFERROR(__xludf.DUMMYFUNCTION("""COMPUTED_VALUE"""),"43878960")</f>
        <v>43878960</v>
      </c>
      <c r="V141" s="6">
        <f>IFERROR(__xludf.DUMMYFUNCTION("""COMPUTED_VALUE"""),3.216456794E9)</f>
        <v>3216456794</v>
      </c>
      <c r="W141" s="6" t="str">
        <f>IFERROR(__xludf.DUMMYFUNCTION("""COMPUTED_VALUE"""),"folguines@gmail.com")</f>
        <v>folguines@gmail.com</v>
      </c>
      <c r="X141" s="12" t="str">
        <f>IFERROR(__xludf.DUMMYFUNCTION("""COMPUTED_VALUE"""),"O+")</f>
        <v>O+</v>
      </c>
      <c r="Y141" s="12" t="str">
        <f>IFERROR(__xludf.DUMMYFUNCTION("""COMPUTED_VALUE"""),"K5")</f>
        <v>K5</v>
      </c>
      <c r="Z141" s="12">
        <f>IFERROR(__xludf.DUMMYFUNCTION("""COMPUTED_VALUE"""),120357.0)</f>
        <v>120357</v>
      </c>
      <c r="AA141" s="6" t="str">
        <f>IFERROR(__xludf.DUMMYFUNCTION("""COMPUTED_VALUE"""),"SURA")</f>
        <v>SURA</v>
      </c>
      <c r="AB141" s="6"/>
      <c r="AC141" s="12" t="str">
        <f>IFERROR(__xludf.DUMMYFUNCTION("""COMPUTED_VALUE"""),"A picadura de hormiga")</f>
        <v>A picadura de hormiga</v>
      </c>
      <c r="AD141" s="12" t="str">
        <f>IFERROR(__xludf.DUMMYFUNCTION("""COMPUTED_VALUE"""),"K5B")</f>
        <v>K5B</v>
      </c>
      <c r="AE141" s="12">
        <f>IFERROR(__xludf.DUMMYFUNCTION("""COMPUTED_VALUE"""),1.345282335E9)</f>
        <v>1345282335</v>
      </c>
      <c r="AF141" s="12" t="str">
        <f>IFERROR(__xludf.DUMMYFUNCTION("""COMPUTED_VALUE"""),"1345282335")</f>
        <v>1345282335</v>
      </c>
      <c r="AG141" s="12" t="str">
        <f>IFERROR(__xludf.DUMMYFUNCTION("""COMPUTED_VALUE"""),"Olga")</f>
        <v>Olga</v>
      </c>
      <c r="AH141" s="12" t="str">
        <f>IFERROR(__xludf.DUMMYFUNCTION("""COMPUTED_VALUE"""),"Inés")</f>
        <v>Inés</v>
      </c>
      <c r="AI141" s="6" t="str">
        <f>IFERROR(__xludf.DUMMYFUNCTION("""COMPUTED_VALUE"""),"González Urrea")</f>
        <v>González Urrea</v>
      </c>
      <c r="AJ141" s="6" t="str">
        <f>IFERROR(__xludf.DUMMYFUNCTION("""COMPUTED_VALUE"""),"folguines@gmail.com")</f>
        <v>folguines@gmail.com</v>
      </c>
      <c r="AK141" s="6" t="str">
        <f>IFERROR(__xludf.DUMMYFUNCTION("""COMPUTED_VALUE"""),"Psicóloga Esp. deporte y el ejercicio")</f>
        <v>Psicóloga Esp. deporte y el ejercicio</v>
      </c>
      <c r="AL141" s="6" t="str">
        <f>IFERROR(__xludf.DUMMYFUNCTION("""COMPUTED_VALUE"""),"SENA")</f>
        <v>SENA</v>
      </c>
      <c r="AM141" s="12" t="str">
        <f>IFERROR(__xludf.DUMMYFUNCTION("""COMPUTED_VALUE"""),"43878960")</f>
        <v>43878960</v>
      </c>
      <c r="AN141" s="12" t="str">
        <f>IFERROR(__xludf.DUMMYFUNCTION("""COMPUTED_VALUE"""),"3216456794")</f>
        <v>3216456794</v>
      </c>
      <c r="AO141" s="6" t="str">
        <f>IFERROR(__xludf.DUMMYFUNCTION("""COMPUTED_VALUE"""),"Madre")</f>
        <v>Madre</v>
      </c>
      <c r="AP141" s="6" t="str">
        <f>IFERROR(__xludf.DUMMYFUNCTION("""COMPUTED_VALUE"""),"Estudiante(s): Londono Gonzalez")</f>
        <v>Estudiante(s): Londono Gonzalez</v>
      </c>
      <c r="AQ141" s="6" t="str">
        <f>IFERROR(__xludf.DUMMYFUNCTION("""COMPUTED_VALUE"""),"120357*Gi")</f>
        <v>120357*Gi</v>
      </c>
      <c r="AR141" s="6" t="str">
        <f>IFERROR(__xludf.DUMMYFUNCTION("""COMPUTED_VALUE"""),"Manuel")</f>
        <v>Manuel</v>
      </c>
      <c r="AS141" s="6" t="str">
        <f>IFERROR(__xludf.DUMMYFUNCTION("""COMPUTED_VALUE"""),"Alejandro")</f>
        <v>Alejandro</v>
      </c>
      <c r="AT141" s="6" t="str">
        <f>IFERROR(__xludf.DUMMYFUNCTION("""COMPUTED_VALUE"""),"Londoño Yepes")</f>
        <v>Londoño Yepes</v>
      </c>
      <c r="AU141" s="6" t="str">
        <f>IFERROR(__xludf.DUMMYFUNCTION("""COMPUTED_VALUE"""),"alejolondo23@hotmail.com")</f>
        <v>alejolondo23@hotmail.com</v>
      </c>
      <c r="AV141" s="6" t="str">
        <f>IFERROR(__xludf.DUMMYFUNCTION("""COMPUTED_VALUE"""),"Abogado Mg. Derecho Económico")</f>
        <v>Abogado Mg. Derecho Económico</v>
      </c>
      <c r="AW141" s="6" t="str">
        <f>IFERROR(__xludf.DUMMYFUNCTION("""COMPUTED_VALUE"""),"Servicio Nacional de Aprendizaje SENA")</f>
        <v>Servicio Nacional de Aprendizaje SENA</v>
      </c>
      <c r="AX141" s="12" t="str">
        <f>IFERROR(__xludf.DUMMYFUNCTION("""COMPUTED_VALUE"""),"9737430")</f>
        <v>9737430</v>
      </c>
      <c r="AY141" s="12">
        <f>IFERROR(__xludf.DUMMYFUNCTION("""COMPUTED_VALUE"""),3.182616107E9)</f>
        <v>3182616107</v>
      </c>
      <c r="AZ141" s="6" t="str">
        <f>IFERROR(__xludf.DUMMYFUNCTION("""COMPUTED_VALUE"""),"Padre")</f>
        <v>Padre</v>
      </c>
      <c r="BA141" s="6"/>
      <c r="BB141" s="6"/>
      <c r="BC141" s="6"/>
      <c r="BD141" s="12" t="str">
        <f>IFERROR(__xludf.DUMMYFUNCTION("""COMPUTED_VALUE"""),"lon0014")</f>
        <v>lon0014</v>
      </c>
      <c r="BE141" s="6"/>
      <c r="BF141" s="6"/>
      <c r="BG141" s="6">
        <f>IFERROR(__xludf.DUMMYFUNCTION("""COMPUTED_VALUE"""),2039.0)</f>
        <v>2039</v>
      </c>
      <c r="BH141" s="15">
        <f>IFERROR(__xludf.DUMMYFUNCTION("""COMPUTED_VALUE"""),46211.58930555556)</f>
        <v>46211.58931</v>
      </c>
      <c r="BI141" s="6">
        <f>IFERROR(__xludf.DUMMYFUNCTION("""COMPUTED_VALUE"""),140.0)</f>
        <v>140</v>
      </c>
      <c r="BJ141" s="6"/>
      <c r="BK141" s="6"/>
      <c r="BL141" s="6" t="str">
        <f>IFERROR(__xludf.DUMMYFUNCTION("""COMPUTED_VALUE"""),"GISLON0014")</f>
        <v>GISLON0014</v>
      </c>
      <c r="BM141" s="6"/>
      <c r="BN141" s="6"/>
      <c r="BO141" s="6" t="str">
        <f>IFERROR(__xludf.DUMMYFUNCTION("""COMPUTED_VALUE"""),"XC_K5_Futbol")</f>
        <v>XC_K5_Futbol</v>
      </c>
      <c r="BP141" s="6"/>
      <c r="BQ141" s="6"/>
      <c r="BR141" s="6" t="str">
        <f>IFERROR(__xludf.DUMMYFUNCTION("""COMPUTED_VALUE"""),"XC_K5_Futbol")</f>
        <v>XC_K5_Futbol</v>
      </c>
      <c r="BS141" s="6"/>
      <c r="BT141" s="6"/>
      <c r="BU141" s="6" t="str">
        <f>IFERROR(__xludf.DUMMYFUNCTION("""COMPUTED_VALUE"""),"SI")</f>
        <v>SI</v>
      </c>
      <c r="BV141" s="6" t="str">
        <f>IFERROR(__xludf.DUMMYFUNCTION("""COMPUTED_VALUE"""),"juan.l2039")</f>
        <v>juan.l2039</v>
      </c>
      <c r="BW141" s="6"/>
      <c r="BX141" s="6"/>
      <c r="BY141" s="6"/>
      <c r="BZ141" s="6"/>
    </row>
    <row r="142">
      <c r="A142" s="12">
        <f>IFERROR(__xludf.DUMMYFUNCTION("""COMPUTED_VALUE"""),1.091889841E9)</f>
        <v>1091889841</v>
      </c>
      <c r="B142" s="6">
        <f>IFERROR(__xludf.DUMMYFUNCTION("""COMPUTED_VALUE"""),10.0)</f>
        <v>10</v>
      </c>
      <c r="C142" s="6" t="str">
        <f>IFERROR(__xludf.DUMMYFUNCTION("""COMPUTED_VALUE"""),"Emilio")</f>
        <v>Emilio</v>
      </c>
      <c r="D142" s="6"/>
      <c r="E142" s="6" t="str">
        <f>IFERROR(__xludf.DUMMYFUNCTION("""COMPUTED_VALUE"""),"Maya Botero")</f>
        <v>Maya Botero</v>
      </c>
      <c r="F142" s="6" t="str">
        <f>IFERROR(__xludf.DUMMYFUNCTION("""COMPUTED_VALUE"""),"Conjunto Los Rosales Casa 39 - Km 3 Via Circasia")</f>
        <v>Conjunto Los Rosales Casa 39 - Km 3 Via Circasia</v>
      </c>
      <c r="G142" s="12">
        <f>IFERROR(__xludf.DUMMYFUNCTION("""COMPUTED_VALUE"""),2021.0)</f>
        <v>2021</v>
      </c>
      <c r="H142" s="6" t="str">
        <f>IFERROR(__xludf.DUMMYFUNCTION("""COMPUTED_VALUE"""),"Agosto")</f>
        <v>Agosto</v>
      </c>
      <c r="I142" s="12">
        <f>IFERROR(__xludf.DUMMYFUNCTION("""COMPUTED_VALUE"""),5.0)</f>
        <v>5</v>
      </c>
      <c r="J142" s="6" t="str">
        <f>IFERROR(__xludf.DUMMYFUNCTION("""COMPUTED_VALUE"""),"Armenia")</f>
        <v>Armenia</v>
      </c>
      <c r="K142" s="6" t="str">
        <f>IFERROR(__xludf.DUMMYFUNCTION("""COMPUTED_VALUE"""),"emilio.m2039@gi.edu.co")</f>
        <v>emilio.m2039@gi.edu.co</v>
      </c>
      <c r="L142" s="6" t="str">
        <f>IFERROR(__xludf.DUMMYFUNCTION("""COMPUTED_VALUE"""),"RC")</f>
        <v>RC</v>
      </c>
      <c r="M142" s="6" t="str">
        <f>IFERROR(__xludf.DUMMYFUNCTION("""COMPUTED_VALUE"""),"Armenia")</f>
        <v>Armenia</v>
      </c>
      <c r="N142" s="6" t="str">
        <f>IFERROR(__xludf.DUMMYFUNCTION("""COMPUTED_VALUE"""),"M")</f>
        <v>M</v>
      </c>
      <c r="O142" s="6" t="str">
        <f>IFERROR(__xludf.DUMMYFUNCTION("""COMPUTED_VALUE"""),"INACTIVE")</f>
        <v>INACTIVE</v>
      </c>
      <c r="P142" s="6"/>
      <c r="Q142" s="6" t="str">
        <f>IFERROR(__xludf.DUMMYFUNCTION("""COMPUTED_VALUE"""),"Circasia")</f>
        <v>Circasia</v>
      </c>
      <c r="R142" s="12" t="str">
        <f>IFERROR(__xludf.DUMMYFUNCTION("""COMPUTED_VALUE"""),"Gilkrr2z*")</f>
        <v>Gilkrr2z*</v>
      </c>
      <c r="S142" s="6" t="str">
        <f>IFERROR(__xludf.DUMMYFUNCTION("""COMPUTED_VALUE"""),"Maya Botero Emilio ")</f>
        <v>Maya Botero Emilio </v>
      </c>
      <c r="T142" s="6" t="str">
        <f>IFERROR(__xludf.DUMMYFUNCTION("""COMPUTED_VALUE"""),"AGROPECUARIA CORCEGA SAS")</f>
        <v>AGROPECUARIA CORCEGA SAS</v>
      </c>
      <c r="U142" s="12" t="str">
        <f>IFERROR(__xludf.DUMMYFUNCTION("""COMPUTED_VALUE"""),"900298194-4")</f>
        <v>900298194-4</v>
      </c>
      <c r="V142" s="6">
        <f>IFERROR(__xludf.DUMMYFUNCTION("""COMPUTED_VALUE"""),3.173665446E9)</f>
        <v>3173665446</v>
      </c>
      <c r="W142" s="6" t="str">
        <f>IFERROR(__xludf.DUMMYFUNCTION("""COMPUTED_VALUE"""),"facturacionindustriascorcega@hotmail.com")</f>
        <v>facturacionindustriascorcega@hotmail.com</v>
      </c>
      <c r="X142" s="12" t="str">
        <f>IFERROR(__xludf.DUMMYFUNCTION("""COMPUTED_VALUE"""),"O+")</f>
        <v>O+</v>
      </c>
      <c r="Y142" s="12" t="str">
        <f>IFERROR(__xludf.DUMMYFUNCTION("""COMPUTED_VALUE"""),"K5")</f>
        <v>K5</v>
      </c>
      <c r="Z142" s="6">
        <f>IFERROR(__xludf.DUMMYFUNCTION("""COMPUTED_VALUE"""),120551.0)</f>
        <v>120551</v>
      </c>
      <c r="AA142" s="6" t="str">
        <f>IFERROR(__xludf.DUMMYFUNCTION("""COMPUTED_VALUE"""),"SURA")</f>
        <v>SURA</v>
      </c>
      <c r="AB142" s="6" t="str">
        <f>IFERROR(__xludf.DUMMYFUNCTION("""COMPUTED_VALUE"""),"EMI")</f>
        <v>EMI</v>
      </c>
      <c r="AC142" s="6"/>
      <c r="AD142" s="12" t="str">
        <f>IFERROR(__xludf.DUMMYFUNCTION("""COMPUTED_VALUE"""),"K5B")</f>
        <v>K5B</v>
      </c>
      <c r="AE142" s="6">
        <f>IFERROR(__xludf.DUMMYFUNCTION("""COMPUTED_VALUE"""),1.345282549E9)</f>
        <v>1345282549</v>
      </c>
      <c r="AF142" s="12">
        <f>IFERROR(__xludf.DUMMYFUNCTION("""COMPUTED_VALUE"""),1.345282549E9)</f>
        <v>1345282549</v>
      </c>
      <c r="AG142" s="12" t="str">
        <f>IFERROR(__xludf.DUMMYFUNCTION("""COMPUTED_VALUE"""),"Mariana")</f>
        <v>Mariana</v>
      </c>
      <c r="AH142" s="6"/>
      <c r="AI142" s="6" t="str">
        <f>IFERROR(__xludf.DUMMYFUNCTION("""COMPUTED_VALUE"""),"Botero Hincapié")</f>
        <v>Botero Hincapié</v>
      </c>
      <c r="AJ142" s="6" t="str">
        <f>IFERROR(__xludf.DUMMYFUNCTION("""COMPUTED_VALUE"""),"mariboteroh@gmail.com")</f>
        <v>mariboteroh@gmail.com</v>
      </c>
      <c r="AK142" s="6" t="str">
        <f>IFERROR(__xludf.DUMMYFUNCTION("""COMPUTED_VALUE"""),"Administración de Empresas")</f>
        <v>Administración de Empresas</v>
      </c>
      <c r="AL142" s="6" t="str">
        <f>IFERROR(__xludf.DUMMYFUNCTION("""COMPUTED_VALUE"""),"El Calafate SAS")</f>
        <v>El Calafate SAS</v>
      </c>
      <c r="AM142" s="12">
        <f>IFERROR(__xludf.DUMMYFUNCTION("""COMPUTED_VALUE"""),1.094922572E9)</f>
        <v>1094922572</v>
      </c>
      <c r="AN142" s="12">
        <f>IFERROR(__xludf.DUMMYFUNCTION("""COMPUTED_VALUE"""),3.182063117E9)</f>
        <v>3182063117</v>
      </c>
      <c r="AO142" s="6" t="str">
        <f>IFERROR(__xludf.DUMMYFUNCTION("""COMPUTED_VALUE"""),"Madre")</f>
        <v>Madre</v>
      </c>
      <c r="AP142" s="12" t="str">
        <f>IFERROR(__xludf.DUMMYFUNCTION("""COMPUTED_VALUE"""),"Estudiante(s): Maya Botero")</f>
        <v>Estudiante(s): Maya Botero</v>
      </c>
      <c r="AQ142" s="6" t="str">
        <f>IFERROR(__xludf.DUMMYFUNCTION("""COMPUTED_VALUE"""),"120550*Gi")</f>
        <v>120550*Gi</v>
      </c>
      <c r="AR142" s="6" t="str">
        <f>IFERROR(__xludf.DUMMYFUNCTION("""COMPUTED_VALUE"""),"Esteban")</f>
        <v>Esteban</v>
      </c>
      <c r="AS142" s="6"/>
      <c r="AT142" s="6" t="str">
        <f>IFERROR(__xludf.DUMMYFUNCTION("""COMPUTED_VALUE"""),"Maya Mejía")</f>
        <v>Maya Mejía</v>
      </c>
      <c r="AU142" s="6" t="str">
        <f>IFERROR(__xludf.DUMMYFUNCTION("""COMPUTED_VALUE"""),"esteban.maya.mejia@gmail.com")</f>
        <v>esteban.maya.mejia@gmail.com</v>
      </c>
      <c r="AV142" s="6" t="str">
        <f>IFERROR(__xludf.DUMMYFUNCTION("""COMPUTED_VALUE"""),"Arquitecto")</f>
        <v>Arquitecto</v>
      </c>
      <c r="AW142" s="6"/>
      <c r="AX142" s="12">
        <f>IFERROR(__xludf.DUMMYFUNCTION("""COMPUTED_VALUE"""),9736562.0)</f>
        <v>9736562</v>
      </c>
      <c r="AY142" s="12">
        <f>IFERROR(__xludf.DUMMYFUNCTION("""COMPUTED_VALUE"""),3.105385283E9)</f>
        <v>3105385283</v>
      </c>
      <c r="AZ142" s="6" t="str">
        <f>IFERROR(__xludf.DUMMYFUNCTION("""COMPUTED_VALUE"""),"Padre")</f>
        <v>Padre</v>
      </c>
      <c r="BA142" s="6"/>
      <c r="BB142" s="6"/>
      <c r="BC142" s="6"/>
      <c r="BD142" s="12" t="str">
        <f>IFERROR(__xludf.DUMMYFUNCTION("""COMPUTED_VALUE"""),"may0001")</f>
        <v>may0001</v>
      </c>
      <c r="BE142" s="6" t="str">
        <f>IFERROR(__xludf.DUMMYFUNCTION("""COMPUTED_VALUE"""),"FALTAN FIRMAS")</f>
        <v>FALTAN FIRMAS</v>
      </c>
      <c r="BF142" s="6"/>
      <c r="BG142" s="6">
        <f>IFERROR(__xludf.DUMMYFUNCTION("""COMPUTED_VALUE"""),2039.0)</f>
        <v>2039</v>
      </c>
      <c r="BH142" s="15">
        <f>IFERROR(__xludf.DUMMYFUNCTION("""COMPUTED_VALUE"""),46209.60215277778)</f>
        <v>46209.60215</v>
      </c>
      <c r="BI142" s="6">
        <f>IFERROR(__xludf.DUMMYFUNCTION("""COMPUTED_VALUE"""),141.0)</f>
        <v>141</v>
      </c>
      <c r="BJ142" s="6"/>
      <c r="BK142" s="6"/>
      <c r="BL142" s="6" t="str">
        <f>IFERROR(__xludf.DUMMYFUNCTION("""COMPUTED_VALUE"""),"GISMAY0001")</f>
        <v>GISMAY0001</v>
      </c>
      <c r="BM142" s="6"/>
      <c r="BN142" s="6"/>
      <c r="BO142" s="6" t="str">
        <f>IFERROR(__xludf.DUMMYFUNCTION("""COMPUTED_VALUE"""),"XC_K5_Futbol")</f>
        <v>XC_K5_Futbol</v>
      </c>
      <c r="BP142" s="6"/>
      <c r="BQ142" s="6"/>
      <c r="BR142" s="6" t="str">
        <f>IFERROR(__xludf.DUMMYFUNCTION("""COMPUTED_VALUE"""),"XC_K5_Futbol")</f>
        <v>XC_K5_Futbol</v>
      </c>
      <c r="BS142" s="6"/>
      <c r="BT142" s="6"/>
      <c r="BU142" s="6" t="str">
        <f>IFERROR(__xludf.DUMMYFUNCTION("""COMPUTED_VALUE"""),"SI")</f>
        <v>SI</v>
      </c>
      <c r="BV142" s="6" t="str">
        <f>IFERROR(__xludf.DUMMYFUNCTION("""COMPUTED_VALUE"""),"emilio.m2039")</f>
        <v>emilio.m2039</v>
      </c>
      <c r="BW142" s="6"/>
      <c r="BX142" s="6"/>
      <c r="BY142" s="6"/>
      <c r="BZ142" s="6"/>
    </row>
    <row r="143">
      <c r="A143" s="12">
        <f>IFERROR(__xludf.DUMMYFUNCTION("""COMPUTED_VALUE"""),1.092864828E9)</f>
        <v>1092864828</v>
      </c>
      <c r="B143" s="6">
        <f>IFERROR(__xludf.DUMMYFUNCTION("""COMPUTED_VALUE"""),11.0)</f>
        <v>11</v>
      </c>
      <c r="C143" s="6" t="str">
        <f>IFERROR(__xludf.DUMMYFUNCTION("""COMPUTED_VALUE"""),"Valentina")</f>
        <v>Valentina</v>
      </c>
      <c r="D143" s="6"/>
      <c r="E143" s="6" t="str">
        <f>IFERROR(__xludf.DUMMYFUNCTION("""COMPUTED_VALUE"""),"Mejía Sánchez")</f>
        <v>Mejía Sánchez</v>
      </c>
      <c r="F143" s="6" t="str">
        <f>IFERROR(__xludf.DUMMYFUNCTION("""COMPUTED_VALUE"""),"Conjunto Santa Clara Casa 37 - Cra 19 No25Nte - 50")</f>
        <v>Conjunto Santa Clara Casa 37 - Cra 19 No25Nte - 50</v>
      </c>
      <c r="G143" s="12" t="str">
        <f>IFERROR(__xludf.DUMMYFUNCTION("""COMPUTED_VALUE"""),"2020")</f>
        <v>2020</v>
      </c>
      <c r="H143" s="6" t="str">
        <f>IFERROR(__xludf.DUMMYFUNCTION("""COMPUTED_VALUE"""),"Diciembre")</f>
        <v>Diciembre</v>
      </c>
      <c r="I143" s="12" t="str">
        <f>IFERROR(__xludf.DUMMYFUNCTION("""COMPUTED_VALUE"""),"13")</f>
        <v>13</v>
      </c>
      <c r="J143" s="6" t="str">
        <f>IFERROR(__xludf.DUMMYFUNCTION("""COMPUTED_VALUE"""),"Armenia")</f>
        <v>Armenia</v>
      </c>
      <c r="K143" s="6" t="str">
        <f>IFERROR(__xludf.DUMMYFUNCTION("""COMPUTED_VALUE"""),"valentina.m2039@gi.edu.co")</f>
        <v>valentina.m2039@gi.edu.co</v>
      </c>
      <c r="L143" s="6" t="str">
        <f>IFERROR(__xludf.DUMMYFUNCTION("""COMPUTED_VALUE"""),"RC")</f>
        <v>RC</v>
      </c>
      <c r="M143" s="6" t="str">
        <f>IFERROR(__xludf.DUMMYFUNCTION("""COMPUTED_VALUE"""),"Armenia")</f>
        <v>Armenia</v>
      </c>
      <c r="N143" s="6" t="str">
        <f>IFERROR(__xludf.DUMMYFUNCTION("""COMPUTED_VALUE"""),"F")</f>
        <v>F</v>
      </c>
      <c r="O143" s="6" t="str">
        <f>IFERROR(__xludf.DUMMYFUNCTION("""COMPUTED_VALUE"""),"ACTIVE")</f>
        <v>ACTIVE</v>
      </c>
      <c r="P143" s="6"/>
      <c r="Q143" s="6" t="str">
        <f>IFERROR(__xludf.DUMMYFUNCTION("""COMPUTED_VALUE"""),"Armenia")</f>
        <v>Armenia</v>
      </c>
      <c r="R143" s="12" t="str">
        <f>IFERROR(__xludf.DUMMYFUNCTION("""COMPUTED_VALUE"""),"Gis36df*")</f>
        <v>Gis36df*</v>
      </c>
      <c r="S143" s="6" t="str">
        <f>IFERROR(__xludf.DUMMYFUNCTION("""COMPUTED_VALUE"""),"Mejía Sánchez Valentina ")</f>
        <v>Mejía Sánchez Valentina </v>
      </c>
      <c r="T143" s="6" t="str">
        <f>IFERROR(__xludf.DUMMYFUNCTION("""COMPUTED_VALUE"""),"GILBERTO MEJIA RIVERA")</f>
        <v>GILBERTO MEJIA RIVERA</v>
      </c>
      <c r="U143" s="12" t="str">
        <f>IFERROR(__xludf.DUMMYFUNCTION("""COMPUTED_VALUE"""),"10094514")</f>
        <v>10094514</v>
      </c>
      <c r="V143" s="6">
        <f>IFERROR(__xludf.DUMMYFUNCTION("""COMPUTED_VALUE"""),3.104480706E9)</f>
        <v>3104480706</v>
      </c>
      <c r="W143" s="6" t="str">
        <f>IFERROR(__xludf.DUMMYFUNCTION("""COMPUTED_VALUE"""),"tesoreriagm@hotmail.com")</f>
        <v>tesoreriagm@hotmail.com</v>
      </c>
      <c r="X143" s="12" t="str">
        <f>IFERROR(__xludf.DUMMYFUNCTION("""COMPUTED_VALUE"""),"A+")</f>
        <v>A+</v>
      </c>
      <c r="Y143" s="12" t="str">
        <f>IFERROR(__xludf.DUMMYFUNCTION("""COMPUTED_VALUE"""),"K5")</f>
        <v>K5</v>
      </c>
      <c r="Z143" s="12">
        <f>IFERROR(__xludf.DUMMYFUNCTION("""COMPUTED_VALUE"""),120343.0)</f>
        <v>120343</v>
      </c>
      <c r="AA143" s="6" t="str">
        <f>IFERROR(__xludf.DUMMYFUNCTION("""COMPUTED_VALUE"""),"SURA")</f>
        <v>SURA</v>
      </c>
      <c r="AB143" s="6"/>
      <c r="AC143" s="6"/>
      <c r="AD143" s="12" t="str">
        <f>IFERROR(__xludf.DUMMYFUNCTION("""COMPUTED_VALUE"""),"K5B")</f>
        <v>K5B</v>
      </c>
      <c r="AE143" s="12" t="str">
        <f>IFERROR(__xludf.DUMMYFUNCTION("""COMPUTED_VALUE"""),"1345282353")</f>
        <v>1345282353</v>
      </c>
      <c r="AF143" s="12" t="str">
        <f>IFERROR(__xludf.DUMMYFUNCTION("""COMPUTED_VALUE"""),"1345282353")</f>
        <v>1345282353</v>
      </c>
      <c r="AG143" s="12" t="str">
        <f>IFERROR(__xludf.DUMMYFUNCTION("""COMPUTED_VALUE"""),"Eliana")</f>
        <v>Eliana</v>
      </c>
      <c r="AH143" s="12" t="str">
        <f>IFERROR(__xludf.DUMMYFUNCTION("""COMPUTED_VALUE"""),"Carolina")</f>
        <v>Carolina</v>
      </c>
      <c r="AI143" s="6" t="str">
        <f>IFERROR(__xludf.DUMMYFUNCTION("""COMPUTED_VALUE"""),"Sánchez Ramírez")</f>
        <v>Sánchez Ramírez</v>
      </c>
      <c r="AJ143" s="6" t="str">
        <f>IFERROR(__xludf.DUMMYFUNCTION("""COMPUTED_VALUE"""),"coordinadoradeventasgmr@hotmail.com")</f>
        <v>coordinadoradeventasgmr@hotmail.com</v>
      </c>
      <c r="AK143" s="6" t="str">
        <f>IFERROR(__xludf.DUMMYFUNCTION("""COMPUTED_VALUE"""),"EMPRESARIA")</f>
        <v>EMPRESARIA</v>
      </c>
      <c r="AL143" s="6"/>
      <c r="AM143" s="12" t="str">
        <f>IFERROR(__xludf.DUMMYFUNCTION("""COMPUTED_VALUE"""),"1094916109")</f>
        <v>1094916109</v>
      </c>
      <c r="AN143" s="12" t="str">
        <f>IFERROR(__xludf.DUMMYFUNCTION("""COMPUTED_VALUE"""),"3173740620")</f>
        <v>3173740620</v>
      </c>
      <c r="AO143" s="6" t="str">
        <f>IFERROR(__xludf.DUMMYFUNCTION("""COMPUTED_VALUE"""),"Madre")</f>
        <v>Madre</v>
      </c>
      <c r="AP143" s="6" t="str">
        <f>IFERROR(__xludf.DUMMYFUNCTION("""COMPUTED_VALUE"""),"Estudiante(s): Mejía Sánchez")</f>
        <v>Estudiante(s): Mejía Sánchez</v>
      </c>
      <c r="AQ143" s="6" t="str">
        <f>IFERROR(__xludf.DUMMYFUNCTION("""COMPUTED_VALUE"""),"120343*Gi")</f>
        <v>120343*Gi</v>
      </c>
      <c r="AR143" s="6" t="str">
        <f>IFERROR(__xludf.DUMMYFUNCTION("""COMPUTED_VALUE"""),"Gilberto")</f>
        <v>Gilberto</v>
      </c>
      <c r="AS143" s="6"/>
      <c r="AT143" s="6" t="str">
        <f>IFERROR(__xludf.DUMMYFUNCTION("""COMPUTED_VALUE"""),"Mejía Rivera")</f>
        <v>Mejía Rivera</v>
      </c>
      <c r="AU143" s="6" t="str">
        <f>IFERROR(__xludf.DUMMYFUNCTION("""COMPUTED_VALUE"""),"tesoreriagm@hotmail.com")</f>
        <v>tesoreriagm@hotmail.com</v>
      </c>
      <c r="AV143" s="6" t="str">
        <f>IFERROR(__xludf.DUMMYFUNCTION("""COMPUTED_VALUE"""),"EMPRESARIO")</f>
        <v>EMPRESARIO</v>
      </c>
      <c r="AW143" s="6"/>
      <c r="AX143" s="12" t="str">
        <f>IFERROR(__xludf.DUMMYFUNCTION("""COMPUTED_VALUE"""),"10094514")</f>
        <v>10094514</v>
      </c>
      <c r="AY143" s="12" t="str">
        <f>IFERROR(__xludf.DUMMYFUNCTION("""COMPUTED_VALUE"""),"3104480706")</f>
        <v>3104480706</v>
      </c>
      <c r="AZ143" s="6" t="str">
        <f>IFERROR(__xludf.DUMMYFUNCTION("""COMPUTED_VALUE"""),"Padre")</f>
        <v>Padre</v>
      </c>
      <c r="BA143" s="6"/>
      <c r="BB143" s="6"/>
      <c r="BC143" s="6"/>
      <c r="BD143" s="12" t="str">
        <f>IFERROR(__xludf.DUMMYFUNCTION("""COMPUTED_VALUE"""),"san0008")</f>
        <v>san0008</v>
      </c>
      <c r="BE143" s="6"/>
      <c r="BF143" s="6"/>
      <c r="BG143" s="6">
        <f>IFERROR(__xludf.DUMMYFUNCTION("""COMPUTED_VALUE"""),2039.0)</f>
        <v>2039</v>
      </c>
      <c r="BH143" s="15">
        <f>IFERROR(__xludf.DUMMYFUNCTION("""COMPUTED_VALUE"""),46205.68466435185)</f>
        <v>46205.68466</v>
      </c>
      <c r="BI143" s="6">
        <f>IFERROR(__xludf.DUMMYFUNCTION("""COMPUTED_VALUE"""),142.0)</f>
        <v>142</v>
      </c>
      <c r="BJ143" s="6"/>
      <c r="BK143" s="6"/>
      <c r="BL143" s="6" t="str">
        <f>IFERROR(__xludf.DUMMYFUNCTION("""COMPUTED_VALUE"""),"GISSAN0008")</f>
        <v>GISSAN0008</v>
      </c>
      <c r="BM143" s="6"/>
      <c r="BN143" s="6"/>
      <c r="BO143" s="6"/>
      <c r="BP143" s="6"/>
      <c r="BQ143" s="6"/>
      <c r="BR143" s="6"/>
      <c r="BS143" s="6" t="str">
        <f>IFERROR(__xludf.DUMMYFUNCTION("""COMPUTED_VALUE"""),"XC_K5_IniciaDanzas")</f>
        <v>XC_K5_IniciaDanzas</v>
      </c>
      <c r="BT143" s="6"/>
      <c r="BU143" s="6" t="str">
        <f>IFERROR(__xludf.DUMMYFUNCTION("""COMPUTED_VALUE"""),"SI")</f>
        <v>SI</v>
      </c>
      <c r="BV143" s="6" t="str">
        <f>IFERROR(__xludf.DUMMYFUNCTION("""COMPUTED_VALUE"""),"valentina.m2039")</f>
        <v>valentina.m2039</v>
      </c>
      <c r="BW143" s="6"/>
      <c r="BX143" s="6"/>
      <c r="BY143" s="6"/>
      <c r="BZ143" s="6"/>
    </row>
    <row r="144">
      <c r="A144" s="12">
        <f>IFERROR(__xludf.DUMMYFUNCTION("""COMPUTED_VALUE"""),1.218717955E9)</f>
        <v>1218717955</v>
      </c>
      <c r="B144" s="6">
        <f>IFERROR(__xludf.DUMMYFUNCTION("""COMPUTED_VALUE"""),12.0)</f>
        <v>12</v>
      </c>
      <c r="C144" s="6" t="str">
        <f>IFERROR(__xludf.DUMMYFUNCTION("""COMPUTED_VALUE"""),"Victoria")</f>
        <v>Victoria</v>
      </c>
      <c r="D144" s="6"/>
      <c r="E144" s="6" t="str">
        <f>IFERROR(__xludf.DUMMYFUNCTION("""COMPUTED_VALUE"""),"Niño Martínez")</f>
        <v>Niño Martínez</v>
      </c>
      <c r="F144" s="6" t="str">
        <f>IFERROR(__xludf.DUMMYFUNCTION("""COMPUTED_VALUE"""),"Lagos de Iraka Casa 34 - Km 7 Via Armenia - El Caimo")</f>
        <v>Lagos de Iraka Casa 34 - Km 7 Via Armenia - El Caimo</v>
      </c>
      <c r="G144" s="12" t="str">
        <f>IFERROR(__xludf.DUMMYFUNCTION("""COMPUTED_VALUE"""),"2021")</f>
        <v>2021</v>
      </c>
      <c r="H144" s="6" t="str">
        <f>IFERROR(__xludf.DUMMYFUNCTION("""COMPUTED_VALUE"""),"Noviembre")</f>
        <v>Noviembre</v>
      </c>
      <c r="I144" s="12" t="str">
        <f>IFERROR(__xludf.DUMMYFUNCTION("""COMPUTED_VALUE"""),"5")</f>
        <v>5</v>
      </c>
      <c r="J144" s="6" t="str">
        <f>IFERROR(__xludf.DUMMYFUNCTION("""COMPUTED_VALUE"""),"Orlando")</f>
        <v>Orlando</v>
      </c>
      <c r="K144" s="6" t="str">
        <f>IFERROR(__xludf.DUMMYFUNCTION("""COMPUTED_VALUE"""),"victoria.n2039@gi.edu.co")</f>
        <v>victoria.n2039@gi.edu.co</v>
      </c>
      <c r="L144" s="6" t="str">
        <f>IFERROR(__xludf.DUMMYFUNCTION("""COMPUTED_VALUE"""),"RC")</f>
        <v>RC</v>
      </c>
      <c r="M144" s="6" t="str">
        <f>IFERROR(__xludf.DUMMYFUNCTION("""COMPUTED_VALUE"""),"Armenia")</f>
        <v>Armenia</v>
      </c>
      <c r="N144" s="6" t="str">
        <f>IFERROR(__xludf.DUMMYFUNCTION("""COMPUTED_VALUE"""),"F")</f>
        <v>F</v>
      </c>
      <c r="O144" s="6" t="str">
        <f>IFERROR(__xludf.DUMMYFUNCTION("""COMPUTED_VALUE"""),"ACTIVE")</f>
        <v>ACTIVE</v>
      </c>
      <c r="P144" s="6"/>
      <c r="Q144" s="6" t="str">
        <f>IFERROR(__xludf.DUMMYFUNCTION("""COMPUTED_VALUE"""),"Armenia")</f>
        <v>Armenia</v>
      </c>
      <c r="R144" s="12" t="str">
        <f>IFERROR(__xludf.DUMMYFUNCTION("""COMPUTED_VALUE"""),"Gi55bwja*")</f>
        <v>Gi55bwja*</v>
      </c>
      <c r="S144" s="6" t="str">
        <f>IFERROR(__xludf.DUMMYFUNCTION("""COMPUTED_VALUE"""),"Niño Martínez Victoria ")</f>
        <v>Niño Martínez Victoria </v>
      </c>
      <c r="T144" s="6" t="str">
        <f>IFERROR(__xludf.DUMMYFUNCTION("""COMPUTED_VALUE"""),"FELIPE NINO LONDONO")</f>
        <v>FELIPE NINO LONDONO</v>
      </c>
      <c r="U144" s="12" t="str">
        <f>IFERROR(__xludf.DUMMYFUNCTION("""COMPUTED_VALUE"""),"1094928460")</f>
        <v>1094928460</v>
      </c>
      <c r="V144" s="6">
        <f>IFERROR(__xludf.DUMMYFUNCTION("""COMPUTED_VALUE"""),3.163021419E9)</f>
        <v>3163021419</v>
      </c>
      <c r="W144" s="6" t="str">
        <f>IFERROR(__xludf.DUMMYFUNCTION("""COMPUTED_VALUE"""),"fnl999@hotmail.com")</f>
        <v>fnl999@hotmail.com</v>
      </c>
      <c r="X144" s="12" t="str">
        <f>IFERROR(__xludf.DUMMYFUNCTION("""COMPUTED_VALUE"""),"O+")</f>
        <v>O+</v>
      </c>
      <c r="Y144" s="12" t="str">
        <f>IFERROR(__xludf.DUMMYFUNCTION("""COMPUTED_VALUE"""),"K5")</f>
        <v>K5</v>
      </c>
      <c r="Z144" s="6">
        <f>IFERROR(__xludf.DUMMYFUNCTION("""COMPUTED_VALUE"""),120500.0)</f>
        <v>120500</v>
      </c>
      <c r="AA144" s="6" t="str">
        <f>IFERROR(__xludf.DUMMYFUNCTION("""COMPUTED_VALUE"""),"SURA")</f>
        <v>SURA</v>
      </c>
      <c r="AB144" s="6"/>
      <c r="AC144" s="6"/>
      <c r="AD144" s="12" t="str">
        <f>IFERROR(__xludf.DUMMYFUNCTION("""COMPUTED_VALUE"""),"K5B")</f>
        <v>K5B</v>
      </c>
      <c r="AE144" s="6" t="str">
        <f>IFERROR(__xludf.DUMMYFUNCTION("""COMPUTED_VALUE"""),"1345282499")</f>
        <v>1345282499</v>
      </c>
      <c r="AF144" s="12" t="str">
        <f>IFERROR(__xludf.DUMMYFUNCTION("""COMPUTED_VALUE"""),"1345282499")</f>
        <v>1345282499</v>
      </c>
      <c r="AG144" s="12" t="str">
        <f>IFERROR(__xludf.DUMMYFUNCTION("""COMPUTED_VALUE"""),"Laura")</f>
        <v>Laura</v>
      </c>
      <c r="AH144" s="6"/>
      <c r="AI144" s="6" t="str">
        <f>IFERROR(__xludf.DUMMYFUNCTION("""COMPUTED_VALUE"""),"Martínez González")</f>
        <v>Martínez González</v>
      </c>
      <c r="AJ144" s="6" t="str">
        <f>IFERROR(__xludf.DUMMYFUNCTION("""COMPUTED_VALUE"""),"lauramartinezgp@gmail.com")</f>
        <v>lauramartinezgp@gmail.com</v>
      </c>
      <c r="AK144" s="6" t="str">
        <f>IFERROR(__xludf.DUMMYFUNCTION("""COMPUTED_VALUE"""),"Administrador de Empresas")</f>
        <v>Administrador de Empresas</v>
      </c>
      <c r="AL144" s="6" t="str">
        <f>IFERROR(__xludf.DUMMYFUNCTION("""COMPUTED_VALUE"""),"NA")</f>
        <v>NA</v>
      </c>
      <c r="AM144" s="12" t="str">
        <f>IFERROR(__xludf.DUMMYFUNCTION("""COMPUTED_VALUE"""),"1094930667")</f>
        <v>1094930667</v>
      </c>
      <c r="AN144" s="12" t="str">
        <f>IFERROR(__xludf.DUMMYFUNCTION("""COMPUTED_VALUE"""),"3174371105")</f>
        <v>3174371105</v>
      </c>
      <c r="AO144" s="6" t="str">
        <f>IFERROR(__xludf.DUMMYFUNCTION("""COMPUTED_VALUE"""),"Madre")</f>
        <v>Madre</v>
      </c>
      <c r="AP144" s="12" t="str">
        <f>IFERROR(__xludf.DUMMYFUNCTION("""COMPUTED_VALUE"""),"Estudiante(s): Niño Martínez")</f>
        <v>Estudiante(s): Niño Martínez</v>
      </c>
      <c r="AQ144" s="6" t="str">
        <f>IFERROR(__xludf.DUMMYFUNCTION("""COMPUTED_VALUE"""),"120500*Gi")</f>
        <v>120500*Gi</v>
      </c>
      <c r="AR144" s="6" t="str">
        <f>IFERROR(__xludf.DUMMYFUNCTION("""COMPUTED_VALUE"""),"Felipe")</f>
        <v>Felipe</v>
      </c>
      <c r="AS144" s="6"/>
      <c r="AT144" s="6" t="str">
        <f>IFERROR(__xludf.DUMMYFUNCTION("""COMPUTED_VALUE"""),"Niño Londoño")</f>
        <v>Niño Londoño</v>
      </c>
      <c r="AU144" s="6" t="str">
        <f>IFERROR(__xludf.DUMMYFUNCTION("""COMPUTED_VALUE"""),"fnl999@hotmail.com")</f>
        <v>fnl999@hotmail.com</v>
      </c>
      <c r="AV144" s="6" t="str">
        <f>IFERROR(__xludf.DUMMYFUNCTION("""COMPUTED_VALUE"""),"Administrador de Empresas")</f>
        <v>Administrador de Empresas</v>
      </c>
      <c r="AW144" s="6" t="str">
        <f>IFERROR(__xludf.DUMMYFUNCTION("""COMPUTED_VALUE"""),"Niño Sanchez Hermanos")</f>
        <v>Niño Sanchez Hermanos</v>
      </c>
      <c r="AX144" s="12" t="str">
        <f>IFERROR(__xludf.DUMMYFUNCTION("""COMPUTED_VALUE"""),"1094928460")</f>
        <v>1094928460</v>
      </c>
      <c r="AY144" s="12" t="str">
        <f>IFERROR(__xludf.DUMMYFUNCTION("""COMPUTED_VALUE"""),"3163021419")</f>
        <v>3163021419</v>
      </c>
      <c r="AZ144" s="6" t="str">
        <f>IFERROR(__xludf.DUMMYFUNCTION("""COMPUTED_VALUE"""),"Padre")</f>
        <v>Padre</v>
      </c>
      <c r="BA144" s="6"/>
      <c r="BB144" s="6"/>
      <c r="BC144" s="6"/>
      <c r="BD144" s="12" t="str">
        <f>IFERROR(__xludf.DUMMYFUNCTION("""COMPUTED_VALUE"""),"nin0001")</f>
        <v>nin0001</v>
      </c>
      <c r="BE144" s="6"/>
      <c r="BF144" s="6"/>
      <c r="BG144" s="6">
        <f>IFERROR(__xludf.DUMMYFUNCTION("""COMPUTED_VALUE"""),2039.0)</f>
        <v>2039</v>
      </c>
      <c r="BH144" s="15">
        <f>IFERROR(__xludf.DUMMYFUNCTION("""COMPUTED_VALUE"""),46209.367731481485)</f>
        <v>46209.36773</v>
      </c>
      <c r="BI144" s="6">
        <f>IFERROR(__xludf.DUMMYFUNCTION("""COMPUTED_VALUE"""),143.0)</f>
        <v>143</v>
      </c>
      <c r="BJ144" s="6"/>
      <c r="BK144" s="6"/>
      <c r="BL144" s="6" t="str">
        <f>IFERROR(__xludf.DUMMYFUNCTION("""COMPUTED_VALUE"""),"GISNIN0001")</f>
        <v>GISNIN0001</v>
      </c>
      <c r="BM144" s="6"/>
      <c r="BN144" s="6"/>
      <c r="BO144" s="6" t="str">
        <f>IFERROR(__xludf.DUMMYFUNCTION("""COMPUTED_VALUE"""),"XC_K5_Futbol")</f>
        <v>XC_K5_Futbol</v>
      </c>
      <c r="BP144" s="6"/>
      <c r="BQ144" s="6"/>
      <c r="BR144" s="6" t="str">
        <f>IFERROR(__xludf.DUMMYFUNCTION("""COMPUTED_VALUE"""),"XC_K5_Futbol")</f>
        <v>XC_K5_Futbol</v>
      </c>
      <c r="BS144" s="6" t="str">
        <f>IFERROR(__xludf.DUMMYFUNCTION("""COMPUTED_VALUE"""),"XC_K5_IniciaDanzas")</f>
        <v>XC_K5_IniciaDanzas</v>
      </c>
      <c r="BT144" s="6"/>
      <c r="BU144" s="6" t="str">
        <f>IFERROR(__xludf.DUMMYFUNCTION("""COMPUTED_VALUE"""),"SI")</f>
        <v>SI</v>
      </c>
      <c r="BV144" s="6" t="str">
        <f>IFERROR(__xludf.DUMMYFUNCTION("""COMPUTED_VALUE"""),"victoria.n2039")</f>
        <v>victoria.n2039</v>
      </c>
      <c r="BW144" s="6"/>
      <c r="BX144" s="6"/>
      <c r="BY144" s="6"/>
      <c r="BZ144" s="6"/>
    </row>
    <row r="145">
      <c r="A145" s="12">
        <f>IFERROR(__xludf.DUMMYFUNCTION("""COMPUTED_VALUE"""),1.020849534E9)</f>
        <v>1020849534</v>
      </c>
      <c r="B145" s="6">
        <f>IFERROR(__xludf.DUMMYFUNCTION("""COMPUTED_VALUE"""),13.0)</f>
        <v>13</v>
      </c>
      <c r="C145" s="6" t="str">
        <f>IFERROR(__xludf.DUMMYFUNCTION("""COMPUTED_VALUE"""),"Matías")</f>
        <v>Matías</v>
      </c>
      <c r="D145" s="6"/>
      <c r="E145" s="6" t="str">
        <f>IFERROR(__xludf.DUMMYFUNCTION("""COMPUTED_VALUE"""),"Ochoa Gómez")</f>
        <v>Ochoa Gómez</v>
      </c>
      <c r="F145" s="6" t="str">
        <f>IFERROR(__xludf.DUMMYFUNCTION("""COMPUTED_VALUE"""),"Km 11 Via El Eden Casa 2 San Antonio Diagonal Cond El Eden")</f>
        <v>Km 11 Via El Eden Casa 2 San Antonio Diagonal Cond El Eden</v>
      </c>
      <c r="G145" s="12" t="str">
        <f>IFERROR(__xludf.DUMMYFUNCTION("""COMPUTED_VALUE"""),"2021")</f>
        <v>2021</v>
      </c>
      <c r="H145" s="6" t="str">
        <f>IFERROR(__xludf.DUMMYFUNCTION("""COMPUTED_VALUE"""),"Mayo")</f>
        <v>Mayo</v>
      </c>
      <c r="I145" s="12" t="str">
        <f>IFERROR(__xludf.DUMMYFUNCTION("""COMPUTED_VALUE"""),"19")</f>
        <v>19</v>
      </c>
      <c r="J145" s="6" t="str">
        <f>IFERROR(__xludf.DUMMYFUNCTION("""COMPUTED_VALUE"""),"Bogotá DC")</f>
        <v>Bogotá DC</v>
      </c>
      <c r="K145" s="6" t="str">
        <f>IFERROR(__xludf.DUMMYFUNCTION("""COMPUTED_VALUE"""),"matias.o2039@gi.edu.co")</f>
        <v>matias.o2039@gi.edu.co</v>
      </c>
      <c r="L145" s="6" t="str">
        <f>IFERROR(__xludf.DUMMYFUNCTION("""COMPUTED_VALUE"""),"RC")</f>
        <v>RC</v>
      </c>
      <c r="M145" s="6" t="str">
        <f>IFERROR(__xludf.DUMMYFUNCTION("""COMPUTED_VALUE"""),"Bogotá D.C.")</f>
        <v>Bogotá D.C.</v>
      </c>
      <c r="N145" s="6" t="str">
        <f>IFERROR(__xludf.DUMMYFUNCTION("""COMPUTED_VALUE"""),"M")</f>
        <v>M</v>
      </c>
      <c r="O145" s="6" t="str">
        <f>IFERROR(__xludf.DUMMYFUNCTION("""COMPUTED_VALUE"""),"ACTIVE")</f>
        <v>ACTIVE</v>
      </c>
      <c r="P145" s="6"/>
      <c r="Q145" s="6" t="str">
        <f>IFERROR(__xludf.DUMMYFUNCTION("""COMPUTED_VALUE"""),"Armenia")</f>
        <v>Armenia</v>
      </c>
      <c r="R145" s="12" t="str">
        <f>IFERROR(__xludf.DUMMYFUNCTION("""COMPUTED_VALUE"""),"Gi72bght7*")</f>
        <v>Gi72bght7*</v>
      </c>
      <c r="S145" s="6" t="str">
        <f>IFERROR(__xludf.DUMMYFUNCTION("""COMPUTED_VALUE"""),"Ochoa Gómez Matías ")</f>
        <v>Ochoa Gómez Matías </v>
      </c>
      <c r="T145" s="6" t="str">
        <f>IFERROR(__xludf.DUMMYFUNCTION("""COMPUTED_VALUE"""),"LUIS MIGUEL OCHOA PINEDA")</f>
        <v>LUIS MIGUEL OCHOA PINEDA</v>
      </c>
      <c r="U145" s="12" t="str">
        <f>IFERROR(__xludf.DUMMYFUNCTION("""COMPUTED_VALUE"""),"1130637505")</f>
        <v>1130637505</v>
      </c>
      <c r="V145" s="6">
        <f>IFERROR(__xludf.DUMMYFUNCTION("""COMPUTED_VALUE"""),3.173830965E9)</f>
        <v>3173830965</v>
      </c>
      <c r="W145" s="6" t="str">
        <f>IFERROR(__xludf.DUMMYFUNCTION("""COMPUTED_VALUE"""),"miguelopc@hotmail.com")</f>
        <v>miguelopc@hotmail.com</v>
      </c>
      <c r="X145" s="12" t="str">
        <f>IFERROR(__xludf.DUMMYFUNCTION("""COMPUTED_VALUE"""),"O+")</f>
        <v>O+</v>
      </c>
      <c r="Y145" s="12" t="str">
        <f>IFERROR(__xludf.DUMMYFUNCTION("""COMPUTED_VALUE"""),"K5")</f>
        <v>K5</v>
      </c>
      <c r="Z145" s="12">
        <f>IFERROR(__xludf.DUMMYFUNCTION("""COMPUTED_VALUE"""),120484.0)</f>
        <v>120484</v>
      </c>
      <c r="AA145" s="6" t="str">
        <f>IFERROR(__xludf.DUMMYFUNCTION("""COMPUTED_VALUE"""),"SURA")</f>
        <v>SURA</v>
      </c>
      <c r="AB145" s="6"/>
      <c r="AC145" s="6"/>
      <c r="AD145" s="12" t="str">
        <f>IFERROR(__xludf.DUMMYFUNCTION("""COMPUTED_VALUE"""),"K5B")</f>
        <v>K5B</v>
      </c>
      <c r="AE145" s="12" t="str">
        <f>IFERROR(__xludf.DUMMYFUNCTION("""COMPUTED_VALUE"""),"1345282443")</f>
        <v>1345282443</v>
      </c>
      <c r="AF145" s="12" t="str">
        <f>IFERROR(__xludf.DUMMYFUNCTION("""COMPUTED_VALUE"""),"1345282443")</f>
        <v>1345282443</v>
      </c>
      <c r="AG145" s="12" t="str">
        <f>IFERROR(__xludf.DUMMYFUNCTION("""COMPUTED_VALUE"""),"María")</f>
        <v>María</v>
      </c>
      <c r="AH145" s="12" t="str">
        <f>IFERROR(__xludf.DUMMYFUNCTION("""COMPUTED_VALUE"""),"Ximena")</f>
        <v>Ximena</v>
      </c>
      <c r="AI145" s="6" t="str">
        <f>IFERROR(__xludf.DUMMYFUNCTION("""COMPUTED_VALUE"""),"Gómez Giraldo")</f>
        <v>Gómez Giraldo</v>
      </c>
      <c r="AJ145" s="6" t="str">
        <f>IFERROR(__xludf.DUMMYFUNCTION("""COMPUTED_VALUE"""),"mgomezg2@gmail.com")</f>
        <v>mgomezg2@gmail.com</v>
      </c>
      <c r="AK145" s="6" t="str">
        <f>IFERROR(__xludf.DUMMYFUNCTION("""COMPUTED_VALUE"""),"Administradora de Negocios")</f>
        <v>Administradora de Negocios</v>
      </c>
      <c r="AL145" s="6" t="str">
        <f>IFERROR(__xludf.DUMMYFUNCTION("""COMPUTED_VALUE"""),"AXM inversiones inmobiliarias")</f>
        <v>AXM inversiones inmobiliarias</v>
      </c>
      <c r="AM145" s="12" t="str">
        <f>IFERROR(__xludf.DUMMYFUNCTION("""COMPUTED_VALUE"""),"1094887402")</f>
        <v>1094887402</v>
      </c>
      <c r="AN145" s="12" t="str">
        <f>IFERROR(__xludf.DUMMYFUNCTION("""COMPUTED_VALUE"""),"3105435478")</f>
        <v>3105435478</v>
      </c>
      <c r="AO145" s="6" t="str">
        <f>IFERROR(__xludf.DUMMYFUNCTION("""COMPUTED_VALUE"""),"Madre")</f>
        <v>Madre</v>
      </c>
      <c r="AP145" s="6" t="str">
        <f>IFERROR(__xludf.DUMMYFUNCTION("""COMPUTED_VALUE"""),"Estudiante(s): Ochoa Gómez")</f>
        <v>Estudiante(s): Ochoa Gómez</v>
      </c>
      <c r="AQ145" s="6" t="str">
        <f>IFERROR(__xludf.DUMMYFUNCTION("""COMPUTED_VALUE"""),"120484*Gi")</f>
        <v>120484*Gi</v>
      </c>
      <c r="AR145" s="6" t="str">
        <f>IFERROR(__xludf.DUMMYFUNCTION("""COMPUTED_VALUE"""),"Luis")</f>
        <v>Luis</v>
      </c>
      <c r="AS145" s="6" t="str">
        <f>IFERROR(__xludf.DUMMYFUNCTION("""COMPUTED_VALUE"""),"Miguel")</f>
        <v>Miguel</v>
      </c>
      <c r="AT145" s="6" t="str">
        <f>IFERROR(__xludf.DUMMYFUNCTION("""COMPUTED_VALUE"""),"Ochoa Pineda")</f>
        <v>Ochoa Pineda</v>
      </c>
      <c r="AU145" s="6" t="str">
        <f>IFERROR(__xludf.DUMMYFUNCTION("""COMPUTED_VALUE"""),"miguelopc@hotmail.com")</f>
        <v>miguelopc@hotmail.com</v>
      </c>
      <c r="AV145" s="6" t="str">
        <f>IFERROR(__xludf.DUMMYFUNCTION("""COMPUTED_VALUE"""),"Ingeniero Industrial")</f>
        <v>Ingeniero Industrial</v>
      </c>
      <c r="AW145" s="6" t="str">
        <f>IFERROR(__xludf.DUMMYFUNCTION("""COMPUTED_VALUE"""),"AUTONIZA CHEVROLET")</f>
        <v>AUTONIZA CHEVROLET</v>
      </c>
      <c r="AX145" s="12" t="str">
        <f>IFERROR(__xludf.DUMMYFUNCTION("""COMPUTED_VALUE"""),"1130637505")</f>
        <v>1130637505</v>
      </c>
      <c r="AY145" s="12" t="str">
        <f>IFERROR(__xludf.DUMMYFUNCTION("""COMPUTED_VALUE"""),"3173830965")</f>
        <v>3173830965</v>
      </c>
      <c r="AZ145" s="6" t="str">
        <f>IFERROR(__xludf.DUMMYFUNCTION("""COMPUTED_VALUE"""),"Padre")</f>
        <v>Padre</v>
      </c>
      <c r="BA145" s="6"/>
      <c r="BB145" s="6"/>
      <c r="BC145" s="6"/>
      <c r="BD145" s="12" t="str">
        <f>IFERROR(__xludf.DUMMYFUNCTION("""COMPUTED_VALUE"""),"och0003")</f>
        <v>och0003</v>
      </c>
      <c r="BE145" s="6"/>
      <c r="BF145" s="6"/>
      <c r="BG145" s="6">
        <f>IFERROR(__xludf.DUMMYFUNCTION("""COMPUTED_VALUE"""),2039.0)</f>
        <v>2039</v>
      </c>
      <c r="BH145" s="16">
        <f>IFERROR(__xludf.DUMMYFUNCTION("""COMPUTED_VALUE"""),46211.77922453704)</f>
        <v>46211.77922</v>
      </c>
      <c r="BI145" s="6">
        <f>IFERROR(__xludf.DUMMYFUNCTION("""COMPUTED_VALUE"""),144.0)</f>
        <v>144</v>
      </c>
      <c r="BJ145" s="6"/>
      <c r="BK145" s="6"/>
      <c r="BL145" s="6" t="str">
        <f>IFERROR(__xludf.DUMMYFUNCTION("""COMPUTED_VALUE"""),"GISOCH0003")</f>
        <v>GISOCH0003</v>
      </c>
      <c r="BM145" s="6"/>
      <c r="BN145" s="6"/>
      <c r="BO145" s="6" t="str">
        <f>IFERROR(__xludf.DUMMYFUNCTION("""COMPUTED_VALUE"""),"XC_K5_Futbol")</f>
        <v>XC_K5_Futbol</v>
      </c>
      <c r="BP145" s="6"/>
      <c r="BQ145" s="6"/>
      <c r="BR145" s="6" t="str">
        <f>IFERROR(__xludf.DUMMYFUNCTION("""COMPUTED_VALUE"""),"XC_K5_Futbol")</f>
        <v>XC_K5_Futbol</v>
      </c>
      <c r="BS145" s="6"/>
      <c r="BT145" s="6"/>
      <c r="BU145" s="6" t="str">
        <f>IFERROR(__xludf.DUMMYFUNCTION("""COMPUTED_VALUE"""),"SI")</f>
        <v>SI</v>
      </c>
      <c r="BV145" s="6" t="str">
        <f>IFERROR(__xludf.DUMMYFUNCTION("""COMPUTED_VALUE"""),"matias.o2039")</f>
        <v>matias.o2039</v>
      </c>
      <c r="BW145" s="6"/>
      <c r="BX145" s="6"/>
      <c r="BY145" s="6"/>
      <c r="BZ145" s="6"/>
    </row>
    <row r="146">
      <c r="A146" s="12">
        <f>IFERROR(__xludf.DUMMYFUNCTION("""COMPUTED_VALUE"""),1.092864589E9)</f>
        <v>1092864589</v>
      </c>
      <c r="B146" s="6">
        <f>IFERROR(__xludf.DUMMYFUNCTION("""COMPUTED_VALUE"""),14.0)</f>
        <v>14</v>
      </c>
      <c r="C146" s="6" t="str">
        <f>IFERROR(__xludf.DUMMYFUNCTION("""COMPUTED_VALUE"""),"Valentino")</f>
        <v>Valentino</v>
      </c>
      <c r="D146" s="6"/>
      <c r="E146" s="6" t="str">
        <f>IFERROR(__xludf.DUMMYFUNCTION("""COMPUTED_VALUE"""),"Ospina Londoño")</f>
        <v>Ospina Londoño</v>
      </c>
      <c r="F146" s="6" t="str">
        <f>IFERROR(__xludf.DUMMYFUNCTION("""COMPUTED_VALUE"""),"Brisas de Laureles Apto 206 - Cra 18 No22Nte - 06")</f>
        <v>Brisas de Laureles Apto 206 - Cra 18 No22Nte - 06</v>
      </c>
      <c r="G146" s="12" t="str">
        <f>IFERROR(__xludf.DUMMYFUNCTION("""COMPUTED_VALUE"""),"2020")</f>
        <v>2020</v>
      </c>
      <c r="H146" s="6" t="str">
        <f>IFERROR(__xludf.DUMMYFUNCTION("""COMPUTED_VALUE"""),"Octubre")</f>
        <v>Octubre</v>
      </c>
      <c r="I146" s="12" t="str">
        <f>IFERROR(__xludf.DUMMYFUNCTION("""COMPUTED_VALUE"""),"3")</f>
        <v>3</v>
      </c>
      <c r="J146" s="6" t="str">
        <f>IFERROR(__xludf.DUMMYFUNCTION("""COMPUTED_VALUE"""),"Armenia")</f>
        <v>Armenia</v>
      </c>
      <c r="K146" s="6" t="str">
        <f>IFERROR(__xludf.DUMMYFUNCTION("""COMPUTED_VALUE"""),"valentino.o2039@gi.edu.co")</f>
        <v>valentino.o2039@gi.edu.co</v>
      </c>
      <c r="L146" s="6" t="str">
        <f>IFERROR(__xludf.DUMMYFUNCTION("""COMPUTED_VALUE"""),"RC")</f>
        <v>RC</v>
      </c>
      <c r="M146" s="6" t="str">
        <f>IFERROR(__xludf.DUMMYFUNCTION("""COMPUTED_VALUE"""),"Armenia")</f>
        <v>Armenia</v>
      </c>
      <c r="N146" s="6" t="str">
        <f>IFERROR(__xludf.DUMMYFUNCTION("""COMPUTED_VALUE"""),"M")</f>
        <v>M</v>
      </c>
      <c r="O146" s="6" t="str">
        <f>IFERROR(__xludf.DUMMYFUNCTION("""COMPUTED_VALUE"""),"ACTIVE")</f>
        <v>ACTIVE</v>
      </c>
      <c r="P146" s="6"/>
      <c r="Q146" s="6" t="str">
        <f>IFERROR(__xludf.DUMMYFUNCTION("""COMPUTED_VALUE"""),"Armenia")</f>
        <v>Armenia</v>
      </c>
      <c r="R146" s="12" t="str">
        <f>IFERROR(__xludf.DUMMYFUNCTION("""COMPUTED_VALUE"""),"Gibu65cd*")</f>
        <v>Gibu65cd*</v>
      </c>
      <c r="S146" s="6" t="str">
        <f>IFERROR(__xludf.DUMMYFUNCTION("""COMPUTED_VALUE"""),"Ospina Londoño Valentino ")</f>
        <v>Ospina Londoño Valentino </v>
      </c>
      <c r="T146" s="6" t="str">
        <f>IFERROR(__xludf.DUMMYFUNCTION("""COMPUTED_VALUE"""),"ARGEMIRO OSPINA ISAZA")</f>
        <v>ARGEMIRO OSPINA ISAZA</v>
      </c>
      <c r="U146" s="12" t="str">
        <f>IFERROR(__xludf.DUMMYFUNCTION("""COMPUTED_VALUE"""),"1094929135")</f>
        <v>1094929135</v>
      </c>
      <c r="V146" s="6">
        <f>IFERROR(__xludf.DUMMYFUNCTION("""COMPUTED_VALUE"""),3.183363613E9)</f>
        <v>3183363613</v>
      </c>
      <c r="W146" s="6" t="str">
        <f>IFERROR(__xludf.DUMMYFUNCTION("""COMPUTED_VALUE"""),"argemiroospinaisaza@hotmail.com")</f>
        <v>argemiroospinaisaza@hotmail.com</v>
      </c>
      <c r="X146" s="12" t="str">
        <f>IFERROR(__xludf.DUMMYFUNCTION("""COMPUTED_VALUE"""),"O+")</f>
        <v>O+</v>
      </c>
      <c r="Y146" s="12" t="str">
        <f>IFERROR(__xludf.DUMMYFUNCTION("""COMPUTED_VALUE"""),"K5")</f>
        <v>K5</v>
      </c>
      <c r="Z146" s="12">
        <f>IFERROR(__xludf.DUMMYFUNCTION("""COMPUTED_VALUE"""),120489.0)</f>
        <v>120489</v>
      </c>
      <c r="AA146" s="6" t="str">
        <f>IFERROR(__xludf.DUMMYFUNCTION("""COMPUTED_VALUE"""),"SURA")</f>
        <v>SURA</v>
      </c>
      <c r="AB146" s="6"/>
      <c r="AC146" s="12" t="str">
        <f>IFERROR(__xludf.DUMMYFUNCTION("""COMPUTED_VALUE"""),"alergia respiratoria que se exacerba con la actividad física en exceso")</f>
        <v>alergia respiratoria que se exacerba con la actividad física en exceso</v>
      </c>
      <c r="AD146" s="12" t="str">
        <f>IFERROR(__xludf.DUMMYFUNCTION("""COMPUTED_VALUE"""),"K5B")</f>
        <v>K5B</v>
      </c>
      <c r="AE146" s="12" t="str">
        <f>IFERROR(__xludf.DUMMYFUNCTION("""COMPUTED_VALUE"""),"1345282488")</f>
        <v>1345282488</v>
      </c>
      <c r="AF146" s="12" t="str">
        <f>IFERROR(__xludf.DUMMYFUNCTION("""COMPUTED_VALUE"""),"1345282488")</f>
        <v>1345282488</v>
      </c>
      <c r="AG146" s="12" t="str">
        <f>IFERROR(__xludf.DUMMYFUNCTION("""COMPUTED_VALUE"""),"Ana")</f>
        <v>Ana</v>
      </c>
      <c r="AH146" s="12" t="str">
        <f>IFERROR(__xludf.DUMMYFUNCTION("""COMPUTED_VALUE"""),"María")</f>
        <v>María</v>
      </c>
      <c r="AI146" s="6" t="str">
        <f>IFERROR(__xludf.DUMMYFUNCTION("""COMPUTED_VALUE"""),"Londoño Ossa")</f>
        <v>Londoño Ossa</v>
      </c>
      <c r="AJ146" s="6" t="str">
        <f>IFERROR(__xludf.DUMMYFUNCTION("""COMPUTED_VALUE"""),"anamlon0214@gmail.com")</f>
        <v>anamlon0214@gmail.com</v>
      </c>
      <c r="AK146" s="6" t="str">
        <f>IFERROR(__xludf.DUMMYFUNCTION("""COMPUTED_VALUE"""),"ENFERMERA")</f>
        <v>ENFERMERA</v>
      </c>
      <c r="AL146" s="6" t="str">
        <f>IFERROR(__xludf.DUMMYFUNCTION("""COMPUTED_VALUE"""),"Independiente")</f>
        <v>Independiente</v>
      </c>
      <c r="AM146" s="12" t="str">
        <f>IFERROR(__xludf.DUMMYFUNCTION("""COMPUTED_VALUE"""),"1097039306")</f>
        <v>1097039306</v>
      </c>
      <c r="AN146" s="12" t="str">
        <f>IFERROR(__xludf.DUMMYFUNCTION("""COMPUTED_VALUE"""),"3162750188")</f>
        <v>3162750188</v>
      </c>
      <c r="AO146" s="6" t="str">
        <f>IFERROR(__xludf.DUMMYFUNCTION("""COMPUTED_VALUE"""),"Madre")</f>
        <v>Madre</v>
      </c>
      <c r="AP146" s="6" t="str">
        <f>IFERROR(__xludf.DUMMYFUNCTION("""COMPUTED_VALUE"""),"Estudiante(s): Ospina Londoño")</f>
        <v>Estudiante(s): Ospina Londoño</v>
      </c>
      <c r="AQ146" s="6" t="str">
        <f>IFERROR(__xludf.DUMMYFUNCTION("""COMPUTED_VALUE"""),"120489*Gi")</f>
        <v>120489*Gi</v>
      </c>
      <c r="AR146" s="6" t="str">
        <f>IFERROR(__xludf.DUMMYFUNCTION("""COMPUTED_VALUE"""),"Argemiro")</f>
        <v>Argemiro</v>
      </c>
      <c r="AS146" s="6"/>
      <c r="AT146" s="6" t="str">
        <f>IFERROR(__xludf.DUMMYFUNCTION("""COMPUTED_VALUE"""),"Ospina Isaza")</f>
        <v>Ospina Isaza</v>
      </c>
      <c r="AU146" s="6" t="str">
        <f>IFERROR(__xludf.DUMMYFUNCTION("""COMPUTED_VALUE"""),"argemiroospinaisaza@hotmail.com")</f>
        <v>argemiroospinaisaza@hotmail.com</v>
      </c>
      <c r="AV146" s="6" t="str">
        <f>IFERROR(__xludf.DUMMYFUNCTION("""COMPUTED_VALUE"""),"ADMINISTRACION DE EMPRESAS AGROPECUARIAS Y ZOOTECNIA")</f>
        <v>ADMINISTRACION DE EMPRESAS AGROPECUARIAS Y ZOOTECNIA</v>
      </c>
      <c r="AW146" s="6" t="str">
        <f>IFERROR(__xludf.DUMMYFUNCTION("""COMPUTED_VALUE"""),"Independiente")</f>
        <v>Independiente</v>
      </c>
      <c r="AX146" s="12" t="str">
        <f>IFERROR(__xludf.DUMMYFUNCTION("""COMPUTED_VALUE"""),"1094929135")</f>
        <v>1094929135</v>
      </c>
      <c r="AY146" s="12" t="str">
        <f>IFERROR(__xludf.DUMMYFUNCTION("""COMPUTED_VALUE"""),"3183363613")</f>
        <v>3183363613</v>
      </c>
      <c r="AZ146" s="6" t="str">
        <f>IFERROR(__xludf.DUMMYFUNCTION("""COMPUTED_VALUE"""),"Padre")</f>
        <v>Padre</v>
      </c>
      <c r="BA146" s="6"/>
      <c r="BB146" s="6"/>
      <c r="BC146" s="6"/>
      <c r="BD146" s="12" t="str">
        <f>IFERROR(__xludf.DUMMYFUNCTION("""COMPUTED_VALUE"""),"osp0009")</f>
        <v>osp0009</v>
      </c>
      <c r="BE146" s="6"/>
      <c r="BF146" s="6"/>
      <c r="BG146" s="6">
        <f>IFERROR(__xludf.DUMMYFUNCTION("""COMPUTED_VALUE"""),2039.0)</f>
        <v>2039</v>
      </c>
      <c r="BH146" s="16">
        <f>IFERROR(__xludf.DUMMYFUNCTION("""COMPUTED_VALUE"""),46251.757210648146)</f>
        <v>46251.75721</v>
      </c>
      <c r="BI146" s="6">
        <f>IFERROR(__xludf.DUMMYFUNCTION("""COMPUTED_VALUE"""),145.0)</f>
        <v>145</v>
      </c>
      <c r="BJ146" s="6"/>
      <c r="BK146" s="6"/>
      <c r="BL146" s="6" t="str">
        <f>IFERROR(__xludf.DUMMYFUNCTION("""COMPUTED_VALUE"""),"GISOSP0009")</f>
        <v>GISOSP0009</v>
      </c>
      <c r="BM146" s="6"/>
      <c r="BN146" s="6"/>
      <c r="BO146" s="6" t="str">
        <f>IFERROR(__xludf.DUMMYFUNCTION("""COMPUTED_VALUE"""),"XC_K5_Futbol")</f>
        <v>XC_K5_Futbol</v>
      </c>
      <c r="BP146" s="6" t="str">
        <f>IFERROR(__xludf.DUMMYFUNCTION("""COMPUTED_VALUE"""),"XC_K5_IniciaMusical")</f>
        <v>XC_K5_IniciaMusical</v>
      </c>
      <c r="BQ146" s="6"/>
      <c r="BR146" s="6" t="str">
        <f>IFERROR(__xludf.DUMMYFUNCTION("""COMPUTED_VALUE"""),"XC_K5_Futbol")</f>
        <v>XC_K5_Futbol</v>
      </c>
      <c r="BS146" s="6"/>
      <c r="BT146" s="6"/>
      <c r="BU146" s="6" t="str">
        <f>IFERROR(__xludf.DUMMYFUNCTION("""COMPUTED_VALUE"""),"SI")</f>
        <v>SI</v>
      </c>
      <c r="BV146" s="6" t="str">
        <f>IFERROR(__xludf.DUMMYFUNCTION("""COMPUTED_VALUE"""),"valentino.o2039")</f>
        <v>valentino.o2039</v>
      </c>
      <c r="BW146" s="6"/>
      <c r="BX146" s="6"/>
      <c r="BY146" s="6"/>
      <c r="BZ146" s="6"/>
    </row>
    <row r="147">
      <c r="A147" s="12">
        <f>IFERROR(__xludf.DUMMYFUNCTION("""COMPUTED_VALUE"""),1.092864798E9)</f>
        <v>1092864798</v>
      </c>
      <c r="B147" s="6">
        <f>IFERROR(__xludf.DUMMYFUNCTION("""COMPUTED_VALUE"""),15.0)</f>
        <v>15</v>
      </c>
      <c r="C147" s="6" t="str">
        <f>IFERROR(__xludf.DUMMYFUNCTION("""COMPUTED_VALUE"""),"Emma")</f>
        <v>Emma</v>
      </c>
      <c r="D147" s="6"/>
      <c r="E147" s="6" t="str">
        <f>IFERROR(__xludf.DUMMYFUNCTION("""COMPUTED_VALUE"""),"Quintero Toro")</f>
        <v>Quintero Toro</v>
      </c>
      <c r="F147" s="6" t="str">
        <f>IFERROR(__xludf.DUMMYFUNCTION("""COMPUTED_VALUE"""),"Floresta de San Juan Casa 6 - Cra 6 No47Nte - 20")</f>
        <v>Floresta de San Juan Casa 6 - Cra 6 No47Nte - 20</v>
      </c>
      <c r="G147" s="12" t="str">
        <f>IFERROR(__xludf.DUMMYFUNCTION("""COMPUTED_VALUE"""),"2021")</f>
        <v>2021</v>
      </c>
      <c r="H147" s="6" t="str">
        <f>IFERROR(__xludf.DUMMYFUNCTION("""COMPUTED_VALUE"""),"Enero")</f>
        <v>Enero</v>
      </c>
      <c r="I147" s="12" t="str">
        <f>IFERROR(__xludf.DUMMYFUNCTION("""COMPUTED_VALUE"""),"7")</f>
        <v>7</v>
      </c>
      <c r="J147" s="6" t="str">
        <f>IFERROR(__xludf.DUMMYFUNCTION("""COMPUTED_VALUE"""),"Armenia")</f>
        <v>Armenia</v>
      </c>
      <c r="K147" s="6" t="str">
        <f>IFERROR(__xludf.DUMMYFUNCTION("""COMPUTED_VALUE"""),"emma.q2039@gi.edu.co")</f>
        <v>emma.q2039@gi.edu.co</v>
      </c>
      <c r="L147" s="6" t="str">
        <f>IFERROR(__xludf.DUMMYFUNCTION("""COMPUTED_VALUE"""),"RC")</f>
        <v>RC</v>
      </c>
      <c r="M147" s="6" t="str">
        <f>IFERROR(__xludf.DUMMYFUNCTION("""COMPUTED_VALUE"""),"Armenia")</f>
        <v>Armenia</v>
      </c>
      <c r="N147" s="6" t="str">
        <f>IFERROR(__xludf.DUMMYFUNCTION("""COMPUTED_VALUE"""),"F")</f>
        <v>F</v>
      </c>
      <c r="O147" s="6" t="str">
        <f>IFERROR(__xludf.DUMMYFUNCTION("""COMPUTED_VALUE"""),"ACTIVE")</f>
        <v>ACTIVE</v>
      </c>
      <c r="P147" s="6"/>
      <c r="Q147" s="6" t="str">
        <f>IFERROR(__xludf.DUMMYFUNCTION("""COMPUTED_VALUE"""),"Armenia")</f>
        <v>Armenia</v>
      </c>
      <c r="R147" s="12" t="str">
        <f>IFERROR(__xludf.DUMMYFUNCTION("""COMPUTED_VALUE"""),"GiZm23e*")</f>
        <v>GiZm23e*</v>
      </c>
      <c r="S147" s="6" t="str">
        <f>IFERROR(__xludf.DUMMYFUNCTION("""COMPUTED_VALUE"""),"Quintero Toro Emma ")</f>
        <v>Quintero Toro Emma </v>
      </c>
      <c r="T147" s="6" t="str">
        <f>IFERROR(__xludf.DUMMYFUNCTION("""COMPUTED_VALUE"""),"JUAN DAVID QUINTERO DIAZ")</f>
        <v>JUAN DAVID QUINTERO DIAZ</v>
      </c>
      <c r="U147" s="12" t="str">
        <f>IFERROR(__xludf.DUMMYFUNCTION("""COMPUTED_VALUE"""),"9736166")</f>
        <v>9736166</v>
      </c>
      <c r="V147" s="6">
        <f>IFERROR(__xludf.DUMMYFUNCTION("""COMPUTED_VALUE"""),3.204857571E9)</f>
        <v>3204857571</v>
      </c>
      <c r="W147" s="6" t="str">
        <f>IFERROR(__xludf.DUMMYFUNCTION("""COMPUTED_VALUE"""),"judaquidi@hotmail.com")</f>
        <v>judaquidi@hotmail.com</v>
      </c>
      <c r="X147" s="12" t="str">
        <f>IFERROR(__xludf.DUMMYFUNCTION("""COMPUTED_VALUE"""),"A+")</f>
        <v>A+</v>
      </c>
      <c r="Y147" s="12" t="str">
        <f>IFERROR(__xludf.DUMMYFUNCTION("""COMPUTED_VALUE"""),"K5")</f>
        <v>K5</v>
      </c>
      <c r="Z147" s="12">
        <f>IFERROR(__xludf.DUMMYFUNCTION("""COMPUTED_VALUE"""),120210.0)</f>
        <v>120210</v>
      </c>
      <c r="AA147" s="6" t="str">
        <f>IFERROR(__xludf.DUMMYFUNCTION("""COMPUTED_VALUE"""),"SURA")</f>
        <v>SURA</v>
      </c>
      <c r="AB147" s="6"/>
      <c r="AC147" s="6"/>
      <c r="AD147" s="12" t="str">
        <f>IFERROR(__xludf.DUMMYFUNCTION("""COMPUTED_VALUE"""),"K5B")</f>
        <v>K5B</v>
      </c>
      <c r="AE147" s="12">
        <f>IFERROR(__xludf.DUMMYFUNCTION("""COMPUTED_VALUE"""),1.345282326E9)</f>
        <v>1345282326</v>
      </c>
      <c r="AF147" s="12" t="str">
        <f>IFERROR(__xludf.DUMMYFUNCTION("""COMPUTED_VALUE"""),"1345282326")</f>
        <v>1345282326</v>
      </c>
      <c r="AG147" s="12" t="str">
        <f>IFERROR(__xludf.DUMMYFUNCTION("""COMPUTED_VALUE"""),"Diana")</f>
        <v>Diana</v>
      </c>
      <c r="AH147" s="6"/>
      <c r="AI147" s="6" t="str">
        <f>IFERROR(__xludf.DUMMYFUNCTION("""COMPUTED_VALUE"""),"Toro Giraldo")</f>
        <v>Toro Giraldo</v>
      </c>
      <c r="AJ147" s="6" t="str">
        <f>IFERROR(__xludf.DUMMYFUNCTION("""COMPUTED_VALUE"""),"dianatoro@hotmail.com")</f>
        <v>dianatoro@hotmail.com</v>
      </c>
      <c r="AK147" s="6" t="str">
        <f>IFERROR(__xludf.DUMMYFUNCTION("""COMPUTED_VALUE"""),"MEDICA OFTALMOLOGA")</f>
        <v>MEDICA OFTALMOLOGA</v>
      </c>
      <c r="AL147" s="6"/>
      <c r="AM147" s="12" t="str">
        <f>IFERROR(__xludf.DUMMYFUNCTION("""COMPUTED_VALUE"""),"43256417")</f>
        <v>43256417</v>
      </c>
      <c r="AN147" s="12" t="str">
        <f>IFERROR(__xludf.DUMMYFUNCTION("""COMPUTED_VALUE"""),"3113894156")</f>
        <v>3113894156</v>
      </c>
      <c r="AO147" s="6" t="str">
        <f>IFERROR(__xludf.DUMMYFUNCTION("""COMPUTED_VALUE"""),"Madre")</f>
        <v>Madre</v>
      </c>
      <c r="AP147" s="6" t="str">
        <f>IFERROR(__xludf.DUMMYFUNCTION("""COMPUTED_VALUE"""),"Estudiante(s): Quintero Toro")</f>
        <v>Estudiante(s): Quintero Toro</v>
      </c>
      <c r="AQ147" s="6" t="str">
        <f>IFERROR(__xludf.DUMMYFUNCTION("""COMPUTED_VALUE"""),"120210*Gi")</f>
        <v>120210*Gi</v>
      </c>
      <c r="AR147" s="6" t="str">
        <f>IFERROR(__xludf.DUMMYFUNCTION("""COMPUTED_VALUE"""),"Juan")</f>
        <v>Juan</v>
      </c>
      <c r="AS147" s="6" t="str">
        <f>IFERROR(__xludf.DUMMYFUNCTION("""COMPUTED_VALUE"""),"David")</f>
        <v>David</v>
      </c>
      <c r="AT147" s="6" t="str">
        <f>IFERROR(__xludf.DUMMYFUNCTION("""COMPUTED_VALUE"""),"Quintero Díaz")</f>
        <v>Quintero Díaz</v>
      </c>
      <c r="AU147" s="6" t="str">
        <f>IFERROR(__xludf.DUMMYFUNCTION("""COMPUTED_VALUE"""),"judaquidi@hotmail.com")</f>
        <v>judaquidi@hotmail.com</v>
      </c>
      <c r="AV147" s="6" t="str">
        <f>IFERROR(__xludf.DUMMYFUNCTION("""COMPUTED_VALUE"""),"ADMINIESTRADOR DE EMPRESAS")</f>
        <v>ADMINIESTRADOR DE EMPRESAS</v>
      </c>
      <c r="AW147" s="6"/>
      <c r="AX147" s="12" t="str">
        <f>IFERROR(__xludf.DUMMYFUNCTION("""COMPUTED_VALUE"""),"9736166")</f>
        <v>9736166</v>
      </c>
      <c r="AY147" s="12" t="str">
        <f>IFERROR(__xludf.DUMMYFUNCTION("""COMPUTED_VALUE"""),"3204857571")</f>
        <v>3204857571</v>
      </c>
      <c r="AZ147" s="6" t="str">
        <f>IFERROR(__xludf.DUMMYFUNCTION("""COMPUTED_VALUE"""),"Padre")</f>
        <v>Padre</v>
      </c>
      <c r="BA147" s="6"/>
      <c r="BB147" s="6"/>
      <c r="BC147" s="6"/>
      <c r="BD147" s="12" t="str">
        <f>IFERROR(__xludf.DUMMYFUNCTION("""COMPUTED_VALUE"""),"qui0005")</f>
        <v>qui0005</v>
      </c>
      <c r="BE147" s="6"/>
      <c r="BF147" s="6"/>
      <c r="BG147" s="6">
        <f>IFERROR(__xludf.DUMMYFUNCTION("""COMPUTED_VALUE"""),2039.0)</f>
        <v>2039</v>
      </c>
      <c r="BH147" s="15">
        <f>IFERROR(__xludf.DUMMYFUNCTION("""COMPUTED_VALUE"""),46212.691087962965)</f>
        <v>46212.69109</v>
      </c>
      <c r="BI147" s="6">
        <f>IFERROR(__xludf.DUMMYFUNCTION("""COMPUTED_VALUE"""),146.0)</f>
        <v>146</v>
      </c>
      <c r="BJ147" s="6"/>
      <c r="BK147" s="6"/>
      <c r="BL147" s="6" t="str">
        <f>IFERROR(__xludf.DUMMYFUNCTION("""COMPUTED_VALUE"""),"GISQUI0005")</f>
        <v>GISQUI0005</v>
      </c>
      <c r="BM147" s="6"/>
      <c r="BN147" s="6"/>
      <c r="BO147" s="6" t="str">
        <f>IFERROR(__xludf.DUMMYFUNCTION("""COMPUTED_VALUE"""),"XC_K5_Futbol")</f>
        <v>XC_K5_Futbol</v>
      </c>
      <c r="BP147" s="6"/>
      <c r="BQ147" s="6"/>
      <c r="BR147" s="6" t="str">
        <f>IFERROR(__xludf.DUMMYFUNCTION("""COMPUTED_VALUE"""),"XC_K5_Futbol")</f>
        <v>XC_K5_Futbol</v>
      </c>
      <c r="BS147" s="6"/>
      <c r="BT147" s="6"/>
      <c r="BU147" s="6" t="str">
        <f>IFERROR(__xludf.DUMMYFUNCTION("""COMPUTED_VALUE"""),"SI")</f>
        <v>SI</v>
      </c>
      <c r="BV147" s="6" t="str">
        <f>IFERROR(__xludf.DUMMYFUNCTION("""COMPUTED_VALUE"""),"emma.q2039")</f>
        <v>emma.q2039</v>
      </c>
      <c r="BW147" s="6"/>
      <c r="BX147" s="6"/>
      <c r="BY147" s="6"/>
      <c r="BZ147" s="6"/>
    </row>
    <row r="148">
      <c r="A148" s="12">
        <f>IFERROR(__xludf.DUMMYFUNCTION("""COMPUTED_VALUE"""),1.098546832E9)</f>
        <v>1098546832</v>
      </c>
      <c r="B148" s="6">
        <f>IFERROR(__xludf.DUMMYFUNCTION("""COMPUTED_VALUE"""),16.0)</f>
        <v>16</v>
      </c>
      <c r="C148" s="6" t="str">
        <f>IFERROR(__xludf.DUMMYFUNCTION("""COMPUTED_VALUE"""),"Erika")</f>
        <v>Erika</v>
      </c>
      <c r="D148" s="6"/>
      <c r="E148" s="6" t="str">
        <f>IFERROR(__xludf.DUMMYFUNCTION("""COMPUTED_VALUE"""),"Radbruch Vélez")</f>
        <v>Radbruch Vélez</v>
      </c>
      <c r="F148" s="6" t="str">
        <f>IFERROR(__xludf.DUMMYFUNCTION("""COMPUTED_VALUE"""),"Calle18ANte No15 - 46 - Laureles")</f>
        <v>Calle18ANte No15 - 46 - Laureles</v>
      </c>
      <c r="G148" s="12" t="str">
        <f>IFERROR(__xludf.DUMMYFUNCTION("""COMPUTED_VALUE"""),"2021")</f>
        <v>2021</v>
      </c>
      <c r="H148" s="6" t="str">
        <f>IFERROR(__xludf.DUMMYFUNCTION("""COMPUTED_VALUE"""),"Febrero")</f>
        <v>Febrero</v>
      </c>
      <c r="I148" s="12" t="str">
        <f>IFERROR(__xludf.DUMMYFUNCTION("""COMPUTED_VALUE"""),"11")</f>
        <v>11</v>
      </c>
      <c r="J148" s="6" t="str">
        <f>IFERROR(__xludf.DUMMYFUNCTION("""COMPUTED_VALUE"""),"Pereira")</f>
        <v>Pereira</v>
      </c>
      <c r="K148" s="6" t="str">
        <f>IFERROR(__xludf.DUMMYFUNCTION("""COMPUTED_VALUE"""),"erika.r2039@gi.edu.co")</f>
        <v>erika.r2039@gi.edu.co</v>
      </c>
      <c r="L148" s="6" t="str">
        <f>IFERROR(__xludf.DUMMYFUNCTION("""COMPUTED_VALUE"""),"RC")</f>
        <v>RC</v>
      </c>
      <c r="M148" s="6" t="str">
        <f>IFERROR(__xludf.DUMMYFUNCTION("""COMPUTED_VALUE"""),"Circacia")</f>
        <v>Circacia</v>
      </c>
      <c r="N148" s="6" t="str">
        <f>IFERROR(__xludf.DUMMYFUNCTION("""COMPUTED_VALUE"""),"F")</f>
        <v>F</v>
      </c>
      <c r="O148" s="6" t="str">
        <f>IFERROR(__xludf.DUMMYFUNCTION("""COMPUTED_VALUE"""),"ACTIVE")</f>
        <v>ACTIVE</v>
      </c>
      <c r="P148" s="6"/>
      <c r="Q148" s="6" t="str">
        <f>IFERROR(__xludf.DUMMYFUNCTION("""COMPUTED_VALUE"""),"Armenia")</f>
        <v>Armenia</v>
      </c>
      <c r="R148" s="6" t="str">
        <f>IFERROR(__xludf.DUMMYFUNCTION("""COMPUTED_VALUE"""),"Gi7832r7w4*")</f>
        <v>Gi7832r7w4*</v>
      </c>
      <c r="S148" s="6" t="str">
        <f>IFERROR(__xludf.DUMMYFUNCTION("""COMPUTED_VALUE"""),"Radbruch Vélez Erika ")</f>
        <v>Radbruch Vélez Erika </v>
      </c>
      <c r="T148" s="6" t="str">
        <f>IFERROR(__xludf.DUMMYFUNCTION("""COMPUTED_VALUE"""),"ROY RADBRUCH")</f>
        <v>ROY RADBRUCH</v>
      </c>
      <c r="U148" s="12" t="str">
        <f>IFERROR(__xludf.DUMMYFUNCTION("""COMPUTED_VALUE"""),"756015")</f>
        <v>756015</v>
      </c>
      <c r="V148" s="6">
        <f>IFERROR(__xludf.DUMMYFUNCTION("""COMPUTED_VALUE"""),3.006408645E9)</f>
        <v>3006408645</v>
      </c>
      <c r="W148" s="6" t="str">
        <f>IFERROR(__xludf.DUMMYFUNCTION("""COMPUTED_VALUE"""),"r.radbruch@radbruch.com")</f>
        <v>r.radbruch@radbruch.com</v>
      </c>
      <c r="X148" s="12" t="str">
        <f>IFERROR(__xludf.DUMMYFUNCTION("""COMPUTED_VALUE"""),"A+")</f>
        <v>A+</v>
      </c>
      <c r="Y148" s="12" t="str">
        <f>IFERROR(__xludf.DUMMYFUNCTION("""COMPUTED_VALUE"""),"K5")</f>
        <v>K5</v>
      </c>
      <c r="Z148" s="6">
        <f>IFERROR(__xludf.DUMMYFUNCTION("""COMPUTED_VALUE"""),120571.0)</f>
        <v>120571</v>
      </c>
      <c r="AA148" s="6" t="str">
        <f>IFERROR(__xludf.DUMMYFUNCTION("""COMPUTED_VALUE"""),"SURA")</f>
        <v>SURA</v>
      </c>
      <c r="AB148" s="6"/>
      <c r="AC148" s="6"/>
      <c r="AD148" s="12" t="str">
        <f>IFERROR(__xludf.DUMMYFUNCTION("""COMPUTED_VALUE"""),"K5B")</f>
        <v>K5B</v>
      </c>
      <c r="AE148" s="12">
        <f>IFERROR(__xludf.DUMMYFUNCTION("""COMPUTED_VALUE"""),1.345282569E9)</f>
        <v>1345282569</v>
      </c>
      <c r="AF148" s="12">
        <f>IFERROR(__xludf.DUMMYFUNCTION("""COMPUTED_VALUE"""),1.345282569E9)</f>
        <v>1345282569</v>
      </c>
      <c r="AG148" s="12" t="str">
        <f>IFERROR(__xludf.DUMMYFUNCTION("""COMPUTED_VALUE"""),"Ximena")</f>
        <v>Ximena</v>
      </c>
      <c r="AH148" s="6"/>
      <c r="AI148" s="6" t="str">
        <f>IFERROR(__xludf.DUMMYFUNCTION("""COMPUTED_VALUE"""),"Vélez Gallego")</f>
        <v>Vélez Gallego</v>
      </c>
      <c r="AJ148" s="6" t="str">
        <f>IFERROR(__xludf.DUMMYFUNCTION("""COMPUTED_VALUE"""),"ximevelez4@hotmail.com")</f>
        <v>ximevelez4@hotmail.com</v>
      </c>
      <c r="AK148" s="6" t="str">
        <f>IFERROR(__xludf.DUMMYFUNCTION("""COMPUTED_VALUE"""),"Administracion de Empresas Hoteleras")</f>
        <v>Administracion de Empresas Hoteleras</v>
      </c>
      <c r="AL148" s="6" t="str">
        <f>IFERROR(__xludf.DUMMYFUNCTION("""COMPUTED_VALUE"""),"Hogar")</f>
        <v>Hogar</v>
      </c>
      <c r="AM148" s="12">
        <f>IFERROR(__xludf.DUMMYFUNCTION("""COMPUTED_VALUE"""),4.193758E7)</f>
        <v>41937580</v>
      </c>
      <c r="AN148" s="12">
        <f>IFERROR(__xludf.DUMMYFUNCTION("""COMPUTED_VALUE"""),3.013480043E9)</f>
        <v>3013480043</v>
      </c>
      <c r="AO148" s="6" t="str">
        <f>IFERROR(__xludf.DUMMYFUNCTION("""COMPUTED_VALUE"""),"Madre")</f>
        <v>Madre</v>
      </c>
      <c r="AP148" s="6" t="str">
        <f>IFERROR(__xludf.DUMMYFUNCTION("""COMPUTED_VALUE"""),"Estudiante(s): Radbruch Vélez")</f>
        <v>Estudiante(s): Radbruch Vélez</v>
      </c>
      <c r="AQ148" s="6" t="str">
        <f>IFERROR(__xludf.DUMMYFUNCTION("""COMPUTED_VALUE"""),"120571*Gi")</f>
        <v>120571*Gi</v>
      </c>
      <c r="AR148" s="6" t="str">
        <f>IFERROR(__xludf.DUMMYFUNCTION("""COMPUTED_VALUE"""),"Roy")</f>
        <v>Roy</v>
      </c>
      <c r="AS148" s="6"/>
      <c r="AT148" s="6" t="str">
        <f>IFERROR(__xludf.DUMMYFUNCTION("""COMPUTED_VALUE"""),"Radbruch")</f>
        <v>Radbruch</v>
      </c>
      <c r="AU148" s="6" t="str">
        <f>IFERROR(__xludf.DUMMYFUNCTION("""COMPUTED_VALUE"""),"r.radbruch@radbruch.com")</f>
        <v>r.radbruch@radbruch.com</v>
      </c>
      <c r="AV148" s="6" t="str">
        <f>IFERROR(__xludf.DUMMYFUNCTION("""COMPUTED_VALUE"""),"Carpintero")</f>
        <v>Carpintero</v>
      </c>
      <c r="AW148" s="6" t="str">
        <f>IFERROR(__xludf.DUMMYFUNCTION("""COMPUTED_VALUE"""),"RoyRadbruch GMBH")</f>
        <v>RoyRadbruch GMBH</v>
      </c>
      <c r="AX148" s="12">
        <f>IFERROR(__xludf.DUMMYFUNCTION("""COMPUTED_VALUE"""),756015.0)</f>
        <v>756015</v>
      </c>
      <c r="AY148" s="12" t="str">
        <f>IFERROR(__xludf.DUMMYFUNCTION("""COMPUTED_VALUE"""),"3006408645")</f>
        <v>3006408645</v>
      </c>
      <c r="AZ148" s="6" t="str">
        <f>IFERROR(__xludf.DUMMYFUNCTION("""COMPUTED_VALUE"""),"Padre")</f>
        <v>Padre</v>
      </c>
      <c r="BA148" s="6"/>
      <c r="BB148" s="6"/>
      <c r="BC148" s="6"/>
      <c r="BD148" s="12" t="str">
        <f>IFERROR(__xludf.DUMMYFUNCTION("""COMPUTED_VALUE"""),"rad0001")</f>
        <v>rad0001</v>
      </c>
      <c r="BE148" s="6"/>
      <c r="BF148" s="12" t="str">
        <f>IFERROR(__xludf.DUMMYFUNCTION("""COMPUTED_VALUE"""),"5M+6m ENE/26 A DIC/26 SE APLICA MATR Y CTOS ESPECIALES")</f>
        <v>5M+6m ENE/26 A DIC/26 SE APLICA MATR Y CTOS ESPECIALES</v>
      </c>
      <c r="BG148" s="6">
        <f>IFERROR(__xludf.DUMMYFUNCTION("""COMPUTED_VALUE"""),2039.0)</f>
        <v>2039</v>
      </c>
      <c r="BH148" s="15">
        <f>IFERROR(__xludf.DUMMYFUNCTION("""COMPUTED_VALUE"""),46211.705416666664)</f>
        <v>46211.70542</v>
      </c>
      <c r="BI148" s="6">
        <f>IFERROR(__xludf.DUMMYFUNCTION("""COMPUTED_VALUE"""),147.0)</f>
        <v>147</v>
      </c>
      <c r="BJ148" s="6"/>
      <c r="BK148" s="6"/>
      <c r="BL148" s="6" t="str">
        <f>IFERROR(__xludf.DUMMYFUNCTION("""COMPUTED_VALUE"""),"GISRAD0001")</f>
        <v>GISRAD0001</v>
      </c>
      <c r="BM148" s="6"/>
      <c r="BN148" s="6"/>
      <c r="BO148" s="6" t="str">
        <f>IFERROR(__xludf.DUMMYFUNCTION("""COMPUTED_VALUE"""),"XC_K5_Polimotor")</f>
        <v>XC_K5_Polimotor</v>
      </c>
      <c r="BP148" s="6" t="str">
        <f>IFERROR(__xludf.DUMMYFUNCTION("""COMPUTED_VALUE"""),"XC_K5_IniciaMusical")</f>
        <v>XC_K5_IniciaMusical</v>
      </c>
      <c r="BQ148" s="6"/>
      <c r="BR148" s="6" t="str">
        <f>IFERROR(__xludf.DUMMYFUNCTION("""COMPUTED_VALUE"""),"XC_K5_Polimotor")</f>
        <v>XC_K5_Polimotor</v>
      </c>
      <c r="BS148" s="6" t="str">
        <f>IFERROR(__xludf.DUMMYFUNCTION("""COMPUTED_VALUE"""),"XC_K5_IniciaDanzas")</f>
        <v>XC_K5_IniciaDanzas</v>
      </c>
      <c r="BT148" s="6"/>
      <c r="BU148" s="6" t="str">
        <f>IFERROR(__xludf.DUMMYFUNCTION("""COMPUTED_VALUE"""),"SI")</f>
        <v>SI</v>
      </c>
      <c r="BV148" s="6" t="str">
        <f>IFERROR(__xludf.DUMMYFUNCTION("""COMPUTED_VALUE"""),"erika.r2039")</f>
        <v>erika.r2039</v>
      </c>
      <c r="BW148" s="6"/>
      <c r="BX148" s="6"/>
      <c r="BY148" s="6"/>
      <c r="BZ148" s="6"/>
    </row>
    <row r="149">
      <c r="A149" s="12">
        <f>IFERROR(__xludf.DUMMYFUNCTION("""COMPUTED_VALUE"""),1.022008222E9)</f>
        <v>1022008222</v>
      </c>
      <c r="B149" s="6">
        <f>IFERROR(__xludf.DUMMYFUNCTION("""COMPUTED_VALUE"""),17.0)</f>
        <v>17</v>
      </c>
      <c r="C149" s="6" t="str">
        <f>IFERROR(__xludf.DUMMYFUNCTION("""COMPUTED_VALUE"""),"Alicia")</f>
        <v>Alicia</v>
      </c>
      <c r="D149" s="6"/>
      <c r="E149" s="6" t="str">
        <f>IFERROR(__xludf.DUMMYFUNCTION("""COMPUTED_VALUE"""),"Restrepo Acevedo")</f>
        <v>Restrepo Acevedo</v>
      </c>
      <c r="F149" s="6" t="str">
        <f>IFERROR(__xludf.DUMMYFUNCTION("""COMPUTED_VALUE"""),"Condominio Hacienda Horizontes Casa 23 - Km 3 Via Circasia Vereda la Florida")</f>
        <v>Condominio Hacienda Horizontes Casa 23 - Km 3 Via Circasia Vereda la Florida</v>
      </c>
      <c r="G149" s="12">
        <f>IFERROR(__xludf.DUMMYFUNCTION("""COMPUTED_VALUE"""),2021.0)</f>
        <v>2021</v>
      </c>
      <c r="H149" s="6" t="str">
        <f>IFERROR(__xludf.DUMMYFUNCTION("""COMPUTED_VALUE"""),"Julio")</f>
        <v>Julio</v>
      </c>
      <c r="I149" s="12">
        <f>IFERROR(__xludf.DUMMYFUNCTION("""COMPUTED_VALUE"""),7.0)</f>
        <v>7</v>
      </c>
      <c r="J149" s="6" t="str">
        <f>IFERROR(__xludf.DUMMYFUNCTION("""COMPUTED_VALUE"""),"Medellín")</f>
        <v>Medellín</v>
      </c>
      <c r="K149" s="6" t="str">
        <f>IFERROR(__xludf.DUMMYFUNCTION("""COMPUTED_VALUE"""),"alicia.r2039@gi.edu.co")</f>
        <v>alicia.r2039@gi.edu.co</v>
      </c>
      <c r="L149" s="6" t="str">
        <f>IFERROR(__xludf.DUMMYFUNCTION("""COMPUTED_VALUE"""),"RC")</f>
        <v>RC</v>
      </c>
      <c r="M149" s="6" t="str">
        <f>IFERROR(__xludf.DUMMYFUNCTION("""COMPUTED_VALUE"""),"Medellín")</f>
        <v>Medellín</v>
      </c>
      <c r="N149" s="6" t="str">
        <f>IFERROR(__xludf.DUMMYFUNCTION("""COMPUTED_VALUE"""),"F")</f>
        <v>F</v>
      </c>
      <c r="O149" s="6" t="str">
        <f>IFERROR(__xludf.DUMMYFUNCTION("""COMPUTED_VALUE"""),"INACTIVE")</f>
        <v>INACTIVE</v>
      </c>
      <c r="P149" s="6"/>
      <c r="Q149" s="6" t="str">
        <f>IFERROR(__xludf.DUMMYFUNCTION("""COMPUTED_VALUE"""),"Circasia")</f>
        <v>Circasia</v>
      </c>
      <c r="R149" s="12" t="str">
        <f>IFERROR(__xludf.DUMMYFUNCTION("""COMPUTED_VALUE"""),"Gicc7u8p*")</f>
        <v>Gicc7u8p*</v>
      </c>
      <c r="S149" s="6" t="str">
        <f>IFERROR(__xludf.DUMMYFUNCTION("""COMPUTED_VALUE"""),"Restrepo Acevedo Alicia ")</f>
        <v>Restrepo Acevedo Alicia </v>
      </c>
      <c r="T149" s="6" t="str">
        <f>IFERROR(__xludf.DUMMYFUNCTION("""COMPUTED_VALUE"""),"SANTIAGO LUIS RESTREPO BETANCUR")</f>
        <v>SANTIAGO LUIS RESTREPO BETANCUR</v>
      </c>
      <c r="U149" s="12" t="str">
        <f>IFERROR(__xludf.DUMMYFUNCTION("""COMPUTED_VALUE"""),"1129904206")</f>
        <v>1129904206</v>
      </c>
      <c r="V149" s="6">
        <f>IFERROR(__xludf.DUMMYFUNCTION("""COMPUTED_VALUE"""),3.108018512E9)</f>
        <v>3108018512</v>
      </c>
      <c r="W149" s="6" t="str">
        <f>IFERROR(__xludf.DUMMYFUNCTION("""COMPUTED_VALUE"""),"santy2010@hotmail.com")</f>
        <v>santy2010@hotmail.com</v>
      </c>
      <c r="X149" s="12" t="str">
        <f>IFERROR(__xludf.DUMMYFUNCTION("""COMPUTED_VALUE"""),"O+")</f>
        <v>O+</v>
      </c>
      <c r="Y149" s="12" t="str">
        <f>IFERROR(__xludf.DUMMYFUNCTION("""COMPUTED_VALUE"""),"K5")</f>
        <v>K5</v>
      </c>
      <c r="Z149" s="6">
        <f>IFERROR(__xludf.DUMMYFUNCTION("""COMPUTED_VALUE"""),120535.0)</f>
        <v>120535</v>
      </c>
      <c r="AA149" s="6"/>
      <c r="AB149" s="6"/>
      <c r="AC149" s="6" t="str">
        <f>IFERROR(__xludf.DUMMYFUNCTION("""COMPUTED_VALUE"""),"Restricción con el azúcar")</f>
        <v>Restricción con el azúcar</v>
      </c>
      <c r="AD149" s="12" t="str">
        <f>IFERROR(__xludf.DUMMYFUNCTION("""COMPUTED_VALUE"""),"K5B")</f>
        <v>K5B</v>
      </c>
      <c r="AE149" s="12" t="str">
        <f>IFERROR(__xludf.DUMMYFUNCTION("""COMPUTED_VALUE"""),"1345282534")</f>
        <v>1345282534</v>
      </c>
      <c r="AF149" s="12" t="str">
        <f>IFERROR(__xludf.DUMMYFUNCTION("""COMPUTED_VALUE"""),"1345282534")</f>
        <v>1345282534</v>
      </c>
      <c r="AG149" s="12" t="str">
        <f>IFERROR(__xludf.DUMMYFUNCTION("""COMPUTED_VALUE"""),"Daniela")</f>
        <v>Daniela</v>
      </c>
      <c r="AH149" s="6"/>
      <c r="AI149" s="6" t="str">
        <f>IFERROR(__xludf.DUMMYFUNCTION("""COMPUTED_VALUE"""),"Acevedo Aguirre")</f>
        <v>Acevedo Aguirre</v>
      </c>
      <c r="AJ149" s="6" t="str">
        <f>IFERROR(__xludf.DUMMYFUNCTION("""COMPUTED_VALUE"""),"dacvdo28@hotmail.com")</f>
        <v>dacvdo28@hotmail.com</v>
      </c>
      <c r="AK149" s="6" t="str">
        <f>IFERROR(__xludf.DUMMYFUNCTION("""COMPUTED_VALUE"""),"Administradora de empresas")</f>
        <v>Administradora de empresas</v>
      </c>
      <c r="AL149" s="6" t="str">
        <f>IFERROR(__xludf.DUMMYFUNCTION("""COMPUTED_VALUE"""),"INDEPENDIENTE")</f>
        <v>INDEPENDIENTE</v>
      </c>
      <c r="AM149" s="12" t="str">
        <f>IFERROR(__xludf.DUMMYFUNCTION("""COMPUTED_VALUE"""),"1067893223")</f>
        <v>1067893223</v>
      </c>
      <c r="AN149" s="12" t="str">
        <f>IFERROR(__xludf.DUMMYFUNCTION("""COMPUTED_VALUE"""),"3012776646")</f>
        <v>3012776646</v>
      </c>
      <c r="AO149" s="6" t="str">
        <f>IFERROR(__xludf.DUMMYFUNCTION("""COMPUTED_VALUE"""),"Madre")</f>
        <v>Madre</v>
      </c>
      <c r="AP149" s="6" t="str">
        <f>IFERROR(__xludf.DUMMYFUNCTION("""COMPUTED_VALUE"""),"Estudiante(s): Restrepo Acevedo")</f>
        <v>Estudiante(s): Restrepo Acevedo</v>
      </c>
      <c r="AQ149" s="6" t="str">
        <f>IFERROR(__xludf.DUMMYFUNCTION("""COMPUTED_VALUE"""),"120535*Gi")</f>
        <v>120535*Gi</v>
      </c>
      <c r="AR149" s="6" t="str">
        <f>IFERROR(__xludf.DUMMYFUNCTION("""COMPUTED_VALUE"""),"Santiago")</f>
        <v>Santiago</v>
      </c>
      <c r="AS149" s="6" t="str">
        <f>IFERROR(__xludf.DUMMYFUNCTION("""COMPUTED_VALUE"""),"Luis")</f>
        <v>Luis</v>
      </c>
      <c r="AT149" s="6" t="str">
        <f>IFERROR(__xludf.DUMMYFUNCTION("""COMPUTED_VALUE"""),"Restrepo Betancur")</f>
        <v>Restrepo Betancur</v>
      </c>
      <c r="AU149" s="6" t="str">
        <f>IFERROR(__xludf.DUMMYFUNCTION("""COMPUTED_VALUE"""),"santy2010@hotmail.com")</f>
        <v>santy2010@hotmail.com</v>
      </c>
      <c r="AV149" s="6" t="str">
        <f>IFERROR(__xludf.DUMMYFUNCTION("""COMPUTED_VALUE"""),"Administrador de empresas")</f>
        <v>Administrador de empresas</v>
      </c>
      <c r="AW149" s="6" t="str">
        <f>IFERROR(__xludf.DUMMYFUNCTION("""COMPUTED_VALUE"""),"GREB")</f>
        <v>GREB</v>
      </c>
      <c r="AX149" s="12" t="str">
        <f>IFERROR(__xludf.DUMMYFUNCTION("""COMPUTED_VALUE"""),"1129904206")</f>
        <v>1129904206</v>
      </c>
      <c r="AY149" s="12" t="str">
        <f>IFERROR(__xludf.DUMMYFUNCTION("""COMPUTED_VALUE"""),"3108018512")</f>
        <v>3108018512</v>
      </c>
      <c r="AZ149" s="6" t="str">
        <f>IFERROR(__xludf.DUMMYFUNCTION("""COMPUTED_VALUE"""),"Padre")</f>
        <v>Padre</v>
      </c>
      <c r="BA149" s="6"/>
      <c r="BB149" s="6"/>
      <c r="BC149" s="6"/>
      <c r="BD149" s="12" t="str">
        <f>IFERROR(__xludf.DUMMYFUNCTION("""COMPUTED_VALUE"""),"res0011")</f>
        <v>res0011</v>
      </c>
      <c r="BE149" s="6" t="str">
        <f>IFERROR(__xludf.DUMMYFUNCTION("""COMPUTED_VALUE"""),"FALTAN FIRMAS")</f>
        <v>FALTAN FIRMAS</v>
      </c>
      <c r="BF149" s="12" t="str">
        <f>IFERROR(__xludf.DUMMYFUNCTION("""COMPUTED_VALUE"""),"5M+6m ENE/26 A DIC/26 SE APLICA MATR Y CTOS ESPECIALES")</f>
        <v>5M+6m ENE/26 A DIC/26 SE APLICA MATR Y CTOS ESPECIALES</v>
      </c>
      <c r="BG149" s="6">
        <f>IFERROR(__xludf.DUMMYFUNCTION("""COMPUTED_VALUE"""),2039.0)</f>
        <v>2039</v>
      </c>
      <c r="BH149" s="15">
        <f>IFERROR(__xludf.DUMMYFUNCTION("""COMPUTED_VALUE"""),46230.43318287037)</f>
        <v>46230.43318</v>
      </c>
      <c r="BI149" s="6">
        <f>IFERROR(__xludf.DUMMYFUNCTION("""COMPUTED_VALUE"""),148.0)</f>
        <v>148</v>
      </c>
      <c r="BJ149" s="6"/>
      <c r="BK149" s="6"/>
      <c r="BL149" s="6" t="str">
        <f>IFERROR(__xludf.DUMMYFUNCTION("""COMPUTED_VALUE"""),"GISRES0011")</f>
        <v>GISRES0011</v>
      </c>
      <c r="BM149" s="6"/>
      <c r="BN149" s="6"/>
      <c r="BO149" s="6" t="str">
        <f>IFERROR(__xludf.DUMMYFUNCTION("""COMPUTED_VALUE"""),"XC_K5_Polimotor")</f>
        <v>XC_K5_Polimotor</v>
      </c>
      <c r="BP149" s="6"/>
      <c r="BQ149" s="6"/>
      <c r="BR149" s="6" t="str">
        <f>IFERROR(__xludf.DUMMYFUNCTION("""COMPUTED_VALUE"""),"XC_K5_Polimotor")</f>
        <v>XC_K5_Polimotor</v>
      </c>
      <c r="BS149" s="6"/>
      <c r="BT149" s="6"/>
      <c r="BU149" s="6" t="str">
        <f>IFERROR(__xludf.DUMMYFUNCTION("""COMPUTED_VALUE"""),"SI")</f>
        <v>SI</v>
      </c>
      <c r="BV149" s="6" t="str">
        <f>IFERROR(__xludf.DUMMYFUNCTION("""COMPUTED_VALUE"""),"alicia.r2039")</f>
        <v>alicia.r2039</v>
      </c>
      <c r="BW149" s="6"/>
      <c r="BX149" s="6"/>
      <c r="BY149" s="6"/>
      <c r="BZ149" s="6"/>
    </row>
    <row r="150">
      <c r="A150" s="12">
        <f>IFERROR(__xludf.DUMMYFUNCTION("""COMPUTED_VALUE"""),1.092467367E9)</f>
        <v>1092467367</v>
      </c>
      <c r="B150" s="6">
        <f>IFERROR(__xludf.DUMMYFUNCTION("""COMPUTED_VALUE"""),18.0)</f>
        <v>18</v>
      </c>
      <c r="C150" s="6" t="str">
        <f>IFERROR(__xludf.DUMMYFUNCTION("""COMPUTED_VALUE"""),"Pedro")</f>
        <v>Pedro</v>
      </c>
      <c r="D150" s="6"/>
      <c r="E150" s="6" t="str">
        <f>IFERROR(__xludf.DUMMYFUNCTION("""COMPUTED_VALUE"""),"Urrea Acosta")</f>
        <v>Urrea Acosta</v>
      </c>
      <c r="F150" s="6" t="str">
        <f>IFERROR(__xludf.DUMMYFUNCTION("""COMPUTED_VALUE"""),"Condominio Entre Maderos Casa 66 - Vereda El Congal Km 1.2 Via Circasia - Armenia")</f>
        <v>Condominio Entre Maderos Casa 66 - Vereda El Congal Km 1.2 Via Circasia - Armenia</v>
      </c>
      <c r="G150" s="12" t="str">
        <f>IFERROR(__xludf.DUMMYFUNCTION("""COMPUTED_VALUE"""),"2021")</f>
        <v>2021</v>
      </c>
      <c r="H150" s="6" t="str">
        <f>IFERROR(__xludf.DUMMYFUNCTION("""COMPUTED_VALUE"""),"Septiembre")</f>
        <v>Septiembre</v>
      </c>
      <c r="I150" s="12" t="str">
        <f>IFERROR(__xludf.DUMMYFUNCTION("""COMPUTED_VALUE"""),"8")</f>
        <v>8</v>
      </c>
      <c r="J150" s="6" t="str">
        <f>IFERROR(__xludf.DUMMYFUNCTION("""COMPUTED_VALUE"""),"Armenia")</f>
        <v>Armenia</v>
      </c>
      <c r="K150" s="6" t="str">
        <f>IFERROR(__xludf.DUMMYFUNCTION("""COMPUTED_VALUE"""),"pedro.u2039@gi.edu.co")</f>
        <v>pedro.u2039@gi.edu.co</v>
      </c>
      <c r="L150" s="6" t="str">
        <f>IFERROR(__xludf.DUMMYFUNCTION("""COMPUTED_VALUE"""),"NUIP")</f>
        <v>NUIP</v>
      </c>
      <c r="M150" s="6" t="str">
        <f>IFERROR(__xludf.DUMMYFUNCTION("""COMPUTED_VALUE"""),"Armenia")</f>
        <v>Armenia</v>
      </c>
      <c r="N150" s="6" t="str">
        <f>IFERROR(__xludf.DUMMYFUNCTION("""COMPUTED_VALUE"""),"M")</f>
        <v>M</v>
      </c>
      <c r="O150" s="6" t="str">
        <f>IFERROR(__xludf.DUMMYFUNCTION("""COMPUTED_VALUE"""),"ACTIVE")</f>
        <v>ACTIVE</v>
      </c>
      <c r="P150" s="6"/>
      <c r="Q150" s="6" t="str">
        <f>IFERROR(__xludf.DUMMYFUNCTION("""COMPUTED_VALUE"""),"Armenia")</f>
        <v>Armenia</v>
      </c>
      <c r="R150" s="12" t="str">
        <f>IFERROR(__xludf.DUMMYFUNCTION("""COMPUTED_VALUE"""),"Gis6cj2d*")</f>
        <v>Gis6cj2d*</v>
      </c>
      <c r="S150" s="6" t="str">
        <f>IFERROR(__xludf.DUMMYFUNCTION("""COMPUTED_VALUE"""),"Urrea Acosta Pedro ")</f>
        <v>Urrea Acosta Pedro </v>
      </c>
      <c r="T150" s="6" t="str">
        <f>IFERROR(__xludf.DUMMYFUNCTION("""COMPUTED_VALUE"""),"JUAN GUILLERMO URREA CANO")</f>
        <v>JUAN GUILLERMO URREA CANO</v>
      </c>
      <c r="U150" s="12" t="str">
        <f>IFERROR(__xludf.DUMMYFUNCTION("""COMPUTED_VALUE"""),"9772884")</f>
        <v>9772884</v>
      </c>
      <c r="V150" s="6">
        <f>IFERROR(__xludf.DUMMYFUNCTION("""COMPUTED_VALUE"""),3.158703211E9)</f>
        <v>3158703211</v>
      </c>
      <c r="W150" s="6" t="str">
        <f>IFERROR(__xludf.DUMMYFUNCTION("""COMPUTED_VALUE"""),"juanguillermourreacano@gmail.com")</f>
        <v>juanguillermourreacano@gmail.com</v>
      </c>
      <c r="X150" s="12" t="str">
        <f>IFERROR(__xludf.DUMMYFUNCTION("""COMPUTED_VALUE"""),"A+")</f>
        <v>A+</v>
      </c>
      <c r="Y150" s="12" t="str">
        <f>IFERROR(__xludf.DUMMYFUNCTION("""COMPUTED_VALUE"""),"K5")</f>
        <v>K5</v>
      </c>
      <c r="Z150" s="12">
        <f>IFERROR(__xludf.DUMMYFUNCTION("""COMPUTED_VALUE"""),120338.0)</f>
        <v>120338</v>
      </c>
      <c r="AA150" s="6" t="str">
        <f>IFERROR(__xludf.DUMMYFUNCTION("""COMPUTED_VALUE"""),"SURA")</f>
        <v>SURA</v>
      </c>
      <c r="AB150" s="6"/>
      <c r="AC150" s="6"/>
      <c r="AD150" s="12" t="str">
        <f>IFERROR(__xludf.DUMMYFUNCTION("""COMPUTED_VALUE"""),"K5B")</f>
        <v>K5B</v>
      </c>
      <c r="AE150" s="12">
        <f>IFERROR(__xludf.DUMMYFUNCTION("""COMPUTED_VALUE"""),1.345282346E9)</f>
        <v>1345282346</v>
      </c>
      <c r="AF150" s="12" t="str">
        <f>IFERROR(__xludf.DUMMYFUNCTION("""COMPUTED_VALUE"""),"1345282346")</f>
        <v>1345282346</v>
      </c>
      <c r="AG150" s="12" t="str">
        <f>IFERROR(__xludf.DUMMYFUNCTION("""COMPUTED_VALUE"""),"María")</f>
        <v>María</v>
      </c>
      <c r="AH150" s="12" t="str">
        <f>IFERROR(__xludf.DUMMYFUNCTION("""COMPUTED_VALUE"""),"Paulina")</f>
        <v>Paulina</v>
      </c>
      <c r="AI150" s="6" t="str">
        <f>IFERROR(__xludf.DUMMYFUNCTION("""COMPUTED_VALUE"""),"Acosta Castaño")</f>
        <v>Acosta Castaño</v>
      </c>
      <c r="AJ150" s="6" t="str">
        <f>IFERROR(__xludf.DUMMYFUNCTION("""COMPUTED_VALUE"""),"mariapaulinaacosta@gmail.com")</f>
        <v>mariapaulinaacosta@gmail.com</v>
      </c>
      <c r="AK150" s="6" t="str">
        <f>IFERROR(__xludf.DUMMYFUNCTION("""COMPUTED_VALUE"""),"ADMINISTRADORA DE EMPRESAS")</f>
        <v>ADMINISTRADORA DE EMPRESAS</v>
      </c>
      <c r="AL150" s="6" t="str">
        <f>IFERROR(__xludf.DUMMYFUNCTION("""COMPUTED_VALUE"""),"INGENIA CONSTRUCCIONES S.A.S.")</f>
        <v>INGENIA CONSTRUCCIONES S.A.S.</v>
      </c>
      <c r="AM150" s="12" t="str">
        <f>IFERROR(__xludf.DUMMYFUNCTION("""COMPUTED_VALUE"""),"1020745288")</f>
        <v>1020745288</v>
      </c>
      <c r="AN150" s="12" t="str">
        <f>IFERROR(__xludf.DUMMYFUNCTION("""COMPUTED_VALUE"""),"3178953766")</f>
        <v>3178953766</v>
      </c>
      <c r="AO150" s="6" t="str">
        <f>IFERROR(__xludf.DUMMYFUNCTION("""COMPUTED_VALUE"""),"Madre")</f>
        <v>Madre</v>
      </c>
      <c r="AP150" s="6" t="str">
        <f>IFERROR(__xludf.DUMMYFUNCTION("""COMPUTED_VALUE"""),"Estudiante(s): Urrea Acosta")</f>
        <v>Estudiante(s): Urrea Acosta</v>
      </c>
      <c r="AQ150" s="6" t="str">
        <f>IFERROR(__xludf.DUMMYFUNCTION("""COMPUTED_VALUE"""),"120127*Gi")</f>
        <v>120127*Gi</v>
      </c>
      <c r="AR150" s="6" t="str">
        <f>IFERROR(__xludf.DUMMYFUNCTION("""COMPUTED_VALUE"""),"Juan")</f>
        <v>Juan</v>
      </c>
      <c r="AS150" s="6" t="str">
        <f>IFERROR(__xludf.DUMMYFUNCTION("""COMPUTED_VALUE"""),"Guillermo")</f>
        <v>Guillermo</v>
      </c>
      <c r="AT150" s="6" t="str">
        <f>IFERROR(__xludf.DUMMYFUNCTION("""COMPUTED_VALUE"""),"Urrea Cano")</f>
        <v>Urrea Cano</v>
      </c>
      <c r="AU150" s="6" t="str">
        <f>IFERROR(__xludf.DUMMYFUNCTION("""COMPUTED_VALUE"""),"juanguillermourreacano@gmail.com")</f>
        <v>juanguillermourreacano@gmail.com</v>
      </c>
      <c r="AV150" s="6" t="str">
        <f>IFERROR(__xludf.DUMMYFUNCTION("""COMPUTED_VALUE"""),"INGENIERO CIVIL")</f>
        <v>INGENIERO CIVIL</v>
      </c>
      <c r="AW150" s="6" t="str">
        <f>IFERROR(__xludf.DUMMYFUNCTION("""COMPUTED_VALUE"""),"Ingenia Construcciones S.A.S.")</f>
        <v>Ingenia Construcciones S.A.S.</v>
      </c>
      <c r="AX150" s="12" t="str">
        <f>IFERROR(__xludf.DUMMYFUNCTION("""COMPUTED_VALUE"""),"9772884")</f>
        <v>9772884</v>
      </c>
      <c r="AY150" s="12">
        <f>IFERROR(__xludf.DUMMYFUNCTION("""COMPUTED_VALUE"""),3.158703211E9)</f>
        <v>3158703211</v>
      </c>
      <c r="AZ150" s="6" t="str">
        <f>IFERROR(__xludf.DUMMYFUNCTION("""COMPUTED_VALUE"""),"Padre")</f>
        <v>Padre</v>
      </c>
      <c r="BA150" s="6"/>
      <c r="BB150" s="6"/>
      <c r="BC150" s="6"/>
      <c r="BD150" s="12" t="str">
        <f>IFERROR(__xludf.DUMMYFUNCTION("""COMPUTED_VALUE"""),"urr0002")</f>
        <v>urr0002</v>
      </c>
      <c r="BE150" s="6"/>
      <c r="BF150" s="6"/>
      <c r="BG150" s="6">
        <f>IFERROR(__xludf.DUMMYFUNCTION("""COMPUTED_VALUE"""),2039.0)</f>
        <v>2039</v>
      </c>
      <c r="BH150" s="15">
        <f>IFERROR(__xludf.DUMMYFUNCTION("""COMPUTED_VALUE"""),46212.54483796296)</f>
        <v>46212.54484</v>
      </c>
      <c r="BI150" s="6">
        <f>IFERROR(__xludf.DUMMYFUNCTION("""COMPUTED_VALUE"""),149.0)</f>
        <v>149</v>
      </c>
      <c r="BJ150" s="6"/>
      <c r="BK150" s="6"/>
      <c r="BL150" s="6" t="str">
        <f>IFERROR(__xludf.DUMMYFUNCTION("""COMPUTED_VALUE"""),"GISURR0002")</f>
        <v>GISURR0002</v>
      </c>
      <c r="BM150" s="6"/>
      <c r="BN150" s="6"/>
      <c r="BO150" s="6" t="str">
        <f>IFERROR(__xludf.DUMMYFUNCTION("""COMPUTED_VALUE"""),"XC_K5_Futbol")</f>
        <v>XC_K5_Futbol</v>
      </c>
      <c r="BP150" s="6"/>
      <c r="BQ150" s="6"/>
      <c r="BR150" s="6" t="str">
        <f>IFERROR(__xludf.DUMMYFUNCTION("""COMPUTED_VALUE"""),"XC_K5_Futbol")</f>
        <v>XC_K5_Futbol</v>
      </c>
      <c r="BS150" s="6"/>
      <c r="BT150" s="6"/>
      <c r="BU150" s="6" t="str">
        <f>IFERROR(__xludf.DUMMYFUNCTION("""COMPUTED_VALUE"""),"SI")</f>
        <v>SI</v>
      </c>
      <c r="BV150" s="6" t="str">
        <f>IFERROR(__xludf.DUMMYFUNCTION("""COMPUTED_VALUE"""),"pedro.u2039")</f>
        <v>pedro.u2039</v>
      </c>
      <c r="BW150" s="6"/>
      <c r="BX150" s="6"/>
      <c r="BY150" s="6"/>
      <c r="BZ150" s="6"/>
    </row>
    <row r="151">
      <c r="A151" s="12">
        <f>IFERROR(__xludf.DUMMYFUNCTION("""COMPUTED_VALUE"""),1.092864983E9)</f>
        <v>1092864983</v>
      </c>
      <c r="B151" s="6">
        <f>IFERROR(__xludf.DUMMYFUNCTION("""COMPUTED_VALUE"""),19.0)</f>
        <v>19</v>
      </c>
      <c r="C151" s="6" t="str">
        <f>IFERROR(__xludf.DUMMYFUNCTION("""COMPUTED_VALUE"""),"Victoria")</f>
        <v>Victoria</v>
      </c>
      <c r="D151" s="6"/>
      <c r="E151" s="6" t="str">
        <f>IFERROR(__xludf.DUMMYFUNCTION("""COMPUTED_VALUE"""),"Velásquez González")</f>
        <v>Velásquez González</v>
      </c>
      <c r="F151" s="6" t="str">
        <f>IFERROR(__xludf.DUMMYFUNCTION("""COMPUTED_VALUE"""),"Condominio Hacienda Horizontes Casa 29 - Km 3 Via Circasia Vereda la Florida")</f>
        <v>Condominio Hacienda Horizontes Casa 29 - Km 3 Via Circasia Vereda la Florida</v>
      </c>
      <c r="G151" s="12" t="str">
        <f>IFERROR(__xludf.DUMMYFUNCTION("""COMPUTED_VALUE"""),"2021")</f>
        <v>2021</v>
      </c>
      <c r="H151" s="6" t="str">
        <f>IFERROR(__xludf.DUMMYFUNCTION("""COMPUTED_VALUE"""),"Abril")</f>
        <v>Abril</v>
      </c>
      <c r="I151" s="12" t="str">
        <f>IFERROR(__xludf.DUMMYFUNCTION("""COMPUTED_VALUE"""),"6")</f>
        <v>6</v>
      </c>
      <c r="J151" s="6" t="str">
        <f>IFERROR(__xludf.DUMMYFUNCTION("""COMPUTED_VALUE"""),"Armenia")</f>
        <v>Armenia</v>
      </c>
      <c r="K151" s="6" t="str">
        <f>IFERROR(__xludf.DUMMYFUNCTION("""COMPUTED_VALUE"""),"victoria.v2039@gi.edu.co")</f>
        <v>victoria.v2039@gi.edu.co</v>
      </c>
      <c r="L151" s="6" t="str">
        <f>IFERROR(__xludf.DUMMYFUNCTION("""COMPUTED_VALUE"""),"RC")</f>
        <v>RC</v>
      </c>
      <c r="M151" s="6" t="str">
        <f>IFERROR(__xludf.DUMMYFUNCTION("""COMPUTED_VALUE"""),"Armenia")</f>
        <v>Armenia</v>
      </c>
      <c r="N151" s="6" t="str">
        <f>IFERROR(__xludf.DUMMYFUNCTION("""COMPUTED_VALUE"""),"F")</f>
        <v>F</v>
      </c>
      <c r="O151" s="6" t="str">
        <f>IFERROR(__xludf.DUMMYFUNCTION("""COMPUTED_VALUE"""),"ACTIVE")</f>
        <v>ACTIVE</v>
      </c>
      <c r="P151" s="6"/>
      <c r="Q151" s="6" t="str">
        <f>IFERROR(__xludf.DUMMYFUNCTION("""COMPUTED_VALUE"""),"Armenia")</f>
        <v>Armenia</v>
      </c>
      <c r="R151" s="12" t="str">
        <f>IFERROR(__xludf.DUMMYFUNCTION("""COMPUTED_VALUE"""),"Gi579d4N*")</f>
        <v>Gi579d4N*</v>
      </c>
      <c r="S151" s="6" t="str">
        <f>IFERROR(__xludf.DUMMYFUNCTION("""COMPUTED_VALUE"""),"Velásquez González Victoria ")</f>
        <v>Velásquez González Victoria </v>
      </c>
      <c r="T151" s="6" t="str">
        <f>IFERROR(__xludf.DUMMYFUNCTION("""COMPUTED_VALUE"""),"JAIRO ANDRES VELASQUEZ HERRERA")</f>
        <v>JAIRO ANDRES VELASQUEZ HERRERA</v>
      </c>
      <c r="U151" s="12" t="str">
        <f>IFERROR(__xludf.DUMMYFUNCTION("""COMPUTED_VALUE"""),"9739222")</f>
        <v>9739222</v>
      </c>
      <c r="V151" s="6">
        <f>IFERROR(__xludf.DUMMYFUNCTION("""COMPUTED_VALUE"""),3.173710013E9)</f>
        <v>3173710013</v>
      </c>
      <c r="W151" s="6" t="str">
        <f>IFERROR(__xludf.DUMMYFUNCTION("""COMPUTED_VALUE"""),"jairo84@gmail.com")</f>
        <v>jairo84@gmail.com</v>
      </c>
      <c r="X151" s="12" t="str">
        <f>IFERROR(__xludf.DUMMYFUNCTION("""COMPUTED_VALUE"""),"O-")</f>
        <v>O-</v>
      </c>
      <c r="Y151" s="12" t="str">
        <f>IFERROR(__xludf.DUMMYFUNCTION("""COMPUTED_VALUE"""),"K5")</f>
        <v>K5</v>
      </c>
      <c r="Z151" s="12">
        <f>IFERROR(__xludf.DUMMYFUNCTION("""COMPUTED_VALUE"""),103782.0)</f>
        <v>103782</v>
      </c>
      <c r="AA151" s="6" t="str">
        <f>IFERROR(__xludf.DUMMYFUNCTION("""COMPUTED_VALUE"""),"SURA")</f>
        <v>SURA</v>
      </c>
      <c r="AB151" s="6"/>
      <c r="AC151" s="6"/>
      <c r="AD151" s="12" t="str">
        <f>IFERROR(__xludf.DUMMYFUNCTION("""COMPUTED_VALUE"""),"K5B")</f>
        <v>K5B</v>
      </c>
      <c r="AE151" s="12">
        <f>IFERROR(__xludf.DUMMYFUNCTION("""COMPUTED_VALUE"""),1.345282314E9)</f>
        <v>1345282314</v>
      </c>
      <c r="AF151" s="12" t="str">
        <f>IFERROR(__xludf.DUMMYFUNCTION("""COMPUTED_VALUE"""),"1345282314")</f>
        <v>1345282314</v>
      </c>
      <c r="AG151" s="12" t="str">
        <f>IFERROR(__xludf.DUMMYFUNCTION("""COMPUTED_VALUE"""),"Tatiana")</f>
        <v>Tatiana</v>
      </c>
      <c r="AH151" s="12" t="str">
        <f>IFERROR(__xludf.DUMMYFUNCTION("""COMPUTED_VALUE"""),"Paola")</f>
        <v>Paola</v>
      </c>
      <c r="AI151" s="6" t="str">
        <f>IFERROR(__xludf.DUMMYFUNCTION("""COMPUTED_VALUE"""),"González Valencia")</f>
        <v>González Valencia</v>
      </c>
      <c r="AJ151" s="6" t="str">
        <f>IFERROR(__xludf.DUMMYFUNCTION("""COMPUTED_VALUE"""),"tati_tgv@hotmail.com")</f>
        <v>tati_tgv@hotmail.com</v>
      </c>
      <c r="AK151" s="6" t="str">
        <f>IFERROR(__xludf.DUMMYFUNCTION("""COMPUTED_VALUE"""),"Ingeniera")</f>
        <v>Ingeniera</v>
      </c>
      <c r="AL151" s="6" t="str">
        <f>IFERROR(__xludf.DUMMYFUNCTION("""COMPUTED_VALUE"""),"ingespacio construcciones")</f>
        <v>ingespacio construcciones</v>
      </c>
      <c r="AM151" s="12" t="str">
        <f>IFERROR(__xludf.DUMMYFUNCTION("""COMPUTED_VALUE"""),"41955268")</f>
        <v>41955268</v>
      </c>
      <c r="AN151" s="12" t="str">
        <f>IFERROR(__xludf.DUMMYFUNCTION("""COMPUTED_VALUE"""),"3152846980")</f>
        <v>3152846980</v>
      </c>
      <c r="AO151" s="6" t="str">
        <f>IFERROR(__xludf.DUMMYFUNCTION("""COMPUTED_VALUE"""),"Madre")</f>
        <v>Madre</v>
      </c>
      <c r="AP151" s="6" t="str">
        <f>IFERROR(__xludf.DUMMYFUNCTION("""COMPUTED_VALUE"""),"Estudiante(s): Velasquez Gonzalez")</f>
        <v>Estudiante(s): Velasquez Gonzalez</v>
      </c>
      <c r="AQ151" s="6" t="str">
        <f>IFERROR(__xludf.DUMMYFUNCTION("""COMPUTED_VALUE"""),"103782*Gi")</f>
        <v>103782*Gi</v>
      </c>
      <c r="AR151" s="6" t="str">
        <f>IFERROR(__xludf.DUMMYFUNCTION("""COMPUTED_VALUE"""),"Jairo")</f>
        <v>Jairo</v>
      </c>
      <c r="AS151" s="6" t="str">
        <f>IFERROR(__xludf.DUMMYFUNCTION("""COMPUTED_VALUE"""),"Andrés")</f>
        <v>Andrés</v>
      </c>
      <c r="AT151" s="6" t="str">
        <f>IFERROR(__xludf.DUMMYFUNCTION("""COMPUTED_VALUE"""),"Velásquez Herrera")</f>
        <v>Velásquez Herrera</v>
      </c>
      <c r="AU151" s="6" t="str">
        <f>IFERROR(__xludf.DUMMYFUNCTION("""COMPUTED_VALUE"""),"jairo84@gmail.com")</f>
        <v>jairo84@gmail.com</v>
      </c>
      <c r="AV151" s="6" t="str">
        <f>IFERROR(__xludf.DUMMYFUNCTION("""COMPUTED_VALUE"""),"ingeniero")</f>
        <v>ingeniero</v>
      </c>
      <c r="AW151" s="6" t="str">
        <f>IFERROR(__xludf.DUMMYFUNCTION("""COMPUTED_VALUE"""),"Ingespacio Construcciones")</f>
        <v>Ingespacio Construcciones</v>
      </c>
      <c r="AX151" s="12" t="str">
        <f>IFERROR(__xludf.DUMMYFUNCTION("""COMPUTED_VALUE"""),"9739222")</f>
        <v>9739222</v>
      </c>
      <c r="AY151" s="12">
        <f>IFERROR(__xludf.DUMMYFUNCTION("""COMPUTED_VALUE"""),3.173710013E9)</f>
        <v>3173710013</v>
      </c>
      <c r="AZ151" s="6" t="str">
        <f>IFERROR(__xludf.DUMMYFUNCTION("""COMPUTED_VALUE"""),"Padre")</f>
        <v>Padre</v>
      </c>
      <c r="BA151" s="6"/>
      <c r="BB151" s="6"/>
      <c r="BC151" s="6"/>
      <c r="BD151" s="12" t="str">
        <f>IFERROR(__xludf.DUMMYFUNCTION("""COMPUTED_VALUE"""),"vel0012")</f>
        <v>vel0012</v>
      </c>
      <c r="BE151" s="6"/>
      <c r="BF151" s="6"/>
      <c r="BG151" s="6">
        <f>IFERROR(__xludf.DUMMYFUNCTION("""COMPUTED_VALUE"""),2039.0)</f>
        <v>2039</v>
      </c>
      <c r="BH151" s="15">
        <f>IFERROR(__xludf.DUMMYFUNCTION("""COMPUTED_VALUE"""),46211.38111111111)</f>
        <v>46211.38111</v>
      </c>
      <c r="BI151" s="6">
        <f>IFERROR(__xludf.DUMMYFUNCTION("""COMPUTED_VALUE"""),150.0)</f>
        <v>150</v>
      </c>
      <c r="BJ151" s="6"/>
      <c r="BK151" s="6"/>
      <c r="BL151" s="6" t="str">
        <f>IFERROR(__xludf.DUMMYFUNCTION("""COMPUTED_VALUE"""),"GISVEL0012")</f>
        <v>GISVEL0012</v>
      </c>
      <c r="BM151" s="6"/>
      <c r="BN151" s="6"/>
      <c r="BO151" s="6" t="str">
        <f>IFERROR(__xludf.DUMMYFUNCTION("""COMPUTED_VALUE"""),"XC_K5_Polimotor")</f>
        <v>XC_K5_Polimotor</v>
      </c>
      <c r="BP151" s="6"/>
      <c r="BQ151" s="6"/>
      <c r="BR151" s="6" t="str">
        <f>IFERROR(__xludf.DUMMYFUNCTION("""COMPUTED_VALUE"""),"XC_K5_Polimotor")</f>
        <v>XC_K5_Polimotor</v>
      </c>
      <c r="BS151" s="6" t="str">
        <f>IFERROR(__xludf.DUMMYFUNCTION("""COMPUTED_VALUE"""),"XC_K5_IniciaDanzas")</f>
        <v>XC_K5_IniciaDanzas</v>
      </c>
      <c r="BT151" s="6"/>
      <c r="BU151" s="6" t="str">
        <f>IFERROR(__xludf.DUMMYFUNCTION("""COMPUTED_VALUE"""),"SI")</f>
        <v>SI</v>
      </c>
      <c r="BV151" s="6" t="str">
        <f>IFERROR(__xludf.DUMMYFUNCTION("""COMPUTED_VALUE"""),"victoria.v2039")</f>
        <v>victoria.v2039</v>
      </c>
      <c r="BW151" s="6"/>
      <c r="BX151" s="6"/>
      <c r="BY151" s="6"/>
      <c r="B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 t="str">
        <f>IFERROR(__xludf.DUMMYFUNCTION("""COMPUTED_VALUE"""),"Madre")</f>
        <v>Madre</v>
      </c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 t="str">
        <f>IFERROR(__xludf.DUMMYFUNCTION("""COMPUTED_VALUE"""),"Padre")</f>
        <v>Padre</v>
      </c>
      <c r="BA152" s="6"/>
      <c r="BB152" s="6"/>
      <c r="BC152" s="6"/>
      <c r="BD152" s="6"/>
      <c r="BE152" s="6"/>
      <c r="BF152" s="6"/>
      <c r="BG152" s="6"/>
      <c r="BH152" s="6"/>
      <c r="BI152" s="6">
        <f>IFERROR(__xludf.DUMMYFUNCTION("""COMPUTED_VALUE"""),151.0)</f>
        <v>151</v>
      </c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</row>
    <row r="153">
      <c r="A153" s="12">
        <f>IFERROR(__xludf.DUMMYFUNCTION("""COMPUTED_VALUE"""),1.092865072E9)</f>
        <v>1092865072</v>
      </c>
      <c r="B153" s="6">
        <f>IFERROR(__xludf.DUMMYFUNCTION("""COMPUTED_VALUE"""),1.0)</f>
        <v>1</v>
      </c>
      <c r="C153" s="6" t="str">
        <f>IFERROR(__xludf.DUMMYFUNCTION("""COMPUTED_VALUE"""),"Joaquín")</f>
        <v>Joaquín</v>
      </c>
      <c r="D153" s="6"/>
      <c r="E153" s="6" t="str">
        <f>IFERROR(__xludf.DUMMYFUNCTION("""COMPUTED_VALUE"""),"Arias Quintero")</f>
        <v>Arias Quintero</v>
      </c>
      <c r="F153" s="6" t="str">
        <f>IFERROR(__xludf.DUMMYFUNCTION("""COMPUTED_VALUE"""),"Torre Valparaiso Apto 301 - Calle 6 Nte No16A - 44 Barrio Profesionales")</f>
        <v>Torre Valparaiso Apto 301 - Calle 6 Nte No16A - 44 Barrio Profesionales</v>
      </c>
      <c r="G153" s="12" t="str">
        <f>IFERROR(__xludf.DUMMYFUNCTION("""COMPUTED_VALUE"""),"2021")</f>
        <v>2021</v>
      </c>
      <c r="H153" s="6" t="str">
        <f>IFERROR(__xludf.DUMMYFUNCTION("""COMPUTED_VALUE"""),"Abril")</f>
        <v>Abril</v>
      </c>
      <c r="I153" s="12" t="str">
        <f>IFERROR(__xludf.DUMMYFUNCTION("""COMPUTED_VALUE"""),"25")</f>
        <v>25</v>
      </c>
      <c r="J153" s="6" t="str">
        <f>IFERROR(__xludf.DUMMYFUNCTION("""COMPUTED_VALUE"""),"Armenia")</f>
        <v>Armenia</v>
      </c>
      <c r="K153" s="6" t="str">
        <f>IFERROR(__xludf.DUMMYFUNCTION("""COMPUTED_VALUE"""),"joaquin.aq2039@gi.edu.co")</f>
        <v>joaquin.aq2039@gi.edu.co</v>
      </c>
      <c r="L153" s="6" t="str">
        <f>IFERROR(__xludf.DUMMYFUNCTION("""COMPUTED_VALUE"""),"RC")</f>
        <v>RC</v>
      </c>
      <c r="M153" s="6" t="str">
        <f>IFERROR(__xludf.DUMMYFUNCTION("""COMPUTED_VALUE"""),"Armenia")</f>
        <v>Armenia</v>
      </c>
      <c r="N153" s="6" t="str">
        <f>IFERROR(__xludf.DUMMYFUNCTION("""COMPUTED_VALUE"""),"M")</f>
        <v>M</v>
      </c>
      <c r="O153" s="6" t="str">
        <f>IFERROR(__xludf.DUMMYFUNCTION("""COMPUTED_VALUE"""),"ACTIVE")</f>
        <v>ACTIVE</v>
      </c>
      <c r="P153" s="6"/>
      <c r="Q153" s="6" t="str">
        <f>IFERROR(__xludf.DUMMYFUNCTION("""COMPUTED_VALUE"""),"Armenia")</f>
        <v>Armenia</v>
      </c>
      <c r="R153" s="12" t="str">
        <f>IFERROR(__xludf.DUMMYFUNCTION("""COMPUTED_VALUE"""),"Gi2y7T6r*")</f>
        <v>Gi2y7T6r*</v>
      </c>
      <c r="S153" s="6" t="str">
        <f>IFERROR(__xludf.DUMMYFUNCTION("""COMPUTED_VALUE"""),"Arias Quintero Joaquín ")</f>
        <v>Arias Quintero Joaquín </v>
      </c>
      <c r="T153" s="6" t="str">
        <f>IFERROR(__xludf.DUMMYFUNCTION("""COMPUTED_VALUE"""),"ALVARO EDUARDO ARIAS HOYOS")</f>
        <v>ALVARO EDUARDO ARIAS HOYOS</v>
      </c>
      <c r="U153" s="12" t="str">
        <f>IFERROR(__xludf.DUMMYFUNCTION("""COMPUTED_VALUE"""),"1094891642")</f>
        <v>1094891642</v>
      </c>
      <c r="V153" s="6">
        <f>IFERROR(__xludf.DUMMYFUNCTION("""COMPUTED_VALUE"""),3.136563692E9)</f>
        <v>3136563692</v>
      </c>
      <c r="W153" s="6" t="str">
        <f>IFERROR(__xludf.DUMMYFUNCTION("""COMPUTED_VALUE"""),"aariashoyos@gmail.com")</f>
        <v>aariashoyos@gmail.com</v>
      </c>
      <c r="X153" s="12" t="str">
        <f>IFERROR(__xludf.DUMMYFUNCTION("""COMPUTED_VALUE"""),"O+")</f>
        <v>O+</v>
      </c>
      <c r="Y153" s="12" t="str">
        <f>IFERROR(__xludf.DUMMYFUNCTION("""COMPUTED_VALUE"""),"K5")</f>
        <v>K5</v>
      </c>
      <c r="Z153" s="12">
        <f>IFERROR(__xludf.DUMMYFUNCTION("""COMPUTED_VALUE"""),120322.0)</f>
        <v>120322</v>
      </c>
      <c r="AA153" s="6" t="str">
        <f>IFERROR(__xludf.DUMMYFUNCTION("""COMPUTED_VALUE"""),"SURA")</f>
        <v>SURA</v>
      </c>
      <c r="AB153" s="6"/>
      <c r="AC153" s="6"/>
      <c r="AD153" s="12" t="str">
        <f>IFERROR(__xludf.DUMMYFUNCTION("""COMPUTED_VALUE"""),"K5C")</f>
        <v>K5C</v>
      </c>
      <c r="AE153" s="12">
        <f>IFERROR(__xludf.DUMMYFUNCTION("""COMPUTED_VALUE"""),1.345282321E9)</f>
        <v>1345282321</v>
      </c>
      <c r="AF153" s="12" t="str">
        <f>IFERROR(__xludf.DUMMYFUNCTION("""COMPUTED_VALUE"""),"1345282321")</f>
        <v>1345282321</v>
      </c>
      <c r="AG153" s="12" t="str">
        <f>IFERROR(__xludf.DUMMYFUNCTION("""COMPUTED_VALUE"""),"Viviana")</f>
        <v>Viviana</v>
      </c>
      <c r="AH153" s="12" t="str">
        <f>IFERROR(__xludf.DUMMYFUNCTION("""COMPUTED_VALUE"""),"Marcela")</f>
        <v>Marcela</v>
      </c>
      <c r="AI153" s="6" t="str">
        <f>IFERROR(__xludf.DUMMYFUNCTION("""COMPUTED_VALUE"""),"Quintero Marin")</f>
        <v>Quintero Marin</v>
      </c>
      <c r="AJ153" s="6" t="str">
        <f>IFERROR(__xludf.DUMMYFUNCTION("""COMPUTED_VALUE"""),"vivianamqm@hotmail.com")</f>
        <v>vivianamqm@hotmail.com</v>
      </c>
      <c r="AK153" s="6" t="str">
        <f>IFERROR(__xludf.DUMMYFUNCTION("""COMPUTED_VALUE"""),"ABOGADA")</f>
        <v>ABOGADA</v>
      </c>
      <c r="AL153" s="6"/>
      <c r="AM153" s="12" t="str">
        <f>IFERROR(__xludf.DUMMYFUNCTION("""COMPUTED_VALUE"""),"1094891027")</f>
        <v>1094891027</v>
      </c>
      <c r="AN153" s="12" t="str">
        <f>IFERROR(__xludf.DUMMYFUNCTION("""COMPUTED_VALUE"""),"3102659341")</f>
        <v>3102659341</v>
      </c>
      <c r="AO153" s="6" t="str">
        <f>IFERROR(__xludf.DUMMYFUNCTION("""COMPUTED_VALUE"""),"Madre")</f>
        <v>Madre</v>
      </c>
      <c r="AP153" s="6" t="str">
        <f>IFERROR(__xludf.DUMMYFUNCTION("""COMPUTED_VALUE"""),"Estudiante(s): Arias Quintero")</f>
        <v>Estudiante(s): Arias Quintero</v>
      </c>
      <c r="AQ153" s="6" t="str">
        <f>IFERROR(__xludf.DUMMYFUNCTION("""COMPUTED_VALUE"""),"120322*Gi")</f>
        <v>120322*Gi</v>
      </c>
      <c r="AR153" s="6" t="str">
        <f>IFERROR(__xludf.DUMMYFUNCTION("""COMPUTED_VALUE"""),"Álvaro")</f>
        <v>Álvaro</v>
      </c>
      <c r="AS153" s="6" t="str">
        <f>IFERROR(__xludf.DUMMYFUNCTION("""COMPUTED_VALUE"""),"Eduardo")</f>
        <v>Eduardo</v>
      </c>
      <c r="AT153" s="6" t="str">
        <f>IFERROR(__xludf.DUMMYFUNCTION("""COMPUTED_VALUE"""),"Arias Hoyos")</f>
        <v>Arias Hoyos</v>
      </c>
      <c r="AU153" s="6" t="str">
        <f>IFERROR(__xludf.DUMMYFUNCTION("""COMPUTED_VALUE"""),"aariashoyos@gmail.com")</f>
        <v>aariashoyos@gmail.com</v>
      </c>
      <c r="AV153" s="6" t="str">
        <f>IFERROR(__xludf.DUMMYFUNCTION("""COMPUTED_VALUE"""),"ADMINISTRADOR DE EMPRESAS")</f>
        <v>ADMINISTRADOR DE EMPRESAS</v>
      </c>
      <c r="AW153" s="6"/>
      <c r="AX153" s="12" t="str">
        <f>IFERROR(__xludf.DUMMYFUNCTION("""COMPUTED_VALUE"""),"1094891642")</f>
        <v>1094891642</v>
      </c>
      <c r="AY153" s="12" t="str">
        <f>IFERROR(__xludf.DUMMYFUNCTION("""COMPUTED_VALUE"""),"3136563692")</f>
        <v>3136563692</v>
      </c>
      <c r="AZ153" s="6" t="str">
        <f>IFERROR(__xludf.DUMMYFUNCTION("""COMPUTED_VALUE"""),"Padre")</f>
        <v>Padre</v>
      </c>
      <c r="BA153" s="6"/>
      <c r="BB153" s="6"/>
      <c r="BC153" s="6"/>
      <c r="BD153" s="12" t="str">
        <f>IFERROR(__xludf.DUMMYFUNCTION("""COMPUTED_VALUE"""),"ari0035")</f>
        <v>ari0035</v>
      </c>
      <c r="BE153" s="6"/>
      <c r="BF153" s="6"/>
      <c r="BG153" s="6">
        <f>IFERROR(__xludf.DUMMYFUNCTION("""COMPUTED_VALUE"""),2039.0)</f>
        <v>2039</v>
      </c>
      <c r="BH153" s="15">
        <f>IFERROR(__xludf.DUMMYFUNCTION("""COMPUTED_VALUE"""),46220.336550925924)</f>
        <v>46220.33655</v>
      </c>
      <c r="BI153" s="6">
        <f>IFERROR(__xludf.DUMMYFUNCTION("""COMPUTED_VALUE"""),152.0)</f>
        <v>152</v>
      </c>
      <c r="BJ153" s="6"/>
      <c r="BK153" s="6"/>
      <c r="BL153" s="6" t="str">
        <f>IFERROR(__xludf.DUMMYFUNCTION("""COMPUTED_VALUE"""),"GISARI0035")</f>
        <v>GISARI0035</v>
      </c>
      <c r="BM153" s="6"/>
      <c r="BN153" s="6"/>
      <c r="BO153" s="6" t="str">
        <f>IFERROR(__xludf.DUMMYFUNCTION("""COMPUTED_VALUE"""),"XC_K5_Futbol")</f>
        <v>XC_K5_Futbol</v>
      </c>
      <c r="BP153" s="6" t="str">
        <f>IFERROR(__xludf.DUMMYFUNCTION("""COMPUTED_VALUE"""),"XC_K5_IniciaMusical")</f>
        <v>XC_K5_IniciaMusical</v>
      </c>
      <c r="BQ153" s="6"/>
      <c r="BR153" s="6" t="str">
        <f>IFERROR(__xludf.DUMMYFUNCTION("""COMPUTED_VALUE"""),"XC_K5_Futbol")</f>
        <v>XC_K5_Futbol</v>
      </c>
      <c r="BS153" s="6"/>
      <c r="BT153" s="6"/>
      <c r="BU153" s="6" t="str">
        <f>IFERROR(__xludf.DUMMYFUNCTION("""COMPUTED_VALUE"""),"SI")</f>
        <v>SI</v>
      </c>
      <c r="BV153" s="6" t="str">
        <f>IFERROR(__xludf.DUMMYFUNCTION("""COMPUTED_VALUE"""),"joaquin.aq2039")</f>
        <v>joaquin.aq2039</v>
      </c>
      <c r="BW153" s="6"/>
      <c r="BX153" s="6"/>
      <c r="BY153" s="6"/>
      <c r="BZ153" s="6"/>
    </row>
    <row r="154">
      <c r="A154" s="12">
        <f>IFERROR(__xludf.DUMMYFUNCTION("""COMPUTED_VALUE"""),1.092864874E9)</f>
        <v>1092864874</v>
      </c>
      <c r="B154" s="6">
        <f>IFERROR(__xludf.DUMMYFUNCTION("""COMPUTED_VALUE"""),2.0)</f>
        <v>2</v>
      </c>
      <c r="C154" s="6" t="str">
        <f>IFERROR(__xludf.DUMMYFUNCTION("""COMPUTED_VALUE"""),"Alisson")</f>
        <v>Alisson</v>
      </c>
      <c r="D154" s="6"/>
      <c r="E154" s="6" t="str">
        <f>IFERROR(__xludf.DUMMYFUNCTION("""COMPUTED_VALUE"""),"Ballesteros Duarte")</f>
        <v>Ballesteros Duarte</v>
      </c>
      <c r="F154" s="6" t="str">
        <f>IFERROR(__xludf.DUMMYFUNCTION("""COMPUTED_VALUE"""),"Lagos de Iraka Casa 121 - Km 12 Via Armenia - El Caimo")</f>
        <v>Lagos de Iraka Casa 121 - Km 12 Via Armenia - El Caimo</v>
      </c>
      <c r="G154" s="12" t="str">
        <f>IFERROR(__xludf.DUMMYFUNCTION("""COMPUTED_VALUE"""),"2021")</f>
        <v>2021</v>
      </c>
      <c r="H154" s="6" t="str">
        <f>IFERROR(__xludf.DUMMYFUNCTION("""COMPUTED_VALUE"""),"Febrero")</f>
        <v>Febrero</v>
      </c>
      <c r="I154" s="12" t="str">
        <f>IFERROR(__xludf.DUMMYFUNCTION("""COMPUTED_VALUE"""),"11")</f>
        <v>11</v>
      </c>
      <c r="J154" s="6" t="str">
        <f>IFERROR(__xludf.DUMMYFUNCTION("""COMPUTED_VALUE"""),"Armenia")</f>
        <v>Armenia</v>
      </c>
      <c r="K154" s="6" t="str">
        <f>IFERROR(__xludf.DUMMYFUNCTION("""COMPUTED_VALUE"""),"alisson.b2039@gi.edu.co")</f>
        <v>alisson.b2039@gi.edu.co</v>
      </c>
      <c r="L154" s="6" t="str">
        <f>IFERROR(__xludf.DUMMYFUNCTION("""COMPUTED_VALUE"""),"RC")</f>
        <v>RC</v>
      </c>
      <c r="M154" s="6" t="str">
        <f>IFERROR(__xludf.DUMMYFUNCTION("""COMPUTED_VALUE"""),"Armenia")</f>
        <v>Armenia</v>
      </c>
      <c r="N154" s="6" t="str">
        <f>IFERROR(__xludf.DUMMYFUNCTION("""COMPUTED_VALUE"""),"F")</f>
        <v>F</v>
      </c>
      <c r="O154" s="6" t="str">
        <f>IFERROR(__xludf.DUMMYFUNCTION("""COMPUTED_VALUE"""),"ACTIVE")</f>
        <v>ACTIVE</v>
      </c>
      <c r="P154" s="6"/>
      <c r="Q154" s="6" t="str">
        <f>IFERROR(__xludf.DUMMYFUNCTION("""COMPUTED_VALUE"""),"Armenia")</f>
        <v>Armenia</v>
      </c>
      <c r="R154" s="12" t="str">
        <f>IFERROR(__xludf.DUMMYFUNCTION("""COMPUTED_VALUE"""),"Giru88ne*")</f>
        <v>Giru88ne*</v>
      </c>
      <c r="S154" s="6" t="str">
        <f>IFERROR(__xludf.DUMMYFUNCTION("""COMPUTED_VALUE"""),"Ballesteros Duarte Alisson ")</f>
        <v>Ballesteros Duarte Alisson </v>
      </c>
      <c r="T154" s="6" t="str">
        <f>IFERROR(__xludf.DUMMYFUNCTION("""COMPUTED_VALUE"""),"LILIANA DUARTE ROZO")</f>
        <v>LILIANA DUARTE ROZO</v>
      </c>
      <c r="U154" s="12" t="str">
        <f>IFERROR(__xludf.DUMMYFUNCTION("""COMPUTED_VALUE"""),"41963779")</f>
        <v>41963779</v>
      </c>
      <c r="V154" s="6">
        <f>IFERROR(__xludf.DUMMYFUNCTION("""COMPUTED_VALUE"""),3.136219607E9)</f>
        <v>3136219607</v>
      </c>
      <c r="W154" s="6" t="str">
        <f>IFERROR(__xludf.DUMMYFUNCTION("""COMPUTED_VALUE"""),"lilido2161@hotmail.com")</f>
        <v>lilido2161@hotmail.com</v>
      </c>
      <c r="X154" s="12" t="str">
        <f>IFERROR(__xludf.DUMMYFUNCTION("""COMPUTED_VALUE"""),"O+")</f>
        <v>O+</v>
      </c>
      <c r="Y154" s="12" t="str">
        <f>IFERROR(__xludf.DUMMYFUNCTION("""COMPUTED_VALUE"""),"K5")</f>
        <v>K5</v>
      </c>
      <c r="Z154" s="6">
        <f>IFERROR(__xludf.DUMMYFUNCTION("""COMPUTED_VALUE"""),120562.0)</f>
        <v>120562</v>
      </c>
      <c r="AA154" s="6" t="str">
        <f>IFERROR(__xludf.DUMMYFUNCTION("""COMPUTED_VALUE"""),"SURA")</f>
        <v>SURA</v>
      </c>
      <c r="AB154" s="6"/>
      <c r="AC154" s="6"/>
      <c r="AD154" s="12" t="str">
        <f>IFERROR(__xludf.DUMMYFUNCTION("""COMPUTED_VALUE"""),"K5C")</f>
        <v>K5C</v>
      </c>
      <c r="AE154" s="12">
        <f>IFERROR(__xludf.DUMMYFUNCTION("""COMPUTED_VALUE"""),1.345282559E9)</f>
        <v>1345282559</v>
      </c>
      <c r="AF154" s="12" t="str">
        <f>IFERROR(__xludf.DUMMYFUNCTION("""COMPUTED_VALUE"""),"1345282559")</f>
        <v>1345282559</v>
      </c>
      <c r="AG154" s="12" t="str">
        <f>IFERROR(__xludf.DUMMYFUNCTION("""COMPUTED_VALUE"""),"Liliana")</f>
        <v>Liliana</v>
      </c>
      <c r="AH154" s="6"/>
      <c r="AI154" s="6" t="str">
        <f>IFERROR(__xludf.DUMMYFUNCTION("""COMPUTED_VALUE"""),"Duarte Rozo")</f>
        <v>Duarte Rozo</v>
      </c>
      <c r="AJ154" s="6" t="str">
        <f>IFERROR(__xludf.DUMMYFUNCTION("""COMPUTED_VALUE"""),"lilido2161@hotmail.com")</f>
        <v>lilido2161@hotmail.com</v>
      </c>
      <c r="AK154" s="6" t="str">
        <f>IFERROR(__xludf.DUMMYFUNCTION("""COMPUTED_VALUE"""),"ADMINISTRADOR DE EMPRESAS FINANCERAS")</f>
        <v>ADMINISTRADOR DE EMPRESAS FINANCERAS</v>
      </c>
      <c r="AL154" s="6" t="str">
        <f>IFERROR(__xludf.DUMMYFUNCTION("""COMPUTED_VALUE"""),"bebidas y refrescos duber sas")</f>
        <v>bebidas y refrescos duber sas</v>
      </c>
      <c r="AM154" s="12" t="str">
        <f>IFERROR(__xludf.DUMMYFUNCTION("""COMPUTED_VALUE"""),"41963779")</f>
        <v>41963779</v>
      </c>
      <c r="AN154" s="12" t="str">
        <f>IFERROR(__xludf.DUMMYFUNCTION("""COMPUTED_VALUE"""),"3136219607")</f>
        <v>3136219607</v>
      </c>
      <c r="AO154" s="6" t="str">
        <f>IFERROR(__xludf.DUMMYFUNCTION("""COMPUTED_VALUE"""),"Madre")</f>
        <v>Madre</v>
      </c>
      <c r="AP154" s="6" t="str">
        <f>IFERROR(__xludf.DUMMYFUNCTION("""COMPUTED_VALUE"""),"Estudiante(s): Ballesteros Duarte")</f>
        <v>Estudiante(s): Ballesteros Duarte</v>
      </c>
      <c r="AQ154" s="6" t="str">
        <f>IFERROR(__xludf.DUMMYFUNCTION("""COMPUTED_VALUE"""),"120562*Gi")</f>
        <v>120562*Gi</v>
      </c>
      <c r="AR154" s="6" t="str">
        <f>IFERROR(__xludf.DUMMYFUNCTION("""COMPUTED_VALUE"""),"Edilson")</f>
        <v>Edilson</v>
      </c>
      <c r="AS154" s="6" t="str">
        <f>IFERROR(__xludf.DUMMYFUNCTION("""COMPUTED_VALUE"""),"Antonio")</f>
        <v>Antonio</v>
      </c>
      <c r="AT154" s="6" t="str">
        <f>IFERROR(__xludf.DUMMYFUNCTION("""COMPUTED_VALUE"""),"Ballesteros Montoya")</f>
        <v>Ballesteros Montoya</v>
      </c>
      <c r="AU154" s="6" t="str">
        <f>IFERROR(__xludf.DUMMYFUNCTION("""COMPUTED_VALUE"""),"edisonballesterosmontoya@gmail.com")</f>
        <v>edisonballesterosmontoya@gmail.com</v>
      </c>
      <c r="AV154" s="6" t="str">
        <f>IFERROR(__xludf.DUMMYFUNCTION("""COMPUTED_VALUE"""),"tecnico electricista")</f>
        <v>tecnico electricista</v>
      </c>
      <c r="AW154" s="6" t="str">
        <f>IFERROR(__xludf.DUMMYFUNCTION("""COMPUTED_VALUE"""),"PRODUCTOS ALIMENTICIOS FRITOMIX")</f>
        <v>PRODUCTOS ALIMENTICIOS FRITOMIX</v>
      </c>
      <c r="AX154" s="12" t="str">
        <f>IFERROR(__xludf.DUMMYFUNCTION("""COMPUTED_VALUE"""),"1094890429")</f>
        <v>1094890429</v>
      </c>
      <c r="AY154" s="12" t="str">
        <f>IFERROR(__xludf.DUMMYFUNCTION("""COMPUTED_VALUE"""),"3206669100")</f>
        <v>3206669100</v>
      </c>
      <c r="AZ154" s="6" t="str">
        <f>IFERROR(__xludf.DUMMYFUNCTION("""COMPUTED_VALUE"""),"Padre")</f>
        <v>Padre</v>
      </c>
      <c r="BA154" s="6"/>
      <c r="BB154" s="6"/>
      <c r="BC154" s="6"/>
      <c r="BD154" s="12" t="str">
        <f>IFERROR(__xludf.DUMMYFUNCTION("""COMPUTED_VALUE"""),"bal0001")</f>
        <v>bal0001</v>
      </c>
      <c r="BE154" s="6"/>
      <c r="BF154" s="12" t="str">
        <f>IFERROR(__xludf.DUMMYFUNCTION("""COMPUTED_VALUE"""),"1M+10m SEP/25 A AGO/26 SE APLICA MATR Y CTOS ESPECIALES")</f>
        <v>1M+10m SEP/25 A AGO/26 SE APLICA MATR Y CTOS ESPECIALES</v>
      </c>
      <c r="BG154" s="6">
        <f>IFERROR(__xludf.DUMMYFUNCTION("""COMPUTED_VALUE"""),2039.0)</f>
        <v>2039</v>
      </c>
      <c r="BH154" s="15">
        <f>IFERROR(__xludf.DUMMYFUNCTION("""COMPUTED_VALUE"""),46237.49123842592)</f>
        <v>46237.49124</v>
      </c>
      <c r="BI154" s="6">
        <f>IFERROR(__xludf.DUMMYFUNCTION("""COMPUTED_VALUE"""),153.0)</f>
        <v>153</v>
      </c>
      <c r="BJ154" s="6"/>
      <c r="BK154" s="6"/>
      <c r="BL154" s="6" t="str">
        <f>IFERROR(__xludf.DUMMYFUNCTION("""COMPUTED_VALUE"""),"GISBAL0001")</f>
        <v>GISBAL0001</v>
      </c>
      <c r="BM154" s="6"/>
      <c r="BN154" s="6"/>
      <c r="BO154" s="6"/>
      <c r="BP154" s="6"/>
      <c r="BQ154" s="6"/>
      <c r="BR154" s="6"/>
      <c r="BS154" s="6"/>
      <c r="BT154" s="6"/>
      <c r="BU154" s="6" t="str">
        <f>IFERROR(__xludf.DUMMYFUNCTION("""COMPUTED_VALUE"""),"SI")</f>
        <v>SI</v>
      </c>
      <c r="BV154" s="6" t="str">
        <f>IFERROR(__xludf.DUMMYFUNCTION("""COMPUTED_VALUE"""),"alisson.b2039")</f>
        <v>alisson.b2039</v>
      </c>
      <c r="BW154" s="6"/>
      <c r="BX154" s="6"/>
      <c r="BY154" s="6"/>
      <c r="BZ154" s="6"/>
    </row>
    <row r="155">
      <c r="A155" s="12">
        <f>IFERROR(__xludf.DUMMYFUNCTION("""COMPUTED_VALUE"""),1.094982974E9)</f>
        <v>1094982974</v>
      </c>
      <c r="B155" s="6">
        <f>IFERROR(__xludf.DUMMYFUNCTION("""COMPUTED_VALUE"""),3.0)</f>
        <v>3</v>
      </c>
      <c r="C155" s="6" t="str">
        <f>IFERROR(__xludf.DUMMYFUNCTION("""COMPUTED_VALUE"""),"Benjamín")</f>
        <v>Benjamín</v>
      </c>
      <c r="D155" s="6" t="str">
        <f>IFERROR(__xludf.DUMMYFUNCTION("""COMPUTED_VALUE"""),"Joaquín")</f>
        <v>Joaquín</v>
      </c>
      <c r="E155" s="6" t="str">
        <f>IFERROR(__xludf.DUMMYFUNCTION("""COMPUTED_VALUE"""),"Caro Hernández")</f>
        <v>Caro Hernández</v>
      </c>
      <c r="F155" s="6" t="str">
        <f>IFERROR(__xludf.DUMMYFUNCTION("""COMPUTED_VALUE"""),"Condominio Casas de Campo Casa 10 - Calle 23ANte No19 - 47")</f>
        <v>Condominio Casas de Campo Casa 10 - Calle 23ANte No19 - 47</v>
      </c>
      <c r="G155" s="12">
        <f>IFERROR(__xludf.DUMMYFUNCTION("""COMPUTED_VALUE"""),2021.0)</f>
        <v>2021</v>
      </c>
      <c r="H155" s="6" t="str">
        <f>IFERROR(__xludf.DUMMYFUNCTION("""COMPUTED_VALUE"""),"Abril")</f>
        <v>Abril</v>
      </c>
      <c r="I155" s="12">
        <f>IFERROR(__xludf.DUMMYFUNCTION("""COMPUTED_VALUE"""),14.0)</f>
        <v>14</v>
      </c>
      <c r="J155" s="6" t="str">
        <f>IFERROR(__xludf.DUMMYFUNCTION("""COMPUTED_VALUE"""),"Armenia")</f>
        <v>Armenia</v>
      </c>
      <c r="K155" s="6" t="str">
        <f>IFERROR(__xludf.DUMMYFUNCTION("""COMPUTED_VALUE"""),"benjaminj.c2039@gi.edu.co")</f>
        <v>benjaminj.c2039@gi.edu.co</v>
      </c>
      <c r="L155" s="6" t="str">
        <f>IFERROR(__xludf.DUMMYFUNCTION("""COMPUTED_VALUE"""),"RC")</f>
        <v>RC</v>
      </c>
      <c r="M155" s="6" t="str">
        <f>IFERROR(__xludf.DUMMYFUNCTION("""COMPUTED_VALUE"""),"Armenia")</f>
        <v>Armenia</v>
      </c>
      <c r="N155" s="6" t="str">
        <f>IFERROR(__xludf.DUMMYFUNCTION("""COMPUTED_VALUE"""),"M")</f>
        <v>M</v>
      </c>
      <c r="O155" s="6" t="str">
        <f>IFERROR(__xludf.DUMMYFUNCTION("""COMPUTED_VALUE"""),"ACTIVE")</f>
        <v>ACTIVE</v>
      </c>
      <c r="P155" s="6"/>
      <c r="Q155" s="6" t="str">
        <f>IFERROR(__xludf.DUMMYFUNCTION("""COMPUTED_VALUE"""),"Armenia")</f>
        <v>Armenia</v>
      </c>
      <c r="R155" s="12" t="str">
        <f>IFERROR(__xludf.DUMMYFUNCTION("""COMPUTED_VALUE"""),"Gigt2e1c9*")</f>
        <v>Gigt2e1c9*</v>
      </c>
      <c r="S155" s="6" t="str">
        <f>IFERROR(__xludf.DUMMYFUNCTION("""COMPUTED_VALUE"""),"Caro Hernández Benjamín Joaquín")</f>
        <v>Caro Hernández Benjamín Joaquín</v>
      </c>
      <c r="T155" s="6" t="str">
        <f>IFERROR(__xludf.DUMMYFUNCTION("""COMPUTED_VALUE"""),"DAVID ENRIQUE CARO TORO")</f>
        <v>DAVID ENRIQUE CARO TORO</v>
      </c>
      <c r="U155" s="12" t="str">
        <f>IFERROR(__xludf.DUMMYFUNCTION("""COMPUTED_VALUE"""),"1094921876")</f>
        <v>1094921876</v>
      </c>
      <c r="V155" s="6">
        <f>IFERROR(__xludf.DUMMYFUNCTION("""COMPUTED_VALUE"""),3.162587015E9)</f>
        <v>3162587015</v>
      </c>
      <c r="W155" s="6" t="str">
        <f>IFERROR(__xludf.DUMMYFUNCTION("""COMPUTED_VALUE"""),"davidcarovisual@gmail.com")</f>
        <v>davidcarovisual@gmail.com</v>
      </c>
      <c r="X155" s="12" t="str">
        <f>IFERROR(__xludf.DUMMYFUNCTION("""COMPUTED_VALUE"""),"O+")</f>
        <v>O+</v>
      </c>
      <c r="Y155" s="12" t="str">
        <f>IFERROR(__xludf.DUMMYFUNCTION("""COMPUTED_VALUE"""),"K5")</f>
        <v>K5</v>
      </c>
      <c r="Z155" s="12">
        <f>IFERROR(__xludf.DUMMYFUNCTION("""COMPUTED_VALUE"""),120443.0)</f>
        <v>120443</v>
      </c>
      <c r="AA155" s="6" t="str">
        <f>IFERROR(__xludf.DUMMYFUNCTION("""COMPUTED_VALUE"""),"SURA")</f>
        <v>SURA</v>
      </c>
      <c r="AB155" s="6"/>
      <c r="AC155" s="6"/>
      <c r="AD155" s="12" t="str">
        <f>IFERROR(__xludf.DUMMYFUNCTION("""COMPUTED_VALUE"""),"K5C")</f>
        <v>K5C</v>
      </c>
      <c r="AE155" s="12" t="str">
        <f>IFERROR(__xludf.DUMMYFUNCTION("""COMPUTED_VALUE"""),"1345282427")</f>
        <v>1345282427</v>
      </c>
      <c r="AF155" s="12" t="str">
        <f>IFERROR(__xludf.DUMMYFUNCTION("""COMPUTED_VALUE"""),"1345282427")</f>
        <v>1345282427</v>
      </c>
      <c r="AG155" s="12" t="str">
        <f>IFERROR(__xludf.DUMMYFUNCTION("""COMPUTED_VALUE"""),"Leidy")</f>
        <v>Leidy</v>
      </c>
      <c r="AH155" s="12" t="str">
        <f>IFERROR(__xludf.DUMMYFUNCTION("""COMPUTED_VALUE"""),"Johana")</f>
        <v>Johana</v>
      </c>
      <c r="AI155" s="6" t="str">
        <f>IFERROR(__xludf.DUMMYFUNCTION("""COMPUTED_VALUE"""),"Hernández Roncancio")</f>
        <v>Hernández Roncancio</v>
      </c>
      <c r="AJ155" s="6" t="str">
        <f>IFERROR(__xludf.DUMMYFUNCTION("""COMPUTED_VALUE"""),"leidy.hdz.caro@gmail.com")</f>
        <v>leidy.hdz.caro@gmail.com</v>
      </c>
      <c r="AK155" s="6" t="str">
        <f>IFERROR(__xludf.DUMMYFUNCTION("""COMPUTED_VALUE"""),"Ingeniera Industrial")</f>
        <v>Ingeniera Industrial</v>
      </c>
      <c r="AL155" s="6"/>
      <c r="AM155" s="12" t="str">
        <f>IFERROR(__xludf.DUMMYFUNCTION("""COMPUTED_VALUE"""),"1053337029")</f>
        <v>1053337029</v>
      </c>
      <c r="AN155" s="12">
        <f>IFERROR(__xludf.DUMMYFUNCTION("""COMPUTED_VALUE"""),3.133200444E9)</f>
        <v>3133200444</v>
      </c>
      <c r="AO155" s="6" t="str">
        <f>IFERROR(__xludf.DUMMYFUNCTION("""COMPUTED_VALUE"""),"Madre")</f>
        <v>Madre</v>
      </c>
      <c r="AP155" s="6" t="str">
        <f>IFERROR(__xludf.DUMMYFUNCTION("""COMPUTED_VALUE"""),"Estudiante(s): Caro Hernández")</f>
        <v>Estudiante(s): Caro Hernández</v>
      </c>
      <c r="AQ155" s="6" t="str">
        <f>IFERROR(__xludf.DUMMYFUNCTION("""COMPUTED_VALUE"""),"120443*Gi")</f>
        <v>120443*Gi</v>
      </c>
      <c r="AR155" s="6" t="str">
        <f>IFERROR(__xludf.DUMMYFUNCTION("""COMPUTED_VALUE"""),"David")</f>
        <v>David</v>
      </c>
      <c r="AS155" s="6" t="str">
        <f>IFERROR(__xludf.DUMMYFUNCTION("""COMPUTED_VALUE"""),"Enrique")</f>
        <v>Enrique</v>
      </c>
      <c r="AT155" s="6" t="str">
        <f>IFERROR(__xludf.DUMMYFUNCTION("""COMPUTED_VALUE"""),"Caro Toro")</f>
        <v>Caro Toro</v>
      </c>
      <c r="AU155" s="6" t="str">
        <f>IFERROR(__xludf.DUMMYFUNCTION("""COMPUTED_VALUE"""),"davidcarovisual@gmail.com")</f>
        <v>davidcarovisual@gmail.com</v>
      </c>
      <c r="AV155" s="6" t="str">
        <f>IFERROR(__xludf.DUMMYFUNCTION("""COMPUTED_VALUE"""),"Diseñador visual digital")</f>
        <v>Diseñador visual digital</v>
      </c>
      <c r="AW155" s="6" t="str">
        <f>IFERROR(__xludf.DUMMYFUNCTION("""COMPUTED_VALUE"""),"Motion Flyer Company")</f>
        <v>Motion Flyer Company</v>
      </c>
      <c r="AX155" s="12" t="str">
        <f>IFERROR(__xludf.DUMMYFUNCTION("""COMPUTED_VALUE"""),"1094921876")</f>
        <v>1094921876</v>
      </c>
      <c r="AY155" s="12" t="str">
        <f>IFERROR(__xludf.DUMMYFUNCTION("""COMPUTED_VALUE"""),"3162587015")</f>
        <v>3162587015</v>
      </c>
      <c r="AZ155" s="6" t="str">
        <f>IFERROR(__xludf.DUMMYFUNCTION("""COMPUTED_VALUE"""),"Padre")</f>
        <v>Padre</v>
      </c>
      <c r="BA155" s="6" t="str">
        <f>IFERROR(__xludf.DUMMYFUNCTION("""COMPUTED_VALUE"""),"DARNELLY TORO JIMENEZ")</f>
        <v>DARNELLY TORO JIMENEZ</v>
      </c>
      <c r="BB155" s="6">
        <f>IFERROR(__xludf.DUMMYFUNCTION("""COMPUTED_VALUE"""),3.155395067E9)</f>
        <v>3155395067</v>
      </c>
      <c r="BC155" s="6" t="str">
        <f>IFERROR(__xludf.DUMMYFUNCTION("""COMPUTED_VALUE"""),"Abuelo(a)")</f>
        <v>Abuelo(a)</v>
      </c>
      <c r="BD155" s="12" t="str">
        <f>IFERROR(__xludf.DUMMYFUNCTION("""COMPUTED_VALUE"""),"car0021")</f>
        <v>car0021</v>
      </c>
      <c r="BE155" s="6"/>
      <c r="BF155" s="6"/>
      <c r="BG155" s="6">
        <f>IFERROR(__xludf.DUMMYFUNCTION("""COMPUTED_VALUE"""),2039.0)</f>
        <v>2039</v>
      </c>
      <c r="BH155" s="15">
        <f>IFERROR(__xludf.DUMMYFUNCTION("""COMPUTED_VALUE"""),46204.47357638889)</f>
        <v>46204.47358</v>
      </c>
      <c r="BI155" s="6">
        <f>IFERROR(__xludf.DUMMYFUNCTION("""COMPUTED_VALUE"""),154.0)</f>
        <v>154</v>
      </c>
      <c r="BJ155" s="6"/>
      <c r="BK155" s="6"/>
      <c r="BL155" s="6" t="str">
        <f>IFERROR(__xludf.DUMMYFUNCTION("""COMPUTED_VALUE"""),"GISCAR0021")</f>
        <v>GISCAR0021</v>
      </c>
      <c r="BM155" s="6"/>
      <c r="BN155" s="6"/>
      <c r="BO155" s="6" t="str">
        <f>IFERROR(__xludf.DUMMYFUNCTION("""COMPUTED_VALUE"""),"XC_K5_Futbol")</f>
        <v>XC_K5_Futbol</v>
      </c>
      <c r="BP155" s="6"/>
      <c r="BQ155" s="6"/>
      <c r="BR155" s="6" t="str">
        <f>IFERROR(__xludf.DUMMYFUNCTION("""COMPUTED_VALUE"""),"XC_K5_Futbol")</f>
        <v>XC_K5_Futbol</v>
      </c>
      <c r="BS155" s="6"/>
      <c r="BT155" s="6"/>
      <c r="BU155" s="6" t="str">
        <f>IFERROR(__xludf.DUMMYFUNCTION("""COMPUTED_VALUE"""),"SI")</f>
        <v>SI</v>
      </c>
      <c r="BV155" s="6" t="str">
        <f>IFERROR(__xludf.DUMMYFUNCTION("""COMPUTED_VALUE"""),"benjaminj.c2039")</f>
        <v>benjaminj.c2039</v>
      </c>
      <c r="BW155" s="6"/>
      <c r="BX155" s="6"/>
      <c r="BY155" s="6"/>
      <c r="BZ155" s="6"/>
    </row>
    <row r="156">
      <c r="A156" s="12">
        <f>IFERROR(__xludf.DUMMYFUNCTION("""COMPUTED_VALUE"""),1.094983157E9)</f>
        <v>1094983157</v>
      </c>
      <c r="B156" s="6">
        <f>IFERROR(__xludf.DUMMYFUNCTION("""COMPUTED_VALUE"""),4.0)</f>
        <v>4</v>
      </c>
      <c r="C156" s="6" t="str">
        <f>IFERROR(__xludf.DUMMYFUNCTION("""COMPUTED_VALUE"""),"Jacobo")</f>
        <v>Jacobo</v>
      </c>
      <c r="D156" s="6"/>
      <c r="E156" s="6" t="str">
        <f>IFERROR(__xludf.DUMMYFUNCTION("""COMPUTED_VALUE"""),"Collazos Castro")</f>
        <v>Collazos Castro</v>
      </c>
      <c r="F156" s="6" t="str">
        <f>IFERROR(__xludf.DUMMYFUNCTION("""COMPUTED_VALUE"""),"Horeb Torre 3 Apto 602 - Cra 6 No13Nte - 27 - Av Centenario")</f>
        <v>Horeb Torre 3 Apto 602 - Cra 6 No13Nte - 27 - Av Centenario</v>
      </c>
      <c r="G156" s="12">
        <f>IFERROR(__xludf.DUMMYFUNCTION("""COMPUTED_VALUE"""),2021.0)</f>
        <v>2021</v>
      </c>
      <c r="H156" s="6" t="str">
        <f>IFERROR(__xludf.DUMMYFUNCTION("""COMPUTED_VALUE"""),"Julio")</f>
        <v>Julio</v>
      </c>
      <c r="I156" s="12">
        <f>IFERROR(__xludf.DUMMYFUNCTION("""COMPUTED_VALUE"""),9.0)</f>
        <v>9</v>
      </c>
      <c r="J156" s="6" t="str">
        <f>IFERROR(__xludf.DUMMYFUNCTION("""COMPUTED_VALUE"""),"Armenia")</f>
        <v>Armenia</v>
      </c>
      <c r="K156" s="6" t="str">
        <f>IFERROR(__xludf.DUMMYFUNCTION("""COMPUTED_VALUE"""),"jacobo.cc2039@gi.edu.co")</f>
        <v>jacobo.cc2039@gi.edu.co</v>
      </c>
      <c r="L156" s="6" t="str">
        <f>IFERROR(__xludf.DUMMYFUNCTION("""COMPUTED_VALUE"""),"RC")</f>
        <v>RC</v>
      </c>
      <c r="M156" s="6" t="str">
        <f>IFERROR(__xludf.DUMMYFUNCTION("""COMPUTED_VALUE"""),"Armenia")</f>
        <v>Armenia</v>
      </c>
      <c r="N156" s="6" t="str">
        <f>IFERROR(__xludf.DUMMYFUNCTION("""COMPUTED_VALUE"""),"M")</f>
        <v>M</v>
      </c>
      <c r="O156" s="6" t="str">
        <f>IFERROR(__xludf.DUMMYFUNCTION("""COMPUTED_VALUE"""),"ACTIVE")</f>
        <v>ACTIVE</v>
      </c>
      <c r="P156" s="6"/>
      <c r="Q156" s="6" t="str">
        <f>IFERROR(__xludf.DUMMYFUNCTION("""COMPUTED_VALUE"""),"Armenia")</f>
        <v>Armenia</v>
      </c>
      <c r="R156" s="12" t="str">
        <f>IFERROR(__xludf.DUMMYFUNCTION("""COMPUTED_VALUE"""),"Gije3x7hu*")</f>
        <v>Gije3x7hu*</v>
      </c>
      <c r="S156" s="6" t="str">
        <f>IFERROR(__xludf.DUMMYFUNCTION("""COMPUTED_VALUE"""),"Collazos Castro Jacobo ")</f>
        <v>Collazos Castro Jacobo </v>
      </c>
      <c r="T156" s="6" t="str">
        <f>IFERROR(__xludf.DUMMYFUNCTION("""COMPUTED_VALUE"""),"CRHISTIAN COLLAZOS SANDOVAL")</f>
        <v>CRHISTIAN COLLAZOS SANDOVAL</v>
      </c>
      <c r="U156" s="12" t="str">
        <f>IFERROR(__xludf.DUMMYFUNCTION("""COMPUTED_VALUE"""),"6394969")</f>
        <v>6394969</v>
      </c>
      <c r="V156" s="6">
        <f>IFERROR(__xludf.DUMMYFUNCTION("""COMPUTED_VALUE"""),3.012463126E9)</f>
        <v>3012463126</v>
      </c>
      <c r="W156" s="6" t="str">
        <f>IFERROR(__xludf.DUMMYFUNCTION("""COMPUTED_VALUE"""),"baco_313@hotmail.com")</f>
        <v>baco_313@hotmail.com</v>
      </c>
      <c r="X156" s="12" t="str">
        <f>IFERROR(__xludf.DUMMYFUNCTION("""COMPUTED_VALUE"""),"O+")</f>
        <v>O+</v>
      </c>
      <c r="Y156" s="12" t="str">
        <f>IFERROR(__xludf.DUMMYFUNCTION("""COMPUTED_VALUE"""),"K5")</f>
        <v>K5</v>
      </c>
      <c r="Z156" s="12">
        <f>IFERROR(__xludf.DUMMYFUNCTION("""COMPUTED_VALUE"""),120445.0)</f>
        <v>120445</v>
      </c>
      <c r="AA156" s="6" t="str">
        <f>IFERROR(__xludf.DUMMYFUNCTION("""COMPUTED_VALUE"""),"SURA")</f>
        <v>SURA</v>
      </c>
      <c r="AB156" s="6"/>
      <c r="AC156" s="6"/>
      <c r="AD156" s="12" t="str">
        <f>IFERROR(__xludf.DUMMYFUNCTION("""COMPUTED_VALUE"""),"K5C")</f>
        <v>K5C</v>
      </c>
      <c r="AE156" s="12" t="str">
        <f>IFERROR(__xludf.DUMMYFUNCTION("""COMPUTED_VALUE"""),"1345282429")</f>
        <v>1345282429</v>
      </c>
      <c r="AF156" s="12" t="str">
        <f>IFERROR(__xludf.DUMMYFUNCTION("""COMPUTED_VALUE"""),"1345282429")</f>
        <v>1345282429</v>
      </c>
      <c r="AG156" s="12" t="str">
        <f>IFERROR(__xludf.DUMMYFUNCTION("""COMPUTED_VALUE"""),"Paula")</f>
        <v>Paula</v>
      </c>
      <c r="AH156" s="12" t="str">
        <f>IFERROR(__xludf.DUMMYFUNCTION("""COMPUTED_VALUE"""),"Viviana")</f>
        <v>Viviana</v>
      </c>
      <c r="AI156" s="6" t="str">
        <f>IFERROR(__xludf.DUMMYFUNCTION("""COMPUTED_VALUE"""),"Castro Jiménez")</f>
        <v>Castro Jiménez</v>
      </c>
      <c r="AJ156" s="6" t="str">
        <f>IFERROR(__xludf.DUMMYFUNCTION("""COMPUTED_VALUE"""),"pabicaji_1@hotmail.com")</f>
        <v>pabicaji_1@hotmail.com</v>
      </c>
      <c r="AK156" s="6" t="str">
        <f>IFERROR(__xludf.DUMMYFUNCTION("""COMPUTED_VALUE"""),"Contadora")</f>
        <v>Contadora</v>
      </c>
      <c r="AL156" s="6" t="str">
        <f>IFERROR(__xludf.DUMMYFUNCTION("""COMPUTED_VALUE"""),"GTEK SAS")</f>
        <v>GTEK SAS</v>
      </c>
      <c r="AM156" s="12" t="str">
        <f>IFERROR(__xludf.DUMMYFUNCTION("""COMPUTED_VALUE"""),"41955794")</f>
        <v>41955794</v>
      </c>
      <c r="AN156" s="12" t="str">
        <f>IFERROR(__xludf.DUMMYFUNCTION("""COMPUTED_VALUE"""),"3215710858")</f>
        <v>3215710858</v>
      </c>
      <c r="AO156" s="6" t="str">
        <f>IFERROR(__xludf.DUMMYFUNCTION("""COMPUTED_VALUE"""),"Madre")</f>
        <v>Madre</v>
      </c>
      <c r="AP156" s="6" t="str">
        <f>IFERROR(__xludf.DUMMYFUNCTION("""COMPUTED_VALUE"""),"Estudiante(s): Collazos Castro")</f>
        <v>Estudiante(s): Collazos Castro</v>
      </c>
      <c r="AQ156" s="6" t="str">
        <f>IFERROR(__xludf.DUMMYFUNCTION("""COMPUTED_VALUE"""),"120445*Gi")</f>
        <v>120445*Gi</v>
      </c>
      <c r="AR156" s="6" t="str">
        <f>IFERROR(__xludf.DUMMYFUNCTION("""COMPUTED_VALUE"""),"Crhistian")</f>
        <v>Crhistian</v>
      </c>
      <c r="AS156" s="6"/>
      <c r="AT156" s="6" t="str">
        <f>IFERROR(__xludf.DUMMYFUNCTION("""COMPUTED_VALUE"""),"Collazos Sandoval")</f>
        <v>Collazos Sandoval</v>
      </c>
      <c r="AU156" s="6" t="str">
        <f>IFERROR(__xludf.DUMMYFUNCTION("""COMPUTED_VALUE"""),"baco_313@hotmail.com")</f>
        <v>baco_313@hotmail.com</v>
      </c>
      <c r="AV156" s="6" t="str">
        <f>IFERROR(__xludf.DUMMYFUNCTION("""COMPUTED_VALUE"""),"Ingeniero Civil")</f>
        <v>Ingeniero Civil</v>
      </c>
      <c r="AW156" s="6" t="str">
        <f>IFERROR(__xludf.DUMMYFUNCTION("""COMPUTED_VALUE"""),"GTEK SAS")</f>
        <v>GTEK SAS</v>
      </c>
      <c r="AX156" s="12" t="str">
        <f>IFERROR(__xludf.DUMMYFUNCTION("""COMPUTED_VALUE"""),"6394969")</f>
        <v>6394969</v>
      </c>
      <c r="AY156" s="12" t="str">
        <f>IFERROR(__xludf.DUMMYFUNCTION("""COMPUTED_VALUE"""),"3012463126")</f>
        <v>3012463126</v>
      </c>
      <c r="AZ156" s="6" t="str">
        <f>IFERROR(__xludf.DUMMYFUNCTION("""COMPUTED_VALUE"""),"Padre")</f>
        <v>Padre</v>
      </c>
      <c r="BA156" s="6"/>
      <c r="BB156" s="6"/>
      <c r="BC156" s="6"/>
      <c r="BD156" s="12" t="str">
        <f>IFERROR(__xludf.DUMMYFUNCTION("""COMPUTED_VALUE"""),"col0002")</f>
        <v>col0002</v>
      </c>
      <c r="BE156" s="6"/>
      <c r="BF156" s="6"/>
      <c r="BG156" s="6">
        <f>IFERROR(__xludf.DUMMYFUNCTION("""COMPUTED_VALUE"""),2039.0)</f>
        <v>2039</v>
      </c>
      <c r="BH156" s="15">
        <f>IFERROR(__xludf.DUMMYFUNCTION("""COMPUTED_VALUE"""),46229.65467592593)</f>
        <v>46229.65468</v>
      </c>
      <c r="BI156" s="6">
        <f>IFERROR(__xludf.DUMMYFUNCTION("""COMPUTED_VALUE"""),155.0)</f>
        <v>155</v>
      </c>
      <c r="BJ156" s="6"/>
      <c r="BK156" s="6"/>
      <c r="BL156" s="6" t="str">
        <f>IFERROR(__xludf.DUMMYFUNCTION("""COMPUTED_VALUE"""),"GISCOL0002")</f>
        <v>GISCOL0002</v>
      </c>
      <c r="BM156" s="6"/>
      <c r="BN156" s="6"/>
      <c r="BO156" s="6" t="str">
        <f>IFERROR(__xludf.DUMMYFUNCTION("""COMPUTED_VALUE"""),"XC_K5_Futbol")</f>
        <v>XC_K5_Futbol</v>
      </c>
      <c r="BP156" s="6"/>
      <c r="BQ156" s="6"/>
      <c r="BR156" s="6" t="str">
        <f>IFERROR(__xludf.DUMMYFUNCTION("""COMPUTED_VALUE"""),"XC_K5_Futbol")</f>
        <v>XC_K5_Futbol</v>
      </c>
      <c r="BS156" s="6"/>
      <c r="BT156" s="6"/>
      <c r="BU156" s="6" t="str">
        <f>IFERROR(__xludf.DUMMYFUNCTION("""COMPUTED_VALUE"""),"SI")</f>
        <v>SI</v>
      </c>
      <c r="BV156" s="6" t="str">
        <f>IFERROR(__xludf.DUMMYFUNCTION("""COMPUTED_VALUE"""),"jacobo.cc2039")</f>
        <v>jacobo.cc2039</v>
      </c>
      <c r="BW156" s="6"/>
      <c r="BX156" s="6"/>
      <c r="BY156" s="6"/>
      <c r="BZ156" s="6"/>
    </row>
    <row r="157">
      <c r="A157" s="12">
        <f>IFERROR(__xludf.DUMMYFUNCTION("""COMPUTED_VALUE"""),1.094982477E9)</f>
        <v>1094982477</v>
      </c>
      <c r="B157" s="6">
        <f>IFERROR(__xludf.DUMMYFUNCTION("""COMPUTED_VALUE"""),5.0)</f>
        <v>5</v>
      </c>
      <c r="C157" s="6" t="str">
        <f>IFERROR(__xludf.DUMMYFUNCTION("""COMPUTED_VALUE"""),"Salvador")</f>
        <v>Salvador</v>
      </c>
      <c r="D157" s="6"/>
      <c r="E157" s="6" t="str">
        <f>IFERROR(__xludf.DUMMYFUNCTION("""COMPUTED_VALUE"""),"Dorado Hincapié")</f>
        <v>Dorado Hincapié</v>
      </c>
      <c r="F157" s="6" t="str">
        <f>IFERROR(__xludf.DUMMYFUNCTION("""COMPUTED_VALUE"""),"Bosque Residencial Zimbabwe Casa 6 - Calle 1 No16 - 205 Km 7 Via Armenia - Pereira")</f>
        <v>Bosque Residencial Zimbabwe Casa 6 - Calle 1 No16 - 205 Km 7 Via Armenia - Pereira</v>
      </c>
      <c r="G157" s="12" t="str">
        <f>IFERROR(__xludf.DUMMYFUNCTION("""COMPUTED_VALUE"""),"2020")</f>
        <v>2020</v>
      </c>
      <c r="H157" s="6" t="str">
        <f>IFERROR(__xludf.DUMMYFUNCTION("""COMPUTED_VALUE"""),"Abril")</f>
        <v>Abril</v>
      </c>
      <c r="I157" s="12" t="str">
        <f>IFERROR(__xludf.DUMMYFUNCTION("""COMPUTED_VALUE"""),"20")</f>
        <v>20</v>
      </c>
      <c r="J157" s="6" t="str">
        <f>IFERROR(__xludf.DUMMYFUNCTION("""COMPUTED_VALUE"""),"Armenia")</f>
        <v>Armenia</v>
      </c>
      <c r="K157" s="6" t="str">
        <f>IFERROR(__xludf.DUMMYFUNCTION("""COMPUTED_VALUE"""),"salvador.d2039@gi.edu.co")</f>
        <v>salvador.d2039@gi.edu.co</v>
      </c>
      <c r="L157" s="6" t="str">
        <f>IFERROR(__xludf.DUMMYFUNCTION("""COMPUTED_VALUE"""),"RC")</f>
        <v>RC</v>
      </c>
      <c r="M157" s="6" t="str">
        <f>IFERROR(__xludf.DUMMYFUNCTION("""COMPUTED_VALUE"""),"Armenia")</f>
        <v>Armenia</v>
      </c>
      <c r="N157" s="6" t="str">
        <f>IFERROR(__xludf.DUMMYFUNCTION("""COMPUTED_VALUE"""),"M")</f>
        <v>M</v>
      </c>
      <c r="O157" s="6" t="str">
        <f>IFERROR(__xludf.DUMMYFUNCTION("""COMPUTED_VALUE"""),"ACTIVE")</f>
        <v>ACTIVE</v>
      </c>
      <c r="P157" s="6"/>
      <c r="Q157" s="6" t="str">
        <f>IFERROR(__xludf.DUMMYFUNCTION("""COMPUTED_VALUE"""),"Circasia")</f>
        <v>Circasia</v>
      </c>
      <c r="R157" s="12" t="str">
        <f>IFERROR(__xludf.DUMMYFUNCTION("""COMPUTED_VALUE"""),"Gi68dh9*")</f>
        <v>Gi68dh9*</v>
      </c>
      <c r="S157" s="6" t="str">
        <f>IFERROR(__xludf.DUMMYFUNCTION("""COMPUTED_VALUE"""),"Dorado Hincapié Salvador ")</f>
        <v>Dorado Hincapié Salvador </v>
      </c>
      <c r="T157" s="6" t="str">
        <f>IFERROR(__xludf.DUMMYFUNCTION("""COMPUTED_VALUE"""),"ONER DANIEL DORADO FUENTES")</f>
        <v>ONER DANIEL DORADO FUENTES</v>
      </c>
      <c r="U157" s="12" t="str">
        <f>IFERROR(__xludf.DUMMYFUNCTION("""COMPUTED_VALUE"""),"80223701")</f>
        <v>80223701</v>
      </c>
      <c r="V157" s="6">
        <f>IFERROR(__xludf.DUMMYFUNCTION("""COMPUTED_VALUE"""),3.175842582E9)</f>
        <v>3175842582</v>
      </c>
      <c r="W157" s="6" t="str">
        <f>IFERROR(__xludf.DUMMYFUNCTION("""COMPUTED_VALUE"""),"danieldoradofuentes@gmail.com")</f>
        <v>danieldoradofuentes@gmail.com</v>
      </c>
      <c r="X157" s="12" t="str">
        <f>IFERROR(__xludf.DUMMYFUNCTION("""COMPUTED_VALUE"""),"A+")</f>
        <v>A+</v>
      </c>
      <c r="Y157" s="12" t="str">
        <f>IFERROR(__xludf.DUMMYFUNCTION("""COMPUTED_VALUE"""),"K5")</f>
        <v>K5</v>
      </c>
      <c r="Z157" s="12">
        <f>IFERROR(__xludf.DUMMYFUNCTION("""COMPUTED_VALUE"""),120279.0)</f>
        <v>120279</v>
      </c>
      <c r="AA157" s="6" t="str">
        <f>IFERROR(__xludf.DUMMYFUNCTION("""COMPUTED_VALUE"""),"SANITAS")</f>
        <v>SANITAS</v>
      </c>
      <c r="AB157" s="6"/>
      <c r="AC157" s="6"/>
      <c r="AD157" s="12" t="str">
        <f>IFERROR(__xludf.DUMMYFUNCTION("""COMPUTED_VALUE"""),"K5C")</f>
        <v>K5C</v>
      </c>
      <c r="AE157" s="12">
        <f>IFERROR(__xludf.DUMMYFUNCTION("""COMPUTED_VALUE"""),1.345282278E9)</f>
        <v>1345282278</v>
      </c>
      <c r="AF157" s="12" t="str">
        <f>IFERROR(__xludf.DUMMYFUNCTION("""COMPUTED_VALUE"""),"1345282278")</f>
        <v>1345282278</v>
      </c>
      <c r="AG157" s="12" t="str">
        <f>IFERROR(__xludf.DUMMYFUNCTION("""COMPUTED_VALUE"""),"Gloria")</f>
        <v>Gloria</v>
      </c>
      <c r="AH157" s="6"/>
      <c r="AI157" s="6" t="str">
        <f>IFERROR(__xludf.DUMMYFUNCTION("""COMPUTED_VALUE"""),"Hincapie Sánchez")</f>
        <v>Hincapie Sánchez</v>
      </c>
      <c r="AJ157" s="6" t="str">
        <f>IFERROR(__xludf.DUMMYFUNCTION("""COMPUTED_VALUE"""),"gmilenahs0189@hotmail.com")</f>
        <v>gmilenahs0189@hotmail.com</v>
      </c>
      <c r="AK157" s="6" t="str">
        <f>IFERROR(__xludf.DUMMYFUNCTION("""COMPUTED_VALUE"""),"ENFERMERA JEFE")</f>
        <v>ENFERMERA JEFE</v>
      </c>
      <c r="AL157" s="6"/>
      <c r="AM157" s="12" t="str">
        <f>IFERROR(__xludf.DUMMYFUNCTION("""COMPUTED_VALUE"""),"1094911039")</f>
        <v>1094911039</v>
      </c>
      <c r="AN157" s="12" t="str">
        <f>IFERROR(__xludf.DUMMYFUNCTION("""COMPUTED_VALUE"""),"3217539101")</f>
        <v>3217539101</v>
      </c>
      <c r="AO157" s="6" t="str">
        <f>IFERROR(__xludf.DUMMYFUNCTION("""COMPUTED_VALUE"""),"Madre")</f>
        <v>Madre</v>
      </c>
      <c r="AP157" s="6" t="str">
        <f>IFERROR(__xludf.DUMMYFUNCTION("""COMPUTED_VALUE"""),"Estudiante(s): Dorado Hincapié")</f>
        <v>Estudiante(s): Dorado Hincapié</v>
      </c>
      <c r="AQ157" s="6" t="str">
        <f>IFERROR(__xludf.DUMMYFUNCTION("""COMPUTED_VALUE"""),"120279*Gi")</f>
        <v>120279*Gi</v>
      </c>
      <c r="AR157" s="6" t="str">
        <f>IFERROR(__xludf.DUMMYFUNCTION("""COMPUTED_VALUE"""),"Oner")</f>
        <v>Oner</v>
      </c>
      <c r="AS157" s="6" t="str">
        <f>IFERROR(__xludf.DUMMYFUNCTION("""COMPUTED_VALUE"""),"Daniel")</f>
        <v>Daniel</v>
      </c>
      <c r="AT157" s="6" t="str">
        <f>IFERROR(__xludf.DUMMYFUNCTION("""COMPUTED_VALUE"""),"Dorado Fuentes")</f>
        <v>Dorado Fuentes</v>
      </c>
      <c r="AU157" s="6" t="str">
        <f>IFERROR(__xludf.DUMMYFUNCTION("""COMPUTED_VALUE"""),"danieldoradofuentes@gmail.com")</f>
        <v>danieldoradofuentes@gmail.com</v>
      </c>
      <c r="AV157" s="6" t="str">
        <f>IFERROR(__xludf.DUMMYFUNCTION("""COMPUTED_VALUE"""),"MEDICO DERMATOLOGO")</f>
        <v>MEDICO DERMATOLOGO</v>
      </c>
      <c r="AW157" s="6"/>
      <c r="AX157" s="12" t="str">
        <f>IFERROR(__xludf.DUMMYFUNCTION("""COMPUTED_VALUE"""),"80223701")</f>
        <v>80223701</v>
      </c>
      <c r="AY157" s="12" t="str">
        <f>IFERROR(__xludf.DUMMYFUNCTION("""COMPUTED_VALUE"""),"3175842582")</f>
        <v>3175842582</v>
      </c>
      <c r="AZ157" s="6" t="str">
        <f>IFERROR(__xludf.DUMMYFUNCTION("""COMPUTED_VALUE"""),"Padre")</f>
        <v>Padre</v>
      </c>
      <c r="BA157" s="6"/>
      <c r="BB157" s="6"/>
      <c r="BC157" s="6"/>
      <c r="BD157" s="12" t="str">
        <f>IFERROR(__xludf.DUMMYFUNCTION("""COMPUTED_VALUE"""),"hin0002")</f>
        <v>hin0002</v>
      </c>
      <c r="BE157" s="6"/>
      <c r="BF157" s="6"/>
      <c r="BG157" s="6">
        <f>IFERROR(__xludf.DUMMYFUNCTION("""COMPUTED_VALUE"""),2039.0)</f>
        <v>2039</v>
      </c>
      <c r="BH157" s="15">
        <f>IFERROR(__xludf.DUMMYFUNCTION("""COMPUTED_VALUE"""),46249.64467592593)</f>
        <v>46249.64468</v>
      </c>
      <c r="BI157" s="6">
        <f>IFERROR(__xludf.DUMMYFUNCTION("""COMPUTED_VALUE"""),156.0)</f>
        <v>156</v>
      </c>
      <c r="BJ157" s="6"/>
      <c r="BK157" s="6"/>
      <c r="BL157" s="6" t="str">
        <f>IFERROR(__xludf.DUMMYFUNCTION("""COMPUTED_VALUE"""),"GISHIN0002")</f>
        <v>GISHIN0002</v>
      </c>
      <c r="BM157" s="6"/>
      <c r="BN157" s="6"/>
      <c r="BO157" s="6" t="str">
        <f>IFERROR(__xludf.DUMMYFUNCTION("""COMPUTED_VALUE"""),"XC_K5_Futbol")</f>
        <v>XC_K5_Futbol</v>
      </c>
      <c r="BP157" s="6" t="str">
        <f>IFERROR(__xludf.DUMMYFUNCTION("""COMPUTED_VALUE"""),"XC_K5_IniciaMusical")</f>
        <v>XC_K5_IniciaMusical</v>
      </c>
      <c r="BQ157" s="6"/>
      <c r="BR157" s="6" t="str">
        <f>IFERROR(__xludf.DUMMYFUNCTION("""COMPUTED_VALUE"""),"XC_K5_Futbol")</f>
        <v>XC_K5_Futbol</v>
      </c>
      <c r="BS157" s="6" t="str">
        <f>IFERROR(__xludf.DUMMYFUNCTION("""COMPUTED_VALUE"""),"XC_K5_IniciaDanzas")</f>
        <v>XC_K5_IniciaDanzas</v>
      </c>
      <c r="BT157" s="6"/>
      <c r="BU157" s="6" t="str">
        <f>IFERROR(__xludf.DUMMYFUNCTION("""COMPUTED_VALUE"""),"SI")</f>
        <v>SI</v>
      </c>
      <c r="BV157" s="6" t="str">
        <f>IFERROR(__xludf.DUMMYFUNCTION("""COMPUTED_VALUE"""),"salvador.d2039")</f>
        <v>salvador.d2039</v>
      </c>
      <c r="BW157" s="6"/>
      <c r="BX157" s="6"/>
      <c r="BY157" s="6"/>
      <c r="BZ157" s="6"/>
    </row>
    <row r="158">
      <c r="A158" s="12">
        <f>IFERROR(__xludf.DUMMYFUNCTION("""COMPUTED_VALUE"""),1.117035179E9)</f>
        <v>1117035179</v>
      </c>
      <c r="B158" s="6">
        <f>IFERROR(__xludf.DUMMYFUNCTION("""COMPUTED_VALUE"""),6.0)</f>
        <v>6</v>
      </c>
      <c r="C158" s="6" t="str">
        <f>IFERROR(__xludf.DUMMYFUNCTION("""COMPUTED_VALUE"""),"Samuel")</f>
        <v>Samuel</v>
      </c>
      <c r="D158" s="6"/>
      <c r="E158" s="6" t="str">
        <f>IFERROR(__xludf.DUMMYFUNCTION("""COMPUTED_VALUE"""),"Flórez Aranda")</f>
        <v>Flórez Aranda</v>
      </c>
      <c r="F158" s="6" t="str">
        <f>IFERROR(__xludf.DUMMYFUNCTION("""COMPUTED_VALUE"""),"Kilometro 5via Armenia pereira - condominio")</f>
        <v>Kilometro 5via Armenia pereira - condominio</v>
      </c>
      <c r="G158" s="12">
        <f>IFERROR(__xludf.DUMMYFUNCTION("""COMPUTED_VALUE"""),2021.0)</f>
        <v>2021</v>
      </c>
      <c r="H158" s="12" t="str">
        <f>IFERROR(__xludf.DUMMYFUNCTION("""COMPUTED_VALUE"""),"Abril")</f>
        <v>Abril</v>
      </c>
      <c r="I158" s="12">
        <f>IFERROR(__xludf.DUMMYFUNCTION("""COMPUTED_VALUE"""),5.0)</f>
        <v>5</v>
      </c>
      <c r="J158" s="6"/>
      <c r="K158" s="12" t="str">
        <f>IFERROR(__xludf.DUMMYFUNCTION("""COMPUTED_VALUE"""),"samuel.f2039@gi.edu.co")</f>
        <v>samuel.f2039@gi.edu.co</v>
      </c>
      <c r="L158" s="6" t="str">
        <f>IFERROR(__xludf.DUMMYFUNCTION("""COMPUTED_VALUE"""),"RC")</f>
        <v>RC</v>
      </c>
      <c r="M158" s="6" t="str">
        <f>IFERROR(__xludf.DUMMYFUNCTION("""COMPUTED_VALUE"""),"Tuluá")</f>
        <v>Tuluá</v>
      </c>
      <c r="N158" s="6" t="str">
        <f>IFERROR(__xludf.DUMMYFUNCTION("""COMPUTED_VALUE"""),"M")</f>
        <v>M</v>
      </c>
      <c r="O158" s="6" t="str">
        <f>IFERROR(__xludf.DUMMYFUNCTION("""COMPUTED_VALUE"""),"ACTIVE")</f>
        <v>ACTIVE</v>
      </c>
      <c r="P158" s="6"/>
      <c r="Q158" s="6"/>
      <c r="R158" s="12" t="str">
        <f>IFERROR(__xludf.DUMMYFUNCTION("""COMPUTED_VALUE"""),"GiM2Xv7C*")</f>
        <v>GiM2Xv7C*</v>
      </c>
      <c r="S158" s="6" t="str">
        <f>IFERROR(__xludf.DUMMYFUNCTION("""COMPUTED_VALUE"""),"Flórez Aranda Samuel ")</f>
        <v>Flórez Aranda Samuel </v>
      </c>
      <c r="T158" s="6" t="str">
        <f>IFERROR(__xludf.DUMMYFUNCTION("""COMPUTED_VALUE"""),"SANDRA MILENA ARANDA PELAEZ")</f>
        <v>SANDRA MILENA ARANDA PELAEZ</v>
      </c>
      <c r="U158" s="12" t="str">
        <f>IFERROR(__xludf.DUMMYFUNCTION("""COMPUTED_VALUE"""),"1116239214")</f>
        <v>1116239214</v>
      </c>
      <c r="V158" s="6">
        <f>IFERROR(__xludf.DUMMYFUNCTION("""COMPUTED_VALUE"""),3.183960531E9)</f>
        <v>3183960531</v>
      </c>
      <c r="W158" s="6" t="str">
        <f>IFERROR(__xludf.DUMMYFUNCTION("""COMPUTED_VALUE"""),"sandraaranda1987@gmail.com")</f>
        <v>sandraaranda1987@gmail.com</v>
      </c>
      <c r="X158" s="12" t="str">
        <f>IFERROR(__xludf.DUMMYFUNCTION("""COMPUTED_VALUE"""),"O+")</f>
        <v>O+</v>
      </c>
      <c r="Y158" s="12" t="str">
        <f>IFERROR(__xludf.DUMMYFUNCTION("""COMPUTED_VALUE"""),"K5")</f>
        <v>K5</v>
      </c>
      <c r="Z158" s="6">
        <f>IFERROR(__xludf.DUMMYFUNCTION("""COMPUTED_VALUE"""),120615.0)</f>
        <v>120615</v>
      </c>
      <c r="AA158" s="6" t="str">
        <f>IFERROR(__xludf.DUMMYFUNCTION("""COMPUTED_VALUE"""),"COOMEVA")</f>
        <v>COOMEVA</v>
      </c>
      <c r="AB158" s="6"/>
      <c r="AC158" s="6"/>
      <c r="AD158" s="12" t="str">
        <f>IFERROR(__xludf.DUMMYFUNCTION("""COMPUTED_VALUE"""),"K5C")</f>
        <v>K5C</v>
      </c>
      <c r="AE158" s="12" t="str">
        <f>IFERROR(__xludf.DUMMYFUNCTION("""COMPUTED_VALUE"""),"1345282611")</f>
        <v>1345282611</v>
      </c>
      <c r="AF158" s="12" t="str">
        <f>IFERROR(__xludf.DUMMYFUNCTION("""COMPUTED_VALUE"""),"1345282611")</f>
        <v>1345282611</v>
      </c>
      <c r="AG158" s="12" t="str">
        <f>IFERROR(__xludf.DUMMYFUNCTION("""COMPUTED_VALUE"""),"Sandra")</f>
        <v>Sandra</v>
      </c>
      <c r="AH158" s="12" t="str">
        <f>IFERROR(__xludf.DUMMYFUNCTION("""COMPUTED_VALUE"""),"Milena")</f>
        <v>Milena</v>
      </c>
      <c r="AI158" s="6" t="str">
        <f>IFERROR(__xludf.DUMMYFUNCTION("""COMPUTED_VALUE"""),"Aranda Peláez")</f>
        <v>Aranda Peláez</v>
      </c>
      <c r="AJ158" s="6" t="str">
        <f>IFERROR(__xludf.DUMMYFUNCTION("""COMPUTED_VALUE"""),"sandraaranda1987@gmail.com")</f>
        <v>sandraaranda1987@gmail.com</v>
      </c>
      <c r="AK158" s="6" t="str">
        <f>IFERROR(__xludf.DUMMYFUNCTION("""COMPUTED_VALUE"""),"Diseño de  Modas ")</f>
        <v>Diseño de  Modas </v>
      </c>
      <c r="AL158" s="6"/>
      <c r="AM158" s="12" t="str">
        <f>IFERROR(__xludf.DUMMYFUNCTION("""COMPUTED_VALUE"""),"1116239214")</f>
        <v>1116239214</v>
      </c>
      <c r="AN158" s="12" t="str">
        <f>IFERROR(__xludf.DUMMYFUNCTION("""COMPUTED_VALUE"""),"3183960531")</f>
        <v>3183960531</v>
      </c>
      <c r="AO158" s="6" t="str">
        <f>IFERROR(__xludf.DUMMYFUNCTION("""COMPUTED_VALUE"""),"Madre")</f>
        <v>Madre</v>
      </c>
      <c r="AP158" s="12" t="str">
        <f>IFERROR(__xludf.DUMMYFUNCTION("""COMPUTED_VALUE"""),"Estudiante(s): Florez Aranda")</f>
        <v>Estudiante(s): Florez Aranda</v>
      </c>
      <c r="AQ158" s="6" t="str">
        <f>IFERROR(__xludf.DUMMYFUNCTION("""COMPUTED_VALUE"""),"120615*Gi")</f>
        <v>120615*Gi</v>
      </c>
      <c r="AR158" s="6" t="str">
        <f>IFERROR(__xludf.DUMMYFUNCTION("""COMPUTED_VALUE"""),"Óscar")</f>
        <v>Óscar</v>
      </c>
      <c r="AS158" s="6" t="str">
        <f>IFERROR(__xludf.DUMMYFUNCTION("""COMPUTED_VALUE"""),"David")</f>
        <v>David</v>
      </c>
      <c r="AT158" s="6" t="str">
        <f>IFERROR(__xludf.DUMMYFUNCTION("""COMPUTED_VALUE"""),"Flórez Arrieta")</f>
        <v>Flórez Arrieta</v>
      </c>
      <c r="AU158" s="6" t="str">
        <f>IFERROR(__xludf.DUMMYFUNCTION("""COMPUTED_VALUE"""),"oscardavidflorez22@gmail.com")</f>
        <v>oscardavidflorez22@gmail.com</v>
      </c>
      <c r="AV158" s="6"/>
      <c r="AW158" s="6"/>
      <c r="AX158" s="12" t="str">
        <f>IFERROR(__xludf.DUMMYFUNCTION("""COMPUTED_VALUE"""),"8639927")</f>
        <v>8639927</v>
      </c>
      <c r="AY158" s="12" t="str">
        <f>IFERROR(__xludf.DUMMYFUNCTION("""COMPUTED_VALUE"""),"3156702753")</f>
        <v>3156702753</v>
      </c>
      <c r="AZ158" s="6" t="str">
        <f>IFERROR(__xludf.DUMMYFUNCTION("""COMPUTED_VALUE"""),"Padre")</f>
        <v>Padre</v>
      </c>
      <c r="BA158" s="6"/>
      <c r="BB158" s="6"/>
      <c r="BC158" s="6"/>
      <c r="BD158" s="12" t="str">
        <f>IFERROR(__xludf.DUMMYFUNCTION("""COMPUTED_VALUE"""),"flo0010")</f>
        <v>flo0010</v>
      </c>
      <c r="BE158" s="6" t="str">
        <f>IFERROR(__xludf.DUMMYFUNCTION("""COMPUTED_VALUE"""),"NUEVO(A)")</f>
        <v>NUEVO(A)</v>
      </c>
      <c r="BF158" s="6"/>
      <c r="BG158" s="6">
        <f>IFERROR(__xludf.DUMMYFUNCTION("""COMPUTED_VALUE"""),2039.0)</f>
        <v>2039</v>
      </c>
      <c r="BH158" s="15">
        <f>IFERROR(__xludf.DUMMYFUNCTION("""COMPUTED_VALUE"""),46185.61001157408)</f>
        <v>46185.61001</v>
      </c>
      <c r="BI158" s="6">
        <f>IFERROR(__xludf.DUMMYFUNCTION("""COMPUTED_VALUE"""),157.0)</f>
        <v>157</v>
      </c>
      <c r="BJ158" s="6"/>
      <c r="BK158" s="6"/>
      <c r="BL158" s="6" t="str">
        <f>IFERROR(__xludf.DUMMYFUNCTION("""COMPUTED_VALUE"""),"GISFLO0010")</f>
        <v>GISFLO0010</v>
      </c>
      <c r="BM158" s="6"/>
      <c r="BN158" s="6"/>
      <c r="BO158" s="6"/>
      <c r="BP158" s="6"/>
      <c r="BQ158" s="6"/>
      <c r="BR158" s="6"/>
      <c r="BS158" s="6"/>
      <c r="BT158" s="6"/>
      <c r="BU158" s="6" t="str">
        <f>IFERROR(__xludf.DUMMYFUNCTION("""COMPUTED_VALUE"""),"SI")</f>
        <v>SI</v>
      </c>
      <c r="BV158" s="6" t="str">
        <f>IFERROR(__xludf.DUMMYFUNCTION("""COMPUTED_VALUE"""),"samuel.f2039")</f>
        <v>samuel.f2039</v>
      </c>
      <c r="BW158" s="6"/>
      <c r="BX158" s="6"/>
      <c r="BY158" s="6"/>
      <c r="BZ158" s="6"/>
    </row>
    <row r="159">
      <c r="A159" s="12">
        <f>IFERROR(__xludf.DUMMYFUNCTION("""COMPUTED_VALUE"""),1.115196058E9)</f>
        <v>1115196058</v>
      </c>
      <c r="B159" s="6">
        <f>IFERROR(__xludf.DUMMYFUNCTION("""COMPUTED_VALUE"""),7.0)</f>
        <v>7</v>
      </c>
      <c r="C159" s="6" t="str">
        <f>IFERROR(__xludf.DUMMYFUNCTION("""COMPUTED_VALUE"""),"Vicente")</f>
        <v>Vicente</v>
      </c>
      <c r="D159" s="6"/>
      <c r="E159" s="6" t="str">
        <f>IFERROR(__xludf.DUMMYFUNCTION("""COMPUTED_VALUE"""),"Gómez Hoyos")</f>
        <v>Gómez Hoyos</v>
      </c>
      <c r="F159" s="6" t="str">
        <f>IFERROR(__xludf.DUMMYFUNCTION("""COMPUTED_VALUE"""),"Calle 14 Nte No10 - 05 Casa 1 - La Castellana")</f>
        <v>Calle 14 Nte No10 - 05 Casa 1 - La Castellana</v>
      </c>
      <c r="G159" s="12" t="str">
        <f>IFERROR(__xludf.DUMMYFUNCTION("""COMPUTED_VALUE"""),"2021")</f>
        <v>2021</v>
      </c>
      <c r="H159" s="6" t="str">
        <f>IFERROR(__xludf.DUMMYFUNCTION("""COMPUTED_VALUE"""),"Agosto")</f>
        <v>Agosto</v>
      </c>
      <c r="I159" s="12" t="str">
        <f>IFERROR(__xludf.DUMMYFUNCTION("""COMPUTED_VALUE"""),"20")</f>
        <v>20</v>
      </c>
      <c r="J159" s="6" t="str">
        <f>IFERROR(__xludf.DUMMYFUNCTION("""COMPUTED_VALUE"""),"Armenia")</f>
        <v>Armenia</v>
      </c>
      <c r="K159" s="6" t="str">
        <f>IFERROR(__xludf.DUMMYFUNCTION("""COMPUTED_VALUE"""),"vicente.g2039@gi.edu.co")</f>
        <v>vicente.g2039@gi.edu.co</v>
      </c>
      <c r="L159" s="6" t="str">
        <f>IFERROR(__xludf.DUMMYFUNCTION("""COMPUTED_VALUE"""),"RC")</f>
        <v>RC</v>
      </c>
      <c r="M159" s="6" t="str">
        <f>IFERROR(__xludf.DUMMYFUNCTION("""COMPUTED_VALUE"""),"Caicedonia")</f>
        <v>Caicedonia</v>
      </c>
      <c r="N159" s="6" t="str">
        <f>IFERROR(__xludf.DUMMYFUNCTION("""COMPUTED_VALUE"""),"M")</f>
        <v>M</v>
      </c>
      <c r="O159" s="6" t="str">
        <f>IFERROR(__xludf.DUMMYFUNCTION("""COMPUTED_VALUE"""),"INACTIVE")</f>
        <v>INACTIVE</v>
      </c>
      <c r="P159" s="6"/>
      <c r="Q159" s="6" t="str">
        <f>IFERROR(__xludf.DUMMYFUNCTION("""COMPUTED_VALUE"""),"Armenia")</f>
        <v>Armenia</v>
      </c>
      <c r="R159" s="12" t="str">
        <f>IFERROR(__xludf.DUMMYFUNCTION("""COMPUTED_VALUE"""),"Giv4x9k6*")</f>
        <v>Giv4x9k6*</v>
      </c>
      <c r="S159" s="6" t="str">
        <f>IFERROR(__xludf.DUMMYFUNCTION("""COMPUTED_VALUE"""),"Gómez Hoyos Vicente ")</f>
        <v>Gómez Hoyos Vicente </v>
      </c>
      <c r="T159" s="6" t="str">
        <f>IFERROR(__xludf.DUMMYFUNCTION("""COMPUTED_VALUE"""),"CARLOS JOSE GOMEZ GIRALDO")</f>
        <v>CARLOS JOSE GOMEZ GIRALDO</v>
      </c>
      <c r="U159" s="12" t="str">
        <f>IFERROR(__xludf.DUMMYFUNCTION("""COMPUTED_VALUE"""),"1115189699")</f>
        <v>1115189699</v>
      </c>
      <c r="V159" s="6">
        <f>IFERROR(__xludf.DUMMYFUNCTION("""COMPUTED_VALUE"""),3.104114119E9)</f>
        <v>3104114119</v>
      </c>
      <c r="W159" s="6" t="str">
        <f>IFERROR(__xludf.DUMMYFUNCTION("""COMPUTED_VALUE"""),"carlosjgomezgiraldo3@gmail.com
")</f>
        <v>carlosjgomezgiraldo3@gmail.com
</v>
      </c>
      <c r="X159" s="12" t="str">
        <f>IFERROR(__xludf.DUMMYFUNCTION("""COMPUTED_VALUE"""),"A+")</f>
        <v>A+</v>
      </c>
      <c r="Y159" s="12" t="str">
        <f>IFERROR(__xludf.DUMMYFUNCTION("""COMPUTED_VALUE"""),"K5")</f>
        <v>K5</v>
      </c>
      <c r="Z159" s="12">
        <f>IFERROR(__xludf.DUMMYFUNCTION("""COMPUTED_VALUE"""),120405.0)</f>
        <v>120405</v>
      </c>
      <c r="AA159" s="6" t="str">
        <f>IFERROR(__xludf.DUMMYFUNCTION("""COMPUTED_VALUE"""),"SANITAS")</f>
        <v>SANITAS</v>
      </c>
      <c r="AB159" s="6"/>
      <c r="AC159" s="6"/>
      <c r="AD159" s="12" t="str">
        <f>IFERROR(__xludf.DUMMYFUNCTION("""COMPUTED_VALUE"""),"K5C")</f>
        <v>K5C</v>
      </c>
      <c r="AE159" s="12" t="str">
        <f>IFERROR(__xludf.DUMMYFUNCTION("""COMPUTED_VALUE"""),"1345282406")</f>
        <v>1345282406</v>
      </c>
      <c r="AF159" s="12" t="str">
        <f>IFERROR(__xludf.DUMMYFUNCTION("""COMPUTED_VALUE"""),"1345282406")</f>
        <v>1345282406</v>
      </c>
      <c r="AG159" s="12" t="str">
        <f>IFERROR(__xludf.DUMMYFUNCTION("""COMPUTED_VALUE"""),"Nataly")</f>
        <v>Nataly</v>
      </c>
      <c r="AH159" s="6"/>
      <c r="AI159" s="6" t="str">
        <f>IFERROR(__xludf.DUMMYFUNCTION("""COMPUTED_VALUE"""),"Hoyos Valencia")</f>
        <v>Hoyos Valencia</v>
      </c>
      <c r="AJ159" s="6" t="str">
        <f>IFERROR(__xludf.DUMMYFUNCTION("""COMPUTED_VALUE"""),"nata941108@hotmail.com")</f>
        <v>nata941108@hotmail.com</v>
      </c>
      <c r="AK159" s="6" t="str">
        <f>IFERROR(__xludf.DUMMYFUNCTION("""COMPUTED_VALUE"""),"COMUNICADORA SOCIAL - PERIODISTA")</f>
        <v>COMUNICADORA SOCIAL - PERIODISTA</v>
      </c>
      <c r="AL159" s="6"/>
      <c r="AM159" s="12" t="str">
        <f>IFERROR(__xludf.DUMMYFUNCTION("""COMPUTED_VALUE"""),"1115191430")</f>
        <v>1115191430</v>
      </c>
      <c r="AN159" s="12" t="str">
        <f>IFERROR(__xludf.DUMMYFUNCTION("""COMPUTED_VALUE"""),"3232866504")</f>
        <v>3232866504</v>
      </c>
      <c r="AO159" s="6" t="str">
        <f>IFERROR(__xludf.DUMMYFUNCTION("""COMPUTED_VALUE"""),"Madre")</f>
        <v>Madre</v>
      </c>
      <c r="AP159" s="6" t="str">
        <f>IFERROR(__xludf.DUMMYFUNCTION("""COMPUTED_VALUE"""),"Estudiante(s): Gómez Hoyos")</f>
        <v>Estudiante(s): Gómez Hoyos</v>
      </c>
      <c r="AQ159" s="6" t="str">
        <f>IFERROR(__xludf.DUMMYFUNCTION("""COMPUTED_VALUE"""),"120405*Gi")</f>
        <v>120405*Gi</v>
      </c>
      <c r="AR159" s="6" t="str">
        <f>IFERROR(__xludf.DUMMYFUNCTION("""COMPUTED_VALUE"""),"Carlos")</f>
        <v>Carlos</v>
      </c>
      <c r="AS159" s="6" t="str">
        <f>IFERROR(__xludf.DUMMYFUNCTION("""COMPUTED_VALUE"""),"José")</f>
        <v>José</v>
      </c>
      <c r="AT159" s="6" t="str">
        <f>IFERROR(__xludf.DUMMYFUNCTION("""COMPUTED_VALUE"""),"Gómez Giraldo")</f>
        <v>Gómez Giraldo</v>
      </c>
      <c r="AU159" s="6" t="str">
        <f>IFERROR(__xludf.DUMMYFUNCTION("""COMPUTED_VALUE"""),"carlosjgomezgiraldo3@gmail.com")</f>
        <v>carlosjgomezgiraldo3@gmail.com</v>
      </c>
      <c r="AV159" s="6" t="str">
        <f>IFERROR(__xludf.DUMMYFUNCTION("""COMPUTED_VALUE"""),"ADMINISTRADOR AGROPECUARIO")</f>
        <v>ADMINISTRADOR AGROPECUARIO</v>
      </c>
      <c r="AW159" s="6" t="str">
        <f>IFERROR(__xludf.DUMMYFUNCTION("""COMPUTED_VALUE"""),"MOEMPA S.A.S.")</f>
        <v>MOEMPA S.A.S.</v>
      </c>
      <c r="AX159" s="12" t="str">
        <f>IFERROR(__xludf.DUMMYFUNCTION("""COMPUTED_VALUE"""),"1115189699")</f>
        <v>1115189699</v>
      </c>
      <c r="AY159" s="12">
        <f>IFERROR(__xludf.DUMMYFUNCTION("""COMPUTED_VALUE"""),3.104114119E9)</f>
        <v>3104114119</v>
      </c>
      <c r="AZ159" s="6" t="str">
        <f>IFERROR(__xludf.DUMMYFUNCTION("""COMPUTED_VALUE"""),"Padre")</f>
        <v>Padre</v>
      </c>
      <c r="BA159" s="6" t="str">
        <f>IFERROR(__xludf.DUMMYFUNCTION("""COMPUTED_VALUE"""),"MÓNICA BEATRIZ GIRALDO OSORIO")</f>
        <v>MÓNICA BEATRIZ GIRALDO OSORIO</v>
      </c>
      <c r="BB159" s="6">
        <f>IFERROR(__xludf.DUMMYFUNCTION("""COMPUTED_VALUE"""),3.022382707E9)</f>
        <v>3022382707</v>
      </c>
      <c r="BC159" s="6" t="str">
        <f>IFERROR(__xludf.DUMMYFUNCTION("""COMPUTED_VALUE"""),"Madre")</f>
        <v>Madre</v>
      </c>
      <c r="BD159" s="12" t="str">
        <f>IFERROR(__xludf.DUMMYFUNCTION("""COMPUTED_VALUE"""),"gom0012")</f>
        <v>gom0012</v>
      </c>
      <c r="BE159" s="6" t="str">
        <f>IFERROR(__xludf.DUMMYFUNCTION("""COMPUTED_VALUE"""),"FALTAN FIRMAS")</f>
        <v>FALTAN FIRMAS</v>
      </c>
      <c r="BF159" s="6"/>
      <c r="BG159" s="6">
        <f>IFERROR(__xludf.DUMMYFUNCTION("""COMPUTED_VALUE"""),2039.0)</f>
        <v>2039</v>
      </c>
      <c r="BH159" s="15">
        <f>IFERROR(__xludf.DUMMYFUNCTION("""COMPUTED_VALUE"""),46213.40524305555)</f>
        <v>46213.40524</v>
      </c>
      <c r="BI159" s="6">
        <f>IFERROR(__xludf.DUMMYFUNCTION("""COMPUTED_VALUE"""),158.0)</f>
        <v>158</v>
      </c>
      <c r="BJ159" s="6"/>
      <c r="BK159" s="6"/>
      <c r="BL159" s="6" t="str">
        <f>IFERROR(__xludf.DUMMYFUNCTION("""COMPUTED_VALUE"""),"GISGOM0012")</f>
        <v>GISGOM0012</v>
      </c>
      <c r="BM159" s="6"/>
      <c r="BN159" s="6"/>
      <c r="BO159" s="6" t="str">
        <f>IFERROR(__xludf.DUMMYFUNCTION("""COMPUTED_VALUE"""),"XC_K5_Futbol")</f>
        <v>XC_K5_Futbol</v>
      </c>
      <c r="BP159" s="6"/>
      <c r="BQ159" s="6"/>
      <c r="BR159" s="6" t="str">
        <f>IFERROR(__xludf.DUMMYFUNCTION("""COMPUTED_VALUE"""),"XC_K5_Futbol")</f>
        <v>XC_K5_Futbol</v>
      </c>
      <c r="BS159" s="6"/>
      <c r="BT159" s="6"/>
      <c r="BU159" s="6" t="str">
        <f>IFERROR(__xludf.DUMMYFUNCTION("""COMPUTED_VALUE"""),"SI")</f>
        <v>SI</v>
      </c>
      <c r="BV159" s="6" t="str">
        <f>IFERROR(__xludf.DUMMYFUNCTION("""COMPUTED_VALUE"""),"vicente.g2039")</f>
        <v>vicente.g2039</v>
      </c>
      <c r="BW159" s="6"/>
      <c r="BX159" s="6"/>
      <c r="BY159" s="6"/>
      <c r="BZ159" s="6"/>
    </row>
    <row r="160">
      <c r="A160" s="12">
        <f>IFERROR(__xludf.DUMMYFUNCTION("""COMPUTED_VALUE"""),1.035017185E9)</f>
        <v>1035017185</v>
      </c>
      <c r="B160" s="6">
        <f>IFERROR(__xludf.DUMMYFUNCTION("""COMPUTED_VALUE"""),8.0)</f>
        <v>8</v>
      </c>
      <c r="C160" s="6" t="str">
        <f>IFERROR(__xludf.DUMMYFUNCTION("""COMPUTED_VALUE"""),"Matilde")</f>
        <v>Matilde</v>
      </c>
      <c r="D160" s="6"/>
      <c r="E160" s="6" t="str">
        <f>IFERROR(__xludf.DUMMYFUNCTION("""COMPUTED_VALUE"""),"Grand Aristizábal")</f>
        <v>Grand Aristizábal</v>
      </c>
      <c r="F160" s="6" t="str">
        <f>IFERROR(__xludf.DUMMYFUNCTION("""COMPUTED_VALUE"""),"Condominio Ananda Casa 19 Km 4 Via El Eden al Caimo")</f>
        <v>Condominio Ananda Casa 19 Km 4 Via El Eden al Caimo</v>
      </c>
      <c r="G160" s="12" t="str">
        <f>IFERROR(__xludf.DUMMYFUNCTION("""COMPUTED_VALUE"""),"2020")</f>
        <v>2020</v>
      </c>
      <c r="H160" s="6" t="str">
        <f>IFERROR(__xludf.DUMMYFUNCTION("""COMPUTED_VALUE"""),"Diciembre")</f>
        <v>Diciembre</v>
      </c>
      <c r="I160" s="12" t="str">
        <f>IFERROR(__xludf.DUMMYFUNCTION("""COMPUTED_VALUE"""),"29")</f>
        <v>29</v>
      </c>
      <c r="J160" s="6" t="str">
        <f>IFERROR(__xludf.DUMMYFUNCTION("""COMPUTED_VALUE"""),"Medellín")</f>
        <v>Medellín</v>
      </c>
      <c r="K160" s="6" t="str">
        <f>IFERROR(__xludf.DUMMYFUNCTION("""COMPUTED_VALUE"""),"matilde.g2039@gi.edu.co")</f>
        <v>matilde.g2039@gi.edu.co</v>
      </c>
      <c r="L160" s="6" t="str">
        <f>IFERROR(__xludf.DUMMYFUNCTION("""COMPUTED_VALUE"""),"RC")</f>
        <v>RC</v>
      </c>
      <c r="M160" s="6" t="str">
        <f>IFERROR(__xludf.DUMMYFUNCTION("""COMPUTED_VALUE"""),"Medellín")</f>
        <v>Medellín</v>
      </c>
      <c r="N160" s="6" t="str">
        <f>IFERROR(__xludf.DUMMYFUNCTION("""COMPUTED_VALUE"""),"F")</f>
        <v>F</v>
      </c>
      <c r="O160" s="6" t="str">
        <f>IFERROR(__xludf.DUMMYFUNCTION("""COMPUTED_VALUE"""),"ACTIVE")</f>
        <v>ACTIVE</v>
      </c>
      <c r="P160" s="6"/>
      <c r="Q160" s="6" t="str">
        <f>IFERROR(__xludf.DUMMYFUNCTION("""COMPUTED_VALUE"""),"La Tebaida")</f>
        <v>La Tebaida</v>
      </c>
      <c r="R160" s="12" t="str">
        <f>IFERROR(__xludf.DUMMYFUNCTION("""COMPUTED_VALUE"""),"Giiut44c*")</f>
        <v>Giiut44c*</v>
      </c>
      <c r="S160" s="6" t="str">
        <f>IFERROR(__xludf.DUMMYFUNCTION("""COMPUTED_VALUE"""),"Grand Aristizábal Matilde ")</f>
        <v>Grand Aristizábal Matilde </v>
      </c>
      <c r="T160" s="6" t="str">
        <f>IFERROR(__xludf.DUMMYFUNCTION("""COMPUTED_VALUE"""),"SEBASTIAN GRAND VALLEJO")</f>
        <v>SEBASTIAN GRAND VALLEJO</v>
      </c>
      <c r="U160" s="12" t="str">
        <f>IFERROR(__xludf.DUMMYFUNCTION("""COMPUTED_VALUE"""),"75099725")</f>
        <v>75099725</v>
      </c>
      <c r="V160" s="6">
        <f>IFERROR(__xludf.DUMMYFUNCTION("""COMPUTED_VALUE"""),3.152501461E9)</f>
        <v>3152501461</v>
      </c>
      <c r="W160" s="6" t="str">
        <f>IFERROR(__xludf.DUMMYFUNCTION("""COMPUTED_VALUE"""),"sebasgrand@gmail.com")</f>
        <v>sebasgrand@gmail.com</v>
      </c>
      <c r="X160" s="12" t="str">
        <f>IFERROR(__xludf.DUMMYFUNCTION("""COMPUTED_VALUE"""),"O+")</f>
        <v>O+</v>
      </c>
      <c r="Y160" s="12" t="str">
        <f>IFERROR(__xludf.DUMMYFUNCTION("""COMPUTED_VALUE"""),"K5")</f>
        <v>K5</v>
      </c>
      <c r="Z160" s="6">
        <f>IFERROR(__xludf.DUMMYFUNCTION("""COMPUTED_VALUE"""),120552.0)</f>
        <v>120552</v>
      </c>
      <c r="AA160" s="6" t="str">
        <f>IFERROR(__xludf.DUMMYFUNCTION("""COMPUTED_VALUE"""),"SURA")</f>
        <v>SURA</v>
      </c>
      <c r="AB160" s="6"/>
      <c r="AC160" s="6"/>
      <c r="AD160" s="12" t="str">
        <f>IFERROR(__xludf.DUMMYFUNCTION("""COMPUTED_VALUE"""),"K5C")</f>
        <v>K5C</v>
      </c>
      <c r="AE160" s="12">
        <f>IFERROR(__xludf.DUMMYFUNCTION("""COMPUTED_VALUE"""),1.34528255E9)</f>
        <v>1345282550</v>
      </c>
      <c r="AF160" s="12">
        <f>IFERROR(__xludf.DUMMYFUNCTION("""COMPUTED_VALUE"""),1.34528255E9)</f>
        <v>1345282550</v>
      </c>
      <c r="AG160" s="12" t="str">
        <f>IFERROR(__xludf.DUMMYFUNCTION("""COMPUTED_VALUE"""),"Angélica")</f>
        <v>Angélica</v>
      </c>
      <c r="AH160" s="6"/>
      <c r="AI160" s="6" t="str">
        <f>IFERROR(__xludf.DUMMYFUNCTION("""COMPUTED_VALUE"""),"Aristizábal Rivas")</f>
        <v>Aristizábal Rivas</v>
      </c>
      <c r="AJ160" s="6" t="str">
        <f>IFERROR(__xludf.DUMMYFUNCTION("""COMPUTED_VALUE"""),"aristizabalrivas@gmail.com")</f>
        <v>aristizabalrivas@gmail.com</v>
      </c>
      <c r="AK160" s="6" t="str">
        <f>IFERROR(__xludf.DUMMYFUNCTION("""COMPUTED_VALUE"""),"ADMINISTRADORA")</f>
        <v>ADMINISTRADORA</v>
      </c>
      <c r="AL160" s="6"/>
      <c r="AM160" s="12">
        <f>IFERROR(__xludf.DUMMYFUNCTION("""COMPUTED_VALUE"""),2.4336762E7)</f>
        <v>24336762</v>
      </c>
      <c r="AN160" s="12">
        <f>IFERROR(__xludf.DUMMYFUNCTION("""COMPUTED_VALUE"""),3.244918732E9)</f>
        <v>3244918732</v>
      </c>
      <c r="AO160" s="6" t="str">
        <f>IFERROR(__xludf.DUMMYFUNCTION("""COMPUTED_VALUE"""),"Madre")</f>
        <v>Madre</v>
      </c>
      <c r="AP160" s="6" t="str">
        <f>IFERROR(__xludf.DUMMYFUNCTION("""COMPUTED_VALUE"""),"Estudiante(s): Grand Aristizábal")</f>
        <v>Estudiante(s): Grand Aristizábal</v>
      </c>
      <c r="AQ160" s="6" t="str">
        <f>IFERROR(__xludf.DUMMYFUNCTION("""COMPUTED_VALUE"""),"120552*Gi")</f>
        <v>120552*Gi</v>
      </c>
      <c r="AR160" s="6" t="str">
        <f>IFERROR(__xludf.DUMMYFUNCTION("""COMPUTED_VALUE"""),"Sebastián")</f>
        <v>Sebastián</v>
      </c>
      <c r="AS160" s="6"/>
      <c r="AT160" s="6" t="str">
        <f>IFERROR(__xludf.DUMMYFUNCTION("""COMPUTED_VALUE"""),"Grand Vallejo")</f>
        <v>Grand Vallejo</v>
      </c>
      <c r="AU160" s="6" t="str">
        <f>IFERROR(__xludf.DUMMYFUNCTION("""COMPUTED_VALUE"""),"sebasgrand@gmail.com")</f>
        <v>sebasgrand@gmail.com</v>
      </c>
      <c r="AV160" s="6" t="str">
        <f>IFERROR(__xludf.DUMMYFUNCTION("""COMPUTED_VALUE"""),"ECONOMISTA")</f>
        <v>ECONOMISTA</v>
      </c>
      <c r="AW160" s="6" t="str">
        <f>IFERROR(__xludf.DUMMYFUNCTION("""COMPUTED_VALUE"""),"BELT")</f>
        <v>BELT</v>
      </c>
      <c r="AX160" s="12">
        <f>IFERROR(__xludf.DUMMYFUNCTION("""COMPUTED_VALUE"""),7.5099725E7)</f>
        <v>75099725</v>
      </c>
      <c r="AY160" s="12" t="str">
        <f>IFERROR(__xludf.DUMMYFUNCTION("""COMPUTED_VALUE"""),"3152501461")</f>
        <v>3152501461</v>
      </c>
      <c r="AZ160" s="6" t="str">
        <f>IFERROR(__xludf.DUMMYFUNCTION("""COMPUTED_VALUE"""),"Padre")</f>
        <v>Padre</v>
      </c>
      <c r="BA160" s="6"/>
      <c r="BB160" s="6"/>
      <c r="BC160" s="6"/>
      <c r="BD160" s="12" t="str">
        <f>IFERROR(__xludf.DUMMYFUNCTION("""COMPUTED_VALUE"""),"gra0003")</f>
        <v>gra0003</v>
      </c>
      <c r="BE160" s="6"/>
      <c r="BF160" s="12" t="str">
        <f>IFERROR(__xludf.DUMMYFUNCTION("""COMPUTED_VALUE"""),"1M+10m SEP/25 A AGO/26 SE APLICA MATR Y CTOS ESPECIALES")</f>
        <v>1M+10m SEP/25 A AGO/26 SE APLICA MATR Y CTOS ESPECIALES</v>
      </c>
      <c r="BG160" s="6">
        <f>IFERROR(__xludf.DUMMYFUNCTION("""COMPUTED_VALUE"""),2039.0)</f>
        <v>2039</v>
      </c>
      <c r="BH160" s="15">
        <f>IFERROR(__xludf.DUMMYFUNCTION("""COMPUTED_VALUE"""),46235.45185185185)</f>
        <v>46235.45185</v>
      </c>
      <c r="BI160" s="6">
        <f>IFERROR(__xludf.DUMMYFUNCTION("""COMPUTED_VALUE"""),159.0)</f>
        <v>159</v>
      </c>
      <c r="BJ160" s="6"/>
      <c r="BK160" s="6"/>
      <c r="BL160" s="6" t="str">
        <f>IFERROR(__xludf.DUMMYFUNCTION("""COMPUTED_VALUE"""),"GISGRA0003")</f>
        <v>GISGRA0003</v>
      </c>
      <c r="BM160" s="6"/>
      <c r="BN160" s="6"/>
      <c r="BO160" s="6"/>
      <c r="BP160" s="6"/>
      <c r="BQ160" s="6"/>
      <c r="BR160" s="6"/>
      <c r="BS160" s="6"/>
      <c r="BT160" s="6"/>
      <c r="BU160" s="6" t="str">
        <f>IFERROR(__xludf.DUMMYFUNCTION("""COMPUTED_VALUE"""),"SI")</f>
        <v>SI</v>
      </c>
      <c r="BV160" s="6" t="str">
        <f>IFERROR(__xludf.DUMMYFUNCTION("""COMPUTED_VALUE"""),"matilde.g2039")</f>
        <v>matilde.g2039</v>
      </c>
      <c r="BW160" s="6"/>
      <c r="BX160" s="6"/>
      <c r="BY160" s="6"/>
      <c r="BZ160" s="6"/>
    </row>
    <row r="161">
      <c r="A161" s="12">
        <f>IFERROR(__xludf.DUMMYFUNCTION("""COMPUTED_VALUE"""),1.125253252E9)</f>
        <v>1125253252</v>
      </c>
      <c r="B161" s="6">
        <f>IFERROR(__xludf.DUMMYFUNCTION("""COMPUTED_VALUE"""),9.0)</f>
        <v>9</v>
      </c>
      <c r="C161" s="6" t="str">
        <f>IFERROR(__xludf.DUMMYFUNCTION("""COMPUTED_VALUE"""),"Valentina")</f>
        <v>Valentina</v>
      </c>
      <c r="D161" s="6"/>
      <c r="E161" s="6" t="str">
        <f>IFERROR(__xludf.DUMMYFUNCTION("""COMPUTED_VALUE"""),"Gutiérrez Montoya")</f>
        <v>Gutiérrez Montoya</v>
      </c>
      <c r="F161" s="6" t="str">
        <f>IFERROR(__xludf.DUMMYFUNCTION("""COMPUTED_VALUE"""),"Conjunto Hacienda El Cabrero Casa 29 - Km 9 Via Armenia-La Tebaida")</f>
        <v>Conjunto Hacienda El Cabrero Casa 29 - Km 9 Via Armenia-La Tebaida</v>
      </c>
      <c r="G161" s="12" t="str">
        <f>IFERROR(__xludf.DUMMYFUNCTION("""COMPUTED_VALUE"""),"2020")</f>
        <v>2020</v>
      </c>
      <c r="H161" s="6" t="str">
        <f>IFERROR(__xludf.DUMMYFUNCTION("""COMPUTED_VALUE"""),"Septiembre")</f>
        <v>Septiembre</v>
      </c>
      <c r="I161" s="12" t="str">
        <f>IFERROR(__xludf.DUMMYFUNCTION("""COMPUTED_VALUE"""),"17")</f>
        <v>17</v>
      </c>
      <c r="J161" s="6" t="str">
        <f>IFERROR(__xludf.DUMMYFUNCTION("""COMPUTED_VALUE"""),"Santiago")</f>
        <v>Santiago</v>
      </c>
      <c r="K161" s="6" t="str">
        <f>IFERROR(__xludf.DUMMYFUNCTION("""COMPUTED_VALUE"""),"valentina.g2039@gi.edu.co")</f>
        <v>valentina.g2039@gi.edu.co</v>
      </c>
      <c r="L161" s="6" t="str">
        <f>IFERROR(__xludf.DUMMYFUNCTION("""COMPUTED_VALUE"""),"RC")</f>
        <v>RC</v>
      </c>
      <c r="M161" s="6" t="str">
        <f>IFERROR(__xludf.DUMMYFUNCTION("""COMPUTED_VALUE"""),"Santiago")</f>
        <v>Santiago</v>
      </c>
      <c r="N161" s="6" t="str">
        <f>IFERROR(__xludf.DUMMYFUNCTION("""COMPUTED_VALUE"""),"F")</f>
        <v>F</v>
      </c>
      <c r="O161" s="6" t="str">
        <f>IFERROR(__xludf.DUMMYFUNCTION("""COMPUTED_VALUE"""),"ACTIVE")</f>
        <v>ACTIVE</v>
      </c>
      <c r="P161" s="6"/>
      <c r="Q161" s="6" t="str">
        <f>IFERROR(__xludf.DUMMYFUNCTION("""COMPUTED_VALUE"""),"Armenia")</f>
        <v>Armenia</v>
      </c>
      <c r="R161" s="12" t="str">
        <f>IFERROR(__xludf.DUMMYFUNCTION("""COMPUTED_VALUE"""),"Gicxss3r6*")</f>
        <v>Gicxss3r6*</v>
      </c>
      <c r="S161" s="6" t="str">
        <f>IFERROR(__xludf.DUMMYFUNCTION("""COMPUTED_VALUE"""),"Gutiérrez Montoya Valentina ")</f>
        <v>Gutiérrez Montoya Valentina </v>
      </c>
      <c r="T161" s="6" t="str">
        <f>IFERROR(__xludf.DUMMYFUNCTION("""COMPUTED_VALUE"""),"JORGE HERNAN GUTIERREZ RAMIREZ")</f>
        <v>JORGE HERNAN GUTIERREZ RAMIREZ</v>
      </c>
      <c r="U161" s="12" t="str">
        <f>IFERROR(__xludf.DUMMYFUNCTION("""COMPUTED_VALUE"""),"79981271")</f>
        <v>79981271</v>
      </c>
      <c r="V161" s="6">
        <f>IFERROR(__xludf.DUMMYFUNCTION("""COMPUTED_VALUE"""),3.103201164E9)</f>
        <v>3103201164</v>
      </c>
      <c r="W161" s="6" t="str">
        <f>IFERROR(__xludf.DUMMYFUNCTION("""COMPUTED_VALUE"""),"gutierrezjorge@gmail.com")</f>
        <v>gutierrezjorge@gmail.com</v>
      </c>
      <c r="X161" s="12" t="str">
        <f>IFERROR(__xludf.DUMMYFUNCTION("""COMPUTED_VALUE"""),"O+")</f>
        <v>O+</v>
      </c>
      <c r="Y161" s="12" t="str">
        <f>IFERROR(__xludf.DUMMYFUNCTION("""COMPUTED_VALUE"""),"K5")</f>
        <v>K5</v>
      </c>
      <c r="Z161" s="6">
        <f>IFERROR(__xludf.DUMMYFUNCTION("""COMPUTED_VALUE"""),120517.0)</f>
        <v>120517</v>
      </c>
      <c r="AA161" s="6"/>
      <c r="AB161" s="6"/>
      <c r="AC161" s="6"/>
      <c r="AD161" s="12" t="str">
        <f>IFERROR(__xludf.DUMMYFUNCTION("""COMPUTED_VALUE"""),"K5C")</f>
        <v>K5C</v>
      </c>
      <c r="AE161" s="12" t="str">
        <f>IFERROR(__xludf.DUMMYFUNCTION("""COMPUTED_VALUE"""),"1345282516")</f>
        <v>1345282516</v>
      </c>
      <c r="AF161" s="12" t="str">
        <f>IFERROR(__xludf.DUMMYFUNCTION("""COMPUTED_VALUE"""),"1345282516")</f>
        <v>1345282516</v>
      </c>
      <c r="AG161" s="12" t="str">
        <f>IFERROR(__xludf.DUMMYFUNCTION("""COMPUTED_VALUE"""),"Laura")</f>
        <v>Laura</v>
      </c>
      <c r="AH161" s="6"/>
      <c r="AI161" s="6" t="str">
        <f>IFERROR(__xludf.DUMMYFUNCTION("""COMPUTED_VALUE"""),"Montoya Carioso")</f>
        <v>Montoya Carioso</v>
      </c>
      <c r="AJ161" s="6" t="str">
        <f>IFERROR(__xludf.DUMMYFUNCTION("""COMPUTED_VALUE"""),"lalamontoya@gmail.com")</f>
        <v>lalamontoya@gmail.com</v>
      </c>
      <c r="AK161" s="6" t="str">
        <f>IFERROR(__xludf.DUMMYFUNCTION("""COMPUTED_VALUE"""),"Mercado y Publicidad")</f>
        <v>Mercado y Publicidad</v>
      </c>
      <c r="AL161" s="6" t="str">
        <f>IFERROR(__xludf.DUMMYFUNCTION("""COMPUTED_VALUE"""),"Start Trade SPa")</f>
        <v>Start Trade SPa</v>
      </c>
      <c r="AM161" s="12" t="str">
        <f>IFERROR(__xludf.DUMMYFUNCTION("""COMPUTED_VALUE"""),"52388682")</f>
        <v>52388682</v>
      </c>
      <c r="AN161" s="12" t="str">
        <f>IFERROR(__xludf.DUMMYFUNCTION("""COMPUTED_VALUE"""),"3124618387")</f>
        <v>3124618387</v>
      </c>
      <c r="AO161" s="6" t="str">
        <f>IFERROR(__xludf.DUMMYFUNCTION("""COMPUTED_VALUE"""),"Madre")</f>
        <v>Madre</v>
      </c>
      <c r="AP161" s="12" t="str">
        <f>IFERROR(__xludf.DUMMYFUNCTION("""COMPUTED_VALUE"""),"Estudiante(s): Gutiérrez Montoya")</f>
        <v>Estudiante(s): Gutiérrez Montoya</v>
      </c>
      <c r="AQ161" s="6" t="str">
        <f>IFERROR(__xludf.DUMMYFUNCTION("""COMPUTED_VALUE"""),"120517*Gi")</f>
        <v>120517*Gi</v>
      </c>
      <c r="AR161" s="6" t="str">
        <f>IFERROR(__xludf.DUMMYFUNCTION("""COMPUTED_VALUE"""),"Jorge")</f>
        <v>Jorge</v>
      </c>
      <c r="AS161" s="6" t="str">
        <f>IFERROR(__xludf.DUMMYFUNCTION("""COMPUTED_VALUE"""),"Hernán")</f>
        <v>Hernán</v>
      </c>
      <c r="AT161" s="6" t="str">
        <f>IFERROR(__xludf.DUMMYFUNCTION("""COMPUTED_VALUE"""),"Gutiérrez Ramírez")</f>
        <v>Gutiérrez Ramírez</v>
      </c>
      <c r="AU161" s="6" t="str">
        <f>IFERROR(__xludf.DUMMYFUNCTION("""COMPUTED_VALUE"""),"gutierrezjorge@gmail.com")</f>
        <v>gutierrezjorge@gmail.com</v>
      </c>
      <c r="AV161" s="6" t="str">
        <f>IFERROR(__xludf.DUMMYFUNCTION("""COMPUTED_VALUE"""),"Administrador de Empresas")</f>
        <v>Administrador de Empresas</v>
      </c>
      <c r="AW161" s="6" t="str">
        <f>IFERROR(__xludf.DUMMYFUNCTION("""COMPUTED_VALUE"""),"Start Asesorias Ltda")</f>
        <v>Start Asesorias Ltda</v>
      </c>
      <c r="AX161" s="12" t="str">
        <f>IFERROR(__xludf.DUMMYFUNCTION("""COMPUTED_VALUE"""),"79981271")</f>
        <v>79981271</v>
      </c>
      <c r="AY161" s="6">
        <f>IFERROR(__xludf.DUMMYFUNCTION("""COMPUTED_VALUE"""),3.103201164E9)</f>
        <v>3103201164</v>
      </c>
      <c r="AZ161" s="6" t="str">
        <f>IFERROR(__xludf.DUMMYFUNCTION("""COMPUTED_VALUE"""),"Padre")</f>
        <v>Padre</v>
      </c>
      <c r="BA161" s="6"/>
      <c r="BB161" s="6"/>
      <c r="BC161" s="6"/>
      <c r="BD161" s="12" t="str">
        <f>IFERROR(__xludf.DUMMYFUNCTION("""COMPUTED_VALUE"""),"gut0010")</f>
        <v>gut0010</v>
      </c>
      <c r="BE161" s="6"/>
      <c r="BF161" s="6"/>
      <c r="BG161" s="6">
        <f>IFERROR(__xludf.DUMMYFUNCTION("""COMPUTED_VALUE"""),2039.0)</f>
        <v>2039</v>
      </c>
      <c r="BH161" s="15">
        <f>IFERROR(__xludf.DUMMYFUNCTION("""COMPUTED_VALUE"""),46211.60513888889)</f>
        <v>46211.60514</v>
      </c>
      <c r="BI161" s="6">
        <f>IFERROR(__xludf.DUMMYFUNCTION("""COMPUTED_VALUE"""),160.0)</f>
        <v>160</v>
      </c>
      <c r="BJ161" s="6"/>
      <c r="BK161" s="6"/>
      <c r="BL161" s="6" t="str">
        <f>IFERROR(__xludf.DUMMYFUNCTION("""COMPUTED_VALUE"""),"GISGUT0010")</f>
        <v>GISGUT0010</v>
      </c>
      <c r="BM161" s="6"/>
      <c r="BN161" s="6"/>
      <c r="BO161" s="6"/>
      <c r="BP161" s="6"/>
      <c r="BQ161" s="6"/>
      <c r="BR161" s="6"/>
      <c r="BS161" s="6"/>
      <c r="BT161" s="6"/>
      <c r="BU161" s="6" t="str">
        <f>IFERROR(__xludf.DUMMYFUNCTION("""COMPUTED_VALUE"""),"SI")</f>
        <v>SI</v>
      </c>
      <c r="BV161" s="6" t="str">
        <f>IFERROR(__xludf.DUMMYFUNCTION("""COMPUTED_VALUE"""),"valentina.g2039")</f>
        <v>valentina.g2039</v>
      </c>
      <c r="BW161" s="6"/>
      <c r="BX161" s="6"/>
      <c r="BY161" s="6"/>
      <c r="BZ161" s="6"/>
    </row>
    <row r="162">
      <c r="A162" s="12">
        <f>IFERROR(__xludf.DUMMYFUNCTION("""COMPUTED_VALUE"""),1.092864454E9)</f>
        <v>1092864454</v>
      </c>
      <c r="B162" s="6">
        <f>IFERROR(__xludf.DUMMYFUNCTION("""COMPUTED_VALUE"""),10.0)</f>
        <v>10</v>
      </c>
      <c r="C162" s="6" t="str">
        <f>IFERROR(__xludf.DUMMYFUNCTION("""COMPUTED_VALUE"""),"Paz")</f>
        <v>Paz</v>
      </c>
      <c r="D162" s="6"/>
      <c r="E162" s="6" t="str">
        <f>IFERROR(__xludf.DUMMYFUNCTION("""COMPUTED_VALUE"""),"Marín León")</f>
        <v>Marín León</v>
      </c>
      <c r="F162" s="6" t="str">
        <f>IFERROR(__xludf.DUMMYFUNCTION("""COMPUTED_VALUE"""),"Parque Residencial Los Cedros - Calle 50Nte No15 - 1")</f>
        <v>Parque Residencial Los Cedros - Calle 50Nte No15 - 1</v>
      </c>
      <c r="G162" s="12" t="str">
        <f>IFERROR(__xludf.DUMMYFUNCTION("""COMPUTED_VALUE"""),"2020")</f>
        <v>2020</v>
      </c>
      <c r="H162" s="6" t="str">
        <f>IFERROR(__xludf.DUMMYFUNCTION("""COMPUTED_VALUE"""),"Agosto")</f>
        <v>Agosto</v>
      </c>
      <c r="I162" s="12" t="str">
        <f>IFERROR(__xludf.DUMMYFUNCTION("""COMPUTED_VALUE"""),"24")</f>
        <v>24</v>
      </c>
      <c r="J162" s="6" t="str">
        <f>IFERROR(__xludf.DUMMYFUNCTION("""COMPUTED_VALUE"""),"Armenia")</f>
        <v>Armenia</v>
      </c>
      <c r="K162" s="6" t="str">
        <f>IFERROR(__xludf.DUMMYFUNCTION("""COMPUTED_VALUE"""),"paz.m2039@gi.edu.co")</f>
        <v>paz.m2039@gi.edu.co</v>
      </c>
      <c r="L162" s="6" t="str">
        <f>IFERROR(__xludf.DUMMYFUNCTION("""COMPUTED_VALUE"""),"RC")</f>
        <v>RC</v>
      </c>
      <c r="M162" s="6" t="str">
        <f>IFERROR(__xludf.DUMMYFUNCTION("""COMPUTED_VALUE"""),"Armenia")</f>
        <v>Armenia</v>
      </c>
      <c r="N162" s="6" t="str">
        <f>IFERROR(__xludf.DUMMYFUNCTION("""COMPUTED_VALUE"""),"F")</f>
        <v>F</v>
      </c>
      <c r="O162" s="6" t="str">
        <f>IFERROR(__xludf.DUMMYFUNCTION("""COMPUTED_VALUE"""),"INACTIVE")</f>
        <v>INACTIVE</v>
      </c>
      <c r="P162" s="6"/>
      <c r="Q162" s="6" t="str">
        <f>IFERROR(__xludf.DUMMYFUNCTION("""COMPUTED_VALUE"""),"Armenia")</f>
        <v>Armenia</v>
      </c>
      <c r="R162" s="12" t="str">
        <f>IFERROR(__xludf.DUMMYFUNCTION("""COMPUTED_VALUE"""),"Gi69fn3*")</f>
        <v>Gi69fn3*</v>
      </c>
      <c r="S162" s="6" t="str">
        <f>IFERROR(__xludf.DUMMYFUNCTION("""COMPUTED_VALUE"""),"Marín León Paz ")</f>
        <v>Marín León Paz </v>
      </c>
      <c r="T162" s="6" t="str">
        <f>IFERROR(__xludf.DUMMYFUNCTION("""COMPUTED_VALUE"""),"JORGE MARIN VALENCIA")</f>
        <v>JORGE MARIN VALENCIA</v>
      </c>
      <c r="U162" s="12" t="str">
        <f>IFERROR(__xludf.DUMMYFUNCTION("""COMPUTED_VALUE"""),"9739339")</f>
        <v>9739339</v>
      </c>
      <c r="V162" s="6">
        <f>IFERROR(__xludf.DUMMYFUNCTION("""COMPUTED_VALUE"""),3.206982507E9)</f>
        <v>3206982507</v>
      </c>
      <c r="W162" s="6" t="str">
        <f>IFERROR(__xludf.DUMMYFUNCTION("""COMPUTED_VALUE"""),"montenegro0316@hotmail.com")</f>
        <v>montenegro0316@hotmail.com</v>
      </c>
      <c r="X162" s="12" t="str">
        <f>IFERROR(__xludf.DUMMYFUNCTION("""COMPUTED_VALUE"""),"A+")</f>
        <v>A+</v>
      </c>
      <c r="Y162" s="12" t="str">
        <f>IFERROR(__xludf.DUMMYFUNCTION("""COMPUTED_VALUE"""),"K5")</f>
        <v>K5</v>
      </c>
      <c r="Z162" s="12">
        <f>IFERROR(__xludf.DUMMYFUNCTION("""COMPUTED_VALUE"""),120354.0)</f>
        <v>120354</v>
      </c>
      <c r="AA162" s="6" t="str">
        <f>IFERROR(__xludf.DUMMYFUNCTION("""COMPUTED_VALUE"""),"SURA")</f>
        <v>SURA</v>
      </c>
      <c r="AB162" s="6"/>
      <c r="AC162" s="6"/>
      <c r="AD162" s="12" t="str">
        <f>IFERROR(__xludf.DUMMYFUNCTION("""COMPUTED_VALUE"""),"K5C")</f>
        <v>K5C</v>
      </c>
      <c r="AE162" s="12" t="str">
        <f>IFERROR(__xludf.DUMMYFUNCTION("""COMPUTED_VALUE"""),"1345282365")</f>
        <v>1345282365</v>
      </c>
      <c r="AF162" s="12" t="str">
        <f>IFERROR(__xludf.DUMMYFUNCTION("""COMPUTED_VALUE"""),"1345282365")</f>
        <v>1345282365</v>
      </c>
      <c r="AG162" s="12" t="str">
        <f>IFERROR(__xludf.DUMMYFUNCTION("""COMPUTED_VALUE"""),"Luisa")</f>
        <v>Luisa</v>
      </c>
      <c r="AH162" s="12" t="str">
        <f>IFERROR(__xludf.DUMMYFUNCTION("""COMPUTED_VALUE"""),"Fernanda")</f>
        <v>Fernanda</v>
      </c>
      <c r="AI162" s="6" t="str">
        <f>IFERROR(__xludf.DUMMYFUNCTION("""COMPUTED_VALUE"""),"León Betancourth")</f>
        <v>León Betancourth</v>
      </c>
      <c r="AJ162" s="6" t="str">
        <f>IFERROR(__xludf.DUMMYFUNCTION("""COMPUTED_VALUE"""),"luisa.leonbt@gmail.com")</f>
        <v>luisa.leonbt@gmail.com</v>
      </c>
      <c r="AK162" s="6"/>
      <c r="AL162" s="6"/>
      <c r="AM162" s="12" t="str">
        <f>IFERROR(__xludf.DUMMYFUNCTION("""COMPUTED_VALUE"""),"41956004")</f>
        <v>41956004</v>
      </c>
      <c r="AN162" s="12" t="str">
        <f>IFERROR(__xludf.DUMMYFUNCTION("""COMPUTED_VALUE"""),"3188642409")</f>
        <v>3188642409</v>
      </c>
      <c r="AO162" s="6" t="str">
        <f>IFERROR(__xludf.DUMMYFUNCTION("""COMPUTED_VALUE"""),"Madre")</f>
        <v>Madre</v>
      </c>
      <c r="AP162" s="6" t="str">
        <f>IFERROR(__xludf.DUMMYFUNCTION("""COMPUTED_VALUE"""),"Estudiante(s): Milagros Agudelo Leon &amp; Paz Marin Leon")</f>
        <v>Estudiante(s): Milagros Agudelo Leon &amp; Paz Marin Leon</v>
      </c>
      <c r="AQ162" s="6" t="str">
        <f>IFERROR(__xludf.DUMMYFUNCTION("""COMPUTED_VALUE"""),"103791*Gi")</f>
        <v>103791*Gi</v>
      </c>
      <c r="AR162" s="6" t="str">
        <f>IFERROR(__xludf.DUMMYFUNCTION("""COMPUTED_VALUE"""),"Jorge")</f>
        <v>Jorge</v>
      </c>
      <c r="AS162" s="6"/>
      <c r="AT162" s="6" t="str">
        <f>IFERROR(__xludf.DUMMYFUNCTION("""COMPUTED_VALUE"""),"Marín Valencia")</f>
        <v>Marín Valencia</v>
      </c>
      <c r="AU162" s="6" t="str">
        <f>IFERROR(__xludf.DUMMYFUNCTION("""COMPUTED_VALUE"""),"montenegro0316@hotmail.com")</f>
        <v>montenegro0316@hotmail.com</v>
      </c>
      <c r="AV162" s="6" t="str">
        <f>IFERROR(__xludf.DUMMYFUNCTION("""COMPUTED_VALUE"""),"Abogado")</f>
        <v>Abogado</v>
      </c>
      <c r="AW162" s="6" t="str">
        <f>IFERROR(__xludf.DUMMYFUNCTION("""COMPUTED_VALUE"""),"SURTIFRUT SAS")</f>
        <v>SURTIFRUT SAS</v>
      </c>
      <c r="AX162" s="12" t="str">
        <f>IFERROR(__xludf.DUMMYFUNCTION("""COMPUTED_VALUE"""),"9739339")</f>
        <v>9739339</v>
      </c>
      <c r="AY162" s="12">
        <f>IFERROR(__xludf.DUMMYFUNCTION("""COMPUTED_VALUE"""),3.206982507E9)</f>
        <v>3206982507</v>
      </c>
      <c r="AZ162" s="6" t="str">
        <f>IFERROR(__xludf.DUMMYFUNCTION("""COMPUTED_VALUE"""),"Padre")</f>
        <v>Padre</v>
      </c>
      <c r="BA162" s="6"/>
      <c r="BB162" s="6"/>
      <c r="BC162" s="6"/>
      <c r="BD162" s="12" t="str">
        <f>IFERROR(__xludf.DUMMYFUNCTION("""COMPUTED_VALUE"""),"agu0009")</f>
        <v>agu0009</v>
      </c>
      <c r="BE162" s="6" t="str">
        <f>IFERROR(__xludf.DUMMYFUNCTION("""COMPUTED_VALUE"""),"FALTAN FIRMAS")</f>
        <v>FALTAN FIRMAS</v>
      </c>
      <c r="BF162" s="6"/>
      <c r="BG162" s="6">
        <f>IFERROR(__xludf.DUMMYFUNCTION("""COMPUTED_VALUE"""),2039.0)</f>
        <v>2039</v>
      </c>
      <c r="BH162" s="15">
        <f>IFERROR(__xludf.DUMMYFUNCTION("""COMPUTED_VALUE"""),46212.448842592596)</f>
        <v>46212.44884</v>
      </c>
      <c r="BI162" s="6">
        <f>IFERROR(__xludf.DUMMYFUNCTION("""COMPUTED_VALUE"""),161.0)</f>
        <v>161</v>
      </c>
      <c r="BJ162" s="6"/>
      <c r="BK162" s="6"/>
      <c r="BL162" s="6" t="str">
        <f>IFERROR(__xludf.DUMMYFUNCTION("""COMPUTED_VALUE"""),"GISAGU0009")</f>
        <v>GISAGU0009</v>
      </c>
      <c r="BM162" s="6"/>
      <c r="BN162" s="6"/>
      <c r="BO162" s="6" t="str">
        <f>IFERROR(__xludf.DUMMYFUNCTION("""COMPUTED_VALUE"""),"XC_K5_Polimotor")</f>
        <v>XC_K5_Polimotor</v>
      </c>
      <c r="BP162" s="6"/>
      <c r="BQ162" s="6"/>
      <c r="BR162" s="6" t="str">
        <f>IFERROR(__xludf.DUMMYFUNCTION("""COMPUTED_VALUE"""),"XC_K5_Polimotor")</f>
        <v>XC_K5_Polimotor</v>
      </c>
      <c r="BS162" s="6"/>
      <c r="BT162" s="6"/>
      <c r="BU162" s="6" t="str">
        <f>IFERROR(__xludf.DUMMYFUNCTION("""COMPUTED_VALUE"""),"SI")</f>
        <v>SI</v>
      </c>
      <c r="BV162" s="6" t="str">
        <f>IFERROR(__xludf.DUMMYFUNCTION("""COMPUTED_VALUE"""),"paz.m2039")</f>
        <v>paz.m2039</v>
      </c>
      <c r="BW162" s="6"/>
      <c r="BX162" s="6"/>
      <c r="BY162" s="6"/>
      <c r="BZ162" s="6"/>
    </row>
    <row r="163">
      <c r="A163" s="12">
        <f>IFERROR(__xludf.DUMMYFUNCTION("""COMPUTED_VALUE"""),1.092865272E9)</f>
        <v>1092865272</v>
      </c>
      <c r="B163" s="6">
        <f>IFERROR(__xludf.DUMMYFUNCTION("""COMPUTED_VALUE"""),11.0)</f>
        <v>11</v>
      </c>
      <c r="C163" s="6" t="str">
        <f>IFERROR(__xludf.DUMMYFUNCTION("""COMPUTED_VALUE"""),"Antonia")</f>
        <v>Antonia</v>
      </c>
      <c r="D163" s="6"/>
      <c r="E163" s="6" t="str">
        <f>IFERROR(__xludf.DUMMYFUNCTION("""COMPUTED_VALUE"""),"Mejía Gómez")</f>
        <v>Mejía Gómez</v>
      </c>
      <c r="F163" s="6" t="str">
        <f>IFERROR(__xludf.DUMMYFUNCTION("""COMPUTED_VALUE"""),"Los Ocobos Parque Residencial Casa F9 - Calle 31 Nte No20 - 10")</f>
        <v>Los Ocobos Parque Residencial Casa F9 - Calle 31 Nte No20 - 10</v>
      </c>
      <c r="G163" s="12" t="str">
        <f>IFERROR(__xludf.DUMMYFUNCTION("""COMPUTED_VALUE"""),"2021")</f>
        <v>2021</v>
      </c>
      <c r="H163" s="6" t="str">
        <f>IFERROR(__xludf.DUMMYFUNCTION("""COMPUTED_VALUE"""),"Agosto")</f>
        <v>Agosto</v>
      </c>
      <c r="I163" s="12" t="str">
        <f>IFERROR(__xludf.DUMMYFUNCTION("""COMPUTED_VALUE"""),"11")</f>
        <v>11</v>
      </c>
      <c r="J163" s="6" t="str">
        <f>IFERROR(__xludf.DUMMYFUNCTION("""COMPUTED_VALUE"""),"Quimbaya")</f>
        <v>Quimbaya</v>
      </c>
      <c r="K163" s="6" t="str">
        <f>IFERROR(__xludf.DUMMYFUNCTION("""COMPUTED_VALUE"""),"antonia.m2039@gi.edu.co")</f>
        <v>antonia.m2039@gi.edu.co</v>
      </c>
      <c r="L163" s="6" t="str">
        <f>IFERROR(__xludf.DUMMYFUNCTION("""COMPUTED_VALUE"""),"RC")</f>
        <v>RC</v>
      </c>
      <c r="M163" s="6" t="str">
        <f>IFERROR(__xludf.DUMMYFUNCTION("""COMPUTED_VALUE"""),"Armenia")</f>
        <v>Armenia</v>
      </c>
      <c r="N163" s="6" t="str">
        <f>IFERROR(__xludf.DUMMYFUNCTION("""COMPUTED_VALUE"""),"F")</f>
        <v>F</v>
      </c>
      <c r="O163" s="6" t="str">
        <f>IFERROR(__xludf.DUMMYFUNCTION("""COMPUTED_VALUE"""),"ACTIVE")</f>
        <v>ACTIVE</v>
      </c>
      <c r="P163" s="6"/>
      <c r="Q163" s="6" t="str">
        <f>IFERROR(__xludf.DUMMYFUNCTION("""COMPUTED_VALUE"""),"Armenia")</f>
        <v>Armenia</v>
      </c>
      <c r="R163" s="12" t="str">
        <f>IFERROR(__xludf.DUMMYFUNCTION("""COMPUTED_VALUE"""),"Gidfeuy7*")</f>
        <v>Gidfeuy7*</v>
      </c>
      <c r="S163" s="6" t="str">
        <f>IFERROR(__xludf.DUMMYFUNCTION("""COMPUTED_VALUE"""),"Mejía Gómez Antonia ")</f>
        <v>Mejía Gómez Antonia </v>
      </c>
      <c r="T163" s="6" t="str">
        <f>IFERROR(__xludf.DUMMYFUNCTION("""COMPUTED_VALUE"""),"LUIS ALEJANDRO MEJÍA BEDOYA")</f>
        <v>LUIS ALEJANDRO MEJÍA BEDOYA</v>
      </c>
      <c r="U163" s="12" t="str">
        <f>IFERROR(__xludf.DUMMYFUNCTION("""COMPUTED_VALUE"""),"1094917077")</f>
        <v>1094917077</v>
      </c>
      <c r="V163" s="6">
        <f>IFERROR(__xludf.DUMMYFUNCTION("""COMPUTED_VALUE"""),3.216418182E9)</f>
        <v>3216418182</v>
      </c>
      <c r="W163" s="6" t="str">
        <f>IFERROR(__xludf.DUMMYFUNCTION("""COMPUTED_VALUE"""),"mejiabedoya@hotmail.com")</f>
        <v>mejiabedoya@hotmail.com</v>
      </c>
      <c r="X163" s="12" t="str">
        <f>IFERROR(__xludf.DUMMYFUNCTION("""COMPUTED_VALUE"""),"A+")</f>
        <v>A+</v>
      </c>
      <c r="Y163" s="12" t="str">
        <f>IFERROR(__xludf.DUMMYFUNCTION("""COMPUTED_VALUE"""),"K5")</f>
        <v>K5</v>
      </c>
      <c r="Z163" s="12">
        <f>IFERROR(__xludf.DUMMYFUNCTION("""COMPUTED_VALUE"""),120368.0)</f>
        <v>120368</v>
      </c>
      <c r="AA163" s="6" t="str">
        <f>IFERROR(__xludf.DUMMYFUNCTION("""COMPUTED_VALUE"""),"SURA")</f>
        <v>SURA</v>
      </c>
      <c r="AB163" s="6"/>
      <c r="AC163" s="6"/>
      <c r="AD163" s="12" t="str">
        <f>IFERROR(__xludf.DUMMYFUNCTION("""COMPUTED_VALUE"""),"K5C")</f>
        <v>K5C</v>
      </c>
      <c r="AE163" s="12" t="str">
        <f>IFERROR(__xludf.DUMMYFUNCTION("""COMPUTED_VALUE"""),"1345282364")</f>
        <v>1345282364</v>
      </c>
      <c r="AF163" s="12" t="str">
        <f>IFERROR(__xludf.DUMMYFUNCTION("""COMPUTED_VALUE"""),"1345282364")</f>
        <v>1345282364</v>
      </c>
      <c r="AG163" s="12" t="str">
        <f>IFERROR(__xludf.DUMMYFUNCTION("""COMPUTED_VALUE"""),"Juliana")</f>
        <v>Juliana</v>
      </c>
      <c r="AH163" s="6"/>
      <c r="AI163" s="6" t="str">
        <f>IFERROR(__xludf.DUMMYFUNCTION("""COMPUTED_VALUE"""),"Gomez Gutierrez")</f>
        <v>Gomez Gutierrez</v>
      </c>
      <c r="AJ163" s="6" t="str">
        <f>IFERROR(__xludf.DUMMYFUNCTION("""COMPUTED_VALUE"""),"julianagomez6@hotmail.com")</f>
        <v>julianagomez6@hotmail.com</v>
      </c>
      <c r="AK163" s="6" t="str">
        <f>IFERROR(__xludf.DUMMYFUNCTION("""COMPUTED_VALUE"""),"Publicista")</f>
        <v>Publicista</v>
      </c>
      <c r="AL163" s="6"/>
      <c r="AM163" s="12" t="str">
        <f>IFERROR(__xludf.DUMMYFUNCTION("""COMPUTED_VALUE"""),"1094907313")</f>
        <v>1094907313</v>
      </c>
      <c r="AN163" s="12" t="str">
        <f>IFERROR(__xludf.DUMMYFUNCTION("""COMPUTED_VALUE"""),"3113388948")</f>
        <v>3113388948</v>
      </c>
      <c r="AO163" s="6" t="str">
        <f>IFERROR(__xludf.DUMMYFUNCTION("""COMPUTED_VALUE"""),"Madre")</f>
        <v>Madre</v>
      </c>
      <c r="AP163" s="6" t="str">
        <f>IFERROR(__xludf.DUMMYFUNCTION("""COMPUTED_VALUE"""),"Estudiante(s): Mejía Gómez")</f>
        <v>Estudiante(s): Mejía Gómez</v>
      </c>
      <c r="AQ163" s="6" t="str">
        <f>IFERROR(__xludf.DUMMYFUNCTION("""COMPUTED_VALUE"""),"120242*Gi")</f>
        <v>120242*Gi</v>
      </c>
      <c r="AR163" s="6" t="str">
        <f>IFERROR(__xludf.DUMMYFUNCTION("""COMPUTED_VALUE"""),"Luis")</f>
        <v>Luis</v>
      </c>
      <c r="AS163" s="6" t="str">
        <f>IFERROR(__xludf.DUMMYFUNCTION("""COMPUTED_VALUE"""),"Alejandro")</f>
        <v>Alejandro</v>
      </c>
      <c r="AT163" s="6" t="str">
        <f>IFERROR(__xludf.DUMMYFUNCTION("""COMPUTED_VALUE"""),"Mejia Bedoya")</f>
        <v>Mejia Bedoya</v>
      </c>
      <c r="AU163" s="6" t="str">
        <f>IFERROR(__xludf.DUMMYFUNCTION("""COMPUTED_VALUE"""),"mejiabedoya@hotmail.com")</f>
        <v>mejiabedoya@hotmail.com</v>
      </c>
      <c r="AV163" s="6" t="str">
        <f>IFERROR(__xludf.DUMMYFUNCTION("""COMPUTED_VALUE"""),"Medivo Veterinario y Zootecnista")</f>
        <v>Medivo Veterinario y Zootecnista</v>
      </c>
      <c r="AW163" s="6" t="str">
        <f>IFERROR(__xludf.DUMMYFUNCTION("""COMPUTED_VALUE"""),"Equusvet")</f>
        <v>Equusvet</v>
      </c>
      <c r="AX163" s="12" t="str">
        <f>IFERROR(__xludf.DUMMYFUNCTION("""COMPUTED_VALUE"""),"1094917077")</f>
        <v>1094917077</v>
      </c>
      <c r="AY163" s="12">
        <f>IFERROR(__xludf.DUMMYFUNCTION("""COMPUTED_VALUE"""),3.216418182E9)</f>
        <v>3216418182</v>
      </c>
      <c r="AZ163" s="6" t="str">
        <f>IFERROR(__xludf.DUMMYFUNCTION("""COMPUTED_VALUE"""),"Padre")</f>
        <v>Padre</v>
      </c>
      <c r="BA163" s="6"/>
      <c r="BB163" s="6"/>
      <c r="BC163" s="6"/>
      <c r="BD163" s="12" t="str">
        <f>IFERROR(__xludf.DUMMYFUNCTION("""COMPUTED_VALUE"""),"mej0022")</f>
        <v>mej0022</v>
      </c>
      <c r="BE163" s="6"/>
      <c r="BF163" s="6"/>
      <c r="BG163" s="6">
        <f>IFERROR(__xludf.DUMMYFUNCTION("""COMPUTED_VALUE"""),2039.0)</f>
        <v>2039</v>
      </c>
      <c r="BH163" s="15">
        <f>IFERROR(__xludf.DUMMYFUNCTION("""COMPUTED_VALUE"""),46229.21561342593)</f>
        <v>46229.21561</v>
      </c>
      <c r="BI163" s="6">
        <f>IFERROR(__xludf.DUMMYFUNCTION("""COMPUTED_VALUE"""),162.0)</f>
        <v>162</v>
      </c>
      <c r="BJ163" s="6"/>
      <c r="BK163" s="6"/>
      <c r="BL163" s="6" t="str">
        <f>IFERROR(__xludf.DUMMYFUNCTION("""COMPUTED_VALUE"""),"GISMEJ0022")</f>
        <v>GISMEJ0022</v>
      </c>
      <c r="BM163" s="6"/>
      <c r="BN163" s="6"/>
      <c r="BO163" s="6" t="str">
        <f>IFERROR(__xludf.DUMMYFUNCTION("""COMPUTED_VALUE"""),"XC_K5_Polimotor")</f>
        <v>XC_K5_Polimotor</v>
      </c>
      <c r="BP163" s="6"/>
      <c r="BQ163" s="6"/>
      <c r="BR163" s="6" t="str">
        <f>IFERROR(__xludf.DUMMYFUNCTION("""COMPUTED_VALUE"""),"XC_K5_Polimotor")</f>
        <v>XC_K5_Polimotor</v>
      </c>
      <c r="BS163" s="6" t="str">
        <f>IFERROR(__xludf.DUMMYFUNCTION("""COMPUTED_VALUE"""),"XC_K5_IniciaDanzas")</f>
        <v>XC_K5_IniciaDanzas</v>
      </c>
      <c r="BT163" s="6"/>
      <c r="BU163" s="6" t="str">
        <f>IFERROR(__xludf.DUMMYFUNCTION("""COMPUTED_VALUE"""),"SI")</f>
        <v>SI</v>
      </c>
      <c r="BV163" s="6" t="str">
        <f>IFERROR(__xludf.DUMMYFUNCTION("""COMPUTED_VALUE"""),"antonia.m2039")</f>
        <v>antonia.m2039</v>
      </c>
      <c r="BW163" s="6"/>
      <c r="BX163" s="6"/>
      <c r="BY163" s="6"/>
      <c r="BZ163" s="6"/>
    </row>
    <row r="164">
      <c r="A164" s="12">
        <f>IFERROR(__xludf.DUMMYFUNCTION("""COMPUTED_VALUE"""),1.095183505E9)</f>
        <v>1095183505</v>
      </c>
      <c r="B164" s="6">
        <f>IFERROR(__xludf.DUMMYFUNCTION("""COMPUTED_VALUE"""),12.0)</f>
        <v>12</v>
      </c>
      <c r="C164" s="6" t="str">
        <f>IFERROR(__xludf.DUMMYFUNCTION("""COMPUTED_VALUE"""),"Pedro")</f>
        <v>Pedro</v>
      </c>
      <c r="D164" s="6"/>
      <c r="E164" s="6" t="str">
        <f>IFERROR(__xludf.DUMMYFUNCTION("""COMPUTED_VALUE"""),"Montilla Pachón")</f>
        <v>Montilla Pachón</v>
      </c>
      <c r="F164" s="6" t="str">
        <f>IFERROR(__xludf.DUMMYFUNCTION("""COMPUTED_VALUE"""),"Condominio Casa de Campo Casa 13 - Calle 23ANte No19 - 47")</f>
        <v>Condominio Casa de Campo Casa 13 - Calle 23ANte No19 - 47</v>
      </c>
      <c r="G164" s="12" t="str">
        <f>IFERROR(__xludf.DUMMYFUNCTION("""COMPUTED_VALUE"""),"2020")</f>
        <v>2020</v>
      </c>
      <c r="H164" s="6" t="str">
        <f>IFERROR(__xludf.DUMMYFUNCTION("""COMPUTED_VALUE"""),"Marzo")</f>
        <v>Marzo</v>
      </c>
      <c r="I164" s="12" t="str">
        <f>IFERROR(__xludf.DUMMYFUNCTION("""COMPUTED_VALUE"""),"19")</f>
        <v>19</v>
      </c>
      <c r="J164" s="6" t="str">
        <f>IFERROR(__xludf.DUMMYFUNCTION("""COMPUTED_VALUE"""),"Armenia")</f>
        <v>Armenia</v>
      </c>
      <c r="K164" s="6" t="str">
        <f>IFERROR(__xludf.DUMMYFUNCTION("""COMPUTED_VALUE"""),"pedro.m2039@gi.edu.co")</f>
        <v>pedro.m2039@gi.edu.co</v>
      </c>
      <c r="L164" s="6" t="str">
        <f>IFERROR(__xludf.DUMMYFUNCTION("""COMPUTED_VALUE"""),"RC")</f>
        <v>RC</v>
      </c>
      <c r="M164" s="6" t="str">
        <f>IFERROR(__xludf.DUMMYFUNCTION("""COMPUTED_VALUE"""),"Armenia")</f>
        <v>Armenia</v>
      </c>
      <c r="N164" s="6" t="str">
        <f>IFERROR(__xludf.DUMMYFUNCTION("""COMPUTED_VALUE"""),"M")</f>
        <v>M</v>
      </c>
      <c r="O164" s="6" t="str">
        <f>IFERROR(__xludf.DUMMYFUNCTION("""COMPUTED_VALUE"""),"ACTIVE")</f>
        <v>ACTIVE</v>
      </c>
      <c r="P164" s="6"/>
      <c r="Q164" s="6" t="str">
        <f>IFERROR(__xludf.DUMMYFUNCTION("""COMPUTED_VALUE"""),"Armenia")</f>
        <v>Armenia</v>
      </c>
      <c r="R164" s="12" t="str">
        <f>IFERROR(__xludf.DUMMYFUNCTION("""COMPUTED_VALUE"""),"Gi49hd3*")</f>
        <v>Gi49hd3*</v>
      </c>
      <c r="S164" s="6" t="str">
        <f>IFERROR(__xludf.DUMMYFUNCTION("""COMPUTED_VALUE"""),"Montilla Pachón Pedro ")</f>
        <v>Montilla Pachón Pedro </v>
      </c>
      <c r="T164" s="6" t="str">
        <f>IFERROR(__xludf.DUMMYFUNCTION("""COMPUTED_VALUE"""),"JUAN CARLOS MONTILLA GARZON")</f>
        <v>JUAN CARLOS MONTILLA GARZON</v>
      </c>
      <c r="U164" s="12" t="str">
        <f>IFERROR(__xludf.DUMMYFUNCTION("""COMPUTED_VALUE"""),"18004330")</f>
        <v>18004330</v>
      </c>
      <c r="V164" s="6">
        <f>IFERROR(__xludf.DUMMYFUNCTION("""COMPUTED_VALUE"""),3.108392032E9)</f>
        <v>3108392032</v>
      </c>
      <c r="W164" s="6" t="str">
        <f>IFERROR(__xludf.DUMMYFUNCTION("""COMPUTED_VALUE"""),"doc.montilla@gmail.com")</f>
        <v>doc.montilla@gmail.com</v>
      </c>
      <c r="X164" s="12" t="str">
        <f>IFERROR(__xludf.DUMMYFUNCTION("""COMPUTED_VALUE"""),"B+")</f>
        <v>B+</v>
      </c>
      <c r="Y164" s="12" t="str">
        <f>IFERROR(__xludf.DUMMYFUNCTION("""COMPUTED_VALUE"""),"K5")</f>
        <v>K5</v>
      </c>
      <c r="Z164" s="12">
        <f>IFERROR(__xludf.DUMMYFUNCTION("""COMPUTED_VALUE"""),120215.0)</f>
        <v>120215</v>
      </c>
      <c r="AA164" s="6" t="str">
        <f>IFERROR(__xludf.DUMMYFUNCTION("""COMPUTED_VALUE"""),"SURA")</f>
        <v>SURA</v>
      </c>
      <c r="AB164" s="6"/>
      <c r="AC164" s="6"/>
      <c r="AD164" s="12" t="str">
        <f>IFERROR(__xludf.DUMMYFUNCTION("""COMPUTED_VALUE"""),"K5C")</f>
        <v>K5C</v>
      </c>
      <c r="AE164" s="12">
        <f>IFERROR(__xludf.DUMMYFUNCTION("""COMPUTED_VALUE"""),1.345282226E9)</f>
        <v>1345282226</v>
      </c>
      <c r="AF164" s="12" t="str">
        <f>IFERROR(__xludf.DUMMYFUNCTION("""COMPUTED_VALUE"""),"1345282226")</f>
        <v>1345282226</v>
      </c>
      <c r="AG164" s="12" t="str">
        <f>IFERROR(__xludf.DUMMYFUNCTION("""COMPUTED_VALUE"""),"Liliana")</f>
        <v>Liliana</v>
      </c>
      <c r="AH164" s="6"/>
      <c r="AI164" s="6" t="str">
        <f>IFERROR(__xludf.DUMMYFUNCTION("""COMPUTED_VALUE"""),"Pachón Vivas")</f>
        <v>Pachón Vivas</v>
      </c>
      <c r="AJ164" s="6" t="str">
        <f>IFERROR(__xludf.DUMMYFUNCTION("""COMPUTED_VALUE"""),"pachonliliana@gmail.com")</f>
        <v>pachonliliana@gmail.com</v>
      </c>
      <c r="AK164" s="6" t="str">
        <f>IFERROR(__xludf.DUMMYFUNCTION("""COMPUTED_VALUE"""),"GINECOLOGO OBSTETRA")</f>
        <v>GINECOLOGO OBSTETRA</v>
      </c>
      <c r="AL164" s="6"/>
      <c r="AM164" s="12" t="str">
        <f>IFERROR(__xludf.DUMMYFUNCTION("""COMPUTED_VALUE"""),"41957821")</f>
        <v>41957821</v>
      </c>
      <c r="AN164" s="12" t="str">
        <f>IFERROR(__xludf.DUMMYFUNCTION("""COMPUTED_VALUE"""),"3207276380")</f>
        <v>3207276380</v>
      </c>
      <c r="AO164" s="6" t="str">
        <f>IFERROR(__xludf.DUMMYFUNCTION("""COMPUTED_VALUE"""),"Madre")</f>
        <v>Madre</v>
      </c>
      <c r="AP164" s="6" t="str">
        <f>IFERROR(__xludf.DUMMYFUNCTION("""COMPUTED_VALUE"""),"Estudiante(s): Montilla Pachón")</f>
        <v>Estudiante(s): Montilla Pachón</v>
      </c>
      <c r="AQ164" s="6" t="str">
        <f>IFERROR(__xludf.DUMMYFUNCTION("""COMPUTED_VALUE"""),"103906*Gi")</f>
        <v>103906*Gi</v>
      </c>
      <c r="AR164" s="6" t="str">
        <f>IFERROR(__xludf.DUMMYFUNCTION("""COMPUTED_VALUE"""),"Juan")</f>
        <v>Juan</v>
      </c>
      <c r="AS164" s="6" t="str">
        <f>IFERROR(__xludf.DUMMYFUNCTION("""COMPUTED_VALUE"""),"Carlos")</f>
        <v>Carlos</v>
      </c>
      <c r="AT164" s="6" t="str">
        <f>IFERROR(__xludf.DUMMYFUNCTION("""COMPUTED_VALUE"""),"Montilla Garzón")</f>
        <v>Montilla Garzón</v>
      </c>
      <c r="AU164" s="6" t="str">
        <f>IFERROR(__xludf.DUMMYFUNCTION("""COMPUTED_VALUE"""),"doc.montilla@gmail.com")</f>
        <v>doc.montilla@gmail.com</v>
      </c>
      <c r="AV164" s="6" t="str">
        <f>IFERROR(__xludf.DUMMYFUNCTION("""COMPUTED_VALUE"""),"GINECOLOGO OBSTETRA")</f>
        <v>GINECOLOGO OBSTETRA</v>
      </c>
      <c r="AW164" s="6" t="str">
        <f>IFERROR(__xludf.DUMMYFUNCTION("""COMPUTED_VALUE"""),"HAPPY MATERNITY")</f>
        <v>HAPPY MATERNITY</v>
      </c>
      <c r="AX164" s="12" t="str">
        <f>IFERROR(__xludf.DUMMYFUNCTION("""COMPUTED_VALUE"""),"18004330")</f>
        <v>18004330</v>
      </c>
      <c r="AY164" s="12" t="str">
        <f>IFERROR(__xludf.DUMMYFUNCTION("""COMPUTED_VALUE"""),"3108392032")</f>
        <v>3108392032</v>
      </c>
      <c r="AZ164" s="6" t="str">
        <f>IFERROR(__xludf.DUMMYFUNCTION("""COMPUTED_VALUE"""),"Padre")</f>
        <v>Padre</v>
      </c>
      <c r="BA164" s="6"/>
      <c r="BB164" s="6"/>
      <c r="BC164" s="6"/>
      <c r="BD164" s="12" t="str">
        <f>IFERROR(__xludf.DUMMYFUNCTION("""COMPUTED_VALUE"""),"man0002")</f>
        <v>man0002</v>
      </c>
      <c r="BE164" s="6"/>
      <c r="BF164" s="6"/>
      <c r="BG164" s="6">
        <f>IFERROR(__xludf.DUMMYFUNCTION("""COMPUTED_VALUE"""),2039.0)</f>
        <v>2039</v>
      </c>
      <c r="BH164" s="15">
        <f>IFERROR(__xludf.DUMMYFUNCTION("""COMPUTED_VALUE"""),46207.905439814815)</f>
        <v>46207.90544</v>
      </c>
      <c r="BI164" s="6">
        <f>IFERROR(__xludf.DUMMYFUNCTION("""COMPUTED_VALUE"""),163.0)</f>
        <v>163</v>
      </c>
      <c r="BJ164" s="6"/>
      <c r="BK164" s="6"/>
      <c r="BL164" s="6" t="str">
        <f>IFERROR(__xludf.DUMMYFUNCTION("""COMPUTED_VALUE"""),"GISMAN0002")</f>
        <v>GISMAN0002</v>
      </c>
      <c r="BM164" s="6"/>
      <c r="BN164" s="6"/>
      <c r="BO164" s="6" t="str">
        <f>IFERROR(__xludf.DUMMYFUNCTION("""COMPUTED_VALUE"""),"XC_K5_Futbol")</f>
        <v>XC_K5_Futbol</v>
      </c>
      <c r="BP164" s="6"/>
      <c r="BQ164" s="6"/>
      <c r="BR164" s="6" t="str">
        <f>IFERROR(__xludf.DUMMYFUNCTION("""COMPUTED_VALUE"""),"XC_K5_Futbol")</f>
        <v>XC_K5_Futbol</v>
      </c>
      <c r="BS164" s="6"/>
      <c r="BT164" s="6"/>
      <c r="BU164" s="6" t="str">
        <f>IFERROR(__xludf.DUMMYFUNCTION("""COMPUTED_VALUE"""),"SI")</f>
        <v>SI</v>
      </c>
      <c r="BV164" s="6" t="str">
        <f>IFERROR(__xludf.DUMMYFUNCTION("""COMPUTED_VALUE"""),"pedro.m2039")</f>
        <v>pedro.m2039</v>
      </c>
      <c r="BW164" s="6"/>
      <c r="BX164" s="6"/>
      <c r="BY164" s="6"/>
      <c r="BZ164" s="6"/>
    </row>
    <row r="165">
      <c r="A165" s="12">
        <f>IFERROR(__xludf.DUMMYFUNCTION("""COMPUTED_VALUE"""),1.091889924E9)</f>
        <v>1091889924</v>
      </c>
      <c r="B165" s="6">
        <f>IFERROR(__xludf.DUMMYFUNCTION("""COMPUTED_VALUE"""),13.0)</f>
        <v>13</v>
      </c>
      <c r="C165" s="6" t="str">
        <f>IFERROR(__xludf.DUMMYFUNCTION("""COMPUTED_VALUE"""),"Clemente")</f>
        <v>Clemente</v>
      </c>
      <c r="D165" s="6"/>
      <c r="E165" s="6" t="str">
        <f>IFERROR(__xludf.DUMMYFUNCTION("""COMPUTED_VALUE"""),"Pino Toro")</f>
        <v>Pino Toro</v>
      </c>
      <c r="F165" s="6" t="str">
        <f>IFERROR(__xludf.DUMMYFUNCTION("""COMPUTED_VALUE"""),"El Retiro Torre 7 Apto 301 - Calle 19Nte No12 - 49")</f>
        <v>El Retiro Torre 7 Apto 301 - Calle 19Nte No12 - 49</v>
      </c>
      <c r="G165" s="12" t="str">
        <f>IFERROR(__xludf.DUMMYFUNCTION("""COMPUTED_VALUE"""),"2021")</f>
        <v>2021</v>
      </c>
      <c r="H165" s="6" t="str">
        <f>IFERROR(__xludf.DUMMYFUNCTION("""COMPUTED_VALUE"""),"Noviembre")</f>
        <v>Noviembre</v>
      </c>
      <c r="I165" s="12" t="str">
        <f>IFERROR(__xludf.DUMMYFUNCTION("""COMPUTED_VALUE"""),"18")</f>
        <v>18</v>
      </c>
      <c r="J165" s="6" t="str">
        <f>IFERROR(__xludf.DUMMYFUNCTION("""COMPUTED_VALUE"""),"Armenia")</f>
        <v>Armenia</v>
      </c>
      <c r="K165" s="6" t="str">
        <f>IFERROR(__xludf.DUMMYFUNCTION("""COMPUTED_VALUE"""),"clemente.p2039@gi.edu.co")</f>
        <v>clemente.p2039@gi.edu.co</v>
      </c>
      <c r="L165" s="6" t="str">
        <f>IFERROR(__xludf.DUMMYFUNCTION("""COMPUTED_VALUE"""),"RC")</f>
        <v>RC</v>
      </c>
      <c r="M165" s="6" t="str">
        <f>IFERROR(__xludf.DUMMYFUNCTION("""COMPUTED_VALUE"""),"Armenia")</f>
        <v>Armenia</v>
      </c>
      <c r="N165" s="6" t="str">
        <f>IFERROR(__xludf.DUMMYFUNCTION("""COMPUTED_VALUE"""),"M")</f>
        <v>M</v>
      </c>
      <c r="O165" s="6" t="str">
        <f>IFERROR(__xludf.DUMMYFUNCTION("""COMPUTED_VALUE"""),"ACTIVE")</f>
        <v>ACTIVE</v>
      </c>
      <c r="P165" s="6"/>
      <c r="Q165" s="6" t="str">
        <f>IFERROR(__xludf.DUMMYFUNCTION("""COMPUTED_VALUE"""),"Armenia")</f>
        <v>Armenia</v>
      </c>
      <c r="R165" s="12" t="str">
        <f>IFERROR(__xludf.DUMMYFUNCTION("""COMPUTED_VALUE"""),"Gi28c4h*")</f>
        <v>Gi28c4h*</v>
      </c>
      <c r="S165" s="6" t="str">
        <f>IFERROR(__xludf.DUMMYFUNCTION("""COMPUTED_VALUE"""),"Pino Toro Clemente ")</f>
        <v>Pino Toro Clemente </v>
      </c>
      <c r="T165" s="6" t="str">
        <f>IFERROR(__xludf.DUMMYFUNCTION("""COMPUTED_VALUE"""),"JORGE MARIO PINO RAMIREZ")</f>
        <v>JORGE MARIO PINO RAMIREZ</v>
      </c>
      <c r="U165" s="12" t="str">
        <f>IFERROR(__xludf.DUMMYFUNCTION("""COMPUTED_VALUE"""),"9733276")</f>
        <v>9733276</v>
      </c>
      <c r="V165" s="6">
        <f>IFERROR(__xludf.DUMMYFUNCTION("""COMPUTED_VALUE"""),3.006141293E9)</f>
        <v>3006141293</v>
      </c>
      <c r="W165" s="6" t="str">
        <f>IFERROR(__xludf.DUMMYFUNCTION("""COMPUTED_VALUE"""),"jpinoram@gmail.com")</f>
        <v>jpinoram@gmail.com</v>
      </c>
      <c r="X165" s="12" t="str">
        <f>IFERROR(__xludf.DUMMYFUNCTION("""COMPUTED_VALUE"""),"A+")</f>
        <v>A+</v>
      </c>
      <c r="Y165" s="12" t="str">
        <f>IFERROR(__xludf.DUMMYFUNCTION("""COMPUTED_VALUE"""),"K5")</f>
        <v>K5</v>
      </c>
      <c r="Z165" s="12">
        <f>IFERROR(__xludf.DUMMYFUNCTION("""COMPUTED_VALUE"""),120351.0)</f>
        <v>120351</v>
      </c>
      <c r="AA165" s="6" t="str">
        <f>IFERROR(__xludf.DUMMYFUNCTION("""COMPUTED_VALUE"""),"SURA")</f>
        <v>SURA</v>
      </c>
      <c r="AB165" s="6"/>
      <c r="AC165" s="6"/>
      <c r="AD165" s="12" t="str">
        <f>IFERROR(__xludf.DUMMYFUNCTION("""COMPUTED_VALUE"""),"K5C")</f>
        <v>K5C</v>
      </c>
      <c r="AE165" s="12" t="str">
        <f>IFERROR(__xludf.DUMMYFUNCTION("""COMPUTED_VALUE"""),"1345282324")</f>
        <v>1345282324</v>
      </c>
      <c r="AF165" s="12" t="str">
        <f>IFERROR(__xludf.DUMMYFUNCTION("""COMPUTED_VALUE"""),"1345282324")</f>
        <v>1345282324</v>
      </c>
      <c r="AG165" s="12" t="str">
        <f>IFERROR(__xludf.DUMMYFUNCTION("""COMPUTED_VALUE"""),"Lina")</f>
        <v>Lina</v>
      </c>
      <c r="AH165" s="12" t="str">
        <f>IFERROR(__xludf.DUMMYFUNCTION("""COMPUTED_VALUE"""),"Mercedes")</f>
        <v>Mercedes</v>
      </c>
      <c r="AI165" s="6" t="str">
        <f>IFERROR(__xludf.DUMMYFUNCTION("""COMPUTED_VALUE"""),"Toro Cardenas")</f>
        <v>Toro Cardenas</v>
      </c>
      <c r="AJ165" s="6" t="str">
        <f>IFERROR(__xludf.DUMMYFUNCTION("""COMPUTED_VALUE"""),"lina.toro@hotmail.com")</f>
        <v>lina.toro@hotmail.com</v>
      </c>
      <c r="AK165" s="6" t="str">
        <f>IFERROR(__xludf.DUMMYFUNCTION("""COMPUTED_VALUE"""),"Ingeniera Electrónica")</f>
        <v>Ingeniera Electrónica</v>
      </c>
      <c r="AL165" s="6" t="str">
        <f>IFERROR(__xludf.DUMMYFUNCTION("""COMPUTED_VALUE"""),"Legrand Colombia S.A.")</f>
        <v>Legrand Colombia S.A.</v>
      </c>
      <c r="AM165" s="12" t="str">
        <f>IFERROR(__xludf.DUMMYFUNCTION("""COMPUTED_VALUE"""),"41957484")</f>
        <v>41957484</v>
      </c>
      <c r="AN165" s="12" t="str">
        <f>IFERROR(__xludf.DUMMYFUNCTION("""COMPUTED_VALUE"""),"3156209092")</f>
        <v>3156209092</v>
      </c>
      <c r="AO165" s="6" t="str">
        <f>IFERROR(__xludf.DUMMYFUNCTION("""COMPUTED_VALUE"""),"Madre")</f>
        <v>Madre</v>
      </c>
      <c r="AP165" s="6" t="str">
        <f>IFERROR(__xludf.DUMMYFUNCTION("""COMPUTED_VALUE"""),"Estudiante(s): Pino Toro")</f>
        <v>Estudiante(s): Pino Toro</v>
      </c>
      <c r="AQ165" s="6" t="str">
        <f>IFERROR(__xludf.DUMMYFUNCTION("""COMPUTED_VALUE"""),"120351*Gi")</f>
        <v>120351*Gi</v>
      </c>
      <c r="AR165" s="6" t="str">
        <f>IFERROR(__xludf.DUMMYFUNCTION("""COMPUTED_VALUE"""),"Jorge")</f>
        <v>Jorge</v>
      </c>
      <c r="AS165" s="6" t="str">
        <f>IFERROR(__xludf.DUMMYFUNCTION("""COMPUTED_VALUE"""),"Mario")</f>
        <v>Mario</v>
      </c>
      <c r="AT165" s="6" t="str">
        <f>IFERROR(__xludf.DUMMYFUNCTION("""COMPUTED_VALUE"""),"Pino Ramirez")</f>
        <v>Pino Ramirez</v>
      </c>
      <c r="AU165" s="6" t="str">
        <f>IFERROR(__xludf.DUMMYFUNCTION("""COMPUTED_VALUE"""),"jpinoram@gmail.com")</f>
        <v>jpinoram@gmail.com</v>
      </c>
      <c r="AV165" s="6" t="str">
        <f>IFERROR(__xludf.DUMMYFUNCTION("""COMPUTED_VALUE"""),"Ingeniero Civil")</f>
        <v>Ingeniero Civil</v>
      </c>
      <c r="AW165" s="6" t="str">
        <f>IFERROR(__xludf.DUMMYFUNCTION("""COMPUTED_VALUE"""),"URBANSA S.A.")</f>
        <v>URBANSA S.A.</v>
      </c>
      <c r="AX165" s="12" t="str">
        <f>IFERROR(__xludf.DUMMYFUNCTION("""COMPUTED_VALUE"""),"9733276")</f>
        <v>9733276</v>
      </c>
      <c r="AY165" s="12">
        <f>IFERROR(__xludf.DUMMYFUNCTION("""COMPUTED_VALUE"""),3.006141293E9)</f>
        <v>3006141293</v>
      </c>
      <c r="AZ165" s="6" t="str">
        <f>IFERROR(__xludf.DUMMYFUNCTION("""COMPUTED_VALUE"""),"Padre")</f>
        <v>Padre</v>
      </c>
      <c r="BA165" s="6"/>
      <c r="BB165" s="6"/>
      <c r="BC165" s="6"/>
      <c r="BD165" s="12" t="str">
        <f>IFERROR(__xludf.DUMMYFUNCTION("""COMPUTED_VALUE"""),"pin0007")</f>
        <v>pin0007</v>
      </c>
      <c r="BE165" s="6"/>
      <c r="BF165" s="6"/>
      <c r="BG165" s="6">
        <f>IFERROR(__xludf.DUMMYFUNCTION("""COMPUTED_VALUE"""),2039.0)</f>
        <v>2039</v>
      </c>
      <c r="BH165" s="15">
        <f>IFERROR(__xludf.DUMMYFUNCTION("""COMPUTED_VALUE"""),46209.36827546296)</f>
        <v>46209.36828</v>
      </c>
      <c r="BI165" s="6">
        <f>IFERROR(__xludf.DUMMYFUNCTION("""COMPUTED_VALUE"""),164.0)</f>
        <v>164</v>
      </c>
      <c r="BJ165" s="6"/>
      <c r="BK165" s="6"/>
      <c r="BL165" s="6" t="str">
        <f>IFERROR(__xludf.DUMMYFUNCTION("""COMPUTED_VALUE"""),"GISPIN0007")</f>
        <v>GISPIN0007</v>
      </c>
      <c r="BM165" s="6"/>
      <c r="BN165" s="6"/>
      <c r="BO165" s="6" t="str">
        <f>IFERROR(__xludf.DUMMYFUNCTION("""COMPUTED_VALUE"""),"XC_K5_Futbol")</f>
        <v>XC_K5_Futbol</v>
      </c>
      <c r="BP165" s="6"/>
      <c r="BQ165" s="6"/>
      <c r="BR165" s="6" t="str">
        <f>IFERROR(__xludf.DUMMYFUNCTION("""COMPUTED_VALUE"""),"XC_K5_Futbol")</f>
        <v>XC_K5_Futbol</v>
      </c>
      <c r="BS165" s="6" t="str">
        <f>IFERROR(__xludf.DUMMYFUNCTION("""COMPUTED_VALUE"""),"XC_K5_IniciaDanzas")</f>
        <v>XC_K5_IniciaDanzas</v>
      </c>
      <c r="BT165" s="6"/>
      <c r="BU165" s="6" t="str">
        <f>IFERROR(__xludf.DUMMYFUNCTION("""COMPUTED_VALUE"""),"SI")</f>
        <v>SI</v>
      </c>
      <c r="BV165" s="6" t="str">
        <f>IFERROR(__xludf.DUMMYFUNCTION("""COMPUTED_VALUE"""),"clemente.p2039")</f>
        <v>clemente.p2039</v>
      </c>
      <c r="BW165" s="6"/>
      <c r="BX165" s="6"/>
      <c r="BY165" s="6"/>
      <c r="BZ165" s="6"/>
    </row>
    <row r="166">
      <c r="A166" s="12">
        <f>IFERROR(__xludf.DUMMYFUNCTION("""COMPUTED_VALUE"""),1.117035274E9)</f>
        <v>1117035274</v>
      </c>
      <c r="B166" s="6">
        <f>IFERROR(__xludf.DUMMYFUNCTION("""COMPUTED_VALUE"""),14.0)</f>
        <v>14</v>
      </c>
      <c r="C166" s="6" t="str">
        <f>IFERROR(__xludf.DUMMYFUNCTION("""COMPUTED_VALUE"""),"Simona")</f>
        <v>Simona</v>
      </c>
      <c r="D166" s="6"/>
      <c r="E166" s="6" t="str">
        <f>IFERROR(__xludf.DUMMYFUNCTION("""COMPUTED_VALUE"""),"Quintero Villegas")</f>
        <v>Quintero Villegas</v>
      </c>
      <c r="F166" s="6" t="str">
        <f>IFERROR(__xludf.DUMMYFUNCTION("""COMPUTED_VALUE"""),"Lagos de Iraka Casas de Campo Casa 24b - Km 12 Via Armenia - El Caimo")</f>
        <v>Lagos de Iraka Casas de Campo Casa 24b - Km 12 Via Armenia - El Caimo</v>
      </c>
      <c r="G166" s="12" t="str">
        <f>IFERROR(__xludf.DUMMYFUNCTION("""COMPUTED_VALUE"""),"2021")</f>
        <v>2021</v>
      </c>
      <c r="H166" s="6" t="str">
        <f>IFERROR(__xludf.DUMMYFUNCTION("""COMPUTED_VALUE"""),"Junio")</f>
        <v>Junio</v>
      </c>
      <c r="I166" s="12" t="str">
        <f>IFERROR(__xludf.DUMMYFUNCTION("""COMPUTED_VALUE"""),"3")</f>
        <v>3</v>
      </c>
      <c r="J166" s="6" t="str">
        <f>IFERROR(__xludf.DUMMYFUNCTION("""COMPUTED_VALUE"""),"Tuluá")</f>
        <v>Tuluá</v>
      </c>
      <c r="K166" s="6" t="str">
        <f>IFERROR(__xludf.DUMMYFUNCTION("""COMPUTED_VALUE"""),"simona.q2039@gi.edu.co")</f>
        <v>simona.q2039@gi.edu.co</v>
      </c>
      <c r="L166" s="6" t="str">
        <f>IFERROR(__xludf.DUMMYFUNCTION("""COMPUTED_VALUE"""),"RC")</f>
        <v>RC</v>
      </c>
      <c r="M166" s="6" t="str">
        <f>IFERROR(__xludf.DUMMYFUNCTION("""COMPUTED_VALUE"""),"Tuluá")</f>
        <v>Tuluá</v>
      </c>
      <c r="N166" s="6" t="str">
        <f>IFERROR(__xludf.DUMMYFUNCTION("""COMPUTED_VALUE"""),"F")</f>
        <v>F</v>
      </c>
      <c r="O166" s="6" t="str">
        <f>IFERROR(__xludf.DUMMYFUNCTION("""COMPUTED_VALUE"""),"ACTIVE")</f>
        <v>ACTIVE</v>
      </c>
      <c r="P166" s="6"/>
      <c r="Q166" s="6" t="str">
        <f>IFERROR(__xludf.DUMMYFUNCTION("""COMPUTED_VALUE"""),"Armenia")</f>
        <v>Armenia</v>
      </c>
      <c r="R166" s="12" t="str">
        <f>IFERROR(__xludf.DUMMYFUNCTION("""COMPUTED_VALUE"""),"Gidvk642w*")</f>
        <v>Gidvk642w*</v>
      </c>
      <c r="S166" s="6" t="str">
        <f>IFERROR(__xludf.DUMMYFUNCTION("""COMPUTED_VALUE"""),"Quintero Villegas Simona ")</f>
        <v>Quintero Villegas Simona </v>
      </c>
      <c r="T166" s="6" t="str">
        <f>IFERROR(__xludf.DUMMYFUNCTION("""COMPUTED_VALUE"""),"ALEXANDRA VILLEGAS TOBON")</f>
        <v>ALEXANDRA VILLEGAS TOBON</v>
      </c>
      <c r="U166" s="12" t="str">
        <f>IFERROR(__xludf.DUMMYFUNCTION("""COMPUTED_VALUE"""),"1130671438")</f>
        <v>1130671438</v>
      </c>
      <c r="V166" s="6">
        <f>IFERROR(__xludf.DUMMYFUNCTION("""COMPUTED_VALUE"""),3.186310384E9)</f>
        <v>3186310384</v>
      </c>
      <c r="W166" s="6" t="str">
        <f>IFERROR(__xludf.DUMMYFUNCTION("""COMPUTED_VALUE"""),"alexvt07@hotmail.com")</f>
        <v>alexvt07@hotmail.com</v>
      </c>
      <c r="X166" s="12" t="str">
        <f>IFERROR(__xludf.DUMMYFUNCTION("""COMPUTED_VALUE"""),"O+")</f>
        <v>O+</v>
      </c>
      <c r="Y166" s="12" t="str">
        <f>IFERROR(__xludf.DUMMYFUNCTION("""COMPUTED_VALUE"""),"K5")</f>
        <v>K5</v>
      </c>
      <c r="Z166" s="12">
        <f>IFERROR(__xludf.DUMMYFUNCTION("""COMPUTED_VALUE"""),120406.0)</f>
        <v>120406</v>
      </c>
      <c r="AA166" s="6" t="str">
        <f>IFERROR(__xludf.DUMMYFUNCTION("""COMPUTED_VALUE"""),"SURA")</f>
        <v>SURA</v>
      </c>
      <c r="AB166" s="6"/>
      <c r="AC166" s="6"/>
      <c r="AD166" s="12" t="str">
        <f>IFERROR(__xludf.DUMMYFUNCTION("""COMPUTED_VALUE"""),"K5C")</f>
        <v>K5C</v>
      </c>
      <c r="AE166" s="12" t="str">
        <f>IFERROR(__xludf.DUMMYFUNCTION("""COMPUTED_VALUE"""),"1345282407")</f>
        <v>1345282407</v>
      </c>
      <c r="AF166" s="12" t="str">
        <f>IFERROR(__xludf.DUMMYFUNCTION("""COMPUTED_VALUE"""),"1345282407")</f>
        <v>1345282407</v>
      </c>
      <c r="AG166" s="12" t="str">
        <f>IFERROR(__xludf.DUMMYFUNCTION("""COMPUTED_VALUE"""),"Alexandra")</f>
        <v>Alexandra</v>
      </c>
      <c r="AH166" s="6"/>
      <c r="AI166" s="6" t="str">
        <f>IFERROR(__xludf.DUMMYFUNCTION("""COMPUTED_VALUE"""),"Villegas Tobón")</f>
        <v>Villegas Tobón</v>
      </c>
      <c r="AJ166" s="6" t="str">
        <f>IFERROR(__xludf.DUMMYFUNCTION("""COMPUTED_VALUE"""),"alexvt07@hotmail.com")</f>
        <v>alexvt07@hotmail.com</v>
      </c>
      <c r="AK166" s="6" t="str">
        <f>IFERROR(__xludf.DUMMYFUNCTION("""COMPUTED_VALUE"""),"medico internista")</f>
        <v>medico internista</v>
      </c>
      <c r="AL166" s="6" t="str">
        <f>IFERROR(__xludf.DUMMYFUNCTION("""COMPUTED_VALUE"""),"CHRISTUS SINERGIA, IDIME, COMFANDI")</f>
        <v>CHRISTUS SINERGIA, IDIME, COMFANDI</v>
      </c>
      <c r="AM166" s="12" t="str">
        <f>IFERROR(__xludf.DUMMYFUNCTION("""COMPUTED_VALUE"""),"1130671438")</f>
        <v>1130671438</v>
      </c>
      <c r="AN166" s="12" t="str">
        <f>IFERROR(__xludf.DUMMYFUNCTION("""COMPUTED_VALUE"""),"3186310384")</f>
        <v>3186310384</v>
      </c>
      <c r="AO166" s="6" t="str">
        <f>IFERROR(__xludf.DUMMYFUNCTION("""COMPUTED_VALUE"""),"Madre")</f>
        <v>Madre</v>
      </c>
      <c r="AP166" s="6" t="str">
        <f>IFERROR(__xludf.DUMMYFUNCTION("""COMPUTED_VALUE"""),"Estudiante(s): Quintero Villegas")</f>
        <v>Estudiante(s): Quintero Villegas</v>
      </c>
      <c r="AQ166" s="6" t="str">
        <f>IFERROR(__xludf.DUMMYFUNCTION("""COMPUTED_VALUE"""),"120406*Gi")</f>
        <v>120406*Gi</v>
      </c>
      <c r="AR166" s="6" t="str">
        <f>IFERROR(__xludf.DUMMYFUNCTION("""COMPUTED_VALUE"""),"Juan")</f>
        <v>Juan</v>
      </c>
      <c r="AS166" s="6" t="str">
        <f>IFERROR(__xludf.DUMMYFUNCTION("""COMPUTED_VALUE"""),"Guillermo")</f>
        <v>Guillermo</v>
      </c>
      <c r="AT166" s="6" t="str">
        <f>IFERROR(__xludf.DUMMYFUNCTION("""COMPUTED_VALUE"""),"Quintero Benitez")</f>
        <v>Quintero Benitez</v>
      </c>
      <c r="AU166" s="6" t="str">
        <f>IFERROR(__xludf.DUMMYFUNCTION("""COMPUTED_VALUE"""),"juang.quintero@hotmail.com")</f>
        <v>juang.quintero@hotmail.com</v>
      </c>
      <c r="AV166" s="6" t="str">
        <f>IFERROR(__xludf.DUMMYFUNCTION("""COMPUTED_VALUE"""),"medico internista")</f>
        <v>medico internista</v>
      </c>
      <c r="AW166" s="6" t="str">
        <f>IFERROR(__xludf.DUMMYFUNCTION("""COMPUTED_VALUE"""),"CHRISTUS SINERGIA, IDIME, COMFANDI")</f>
        <v>CHRISTUS SINERGIA, IDIME, COMFANDI</v>
      </c>
      <c r="AX166" s="12" t="str">
        <f>IFERROR(__xludf.DUMMYFUNCTION("""COMPUTED_VALUE"""),"16554133")</f>
        <v>16554133</v>
      </c>
      <c r="AY166" s="12">
        <f>IFERROR(__xludf.DUMMYFUNCTION("""COMPUTED_VALUE"""),3.206803598E9)</f>
        <v>3206803598</v>
      </c>
      <c r="AZ166" s="6" t="str">
        <f>IFERROR(__xludf.DUMMYFUNCTION("""COMPUTED_VALUE"""),"Padre")</f>
        <v>Padre</v>
      </c>
      <c r="BA166" s="6"/>
      <c r="BB166" s="6"/>
      <c r="BC166" s="6"/>
      <c r="BD166" s="12" t="str">
        <f>IFERROR(__xludf.DUMMYFUNCTION("""COMPUTED_VALUE"""),"qui0007")</f>
        <v>qui0007</v>
      </c>
      <c r="BE166" s="6"/>
      <c r="BF166" s="6"/>
      <c r="BG166" s="6">
        <f>IFERROR(__xludf.DUMMYFUNCTION("""COMPUTED_VALUE"""),2039.0)</f>
        <v>2039</v>
      </c>
      <c r="BH166" s="15">
        <f>IFERROR(__xludf.DUMMYFUNCTION("""COMPUTED_VALUE"""),46213.85980324074)</f>
        <v>46213.8598</v>
      </c>
      <c r="BI166" s="6">
        <f>IFERROR(__xludf.DUMMYFUNCTION("""COMPUTED_VALUE"""),165.0)</f>
        <v>165</v>
      </c>
      <c r="BJ166" s="6"/>
      <c r="BK166" s="6"/>
      <c r="BL166" s="6" t="str">
        <f>IFERROR(__xludf.DUMMYFUNCTION("""COMPUTED_VALUE"""),"GISQUI0007")</f>
        <v>GISQUI0007</v>
      </c>
      <c r="BM166" s="6"/>
      <c r="BN166" s="6"/>
      <c r="BO166" s="6"/>
      <c r="BP166" s="6"/>
      <c r="BQ166" s="6"/>
      <c r="BR166" s="6"/>
      <c r="BS166" s="6"/>
      <c r="BT166" s="6"/>
      <c r="BU166" s="6" t="str">
        <f>IFERROR(__xludf.DUMMYFUNCTION("""COMPUTED_VALUE"""),"SI")</f>
        <v>SI</v>
      </c>
      <c r="BV166" s="6" t="str">
        <f>IFERROR(__xludf.DUMMYFUNCTION("""COMPUTED_VALUE"""),"simona.q2039")</f>
        <v>simona.q2039</v>
      </c>
      <c r="BW166" s="6"/>
      <c r="BX166" s="6"/>
      <c r="BY166" s="6"/>
      <c r="BZ166" s="6"/>
    </row>
    <row r="167">
      <c r="A167" s="12">
        <f>IFERROR(__xludf.DUMMYFUNCTION("""COMPUTED_VALUE"""),1.092467338E9)</f>
        <v>1092467338</v>
      </c>
      <c r="B167" s="6">
        <f>IFERROR(__xludf.DUMMYFUNCTION("""COMPUTED_VALUE"""),15.0)</f>
        <v>15</v>
      </c>
      <c r="C167" s="6" t="str">
        <f>IFERROR(__xludf.DUMMYFUNCTION("""COMPUTED_VALUE"""),"Celeste")</f>
        <v>Celeste</v>
      </c>
      <c r="D167" s="6"/>
      <c r="E167" s="6" t="str">
        <f>IFERROR(__xludf.DUMMYFUNCTION("""COMPUTED_VALUE"""),"Ramírez Jaramillo")</f>
        <v>Ramírez Jaramillo</v>
      </c>
      <c r="F167" s="6" t="str">
        <f>IFERROR(__xludf.DUMMYFUNCTION("""COMPUTED_VALUE"""),"Senderos de Bruselas Casa 53 - El Caimo")</f>
        <v>Senderos de Bruselas Casa 53 - El Caimo</v>
      </c>
      <c r="G167" s="12">
        <f>IFERROR(__xludf.DUMMYFUNCTION("""COMPUTED_VALUE"""),2021.0)</f>
        <v>2021</v>
      </c>
      <c r="H167" s="6" t="str">
        <f>IFERROR(__xludf.DUMMYFUNCTION("""COMPUTED_VALUE"""),"Agosto")</f>
        <v>Agosto</v>
      </c>
      <c r="I167" s="12">
        <f>IFERROR(__xludf.DUMMYFUNCTION("""COMPUTED_VALUE"""),5.0)</f>
        <v>5</v>
      </c>
      <c r="J167" s="6" t="str">
        <f>IFERROR(__xludf.DUMMYFUNCTION("""COMPUTED_VALUE"""),"Armenia")</f>
        <v>Armenia</v>
      </c>
      <c r="K167" s="6" t="str">
        <f>IFERROR(__xludf.DUMMYFUNCTION("""COMPUTED_VALUE"""),"celeste.r2039@gi.edu.co")</f>
        <v>celeste.r2039@gi.edu.co</v>
      </c>
      <c r="L167" s="6" t="str">
        <f>IFERROR(__xludf.DUMMYFUNCTION("""COMPUTED_VALUE"""),"RC")</f>
        <v>RC</v>
      </c>
      <c r="M167" s="6" t="str">
        <f>IFERROR(__xludf.DUMMYFUNCTION("""COMPUTED_VALUE"""),"Armenia")</f>
        <v>Armenia</v>
      </c>
      <c r="N167" s="6" t="str">
        <f>IFERROR(__xludf.DUMMYFUNCTION("""COMPUTED_VALUE"""),"F")</f>
        <v>F</v>
      </c>
      <c r="O167" s="6" t="str">
        <f>IFERROR(__xludf.DUMMYFUNCTION("""COMPUTED_VALUE"""),"INACTIVE")</f>
        <v>INACTIVE</v>
      </c>
      <c r="P167" s="6"/>
      <c r="Q167" s="6" t="str">
        <f>IFERROR(__xludf.DUMMYFUNCTION("""COMPUTED_VALUE"""),"Armenia")</f>
        <v>Armenia</v>
      </c>
      <c r="R167" s="12" t="str">
        <f>IFERROR(__xludf.DUMMYFUNCTION("""COMPUTED_VALUE"""),"Gi7x6ujfr*")</f>
        <v>Gi7x6ujfr*</v>
      </c>
      <c r="S167" s="6" t="str">
        <f>IFERROR(__xludf.DUMMYFUNCTION("""COMPUTED_VALUE"""),"Ramírez Jaramillo Celeste ")</f>
        <v>Ramírez Jaramillo Celeste </v>
      </c>
      <c r="T167" s="6" t="str">
        <f>IFERROR(__xludf.DUMMYFUNCTION("""COMPUTED_VALUE"""),"JOSE ALEXANDER RAMIREZ GUTIERREZ")</f>
        <v>JOSE ALEXANDER RAMIREZ GUTIERREZ</v>
      </c>
      <c r="U167" s="12" t="str">
        <f>IFERROR(__xludf.DUMMYFUNCTION("""COMPUTED_VALUE"""),"10009205")</f>
        <v>10009205</v>
      </c>
      <c r="V167" s="6">
        <f>IFERROR(__xludf.DUMMYFUNCTION("""COMPUTED_VALUE"""),3.218725757E9)</f>
        <v>3218725757</v>
      </c>
      <c r="W167" s="6" t="str">
        <f>IFERROR(__xludf.DUMMYFUNCTION("""COMPUTED_VALUE"""),"alexander-ramirezg@hotmail.com")</f>
        <v>alexander-ramirezg@hotmail.com</v>
      </c>
      <c r="X167" s="12" t="str">
        <f>IFERROR(__xludf.DUMMYFUNCTION("""COMPUTED_VALUE"""),"O+")</f>
        <v>O+</v>
      </c>
      <c r="Y167" s="12" t="str">
        <f>IFERROR(__xludf.DUMMYFUNCTION("""COMPUTED_VALUE"""),"K5")</f>
        <v>K5</v>
      </c>
      <c r="Z167" s="12">
        <f>IFERROR(__xludf.DUMMYFUNCTION("""COMPUTED_VALUE"""),120450.0)</f>
        <v>120450</v>
      </c>
      <c r="AA167" s="6" t="str">
        <f>IFERROR(__xludf.DUMMYFUNCTION("""COMPUTED_VALUE"""),"SALUD TOTAL")</f>
        <v>SALUD TOTAL</v>
      </c>
      <c r="AB167" s="6"/>
      <c r="AC167" s="6"/>
      <c r="AD167" s="12" t="str">
        <f>IFERROR(__xludf.DUMMYFUNCTION("""COMPUTED_VALUE"""),"K5C")</f>
        <v>K5C</v>
      </c>
      <c r="AE167" s="12" t="str">
        <f>IFERROR(__xludf.DUMMYFUNCTION("""COMPUTED_VALUE"""),"1345282449")</f>
        <v>1345282449</v>
      </c>
      <c r="AF167" s="12" t="str">
        <f>IFERROR(__xludf.DUMMYFUNCTION("""COMPUTED_VALUE"""),"1345282449")</f>
        <v>1345282449</v>
      </c>
      <c r="AG167" s="12" t="str">
        <f>IFERROR(__xludf.DUMMYFUNCTION("""COMPUTED_VALUE"""),"Mónica")</f>
        <v>Mónica</v>
      </c>
      <c r="AH167" s="12" t="str">
        <f>IFERROR(__xludf.DUMMYFUNCTION("""COMPUTED_VALUE"""),"María")</f>
        <v>María</v>
      </c>
      <c r="AI167" s="6" t="str">
        <f>IFERROR(__xludf.DUMMYFUNCTION("""COMPUTED_VALUE"""),"Jaramillo Londoño")</f>
        <v>Jaramillo Londoño</v>
      </c>
      <c r="AJ167" s="6" t="str">
        <f>IFERROR(__xludf.DUMMYFUNCTION("""COMPUTED_VALUE"""),"monicajaramillo0205@hotmail.com")</f>
        <v>monicajaramillo0205@hotmail.com</v>
      </c>
      <c r="AK167" s="6" t="str">
        <f>IFERROR(__xludf.DUMMYFUNCTION("""COMPUTED_VALUE"""),"COMERCIANTE")</f>
        <v>COMERCIANTE</v>
      </c>
      <c r="AL167" s="6" t="str">
        <f>IFERROR(__xludf.DUMMYFUNCTION("""COMPUTED_VALUE"""),"FINCA HOTEL VILLA CELESTE")</f>
        <v>FINCA HOTEL VILLA CELESTE</v>
      </c>
      <c r="AM167" s="12" t="str">
        <f>IFERROR(__xludf.DUMMYFUNCTION("""COMPUTED_VALUE"""),"1094881505")</f>
        <v>1094881505</v>
      </c>
      <c r="AN167" s="12" t="str">
        <f>IFERROR(__xludf.DUMMYFUNCTION("""COMPUTED_VALUE"""),"3134991407")</f>
        <v>3134991407</v>
      </c>
      <c r="AO167" s="6" t="str">
        <f>IFERROR(__xludf.DUMMYFUNCTION("""COMPUTED_VALUE"""),"Madre")</f>
        <v>Madre</v>
      </c>
      <c r="AP167" s="6" t="str">
        <f>IFERROR(__xludf.DUMMYFUNCTION("""COMPUTED_VALUE"""),"Estudiante(s): Ramírez Jaramillo")</f>
        <v>Estudiante(s): Ramírez Jaramillo</v>
      </c>
      <c r="AQ167" s="6" t="str">
        <f>IFERROR(__xludf.DUMMYFUNCTION("""COMPUTED_VALUE"""),"120450*Gi")</f>
        <v>120450*Gi</v>
      </c>
      <c r="AR167" s="6" t="str">
        <f>IFERROR(__xludf.DUMMYFUNCTION("""COMPUTED_VALUE"""),"José")</f>
        <v>José</v>
      </c>
      <c r="AS167" s="6" t="str">
        <f>IFERROR(__xludf.DUMMYFUNCTION("""COMPUTED_VALUE"""),"Alexander")</f>
        <v>Alexander</v>
      </c>
      <c r="AT167" s="6" t="str">
        <f>IFERROR(__xludf.DUMMYFUNCTION("""COMPUTED_VALUE"""),"Ramírez Gutiérrez")</f>
        <v>Ramírez Gutiérrez</v>
      </c>
      <c r="AU167" s="6" t="str">
        <f>IFERROR(__xludf.DUMMYFUNCTION("""COMPUTED_VALUE"""),"alexander-ramirezg@hotmail.com")</f>
        <v>alexander-ramirezg@hotmail.com</v>
      </c>
      <c r="AV167" s="6" t="str">
        <f>IFERROR(__xludf.DUMMYFUNCTION("""COMPUTED_VALUE"""),"ASESOR EN COMERCIO EXTERIOR")</f>
        <v>ASESOR EN COMERCIO EXTERIOR</v>
      </c>
      <c r="AW167" s="6"/>
      <c r="AX167" s="12" t="str">
        <f>IFERROR(__xludf.DUMMYFUNCTION("""COMPUTED_VALUE"""),"10009205")</f>
        <v>10009205</v>
      </c>
      <c r="AY167" s="12" t="str">
        <f>IFERROR(__xludf.DUMMYFUNCTION("""COMPUTED_VALUE"""),"3218725757")</f>
        <v>3218725757</v>
      </c>
      <c r="AZ167" s="6" t="str">
        <f>IFERROR(__xludf.DUMMYFUNCTION("""COMPUTED_VALUE"""),"Padre")</f>
        <v>Padre</v>
      </c>
      <c r="BA167" s="6"/>
      <c r="BB167" s="6"/>
      <c r="BC167" s="6"/>
      <c r="BD167" s="12" t="str">
        <f>IFERROR(__xludf.DUMMYFUNCTION("""COMPUTED_VALUE"""),"ram0018")</f>
        <v>ram0018</v>
      </c>
      <c r="BE167" s="6" t="str">
        <f>IFERROR(__xludf.DUMMYFUNCTION("""COMPUTED_VALUE"""),"FALTAN FIRMAS")</f>
        <v>FALTAN FIRMAS</v>
      </c>
      <c r="BF167" s="6"/>
      <c r="BG167" s="6">
        <f>IFERROR(__xludf.DUMMYFUNCTION("""COMPUTED_VALUE"""),2039.0)</f>
        <v>2039</v>
      </c>
      <c r="BH167" s="15">
        <f>IFERROR(__xludf.DUMMYFUNCTION("""COMPUTED_VALUE"""),46205.398206018515)</f>
        <v>46205.39821</v>
      </c>
      <c r="BI167" s="6">
        <f>IFERROR(__xludf.DUMMYFUNCTION("""COMPUTED_VALUE"""),166.0)</f>
        <v>166</v>
      </c>
      <c r="BJ167" s="6"/>
      <c r="BK167" s="6"/>
      <c r="BL167" s="6" t="str">
        <f>IFERROR(__xludf.DUMMYFUNCTION("""COMPUTED_VALUE"""),"GISRAM0018")</f>
        <v>GISRAM0018</v>
      </c>
      <c r="BM167" s="6"/>
      <c r="BN167" s="6"/>
      <c r="BO167" s="6"/>
      <c r="BP167" s="6"/>
      <c r="BQ167" s="6"/>
      <c r="BR167" s="6"/>
      <c r="BS167" s="6"/>
      <c r="BT167" s="6"/>
      <c r="BU167" s="6" t="str">
        <f>IFERROR(__xludf.DUMMYFUNCTION("""COMPUTED_VALUE"""),"SI")</f>
        <v>SI</v>
      </c>
      <c r="BV167" s="6" t="str">
        <f>IFERROR(__xludf.DUMMYFUNCTION("""COMPUTED_VALUE"""),"celeste.r2039")</f>
        <v>celeste.r2039</v>
      </c>
      <c r="BW167" s="6"/>
      <c r="BX167" s="6"/>
      <c r="BY167" s="6"/>
      <c r="BZ167" s="6"/>
    </row>
    <row r="168">
      <c r="A168" s="12">
        <f>IFERROR(__xludf.DUMMYFUNCTION("""COMPUTED_VALUE"""),1.117361287E9)</f>
        <v>1117361287</v>
      </c>
      <c r="B168" s="6">
        <f>IFERROR(__xludf.DUMMYFUNCTION("""COMPUTED_VALUE"""),16.0)</f>
        <v>16</v>
      </c>
      <c r="C168" s="6" t="str">
        <f>IFERROR(__xludf.DUMMYFUNCTION("""COMPUTED_VALUE"""),"Emiliano")</f>
        <v>Emiliano</v>
      </c>
      <c r="D168" s="6"/>
      <c r="E168" s="6" t="str">
        <f>IFERROR(__xludf.DUMMYFUNCTION("""COMPUTED_VALUE"""),"Rodríguez Ruíz")</f>
        <v>Rodríguez Ruíz</v>
      </c>
      <c r="F168" s="6" t="str">
        <f>IFERROR(__xludf.DUMMYFUNCTION("""COMPUTED_VALUE"""),"Condominio el Tesoro Campestre Casa 57 - Altos del Rio Km 1 Via Armenia Calarca")</f>
        <v>Condominio el Tesoro Campestre Casa 57 - Altos del Rio Km 1 Via Armenia Calarca</v>
      </c>
      <c r="G168" s="12" t="str">
        <f>IFERROR(__xludf.DUMMYFUNCTION("""COMPUTED_VALUE"""),"2021")</f>
        <v>2021</v>
      </c>
      <c r="H168" s="6" t="str">
        <f>IFERROR(__xludf.DUMMYFUNCTION("""COMPUTED_VALUE"""),"Julio")</f>
        <v>Julio</v>
      </c>
      <c r="I168" s="12" t="str">
        <f>IFERROR(__xludf.DUMMYFUNCTION("""COMPUTED_VALUE"""),"24")</f>
        <v>24</v>
      </c>
      <c r="J168" s="6" t="str">
        <f>IFERROR(__xludf.DUMMYFUNCTION("""COMPUTED_VALUE"""),"Tulua")</f>
        <v>Tulua</v>
      </c>
      <c r="K168" s="6" t="str">
        <f>IFERROR(__xludf.DUMMYFUNCTION("""COMPUTED_VALUE"""),"emiliano.r2039@gi.edu.co")</f>
        <v>emiliano.r2039@gi.edu.co</v>
      </c>
      <c r="L168" s="6" t="str">
        <f>IFERROR(__xludf.DUMMYFUNCTION("""COMPUTED_VALUE"""),"RC")</f>
        <v>RC</v>
      </c>
      <c r="M168" s="6" t="str">
        <f>IFERROR(__xludf.DUMMYFUNCTION("""COMPUTED_VALUE"""),"Tuluá")</f>
        <v>Tuluá</v>
      </c>
      <c r="N168" s="6" t="str">
        <f>IFERROR(__xludf.DUMMYFUNCTION("""COMPUTED_VALUE"""),"M")</f>
        <v>M</v>
      </c>
      <c r="O168" s="6" t="str">
        <f>IFERROR(__xludf.DUMMYFUNCTION("""COMPUTED_VALUE"""),"ACTIVE")</f>
        <v>ACTIVE</v>
      </c>
      <c r="P168" s="6"/>
      <c r="Q168" s="6" t="str">
        <f>IFERROR(__xludf.DUMMYFUNCTION("""COMPUTED_VALUE"""),"Calarcá")</f>
        <v>Calarcá</v>
      </c>
      <c r="R168" s="12" t="str">
        <f>IFERROR(__xludf.DUMMYFUNCTION("""COMPUTED_VALUE"""),"Gi5364hh22*")</f>
        <v>Gi5364hh22*</v>
      </c>
      <c r="S168" s="6" t="str">
        <f>IFERROR(__xludf.DUMMYFUNCTION("""COMPUTED_VALUE"""),"Rodríguez Ruíz Emiliano ")</f>
        <v>Rodríguez Ruíz Emiliano </v>
      </c>
      <c r="T168" s="6" t="str">
        <f>IFERROR(__xludf.DUMMYFUNCTION("""COMPUTED_VALUE"""),"JAIME ALBERTO RODRIGUEZ ALBA")</f>
        <v>JAIME ALBERTO RODRIGUEZ ALBA</v>
      </c>
      <c r="U168" s="12" t="str">
        <f>IFERROR(__xludf.DUMMYFUNCTION("""COMPUTED_VALUE"""),"7182066")</f>
        <v>7182066</v>
      </c>
      <c r="V168" s="6">
        <f>IFERROR(__xludf.DUMMYFUNCTION("""COMPUTED_VALUE"""),3.133134933E9)</f>
        <v>3133134933</v>
      </c>
      <c r="W168" s="6" t="str">
        <f>IFERROR(__xludf.DUMMYFUNCTION("""COMPUTED_VALUE"""),"jamestrirodri2@gmail.com")</f>
        <v>jamestrirodri2@gmail.com</v>
      </c>
      <c r="X168" s="12" t="str">
        <f>IFERROR(__xludf.DUMMYFUNCTION("""COMPUTED_VALUE"""),"A+")</f>
        <v>A+</v>
      </c>
      <c r="Y168" s="12" t="str">
        <f>IFERROR(__xludf.DUMMYFUNCTION("""COMPUTED_VALUE"""),"K5")</f>
        <v>K5</v>
      </c>
      <c r="Z168" s="6">
        <f>IFERROR(__xludf.DUMMYFUNCTION("""COMPUTED_VALUE"""),120578.0)</f>
        <v>120578</v>
      </c>
      <c r="AA168" s="6" t="str">
        <f>IFERROR(__xludf.DUMMYFUNCTION("""COMPUTED_VALUE"""),"SANITAS")</f>
        <v>SANITAS</v>
      </c>
      <c r="AB168" s="6"/>
      <c r="AC168" s="6"/>
      <c r="AD168" s="12" t="str">
        <f>IFERROR(__xludf.DUMMYFUNCTION("""COMPUTED_VALUE"""),"K5C")</f>
        <v>K5C</v>
      </c>
      <c r="AE168" s="12" t="str">
        <f>IFERROR(__xludf.DUMMYFUNCTION("""COMPUTED_VALUE"""),"1345282575")</f>
        <v>1345282575</v>
      </c>
      <c r="AF168" s="12" t="str">
        <f>IFERROR(__xludf.DUMMYFUNCTION("""COMPUTED_VALUE"""),"1345282575")</f>
        <v>1345282575</v>
      </c>
      <c r="AG168" s="12" t="str">
        <f>IFERROR(__xludf.DUMMYFUNCTION("""COMPUTED_VALUE"""),"Mayra")</f>
        <v>Mayra</v>
      </c>
      <c r="AH168" s="12" t="str">
        <f>IFERROR(__xludf.DUMMYFUNCTION("""COMPUTED_VALUE"""),"Alejandra")</f>
        <v>Alejandra</v>
      </c>
      <c r="AI168" s="6" t="str">
        <f>IFERROR(__xludf.DUMMYFUNCTION("""COMPUTED_VALUE"""),"Ruíz Oliveros")</f>
        <v>Ruíz Oliveros</v>
      </c>
      <c r="AJ168" s="6" t="str">
        <f>IFERROR(__xludf.DUMMYFUNCTION("""COMPUTED_VALUE"""),"mairaalejandraruizoliveros@gmail.com")</f>
        <v>mairaalejandraruizoliveros@gmail.com</v>
      </c>
      <c r="AK168" s="6" t="str">
        <f>IFERROR(__xludf.DUMMYFUNCTION("""COMPUTED_VALUE"""),"ADMINISTRADORA EN SALUD")</f>
        <v>ADMINISTRADORA EN SALUD</v>
      </c>
      <c r="AL168" s="6" t="str">
        <f>IFERROR(__xludf.DUMMYFUNCTION("""COMPUTED_VALUE"""),"ALCALDIA DE ARMENIA")</f>
        <v>ALCALDIA DE ARMENIA</v>
      </c>
      <c r="AM168" s="12" t="str">
        <f>IFERROR(__xludf.DUMMYFUNCTION("""COMPUTED_VALUE"""),"1113310544")</f>
        <v>1113310544</v>
      </c>
      <c r="AN168" s="12" t="str">
        <f>IFERROR(__xludf.DUMMYFUNCTION("""COMPUTED_VALUE"""),"3154820113")</f>
        <v>3154820113</v>
      </c>
      <c r="AO168" s="6" t="str">
        <f>IFERROR(__xludf.DUMMYFUNCTION("""COMPUTED_VALUE"""),"Madre")</f>
        <v>Madre</v>
      </c>
      <c r="AP168" s="6" t="str">
        <f>IFERROR(__xludf.DUMMYFUNCTION("""COMPUTED_VALUE"""),"Estudiante(s): Rodríguez Ruíz")</f>
        <v>Estudiante(s): Rodríguez Ruíz</v>
      </c>
      <c r="AQ168" s="6" t="str">
        <f>IFERROR(__xludf.DUMMYFUNCTION("""COMPUTED_VALUE"""),"120578*Gi")</f>
        <v>120578*Gi</v>
      </c>
      <c r="AR168" s="6" t="str">
        <f>IFERROR(__xludf.DUMMYFUNCTION("""COMPUTED_VALUE"""),"Jaime")</f>
        <v>Jaime</v>
      </c>
      <c r="AS168" s="6" t="str">
        <f>IFERROR(__xludf.DUMMYFUNCTION("""COMPUTED_VALUE"""),"Alberto")</f>
        <v>Alberto</v>
      </c>
      <c r="AT168" s="6" t="str">
        <f>IFERROR(__xludf.DUMMYFUNCTION("""COMPUTED_VALUE"""),"Rodríguez Alba")</f>
        <v>Rodríguez Alba</v>
      </c>
      <c r="AU168" s="6" t="str">
        <f>IFERROR(__xludf.DUMMYFUNCTION("""COMPUTED_VALUE"""),"jamestrirodri2@gmail.com")</f>
        <v>jamestrirodri2@gmail.com</v>
      </c>
      <c r="AV168" s="6" t="str">
        <f>IFERROR(__xludf.DUMMYFUNCTION("""COMPUTED_VALUE"""),"MÉDICO ORTOPEDISTA")</f>
        <v>MÉDICO ORTOPEDISTA</v>
      </c>
      <c r="AW168" s="6" t="str">
        <f>IFERROR(__xludf.DUMMYFUNCTION("""COMPUTED_VALUE"""),"HOSPITAL SAN JUAN DE DIOS ")</f>
        <v>HOSPITAL SAN JUAN DE DIOS </v>
      </c>
      <c r="AX168" s="12" t="str">
        <f>IFERROR(__xludf.DUMMYFUNCTION("""COMPUTED_VALUE"""),"7182066")</f>
        <v>7182066</v>
      </c>
      <c r="AY168" s="12" t="str">
        <f>IFERROR(__xludf.DUMMYFUNCTION("""COMPUTED_VALUE"""),"3133134933")</f>
        <v>3133134933</v>
      </c>
      <c r="AZ168" s="6" t="str">
        <f>IFERROR(__xludf.DUMMYFUNCTION("""COMPUTED_VALUE"""),"Padre")</f>
        <v>Padre</v>
      </c>
      <c r="BA168" s="6"/>
      <c r="BB168" s="6"/>
      <c r="BC168" s="6"/>
      <c r="BD168" s="12" t="str">
        <f>IFERROR(__xludf.DUMMYFUNCTION("""COMPUTED_VALUE"""),"rod0017")</f>
        <v>rod0017</v>
      </c>
      <c r="BE168" s="6"/>
      <c r="BF168" s="12" t="str">
        <f>IFERROR(__xludf.DUMMYFUNCTION("""COMPUTED_VALUE"""),"5M+6m ENE/26 A DIC/26 SE APLICA MATR Y CTOS ESPECIALES")</f>
        <v>5M+6m ENE/26 A DIC/26 SE APLICA MATR Y CTOS ESPECIALES</v>
      </c>
      <c r="BG168" s="6">
        <f>IFERROR(__xludf.DUMMYFUNCTION("""COMPUTED_VALUE"""),2039.0)</f>
        <v>2039</v>
      </c>
      <c r="BH168" s="15">
        <f>IFERROR(__xludf.DUMMYFUNCTION("""COMPUTED_VALUE"""),46211.74653935185)</f>
        <v>46211.74654</v>
      </c>
      <c r="BI168" s="6">
        <f>IFERROR(__xludf.DUMMYFUNCTION("""COMPUTED_VALUE"""),167.0)</f>
        <v>167</v>
      </c>
      <c r="BJ168" s="6"/>
      <c r="BK168" s="6"/>
      <c r="BL168" s="6" t="str">
        <f>IFERROR(__xludf.DUMMYFUNCTION("""COMPUTED_VALUE"""),"GISROD0017")</f>
        <v>GISROD0017</v>
      </c>
      <c r="BM168" s="6"/>
      <c r="BN168" s="6"/>
      <c r="BO168" s="6"/>
      <c r="BP168" s="6"/>
      <c r="BQ168" s="6"/>
      <c r="BR168" s="6"/>
      <c r="BS168" s="6"/>
      <c r="BT168" s="6"/>
      <c r="BU168" s="6" t="str">
        <f>IFERROR(__xludf.DUMMYFUNCTION("""COMPUTED_VALUE"""),"SI")</f>
        <v>SI</v>
      </c>
      <c r="BV168" s="6" t="str">
        <f>IFERROR(__xludf.DUMMYFUNCTION("""COMPUTED_VALUE"""),"emiliano.r2039")</f>
        <v>emiliano.r2039</v>
      </c>
      <c r="BW168" s="6"/>
      <c r="BX168" s="6"/>
      <c r="BY168" s="6"/>
      <c r="BZ168" s="6"/>
    </row>
    <row r="169">
      <c r="A169" s="12">
        <f>IFERROR(__xludf.DUMMYFUNCTION("""COMPUTED_VALUE"""),1.091208141E9)</f>
        <v>1091208141</v>
      </c>
      <c r="B169" s="6">
        <f>IFERROR(__xludf.DUMMYFUNCTION("""COMPUTED_VALUE"""),17.0)</f>
        <v>17</v>
      </c>
      <c r="C169" s="6" t="str">
        <f>IFERROR(__xludf.DUMMYFUNCTION("""COMPUTED_VALUE"""),"Elena")</f>
        <v>Elena</v>
      </c>
      <c r="D169" s="6"/>
      <c r="E169" s="6" t="str">
        <f>IFERROR(__xludf.DUMMYFUNCTION("""COMPUTED_VALUE"""),"Salazar Ramírez")</f>
        <v>Salazar Ramírez</v>
      </c>
      <c r="F169" s="6" t="str">
        <f>IFERROR(__xludf.DUMMYFUNCTION("""COMPUTED_VALUE"""),"Urbanizacion Quintas del Bosque  Casa 18 - Km 3 Via Armenia - Circasia")</f>
        <v>Urbanizacion Quintas del Bosque  Casa 18 - Km 3 Via Armenia - Circasia</v>
      </c>
      <c r="G169" s="12" t="str">
        <f>IFERROR(__xludf.DUMMYFUNCTION("""COMPUTED_VALUE"""),"2021")</f>
        <v>2021</v>
      </c>
      <c r="H169" s="6" t="str">
        <f>IFERROR(__xludf.DUMMYFUNCTION("""COMPUTED_VALUE"""),"Febrero")</f>
        <v>Febrero</v>
      </c>
      <c r="I169" s="12" t="str">
        <f>IFERROR(__xludf.DUMMYFUNCTION("""COMPUTED_VALUE"""),"7")</f>
        <v>7</v>
      </c>
      <c r="J169" s="6" t="str">
        <f>IFERROR(__xludf.DUMMYFUNCTION("""COMPUTED_VALUE"""),"Armenia")</f>
        <v>Armenia</v>
      </c>
      <c r="K169" s="6" t="str">
        <f>IFERROR(__xludf.DUMMYFUNCTION("""COMPUTED_VALUE"""),"elena.s2039@gi.edu.co")</f>
        <v>elena.s2039@gi.edu.co</v>
      </c>
      <c r="L169" s="6" t="str">
        <f>IFERROR(__xludf.DUMMYFUNCTION("""COMPUTED_VALUE"""),"RC")</f>
        <v>RC</v>
      </c>
      <c r="M169" s="6" t="str">
        <f>IFERROR(__xludf.DUMMYFUNCTION("""COMPUTED_VALUE"""),"Armenia")</f>
        <v>Armenia</v>
      </c>
      <c r="N169" s="6" t="str">
        <f>IFERROR(__xludf.DUMMYFUNCTION("""COMPUTED_VALUE"""),"F")</f>
        <v>F</v>
      </c>
      <c r="O169" s="6" t="str">
        <f>IFERROR(__xludf.DUMMYFUNCTION("""COMPUTED_VALUE"""),"ACTIVE")</f>
        <v>ACTIVE</v>
      </c>
      <c r="P169" s="6"/>
      <c r="Q169" s="6" t="str">
        <f>IFERROR(__xludf.DUMMYFUNCTION("""COMPUTED_VALUE"""),"Armenia")</f>
        <v>Armenia</v>
      </c>
      <c r="R169" s="12" t="str">
        <f>IFERROR(__xludf.DUMMYFUNCTION("""COMPUTED_VALUE"""),"Gij6v2sd*")</f>
        <v>Gij6v2sd*</v>
      </c>
      <c r="S169" s="6" t="str">
        <f>IFERROR(__xludf.DUMMYFUNCTION("""COMPUTED_VALUE"""),"Salazar Ramírez Elena ")</f>
        <v>Salazar Ramírez Elena </v>
      </c>
      <c r="T169" s="6" t="str">
        <f>IFERROR(__xludf.DUMMYFUNCTION("""COMPUTED_VALUE"""),"LADY JESSENIA RAMÍREZ CASTAÑO")</f>
        <v>LADY JESSENIA RAMÍREZ CASTAÑO</v>
      </c>
      <c r="U169" s="12" t="str">
        <f>IFERROR(__xludf.DUMMYFUNCTION("""COMPUTED_VALUE"""),"1094889141")</f>
        <v>1094889141</v>
      </c>
      <c r="V169" s="6">
        <f>IFERROR(__xludf.DUMMYFUNCTION("""COMPUTED_VALUE"""),3.147689337E9)</f>
        <v>3147689337</v>
      </c>
      <c r="W169" s="6" t="str">
        <f>IFERROR(__xludf.DUMMYFUNCTION("""COMPUTED_VALUE"""),"ladyjr@gi.edu.co")</f>
        <v>ladyjr@gi.edu.co</v>
      </c>
      <c r="X169" s="12" t="str">
        <f>IFERROR(__xludf.DUMMYFUNCTION("""COMPUTED_VALUE"""),"O+")</f>
        <v>O+</v>
      </c>
      <c r="Y169" s="12" t="str">
        <f>IFERROR(__xludf.DUMMYFUNCTION("""COMPUTED_VALUE"""),"K5")</f>
        <v>K5</v>
      </c>
      <c r="Z169" s="12">
        <f>IFERROR(__xludf.DUMMYFUNCTION("""COMPUTED_VALUE"""),103636.0)</f>
        <v>103636</v>
      </c>
      <c r="AA169" s="6" t="str">
        <f>IFERROR(__xludf.DUMMYFUNCTION("""COMPUTED_VALUE"""),"SURA")</f>
        <v>SURA</v>
      </c>
      <c r="AB169" s="6"/>
      <c r="AC169" s="6"/>
      <c r="AD169" s="12" t="str">
        <f>IFERROR(__xludf.DUMMYFUNCTION("""COMPUTED_VALUE"""),"K5C")</f>
        <v>K5C</v>
      </c>
      <c r="AE169" s="12">
        <f>IFERROR(__xludf.DUMMYFUNCTION("""COMPUTED_VALUE"""),1.34528235E9)</f>
        <v>1345282350</v>
      </c>
      <c r="AF169" s="12" t="str">
        <f>IFERROR(__xludf.DUMMYFUNCTION("""COMPUTED_VALUE"""),"1345282350")</f>
        <v>1345282350</v>
      </c>
      <c r="AG169" s="12" t="str">
        <f>IFERROR(__xludf.DUMMYFUNCTION("""COMPUTED_VALUE"""),"Lady")</f>
        <v>Lady</v>
      </c>
      <c r="AH169" s="12" t="str">
        <f>IFERROR(__xludf.DUMMYFUNCTION("""COMPUTED_VALUE"""),"Jessenia")</f>
        <v>Jessenia</v>
      </c>
      <c r="AI169" s="6" t="str">
        <f>IFERROR(__xludf.DUMMYFUNCTION("""COMPUTED_VALUE"""),"Ramírez Castaño")</f>
        <v>Ramírez Castaño</v>
      </c>
      <c r="AJ169" s="6" t="str">
        <f>IFERROR(__xludf.DUMMYFUNCTION("""COMPUTED_VALUE"""),"ladyjr@gi.edu.co")</f>
        <v>ladyjr@gi.edu.co</v>
      </c>
      <c r="AK169" s="6" t="str">
        <f>IFERROR(__xludf.DUMMYFUNCTION("""COMPUTED_VALUE"""),"Docente")</f>
        <v>Docente</v>
      </c>
      <c r="AL169" s="6" t="str">
        <f>IFERROR(__xludf.DUMMYFUNCTION("""COMPUTED_VALUE"""),"GI School")</f>
        <v>GI School</v>
      </c>
      <c r="AM169" s="12" t="str">
        <f>IFERROR(__xludf.DUMMYFUNCTION("""COMPUTED_VALUE"""),"1094889141")</f>
        <v>1094889141</v>
      </c>
      <c r="AN169" s="12" t="str">
        <f>IFERROR(__xludf.DUMMYFUNCTION("""COMPUTED_VALUE"""),"3147689337")</f>
        <v>3147689337</v>
      </c>
      <c r="AO169" s="6" t="str">
        <f>IFERROR(__xludf.DUMMYFUNCTION("""COMPUTED_VALUE"""),"Madre")</f>
        <v>Madre</v>
      </c>
      <c r="AP169" s="6" t="str">
        <f>IFERROR(__xludf.DUMMYFUNCTION("""COMPUTED_VALUE"""),"Estudiante(s): Salazar Ramírez")</f>
        <v>Estudiante(s): Salazar Ramírez</v>
      </c>
      <c r="AQ169" s="6" t="str">
        <f>IFERROR(__xludf.DUMMYFUNCTION("""COMPUTED_VALUE"""),"103636*Gi")</f>
        <v>103636*Gi</v>
      </c>
      <c r="AR169" s="6" t="str">
        <f>IFERROR(__xludf.DUMMYFUNCTION("""COMPUTED_VALUE"""),"Marlon")</f>
        <v>Marlon</v>
      </c>
      <c r="AS169" s="6"/>
      <c r="AT169" s="6" t="str">
        <f>IFERROR(__xludf.DUMMYFUNCTION("""COMPUTED_VALUE"""),"Salazar Arboleda")</f>
        <v>Salazar Arboleda</v>
      </c>
      <c r="AU169" s="6" t="str">
        <f>IFERROR(__xludf.DUMMYFUNCTION("""COMPUTED_VALUE"""),"marlonsa74@gmail.com")</f>
        <v>marlonsa74@gmail.com</v>
      </c>
      <c r="AV169" s="6" t="str">
        <f>IFERROR(__xludf.DUMMYFUNCTION("""COMPUTED_VALUE"""),"Ingeniero Civil")</f>
        <v>Ingeniero Civil</v>
      </c>
      <c r="AW169" s="6" t="str">
        <f>IFERROR(__xludf.DUMMYFUNCTION("""COMPUTED_VALUE"""),"Inavanti Ingeniería Especializada")</f>
        <v>Inavanti Ingeniería Especializada</v>
      </c>
      <c r="AX169" s="12" t="str">
        <f>IFERROR(__xludf.DUMMYFUNCTION("""COMPUTED_VALUE"""),"1094879939")</f>
        <v>1094879939</v>
      </c>
      <c r="AY169" s="12" t="str">
        <f>IFERROR(__xludf.DUMMYFUNCTION("""COMPUTED_VALUE"""),"3113721103")</f>
        <v>3113721103</v>
      </c>
      <c r="AZ169" s="6" t="str">
        <f>IFERROR(__xludf.DUMMYFUNCTION("""COMPUTED_VALUE"""),"Padre")</f>
        <v>Padre</v>
      </c>
      <c r="BA169" s="6"/>
      <c r="BB169" s="6"/>
      <c r="BC169" s="6"/>
      <c r="BD169" s="12" t="str">
        <f>IFERROR(__xludf.DUMMYFUNCTION("""COMPUTED_VALUE"""),"sal0018")</f>
        <v>sal0018</v>
      </c>
      <c r="BE169" s="6"/>
      <c r="BF169" s="6"/>
      <c r="BG169" s="6">
        <f>IFERROR(__xludf.DUMMYFUNCTION("""COMPUTED_VALUE"""),2039.0)</f>
        <v>2039</v>
      </c>
      <c r="BH169" s="15">
        <f>IFERROR(__xludf.DUMMYFUNCTION("""COMPUTED_VALUE"""),46251.92246527778)</f>
        <v>46251.92247</v>
      </c>
      <c r="BI169" s="6">
        <f>IFERROR(__xludf.DUMMYFUNCTION("""COMPUTED_VALUE"""),168.0)</f>
        <v>168</v>
      </c>
      <c r="BJ169" s="6"/>
      <c r="BK169" s="6"/>
      <c r="BL169" s="6" t="str">
        <f>IFERROR(__xludf.DUMMYFUNCTION("""COMPUTED_VALUE"""),"GISSAL0018")</f>
        <v>GISSAL0018</v>
      </c>
      <c r="BM169" s="6"/>
      <c r="BN169" s="6"/>
      <c r="BO169" s="6"/>
      <c r="BP169" s="6"/>
      <c r="BQ169" s="6"/>
      <c r="BR169" s="6"/>
      <c r="BS169" s="6"/>
      <c r="BT169" s="6"/>
      <c r="BU169" s="6" t="str">
        <f>IFERROR(__xludf.DUMMYFUNCTION("""COMPUTED_VALUE"""),"SI")</f>
        <v>SI</v>
      </c>
      <c r="BV169" s="6" t="str">
        <f>IFERROR(__xludf.DUMMYFUNCTION("""COMPUTED_VALUE"""),"elena.s2039")</f>
        <v>elena.s2039</v>
      </c>
      <c r="BW169" s="6"/>
      <c r="BX169" s="6"/>
      <c r="BY169" s="6"/>
      <c r="BZ169" s="6"/>
    </row>
    <row r="170">
      <c r="A170" s="12">
        <f>IFERROR(__xludf.DUMMYFUNCTION("""COMPUTED_VALUE"""),1.092467124E9)</f>
        <v>1092467124</v>
      </c>
      <c r="B170" s="6">
        <f>IFERROR(__xludf.DUMMYFUNCTION("""COMPUTED_VALUE"""),18.0)</f>
        <v>18</v>
      </c>
      <c r="C170" s="6" t="str">
        <f>IFERROR(__xludf.DUMMYFUNCTION("""COMPUTED_VALUE"""),"Matías")</f>
        <v>Matías</v>
      </c>
      <c r="D170" s="6"/>
      <c r="E170" s="6" t="str">
        <f>IFERROR(__xludf.DUMMYFUNCTION("""COMPUTED_VALUE"""),"Velásquez Cárdenas")</f>
        <v>Velásquez Cárdenas</v>
      </c>
      <c r="F170" s="6" t="str">
        <f>IFERROR(__xludf.DUMMYFUNCTION("""COMPUTED_VALUE"""),"Condominio Entre Maderos Casa 5 - Vereda El Congal Km 1.2 Via Circasia - Armenia")</f>
        <v>Condominio Entre Maderos Casa 5 - Vereda El Congal Km 1.2 Via Circasia - Armenia</v>
      </c>
      <c r="G170" s="12" t="str">
        <f>IFERROR(__xludf.DUMMYFUNCTION("""COMPUTED_VALUE"""),"2021")</f>
        <v>2021</v>
      </c>
      <c r="H170" s="6" t="str">
        <f>IFERROR(__xludf.DUMMYFUNCTION("""COMPUTED_VALUE"""),"Enero")</f>
        <v>Enero</v>
      </c>
      <c r="I170" s="12" t="str">
        <f>IFERROR(__xludf.DUMMYFUNCTION("""COMPUTED_VALUE"""),"25")</f>
        <v>25</v>
      </c>
      <c r="J170" s="6" t="str">
        <f>IFERROR(__xludf.DUMMYFUNCTION("""COMPUTED_VALUE"""),"Bogotá D.C.")</f>
        <v>Bogotá D.C.</v>
      </c>
      <c r="K170" s="6" t="str">
        <f>IFERROR(__xludf.DUMMYFUNCTION("""COMPUTED_VALUE"""),"matias.v2039@gi.edu.co")</f>
        <v>matias.v2039@gi.edu.co</v>
      </c>
      <c r="L170" s="6" t="str">
        <f>IFERROR(__xludf.DUMMYFUNCTION("""COMPUTED_VALUE"""),"RC")</f>
        <v>RC</v>
      </c>
      <c r="M170" s="6" t="str">
        <f>IFERROR(__xludf.DUMMYFUNCTION("""COMPUTED_VALUE"""),"Armenia")</f>
        <v>Armenia</v>
      </c>
      <c r="N170" s="6" t="str">
        <f>IFERROR(__xludf.DUMMYFUNCTION("""COMPUTED_VALUE"""),"M")</f>
        <v>M</v>
      </c>
      <c r="O170" s="6" t="str">
        <f>IFERROR(__xludf.DUMMYFUNCTION("""COMPUTED_VALUE"""),"ACTIVE")</f>
        <v>ACTIVE</v>
      </c>
      <c r="P170" s="6"/>
      <c r="Q170" s="6" t="str">
        <f>IFERROR(__xludf.DUMMYFUNCTION("""COMPUTED_VALUE"""),"Circasia")</f>
        <v>Circasia</v>
      </c>
      <c r="R170" s="12" t="str">
        <f>IFERROR(__xludf.DUMMYFUNCTION("""COMPUTED_VALUE"""),"Gixy59ii*")</f>
        <v>Gixy59ii*</v>
      </c>
      <c r="S170" s="6" t="str">
        <f>IFERROR(__xludf.DUMMYFUNCTION("""COMPUTED_VALUE"""),"Velásquez Cárdenas Matías ")</f>
        <v>Velásquez Cárdenas Matías </v>
      </c>
      <c r="T170" s="6" t="str">
        <f>IFERROR(__xludf.DUMMYFUNCTION("""COMPUTED_VALUE"""),"ESTEBAN VELASQUEZ MEJIA")</f>
        <v>ESTEBAN VELASQUEZ MEJIA</v>
      </c>
      <c r="U170" s="12" t="str">
        <f>IFERROR(__xludf.DUMMYFUNCTION("""COMPUTED_VALUE"""),"1094899989")</f>
        <v>1094899989</v>
      </c>
      <c r="V170" s="6">
        <f>IFERROR(__xludf.DUMMYFUNCTION("""COMPUTED_VALUE"""),3.105142123E9)</f>
        <v>3105142123</v>
      </c>
      <c r="W170" s="6" t="str">
        <f>IFERROR(__xludf.DUMMYFUNCTION("""COMPUTED_VALUE"""),"estebanv333@gmail.com")</f>
        <v>estebanv333@gmail.com</v>
      </c>
      <c r="X170" s="12" t="str">
        <f>IFERROR(__xludf.DUMMYFUNCTION("""COMPUTED_VALUE"""),"A-")</f>
        <v>A-</v>
      </c>
      <c r="Y170" s="12" t="str">
        <f>IFERROR(__xludf.DUMMYFUNCTION("""COMPUTED_VALUE"""),"K5")</f>
        <v>K5</v>
      </c>
      <c r="Z170" s="6">
        <f>IFERROR(__xludf.DUMMYFUNCTION("""COMPUTED_VALUE"""),120557.0)</f>
        <v>120557</v>
      </c>
      <c r="AA170" s="6" t="str">
        <f>IFERROR(__xludf.DUMMYFUNCTION("""COMPUTED_VALUE"""),"SANITAS")</f>
        <v>SANITAS</v>
      </c>
      <c r="AB170" s="6" t="str">
        <f>IFERROR(__xludf.DUMMYFUNCTION("""COMPUTED_VALUE"""),"COLSANITAS MEDICINA PREPAGADA")</f>
        <v>COLSANITAS MEDICINA PREPAGADA</v>
      </c>
      <c r="AC170" s="12" t="str">
        <f>IFERROR(__xludf.DUMMYFUNCTION("""COMPUTED_VALUE"""),"Caceína")</f>
        <v>Caceína</v>
      </c>
      <c r="AD170" s="12" t="str">
        <f>IFERROR(__xludf.DUMMYFUNCTION("""COMPUTED_VALUE"""),"K5C")</f>
        <v>K5C</v>
      </c>
      <c r="AE170" s="12" t="str">
        <f>IFERROR(__xludf.DUMMYFUNCTION("""COMPUTED_VALUE"""),"1345282564")</f>
        <v>1345282564</v>
      </c>
      <c r="AF170" s="12" t="str">
        <f>IFERROR(__xludf.DUMMYFUNCTION("""COMPUTED_VALUE"""),"1345282564")</f>
        <v>1345282564</v>
      </c>
      <c r="AG170" s="12" t="str">
        <f>IFERROR(__xludf.DUMMYFUNCTION("""COMPUTED_VALUE"""),"Ana")</f>
        <v>Ana</v>
      </c>
      <c r="AH170" s="12" t="str">
        <f>IFERROR(__xludf.DUMMYFUNCTION("""COMPUTED_VALUE"""),"María")</f>
        <v>María</v>
      </c>
      <c r="AI170" s="6" t="str">
        <f>IFERROR(__xludf.DUMMYFUNCTION("""COMPUTED_VALUE"""),"Cárdenas de Greiff")</f>
        <v>Cárdenas de Greiff</v>
      </c>
      <c r="AJ170" s="6" t="str">
        <f>IFERROR(__xludf.DUMMYFUNCTION("""COMPUTED_VALUE"""),"anicardenas@gmail.com")</f>
        <v>anicardenas@gmail.com</v>
      </c>
      <c r="AK170" s="6" t="str">
        <f>IFERROR(__xludf.DUMMYFUNCTION("""COMPUTED_VALUE"""),"Ingeniera Química")</f>
        <v>Ingeniera Química</v>
      </c>
      <c r="AL170" s="6" t="str">
        <f>IFERROR(__xludf.DUMMYFUNCTION("""COMPUTED_VALUE"""),"Bio Hábitat")</f>
        <v>Bio Hábitat</v>
      </c>
      <c r="AM170" s="12" t="str">
        <f>IFERROR(__xludf.DUMMYFUNCTION("""COMPUTED_VALUE"""),"1130621694")</f>
        <v>1130621694</v>
      </c>
      <c r="AN170" s="12" t="str">
        <f>IFERROR(__xludf.DUMMYFUNCTION("""COMPUTED_VALUE"""),"3128340604")</f>
        <v>3128340604</v>
      </c>
      <c r="AO170" s="6" t="str">
        <f>IFERROR(__xludf.DUMMYFUNCTION("""COMPUTED_VALUE"""),"Madre")</f>
        <v>Madre</v>
      </c>
      <c r="AP170" s="6" t="str">
        <f>IFERROR(__xludf.DUMMYFUNCTION("""COMPUTED_VALUE"""),"Estudiante(s): Velásquez Cárdenas")</f>
        <v>Estudiante(s): Velásquez Cárdenas</v>
      </c>
      <c r="AQ170" s="6" t="str">
        <f>IFERROR(__xludf.DUMMYFUNCTION("""COMPUTED_VALUE"""),"120557*Gi")</f>
        <v>120557*Gi</v>
      </c>
      <c r="AR170" s="6" t="str">
        <f>IFERROR(__xludf.DUMMYFUNCTION("""COMPUTED_VALUE"""),"Esteban")</f>
        <v>Esteban</v>
      </c>
      <c r="AS170" s="6"/>
      <c r="AT170" s="6" t="str">
        <f>IFERROR(__xludf.DUMMYFUNCTION("""COMPUTED_VALUE"""),"Velásquez Mejía")</f>
        <v>Velásquez Mejía</v>
      </c>
      <c r="AU170" s="6" t="str">
        <f>IFERROR(__xludf.DUMMYFUNCTION("""COMPUTED_VALUE"""),"estebanv333@gmail.com")</f>
        <v>estebanv333@gmail.com</v>
      </c>
      <c r="AV170" s="6" t="str">
        <f>IFERROR(__xludf.DUMMYFUNCTION("""COMPUTED_VALUE"""),"Ingeniero Civil")</f>
        <v>Ingeniero Civil</v>
      </c>
      <c r="AW170" s="6" t="str">
        <f>IFERROR(__xludf.DUMMYFUNCTION("""COMPUTED_VALUE"""),"Proarquitectura Constructora")</f>
        <v>Proarquitectura Constructora</v>
      </c>
      <c r="AX170" s="12" t="str">
        <f>IFERROR(__xludf.DUMMYFUNCTION("""COMPUTED_VALUE"""),"1094899989")</f>
        <v>1094899989</v>
      </c>
      <c r="AY170" s="12" t="str">
        <f>IFERROR(__xludf.DUMMYFUNCTION("""COMPUTED_VALUE"""),"3105142123")</f>
        <v>3105142123</v>
      </c>
      <c r="AZ170" s="6" t="str">
        <f>IFERROR(__xludf.DUMMYFUNCTION("""COMPUTED_VALUE"""),"Padre")</f>
        <v>Padre</v>
      </c>
      <c r="BA170" s="6"/>
      <c r="BB170" s="6"/>
      <c r="BC170" s="6"/>
      <c r="BD170" s="12" t="str">
        <f>IFERROR(__xludf.DUMMYFUNCTION("""COMPUTED_VALUE"""),"vel0023")</f>
        <v>vel0023</v>
      </c>
      <c r="BE170" s="6"/>
      <c r="BF170" s="12" t="str">
        <f>IFERROR(__xludf.DUMMYFUNCTION("""COMPUTED_VALUE"""),"3M+8m NOV/25 A OCT/26 SE APLICA MATR Y CTOS ESPECIALES")</f>
        <v>3M+8m NOV/25 A OCT/26 SE APLICA MATR Y CTOS ESPECIALES</v>
      </c>
      <c r="BG170" s="6">
        <f>IFERROR(__xludf.DUMMYFUNCTION("""COMPUTED_VALUE"""),2039.0)</f>
        <v>2039</v>
      </c>
      <c r="BH170" s="15">
        <f>IFERROR(__xludf.DUMMYFUNCTION("""COMPUTED_VALUE"""),46211.36168981482)</f>
        <v>46211.36169</v>
      </c>
      <c r="BI170" s="6">
        <f>IFERROR(__xludf.DUMMYFUNCTION("""COMPUTED_VALUE"""),169.0)</f>
        <v>169</v>
      </c>
      <c r="BJ170" s="6"/>
      <c r="BK170" s="6"/>
      <c r="BL170" s="6" t="str">
        <f>IFERROR(__xludf.DUMMYFUNCTION("""COMPUTED_VALUE"""),"GISVEL0023")</f>
        <v>GISVEL0023</v>
      </c>
      <c r="BM170" s="6"/>
      <c r="BN170" s="6"/>
      <c r="BO170" s="6" t="str">
        <f>IFERROR(__xludf.DUMMYFUNCTION("""COMPUTED_VALUE"""),"XC_K5_Futbol")</f>
        <v>XC_K5_Futbol</v>
      </c>
      <c r="BP170" s="6" t="str">
        <f>IFERROR(__xludf.DUMMYFUNCTION("""COMPUTED_VALUE"""),"XC_K5_IniciaMusical")</f>
        <v>XC_K5_IniciaMusical</v>
      </c>
      <c r="BQ170" s="6"/>
      <c r="BR170" s="6" t="str">
        <f>IFERROR(__xludf.DUMMYFUNCTION("""COMPUTED_VALUE"""),"XC_K5_Futbol")</f>
        <v>XC_K5_Futbol</v>
      </c>
      <c r="BS170" s="6"/>
      <c r="BT170" s="6"/>
      <c r="BU170" s="6" t="str">
        <f>IFERROR(__xludf.DUMMYFUNCTION("""COMPUTED_VALUE"""),"SI")</f>
        <v>SI</v>
      </c>
      <c r="BV170" s="6" t="str">
        <f>IFERROR(__xludf.DUMMYFUNCTION("""COMPUTED_VALUE"""),"matias.v2039")</f>
        <v>matias.v2039</v>
      </c>
      <c r="BW170" s="6"/>
      <c r="BX170" s="6"/>
      <c r="BY170" s="6"/>
      <c r="B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 t="str">
        <f>IFERROR(__xludf.DUMMYFUNCTION("""COMPUTED_VALUE"""),"Madre")</f>
        <v>Madre</v>
      </c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 t="str">
        <f>IFERROR(__xludf.DUMMYFUNCTION("""COMPUTED_VALUE"""),"Padre")</f>
        <v>Padre</v>
      </c>
      <c r="BA171" s="6"/>
      <c r="BB171" s="6"/>
      <c r="BC171" s="6"/>
      <c r="BD171" s="6"/>
      <c r="BE171" s="6"/>
      <c r="BF171" s="6"/>
      <c r="BG171" s="6"/>
      <c r="BH171" s="6"/>
      <c r="BI171" s="6">
        <f>IFERROR(__xludf.DUMMYFUNCTION("""COMPUTED_VALUE"""),170.0)</f>
        <v>170</v>
      </c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</row>
    <row r="172">
      <c r="A172" s="12">
        <f>IFERROR(__xludf.DUMMYFUNCTION("""COMPUTED_VALUE"""),1.035015958E9)</f>
        <v>1035015958</v>
      </c>
      <c r="B172" s="6">
        <f>IFERROR(__xludf.DUMMYFUNCTION("""COMPUTED_VALUE"""),1.0)</f>
        <v>1</v>
      </c>
      <c r="C172" s="6" t="str">
        <f>IFERROR(__xludf.DUMMYFUNCTION("""COMPUTED_VALUE"""),"Leticia")</f>
        <v>Leticia</v>
      </c>
      <c r="D172" s="6"/>
      <c r="E172" s="6" t="str">
        <f>IFERROR(__xludf.DUMMYFUNCTION("""COMPUTED_VALUE"""),"Arango Osorio")</f>
        <v>Arango Osorio</v>
      </c>
      <c r="F172" s="6" t="str">
        <f>IFERROR(__xludf.DUMMYFUNCTION("""COMPUTED_VALUE"""),"Condominio Entre Maderos Casa 30 - Vereda El Congal Km 1.2 Via Circasia - Armenia")</f>
        <v>Condominio Entre Maderos Casa 30 - Vereda El Congal Km 1.2 Via Circasia - Armenia</v>
      </c>
      <c r="G172" s="12" t="str">
        <f>IFERROR(__xludf.DUMMYFUNCTION("""COMPUTED_VALUE"""),"2020")</f>
        <v>2020</v>
      </c>
      <c r="H172" s="6" t="str">
        <f>IFERROR(__xludf.DUMMYFUNCTION("""COMPUTED_VALUE"""),"Enero")</f>
        <v>Enero</v>
      </c>
      <c r="I172" s="12" t="str">
        <f>IFERROR(__xludf.DUMMYFUNCTION("""COMPUTED_VALUE"""),"12")</f>
        <v>12</v>
      </c>
      <c r="J172" s="6" t="str">
        <f>IFERROR(__xludf.DUMMYFUNCTION("""COMPUTED_VALUE"""),"Medellín")</f>
        <v>Medellín</v>
      </c>
      <c r="K172" s="6" t="str">
        <f>IFERROR(__xludf.DUMMYFUNCTION("""COMPUTED_VALUE"""),"leticia.a2038@gi.edu.co")</f>
        <v>leticia.a2038@gi.edu.co</v>
      </c>
      <c r="L172" s="6" t="str">
        <f>IFERROR(__xludf.DUMMYFUNCTION("""COMPUTED_VALUE"""),"RC")</f>
        <v>RC</v>
      </c>
      <c r="M172" s="6" t="str">
        <f>IFERROR(__xludf.DUMMYFUNCTION("""COMPUTED_VALUE"""),"Medellín")</f>
        <v>Medellín</v>
      </c>
      <c r="N172" s="6" t="str">
        <f>IFERROR(__xludf.DUMMYFUNCTION("""COMPUTED_VALUE"""),"F")</f>
        <v>F</v>
      </c>
      <c r="O172" s="6" t="str">
        <f>IFERROR(__xludf.DUMMYFUNCTION("""COMPUTED_VALUE"""),"ACTIVE")</f>
        <v>ACTIVE</v>
      </c>
      <c r="P172" s="6"/>
      <c r="Q172" s="6" t="str">
        <f>IFERROR(__xludf.DUMMYFUNCTION("""COMPUTED_VALUE"""),"Circasia")</f>
        <v>Circasia</v>
      </c>
      <c r="R172" s="12" t="str">
        <f>IFERROR(__xludf.DUMMYFUNCTION("""COMPUTED_VALUE"""),"GiRKN4pp*")</f>
        <v>GiRKN4pp*</v>
      </c>
      <c r="S172" s="6" t="str">
        <f>IFERROR(__xludf.DUMMYFUNCTION("""COMPUTED_VALUE"""),"Arango Osorio Leticia ")</f>
        <v>Arango Osorio Leticia </v>
      </c>
      <c r="T172" s="6" t="str">
        <f>IFERROR(__xludf.DUMMYFUNCTION("""COMPUTED_VALUE"""),"OSCAR ANDRÉS ARANGO RABITZ")</f>
        <v>OSCAR ANDRÉS ARANGO RABITZ</v>
      </c>
      <c r="U172" s="12" t="str">
        <f>IFERROR(__xludf.DUMMYFUNCTION("""COMPUTED_VALUE"""),"81715598")</f>
        <v>81715598</v>
      </c>
      <c r="V172" s="6">
        <f>IFERROR(__xludf.DUMMYFUNCTION("""COMPUTED_VALUE"""),3.142002278E9)</f>
        <v>3142002278</v>
      </c>
      <c r="W172" s="6" t="str">
        <f>IFERROR(__xludf.DUMMYFUNCTION("""COMPUTED_VALUE"""),"oscandres_@hotmail.com")</f>
        <v>oscandres_@hotmail.com</v>
      </c>
      <c r="X172" s="12" t="str">
        <f>IFERROR(__xludf.DUMMYFUNCTION("""COMPUTED_VALUE"""),"O+")</f>
        <v>O+</v>
      </c>
      <c r="Y172" s="12" t="str">
        <f>IFERROR(__xludf.DUMMYFUNCTION("""COMPUTED_VALUE"""),"1")</f>
        <v>1</v>
      </c>
      <c r="Z172" s="12">
        <f>IFERROR(__xludf.DUMMYFUNCTION("""COMPUTED_VALUE"""),120114.0)</f>
        <v>120114</v>
      </c>
      <c r="AA172" s="6" t="str">
        <f>IFERROR(__xludf.DUMMYFUNCTION("""COMPUTED_VALUE"""),"SURA")</f>
        <v>SURA</v>
      </c>
      <c r="AB172" s="6"/>
      <c r="AC172" s="6"/>
      <c r="AD172" s="12" t="str">
        <f>IFERROR(__xludf.DUMMYFUNCTION("""COMPUTED_VALUE"""),"1A")</f>
        <v>1A</v>
      </c>
      <c r="AE172" s="12">
        <f>IFERROR(__xludf.DUMMYFUNCTION("""COMPUTED_VALUE"""),1.345282132E9)</f>
        <v>1345282132</v>
      </c>
      <c r="AF172" s="6"/>
      <c r="AG172" s="12" t="str">
        <f>IFERROR(__xludf.DUMMYFUNCTION("""COMPUTED_VALUE"""),"Laura")</f>
        <v>Laura</v>
      </c>
      <c r="AH172" s="6"/>
      <c r="AI172" s="6" t="str">
        <f>IFERROR(__xludf.DUMMYFUNCTION("""COMPUTED_VALUE"""),"Osorio González")</f>
        <v>Osorio González</v>
      </c>
      <c r="AJ172" s="6" t="str">
        <f>IFERROR(__xludf.DUMMYFUNCTION("""COMPUTED_VALUE"""),"laura.osoriog@hotmail.com")</f>
        <v>laura.osoriog@hotmail.com</v>
      </c>
      <c r="AK172" s="6" t="str">
        <f>IFERROR(__xludf.DUMMYFUNCTION("""COMPUTED_VALUE"""),"Comunicadora social")</f>
        <v>Comunicadora social</v>
      </c>
      <c r="AL172" s="6" t="str">
        <f>IFERROR(__xludf.DUMMYFUNCTION("""COMPUTED_VALUE"""),"independiente")</f>
        <v>independiente</v>
      </c>
      <c r="AM172" s="12" t="str">
        <f>IFERROR(__xludf.DUMMYFUNCTION("""COMPUTED_VALUE"""),"53911751")</f>
        <v>53911751</v>
      </c>
      <c r="AN172" s="12" t="str">
        <f>IFERROR(__xludf.DUMMYFUNCTION("""COMPUTED_VALUE"""),"3142002278")</f>
        <v>3142002278</v>
      </c>
      <c r="AO172" s="6" t="str">
        <f>IFERROR(__xludf.DUMMYFUNCTION("""COMPUTED_VALUE"""),"Madre")</f>
        <v>Madre</v>
      </c>
      <c r="AP172" s="6" t="str">
        <f>IFERROR(__xludf.DUMMYFUNCTION("""COMPUTED_VALUE"""),"Estudiante(s): Arango Osorio")</f>
        <v>Estudiante(s): Arango Osorio</v>
      </c>
      <c r="AQ172" s="6" t="str">
        <f>IFERROR(__xludf.DUMMYFUNCTION("""COMPUTED_VALUE"""),"120114*Gi")</f>
        <v>120114*Gi</v>
      </c>
      <c r="AR172" s="6" t="str">
        <f>IFERROR(__xludf.DUMMYFUNCTION("""COMPUTED_VALUE"""),"Oscar")</f>
        <v>Oscar</v>
      </c>
      <c r="AS172" s="6" t="str">
        <f>IFERROR(__xludf.DUMMYFUNCTION("""COMPUTED_VALUE"""),"Andrés")</f>
        <v>Andrés</v>
      </c>
      <c r="AT172" s="6" t="str">
        <f>IFERROR(__xludf.DUMMYFUNCTION("""COMPUTED_VALUE"""),"Arango Rabitz")</f>
        <v>Arango Rabitz</v>
      </c>
      <c r="AU172" s="6" t="str">
        <f>IFERROR(__xludf.DUMMYFUNCTION("""COMPUTED_VALUE"""),"oscandres_@hotmail.com")</f>
        <v>oscandres_@hotmail.com</v>
      </c>
      <c r="AV172" s="6" t="str">
        <f>IFERROR(__xludf.DUMMYFUNCTION("""COMPUTED_VALUE"""),"Ingeniero de sistemas")</f>
        <v>Ingeniero de sistemas</v>
      </c>
      <c r="AW172" s="6" t="str">
        <f>IFERROR(__xludf.DUMMYFUNCTION("""COMPUTED_VALUE"""),"Promotora Senior S.A.S.")</f>
        <v>Promotora Senior S.A.S.</v>
      </c>
      <c r="AX172" s="12" t="str">
        <f>IFERROR(__xludf.DUMMYFUNCTION("""COMPUTED_VALUE"""),"81715598")</f>
        <v>81715598</v>
      </c>
      <c r="AY172" s="12" t="str">
        <f>IFERROR(__xludf.DUMMYFUNCTION("""COMPUTED_VALUE"""),"3142002278")</f>
        <v>3142002278</v>
      </c>
      <c r="AZ172" s="6" t="str">
        <f>IFERROR(__xludf.DUMMYFUNCTION("""COMPUTED_VALUE"""),"Padre")</f>
        <v>Padre</v>
      </c>
      <c r="BA172" s="6"/>
      <c r="BB172" s="6"/>
      <c r="BC172" s="6"/>
      <c r="BD172" s="12" t="str">
        <f>IFERROR(__xludf.DUMMYFUNCTION("""COMPUTED_VALUE"""),"ara0002")</f>
        <v>ara0002</v>
      </c>
      <c r="BE172" s="6"/>
      <c r="BF172" s="6"/>
      <c r="BG172" s="6">
        <f>IFERROR(__xludf.DUMMYFUNCTION("""COMPUTED_VALUE"""),2038.0)</f>
        <v>2038</v>
      </c>
      <c r="BH172" s="15">
        <f>IFERROR(__xludf.DUMMYFUNCTION("""COMPUTED_VALUE"""),46211.49465277778)</f>
        <v>46211.49465</v>
      </c>
      <c r="BI172" s="6">
        <f>IFERROR(__xludf.DUMMYFUNCTION("""COMPUTED_VALUE"""),171.0)</f>
        <v>171</v>
      </c>
      <c r="BJ172" s="6"/>
      <c r="BK172" s="6"/>
      <c r="BL172" s="6" t="str">
        <f>IFERROR(__xludf.DUMMYFUNCTION("""COMPUTED_VALUE"""),"GISARA0002")</f>
        <v>GISARA0002</v>
      </c>
      <c r="BM172" s="6"/>
      <c r="BN172" s="6"/>
      <c r="BO172" s="6"/>
      <c r="BP172" s="6" t="str">
        <f>IFERROR(__xludf.DUMMYFUNCTION("""COMPUTED_VALUE"""),"XC_1_Voleibol")</f>
        <v>XC_1_Voleibol</v>
      </c>
      <c r="BQ172" s="6"/>
      <c r="BR172" s="6" t="str">
        <f>IFERROR(__xludf.DUMMYFUNCTION("""COMPUTED_VALUE"""),"XC_EL_PequenosCientificos")</f>
        <v>XC_EL_PequenosCientificos</v>
      </c>
      <c r="BS172" s="6" t="str">
        <f>IFERROR(__xludf.DUMMYFUNCTION("""COMPUTED_VALUE"""),"XC_1_Voleibol")</f>
        <v>XC_1_Voleibol</v>
      </c>
      <c r="BT172" s="6" t="str">
        <f>IFERROR(__xludf.DUMMYFUNCTION("""COMPUTED_VALUE"""),"XC_1_Voleibol")</f>
        <v>XC_1_Voleibol</v>
      </c>
      <c r="BU172" s="6" t="str">
        <f>IFERROR(__xludf.DUMMYFUNCTION("""COMPUTED_VALUE"""),"SI")</f>
        <v>SI</v>
      </c>
      <c r="BV172" s="6" t="str">
        <f>IFERROR(__xludf.DUMMYFUNCTION("""COMPUTED_VALUE"""),"leticia.a2038")</f>
        <v>leticia.a2038</v>
      </c>
      <c r="BW172" s="6"/>
      <c r="BX172" s="6"/>
      <c r="BY172" s="6"/>
      <c r="BZ172" s="6"/>
    </row>
    <row r="173">
      <c r="A173" s="12">
        <f>IFERROR(__xludf.DUMMYFUNCTION("""COMPUTED_VALUE"""),1.091889256E9)</f>
        <v>1091889256</v>
      </c>
      <c r="B173" s="6">
        <f>IFERROR(__xludf.DUMMYFUNCTION("""COMPUTED_VALUE"""),2.0)</f>
        <v>2</v>
      </c>
      <c r="C173" s="6" t="str">
        <f>IFERROR(__xludf.DUMMYFUNCTION("""COMPUTED_VALUE"""),"Martín")</f>
        <v>Martín</v>
      </c>
      <c r="D173" s="6"/>
      <c r="E173" s="6" t="str">
        <f>IFERROR(__xludf.DUMMYFUNCTION("""COMPUTED_VALUE"""),"Barros Jaramillo")</f>
        <v>Barros Jaramillo</v>
      </c>
      <c r="F173" s="6" t="str">
        <f>IFERROR(__xludf.DUMMYFUNCTION("""COMPUTED_VALUE"""),"Condominio Tres Colinas - Km 2.8 Via al Caimo")</f>
        <v>Condominio Tres Colinas - Km 2.8 Via al Caimo</v>
      </c>
      <c r="G173" s="12" t="str">
        <f>IFERROR(__xludf.DUMMYFUNCTION("""COMPUTED_VALUE"""),"2019")</f>
        <v>2019</v>
      </c>
      <c r="H173" s="6" t="str">
        <f>IFERROR(__xludf.DUMMYFUNCTION("""COMPUTED_VALUE"""),"Diciembre")</f>
        <v>Diciembre</v>
      </c>
      <c r="I173" s="12" t="str">
        <f>IFERROR(__xludf.DUMMYFUNCTION("""COMPUTED_VALUE"""),"27")</f>
        <v>27</v>
      </c>
      <c r="J173" s="6" t="str">
        <f>IFERROR(__xludf.DUMMYFUNCTION("""COMPUTED_VALUE"""),"Armenia")</f>
        <v>Armenia</v>
      </c>
      <c r="K173" s="6" t="str">
        <f>IFERROR(__xludf.DUMMYFUNCTION("""COMPUTED_VALUE"""),"martin.b2038@gi.edu.co")</f>
        <v>martin.b2038@gi.edu.co</v>
      </c>
      <c r="L173" s="6" t="str">
        <f>IFERROR(__xludf.DUMMYFUNCTION("""COMPUTED_VALUE"""),"RC")</f>
        <v>RC</v>
      </c>
      <c r="M173" s="6" t="str">
        <f>IFERROR(__xludf.DUMMYFUNCTION("""COMPUTED_VALUE"""),"Armenia")</f>
        <v>Armenia</v>
      </c>
      <c r="N173" s="6" t="str">
        <f>IFERROR(__xludf.DUMMYFUNCTION("""COMPUTED_VALUE"""),"M")</f>
        <v>M</v>
      </c>
      <c r="O173" s="6" t="str">
        <f>IFERROR(__xludf.DUMMYFUNCTION("""COMPUTED_VALUE"""),"INACTIVE")</f>
        <v>INACTIVE</v>
      </c>
      <c r="P173" s="6"/>
      <c r="Q173" s="6" t="str">
        <f>IFERROR(__xludf.DUMMYFUNCTION("""COMPUTED_VALUE"""),"Armenia")</f>
        <v>Armenia</v>
      </c>
      <c r="R173" s="12" t="str">
        <f>IFERROR(__xludf.DUMMYFUNCTION("""COMPUTED_VALUE"""),"Gin458z*")</f>
        <v>Gin458z*</v>
      </c>
      <c r="S173" s="6" t="str">
        <f>IFERROR(__xludf.DUMMYFUNCTION("""COMPUTED_VALUE"""),"Barros Jaramillo Martín ")</f>
        <v>Barros Jaramillo Martín </v>
      </c>
      <c r="T173" s="6" t="str">
        <f>IFERROR(__xludf.DUMMYFUNCTION("""COMPUTED_VALUE"""),"DAVID BARROS JARAMILLO")</f>
        <v>DAVID BARROS JARAMILLO</v>
      </c>
      <c r="U173" s="12" t="str">
        <f>IFERROR(__xludf.DUMMYFUNCTION("""COMPUTED_VALUE"""),"1094882453")</f>
        <v>1094882453</v>
      </c>
      <c r="V173" s="6">
        <f>IFERROR(__xludf.DUMMYFUNCTION("""COMPUTED_VALUE"""),3.137487827E9)</f>
        <v>3137487827</v>
      </c>
      <c r="W173" s="6" t="str">
        <f>IFERROR(__xludf.DUMMYFUNCTION("""COMPUTED_VALUE"""),"davidbarros222@gmail.com")</f>
        <v>davidbarros222@gmail.com</v>
      </c>
      <c r="X173" s="12" t="str">
        <f>IFERROR(__xludf.DUMMYFUNCTION("""COMPUTED_VALUE"""),"A-")</f>
        <v>A-</v>
      </c>
      <c r="Y173" s="12" t="str">
        <f>IFERROR(__xludf.DUMMYFUNCTION("""COMPUTED_VALUE"""),"1")</f>
        <v>1</v>
      </c>
      <c r="Z173" s="12">
        <f>IFERROR(__xludf.DUMMYFUNCTION("""COMPUTED_VALUE"""),120386.0)</f>
        <v>120386</v>
      </c>
      <c r="AA173" s="6" t="str">
        <f>IFERROR(__xludf.DUMMYFUNCTION("""COMPUTED_VALUE"""),"SURA")</f>
        <v>SURA</v>
      </c>
      <c r="AB173" s="6"/>
      <c r="AC173" s="6"/>
      <c r="AD173" s="12" t="str">
        <f>IFERROR(__xludf.DUMMYFUNCTION("""COMPUTED_VALUE"""),"1A")</f>
        <v>1A</v>
      </c>
      <c r="AE173" s="12" t="str">
        <f>IFERROR(__xludf.DUMMYFUNCTION("""COMPUTED_VALUE"""),"1345282386")</f>
        <v>1345282386</v>
      </c>
      <c r="AF173" s="6"/>
      <c r="AG173" s="12" t="str">
        <f>IFERROR(__xludf.DUMMYFUNCTION("""COMPUTED_VALUE"""),"Juanita")</f>
        <v>Juanita</v>
      </c>
      <c r="AH173" s="6"/>
      <c r="AI173" s="6" t="str">
        <f>IFERROR(__xludf.DUMMYFUNCTION("""COMPUTED_VALUE"""),"Jaramillo Giraldo")</f>
        <v>Jaramillo Giraldo</v>
      </c>
      <c r="AJ173" s="6" t="str">
        <f>IFERROR(__xludf.DUMMYFUNCTION("""COMPUTED_VALUE"""),"jaramillojuanita8@gmail.com")</f>
        <v>jaramillojuanita8@gmail.com</v>
      </c>
      <c r="AK173" s="6" t="str">
        <f>IFERROR(__xludf.DUMMYFUNCTION("""COMPUTED_VALUE"""),"comunicador social")</f>
        <v>comunicador social</v>
      </c>
      <c r="AL173" s="6" t="str">
        <f>IFERROR(__xludf.DUMMYFUNCTION("""COMPUTED_VALUE"""),"El caney")</f>
        <v>El caney</v>
      </c>
      <c r="AM173" s="12" t="str">
        <f>IFERROR(__xludf.DUMMYFUNCTION("""COMPUTED_VALUE"""),"41963695")</f>
        <v>41963695</v>
      </c>
      <c r="AN173" s="12" t="str">
        <f>IFERROR(__xludf.DUMMYFUNCTION("""COMPUTED_VALUE"""),"3134095554")</f>
        <v>3134095554</v>
      </c>
      <c r="AO173" s="6" t="str">
        <f>IFERROR(__xludf.DUMMYFUNCTION("""COMPUTED_VALUE"""),"Madre")</f>
        <v>Madre</v>
      </c>
      <c r="AP173" s="6" t="str">
        <f>IFERROR(__xludf.DUMMYFUNCTION("""COMPUTED_VALUE"""),"Estudiante(s): Barros Jaramillo")</f>
        <v>Estudiante(s): Barros Jaramillo</v>
      </c>
      <c r="AQ173" s="6" t="str">
        <f>IFERROR(__xludf.DUMMYFUNCTION("""COMPUTED_VALUE"""),"120386*Gi")</f>
        <v>120386*Gi</v>
      </c>
      <c r="AR173" s="6" t="str">
        <f>IFERROR(__xludf.DUMMYFUNCTION("""COMPUTED_VALUE"""),"David")</f>
        <v>David</v>
      </c>
      <c r="AS173" s="6"/>
      <c r="AT173" s="6" t="str">
        <f>IFERROR(__xludf.DUMMYFUNCTION("""COMPUTED_VALUE"""),"Barros Jaramillo")</f>
        <v>Barros Jaramillo</v>
      </c>
      <c r="AU173" s="6" t="str">
        <f>IFERROR(__xludf.DUMMYFUNCTION("""COMPUTED_VALUE"""),"davidbarros222@gmail.com")</f>
        <v>davidbarros222@gmail.com</v>
      </c>
      <c r="AV173" s="6" t="str">
        <f>IFERROR(__xludf.DUMMYFUNCTION("""COMPUTED_VALUE"""),"administrador de empresas")</f>
        <v>administrador de empresas</v>
      </c>
      <c r="AW173" s="6" t="str">
        <f>IFERROR(__xludf.DUMMYFUNCTION("""COMPUTED_VALUE"""),"finca el caney")</f>
        <v>finca el caney</v>
      </c>
      <c r="AX173" s="12" t="str">
        <f>IFERROR(__xludf.DUMMYFUNCTION("""COMPUTED_VALUE"""),"1094882453")</f>
        <v>1094882453</v>
      </c>
      <c r="AY173" s="12">
        <f>IFERROR(__xludf.DUMMYFUNCTION("""COMPUTED_VALUE"""),3.137487827E9)</f>
        <v>3137487827</v>
      </c>
      <c r="AZ173" s="6" t="str">
        <f>IFERROR(__xludf.DUMMYFUNCTION("""COMPUTED_VALUE"""),"Padre")</f>
        <v>Padre</v>
      </c>
      <c r="BA173" s="6" t="str">
        <f>IFERROR(__xludf.DUMMYFUNCTION("""COMPUTED_VALUE"""),"MARIA ADELAIDA BARROS JARAMILLO")</f>
        <v>MARIA ADELAIDA BARROS JARAMILLO</v>
      </c>
      <c r="BB173" s="6">
        <f>IFERROR(__xludf.DUMMYFUNCTION("""COMPUTED_VALUE"""),3.137490358E9)</f>
        <v>3137490358</v>
      </c>
      <c r="BC173" s="6" t="str">
        <f>IFERROR(__xludf.DUMMYFUNCTION("""COMPUTED_VALUE"""),"Tio(a)")</f>
        <v>Tio(a)</v>
      </c>
      <c r="BD173" s="12" t="str">
        <f>IFERROR(__xludf.DUMMYFUNCTION("""COMPUTED_VALUE"""),"bar0008")</f>
        <v>bar0008</v>
      </c>
      <c r="BE173" s="6" t="str">
        <f>IFERROR(__xludf.DUMMYFUNCTION("""COMPUTED_VALUE"""),"FALTAN FIRMAS")</f>
        <v>FALTAN FIRMAS</v>
      </c>
      <c r="BF173" s="6"/>
      <c r="BG173" s="6">
        <f>IFERROR(__xludf.DUMMYFUNCTION("""COMPUTED_VALUE"""),2038.0)</f>
        <v>2038</v>
      </c>
      <c r="BH173" s="15">
        <f>IFERROR(__xludf.DUMMYFUNCTION("""COMPUTED_VALUE"""),46239.49528935185)</f>
        <v>46239.49529</v>
      </c>
      <c r="BI173" s="6">
        <f>IFERROR(__xludf.DUMMYFUNCTION("""COMPUTED_VALUE"""),172.0)</f>
        <v>172</v>
      </c>
      <c r="BJ173" s="6"/>
      <c r="BK173" s="6"/>
      <c r="BL173" s="6" t="str">
        <f>IFERROR(__xludf.DUMMYFUNCTION("""COMPUTED_VALUE"""),"GISBAR0008")</f>
        <v>GISBAR0008</v>
      </c>
      <c r="BM173" s="6"/>
      <c r="BN173" s="6"/>
      <c r="BO173" s="6"/>
      <c r="BP173" s="6"/>
      <c r="BQ173" s="6"/>
      <c r="BR173" s="6" t="str">
        <f>IFERROR(__xludf.DUMMYFUNCTION("""COMPUTED_VALUE"""),"XC_EL_DesaInstrumental")</f>
        <v>XC_EL_DesaInstrumental</v>
      </c>
      <c r="BS173" s="6"/>
      <c r="BT173" s="6"/>
      <c r="BU173" s="6" t="str">
        <f>IFERROR(__xludf.DUMMYFUNCTION("""COMPUTED_VALUE"""),"SI")</f>
        <v>SI</v>
      </c>
      <c r="BV173" s="6" t="str">
        <f>IFERROR(__xludf.DUMMYFUNCTION("""COMPUTED_VALUE"""),"martin.b2038")</f>
        <v>martin.b2038</v>
      </c>
      <c r="BW173" s="6"/>
      <c r="BX173" s="6"/>
      <c r="BY173" s="6"/>
      <c r="BZ173" s="6"/>
    </row>
    <row r="174">
      <c r="A174" s="12">
        <f>IFERROR(__xludf.DUMMYFUNCTION("""COMPUTED_VALUE"""),1.09286391E9)</f>
        <v>1092863910</v>
      </c>
      <c r="B174" s="6">
        <f>IFERROR(__xludf.DUMMYFUNCTION("""COMPUTED_VALUE"""),3.0)</f>
        <v>3</v>
      </c>
      <c r="C174" s="6" t="str">
        <f>IFERROR(__xludf.DUMMYFUNCTION("""COMPUTED_VALUE"""),"Valentino")</f>
        <v>Valentino</v>
      </c>
      <c r="D174" s="6"/>
      <c r="E174" s="6" t="str">
        <f>IFERROR(__xludf.DUMMYFUNCTION("""COMPUTED_VALUE"""),"Betancur Piedrahita")</f>
        <v>Betancur Piedrahita</v>
      </c>
      <c r="F174" s="6" t="str">
        <f>IFERROR(__xludf.DUMMYFUNCTION("""COMPUTED_VALUE"""),"Bosque Residencial La Pradera Casa 8 - Cra 6 No50Nte - 1 Av Centenario")</f>
        <v>Bosque Residencial La Pradera Casa 8 - Cra 6 No50Nte - 1 Av Centenario</v>
      </c>
      <c r="G174" s="12" t="str">
        <f>IFERROR(__xludf.DUMMYFUNCTION("""COMPUTED_VALUE"""),"2020")</f>
        <v>2020</v>
      </c>
      <c r="H174" s="6" t="str">
        <f>IFERROR(__xludf.DUMMYFUNCTION("""COMPUTED_VALUE"""),"Enero")</f>
        <v>Enero</v>
      </c>
      <c r="I174" s="12" t="str">
        <f>IFERROR(__xludf.DUMMYFUNCTION("""COMPUTED_VALUE"""),"25")</f>
        <v>25</v>
      </c>
      <c r="J174" s="6" t="str">
        <f>IFERROR(__xludf.DUMMYFUNCTION("""COMPUTED_VALUE"""),"Pereira")</f>
        <v>Pereira</v>
      </c>
      <c r="K174" s="6" t="str">
        <f>IFERROR(__xludf.DUMMYFUNCTION("""COMPUTED_VALUE"""),"valentino.b2038@gi.edu.co")</f>
        <v>valentino.b2038@gi.edu.co</v>
      </c>
      <c r="L174" s="6" t="str">
        <f>IFERROR(__xludf.DUMMYFUNCTION("""COMPUTED_VALUE"""),"RC")</f>
        <v>RC</v>
      </c>
      <c r="M174" s="6" t="str">
        <f>IFERROR(__xludf.DUMMYFUNCTION("""COMPUTED_VALUE"""),"Armenia")</f>
        <v>Armenia</v>
      </c>
      <c r="N174" s="6" t="str">
        <f>IFERROR(__xludf.DUMMYFUNCTION("""COMPUTED_VALUE"""),"M")</f>
        <v>M</v>
      </c>
      <c r="O174" s="6" t="str">
        <f>IFERROR(__xludf.DUMMYFUNCTION("""COMPUTED_VALUE"""),"INACTIVE")</f>
        <v>INACTIVE</v>
      </c>
      <c r="P174" s="6"/>
      <c r="Q174" s="6" t="str">
        <f>IFERROR(__xludf.DUMMYFUNCTION("""COMPUTED_VALUE"""),"Armenia")</f>
        <v>Armenia</v>
      </c>
      <c r="R174" s="12" t="str">
        <f>IFERROR(__xludf.DUMMYFUNCTION("""COMPUTED_VALUE"""),"Giw39nc*")</f>
        <v>Giw39nc*</v>
      </c>
      <c r="S174" s="6" t="str">
        <f>IFERROR(__xludf.DUMMYFUNCTION("""COMPUTED_VALUE"""),"Betancur Piedrahita Valentino ")</f>
        <v>Betancur Piedrahita Valentino </v>
      </c>
      <c r="T174" s="6" t="str">
        <f>IFERROR(__xludf.DUMMYFUNCTION("""COMPUTED_VALUE"""),"MILENA PIEDRAHITA LÓPEZ")</f>
        <v>MILENA PIEDRAHITA LÓPEZ</v>
      </c>
      <c r="U174" s="12" t="str">
        <f>IFERROR(__xludf.DUMMYFUNCTION("""COMPUTED_VALUE"""),"41946994")</f>
        <v>41946994</v>
      </c>
      <c r="V174" s="6">
        <f>IFERROR(__xludf.DUMMYFUNCTION("""COMPUTED_VALUE"""),3.044426937E9)</f>
        <v>3044426937</v>
      </c>
      <c r="W174" s="6" t="str">
        <f>IFERROR(__xludf.DUMMYFUNCTION("""COMPUTED_VALUE"""),"pilobeza@gmail.com")</f>
        <v>pilobeza@gmail.com</v>
      </c>
      <c r="X174" s="12" t="str">
        <f>IFERROR(__xludf.DUMMYFUNCTION("""COMPUTED_VALUE"""),"O+")</f>
        <v>O+</v>
      </c>
      <c r="Y174" s="12" t="str">
        <f>IFERROR(__xludf.DUMMYFUNCTION("""COMPUTED_VALUE"""),"1")</f>
        <v>1</v>
      </c>
      <c r="Z174" s="12">
        <f>IFERROR(__xludf.DUMMYFUNCTION("""COMPUTED_VALUE"""),120304.0)</f>
        <v>120304</v>
      </c>
      <c r="AA174" s="6" t="str">
        <f>IFERROR(__xludf.DUMMYFUNCTION("""COMPUTED_VALUE"""),"SURA")</f>
        <v>SURA</v>
      </c>
      <c r="AB174" s="6"/>
      <c r="AC174" s="6"/>
      <c r="AD174" s="12" t="str">
        <f>IFERROR(__xludf.DUMMYFUNCTION("""COMPUTED_VALUE"""),"1A")</f>
        <v>1A</v>
      </c>
      <c r="AE174" s="12">
        <f>IFERROR(__xludf.DUMMYFUNCTION("""COMPUTED_VALUE"""),1.345282307E9)</f>
        <v>1345282307</v>
      </c>
      <c r="AF174" s="6"/>
      <c r="AG174" s="12" t="str">
        <f>IFERROR(__xludf.DUMMYFUNCTION("""COMPUTED_VALUE"""),"Milena")</f>
        <v>Milena</v>
      </c>
      <c r="AH174" s="6"/>
      <c r="AI174" s="6" t="str">
        <f>IFERROR(__xludf.DUMMYFUNCTION("""COMPUTED_VALUE"""),"Piedrahita López")</f>
        <v>Piedrahita López</v>
      </c>
      <c r="AJ174" s="6" t="str">
        <f>IFERROR(__xludf.DUMMYFUNCTION("""COMPUTED_VALUE"""),"pilobeza@gmail.com")</f>
        <v>pilobeza@gmail.com</v>
      </c>
      <c r="AK174" s="6" t="str">
        <f>IFERROR(__xludf.DUMMYFUNCTION("""COMPUTED_VALUE"""),"Comercio Internacional")</f>
        <v>Comercio Internacional</v>
      </c>
      <c r="AL174" s="6"/>
      <c r="AM174" s="12">
        <f>IFERROR(__xludf.DUMMYFUNCTION("""COMPUTED_VALUE"""),4.1946994E7)</f>
        <v>41946994</v>
      </c>
      <c r="AN174" s="12" t="str">
        <f>IFERROR(__xludf.DUMMYFUNCTION("""COMPUTED_VALUE"""),"3044426937")</f>
        <v>3044426937</v>
      </c>
      <c r="AO174" s="6" t="str">
        <f>IFERROR(__xludf.DUMMYFUNCTION("""COMPUTED_VALUE"""),"Madre")</f>
        <v>Madre</v>
      </c>
      <c r="AP174" s="6" t="str">
        <f>IFERROR(__xludf.DUMMYFUNCTION("""COMPUTED_VALUE"""),"Estudiante(s): Betancur Piedrahita")</f>
        <v>Estudiante(s): Betancur Piedrahita</v>
      </c>
      <c r="AQ174" s="6" t="str">
        <f>IFERROR(__xludf.DUMMYFUNCTION("""COMPUTED_VALUE"""),"103760*Gi")</f>
        <v>103760*Gi</v>
      </c>
      <c r="AR174" s="6" t="str">
        <f>IFERROR(__xludf.DUMMYFUNCTION("""COMPUTED_VALUE"""),"Oscar")</f>
        <v>Oscar</v>
      </c>
      <c r="AS174" s="6" t="str">
        <f>IFERROR(__xludf.DUMMYFUNCTION("""COMPUTED_VALUE"""),"Leonardo")</f>
        <v>Leonardo</v>
      </c>
      <c r="AT174" s="6" t="str">
        <f>IFERROR(__xludf.DUMMYFUNCTION("""COMPUTED_VALUE"""),"Betancur Zapata")</f>
        <v>Betancur Zapata</v>
      </c>
      <c r="AU174" s="6" t="str">
        <f>IFERROR(__xludf.DUMMYFUNCTION("""COMPUTED_VALUE"""),"arqlbz@gmail.com")</f>
        <v>arqlbz@gmail.com</v>
      </c>
      <c r="AV174" s="6" t="str">
        <f>IFERROR(__xludf.DUMMYFUNCTION("""COMPUTED_VALUE"""),"Arquitecto Constructor")</f>
        <v>Arquitecto Constructor</v>
      </c>
      <c r="AW174" s="6" t="str">
        <f>IFERROR(__xludf.DUMMYFUNCTION("""COMPUTED_VALUE"""),"Independiente")</f>
        <v>Independiente</v>
      </c>
      <c r="AX174" s="12">
        <f>IFERROR(__xludf.DUMMYFUNCTION("""COMPUTED_VALUE"""),9732389.0)</f>
        <v>9732389</v>
      </c>
      <c r="AY174" s="12" t="str">
        <f>IFERROR(__xludf.DUMMYFUNCTION("""COMPUTED_VALUE"""),"3225929621")</f>
        <v>3225929621</v>
      </c>
      <c r="AZ174" s="6" t="str">
        <f>IFERROR(__xludf.DUMMYFUNCTION("""COMPUTED_VALUE"""),"Padre")</f>
        <v>Padre</v>
      </c>
      <c r="BA174" s="6"/>
      <c r="BB174" s="6"/>
      <c r="BC174" s="6"/>
      <c r="BD174" s="12" t="str">
        <f>IFERROR(__xludf.DUMMYFUNCTION("""COMPUTED_VALUE"""),"bet0002")</f>
        <v>bet0002</v>
      </c>
      <c r="BE174" s="6" t="str">
        <f>IFERROR(__xludf.DUMMYFUNCTION("""COMPUTED_VALUE"""),"FALTAN FIRMAS")</f>
        <v>FALTAN FIRMAS</v>
      </c>
      <c r="BF174" s="6"/>
      <c r="BG174" s="6">
        <f>IFERROR(__xludf.DUMMYFUNCTION("""COMPUTED_VALUE"""),2038.0)</f>
        <v>2038</v>
      </c>
      <c r="BH174" s="15">
        <f>IFERROR(__xludf.DUMMYFUNCTION("""COMPUTED_VALUE"""),46251.87480324074)</f>
        <v>46251.8748</v>
      </c>
      <c r="BI174" s="6">
        <f>IFERROR(__xludf.DUMMYFUNCTION("""COMPUTED_VALUE"""),173.0)</f>
        <v>173</v>
      </c>
      <c r="BJ174" s="6"/>
      <c r="BK174" s="6"/>
      <c r="BL174" s="6" t="str">
        <f>IFERROR(__xludf.DUMMYFUNCTION("""COMPUTED_VALUE"""),"GISBET0002")</f>
        <v>GISBET0002</v>
      </c>
      <c r="BM174" s="6"/>
      <c r="BN174" s="6"/>
      <c r="BO174" s="6" t="str">
        <f>IFERROR(__xludf.DUMMYFUNCTION("""COMPUTED_VALUE"""),"XC_EL_ArtesPlasticas")</f>
        <v>XC_EL_ArtesPlasticas</v>
      </c>
      <c r="BP174" s="6" t="str">
        <f>IFERROR(__xludf.DUMMYFUNCTION("""COMPUTED_VALUE"""),"XC_1_Futbol_M")</f>
        <v>XC_1_Futbol_M</v>
      </c>
      <c r="BQ174" s="6"/>
      <c r="BR174" s="6"/>
      <c r="BS174" s="6" t="str">
        <f>IFERROR(__xludf.DUMMYFUNCTION("""COMPUTED_VALUE"""),"XC_1_Futbol_M")</f>
        <v>XC_1_Futbol_M</v>
      </c>
      <c r="BT174" s="6" t="str">
        <f>IFERROR(__xludf.DUMMYFUNCTION("""COMPUTED_VALUE"""),"XC_1_Futbol_M")</f>
        <v>XC_1_Futbol_M</v>
      </c>
      <c r="BU174" s="6" t="str">
        <f>IFERROR(__xludf.DUMMYFUNCTION("""COMPUTED_VALUE"""),"SI")</f>
        <v>SI</v>
      </c>
      <c r="BV174" s="6" t="str">
        <f>IFERROR(__xludf.DUMMYFUNCTION("""COMPUTED_VALUE"""),"valentino.b2038")</f>
        <v>valentino.b2038</v>
      </c>
      <c r="BW174" s="6"/>
      <c r="BX174" s="6"/>
      <c r="BY174" s="6"/>
      <c r="BZ174" s="6"/>
    </row>
    <row r="175">
      <c r="A175" s="12">
        <f>IFERROR(__xludf.DUMMYFUNCTION("""COMPUTED_VALUE"""),1.031854971E9)</f>
        <v>1031854971</v>
      </c>
      <c r="B175" s="6">
        <f>IFERROR(__xludf.DUMMYFUNCTION("""COMPUTED_VALUE"""),4.0)</f>
        <v>4</v>
      </c>
      <c r="C175" s="6" t="str">
        <f>IFERROR(__xludf.DUMMYFUNCTION("""COMPUTED_VALUE"""),"Isabella")</f>
        <v>Isabella</v>
      </c>
      <c r="D175" s="6"/>
      <c r="E175" s="6" t="str">
        <f>IFERROR(__xludf.DUMMYFUNCTION("""COMPUTED_VALUE"""),"Cárdenas Prada")</f>
        <v>Cárdenas Prada</v>
      </c>
      <c r="F175" s="6" t="str">
        <f>IFERROR(__xludf.DUMMYFUNCTION("""COMPUTED_VALUE"""),"Conjunto Cantabria Manzana C Casa 03 - Calle 6 No18 - 22 Circasia")</f>
        <v>Conjunto Cantabria Manzana C Casa 03 - Calle 6 No18 - 22 Circasia</v>
      </c>
      <c r="G175" s="12">
        <f>IFERROR(__xludf.DUMMYFUNCTION("""COMPUTED_VALUE"""),2020.0)</f>
        <v>2020</v>
      </c>
      <c r="H175" s="6" t="str">
        <f>IFERROR(__xludf.DUMMYFUNCTION("""COMPUTED_VALUE"""),"Febrero")</f>
        <v>Febrero</v>
      </c>
      <c r="I175" s="12">
        <f>IFERROR(__xludf.DUMMYFUNCTION("""COMPUTED_VALUE"""),27.0)</f>
        <v>27</v>
      </c>
      <c r="J175" s="6" t="str">
        <f>IFERROR(__xludf.DUMMYFUNCTION("""COMPUTED_VALUE"""),"Bogotá D.C.")</f>
        <v>Bogotá D.C.</v>
      </c>
      <c r="K175" s="6" t="str">
        <f>IFERROR(__xludf.DUMMYFUNCTION("""COMPUTED_VALUE"""),"isabella.c2038@gi.edu.co")</f>
        <v>isabella.c2038@gi.edu.co</v>
      </c>
      <c r="L175" s="6" t="str">
        <f>IFERROR(__xludf.DUMMYFUNCTION("""COMPUTED_VALUE"""),"RC")</f>
        <v>RC</v>
      </c>
      <c r="M175" s="6" t="str">
        <f>IFERROR(__xludf.DUMMYFUNCTION("""COMPUTED_VALUE"""),"Bogotá D.C.")</f>
        <v>Bogotá D.C.</v>
      </c>
      <c r="N175" s="6" t="str">
        <f>IFERROR(__xludf.DUMMYFUNCTION("""COMPUTED_VALUE"""),"F")</f>
        <v>F</v>
      </c>
      <c r="O175" s="6" t="str">
        <f>IFERROR(__xludf.DUMMYFUNCTION("""COMPUTED_VALUE"""),"ACTIVE")</f>
        <v>ACTIVE</v>
      </c>
      <c r="P175" s="6"/>
      <c r="Q175" s="6" t="str">
        <f>IFERROR(__xludf.DUMMYFUNCTION("""COMPUTED_VALUE"""),"Circasia")</f>
        <v>Circasia</v>
      </c>
      <c r="R175" s="12" t="str">
        <f>IFERROR(__xludf.DUMMYFUNCTION("""COMPUTED_VALUE"""),"Givcx765*")</f>
        <v>Givcx765*</v>
      </c>
      <c r="S175" s="6" t="str">
        <f>IFERROR(__xludf.DUMMYFUNCTION("""COMPUTED_VALUE"""),"Cárdenas Prada Isabella ")</f>
        <v>Cárdenas Prada Isabella </v>
      </c>
      <c r="T175" s="6" t="str">
        <f>IFERROR(__xludf.DUMMYFUNCTION("""COMPUTED_VALUE"""),"FREDY CÁRDENAS ANDRADE")</f>
        <v>FREDY CÁRDENAS ANDRADE</v>
      </c>
      <c r="U175" s="12" t="str">
        <f>IFERROR(__xludf.DUMMYFUNCTION("""COMPUTED_VALUE"""),"80493063")</f>
        <v>80493063</v>
      </c>
      <c r="V175" s="6">
        <f>IFERROR(__xludf.DUMMYFUNCTION("""COMPUTED_VALUE"""),3.102133363E9)</f>
        <v>3102133363</v>
      </c>
      <c r="W175" s="6" t="str">
        <f>IFERROR(__xludf.DUMMYFUNCTION("""COMPUTED_VALUE"""),"fcardenas97@gmail.com")</f>
        <v>fcardenas97@gmail.com</v>
      </c>
      <c r="X175" s="12" t="str">
        <f>IFERROR(__xludf.DUMMYFUNCTION("""COMPUTED_VALUE"""),"A+")</f>
        <v>A+</v>
      </c>
      <c r="Y175" s="12" t="str">
        <f>IFERROR(__xludf.DUMMYFUNCTION("""COMPUTED_VALUE"""),"1")</f>
        <v>1</v>
      </c>
      <c r="Z175" s="12">
        <f>IFERROR(__xludf.DUMMYFUNCTION("""COMPUTED_VALUE"""),120452.0)</f>
        <v>120452</v>
      </c>
      <c r="AA175" s="6" t="str">
        <f>IFERROR(__xludf.DUMMYFUNCTION("""COMPUTED_VALUE"""),"OTRA")</f>
        <v>OTRA</v>
      </c>
      <c r="AB175" s="6"/>
      <c r="AC175" s="6"/>
      <c r="AD175" s="12" t="str">
        <f>IFERROR(__xludf.DUMMYFUNCTION("""COMPUTED_VALUE"""),"1A")</f>
        <v>1A</v>
      </c>
      <c r="AE175" s="12" t="str">
        <f>IFERROR(__xludf.DUMMYFUNCTION("""COMPUTED_VALUE"""),"1345282451")</f>
        <v>1345282451</v>
      </c>
      <c r="AF175" s="6"/>
      <c r="AG175" s="12" t="str">
        <f>IFERROR(__xludf.DUMMYFUNCTION("""COMPUTED_VALUE"""),"Flor")</f>
        <v>Flor</v>
      </c>
      <c r="AH175" s="6"/>
      <c r="AI175" s="6" t="str">
        <f>IFERROR(__xludf.DUMMYFUNCTION("""COMPUTED_VALUE"""),"Prada Corzo")</f>
        <v>Prada Corzo</v>
      </c>
      <c r="AJ175" s="6" t="str">
        <f>IFERROR(__xludf.DUMMYFUNCTION("""COMPUTED_VALUE"""),"florpradacorzo@hotmail.com")</f>
        <v>florpradacorzo@hotmail.com</v>
      </c>
      <c r="AK175" s="6" t="str">
        <f>IFERROR(__xludf.DUMMYFUNCTION("""COMPUTED_VALUE"""),"Contador Público - Auditor")</f>
        <v>Contador Público - Auditor</v>
      </c>
      <c r="AL175" s="6" t="str">
        <f>IFERROR(__xludf.DUMMYFUNCTION("""COMPUTED_VALUE"""),"Universidad EAN")</f>
        <v>Universidad EAN</v>
      </c>
      <c r="AM175" s="12" t="str">
        <f>IFERROR(__xludf.DUMMYFUNCTION("""COMPUTED_VALUE"""),"1024476573")</f>
        <v>1024476573</v>
      </c>
      <c r="AN175" s="12">
        <f>IFERROR(__xludf.DUMMYFUNCTION("""COMPUTED_VALUE"""),3.023558159E9)</f>
        <v>3023558159</v>
      </c>
      <c r="AO175" s="6" t="str">
        <f>IFERROR(__xludf.DUMMYFUNCTION("""COMPUTED_VALUE"""),"Madre")</f>
        <v>Madre</v>
      </c>
      <c r="AP175" s="6" t="str">
        <f>IFERROR(__xludf.DUMMYFUNCTION("""COMPUTED_VALUE"""),"Estudiante(s): Cárdenas Prada")</f>
        <v>Estudiante(s): Cárdenas Prada</v>
      </c>
      <c r="AQ175" s="6" t="str">
        <f>IFERROR(__xludf.DUMMYFUNCTION("""COMPUTED_VALUE"""),"120452*Gi")</f>
        <v>120452*Gi</v>
      </c>
      <c r="AR175" s="6" t="str">
        <f>IFERROR(__xludf.DUMMYFUNCTION("""COMPUTED_VALUE"""),"Fredy")</f>
        <v>Fredy</v>
      </c>
      <c r="AS175" s="6"/>
      <c r="AT175" s="6" t="str">
        <f>IFERROR(__xludf.DUMMYFUNCTION("""COMPUTED_VALUE"""),"Cárdenas Andrade")</f>
        <v>Cárdenas Andrade</v>
      </c>
      <c r="AU175" s="6" t="str">
        <f>IFERROR(__xludf.DUMMYFUNCTION("""COMPUTED_VALUE"""),"fcardenas97@gmail.com")</f>
        <v>fcardenas97@gmail.com</v>
      </c>
      <c r="AV175" s="6" t="str">
        <f>IFERROR(__xludf.DUMMYFUNCTION("""COMPUTED_VALUE"""),"Abogado")</f>
        <v>Abogado</v>
      </c>
      <c r="AW175" s="6" t="str">
        <f>IFERROR(__xludf.DUMMYFUNCTION("""COMPUTED_VALUE"""),"Pensionado")</f>
        <v>Pensionado</v>
      </c>
      <c r="AX175" s="12" t="str">
        <f>IFERROR(__xludf.DUMMYFUNCTION("""COMPUTED_VALUE"""),"80493063")</f>
        <v>80493063</v>
      </c>
      <c r="AY175" s="12" t="str">
        <f>IFERROR(__xludf.DUMMYFUNCTION("""COMPUTED_VALUE"""),"3102133363")</f>
        <v>3102133363</v>
      </c>
      <c r="AZ175" s="6" t="str">
        <f>IFERROR(__xludf.DUMMYFUNCTION("""COMPUTED_VALUE"""),"Padre")</f>
        <v>Padre</v>
      </c>
      <c r="BA175" s="6"/>
      <c r="BB175" s="6"/>
      <c r="BC175" s="6"/>
      <c r="BD175" s="12" t="str">
        <f>IFERROR(__xludf.DUMMYFUNCTION("""COMPUTED_VALUE"""),"car0022")</f>
        <v>car0022</v>
      </c>
      <c r="BE175" s="6"/>
      <c r="BF175" s="6"/>
      <c r="BG175" s="6">
        <f>IFERROR(__xludf.DUMMYFUNCTION("""COMPUTED_VALUE"""),2038.0)</f>
        <v>2038</v>
      </c>
      <c r="BH175" s="15">
        <f>IFERROR(__xludf.DUMMYFUNCTION("""COMPUTED_VALUE"""),46210.88474537037)</f>
        <v>46210.88475</v>
      </c>
      <c r="BI175" s="6">
        <f>IFERROR(__xludf.DUMMYFUNCTION("""COMPUTED_VALUE"""),174.0)</f>
        <v>174</v>
      </c>
      <c r="BJ175" s="6"/>
      <c r="BK175" s="6"/>
      <c r="BL175" s="6" t="str">
        <f>IFERROR(__xludf.DUMMYFUNCTION("""COMPUTED_VALUE"""),"GISCAR0022")</f>
        <v>GISCAR0022</v>
      </c>
      <c r="BM175" s="6"/>
      <c r="BN175" s="6"/>
      <c r="BO175" s="6"/>
      <c r="BP175" s="6" t="str">
        <f>IFERROR(__xludf.DUMMYFUNCTION("""COMPUTED_VALUE"""),"XC_1_Voleibol")</f>
        <v>XC_1_Voleibol</v>
      </c>
      <c r="BQ175" s="6"/>
      <c r="BR175" s="6" t="str">
        <f>IFERROR(__xludf.DUMMYFUNCTION("""COMPUTED_VALUE"""),"XC_EL_PequenosCientificos")</f>
        <v>XC_EL_PequenosCientificos</v>
      </c>
      <c r="BS175" s="6" t="str">
        <f>IFERROR(__xludf.DUMMYFUNCTION("""COMPUTED_VALUE"""),"XC_1_Voleibol")</f>
        <v>XC_1_Voleibol</v>
      </c>
      <c r="BT175" s="6" t="str">
        <f>IFERROR(__xludf.DUMMYFUNCTION("""COMPUTED_VALUE"""),"XC_1_Voleibol")</f>
        <v>XC_1_Voleibol</v>
      </c>
      <c r="BU175" s="6" t="str">
        <f>IFERROR(__xludf.DUMMYFUNCTION("""COMPUTED_VALUE"""),"SI")</f>
        <v>SI</v>
      </c>
      <c r="BV175" s="6" t="str">
        <f>IFERROR(__xludf.DUMMYFUNCTION("""COMPUTED_VALUE"""),"isabella.c2038")</f>
        <v>isabella.c2038</v>
      </c>
      <c r="BW175" s="6"/>
      <c r="BX175" s="6"/>
      <c r="BY175" s="6"/>
      <c r="BZ175" s="6"/>
    </row>
    <row r="176">
      <c r="A176" s="12">
        <f>IFERROR(__xludf.DUMMYFUNCTION("""COMPUTED_VALUE"""),1.092864331E9)</f>
        <v>1092864331</v>
      </c>
      <c r="B176" s="6">
        <f>IFERROR(__xludf.DUMMYFUNCTION("""COMPUTED_VALUE"""),5.0)</f>
        <v>5</v>
      </c>
      <c r="C176" s="6" t="str">
        <f>IFERROR(__xludf.DUMMYFUNCTION("""COMPUTED_VALUE"""),"Gabriela")</f>
        <v>Gabriela</v>
      </c>
      <c r="D176" s="6"/>
      <c r="E176" s="6" t="str">
        <f>IFERROR(__xludf.DUMMYFUNCTION("""COMPUTED_VALUE"""),"García Peñuela")</f>
        <v>García Peñuela</v>
      </c>
      <c r="F176" s="6" t="str">
        <f>IFERROR(__xludf.DUMMYFUNCTION("""COMPUTED_VALUE"""),"Conjunto Tulipanes Casa 30 - Calle 19Nte No17 - 51 Laureles")</f>
        <v>Conjunto Tulipanes Casa 30 - Calle 19Nte No17 - 51 Laureles</v>
      </c>
      <c r="G176" s="12">
        <f>IFERROR(__xludf.DUMMYFUNCTION("""COMPUTED_VALUE"""),2020.0)</f>
        <v>2020</v>
      </c>
      <c r="H176" s="6" t="str">
        <f>IFERROR(__xludf.DUMMYFUNCTION("""COMPUTED_VALUE"""),"Julio")</f>
        <v>Julio</v>
      </c>
      <c r="I176" s="12">
        <f>IFERROR(__xludf.DUMMYFUNCTION("""COMPUTED_VALUE"""),10.0)</f>
        <v>10</v>
      </c>
      <c r="J176" s="6" t="str">
        <f>IFERROR(__xludf.DUMMYFUNCTION("""COMPUTED_VALUE"""),"Armenia")</f>
        <v>Armenia</v>
      </c>
      <c r="K176" s="6" t="str">
        <f>IFERROR(__xludf.DUMMYFUNCTION("""COMPUTED_VALUE"""),"gabriela.g2038@gi.edu.co")</f>
        <v>gabriela.g2038@gi.edu.co</v>
      </c>
      <c r="L176" s="6" t="str">
        <f>IFERROR(__xludf.DUMMYFUNCTION("""COMPUTED_VALUE"""),"RC")</f>
        <v>RC</v>
      </c>
      <c r="M176" s="6" t="str">
        <f>IFERROR(__xludf.DUMMYFUNCTION("""COMPUTED_VALUE"""),"Armenia")</f>
        <v>Armenia</v>
      </c>
      <c r="N176" s="6" t="str">
        <f>IFERROR(__xludf.DUMMYFUNCTION("""COMPUTED_VALUE"""),"F")</f>
        <v>F</v>
      </c>
      <c r="O176" s="6" t="str">
        <f>IFERROR(__xludf.DUMMYFUNCTION("""COMPUTED_VALUE"""),"ACTIVE")</f>
        <v>ACTIVE</v>
      </c>
      <c r="P176" s="6"/>
      <c r="Q176" s="6" t="str">
        <f>IFERROR(__xludf.DUMMYFUNCTION("""COMPUTED_VALUE"""),"Armenia")</f>
        <v>Armenia</v>
      </c>
      <c r="R176" s="12" t="str">
        <f>IFERROR(__xludf.DUMMYFUNCTION("""COMPUTED_VALUE"""),"Ginb8tv6c5*")</f>
        <v>Ginb8tv6c5*</v>
      </c>
      <c r="S176" s="6" t="str">
        <f>IFERROR(__xludf.DUMMYFUNCTION("""COMPUTED_VALUE"""),"García Peñuela Gabriela ")</f>
        <v>García Peñuela Gabriela </v>
      </c>
      <c r="T176" s="6" t="str">
        <f>IFERROR(__xludf.DUMMYFUNCTION("""COMPUTED_VALUE"""),"MAURICIO GARCIA GALVEZ")</f>
        <v>MAURICIO GARCIA GALVEZ</v>
      </c>
      <c r="U176" s="12" t="str">
        <f>IFERROR(__xludf.DUMMYFUNCTION("""COMPUTED_VALUE"""),"9738632")</f>
        <v>9738632</v>
      </c>
      <c r="V176" s="6">
        <f>IFERROR(__xludf.DUMMYFUNCTION("""COMPUTED_VALUE"""),3.105147314E9)</f>
        <v>3105147314</v>
      </c>
      <c r="W176" s="6" t="str">
        <f>IFERROR(__xludf.DUMMYFUNCTION("""COMPUTED_VALUE"""),"mauriciogarciagalvez@gmail.com")</f>
        <v>mauriciogarciagalvez@gmail.com</v>
      </c>
      <c r="X176" s="12" t="str">
        <f>IFERROR(__xludf.DUMMYFUNCTION("""COMPUTED_VALUE"""),"O+")</f>
        <v>O+</v>
      </c>
      <c r="Y176" s="12" t="str">
        <f>IFERROR(__xludf.DUMMYFUNCTION("""COMPUTED_VALUE"""),"1")</f>
        <v>1</v>
      </c>
      <c r="Z176" s="12">
        <f>IFERROR(__xludf.DUMMYFUNCTION("""COMPUTED_VALUE"""),120453.0)</f>
        <v>120453</v>
      </c>
      <c r="AA176" s="6" t="str">
        <f>IFERROR(__xludf.DUMMYFUNCTION("""COMPUTED_VALUE"""),"SURA")</f>
        <v>SURA</v>
      </c>
      <c r="AB176" s="6"/>
      <c r="AC176" s="6"/>
      <c r="AD176" s="12" t="str">
        <f>IFERROR(__xludf.DUMMYFUNCTION("""COMPUTED_VALUE"""),"1A")</f>
        <v>1A</v>
      </c>
      <c r="AE176" s="12" t="str">
        <f>IFERROR(__xludf.DUMMYFUNCTION("""COMPUTED_VALUE"""),"1345282450")</f>
        <v>1345282450</v>
      </c>
      <c r="AF176" s="6"/>
      <c r="AG176" s="12" t="str">
        <f>IFERROR(__xludf.DUMMYFUNCTION("""COMPUTED_VALUE"""),"Paula")</f>
        <v>Paula</v>
      </c>
      <c r="AH176" s="12" t="str">
        <f>IFERROR(__xludf.DUMMYFUNCTION("""COMPUTED_VALUE"""),"Andrea")</f>
        <v>Andrea</v>
      </c>
      <c r="AI176" s="6" t="str">
        <f>IFERROR(__xludf.DUMMYFUNCTION("""COMPUTED_VALUE"""),"Peñuela González")</f>
        <v>Peñuela González</v>
      </c>
      <c r="AJ176" s="6" t="str">
        <f>IFERROR(__xludf.DUMMYFUNCTION("""COMPUTED_VALUE"""),"paulapenuelag@gmail.com")</f>
        <v>paulapenuelag@gmail.com</v>
      </c>
      <c r="AK176" s="6" t="str">
        <f>IFERROR(__xludf.DUMMYFUNCTION("""COMPUTED_VALUE"""),"Comunicadora social - Periodista")</f>
        <v>Comunicadora social - Periodista</v>
      </c>
      <c r="AL176" s="6" t="str">
        <f>IFERROR(__xludf.DUMMYFUNCTION("""COMPUTED_VALUE"""),"SENA")</f>
        <v>SENA</v>
      </c>
      <c r="AM176" s="12" t="str">
        <f>IFERROR(__xludf.DUMMYFUNCTION("""COMPUTED_VALUE"""),"41962095")</f>
        <v>41962095</v>
      </c>
      <c r="AN176" s="12">
        <f>IFERROR(__xludf.DUMMYFUNCTION("""COMPUTED_VALUE"""),3.147010582E9)</f>
        <v>3147010582</v>
      </c>
      <c r="AO176" s="6" t="str">
        <f>IFERROR(__xludf.DUMMYFUNCTION("""COMPUTED_VALUE"""),"Madre")</f>
        <v>Madre</v>
      </c>
      <c r="AP176" s="6" t="str">
        <f>IFERROR(__xludf.DUMMYFUNCTION("""COMPUTED_VALUE"""),"Estudiante(s): García Peñuela")</f>
        <v>Estudiante(s): García Peñuela</v>
      </c>
      <c r="AQ176" s="6" t="str">
        <f>IFERROR(__xludf.DUMMYFUNCTION("""COMPUTED_VALUE"""),"120453*Gi")</f>
        <v>120453*Gi</v>
      </c>
      <c r="AR176" s="6" t="str">
        <f>IFERROR(__xludf.DUMMYFUNCTION("""COMPUTED_VALUE"""),"Mauricio")</f>
        <v>Mauricio</v>
      </c>
      <c r="AS176" s="6"/>
      <c r="AT176" s="6" t="str">
        <f>IFERROR(__xludf.DUMMYFUNCTION("""COMPUTED_VALUE"""),"García Gálvez")</f>
        <v>García Gálvez</v>
      </c>
      <c r="AU176" s="6" t="str">
        <f>IFERROR(__xludf.DUMMYFUNCTION("""COMPUTED_VALUE"""),"mauriciogarciagalvez@gmail.com")</f>
        <v>mauriciogarciagalvez@gmail.com</v>
      </c>
      <c r="AV176" s="6" t="str">
        <f>IFERROR(__xludf.DUMMYFUNCTION("""COMPUTED_VALUE"""),"Ingeniero Electronico")</f>
        <v>Ingeniero Electronico</v>
      </c>
      <c r="AW176" s="6" t="str">
        <f>IFERROR(__xludf.DUMMYFUNCTION("""COMPUTED_VALUE"""),"MotorolaSolutions Colombia Ltda.")</f>
        <v>MotorolaSolutions Colombia Ltda.</v>
      </c>
      <c r="AX176" s="12" t="str">
        <f>IFERROR(__xludf.DUMMYFUNCTION("""COMPUTED_VALUE"""),"9738632")</f>
        <v>9738632</v>
      </c>
      <c r="AY176" s="12" t="str">
        <f>IFERROR(__xludf.DUMMYFUNCTION("""COMPUTED_VALUE"""),"3105147314")</f>
        <v>3105147314</v>
      </c>
      <c r="AZ176" s="6" t="str">
        <f>IFERROR(__xludf.DUMMYFUNCTION("""COMPUTED_VALUE"""),"Padre")</f>
        <v>Padre</v>
      </c>
      <c r="BA176" s="6"/>
      <c r="BB176" s="6"/>
      <c r="BC176" s="6"/>
      <c r="BD176" s="12" t="str">
        <f>IFERROR(__xludf.DUMMYFUNCTION("""COMPUTED_VALUE"""),"gar0018")</f>
        <v>gar0018</v>
      </c>
      <c r="BE176" s="6"/>
      <c r="BF176" s="6"/>
      <c r="BG176" s="6">
        <f>IFERROR(__xludf.DUMMYFUNCTION("""COMPUTED_VALUE"""),2038.0)</f>
        <v>2038</v>
      </c>
      <c r="BH176" s="15">
        <f>IFERROR(__xludf.DUMMYFUNCTION("""COMPUTED_VALUE"""),46225.76247685185)</f>
        <v>46225.76248</v>
      </c>
      <c r="BI176" s="6">
        <f>IFERROR(__xludf.DUMMYFUNCTION("""COMPUTED_VALUE"""),175.0)</f>
        <v>175</v>
      </c>
      <c r="BJ176" s="6"/>
      <c r="BK176" s="6"/>
      <c r="BL176" s="6" t="str">
        <f>IFERROR(__xludf.DUMMYFUNCTION("""COMPUTED_VALUE"""),"GISGAR0018")</f>
        <v>GISGAR0018</v>
      </c>
      <c r="BM176" s="6"/>
      <c r="BN176" s="6"/>
      <c r="BO176" s="6"/>
      <c r="BP176" s="6" t="str">
        <f>IFERROR(__xludf.DUMMYFUNCTION("""COMPUTED_VALUE"""),"XC_EL_Taekwondo")</f>
        <v>XC_EL_Taekwondo</v>
      </c>
      <c r="BQ176" s="6" t="str">
        <f>IFERROR(__xludf.DUMMYFUNCTION("""COMPUTED_VALUE"""),"XC_EL_Taekwondo")</f>
        <v>XC_EL_Taekwondo</v>
      </c>
      <c r="BR176" s="6" t="str">
        <f>IFERROR(__xludf.DUMMYFUNCTION("""COMPUTED_VALUE"""),"XC_EL_DesaInstrumental")</f>
        <v>XC_EL_DesaInstrumental</v>
      </c>
      <c r="BS176" s="6" t="str">
        <f>IFERROR(__xludf.DUMMYFUNCTION("""COMPUTED_VALUE"""),"XC_EL_Taekwondo")</f>
        <v>XC_EL_Taekwondo</v>
      </c>
      <c r="BT176" s="6"/>
      <c r="BU176" s="6" t="str">
        <f>IFERROR(__xludf.DUMMYFUNCTION("""COMPUTED_VALUE"""),"SI")</f>
        <v>SI</v>
      </c>
      <c r="BV176" s="6" t="str">
        <f>IFERROR(__xludf.DUMMYFUNCTION("""COMPUTED_VALUE"""),"gabriela.g2038")</f>
        <v>gabriela.g2038</v>
      </c>
      <c r="BW176" s="6"/>
      <c r="BX176" s="6"/>
      <c r="BY176" s="6"/>
      <c r="BZ176" s="6"/>
    </row>
    <row r="177">
      <c r="A177" s="12">
        <f>IFERROR(__xludf.DUMMYFUNCTION("""COMPUTED_VALUE"""),1.092864503E9)</f>
        <v>1092864503</v>
      </c>
      <c r="B177" s="6">
        <f>IFERROR(__xludf.DUMMYFUNCTION("""COMPUTED_VALUE"""),6.0)</f>
        <v>6</v>
      </c>
      <c r="C177" s="6" t="str">
        <f>IFERROR(__xludf.DUMMYFUNCTION("""COMPUTED_VALUE"""),"Salma")</f>
        <v>Salma</v>
      </c>
      <c r="D177" s="6"/>
      <c r="E177" s="6" t="str">
        <f>IFERROR(__xludf.DUMMYFUNCTION("""COMPUTED_VALUE"""),"Gómez Aristizábal")</f>
        <v>Gómez Aristizábal</v>
      </c>
      <c r="F177" s="6" t="str">
        <f>IFERROR(__xludf.DUMMYFUNCTION("""COMPUTED_VALUE"""),"Condominio El Robledal Casa 4 - Calle 14Nte No10 - 05 La Castellana")</f>
        <v>Condominio El Robledal Casa 4 - Calle 14Nte No10 - 05 La Castellana</v>
      </c>
      <c r="G177" s="12" t="str">
        <f>IFERROR(__xludf.DUMMYFUNCTION("""COMPUTED_VALUE"""),"2020")</f>
        <v>2020</v>
      </c>
      <c r="H177" s="6" t="str">
        <f>IFERROR(__xludf.DUMMYFUNCTION("""COMPUTED_VALUE"""),"Septiembre")</f>
        <v>Septiembre</v>
      </c>
      <c r="I177" s="12" t="str">
        <f>IFERROR(__xludf.DUMMYFUNCTION("""COMPUTED_VALUE"""),"5")</f>
        <v>5</v>
      </c>
      <c r="J177" s="6" t="str">
        <f>IFERROR(__xludf.DUMMYFUNCTION("""COMPUTED_VALUE"""),"Armenia")</f>
        <v>Armenia</v>
      </c>
      <c r="K177" s="6" t="str">
        <f>IFERROR(__xludf.DUMMYFUNCTION("""COMPUTED_VALUE"""),"salma.g2038@gi.edu.co")</f>
        <v>salma.g2038@gi.edu.co</v>
      </c>
      <c r="L177" s="6" t="str">
        <f>IFERROR(__xludf.DUMMYFUNCTION("""COMPUTED_VALUE"""),"RC")</f>
        <v>RC</v>
      </c>
      <c r="M177" s="6" t="str">
        <f>IFERROR(__xludf.DUMMYFUNCTION("""COMPUTED_VALUE"""),"Armenia")</f>
        <v>Armenia</v>
      </c>
      <c r="N177" s="6" t="str">
        <f>IFERROR(__xludf.DUMMYFUNCTION("""COMPUTED_VALUE"""),"F")</f>
        <v>F</v>
      </c>
      <c r="O177" s="6" t="str">
        <f>IFERROR(__xludf.DUMMYFUNCTION("""COMPUTED_VALUE"""),"ACTIVE")</f>
        <v>ACTIVE</v>
      </c>
      <c r="P177" s="6"/>
      <c r="Q177" s="6" t="str">
        <f>IFERROR(__xludf.DUMMYFUNCTION("""COMPUTED_VALUE"""),"Armenia")</f>
        <v>Armenia</v>
      </c>
      <c r="R177" s="12" t="str">
        <f>IFERROR(__xludf.DUMMYFUNCTION("""COMPUTED_VALUE"""),"Gi3fjt8*")</f>
        <v>Gi3fjt8*</v>
      </c>
      <c r="S177" s="6" t="str">
        <f>IFERROR(__xludf.DUMMYFUNCTION("""COMPUTED_VALUE"""),"Gómez Aristizábal Salma ")</f>
        <v>Gómez Aristizábal Salma </v>
      </c>
      <c r="T177" s="6" t="str">
        <f>IFERROR(__xludf.DUMMYFUNCTION("""COMPUTED_VALUE"""),"JOSE ANTONIO GÓMEZ LONDOÑO")</f>
        <v>JOSE ANTONIO GÓMEZ LONDOÑO</v>
      </c>
      <c r="U177" s="12" t="str">
        <f>IFERROR(__xludf.DUMMYFUNCTION("""COMPUTED_VALUE"""),"1094905397")</f>
        <v>1094905397</v>
      </c>
      <c r="V177" s="6">
        <f>IFERROR(__xludf.DUMMYFUNCTION("""COMPUTED_VALUE"""),3.166932583E9)</f>
        <v>3166932583</v>
      </c>
      <c r="W177" s="6" t="str">
        <f>IFERROR(__xludf.DUMMYFUNCTION("""COMPUTED_VALUE"""),"agrogomezl@gmail.com")</f>
        <v>agrogomezl@gmail.com</v>
      </c>
      <c r="X177" s="12" t="str">
        <f>IFERROR(__xludf.DUMMYFUNCTION("""COMPUTED_VALUE"""),"O+")</f>
        <v>O+</v>
      </c>
      <c r="Y177" s="12" t="str">
        <f>IFERROR(__xludf.DUMMYFUNCTION("""COMPUTED_VALUE"""),"1")</f>
        <v>1</v>
      </c>
      <c r="Z177" s="12">
        <f>IFERROR(__xludf.DUMMYFUNCTION("""COMPUTED_VALUE"""),103947.0)</f>
        <v>103947</v>
      </c>
      <c r="AA177" s="6" t="str">
        <f>IFERROR(__xludf.DUMMYFUNCTION("""COMPUTED_VALUE"""),"SURA")</f>
        <v>SURA</v>
      </c>
      <c r="AB177" s="6"/>
      <c r="AC177" s="12" t="str">
        <f>IFERROR(__xludf.DUMMYFUNCTION("""COMPUTED_VALUE"""),"Picadura de hormiga")</f>
        <v>Picadura de hormiga</v>
      </c>
      <c r="AD177" s="12" t="str">
        <f>IFERROR(__xludf.DUMMYFUNCTION("""COMPUTED_VALUE"""),"1A")</f>
        <v>1A</v>
      </c>
      <c r="AE177" s="12">
        <f>IFERROR(__xludf.DUMMYFUNCTION("""COMPUTED_VALUE"""),1.345282287E9)</f>
        <v>1345282287</v>
      </c>
      <c r="AF177" s="6"/>
      <c r="AG177" s="12" t="str">
        <f>IFERROR(__xludf.DUMMYFUNCTION("""COMPUTED_VALUE"""),"Carolina")</f>
        <v>Carolina</v>
      </c>
      <c r="AH177" s="6"/>
      <c r="AI177" s="6" t="str">
        <f>IFERROR(__xludf.DUMMYFUNCTION("""COMPUTED_VALUE"""),"Aristizabal Gonzalez")</f>
        <v>Aristizabal Gonzalez</v>
      </c>
      <c r="AJ177" s="6" t="str">
        <f>IFERROR(__xludf.DUMMYFUNCTION("""COMPUTED_VALUE"""),"caroaristi85@gmail.com")</f>
        <v>caroaristi85@gmail.com</v>
      </c>
      <c r="AK177" s="6" t="str">
        <f>IFERROR(__xludf.DUMMYFUNCTION("""COMPUTED_VALUE"""),"Psicologa")</f>
        <v>Psicologa</v>
      </c>
      <c r="AL177" s="6"/>
      <c r="AM177" s="12" t="str">
        <f>IFERROR(__xludf.DUMMYFUNCTION("""COMPUTED_VALUE"""),"41963854")</f>
        <v>41963854</v>
      </c>
      <c r="AN177" s="12" t="str">
        <f>IFERROR(__xludf.DUMMYFUNCTION("""COMPUTED_VALUE"""),"3218305146")</f>
        <v>3218305146</v>
      </c>
      <c r="AO177" s="6" t="str">
        <f>IFERROR(__xludf.DUMMYFUNCTION("""COMPUTED_VALUE"""),"Madre")</f>
        <v>Madre</v>
      </c>
      <c r="AP177" s="6" t="str">
        <f>IFERROR(__xludf.DUMMYFUNCTION("""COMPUTED_VALUE"""),"Estudiante(s): Gómez Aristizábal")</f>
        <v>Estudiante(s): Gómez Aristizábal</v>
      </c>
      <c r="AQ177" s="6" t="str">
        <f>IFERROR(__xludf.DUMMYFUNCTION("""COMPUTED_VALUE"""),"103947*Gi")</f>
        <v>103947*Gi</v>
      </c>
      <c r="AR177" s="6" t="str">
        <f>IFERROR(__xludf.DUMMYFUNCTION("""COMPUTED_VALUE"""),"Jose")</f>
        <v>Jose</v>
      </c>
      <c r="AS177" s="6" t="str">
        <f>IFERROR(__xludf.DUMMYFUNCTION("""COMPUTED_VALUE"""),"Antonio")</f>
        <v>Antonio</v>
      </c>
      <c r="AT177" s="6" t="str">
        <f>IFERROR(__xludf.DUMMYFUNCTION("""COMPUTED_VALUE"""),"Gómez Londoño")</f>
        <v>Gómez Londoño</v>
      </c>
      <c r="AU177" s="6" t="str">
        <f>IFERROR(__xludf.DUMMYFUNCTION("""COMPUTED_VALUE"""),"agrogomezl@gmail.com")</f>
        <v>agrogomezl@gmail.com</v>
      </c>
      <c r="AV177" s="6" t="str">
        <f>IFERROR(__xludf.DUMMYFUNCTION("""COMPUTED_VALUE"""),"Agricultor")</f>
        <v>Agricultor</v>
      </c>
      <c r="AW177" s="6"/>
      <c r="AX177" s="12" t="str">
        <f>IFERROR(__xludf.DUMMYFUNCTION("""COMPUTED_VALUE"""),"1094905397")</f>
        <v>1094905397</v>
      </c>
      <c r="AY177" s="12" t="str">
        <f>IFERROR(__xludf.DUMMYFUNCTION("""COMPUTED_VALUE"""),"3166932583")</f>
        <v>3166932583</v>
      </c>
      <c r="AZ177" s="6" t="str">
        <f>IFERROR(__xludf.DUMMYFUNCTION("""COMPUTED_VALUE"""),"Padre")</f>
        <v>Padre</v>
      </c>
      <c r="BA177" s="6"/>
      <c r="BB177" s="6"/>
      <c r="BC177" s="6"/>
      <c r="BD177" s="12" t="str">
        <f>IFERROR(__xludf.DUMMYFUNCTION("""COMPUTED_VALUE"""),"GME0026")</f>
        <v>GME0026</v>
      </c>
      <c r="BE177" s="6"/>
      <c r="BF177" s="6"/>
      <c r="BG177" s="6">
        <f>IFERROR(__xludf.DUMMYFUNCTION("""COMPUTED_VALUE"""),2038.0)</f>
        <v>2038</v>
      </c>
      <c r="BH177" s="15">
        <f>IFERROR(__xludf.DUMMYFUNCTION("""COMPUTED_VALUE"""),46211.54583333333)</f>
        <v>46211.54583</v>
      </c>
      <c r="BI177" s="6">
        <f>IFERROR(__xludf.DUMMYFUNCTION("""COMPUTED_VALUE"""),176.0)</f>
        <v>176</v>
      </c>
      <c r="BJ177" s="6"/>
      <c r="BK177" s="6"/>
      <c r="BL177" s="6" t="str">
        <f>IFERROR(__xludf.DUMMYFUNCTION("""COMPUTED_VALUE"""),"GISGME0026")</f>
        <v>GISGME0026</v>
      </c>
      <c r="BM177" s="6"/>
      <c r="BN177" s="6"/>
      <c r="BO177" s="6"/>
      <c r="BP177" s="6" t="str">
        <f>IFERROR(__xludf.DUMMYFUNCTION("""COMPUTED_VALUE"""),"XC_EL_Porras")</f>
        <v>XC_EL_Porras</v>
      </c>
      <c r="BQ177" s="6"/>
      <c r="BR177" s="6" t="str">
        <f>IFERROR(__xludf.DUMMYFUNCTION("""COMPUTED_VALUE"""),"XC_EL_DanzaModerna")</f>
        <v>XC_EL_DanzaModerna</v>
      </c>
      <c r="BS177" s="6" t="str">
        <f>IFERROR(__xludf.DUMMYFUNCTION("""COMPUTED_VALUE"""),"XC_EL_Porras")</f>
        <v>XC_EL_Porras</v>
      </c>
      <c r="BT177" s="6" t="str">
        <f>IFERROR(__xludf.DUMMYFUNCTION("""COMPUTED_VALUE"""),"XC_EL_Porras")</f>
        <v>XC_EL_Porras</v>
      </c>
      <c r="BU177" s="6" t="str">
        <f>IFERROR(__xludf.DUMMYFUNCTION("""COMPUTED_VALUE"""),"SI")</f>
        <v>SI</v>
      </c>
      <c r="BV177" s="6" t="str">
        <f>IFERROR(__xludf.DUMMYFUNCTION("""COMPUTED_VALUE"""),"salma.g2038")</f>
        <v>salma.g2038</v>
      </c>
      <c r="BW177" s="6"/>
      <c r="BX177" s="6"/>
      <c r="BY177" s="6"/>
      <c r="BZ177" s="6"/>
    </row>
    <row r="178">
      <c r="A178" s="12">
        <f>IFERROR(__xludf.DUMMYFUNCTION("""COMPUTED_VALUE"""),1.013040579E9)</f>
        <v>1013040579</v>
      </c>
      <c r="B178" s="6">
        <f>IFERROR(__xludf.DUMMYFUNCTION("""COMPUTED_VALUE"""),7.0)</f>
        <v>7</v>
      </c>
      <c r="C178" s="6" t="str">
        <f>IFERROR(__xludf.DUMMYFUNCTION("""COMPUTED_VALUE"""),"Ignacio")</f>
        <v>Ignacio</v>
      </c>
      <c r="D178" s="6" t="str">
        <f>IFERROR(__xludf.DUMMYFUNCTION("""COMPUTED_VALUE"""),"José")</f>
        <v>José</v>
      </c>
      <c r="E178" s="6" t="str">
        <f>IFERROR(__xludf.DUMMYFUNCTION("""COMPUTED_VALUE"""),"González Bernal")</f>
        <v>González Bernal</v>
      </c>
      <c r="F178" s="6" t="str">
        <f>IFERROR(__xludf.DUMMYFUNCTION("""COMPUTED_VALUE"""),"Condominio Entre Maderos - Vereda El Congal Km 1.2 Via Circasia - Armenia")</f>
        <v>Condominio Entre Maderos - Vereda El Congal Km 1.2 Via Circasia - Armenia</v>
      </c>
      <c r="G178" s="12">
        <f>IFERROR(__xludf.DUMMYFUNCTION("""COMPUTED_VALUE"""),2019.0)</f>
        <v>2019</v>
      </c>
      <c r="H178" s="6" t="str">
        <f>IFERROR(__xludf.DUMMYFUNCTION("""COMPUTED_VALUE"""),"Junio")</f>
        <v>Junio</v>
      </c>
      <c r="I178" s="12">
        <f>IFERROR(__xludf.DUMMYFUNCTION("""COMPUTED_VALUE"""),2.0)</f>
        <v>2</v>
      </c>
      <c r="J178" s="6" t="str">
        <f>IFERROR(__xludf.DUMMYFUNCTION("""COMPUTED_VALUE"""),"Bogotá D.C.")</f>
        <v>Bogotá D.C.</v>
      </c>
      <c r="K178" s="6" t="str">
        <f>IFERROR(__xludf.DUMMYFUNCTION("""COMPUTED_VALUE"""),"ignacio.g2038@gi.edu.co")</f>
        <v>ignacio.g2038@gi.edu.co</v>
      </c>
      <c r="L178" s="6" t="str">
        <f>IFERROR(__xludf.DUMMYFUNCTION("""COMPUTED_VALUE"""),"RC")</f>
        <v>RC</v>
      </c>
      <c r="M178" s="6" t="str">
        <f>IFERROR(__xludf.DUMMYFUNCTION("""COMPUTED_VALUE"""),"Bogotá D.C.")</f>
        <v>Bogotá D.C.</v>
      </c>
      <c r="N178" s="6" t="str">
        <f>IFERROR(__xludf.DUMMYFUNCTION("""COMPUTED_VALUE"""),"M")</f>
        <v>M</v>
      </c>
      <c r="O178" s="6" t="str">
        <f>IFERROR(__xludf.DUMMYFUNCTION("""COMPUTED_VALUE"""),"INACTIVE")</f>
        <v>INACTIVE</v>
      </c>
      <c r="P178" s="6"/>
      <c r="Q178" s="6" t="str">
        <f>IFERROR(__xludf.DUMMYFUNCTION("""COMPUTED_VALUE"""),"Armenia")</f>
        <v>Armenia</v>
      </c>
      <c r="R178" s="12" t="str">
        <f>IFERROR(__xludf.DUMMYFUNCTION("""COMPUTED_VALUE"""),"Gi22mr48*")</f>
        <v>Gi22mr48*</v>
      </c>
      <c r="S178" s="6" t="str">
        <f>IFERROR(__xludf.DUMMYFUNCTION("""COMPUTED_VALUE"""),"González Bernal Ignacio José")</f>
        <v>González Bernal Ignacio José</v>
      </c>
      <c r="T178" s="6" t="str">
        <f>IFERROR(__xludf.DUMMYFUNCTION("""COMPUTED_VALUE"""),"HERNANDO JOSÉ GONZÁLEZ AMIN")</f>
        <v>HERNANDO JOSÉ GONZÁLEZ AMIN</v>
      </c>
      <c r="U178" s="12" t="str">
        <f>IFERROR(__xludf.DUMMYFUNCTION("""COMPUTED_VALUE"""),"79941545")</f>
        <v>79941545</v>
      </c>
      <c r="V178" s="6">
        <f>IFERROR(__xludf.DUMMYFUNCTION("""COMPUTED_VALUE"""),3.105699325E9)</f>
        <v>3105699325</v>
      </c>
      <c r="W178" s="6" t="str">
        <f>IFERROR(__xludf.DUMMYFUNCTION("""COMPUTED_VALUE"""),"hgona1@hotmail.com")</f>
        <v>hgona1@hotmail.com</v>
      </c>
      <c r="X178" s="12" t="str">
        <f>IFERROR(__xludf.DUMMYFUNCTION("""COMPUTED_VALUE"""),"B+")</f>
        <v>B+</v>
      </c>
      <c r="Y178" s="12" t="str">
        <f>IFERROR(__xludf.DUMMYFUNCTION("""COMPUTED_VALUE"""),"1")</f>
        <v>1</v>
      </c>
      <c r="Z178" s="6">
        <f>IFERROR(__xludf.DUMMYFUNCTION("""COMPUTED_VALUE"""),120515.0)</f>
        <v>120515</v>
      </c>
      <c r="AA178" s="6" t="str">
        <f>IFERROR(__xludf.DUMMYFUNCTION("""COMPUTED_VALUE"""),"OTRA")</f>
        <v>OTRA</v>
      </c>
      <c r="AB178" s="6"/>
      <c r="AC178" s="12" t="str">
        <f>IFERROR(__xludf.DUMMYFUNCTION("""COMPUTED_VALUE"""),"Eczema leve")</f>
        <v>Eczema leve</v>
      </c>
      <c r="AD178" s="12" t="str">
        <f>IFERROR(__xludf.DUMMYFUNCTION("""COMPUTED_VALUE"""),"1A")</f>
        <v>1A</v>
      </c>
      <c r="AE178" s="6" t="str">
        <f>IFERROR(__xludf.DUMMYFUNCTION("""COMPUTED_VALUE"""),"1345282514")</f>
        <v>1345282514</v>
      </c>
      <c r="AF178" s="6"/>
      <c r="AG178" s="12" t="str">
        <f>IFERROR(__xludf.DUMMYFUNCTION("""COMPUTED_VALUE"""),"Verónica")</f>
        <v>Verónica</v>
      </c>
      <c r="AH178" s="6"/>
      <c r="AI178" s="6" t="str">
        <f>IFERROR(__xludf.DUMMYFUNCTION("""COMPUTED_VALUE"""),"Bernal de González")</f>
        <v>Bernal de González</v>
      </c>
      <c r="AJ178" s="6" t="str">
        <f>IFERROR(__xludf.DUMMYFUNCTION("""COMPUTED_VALUE"""),"veronicabernalg@gmail.com")</f>
        <v>veronicabernalg@gmail.com</v>
      </c>
      <c r="AK178" s="6" t="str">
        <f>IFERROR(__xludf.DUMMYFUNCTION("""COMPUTED_VALUE"""),"Publicista")</f>
        <v>Publicista</v>
      </c>
      <c r="AL178" s="6" t="str">
        <f>IFERROR(__xludf.DUMMYFUNCTION("""COMPUTED_VALUE"""),"Ramon Bernal y Cia.")</f>
        <v>Ramon Bernal y Cia.</v>
      </c>
      <c r="AM178" s="12" t="str">
        <f>IFERROR(__xludf.DUMMYFUNCTION("""COMPUTED_VALUE"""),"1019053345")</f>
        <v>1019053345</v>
      </c>
      <c r="AN178" s="12" t="str">
        <f>IFERROR(__xludf.DUMMYFUNCTION("""COMPUTED_VALUE"""),"3158999559")</f>
        <v>3158999559</v>
      </c>
      <c r="AO178" s="6" t="str">
        <f>IFERROR(__xludf.DUMMYFUNCTION("""COMPUTED_VALUE"""),"Madre")</f>
        <v>Madre</v>
      </c>
      <c r="AP178" s="12" t="str">
        <f>IFERROR(__xludf.DUMMYFUNCTION("""COMPUTED_VALUE"""),"Estudiante(s): González Bernal")</f>
        <v>Estudiante(s): González Bernal</v>
      </c>
      <c r="AQ178" s="6" t="str">
        <f>IFERROR(__xludf.DUMMYFUNCTION("""COMPUTED_VALUE"""),"120499*Gi")</f>
        <v>120499*Gi</v>
      </c>
      <c r="AR178" s="6" t="str">
        <f>IFERROR(__xludf.DUMMYFUNCTION("""COMPUTED_VALUE"""),"Hernando")</f>
        <v>Hernando</v>
      </c>
      <c r="AS178" s="6" t="str">
        <f>IFERROR(__xludf.DUMMYFUNCTION("""COMPUTED_VALUE"""),"José")</f>
        <v>José</v>
      </c>
      <c r="AT178" s="6" t="str">
        <f>IFERROR(__xludf.DUMMYFUNCTION("""COMPUTED_VALUE"""),"González Amín")</f>
        <v>González Amín</v>
      </c>
      <c r="AU178" s="6" t="str">
        <f>IFERROR(__xludf.DUMMYFUNCTION("""COMPUTED_VALUE"""),"hgona1@hotmail.com")</f>
        <v>hgona1@hotmail.com</v>
      </c>
      <c r="AV178" s="6" t="str">
        <f>IFERROR(__xludf.DUMMYFUNCTION("""COMPUTED_VALUE"""),"Administrador de empresas")</f>
        <v>Administrador de empresas</v>
      </c>
      <c r="AW178" s="6" t="str">
        <f>IFERROR(__xludf.DUMMYFUNCTION("""COMPUTED_VALUE"""),"Global Partners")</f>
        <v>Global Partners</v>
      </c>
      <c r="AX178" s="12" t="str">
        <f>IFERROR(__xludf.DUMMYFUNCTION("""COMPUTED_VALUE"""),"79941545")</f>
        <v>79941545</v>
      </c>
      <c r="AY178" s="12" t="str">
        <f>IFERROR(__xludf.DUMMYFUNCTION("""COMPUTED_VALUE"""),"3105699325")</f>
        <v>3105699325</v>
      </c>
      <c r="AZ178" s="6" t="str">
        <f>IFERROR(__xludf.DUMMYFUNCTION("""COMPUTED_VALUE"""),"Padre")</f>
        <v>Padre</v>
      </c>
      <c r="BA178" s="6"/>
      <c r="BB178" s="6"/>
      <c r="BC178" s="6"/>
      <c r="BD178" s="12" t="str">
        <f>IFERROR(__xludf.DUMMYFUNCTION("""COMPUTED_VALUE"""),"gon0018")</f>
        <v>gon0018</v>
      </c>
      <c r="BE178" s="6" t="str">
        <f>IFERROR(__xludf.DUMMYFUNCTION("""COMPUTED_VALUE"""),"FALTAN FIRMAS")</f>
        <v>FALTAN FIRMAS</v>
      </c>
      <c r="BF178" s="6"/>
      <c r="BG178" s="6">
        <f>IFERROR(__xludf.DUMMYFUNCTION("""COMPUTED_VALUE"""),2038.0)</f>
        <v>2038</v>
      </c>
      <c r="BH178" s="15">
        <f>IFERROR(__xludf.DUMMYFUNCTION("""COMPUTED_VALUE"""),46212.683842592596)</f>
        <v>46212.68384</v>
      </c>
      <c r="BI178" s="6">
        <f>IFERROR(__xludf.DUMMYFUNCTION("""COMPUTED_VALUE"""),177.0)</f>
        <v>177</v>
      </c>
      <c r="BJ178" s="6"/>
      <c r="BK178" s="6"/>
      <c r="BL178" s="6" t="str">
        <f>IFERROR(__xludf.DUMMYFUNCTION("""COMPUTED_VALUE"""),"GISGON0018")</f>
        <v>GISGON0018</v>
      </c>
      <c r="BM178" s="6"/>
      <c r="BN178" s="6"/>
      <c r="BO178" s="6"/>
      <c r="BP178" s="6" t="str">
        <f>IFERROR(__xludf.DUMMYFUNCTION("""COMPUTED_VALUE"""),"XC_1_Futbol_M")</f>
        <v>XC_1_Futbol_M</v>
      </c>
      <c r="BQ178" s="6"/>
      <c r="BR178" s="6"/>
      <c r="BS178" s="6" t="str">
        <f>IFERROR(__xludf.DUMMYFUNCTION("""COMPUTED_VALUE"""),"XC_1_Futbol_M")</f>
        <v>XC_1_Futbol_M</v>
      </c>
      <c r="BT178" s="6" t="str">
        <f>IFERROR(__xludf.DUMMYFUNCTION("""COMPUTED_VALUE"""),"XC_1_Futbol_M")</f>
        <v>XC_1_Futbol_M</v>
      </c>
      <c r="BU178" s="6" t="str">
        <f>IFERROR(__xludf.DUMMYFUNCTION("""COMPUTED_VALUE"""),"SI")</f>
        <v>SI</v>
      </c>
      <c r="BV178" s="6" t="str">
        <f>IFERROR(__xludf.DUMMYFUNCTION("""COMPUTED_VALUE"""),"ignacio.g2038")</f>
        <v>ignacio.g2038</v>
      </c>
      <c r="BW178" s="6"/>
      <c r="BX178" s="6"/>
      <c r="BY178" s="6"/>
      <c r="BZ178" s="6"/>
    </row>
    <row r="179">
      <c r="A179" s="12">
        <f>IFERROR(__xludf.DUMMYFUNCTION("""COMPUTED_VALUE"""),1.090282056E9)</f>
        <v>1090282056</v>
      </c>
      <c r="B179" s="6">
        <f>IFERROR(__xludf.DUMMYFUNCTION("""COMPUTED_VALUE"""),8.0)</f>
        <v>8</v>
      </c>
      <c r="C179" s="6" t="str">
        <f>IFERROR(__xludf.DUMMYFUNCTION("""COMPUTED_VALUE"""),"Leticia")</f>
        <v>Leticia</v>
      </c>
      <c r="D179" s="6"/>
      <c r="E179" s="6" t="str">
        <f>IFERROR(__xludf.DUMMYFUNCTION("""COMPUTED_VALUE"""),"Jaramillo Escobar")</f>
        <v>Jaramillo Escobar</v>
      </c>
      <c r="F179" s="6" t="str">
        <f>IFERROR(__xludf.DUMMYFUNCTION("""COMPUTED_VALUE"""),"Parque Residencial Altos Del Rio Casa 20 - Calle 41 No36 - 110")</f>
        <v>Parque Residencial Altos Del Rio Casa 20 - Calle 41 No36 - 110</v>
      </c>
      <c r="G179" s="12" t="str">
        <f>IFERROR(__xludf.DUMMYFUNCTION("""COMPUTED_VALUE"""),"2020")</f>
        <v>2020</v>
      </c>
      <c r="H179" s="6" t="str">
        <f>IFERROR(__xludf.DUMMYFUNCTION("""COMPUTED_VALUE"""),"Abril")</f>
        <v>Abril</v>
      </c>
      <c r="I179" s="12" t="str">
        <f>IFERROR(__xludf.DUMMYFUNCTION("""COMPUTED_VALUE"""),"22")</f>
        <v>22</v>
      </c>
      <c r="J179" s="6" t="str">
        <f>IFERROR(__xludf.DUMMYFUNCTION("""COMPUTED_VALUE"""),"Armenia")</f>
        <v>Armenia</v>
      </c>
      <c r="K179" s="6" t="str">
        <f>IFERROR(__xludf.DUMMYFUNCTION("""COMPUTED_VALUE"""),"leticia.j2038@gi.edu.co")</f>
        <v>leticia.j2038@gi.edu.co</v>
      </c>
      <c r="L179" s="6" t="str">
        <f>IFERROR(__xludf.DUMMYFUNCTION("""COMPUTED_VALUE"""),"RC")</f>
        <v>RC</v>
      </c>
      <c r="M179" s="6" t="str">
        <f>IFERROR(__xludf.DUMMYFUNCTION("""COMPUTED_VALUE"""),"Armenia")</f>
        <v>Armenia</v>
      </c>
      <c r="N179" s="6" t="str">
        <f>IFERROR(__xludf.DUMMYFUNCTION("""COMPUTED_VALUE"""),"F")</f>
        <v>F</v>
      </c>
      <c r="O179" s="6" t="str">
        <f>IFERROR(__xludf.DUMMYFUNCTION("""COMPUTED_VALUE"""),"ACTIVE")</f>
        <v>ACTIVE</v>
      </c>
      <c r="P179" s="6"/>
      <c r="Q179" s="6" t="str">
        <f>IFERROR(__xludf.DUMMYFUNCTION("""COMPUTED_VALUE"""),"Calarcá")</f>
        <v>Calarcá</v>
      </c>
      <c r="R179" s="12" t="str">
        <f>IFERROR(__xludf.DUMMYFUNCTION("""COMPUTED_VALUE"""),"Gicn2jb*")</f>
        <v>Gicn2jb*</v>
      </c>
      <c r="S179" s="6" t="str">
        <f>IFERROR(__xludf.DUMMYFUNCTION("""COMPUTED_VALUE"""),"Jaramillo Escobar Leticia ")</f>
        <v>Jaramillo Escobar Leticia </v>
      </c>
      <c r="T179" s="6" t="str">
        <f>IFERROR(__xludf.DUMMYFUNCTION("""COMPUTED_VALUE"""),"JERONIMO JARAMILLO MUÑOZ")</f>
        <v>JERONIMO JARAMILLO MUÑOZ</v>
      </c>
      <c r="U179" s="12" t="str">
        <f>IFERROR(__xludf.DUMMYFUNCTION("""COMPUTED_VALUE"""),"9771343")</f>
        <v>9771343</v>
      </c>
      <c r="V179" s="6">
        <f>IFERROR(__xludf.DUMMYFUNCTION("""COMPUTED_VALUE"""),3.147846419E9)</f>
        <v>3147846419</v>
      </c>
      <c r="W179" s="6" t="str">
        <f>IFERROR(__xludf.DUMMYFUNCTION("""COMPUTED_VALUE"""),"jeronimojaramillom@gmail.com")</f>
        <v>jeronimojaramillom@gmail.com</v>
      </c>
      <c r="X179" s="12" t="str">
        <f>IFERROR(__xludf.DUMMYFUNCTION("""COMPUTED_VALUE"""),"A+")</f>
        <v>A+</v>
      </c>
      <c r="Y179" s="12" t="str">
        <f>IFERROR(__xludf.DUMMYFUNCTION("""COMPUTED_VALUE"""),"1")</f>
        <v>1</v>
      </c>
      <c r="Z179" s="12">
        <f>IFERROR(__xludf.DUMMYFUNCTION("""COMPUTED_VALUE"""),120286.0)</f>
        <v>120286</v>
      </c>
      <c r="AA179" s="6" t="str">
        <f>IFERROR(__xludf.DUMMYFUNCTION("""COMPUTED_VALUE"""),"SURA")</f>
        <v>SURA</v>
      </c>
      <c r="AB179" s="6"/>
      <c r="AC179" s="6"/>
      <c r="AD179" s="12" t="str">
        <f>IFERROR(__xludf.DUMMYFUNCTION("""COMPUTED_VALUE"""),"1A")</f>
        <v>1A</v>
      </c>
      <c r="AE179" s="12">
        <f>IFERROR(__xludf.DUMMYFUNCTION("""COMPUTED_VALUE"""),1.345282257E9)</f>
        <v>1345282257</v>
      </c>
      <c r="AF179" s="6"/>
      <c r="AG179" s="12" t="str">
        <f>IFERROR(__xludf.DUMMYFUNCTION("""COMPUTED_VALUE"""),"Juliana")</f>
        <v>Juliana</v>
      </c>
      <c r="AH179" s="6"/>
      <c r="AI179" s="6" t="str">
        <f>IFERROR(__xludf.DUMMYFUNCTION("""COMPUTED_VALUE"""),"Escobar Ángel")</f>
        <v>Escobar Ángel</v>
      </c>
      <c r="AJ179" s="6" t="str">
        <f>IFERROR(__xludf.DUMMYFUNCTION("""COMPUTED_VALUE"""),"juli_esco@hotmail.com")</f>
        <v>juli_esco@hotmail.com</v>
      </c>
      <c r="AK179" s="6" t="str">
        <f>IFERROR(__xludf.DUMMYFUNCTION("""COMPUTED_VALUE"""),"medica")</f>
        <v>medica</v>
      </c>
      <c r="AL179" s="6" t="str">
        <f>IFERROR(__xludf.DUMMYFUNCTION("""COMPUTED_VALUE"""),"fundacion cardiomet cequin")</f>
        <v>fundacion cardiomet cequin</v>
      </c>
      <c r="AM179" s="12" t="str">
        <f>IFERROR(__xludf.DUMMYFUNCTION("""COMPUTED_VALUE"""),"30239294")</f>
        <v>30239294</v>
      </c>
      <c r="AN179" s="12" t="str">
        <f>IFERROR(__xludf.DUMMYFUNCTION("""COMPUTED_VALUE"""),"3206719629")</f>
        <v>3206719629</v>
      </c>
      <c r="AO179" s="6" t="str">
        <f>IFERROR(__xludf.DUMMYFUNCTION("""COMPUTED_VALUE"""),"Madre")</f>
        <v>Madre</v>
      </c>
      <c r="AP179" s="6" t="str">
        <f>IFERROR(__xludf.DUMMYFUNCTION("""COMPUTED_VALUE"""),"Estudiante(s): Jaramillo Escobar")</f>
        <v>Estudiante(s): Jaramillo Escobar</v>
      </c>
      <c r="AQ179" s="6" t="str">
        <f>IFERROR(__xludf.DUMMYFUNCTION("""COMPUTED_VALUE"""),"120286*Gi")</f>
        <v>120286*Gi</v>
      </c>
      <c r="AR179" s="6" t="str">
        <f>IFERROR(__xludf.DUMMYFUNCTION("""COMPUTED_VALUE"""),"Jeronimo")</f>
        <v>Jeronimo</v>
      </c>
      <c r="AS179" s="6"/>
      <c r="AT179" s="6" t="str">
        <f>IFERROR(__xludf.DUMMYFUNCTION("""COMPUTED_VALUE"""),"Jaramillo Muñoz")</f>
        <v>Jaramillo Muñoz</v>
      </c>
      <c r="AU179" s="6" t="str">
        <f>IFERROR(__xludf.DUMMYFUNCTION("""COMPUTED_VALUE"""),"jeronimojaramillom@gmail.com")</f>
        <v>jeronimojaramillom@gmail.com</v>
      </c>
      <c r="AV179" s="6" t="str">
        <f>IFERROR(__xludf.DUMMYFUNCTION("""COMPUTED_VALUE"""),"Abogado")</f>
        <v>Abogado</v>
      </c>
      <c r="AW179" s="6"/>
      <c r="AX179" s="12" t="str">
        <f>IFERROR(__xludf.DUMMYFUNCTION("""COMPUTED_VALUE"""),"9771343")</f>
        <v>9771343</v>
      </c>
      <c r="AY179" s="12" t="str">
        <f>IFERROR(__xludf.DUMMYFUNCTION("""COMPUTED_VALUE"""),"3147846419")</f>
        <v>3147846419</v>
      </c>
      <c r="AZ179" s="6" t="str">
        <f>IFERROR(__xludf.DUMMYFUNCTION("""COMPUTED_VALUE"""),"Padre")</f>
        <v>Padre</v>
      </c>
      <c r="BA179" s="6"/>
      <c r="BB179" s="6"/>
      <c r="BC179" s="6"/>
      <c r="BD179" s="12" t="str">
        <f>IFERROR(__xludf.DUMMYFUNCTION("""COMPUTED_VALUE"""),"jar0023")</f>
        <v>jar0023</v>
      </c>
      <c r="BE179" s="6"/>
      <c r="BF179" s="6"/>
      <c r="BG179" s="6">
        <f>IFERROR(__xludf.DUMMYFUNCTION("""COMPUTED_VALUE"""),2038.0)</f>
        <v>2038</v>
      </c>
      <c r="BH179" s="15">
        <f>IFERROR(__xludf.DUMMYFUNCTION("""COMPUTED_VALUE"""),46212.310162037036)</f>
        <v>46212.31016</v>
      </c>
      <c r="BI179" s="6">
        <f>IFERROR(__xludf.DUMMYFUNCTION("""COMPUTED_VALUE"""),178.0)</f>
        <v>178</v>
      </c>
      <c r="BJ179" s="6"/>
      <c r="BK179" s="6"/>
      <c r="BL179" s="6" t="str">
        <f>IFERROR(__xludf.DUMMYFUNCTION("""COMPUTED_VALUE"""),"GISJAR0023")</f>
        <v>GISJAR0023</v>
      </c>
      <c r="BM179" s="6"/>
      <c r="BN179" s="6"/>
      <c r="BO179" s="6"/>
      <c r="BP179" s="6" t="str">
        <f>IFERROR(__xludf.DUMMYFUNCTION("""COMPUTED_VALUE"""),"XC_EL_Porras")</f>
        <v>XC_EL_Porras</v>
      </c>
      <c r="BQ179" s="6" t="str">
        <f>IFERROR(__xludf.DUMMYFUNCTION("""COMPUTED_VALUE"""),"XC_EL_Porras")</f>
        <v>XC_EL_Porras</v>
      </c>
      <c r="BR179" s="6" t="str">
        <f>IFERROR(__xludf.DUMMYFUNCTION("""COMPUTED_VALUE"""),"XC_EL_DanzaModerna")</f>
        <v>XC_EL_DanzaModerna</v>
      </c>
      <c r="BS179" s="6" t="str">
        <f>IFERROR(__xludf.DUMMYFUNCTION("""COMPUTED_VALUE"""),"XC_EL_Porras")</f>
        <v>XC_EL_Porras</v>
      </c>
      <c r="BT179" s="6"/>
      <c r="BU179" s="6" t="str">
        <f>IFERROR(__xludf.DUMMYFUNCTION("""COMPUTED_VALUE"""),"SI")</f>
        <v>SI</v>
      </c>
      <c r="BV179" s="6" t="str">
        <f>IFERROR(__xludf.DUMMYFUNCTION("""COMPUTED_VALUE"""),"leticia.j2038")</f>
        <v>leticia.j2038</v>
      </c>
      <c r="BW179" s="6"/>
      <c r="BX179" s="6"/>
      <c r="BY179" s="6"/>
      <c r="BZ179" s="6"/>
    </row>
    <row r="180">
      <c r="A180" s="12" t="str">
        <f>IFERROR(__xludf.DUMMYFUNCTION("""COMPUTED_VALUE"""),"1092864123")</f>
        <v>1092864123</v>
      </c>
      <c r="B180" s="6">
        <f>IFERROR(__xludf.DUMMYFUNCTION("""COMPUTED_VALUE"""),9.0)</f>
        <v>9</v>
      </c>
      <c r="C180" s="6" t="str">
        <f>IFERROR(__xludf.DUMMYFUNCTION("""COMPUTED_VALUE"""),"Emilio")</f>
        <v>Emilio</v>
      </c>
      <c r="D180" s="6" t="str">
        <f>IFERROR(__xludf.DUMMYFUNCTION("""COMPUTED_VALUE"""),"Gottlieb")</f>
        <v>Gottlieb</v>
      </c>
      <c r="E180" s="6" t="str">
        <f>IFERROR(__xludf.DUMMYFUNCTION("""COMPUTED_VALUE"""),"Lederer")</f>
        <v>Lederer</v>
      </c>
      <c r="F180" s="6" t="str">
        <f>IFERROR(__xludf.DUMMYFUNCTION("""COMPUTED_VALUE"""),"Condominio Pontevedra, Casa 18 - CAIMO")</f>
        <v>Condominio Pontevedra, Casa 18 - CAIMO</v>
      </c>
      <c r="G180" s="12" t="str">
        <f>IFERROR(__xludf.DUMMYFUNCTION("""COMPUTED_VALUE"""),"2020")</f>
        <v>2020</v>
      </c>
      <c r="H180" s="6" t="str">
        <f>IFERROR(__xludf.DUMMYFUNCTION("""COMPUTED_VALUE"""),"Marzo")</f>
        <v>Marzo</v>
      </c>
      <c r="I180" s="12" t="str">
        <f>IFERROR(__xludf.DUMMYFUNCTION("""COMPUTED_VALUE"""),"2")</f>
        <v>2</v>
      </c>
      <c r="J180" s="6" t="str">
        <f>IFERROR(__xludf.DUMMYFUNCTION("""COMPUTED_VALUE"""),"Cali")</f>
        <v>Cali</v>
      </c>
      <c r="K180" s="6" t="str">
        <f>IFERROR(__xludf.DUMMYFUNCTION("""COMPUTED_VALUE"""),"emilio.l2038@gi.edu.co")</f>
        <v>emilio.l2038@gi.edu.co</v>
      </c>
      <c r="L180" s="6" t="str">
        <f>IFERROR(__xludf.DUMMYFUNCTION("""COMPUTED_VALUE"""),"RC")</f>
        <v>RC</v>
      </c>
      <c r="M180" s="6" t="str">
        <f>IFERROR(__xludf.DUMMYFUNCTION("""COMPUTED_VALUE"""),"Bogotá D.C.")</f>
        <v>Bogotá D.C.</v>
      </c>
      <c r="N180" s="6" t="str">
        <f>IFERROR(__xludf.DUMMYFUNCTION("""COMPUTED_VALUE"""),"M")</f>
        <v>M</v>
      </c>
      <c r="O180" s="6" t="str">
        <f>IFERROR(__xludf.DUMMYFUNCTION("""COMPUTED_VALUE"""),"ACTIVE")</f>
        <v>ACTIVE</v>
      </c>
      <c r="P180" s="6"/>
      <c r="Q180" s="6" t="str">
        <f>IFERROR(__xludf.DUMMYFUNCTION("""COMPUTED_VALUE"""),"Armenia")</f>
        <v>Armenia</v>
      </c>
      <c r="R180" s="12" t="str">
        <f>IFERROR(__xludf.DUMMYFUNCTION("""COMPUTED_VALUE"""),"Gi28cn3s*")</f>
        <v>Gi28cn3s*</v>
      </c>
      <c r="S180" s="6" t="str">
        <f>IFERROR(__xludf.DUMMYFUNCTION("""COMPUTED_VALUE"""),"Lederer Emilio Gottlieb")</f>
        <v>Lederer Emilio Gottlieb</v>
      </c>
      <c r="T180" s="6" t="str">
        <f>IFERROR(__xludf.DUMMYFUNCTION("""COMPUTED_VALUE"""),"CAROLINA LEDERER")</f>
        <v>CAROLINA LEDERER</v>
      </c>
      <c r="U180" s="12" t="str">
        <f>IFERROR(__xludf.DUMMYFUNCTION("""COMPUTED_VALUE"""),"1094885125")</f>
        <v>1094885125</v>
      </c>
      <c r="V180" s="6">
        <f>IFERROR(__xludf.DUMMYFUNCTION("""COMPUTED_VALUE"""),3.202047426E9)</f>
        <v>3202047426</v>
      </c>
      <c r="W180" s="6" t="str">
        <f>IFERROR(__xludf.DUMMYFUNCTION("""COMPUTED_VALUE"""),"carolinalederer@gmail.com")</f>
        <v>carolinalederer@gmail.com</v>
      </c>
      <c r="X180" s="12" t="str">
        <f>IFERROR(__xludf.DUMMYFUNCTION("""COMPUTED_VALUE"""),"O+")</f>
        <v>O+</v>
      </c>
      <c r="Y180" s="12" t="str">
        <f>IFERROR(__xludf.DUMMYFUNCTION("""COMPUTED_VALUE"""),"1")</f>
        <v>1</v>
      </c>
      <c r="Z180" s="12">
        <f>IFERROR(__xludf.DUMMYFUNCTION("""COMPUTED_VALUE"""),120254.0)</f>
        <v>120254</v>
      </c>
      <c r="AA180" s="6" t="str">
        <f>IFERROR(__xludf.DUMMYFUNCTION("""COMPUTED_VALUE"""),"NUEVA EPS")</f>
        <v>NUEVA EPS</v>
      </c>
      <c r="AB180" s="6"/>
      <c r="AC180" s="6"/>
      <c r="AD180" s="12" t="str">
        <f>IFERROR(__xludf.DUMMYFUNCTION("""COMPUTED_VALUE"""),"1A")</f>
        <v>1A</v>
      </c>
      <c r="AE180" s="12">
        <f>IFERROR(__xludf.DUMMYFUNCTION("""COMPUTED_VALUE"""),1.345282244E9)</f>
        <v>1345282244</v>
      </c>
      <c r="AF180" s="6"/>
      <c r="AG180" s="12" t="str">
        <f>IFERROR(__xludf.DUMMYFUNCTION("""COMPUTED_VALUE"""),"Carolina")</f>
        <v>Carolina</v>
      </c>
      <c r="AH180" s="6"/>
      <c r="AI180" s="6" t="str">
        <f>IFERROR(__xludf.DUMMYFUNCTION("""COMPUTED_VALUE"""),"Lederer")</f>
        <v>Lederer</v>
      </c>
      <c r="AJ180" s="6" t="str">
        <f>IFERROR(__xludf.DUMMYFUNCTION("""COMPUTED_VALUE"""),"carolinalederer@gmail.com")</f>
        <v>carolinalederer@gmail.com</v>
      </c>
      <c r="AK180" s="6" t="str">
        <f>IFERROR(__xludf.DUMMYFUNCTION("""COMPUTED_VALUE"""),"Abogada")</f>
        <v>Abogada</v>
      </c>
      <c r="AL180" s="6" t="str">
        <f>IFERROR(__xludf.DUMMYFUNCTION("""COMPUTED_VALUE"""),"Lederer Group SAS")</f>
        <v>Lederer Group SAS</v>
      </c>
      <c r="AM180" s="12" t="str">
        <f>IFERROR(__xludf.DUMMYFUNCTION("""COMPUTED_VALUE"""),"1094885125")</f>
        <v>1094885125</v>
      </c>
      <c r="AN180" s="6">
        <f>IFERROR(__xludf.DUMMYFUNCTION("""COMPUTED_VALUE"""),3.202047426E9)</f>
        <v>3202047426</v>
      </c>
      <c r="AO180" s="6" t="str">
        <f>IFERROR(__xludf.DUMMYFUNCTION("""COMPUTED_VALUE"""),"Madre")</f>
        <v>Madre</v>
      </c>
      <c r="AP180" s="6" t="str">
        <f>IFERROR(__xludf.DUMMYFUNCTION("""COMPUTED_VALUE"""),"Estudiante(s): Lederer")</f>
        <v>Estudiante(s): Lederer</v>
      </c>
      <c r="AQ180" s="6" t="str">
        <f>IFERROR(__xludf.DUMMYFUNCTION("""COMPUTED_VALUE"""),"120036*Gi")</f>
        <v>120036*Gi</v>
      </c>
      <c r="AR180" s="6" t="str">
        <f>IFERROR(__xludf.DUMMYFUNCTION("""COMPUTED_VALUE"""),"Klaus")</f>
        <v>Klaus</v>
      </c>
      <c r="AS180" s="6" t="str">
        <f>IFERROR(__xludf.DUMMYFUNCTION("""COMPUTED_VALUE"""),"Alexander")</f>
        <v>Alexander</v>
      </c>
      <c r="AT180" s="6" t="str">
        <f>IFERROR(__xludf.DUMMYFUNCTION("""COMPUTED_VALUE"""),"Lederer")</f>
        <v>Lederer</v>
      </c>
      <c r="AU180" s="6" t="str">
        <f>IFERROR(__xludf.DUMMYFUNCTION("""COMPUTED_VALUE"""),"k.a.j.lederer@gmail.com")</f>
        <v>k.a.j.lederer@gmail.com</v>
      </c>
      <c r="AV180" s="6" t="str">
        <f>IFERROR(__xludf.DUMMYFUNCTION("""COMPUTED_VALUE"""),"Economista/Financiero/Abogado")</f>
        <v>Economista/Financiero/Abogado</v>
      </c>
      <c r="AW180" s="6" t="str">
        <f>IFERROR(__xludf.DUMMYFUNCTION("""COMPUTED_VALUE"""),"Lenus Capital Partners")</f>
        <v>Lenus Capital Partners</v>
      </c>
      <c r="AX180" s="12" t="str">
        <f>IFERROR(__xludf.DUMMYFUNCTION("""COMPUTED_VALUE"""),"423560")</f>
        <v>423560</v>
      </c>
      <c r="AY180" s="12" t="str">
        <f>IFERROR(__xludf.DUMMYFUNCTION("""COMPUTED_VALUE"""),"3202047426")</f>
        <v>3202047426</v>
      </c>
      <c r="AZ180" s="6" t="str">
        <f>IFERROR(__xludf.DUMMYFUNCTION("""COMPUTED_VALUE"""),"Padre")</f>
        <v>Padre</v>
      </c>
      <c r="BA180" s="6"/>
      <c r="BB180" s="6"/>
      <c r="BC180" s="6"/>
      <c r="BD180" s="12" t="str">
        <f>IFERROR(__xludf.DUMMYFUNCTION("""COMPUTED_VALUE"""),"led0001")</f>
        <v>led0001</v>
      </c>
      <c r="BE180" s="6" t="str">
        <f>IFERROR(__xludf.DUMMYFUNCTION("""COMPUTED_VALUE"""),"REINGRESO")</f>
        <v>REINGRESO</v>
      </c>
      <c r="BF180" s="6"/>
      <c r="BG180" s="6">
        <f>IFERROR(__xludf.DUMMYFUNCTION("""COMPUTED_VALUE"""),2038.0)</f>
        <v>2038</v>
      </c>
      <c r="BH180" s="15">
        <f>IFERROR(__xludf.DUMMYFUNCTION("""COMPUTED_VALUE"""),46196.71996527778)</f>
        <v>46196.71997</v>
      </c>
      <c r="BI180" s="6">
        <f>IFERROR(__xludf.DUMMYFUNCTION("""COMPUTED_VALUE"""),179.0)</f>
        <v>179</v>
      </c>
      <c r="BJ180" s="6"/>
      <c r="BK180" s="6"/>
      <c r="BL180" s="6" t="str">
        <f>IFERROR(__xludf.DUMMYFUNCTION("""COMPUTED_VALUE"""),"GISLED0001")</f>
        <v>GISLED0001</v>
      </c>
      <c r="BM180" s="6"/>
      <c r="BN180" s="6"/>
      <c r="BO180" s="6" t="str">
        <f>IFERROR(__xludf.DUMMYFUNCTION("""COMPUTED_VALUE"""),"XC_EL_ArtesPlasticas")</f>
        <v>XC_EL_ArtesPlasticas</v>
      </c>
      <c r="BP180" s="6" t="str">
        <f>IFERROR(__xludf.DUMMYFUNCTION("""COMPUTED_VALUE"""),"XC_1_Futbol_M")</f>
        <v>XC_1_Futbol_M</v>
      </c>
      <c r="BQ180" s="6"/>
      <c r="BR180" s="6" t="str">
        <f>IFERROR(__xludf.DUMMYFUNCTION("""COMPUTED_VALUE"""),"XC_EL_PequenosCientificos")</f>
        <v>XC_EL_PequenosCientificos</v>
      </c>
      <c r="BS180" s="6" t="str">
        <f>IFERROR(__xludf.DUMMYFUNCTION("""COMPUTED_VALUE"""),"XC_1_Futbol_M")</f>
        <v>XC_1_Futbol_M</v>
      </c>
      <c r="BT180" s="6" t="str">
        <f>IFERROR(__xludf.DUMMYFUNCTION("""COMPUTED_VALUE"""),"XC_1_Futbol_M")</f>
        <v>XC_1_Futbol_M</v>
      </c>
      <c r="BU180" s="6" t="str">
        <f>IFERROR(__xludf.DUMMYFUNCTION("""COMPUTED_VALUE"""),"SI")</f>
        <v>SI</v>
      </c>
      <c r="BV180" s="6" t="str">
        <f>IFERROR(__xludf.DUMMYFUNCTION("""COMPUTED_VALUE"""),"emilio.l2038")</f>
        <v>emilio.l2038</v>
      </c>
      <c r="BW180" s="6"/>
      <c r="BX180" s="6"/>
      <c r="BY180" s="6"/>
      <c r="BZ180" s="6"/>
    </row>
    <row r="181">
      <c r="A181" s="12">
        <f>IFERROR(__xludf.DUMMYFUNCTION("""COMPUTED_VALUE"""),1.09286409E9)</f>
        <v>1092864090</v>
      </c>
      <c r="B181" s="6">
        <f>IFERROR(__xludf.DUMMYFUNCTION("""COMPUTED_VALUE"""),10.0)</f>
        <v>10</v>
      </c>
      <c r="C181" s="6" t="str">
        <f>IFERROR(__xludf.DUMMYFUNCTION("""COMPUTED_VALUE"""),"Mateo")</f>
        <v>Mateo</v>
      </c>
      <c r="D181" s="6"/>
      <c r="E181" s="6" t="str">
        <f>IFERROR(__xludf.DUMMYFUNCTION("""COMPUTED_VALUE"""),"López Echeverri")</f>
        <v>López Echeverri</v>
      </c>
      <c r="F181" s="6" t="str">
        <f>IFERROR(__xludf.DUMMYFUNCTION("""COMPUTED_VALUE"""),"Condominio el Tesoro Campestre Casa 13 - Altos del Rio Km 1 Via Armenia Calarca")</f>
        <v>Condominio el Tesoro Campestre Casa 13 - Altos del Rio Km 1 Via Armenia Calarca</v>
      </c>
      <c r="G181" s="12" t="str">
        <f>IFERROR(__xludf.DUMMYFUNCTION("""COMPUTED_VALUE"""),"2020")</f>
        <v>2020</v>
      </c>
      <c r="H181" s="6" t="str">
        <f>IFERROR(__xludf.DUMMYFUNCTION("""COMPUTED_VALUE"""),"Abril")</f>
        <v>Abril</v>
      </c>
      <c r="I181" s="12" t="str">
        <f>IFERROR(__xludf.DUMMYFUNCTION("""COMPUTED_VALUE"""),"29")</f>
        <v>29</v>
      </c>
      <c r="J181" s="6" t="str">
        <f>IFERROR(__xludf.DUMMYFUNCTION("""COMPUTED_VALUE"""),"Armenia")</f>
        <v>Armenia</v>
      </c>
      <c r="K181" s="6" t="str">
        <f>IFERROR(__xludf.DUMMYFUNCTION("""COMPUTED_VALUE"""),"mateo.l2038@gi.edu.co")</f>
        <v>mateo.l2038@gi.edu.co</v>
      </c>
      <c r="L181" s="6" t="str">
        <f>IFERROR(__xludf.DUMMYFUNCTION("""COMPUTED_VALUE"""),"RC")</f>
        <v>RC</v>
      </c>
      <c r="M181" s="6" t="str">
        <f>IFERROR(__xludf.DUMMYFUNCTION("""COMPUTED_VALUE"""),"Armenia")</f>
        <v>Armenia</v>
      </c>
      <c r="N181" s="6" t="str">
        <f>IFERROR(__xludf.DUMMYFUNCTION("""COMPUTED_VALUE"""),"M")</f>
        <v>M</v>
      </c>
      <c r="O181" s="6" t="str">
        <f>IFERROR(__xludf.DUMMYFUNCTION("""COMPUTED_VALUE"""),"ACTIVE")</f>
        <v>ACTIVE</v>
      </c>
      <c r="P181" s="6"/>
      <c r="Q181" s="6" t="str">
        <f>IFERROR(__xludf.DUMMYFUNCTION("""COMPUTED_VALUE"""),"Calarcá")</f>
        <v>Calarcá</v>
      </c>
      <c r="R181" s="12" t="str">
        <f>IFERROR(__xludf.DUMMYFUNCTION("""COMPUTED_VALUE"""),"Gipt16hs3*")</f>
        <v>Gipt16hs3*</v>
      </c>
      <c r="S181" s="6" t="str">
        <f>IFERROR(__xludf.DUMMYFUNCTION("""COMPUTED_VALUE"""),"López Echeverri Mateo ")</f>
        <v>López Echeverri Mateo </v>
      </c>
      <c r="T181" s="6" t="str">
        <f>IFERROR(__xludf.DUMMYFUNCTION("""COMPUTED_VALUE"""),"JOSE FERNANDO LOPEZ ATEHORTUA")</f>
        <v>JOSE FERNANDO LOPEZ ATEHORTUA</v>
      </c>
      <c r="U181" s="12" t="str">
        <f>IFERROR(__xludf.DUMMYFUNCTION("""COMPUTED_VALUE"""),"9725414")</f>
        <v>9725414</v>
      </c>
      <c r="V181" s="6">
        <f>IFERROR(__xludf.DUMMYFUNCTION("""COMPUTED_VALUE"""),3.104156585E9)</f>
        <v>3104156585</v>
      </c>
      <c r="W181" s="6" t="str">
        <f>IFERROR(__xludf.DUMMYFUNCTION("""COMPUTED_VALUE"""),"j-flopez@hotmail.com")</f>
        <v>j-flopez@hotmail.com</v>
      </c>
      <c r="X181" s="12" t="str">
        <f>IFERROR(__xludf.DUMMYFUNCTION("""COMPUTED_VALUE"""),"O+")</f>
        <v>O+</v>
      </c>
      <c r="Y181" s="12" t="str">
        <f>IFERROR(__xludf.DUMMYFUNCTION("""COMPUTED_VALUE"""),"1")</f>
        <v>1</v>
      </c>
      <c r="Z181" s="12">
        <f>IFERROR(__xludf.DUMMYFUNCTION("""COMPUTED_VALUE"""),120454.0)</f>
        <v>120454</v>
      </c>
      <c r="AA181" s="6" t="str">
        <f>IFERROR(__xludf.DUMMYFUNCTION("""COMPUTED_VALUE"""),"SURA")</f>
        <v>SURA</v>
      </c>
      <c r="AB181" s="6"/>
      <c r="AC181" s="6"/>
      <c r="AD181" s="12" t="str">
        <f>IFERROR(__xludf.DUMMYFUNCTION("""COMPUTED_VALUE"""),"1A")</f>
        <v>1A</v>
      </c>
      <c r="AE181" s="12" t="str">
        <f>IFERROR(__xludf.DUMMYFUNCTION("""COMPUTED_VALUE"""),"1345282426")</f>
        <v>1345282426</v>
      </c>
      <c r="AF181" s="6"/>
      <c r="AG181" s="12" t="str">
        <f>IFERROR(__xludf.DUMMYFUNCTION("""COMPUTED_VALUE"""),"Luisa")</f>
        <v>Luisa</v>
      </c>
      <c r="AH181" s="12" t="str">
        <f>IFERROR(__xludf.DUMMYFUNCTION("""COMPUTED_VALUE"""),"Fernanda")</f>
        <v>Fernanda</v>
      </c>
      <c r="AI181" s="6" t="str">
        <f>IFERROR(__xludf.DUMMYFUNCTION("""COMPUTED_VALUE"""),"Echeverri Trujillo")</f>
        <v>Echeverri Trujillo</v>
      </c>
      <c r="AJ181" s="6" t="str">
        <f>IFERROR(__xludf.DUMMYFUNCTION("""COMPUTED_VALUE"""),"luisa.echeverryt@gmail.com")</f>
        <v>luisa.echeverryt@gmail.com</v>
      </c>
      <c r="AK181" s="6" t="str">
        <f>IFERROR(__xludf.DUMMYFUNCTION("""COMPUTED_VALUE"""),"Medica general")</f>
        <v>Medica general</v>
      </c>
      <c r="AL181" s="6" t="str">
        <f>IFERROR(__xludf.DUMMYFUNCTION("""COMPUTED_VALUE"""),"Cosmitet")</f>
        <v>Cosmitet</v>
      </c>
      <c r="AM181" s="12" t="str">
        <f>IFERROR(__xludf.DUMMYFUNCTION("""COMPUTED_VALUE"""),"1094926943")</f>
        <v>1094926943</v>
      </c>
      <c r="AN181" s="12" t="str">
        <f>IFERROR(__xludf.DUMMYFUNCTION("""COMPUTED_VALUE"""),"3187119847")</f>
        <v>3187119847</v>
      </c>
      <c r="AO181" s="6" t="str">
        <f>IFERROR(__xludf.DUMMYFUNCTION("""COMPUTED_VALUE"""),"Madre")</f>
        <v>Madre</v>
      </c>
      <c r="AP181" s="6" t="str">
        <f>IFERROR(__xludf.DUMMYFUNCTION("""COMPUTED_VALUE"""),"Estudiante(s): López Echeverri")</f>
        <v>Estudiante(s): López Echeverri</v>
      </c>
      <c r="AQ181" s="6" t="str">
        <f>IFERROR(__xludf.DUMMYFUNCTION("""COMPUTED_VALUE"""),"120454*Gi")</f>
        <v>120454*Gi</v>
      </c>
      <c r="AR181" s="6" t="str">
        <f>IFERROR(__xludf.DUMMYFUNCTION("""COMPUTED_VALUE"""),"José")</f>
        <v>José</v>
      </c>
      <c r="AS181" s="6" t="str">
        <f>IFERROR(__xludf.DUMMYFUNCTION("""COMPUTED_VALUE"""),"Fernando")</f>
        <v>Fernando</v>
      </c>
      <c r="AT181" s="6" t="str">
        <f>IFERROR(__xludf.DUMMYFUNCTION("""COMPUTED_VALUE"""),"López Atehortúa")</f>
        <v>López Atehortúa</v>
      </c>
      <c r="AU181" s="6" t="str">
        <f>IFERROR(__xludf.DUMMYFUNCTION("""COMPUTED_VALUE"""),"j-flopez@hotmail.com")</f>
        <v>j-flopez@hotmail.com</v>
      </c>
      <c r="AV181" s="6" t="str">
        <f>IFERROR(__xludf.DUMMYFUNCTION("""COMPUTED_VALUE"""),"Cirujano vascular")</f>
        <v>Cirujano vascular</v>
      </c>
      <c r="AW181" s="6" t="str">
        <f>IFERROR(__xludf.DUMMYFUNCTION("""COMPUTED_VALUE"""),"Cirujano vascular")</f>
        <v>Cirujano vascular</v>
      </c>
      <c r="AX181" s="12" t="str">
        <f>IFERROR(__xludf.DUMMYFUNCTION("""COMPUTED_VALUE"""),"9725414")</f>
        <v>9725414</v>
      </c>
      <c r="AY181" s="12" t="str">
        <f>IFERROR(__xludf.DUMMYFUNCTION("""COMPUTED_VALUE"""),"3104156585")</f>
        <v>3104156585</v>
      </c>
      <c r="AZ181" s="6" t="str">
        <f>IFERROR(__xludf.DUMMYFUNCTION("""COMPUTED_VALUE"""),"Padre")</f>
        <v>Padre</v>
      </c>
      <c r="BA181" s="6"/>
      <c r="BB181" s="6"/>
      <c r="BC181" s="6"/>
      <c r="BD181" s="12" t="str">
        <f>IFERROR(__xludf.DUMMYFUNCTION("""COMPUTED_VALUE"""),"lop0009")</f>
        <v>lop0009</v>
      </c>
      <c r="BE181" s="6"/>
      <c r="BF181" s="6"/>
      <c r="BG181" s="6">
        <f>IFERROR(__xludf.DUMMYFUNCTION("""COMPUTED_VALUE"""),2038.0)</f>
        <v>2038</v>
      </c>
      <c r="BH181" s="15">
        <f>IFERROR(__xludf.DUMMYFUNCTION("""COMPUTED_VALUE"""),46206.67105324074)</f>
        <v>46206.67105</v>
      </c>
      <c r="BI181" s="6">
        <f>IFERROR(__xludf.DUMMYFUNCTION("""COMPUTED_VALUE"""),180.0)</f>
        <v>180</v>
      </c>
      <c r="BJ181" s="6"/>
      <c r="BK181" s="6"/>
      <c r="BL181" s="6" t="str">
        <f>IFERROR(__xludf.DUMMYFUNCTION("""COMPUTED_VALUE"""),"GISLOP0009")</f>
        <v>GISLOP0009</v>
      </c>
      <c r="BM181" s="6"/>
      <c r="BN181" s="6"/>
      <c r="BO181" s="6"/>
      <c r="BP181" s="6" t="str">
        <f>IFERROR(__xludf.DUMMYFUNCTION("""COMPUTED_VALUE"""),"XC_1_Futbol_M")</f>
        <v>XC_1_Futbol_M</v>
      </c>
      <c r="BQ181" s="6"/>
      <c r="BR181" s="6"/>
      <c r="BS181" s="6" t="str">
        <f>IFERROR(__xludf.DUMMYFUNCTION("""COMPUTED_VALUE"""),"XC_1_Futbol_M")</f>
        <v>XC_1_Futbol_M</v>
      </c>
      <c r="BT181" s="6" t="str">
        <f>IFERROR(__xludf.DUMMYFUNCTION("""COMPUTED_VALUE"""),"XC_1_Futbol_M")</f>
        <v>XC_1_Futbol_M</v>
      </c>
      <c r="BU181" s="6" t="str">
        <f>IFERROR(__xludf.DUMMYFUNCTION("""COMPUTED_VALUE"""),"SI")</f>
        <v>SI</v>
      </c>
      <c r="BV181" s="6" t="str">
        <f>IFERROR(__xludf.DUMMYFUNCTION("""COMPUTED_VALUE"""),"mateo.l2038")</f>
        <v>mateo.l2038</v>
      </c>
      <c r="BW181" s="6"/>
      <c r="BX181" s="6"/>
      <c r="BY181" s="6"/>
      <c r="BZ181" s="6"/>
    </row>
    <row r="182">
      <c r="A182" s="12">
        <f>IFERROR(__xludf.DUMMYFUNCTION("""COMPUTED_VALUE"""),1.092864551E9)</f>
        <v>1092864551</v>
      </c>
      <c r="B182" s="6">
        <f>IFERROR(__xludf.DUMMYFUNCTION("""COMPUTED_VALUE"""),11.0)</f>
        <v>11</v>
      </c>
      <c r="C182" s="6" t="str">
        <f>IFERROR(__xludf.DUMMYFUNCTION("""COMPUTED_VALUE"""),"Ana")</f>
        <v>Ana</v>
      </c>
      <c r="D182" s="6" t="str">
        <f>IFERROR(__xludf.DUMMYFUNCTION("""COMPUTED_VALUE"""),"Lucía")</f>
        <v>Lucía</v>
      </c>
      <c r="E182" s="6" t="str">
        <f>IFERROR(__xludf.DUMMYFUNCTION("""COMPUTED_VALUE"""),"Muñoz Querubín")</f>
        <v>Muñoz Querubín</v>
      </c>
      <c r="F182" s="6" t="str">
        <f>IFERROR(__xludf.DUMMYFUNCTION("""COMPUTED_VALUE"""),"Condominio La Rioja Casa 5 - Calle 9Nte No16 - 01 Providencia")</f>
        <v>Condominio La Rioja Casa 5 - Calle 9Nte No16 - 01 Providencia</v>
      </c>
      <c r="G182" s="12" t="str">
        <f>IFERROR(__xludf.DUMMYFUNCTION("""COMPUTED_VALUE"""),"2020")</f>
        <v>2020</v>
      </c>
      <c r="H182" s="6" t="str">
        <f>IFERROR(__xludf.DUMMYFUNCTION("""COMPUTED_VALUE"""),"Septiembre")</f>
        <v>Septiembre</v>
      </c>
      <c r="I182" s="12" t="str">
        <f>IFERROR(__xludf.DUMMYFUNCTION("""COMPUTED_VALUE"""),"28")</f>
        <v>28</v>
      </c>
      <c r="J182" s="6" t="str">
        <f>IFERROR(__xludf.DUMMYFUNCTION("""COMPUTED_VALUE"""),"Armenia")</f>
        <v>Armenia</v>
      </c>
      <c r="K182" s="6" t="str">
        <f>IFERROR(__xludf.DUMMYFUNCTION("""COMPUTED_VALUE"""),"ana.m2038@gi.edu.co")</f>
        <v>ana.m2038@gi.edu.co</v>
      </c>
      <c r="L182" s="6" t="str">
        <f>IFERROR(__xludf.DUMMYFUNCTION("""COMPUTED_VALUE"""),"RC")</f>
        <v>RC</v>
      </c>
      <c r="M182" s="6" t="str">
        <f>IFERROR(__xludf.DUMMYFUNCTION("""COMPUTED_VALUE"""),"Armenia")</f>
        <v>Armenia</v>
      </c>
      <c r="N182" s="6" t="str">
        <f>IFERROR(__xludf.DUMMYFUNCTION("""COMPUTED_VALUE"""),"F")</f>
        <v>F</v>
      </c>
      <c r="O182" s="6" t="str">
        <f>IFERROR(__xludf.DUMMYFUNCTION("""COMPUTED_VALUE"""),"INACTIVE")</f>
        <v>INACTIVE</v>
      </c>
      <c r="P182" s="6"/>
      <c r="Q182" s="6" t="str">
        <f>IFERROR(__xludf.DUMMYFUNCTION("""COMPUTED_VALUE"""),"Armenia")</f>
        <v>Armenia</v>
      </c>
      <c r="R182" s="12" t="str">
        <f>IFERROR(__xludf.DUMMYFUNCTION("""COMPUTED_VALUE"""),"Girycn2*")</f>
        <v>Girycn2*</v>
      </c>
      <c r="S182" s="6" t="str">
        <f>IFERROR(__xludf.DUMMYFUNCTION("""COMPUTED_VALUE"""),"Muñoz Querubín Ana Lucía")</f>
        <v>Muñoz Querubín Ana Lucía</v>
      </c>
      <c r="T182" s="6" t="str">
        <f>IFERROR(__xludf.DUMMYFUNCTION("""COMPUTED_VALUE"""),"RAUL TERCERO MUÑOZ CORENA")</f>
        <v>RAUL TERCERO MUÑOZ CORENA</v>
      </c>
      <c r="U182" s="12" t="str">
        <f>IFERROR(__xludf.DUMMYFUNCTION("""COMPUTED_VALUE"""),"1067280095")</f>
        <v>1067280095</v>
      </c>
      <c r="V182" s="6">
        <f>IFERROR(__xludf.DUMMYFUNCTION("""COMPUTED_VALUE"""),3.00230701E9)</f>
        <v>3002307010</v>
      </c>
      <c r="W182" s="6" t="str">
        <f>IFERROR(__xludf.DUMMYFUNCTION("""COMPUTED_VALUE"""),"ratermuco2007@hotmail.com")</f>
        <v>ratermuco2007@hotmail.com</v>
      </c>
      <c r="X182" s="12" t="str">
        <f>IFERROR(__xludf.DUMMYFUNCTION("""COMPUTED_VALUE"""),"O+")</f>
        <v>O+</v>
      </c>
      <c r="Y182" s="12" t="str">
        <f>IFERROR(__xludf.DUMMYFUNCTION("""COMPUTED_VALUE"""),"1")</f>
        <v>1</v>
      </c>
      <c r="Z182" s="12">
        <f>IFERROR(__xludf.DUMMYFUNCTION("""COMPUTED_VALUE"""),120319.0)</f>
        <v>120319</v>
      </c>
      <c r="AA182" s="6" t="str">
        <f>IFERROR(__xludf.DUMMYFUNCTION("""COMPUTED_VALUE"""),"SURA")</f>
        <v>SURA</v>
      </c>
      <c r="AB182" s="6"/>
      <c r="AC182" s="6"/>
      <c r="AD182" s="12" t="str">
        <f>IFERROR(__xludf.DUMMYFUNCTION("""COMPUTED_VALUE"""),"1A")</f>
        <v>1A</v>
      </c>
      <c r="AE182" s="12">
        <f>IFERROR(__xludf.DUMMYFUNCTION("""COMPUTED_VALUE"""),1.345282319E9)</f>
        <v>1345282319</v>
      </c>
      <c r="AF182" s="6"/>
      <c r="AG182" s="12" t="str">
        <f>IFERROR(__xludf.DUMMYFUNCTION("""COMPUTED_VALUE"""),"Luisa")</f>
        <v>Luisa</v>
      </c>
      <c r="AH182" s="12" t="str">
        <f>IFERROR(__xludf.DUMMYFUNCTION("""COMPUTED_VALUE"""),"Fernanda")</f>
        <v>Fernanda</v>
      </c>
      <c r="AI182" s="6" t="str">
        <f>IFERROR(__xludf.DUMMYFUNCTION("""COMPUTED_VALUE"""),"Querubín Jiménez")</f>
        <v>Querubín Jiménez</v>
      </c>
      <c r="AJ182" s="6" t="str">
        <f>IFERROR(__xludf.DUMMYFUNCTION("""COMPUTED_VALUE"""),"luquerubinj@gmail.com")</f>
        <v>luquerubinj@gmail.com</v>
      </c>
      <c r="AK182" s="6" t="str">
        <f>IFERROR(__xludf.DUMMYFUNCTION("""COMPUTED_VALUE"""),"Medico - Ginecologo Obstetra")</f>
        <v>Medico - Ginecologo Obstetra</v>
      </c>
      <c r="AL182" s="6" t="str">
        <f>IFERROR(__xludf.DUMMYFUNCTION("""COMPUTED_VALUE"""),"hospital San Juan de Dios")</f>
        <v>hospital San Juan de Dios</v>
      </c>
      <c r="AM182" s="12" t="str">
        <f>IFERROR(__xludf.DUMMYFUNCTION("""COMPUTED_VALUE"""),"41963480")</f>
        <v>41963480</v>
      </c>
      <c r="AN182" s="12" t="str">
        <f>IFERROR(__xludf.DUMMYFUNCTION("""COMPUTED_VALUE"""),"3165794668")</f>
        <v>3165794668</v>
      </c>
      <c r="AO182" s="6" t="str">
        <f>IFERROR(__xludf.DUMMYFUNCTION("""COMPUTED_VALUE"""),"Madre")</f>
        <v>Madre</v>
      </c>
      <c r="AP182" s="6" t="str">
        <f>IFERROR(__xludf.DUMMYFUNCTION("""COMPUTED_VALUE"""),"Estudiante(s): Muñoz Querubín")</f>
        <v>Estudiante(s): Muñoz Querubín</v>
      </c>
      <c r="AQ182" s="6" t="str">
        <f>IFERROR(__xludf.DUMMYFUNCTION("""COMPUTED_VALUE"""),"120319*Gi")</f>
        <v>120319*Gi</v>
      </c>
      <c r="AR182" s="6" t="str">
        <f>IFERROR(__xludf.DUMMYFUNCTION("""COMPUTED_VALUE"""),"Raúl")</f>
        <v>Raúl</v>
      </c>
      <c r="AS182" s="6" t="str">
        <f>IFERROR(__xludf.DUMMYFUNCTION("""COMPUTED_VALUE"""),"Tercero")</f>
        <v>Tercero</v>
      </c>
      <c r="AT182" s="6" t="str">
        <f>IFERROR(__xludf.DUMMYFUNCTION("""COMPUTED_VALUE"""),"Muñoz Corena")</f>
        <v>Muñoz Corena</v>
      </c>
      <c r="AU182" s="6" t="str">
        <f>IFERROR(__xludf.DUMMYFUNCTION("""COMPUTED_VALUE"""),"ratermuco2007@hotmail.com")</f>
        <v>ratermuco2007@hotmail.com</v>
      </c>
      <c r="AV182" s="6" t="str">
        <f>IFERROR(__xludf.DUMMYFUNCTION("""COMPUTED_VALUE"""),"Medico - Anestesiologo")</f>
        <v>Medico - Anestesiologo</v>
      </c>
      <c r="AW182" s="6"/>
      <c r="AX182" s="12" t="str">
        <f>IFERROR(__xludf.DUMMYFUNCTION("""COMPUTED_VALUE"""),"1067280095")</f>
        <v>1067280095</v>
      </c>
      <c r="AY182" s="12" t="str">
        <f>IFERROR(__xludf.DUMMYFUNCTION("""COMPUTED_VALUE"""),"3002307010")</f>
        <v>3002307010</v>
      </c>
      <c r="AZ182" s="6" t="str">
        <f>IFERROR(__xludf.DUMMYFUNCTION("""COMPUTED_VALUE"""),"Padre")</f>
        <v>Padre</v>
      </c>
      <c r="BA182" s="6"/>
      <c r="BB182" s="6"/>
      <c r="BC182" s="6"/>
      <c r="BD182" s="12" t="str">
        <f>IFERROR(__xludf.DUMMYFUNCTION("""COMPUTED_VALUE"""),"mun0003")</f>
        <v>mun0003</v>
      </c>
      <c r="BE182" s="6" t="str">
        <f>IFERROR(__xludf.DUMMYFUNCTION("""COMPUTED_VALUE"""),"FALTAN FIRMAS")</f>
        <v>FALTAN FIRMAS</v>
      </c>
      <c r="BF182" s="6"/>
      <c r="BG182" s="6">
        <f>IFERROR(__xludf.DUMMYFUNCTION("""COMPUTED_VALUE"""),2038.0)</f>
        <v>2038</v>
      </c>
      <c r="BH182" s="15">
        <f>IFERROR(__xludf.DUMMYFUNCTION("""COMPUTED_VALUE"""),46232.81135416667)</f>
        <v>46232.81135</v>
      </c>
      <c r="BI182" s="6">
        <f>IFERROR(__xludf.DUMMYFUNCTION("""COMPUTED_VALUE"""),181.0)</f>
        <v>181</v>
      </c>
      <c r="BJ182" s="6"/>
      <c r="BK182" s="6"/>
      <c r="BL182" s="6" t="str">
        <f>IFERROR(__xludf.DUMMYFUNCTION("""COMPUTED_VALUE"""),"GISMUN0003")</f>
        <v>GISMUN0003</v>
      </c>
      <c r="BM182" s="6"/>
      <c r="BN182" s="6"/>
      <c r="BO182" s="6"/>
      <c r="BP182" s="6" t="str">
        <f>IFERROR(__xludf.DUMMYFUNCTION("""COMPUTED_VALUE"""),"XC_EL_Porras")</f>
        <v>XC_EL_Porras</v>
      </c>
      <c r="BQ182" s="6" t="str">
        <f>IFERROR(__xludf.DUMMYFUNCTION("""COMPUTED_VALUE"""),"XC_EL_Porras")</f>
        <v>XC_EL_Porras</v>
      </c>
      <c r="BR182" s="6"/>
      <c r="BS182" s="6" t="str">
        <f>IFERROR(__xludf.DUMMYFUNCTION("""COMPUTED_VALUE"""),"XC_EL_Porras")</f>
        <v>XC_EL_Porras</v>
      </c>
      <c r="BT182" s="6"/>
      <c r="BU182" s="6" t="str">
        <f>IFERROR(__xludf.DUMMYFUNCTION("""COMPUTED_VALUE"""),"SI")</f>
        <v>SI</v>
      </c>
      <c r="BV182" s="6" t="str">
        <f>IFERROR(__xludf.DUMMYFUNCTION("""COMPUTED_VALUE"""),"ana.m2038")</f>
        <v>ana.m2038</v>
      </c>
      <c r="BW182" s="6"/>
      <c r="BX182" s="6"/>
      <c r="BY182" s="6"/>
      <c r="BZ182" s="6"/>
    </row>
    <row r="183">
      <c r="A183" s="12">
        <f>IFERROR(__xludf.DUMMYFUNCTION("""COMPUTED_VALUE"""),1.092864403E9)</f>
        <v>1092864403</v>
      </c>
      <c r="B183" s="6">
        <f>IFERROR(__xludf.DUMMYFUNCTION("""COMPUTED_VALUE"""),12.0)</f>
        <v>12</v>
      </c>
      <c r="C183" s="6" t="str">
        <f>IFERROR(__xludf.DUMMYFUNCTION("""COMPUTED_VALUE"""),"Agustín")</f>
        <v>Agustín</v>
      </c>
      <c r="D183" s="6"/>
      <c r="E183" s="6" t="str">
        <f>IFERROR(__xludf.DUMMYFUNCTION("""COMPUTED_VALUE"""),"Pérez Sánchez")</f>
        <v>Pérez Sánchez</v>
      </c>
      <c r="F183" s="6" t="str">
        <f>IFERROR(__xludf.DUMMYFUNCTION("""COMPUTED_VALUE"""),"Horeb Torre 3 Apto 807 - Cra 6 No13Nte - 27 - Av Centenario")</f>
        <v>Horeb Torre 3 Apto 807 - Cra 6 No13Nte - 27 - Av Centenario</v>
      </c>
      <c r="G183" s="12" t="str">
        <f>IFERROR(__xludf.DUMMYFUNCTION("""COMPUTED_VALUE"""),"2020")</f>
        <v>2020</v>
      </c>
      <c r="H183" s="6" t="str">
        <f>IFERROR(__xludf.DUMMYFUNCTION("""COMPUTED_VALUE"""),"Agosto")</f>
        <v>Agosto</v>
      </c>
      <c r="I183" s="12" t="str">
        <f>IFERROR(__xludf.DUMMYFUNCTION("""COMPUTED_VALUE"""),"8")</f>
        <v>8</v>
      </c>
      <c r="J183" s="6" t="str">
        <f>IFERROR(__xludf.DUMMYFUNCTION("""COMPUTED_VALUE"""),"Armenia")</f>
        <v>Armenia</v>
      </c>
      <c r="K183" s="6" t="str">
        <f>IFERROR(__xludf.DUMMYFUNCTION("""COMPUTED_VALUE"""),"agustin.p2038@gi.edu.co")</f>
        <v>agustin.p2038@gi.edu.co</v>
      </c>
      <c r="L183" s="6" t="str">
        <f>IFERROR(__xludf.DUMMYFUNCTION("""COMPUTED_VALUE"""),"TI")</f>
        <v>TI</v>
      </c>
      <c r="M183" s="6" t="str">
        <f>IFERROR(__xludf.DUMMYFUNCTION("""COMPUTED_VALUE"""),"Armenia")</f>
        <v>Armenia</v>
      </c>
      <c r="N183" s="6" t="str">
        <f>IFERROR(__xludf.DUMMYFUNCTION("""COMPUTED_VALUE"""),"M")</f>
        <v>M</v>
      </c>
      <c r="O183" s="6" t="str">
        <f>IFERROR(__xludf.DUMMYFUNCTION("""COMPUTED_VALUE"""),"INACTIVE")</f>
        <v>INACTIVE</v>
      </c>
      <c r="P183" s="6"/>
      <c r="Q183" s="6" t="str">
        <f>IFERROR(__xludf.DUMMYFUNCTION("""COMPUTED_VALUE"""),"Armenia")</f>
        <v>Armenia</v>
      </c>
      <c r="R183" s="12" t="str">
        <f>IFERROR(__xludf.DUMMYFUNCTION("""COMPUTED_VALUE"""),"Gi29dtq*")</f>
        <v>Gi29dtq*</v>
      </c>
      <c r="S183" s="6" t="str">
        <f>IFERROR(__xludf.DUMMYFUNCTION("""COMPUTED_VALUE"""),"Pérez Sánchez Agustín ")</f>
        <v>Pérez Sánchez Agustín </v>
      </c>
      <c r="T183" s="6" t="str">
        <f>IFERROR(__xludf.DUMMYFUNCTION("""COMPUTED_VALUE"""),"JULIAN ALONSO PEREZ MEDINA")</f>
        <v>JULIAN ALONSO PEREZ MEDINA</v>
      </c>
      <c r="U183" s="12" t="str">
        <f>IFERROR(__xludf.DUMMYFUNCTION("""COMPUTED_VALUE"""),"1128266936")</f>
        <v>1128266936</v>
      </c>
      <c r="V183" s="6">
        <f>IFERROR(__xludf.DUMMYFUNCTION("""COMPUTED_VALUE"""),3.153735294E9)</f>
        <v>3153735294</v>
      </c>
      <c r="W183" s="6" t="str">
        <f>IFERROR(__xludf.DUMMYFUNCTION("""COMPUTED_VALUE"""),"leidylazz2@gmail.com")</f>
        <v>leidylazz2@gmail.com</v>
      </c>
      <c r="X183" s="12" t="str">
        <f>IFERROR(__xludf.DUMMYFUNCTION("""COMPUTED_VALUE"""),"O+")</f>
        <v>O+</v>
      </c>
      <c r="Y183" s="12" t="str">
        <f>IFERROR(__xludf.DUMMYFUNCTION("""COMPUTED_VALUE"""),"1")</f>
        <v>1</v>
      </c>
      <c r="Z183" s="12">
        <f>IFERROR(__xludf.DUMMYFUNCTION("""COMPUTED_VALUE"""),120283.0)</f>
        <v>120283</v>
      </c>
      <c r="AA183" s="6" t="str">
        <f>IFERROR(__xludf.DUMMYFUNCTION("""COMPUTED_VALUE"""),"SURA")</f>
        <v>SURA</v>
      </c>
      <c r="AB183" s="6"/>
      <c r="AC183" s="6"/>
      <c r="AD183" s="12" t="str">
        <f>IFERROR(__xludf.DUMMYFUNCTION("""COMPUTED_VALUE"""),"1A")</f>
        <v>1A</v>
      </c>
      <c r="AE183" s="12">
        <f>IFERROR(__xludf.DUMMYFUNCTION("""COMPUTED_VALUE"""),1.345282263E9)</f>
        <v>1345282263</v>
      </c>
      <c r="AF183" s="6"/>
      <c r="AG183" s="12" t="str">
        <f>IFERROR(__xludf.DUMMYFUNCTION("""COMPUTED_VALUE"""),"Leidy")</f>
        <v>Leidy</v>
      </c>
      <c r="AH183" s="12" t="str">
        <f>IFERROR(__xludf.DUMMYFUNCTION("""COMPUTED_VALUE"""),"Yuliana")</f>
        <v>Yuliana</v>
      </c>
      <c r="AI183" s="6" t="str">
        <f>IFERROR(__xludf.DUMMYFUNCTION("""COMPUTED_VALUE"""),"Sánchez Bedoya")</f>
        <v>Sánchez Bedoya</v>
      </c>
      <c r="AJ183" s="6" t="str">
        <f>IFERROR(__xludf.DUMMYFUNCTION("""COMPUTED_VALUE"""),"leidylazz2@gmail.com")</f>
        <v>leidylazz2@gmail.com</v>
      </c>
      <c r="AK183" s="6" t="str">
        <f>IFERROR(__xludf.DUMMYFUNCTION("""COMPUTED_VALUE"""),"Profesional en Mercadeo")</f>
        <v>Profesional en Mercadeo</v>
      </c>
      <c r="AL183" s="6" t="str">
        <f>IFERROR(__xludf.DUMMYFUNCTION("""COMPUTED_VALUE"""),"Berhlan de Colombia")</f>
        <v>Berhlan de Colombia</v>
      </c>
      <c r="AM183" s="12" t="str">
        <f>IFERROR(__xludf.DUMMYFUNCTION("""COMPUTED_VALUE"""),"43993317")</f>
        <v>43993317</v>
      </c>
      <c r="AN183" s="12" t="str">
        <f>IFERROR(__xludf.DUMMYFUNCTION("""COMPUTED_VALUE"""),"3005234117")</f>
        <v>3005234117</v>
      </c>
      <c r="AO183" s="6" t="str">
        <f>IFERROR(__xludf.DUMMYFUNCTION("""COMPUTED_VALUE"""),"Madre")</f>
        <v>Madre</v>
      </c>
      <c r="AP183" s="6" t="str">
        <f>IFERROR(__xludf.DUMMYFUNCTION("""COMPUTED_VALUE"""),"Estudiante(s): Pérez Sánchez")</f>
        <v>Estudiante(s): Pérez Sánchez</v>
      </c>
      <c r="AQ183" s="6" t="str">
        <f>IFERROR(__xludf.DUMMYFUNCTION("""COMPUTED_VALUE"""),"120283*Gi")</f>
        <v>120283*Gi</v>
      </c>
      <c r="AR183" s="6" t="str">
        <f>IFERROR(__xludf.DUMMYFUNCTION("""COMPUTED_VALUE"""),"Julián ")</f>
        <v>Julián </v>
      </c>
      <c r="AS183" s="6" t="str">
        <f>IFERROR(__xludf.DUMMYFUNCTION("""COMPUTED_VALUE"""),"Alonso")</f>
        <v>Alonso</v>
      </c>
      <c r="AT183" s="6" t="str">
        <f>IFERROR(__xludf.DUMMYFUNCTION("""COMPUTED_VALUE"""),"Pérez Medina")</f>
        <v>Pérez Medina</v>
      </c>
      <c r="AU183" s="6" t="str">
        <f>IFERROR(__xludf.DUMMYFUNCTION("""COMPUTED_VALUE"""),"leidylazz2@gmail.com")</f>
        <v>leidylazz2@gmail.com</v>
      </c>
      <c r="AV183" s="6" t="str">
        <f>IFERROR(__xludf.DUMMYFUNCTION("""COMPUTED_VALUE"""),"Negocios Internacionales")</f>
        <v>Negocios Internacionales</v>
      </c>
      <c r="AW183" s="6"/>
      <c r="AX183" s="12" t="str">
        <f>IFERROR(__xludf.DUMMYFUNCTION("""COMPUTED_VALUE"""),"1128266936")</f>
        <v>1128266936</v>
      </c>
      <c r="AY183" s="12">
        <f>IFERROR(__xludf.DUMMYFUNCTION("""COMPUTED_VALUE"""),3.153735294E9)</f>
        <v>3153735294</v>
      </c>
      <c r="AZ183" s="6" t="str">
        <f>IFERROR(__xludf.DUMMYFUNCTION("""COMPUTED_VALUE"""),"Padre")</f>
        <v>Padre</v>
      </c>
      <c r="BA183" s="6"/>
      <c r="BB183" s="6"/>
      <c r="BC183" s="6"/>
      <c r="BD183" s="12" t="str">
        <f>IFERROR(__xludf.DUMMYFUNCTION("""COMPUTED_VALUE"""),"per0001")</f>
        <v>per0001</v>
      </c>
      <c r="BE183" s="6" t="str">
        <f>IFERROR(__xludf.DUMMYFUNCTION("""COMPUTED_VALUE"""),"FALTAN FIRMAS")</f>
        <v>FALTAN FIRMAS</v>
      </c>
      <c r="BF183" s="6"/>
      <c r="BG183" s="6">
        <f>IFERROR(__xludf.DUMMYFUNCTION("""COMPUTED_VALUE"""),2038.0)</f>
        <v>2038</v>
      </c>
      <c r="BH183" s="15">
        <f>IFERROR(__xludf.DUMMYFUNCTION("""COMPUTED_VALUE"""),46216.844618055555)</f>
        <v>46216.84462</v>
      </c>
      <c r="BI183" s="6">
        <f>IFERROR(__xludf.DUMMYFUNCTION("""COMPUTED_VALUE"""),182.0)</f>
        <v>182</v>
      </c>
      <c r="BJ183" s="6"/>
      <c r="BK183" s="6"/>
      <c r="BL183" s="6" t="str">
        <f>IFERROR(__xludf.DUMMYFUNCTION("""COMPUTED_VALUE"""),"GISPER0001")</f>
        <v>GISPER0001</v>
      </c>
      <c r="BM183" s="6"/>
      <c r="BN183" s="6"/>
      <c r="BO183" s="6"/>
      <c r="BP183" s="6" t="str">
        <f>IFERROR(__xludf.DUMMYFUNCTION("""COMPUTED_VALUE"""),"XC_1_Futbol_M")</f>
        <v>XC_1_Futbol_M</v>
      </c>
      <c r="BQ183" s="6"/>
      <c r="BR183" s="6" t="str">
        <f>IFERROR(__xludf.DUMMYFUNCTION("""COMPUTED_VALUE"""),"XC_EL_DesaInstrumental")</f>
        <v>XC_EL_DesaInstrumental</v>
      </c>
      <c r="BS183" s="6" t="str">
        <f>IFERROR(__xludf.DUMMYFUNCTION("""COMPUTED_VALUE"""),"XC_1_Futbol_M")</f>
        <v>XC_1_Futbol_M</v>
      </c>
      <c r="BT183" s="6" t="str">
        <f>IFERROR(__xludf.DUMMYFUNCTION("""COMPUTED_VALUE"""),"XC_1_Futbol_M")</f>
        <v>XC_1_Futbol_M</v>
      </c>
      <c r="BU183" s="6" t="str">
        <f>IFERROR(__xludf.DUMMYFUNCTION("""COMPUTED_VALUE"""),"SI")</f>
        <v>SI</v>
      </c>
      <c r="BV183" s="6" t="str">
        <f>IFERROR(__xludf.DUMMYFUNCTION("""COMPUTED_VALUE"""),"agustin.p2038")</f>
        <v>agustin.p2038</v>
      </c>
      <c r="BW183" s="6"/>
      <c r="BX183" s="6"/>
      <c r="BY183" s="6"/>
      <c r="BZ183" s="6"/>
    </row>
    <row r="184">
      <c r="A184" s="12">
        <f>IFERROR(__xludf.DUMMYFUNCTION("""COMPUTED_VALUE"""),1.032512383E9)</f>
        <v>1032512383</v>
      </c>
      <c r="B184" s="6">
        <f>IFERROR(__xludf.DUMMYFUNCTION("""COMPUTED_VALUE"""),13.0)</f>
        <v>13</v>
      </c>
      <c r="C184" s="6" t="str">
        <f>IFERROR(__xludf.DUMMYFUNCTION("""COMPUTED_VALUE"""),"Mathias")</f>
        <v>Mathias</v>
      </c>
      <c r="D184" s="6" t="str">
        <f>IFERROR(__xludf.DUMMYFUNCTION("""COMPUTED_VALUE"""),"David")</f>
        <v>David</v>
      </c>
      <c r="E184" s="6" t="str">
        <f>IFERROR(__xludf.DUMMYFUNCTION("""COMPUTED_VALUE"""),"Rendón Camargo")</f>
        <v>Rendón Camargo</v>
      </c>
      <c r="F184" s="6" t="str">
        <f>IFERROR(__xludf.DUMMYFUNCTION("""COMPUTED_VALUE"""),"Cra 6 Calle 31Nte - 53 Apto 102 - Av Centenario")</f>
        <v>Cra 6 Calle 31Nte - 53 Apto 102 - Av Centenario</v>
      </c>
      <c r="G184" s="12">
        <f>IFERROR(__xludf.DUMMYFUNCTION("""COMPUTED_VALUE"""),2019.0)</f>
        <v>2019</v>
      </c>
      <c r="H184" s="6" t="str">
        <f>IFERROR(__xludf.DUMMYFUNCTION("""COMPUTED_VALUE"""),"Septiembre")</f>
        <v>Septiembre</v>
      </c>
      <c r="I184" s="12">
        <f>IFERROR(__xludf.DUMMYFUNCTION("""COMPUTED_VALUE"""),25.0)</f>
        <v>25</v>
      </c>
      <c r="J184" s="6" t="str">
        <f>IFERROR(__xludf.DUMMYFUNCTION("""COMPUTED_VALUE"""),"Venezuela")</f>
        <v>Venezuela</v>
      </c>
      <c r="K184" s="6" t="str">
        <f>IFERROR(__xludf.DUMMYFUNCTION("""COMPUTED_VALUE"""),"mathias.r2038@gi.edu.co")</f>
        <v>mathias.r2038@gi.edu.co</v>
      </c>
      <c r="L184" s="6" t="str">
        <f>IFERROR(__xludf.DUMMYFUNCTION("""COMPUTED_VALUE"""),"RC")</f>
        <v>RC</v>
      </c>
      <c r="M184" s="6" t="str">
        <f>IFERROR(__xludf.DUMMYFUNCTION("""COMPUTED_VALUE"""),"Bogotá D.C.")</f>
        <v>Bogotá D.C.</v>
      </c>
      <c r="N184" s="6" t="str">
        <f>IFERROR(__xludf.DUMMYFUNCTION("""COMPUTED_VALUE"""),"M")</f>
        <v>M</v>
      </c>
      <c r="O184" s="6" t="str">
        <f>IFERROR(__xludf.DUMMYFUNCTION("""COMPUTED_VALUE"""),"ACTIVE")</f>
        <v>ACTIVE</v>
      </c>
      <c r="P184" s="6"/>
      <c r="Q184" s="6" t="str">
        <f>IFERROR(__xludf.DUMMYFUNCTION("""COMPUTED_VALUE"""),"Armenia")</f>
        <v>Armenia</v>
      </c>
      <c r="R184" s="12" t="str">
        <f>IFERROR(__xludf.DUMMYFUNCTION("""COMPUTED_VALUE"""),"Gixy866k*")</f>
        <v>Gixy866k*</v>
      </c>
      <c r="S184" s="6" t="str">
        <f>IFERROR(__xludf.DUMMYFUNCTION("""COMPUTED_VALUE"""),"Rendón Camargo Mathias David")</f>
        <v>Rendón Camargo Mathias David</v>
      </c>
      <c r="T184" s="6" t="str">
        <f>IFERROR(__xludf.DUMMYFUNCTION("""COMPUTED_VALUE"""),"RAFAEL RAMÓN RENDÓN UZCÁTEGUI")</f>
        <v>RAFAEL RAMÓN RENDÓN UZCÁTEGUI</v>
      </c>
      <c r="U184" s="12" t="str">
        <f>IFERROR(__xludf.DUMMYFUNCTION("""COMPUTED_VALUE"""),"1061995")</f>
        <v>1061995</v>
      </c>
      <c r="V184" s="6">
        <f>IFERROR(__xludf.DUMMYFUNCTION("""COMPUTED_VALUE"""),3.167236546E9)</f>
        <v>3167236546</v>
      </c>
      <c r="W184" s="6" t="str">
        <f>IFERROR(__xludf.DUMMYFUNCTION("""COMPUTED_VALUE"""),"rendon.raf@hotmail.com")</f>
        <v>rendon.raf@hotmail.com</v>
      </c>
      <c r="X184" s="12" t="str">
        <f>IFERROR(__xludf.DUMMYFUNCTION("""COMPUTED_VALUE"""),"O+")</f>
        <v>O+</v>
      </c>
      <c r="Y184" s="12" t="str">
        <f>IFERROR(__xludf.DUMMYFUNCTION("""COMPUTED_VALUE"""),"1")</f>
        <v>1</v>
      </c>
      <c r="Z184" s="6">
        <f>IFERROR(__xludf.DUMMYFUNCTION("""COMPUTED_VALUE"""),120534.0)</f>
        <v>120534</v>
      </c>
      <c r="AA184" s="6" t="str">
        <f>IFERROR(__xludf.DUMMYFUNCTION("""COMPUTED_VALUE"""),"SALUD TOTAL")</f>
        <v>SALUD TOTAL</v>
      </c>
      <c r="AB184" s="6"/>
      <c r="AC184" s="6"/>
      <c r="AD184" s="12" t="str">
        <f>IFERROR(__xludf.DUMMYFUNCTION("""COMPUTED_VALUE"""),"1A")</f>
        <v>1A</v>
      </c>
      <c r="AE184" s="12" t="str">
        <f>IFERROR(__xludf.DUMMYFUNCTION("""COMPUTED_VALUE"""),"1345282533")</f>
        <v>1345282533</v>
      </c>
      <c r="AF184" s="6"/>
      <c r="AG184" s="12" t="str">
        <f>IFERROR(__xludf.DUMMYFUNCTION("""COMPUTED_VALUE"""),"Ingrith")</f>
        <v>Ingrith</v>
      </c>
      <c r="AH184" s="12" t="str">
        <f>IFERROR(__xludf.DUMMYFUNCTION("""COMPUTED_VALUE"""),"Amarelys")</f>
        <v>Amarelys</v>
      </c>
      <c r="AI184" s="6" t="str">
        <f>IFERROR(__xludf.DUMMYFUNCTION("""COMPUTED_VALUE"""),"Camargo Niño")</f>
        <v>Camargo Niño</v>
      </c>
      <c r="AJ184" s="6" t="str">
        <f>IFERROR(__xludf.DUMMYFUNCTION("""COMPUTED_VALUE"""),"ingrithcamargo@hotmail.com")</f>
        <v>ingrithcamargo@hotmail.com</v>
      </c>
      <c r="AK184" s="6" t="str">
        <f>IFERROR(__xludf.DUMMYFUNCTION("""COMPUTED_VALUE"""),"Medico")</f>
        <v>Medico</v>
      </c>
      <c r="AL184" s="6" t="str">
        <f>IFERROR(__xludf.DUMMYFUNCTION("""COMPUTED_VALUE"""),"Clinica San Rafael")</f>
        <v>Clinica San Rafael</v>
      </c>
      <c r="AM184" s="12" t="str">
        <f>IFERROR(__xludf.DUMMYFUNCTION("""COMPUTED_VALUE"""),"40046556")</f>
        <v>40046556</v>
      </c>
      <c r="AN184" s="12" t="str">
        <f>IFERROR(__xludf.DUMMYFUNCTION("""COMPUTED_VALUE"""),"3014034754")</f>
        <v>3014034754</v>
      </c>
      <c r="AO184" s="6" t="str">
        <f>IFERROR(__xludf.DUMMYFUNCTION("""COMPUTED_VALUE"""),"Madre")</f>
        <v>Madre</v>
      </c>
      <c r="AP184" s="6" t="str">
        <f>IFERROR(__xludf.DUMMYFUNCTION("""COMPUTED_VALUE"""),"Estudiante(s): Rendón Camargo")</f>
        <v>Estudiante(s): Rendón Camargo</v>
      </c>
      <c r="AQ184" s="6" t="str">
        <f>IFERROR(__xludf.DUMMYFUNCTION("""COMPUTED_VALUE"""),"120534*Gi")</f>
        <v>120534*Gi</v>
      </c>
      <c r="AR184" s="6" t="str">
        <f>IFERROR(__xludf.DUMMYFUNCTION("""COMPUTED_VALUE"""),"Rafael")</f>
        <v>Rafael</v>
      </c>
      <c r="AS184" s="6" t="str">
        <f>IFERROR(__xludf.DUMMYFUNCTION("""COMPUTED_VALUE"""),"Ramón")</f>
        <v>Ramón</v>
      </c>
      <c r="AT184" s="6" t="str">
        <f>IFERROR(__xludf.DUMMYFUNCTION("""COMPUTED_VALUE"""),"Rendón Uscátegui")</f>
        <v>Rendón Uscátegui</v>
      </c>
      <c r="AU184" s="6" t="str">
        <f>IFERROR(__xludf.DUMMYFUNCTION("""COMPUTED_VALUE"""),"rendon.raf@hotmail.com")</f>
        <v>rendon.raf@hotmail.com</v>
      </c>
      <c r="AV184" s="6" t="str">
        <f>IFERROR(__xludf.DUMMYFUNCTION("""COMPUTED_VALUE"""),"Medico")</f>
        <v>Medico</v>
      </c>
      <c r="AW184" s="6" t="str">
        <f>IFERROR(__xludf.DUMMYFUNCTION("""COMPUTED_VALUE"""),"Clinica San Rafael")</f>
        <v>Clinica San Rafael</v>
      </c>
      <c r="AX184" s="12" t="str">
        <f>IFERROR(__xludf.DUMMYFUNCTION("""COMPUTED_VALUE"""),"1061995")</f>
        <v>1061995</v>
      </c>
      <c r="AY184" s="12" t="str">
        <f>IFERROR(__xludf.DUMMYFUNCTION("""COMPUTED_VALUE"""),"3167236546")</f>
        <v>3167236546</v>
      </c>
      <c r="AZ184" s="6" t="str">
        <f>IFERROR(__xludf.DUMMYFUNCTION("""COMPUTED_VALUE"""),"Padre")</f>
        <v>Padre</v>
      </c>
      <c r="BA184" s="6"/>
      <c r="BB184" s="6"/>
      <c r="BC184" s="6"/>
      <c r="BD184" s="12" t="str">
        <f>IFERROR(__xludf.DUMMYFUNCTION("""COMPUTED_VALUE"""),"ren0003")</f>
        <v>ren0003</v>
      </c>
      <c r="BE184" s="6"/>
      <c r="BF184" s="6"/>
      <c r="BG184" s="6">
        <f>IFERROR(__xludf.DUMMYFUNCTION("""COMPUTED_VALUE"""),2038.0)</f>
        <v>2038</v>
      </c>
      <c r="BH184" s="15">
        <f>IFERROR(__xludf.DUMMYFUNCTION("""COMPUTED_VALUE"""),46211.46734953704)</f>
        <v>46211.46735</v>
      </c>
      <c r="BI184" s="6">
        <f>IFERROR(__xludf.DUMMYFUNCTION("""COMPUTED_VALUE"""),183.0)</f>
        <v>183</v>
      </c>
      <c r="BJ184" s="6"/>
      <c r="BK184" s="6"/>
      <c r="BL184" s="6" t="str">
        <f>IFERROR(__xludf.DUMMYFUNCTION("""COMPUTED_VALUE"""),"GISREN0003")</f>
        <v>GISREN0003</v>
      </c>
      <c r="BM184" s="6"/>
      <c r="BN184" s="6"/>
      <c r="BO184" s="6"/>
      <c r="BP184" s="6"/>
      <c r="BQ184" s="6"/>
      <c r="BR184" s="6"/>
      <c r="BS184" s="6"/>
      <c r="BT184" s="6"/>
      <c r="BU184" s="6" t="str">
        <f>IFERROR(__xludf.DUMMYFUNCTION("""COMPUTED_VALUE"""),"SI")</f>
        <v>SI</v>
      </c>
      <c r="BV184" s="6" t="str">
        <f>IFERROR(__xludf.DUMMYFUNCTION("""COMPUTED_VALUE"""),"mathias.r2038")</f>
        <v>mathias.r2038</v>
      </c>
      <c r="BW184" s="6"/>
      <c r="BX184" s="6"/>
      <c r="BY184" s="6"/>
      <c r="BZ184" s="6"/>
    </row>
    <row r="185">
      <c r="A185" s="12">
        <f>IFERROR(__xludf.DUMMYFUNCTION("""COMPUTED_VALUE"""),1.014901249E9)</f>
        <v>1014901249</v>
      </c>
      <c r="B185" s="6">
        <f>IFERROR(__xludf.DUMMYFUNCTION("""COMPUTED_VALUE"""),14.0)</f>
        <v>14</v>
      </c>
      <c r="C185" s="6" t="str">
        <f>IFERROR(__xludf.DUMMYFUNCTION("""COMPUTED_VALUE"""),"Paul")</f>
        <v>Paul</v>
      </c>
      <c r="D185" s="6"/>
      <c r="E185" s="6" t="str">
        <f>IFERROR(__xludf.DUMMYFUNCTION("""COMPUTED_VALUE"""),"Rivera Gaona")</f>
        <v>Rivera Gaona</v>
      </c>
      <c r="F185" s="6" t="str">
        <f>IFERROR(__xludf.DUMMYFUNCTION("""COMPUTED_VALUE"""),"Cra 5 No26Nte - 02 Apto 1803 - Centenario")</f>
        <v>Cra 5 No26Nte - 02 Apto 1803 - Centenario</v>
      </c>
      <c r="G185" s="12" t="str">
        <f>IFERROR(__xludf.DUMMYFUNCTION("""COMPUTED_VALUE"""),"2019")</f>
        <v>2019</v>
      </c>
      <c r="H185" s="6" t="str">
        <f>IFERROR(__xludf.DUMMYFUNCTION("""COMPUTED_VALUE"""),"Julio")</f>
        <v>Julio</v>
      </c>
      <c r="I185" s="12" t="str">
        <f>IFERROR(__xludf.DUMMYFUNCTION("""COMPUTED_VALUE"""),"10")</f>
        <v>10</v>
      </c>
      <c r="J185" s="6" t="str">
        <f>IFERROR(__xludf.DUMMYFUNCTION("""COMPUTED_VALUE"""),"Bogotá DC")</f>
        <v>Bogotá DC</v>
      </c>
      <c r="K185" s="6" t="str">
        <f>IFERROR(__xludf.DUMMYFUNCTION("""COMPUTED_VALUE"""),"paul.r2038@gi.edu.co")</f>
        <v>paul.r2038@gi.edu.co</v>
      </c>
      <c r="L185" s="6" t="str">
        <f>IFERROR(__xludf.DUMMYFUNCTION("""COMPUTED_VALUE"""),"RC")</f>
        <v>RC</v>
      </c>
      <c r="M185" s="6" t="str">
        <f>IFERROR(__xludf.DUMMYFUNCTION("""COMPUTED_VALUE"""),"Bogotá D.C.")</f>
        <v>Bogotá D.C.</v>
      </c>
      <c r="N185" s="6" t="str">
        <f>IFERROR(__xludf.DUMMYFUNCTION("""COMPUTED_VALUE"""),"M")</f>
        <v>M</v>
      </c>
      <c r="O185" s="6" t="str">
        <f>IFERROR(__xludf.DUMMYFUNCTION("""COMPUTED_VALUE"""),"ACTIVE")</f>
        <v>ACTIVE</v>
      </c>
      <c r="P185" s="6"/>
      <c r="Q185" s="6" t="str">
        <f>IFERROR(__xludf.DUMMYFUNCTION("""COMPUTED_VALUE"""),"Armenia")</f>
        <v>Armenia</v>
      </c>
      <c r="R185" s="12" t="str">
        <f>IFERROR(__xludf.DUMMYFUNCTION("""COMPUTED_VALUE"""),"Gixxm72a*")</f>
        <v>Gixxm72a*</v>
      </c>
      <c r="S185" s="6" t="str">
        <f>IFERROR(__xludf.DUMMYFUNCTION("""COMPUTED_VALUE"""),"Rivera Gaona Paul ")</f>
        <v>Rivera Gaona Paul </v>
      </c>
      <c r="T185" s="6" t="str">
        <f>IFERROR(__xludf.DUMMYFUNCTION("""COMPUTED_VALUE"""),"PAUL RIVERA SANCHEZ")</f>
        <v>PAUL RIVERA SANCHEZ</v>
      </c>
      <c r="U185" s="12" t="str">
        <f>IFERROR(__xludf.DUMMYFUNCTION("""COMPUTED_VALUE"""),"80118014")</f>
        <v>80118014</v>
      </c>
      <c r="V185" s="6">
        <f>IFERROR(__xludf.DUMMYFUNCTION("""COMPUTED_VALUE"""),3.008374816E9)</f>
        <v>3008374816</v>
      </c>
      <c r="W185" s="6" t="str">
        <f>IFERROR(__xludf.DUMMYFUNCTION("""COMPUTED_VALUE"""),"paulrsanchez@hotmail.com")</f>
        <v>paulrsanchez@hotmail.com</v>
      </c>
      <c r="X185" s="12" t="str">
        <f>IFERROR(__xludf.DUMMYFUNCTION("""COMPUTED_VALUE"""),"B+")</f>
        <v>B+</v>
      </c>
      <c r="Y185" s="12" t="str">
        <f>IFERROR(__xludf.DUMMYFUNCTION("""COMPUTED_VALUE"""),"1")</f>
        <v>1</v>
      </c>
      <c r="Z185" s="6">
        <f>IFERROR(__xludf.DUMMYFUNCTION("""COMPUTED_VALUE"""),120555.0)</f>
        <v>120555</v>
      </c>
      <c r="AA185" s="6" t="str">
        <f>IFERROR(__xludf.DUMMYFUNCTION("""COMPUTED_VALUE"""),"SANITAS")</f>
        <v>SANITAS</v>
      </c>
      <c r="AB185" s="6"/>
      <c r="AC185" s="6"/>
      <c r="AD185" s="12" t="str">
        <f>IFERROR(__xludf.DUMMYFUNCTION("""COMPUTED_VALUE"""),"1A")</f>
        <v>1A</v>
      </c>
      <c r="AE185" s="6">
        <f>IFERROR(__xludf.DUMMYFUNCTION("""COMPUTED_VALUE"""),1.345282554E9)</f>
        <v>1345282554</v>
      </c>
      <c r="AF185" s="6"/>
      <c r="AG185" s="12" t="str">
        <f>IFERROR(__xludf.DUMMYFUNCTION("""COMPUTED_VALUE"""),"Martha")</f>
        <v>Martha</v>
      </c>
      <c r="AH185" s="12" t="str">
        <f>IFERROR(__xludf.DUMMYFUNCTION("""COMPUTED_VALUE"""),"Liliana")</f>
        <v>Liliana</v>
      </c>
      <c r="AI185" s="6" t="str">
        <f>IFERROR(__xludf.DUMMYFUNCTION("""COMPUTED_VALUE"""),"Gaona Gil")</f>
        <v>Gaona Gil</v>
      </c>
      <c r="AJ185" s="6" t="str">
        <f>IFERROR(__xludf.DUMMYFUNCTION("""COMPUTED_VALUE"""),"martha_gaona@hotmail.com")</f>
        <v>martha_gaona@hotmail.com</v>
      </c>
      <c r="AK185" s="6" t="str">
        <f>IFERROR(__xludf.DUMMYFUNCTION("""COMPUTED_VALUE"""),"Ingeniera Industrial")</f>
        <v>Ingeniera Industrial</v>
      </c>
      <c r="AL185" s="6"/>
      <c r="AM185" s="12">
        <f>IFERROR(__xludf.DUMMYFUNCTION("""COMPUTED_VALUE"""),1.105612801E9)</f>
        <v>1105612801</v>
      </c>
      <c r="AN185" s="12">
        <f>IFERROR(__xludf.DUMMYFUNCTION("""COMPUTED_VALUE"""),3.006608104E9)</f>
        <v>3006608104</v>
      </c>
      <c r="AO185" s="6" t="str">
        <f>IFERROR(__xludf.DUMMYFUNCTION("""COMPUTED_VALUE"""),"Madre")</f>
        <v>Madre</v>
      </c>
      <c r="AP185" s="12" t="str">
        <f>IFERROR(__xludf.DUMMYFUNCTION("""COMPUTED_VALUE"""),"Estudiante(s): Rivera Gaona")</f>
        <v>Estudiante(s): Rivera Gaona</v>
      </c>
      <c r="AQ185" s="6" t="str">
        <f>IFERROR(__xludf.DUMMYFUNCTION("""COMPUTED_VALUE"""),"120555*Gi")</f>
        <v>120555*Gi</v>
      </c>
      <c r="AR185" s="6" t="str">
        <f>IFERROR(__xludf.DUMMYFUNCTION("""COMPUTED_VALUE"""),"Paul")</f>
        <v>Paul</v>
      </c>
      <c r="AS185" s="6"/>
      <c r="AT185" s="6" t="str">
        <f>IFERROR(__xludf.DUMMYFUNCTION("""COMPUTED_VALUE"""),"Rivera Sánchez")</f>
        <v>Rivera Sánchez</v>
      </c>
      <c r="AU185" s="6" t="str">
        <f>IFERROR(__xludf.DUMMYFUNCTION("""COMPUTED_VALUE"""),"paulrsanchez@hotmail.com")</f>
        <v>paulrsanchez@hotmail.com</v>
      </c>
      <c r="AV185" s="6" t="str">
        <f>IFERROR(__xludf.DUMMYFUNCTION("""COMPUTED_VALUE"""),"Comercio Internacional")</f>
        <v>Comercio Internacional</v>
      </c>
      <c r="AW185" s="6"/>
      <c r="AX185" s="12">
        <f>IFERROR(__xludf.DUMMYFUNCTION("""COMPUTED_VALUE"""),8.0118014E7)</f>
        <v>80118014</v>
      </c>
      <c r="AY185" s="12">
        <f>IFERROR(__xludf.DUMMYFUNCTION("""COMPUTED_VALUE"""),3.008374816E9)</f>
        <v>3008374816</v>
      </c>
      <c r="AZ185" s="6" t="str">
        <f>IFERROR(__xludf.DUMMYFUNCTION("""COMPUTED_VALUE"""),"Padre")</f>
        <v>Padre</v>
      </c>
      <c r="BA185" s="6"/>
      <c r="BB185" s="6"/>
      <c r="BC185" s="6"/>
      <c r="BD185" s="12" t="str">
        <f>IFERROR(__xludf.DUMMYFUNCTION("""COMPUTED_VALUE"""),"riv0006")</f>
        <v>riv0006</v>
      </c>
      <c r="BE185" s="6"/>
      <c r="BF185" s="6"/>
      <c r="BG185" s="6">
        <f>IFERROR(__xludf.DUMMYFUNCTION("""COMPUTED_VALUE"""),2038.0)</f>
        <v>2038</v>
      </c>
      <c r="BH185" s="15">
        <f>IFERROR(__xludf.DUMMYFUNCTION("""COMPUTED_VALUE"""),46205.48775462963)</f>
        <v>46205.48775</v>
      </c>
      <c r="BI185" s="6">
        <f>IFERROR(__xludf.DUMMYFUNCTION("""COMPUTED_VALUE"""),184.0)</f>
        <v>184</v>
      </c>
      <c r="BJ185" s="6"/>
      <c r="BK185" s="6"/>
      <c r="BL185" s="6" t="str">
        <f>IFERROR(__xludf.DUMMYFUNCTION("""COMPUTED_VALUE"""),"GISRIV0006")</f>
        <v>GISRIV0006</v>
      </c>
      <c r="BM185" s="6"/>
      <c r="BN185" s="6"/>
      <c r="BO185" s="6" t="str">
        <f>IFERROR(__xludf.DUMMYFUNCTION("""COMPUTED_VALUE"""),"XC_EL_ArtesPlasticas")</f>
        <v>XC_EL_ArtesPlasticas</v>
      </c>
      <c r="BP185" s="6" t="str">
        <f>IFERROR(__xludf.DUMMYFUNCTION("""COMPUTED_VALUE"""),"XC_1_Futbol_M")</f>
        <v>XC_1_Futbol_M</v>
      </c>
      <c r="BQ185" s="6"/>
      <c r="BR185" s="6" t="str">
        <f>IFERROR(__xludf.DUMMYFUNCTION("""COMPUTED_VALUE"""),"XC_EL_PequenosCientificos")</f>
        <v>XC_EL_PequenosCientificos</v>
      </c>
      <c r="BS185" s="6" t="str">
        <f>IFERROR(__xludf.DUMMYFUNCTION("""COMPUTED_VALUE"""),"XC_1_Futbol_M")</f>
        <v>XC_1_Futbol_M</v>
      </c>
      <c r="BT185" s="6" t="str">
        <f>IFERROR(__xludf.DUMMYFUNCTION("""COMPUTED_VALUE"""),"XC_1_Futbol_M")</f>
        <v>XC_1_Futbol_M</v>
      </c>
      <c r="BU185" s="6" t="str">
        <f>IFERROR(__xludf.DUMMYFUNCTION("""COMPUTED_VALUE"""),"SI")</f>
        <v>SI</v>
      </c>
      <c r="BV185" s="6" t="str">
        <f>IFERROR(__xludf.DUMMYFUNCTION("""COMPUTED_VALUE"""),"paul.r2038")</f>
        <v>paul.r2038</v>
      </c>
      <c r="BW185" s="6"/>
      <c r="BX185" s="6"/>
      <c r="BY185" s="6"/>
      <c r="BZ185" s="6"/>
    </row>
    <row r="186">
      <c r="A186" s="12">
        <f>IFERROR(__xludf.DUMMYFUNCTION("""COMPUTED_VALUE"""),1.141527823E9)</f>
        <v>1141527823</v>
      </c>
      <c r="B186" s="6">
        <f>IFERROR(__xludf.DUMMYFUNCTION("""COMPUTED_VALUE"""),15.0)</f>
        <v>15</v>
      </c>
      <c r="C186" s="6" t="str">
        <f>IFERROR(__xludf.DUMMYFUNCTION("""COMPUTED_VALUE"""),"Emma")</f>
        <v>Emma</v>
      </c>
      <c r="D186" s="6"/>
      <c r="E186" s="6" t="str">
        <f>IFERROR(__xludf.DUMMYFUNCTION("""COMPUTED_VALUE"""),"Robles López")</f>
        <v>Robles López</v>
      </c>
      <c r="F186" s="6" t="str">
        <f>IFERROR(__xludf.DUMMYFUNCTION("""COMPUTED_VALUE"""),"Finca Villa Rosita Km 1 Armenia Circasia - Vereda el Bayano")</f>
        <v>Finca Villa Rosita Km 1 Armenia Circasia - Vereda el Bayano</v>
      </c>
      <c r="G186" s="12" t="str">
        <f>IFERROR(__xludf.DUMMYFUNCTION("""COMPUTED_VALUE"""),"2020")</f>
        <v>2020</v>
      </c>
      <c r="H186" s="6" t="str">
        <f>IFERROR(__xludf.DUMMYFUNCTION("""COMPUTED_VALUE"""),"Enero")</f>
        <v>Enero</v>
      </c>
      <c r="I186" s="12" t="str">
        <f>IFERROR(__xludf.DUMMYFUNCTION("""COMPUTED_VALUE"""),"1")</f>
        <v>1</v>
      </c>
      <c r="J186" s="6" t="str">
        <f>IFERROR(__xludf.DUMMYFUNCTION("""COMPUTED_VALUE"""),"Armenia")</f>
        <v>Armenia</v>
      </c>
      <c r="K186" s="6" t="str">
        <f>IFERROR(__xludf.DUMMYFUNCTION("""COMPUTED_VALUE"""),"emma.r2038@gi.edu.co")</f>
        <v>emma.r2038@gi.edu.co</v>
      </c>
      <c r="L186" s="6" t="str">
        <f>IFERROR(__xludf.DUMMYFUNCTION("""COMPUTED_VALUE"""),"RC")</f>
        <v>RC</v>
      </c>
      <c r="M186" s="6" t="str">
        <f>IFERROR(__xludf.DUMMYFUNCTION("""COMPUTED_VALUE"""),"Bogotá D.C.")</f>
        <v>Bogotá D.C.</v>
      </c>
      <c r="N186" s="6" t="str">
        <f>IFERROR(__xludf.DUMMYFUNCTION("""COMPUTED_VALUE"""),"F")</f>
        <v>F</v>
      </c>
      <c r="O186" s="6" t="str">
        <f>IFERROR(__xludf.DUMMYFUNCTION("""COMPUTED_VALUE"""),"ACTIVE")</f>
        <v>ACTIVE</v>
      </c>
      <c r="P186" s="6"/>
      <c r="Q186" s="6" t="str">
        <f>IFERROR(__xludf.DUMMYFUNCTION("""COMPUTED_VALUE"""),"Armenia")</f>
        <v>Armenia</v>
      </c>
      <c r="R186" s="12" t="str">
        <f>IFERROR(__xludf.DUMMYFUNCTION("""COMPUTED_VALUE"""),"Gipe38z*")</f>
        <v>Gipe38z*</v>
      </c>
      <c r="S186" s="6" t="str">
        <f>IFERROR(__xludf.DUMMYFUNCTION("""COMPUTED_VALUE"""),"Robles López Emma ")</f>
        <v>Robles López Emma </v>
      </c>
      <c r="T186" s="6" t="str">
        <f>IFERROR(__xludf.DUMMYFUNCTION("""COMPUTED_VALUE"""),"GABRIEL ROBLES PARDO")</f>
        <v>GABRIEL ROBLES PARDO</v>
      </c>
      <c r="U186" s="12" t="str">
        <f>IFERROR(__xludf.DUMMYFUNCTION("""COMPUTED_VALUE"""),"74083447")</f>
        <v>74083447</v>
      </c>
      <c r="V186" s="6">
        <f>IFERROR(__xludf.DUMMYFUNCTION("""COMPUTED_VALUE"""),3.158659254E9)</f>
        <v>3158659254</v>
      </c>
      <c r="W186" s="6" t="str">
        <f>IFERROR(__xludf.DUMMYFUNCTION("""COMPUTED_VALUE"""),"gabo.robles@hotmail.com")</f>
        <v>gabo.robles@hotmail.com</v>
      </c>
      <c r="X186" s="12" t="str">
        <f>IFERROR(__xludf.DUMMYFUNCTION("""COMPUTED_VALUE"""),"O+")</f>
        <v>O+</v>
      </c>
      <c r="Y186" s="12" t="str">
        <f>IFERROR(__xludf.DUMMYFUNCTION("""COMPUTED_VALUE"""),"1")</f>
        <v>1</v>
      </c>
      <c r="Z186" s="12">
        <f>IFERROR(__xludf.DUMMYFUNCTION("""COMPUTED_VALUE"""),120278.0)</f>
        <v>120278</v>
      </c>
      <c r="AA186" s="6" t="str">
        <f>IFERROR(__xludf.DUMMYFUNCTION("""COMPUTED_VALUE"""),"SANITAS")</f>
        <v>SANITAS</v>
      </c>
      <c r="AB186" s="6"/>
      <c r="AC186" s="6"/>
      <c r="AD186" s="12" t="str">
        <f>IFERROR(__xludf.DUMMYFUNCTION("""COMPUTED_VALUE"""),"1A")</f>
        <v>1A</v>
      </c>
      <c r="AE186" s="12">
        <f>IFERROR(__xludf.DUMMYFUNCTION("""COMPUTED_VALUE"""),1.345282254E9)</f>
        <v>1345282254</v>
      </c>
      <c r="AF186" s="6"/>
      <c r="AG186" s="12" t="str">
        <f>IFERROR(__xludf.DUMMYFUNCTION("""COMPUTED_VALUE"""),"Angela ")</f>
        <v>Angela </v>
      </c>
      <c r="AH186" s="6"/>
      <c r="AI186" s="6" t="str">
        <f>IFERROR(__xludf.DUMMYFUNCTION("""COMPUTED_VALUE"""),"López Tobón")</f>
        <v>López Tobón</v>
      </c>
      <c r="AJ186" s="6" t="str">
        <f>IFERROR(__xludf.DUMMYFUNCTION("""COMPUTED_VALUE"""),"mona_lopez99@hotmail.com")</f>
        <v>mona_lopez99@hotmail.com</v>
      </c>
      <c r="AK186" s="6" t="str">
        <f>IFERROR(__xludf.DUMMYFUNCTION("""COMPUTED_VALUE"""),"Administradora de Empresas")</f>
        <v>Administradora de Empresas</v>
      </c>
      <c r="AL186" s="6" t="str">
        <f>IFERROR(__xludf.DUMMYFUNCTION("""COMPUTED_VALUE"""),"Alurack")</f>
        <v>Alurack</v>
      </c>
      <c r="AM186" s="12" t="str">
        <f>IFERROR(__xludf.DUMMYFUNCTION("""COMPUTED_VALUE"""),"41963559")</f>
        <v>41963559</v>
      </c>
      <c r="AN186" s="12" t="str">
        <f>IFERROR(__xludf.DUMMYFUNCTION("""COMPUTED_VALUE"""),"3014571214")</f>
        <v>3014571214</v>
      </c>
      <c r="AO186" s="6" t="str">
        <f>IFERROR(__xludf.DUMMYFUNCTION("""COMPUTED_VALUE"""),"Madre")</f>
        <v>Madre</v>
      </c>
      <c r="AP186" s="6" t="str">
        <f>IFERROR(__xludf.DUMMYFUNCTION("""COMPUTED_VALUE"""),"Estudiante(s): Robles López")</f>
        <v>Estudiante(s): Robles López</v>
      </c>
      <c r="AQ186" s="6" t="str">
        <f>IFERROR(__xludf.DUMMYFUNCTION("""COMPUTED_VALUE"""),"120278*Gi")</f>
        <v>120278*Gi</v>
      </c>
      <c r="AR186" s="6" t="str">
        <f>IFERROR(__xludf.DUMMYFUNCTION("""COMPUTED_VALUE"""),"Gabriel")</f>
        <v>Gabriel</v>
      </c>
      <c r="AS186" s="6"/>
      <c r="AT186" s="6" t="str">
        <f>IFERROR(__xludf.DUMMYFUNCTION("""COMPUTED_VALUE"""),"Robles Pardo")</f>
        <v>Robles Pardo</v>
      </c>
      <c r="AU186" s="6" t="str">
        <f>IFERROR(__xludf.DUMMYFUNCTION("""COMPUTED_VALUE"""),"gabo.robles@hotmail.com")</f>
        <v>gabo.robles@hotmail.com</v>
      </c>
      <c r="AV186" s="6" t="str">
        <f>IFERROR(__xludf.DUMMYFUNCTION("""COMPUTED_VALUE"""),"Comunicador Social y Periodista")</f>
        <v>Comunicador Social y Periodista</v>
      </c>
      <c r="AW186" s="6"/>
      <c r="AX186" s="12" t="str">
        <f>IFERROR(__xludf.DUMMYFUNCTION("""COMPUTED_VALUE"""),"74083447")</f>
        <v>74083447</v>
      </c>
      <c r="AY186" s="12" t="str">
        <f>IFERROR(__xludf.DUMMYFUNCTION("""COMPUTED_VALUE"""),"3158659254")</f>
        <v>3158659254</v>
      </c>
      <c r="AZ186" s="6" t="str">
        <f>IFERROR(__xludf.DUMMYFUNCTION("""COMPUTED_VALUE"""),"Padre")</f>
        <v>Padre</v>
      </c>
      <c r="BA186" s="6"/>
      <c r="BB186" s="6"/>
      <c r="BC186" s="6"/>
      <c r="BD186" s="12" t="str">
        <f>IFERROR(__xludf.DUMMYFUNCTION("""COMPUTED_VALUE"""),"rob0002")</f>
        <v>rob0002</v>
      </c>
      <c r="BE186" s="6"/>
      <c r="BF186" s="6"/>
      <c r="BG186" s="6">
        <f>IFERROR(__xludf.DUMMYFUNCTION("""COMPUTED_VALUE"""),2038.0)</f>
        <v>2038</v>
      </c>
      <c r="BH186" s="15">
        <f>IFERROR(__xludf.DUMMYFUNCTION("""COMPUTED_VALUE"""),46211.77490740741)</f>
        <v>46211.77491</v>
      </c>
      <c r="BI186" s="6">
        <f>IFERROR(__xludf.DUMMYFUNCTION("""COMPUTED_VALUE"""),185.0)</f>
        <v>185</v>
      </c>
      <c r="BJ186" s="6"/>
      <c r="BK186" s="6"/>
      <c r="BL186" s="6" t="str">
        <f>IFERROR(__xludf.DUMMYFUNCTION("""COMPUTED_VALUE"""),"GISROB0002")</f>
        <v>GISROB0002</v>
      </c>
      <c r="BM186" s="6"/>
      <c r="BN186" s="6"/>
      <c r="BO186" s="6"/>
      <c r="BP186" s="6" t="str">
        <f>IFERROR(__xludf.DUMMYFUNCTION("""COMPUTED_VALUE"""),"XC_EL_Porras")</f>
        <v>XC_EL_Porras</v>
      </c>
      <c r="BQ186" s="6" t="str">
        <f>IFERROR(__xludf.DUMMYFUNCTION("""COMPUTED_VALUE"""),"XC_EL_Porras")</f>
        <v>XC_EL_Porras</v>
      </c>
      <c r="BR186" s="6"/>
      <c r="BS186" s="6" t="str">
        <f>IFERROR(__xludf.DUMMYFUNCTION("""COMPUTED_VALUE"""),"XC_EL_Porras")</f>
        <v>XC_EL_Porras</v>
      </c>
      <c r="BT186" s="6"/>
      <c r="BU186" s="6" t="str">
        <f>IFERROR(__xludf.DUMMYFUNCTION("""COMPUTED_VALUE"""),"SI")</f>
        <v>SI</v>
      </c>
      <c r="BV186" s="6" t="str">
        <f>IFERROR(__xludf.DUMMYFUNCTION("""COMPUTED_VALUE"""),"emma.r2038")</f>
        <v>emma.r2038</v>
      </c>
      <c r="BW186" s="6"/>
      <c r="BX186" s="6"/>
      <c r="BY186" s="6"/>
      <c r="BZ186" s="6"/>
    </row>
    <row r="187">
      <c r="A187" s="12">
        <f>IFERROR(__xludf.DUMMYFUNCTION("""COMPUTED_VALUE"""),1.095554965E9)</f>
        <v>1095554965</v>
      </c>
      <c r="B187" s="6">
        <f>IFERROR(__xludf.DUMMYFUNCTION("""COMPUTED_VALUE"""),16.0)</f>
        <v>16</v>
      </c>
      <c r="C187" s="6" t="str">
        <f>IFERROR(__xludf.DUMMYFUNCTION("""COMPUTED_VALUE"""),"Amelia")</f>
        <v>Amelia</v>
      </c>
      <c r="D187" s="6"/>
      <c r="E187" s="6" t="str">
        <f>IFERROR(__xludf.DUMMYFUNCTION("""COMPUTED_VALUE"""),"Sánchez Ramírez")</f>
        <v>Sánchez Ramírez</v>
      </c>
      <c r="F187" s="6" t="str">
        <f>IFERROR(__xludf.DUMMYFUNCTION("""COMPUTED_VALUE"""),"Parque Residencial La Grecia Casa 46 - Calle 45 Variante Nte No 30 - 120")</f>
        <v>Parque Residencial La Grecia Casa 46 - Calle 45 Variante Nte No 30 - 120</v>
      </c>
      <c r="G187" s="12" t="str">
        <f>IFERROR(__xludf.DUMMYFUNCTION("""COMPUTED_VALUE"""),"2020")</f>
        <v>2020</v>
      </c>
      <c r="H187" s="6" t="str">
        <f>IFERROR(__xludf.DUMMYFUNCTION("""COMPUTED_VALUE"""),"Marzo")</f>
        <v>Marzo</v>
      </c>
      <c r="I187" s="12" t="str">
        <f>IFERROR(__xludf.DUMMYFUNCTION("""COMPUTED_VALUE"""),"27")</f>
        <v>27</v>
      </c>
      <c r="J187" s="6" t="str">
        <f>IFERROR(__xludf.DUMMYFUNCTION("""COMPUTED_VALUE"""),"Armenia")</f>
        <v>Armenia</v>
      </c>
      <c r="K187" s="6" t="str">
        <f>IFERROR(__xludf.DUMMYFUNCTION("""COMPUTED_VALUE"""),"amelia.s2038@gi.edu.co")</f>
        <v>amelia.s2038@gi.edu.co</v>
      </c>
      <c r="L187" s="6" t="str">
        <f>IFERROR(__xludf.DUMMYFUNCTION("""COMPUTED_VALUE"""),"NUIP")</f>
        <v>NUIP</v>
      </c>
      <c r="M187" s="6" t="str">
        <f>IFERROR(__xludf.DUMMYFUNCTION("""COMPUTED_VALUE"""),"Calarcá")</f>
        <v>Calarcá</v>
      </c>
      <c r="N187" s="6" t="str">
        <f>IFERROR(__xludf.DUMMYFUNCTION("""COMPUTED_VALUE"""),"F")</f>
        <v>F</v>
      </c>
      <c r="O187" s="6" t="str">
        <f>IFERROR(__xludf.DUMMYFUNCTION("""COMPUTED_VALUE"""),"ACTIVE")</f>
        <v>ACTIVE</v>
      </c>
      <c r="P187" s="6"/>
      <c r="Q187" s="6" t="str">
        <f>IFERROR(__xludf.DUMMYFUNCTION("""COMPUTED_VALUE"""),"Calarcá")</f>
        <v>Calarcá</v>
      </c>
      <c r="R187" s="12" t="str">
        <f>IFERROR(__xludf.DUMMYFUNCTION("""COMPUTED_VALUE"""),"Gib7v4m2x*")</f>
        <v>Gib7v4m2x*</v>
      </c>
      <c r="S187" s="6" t="str">
        <f>IFERROR(__xludf.DUMMYFUNCTION("""COMPUTED_VALUE"""),"Sánchez Ramírez Amelia ")</f>
        <v>Sánchez Ramírez Amelia </v>
      </c>
      <c r="T187" s="6" t="str">
        <f>IFERROR(__xludf.DUMMYFUNCTION("""COMPUTED_VALUE"""),"PABLO SÁNCHEZ POSADA")</f>
        <v>PABLO SÁNCHEZ POSADA</v>
      </c>
      <c r="U187" s="12" t="str">
        <f>IFERROR(__xludf.DUMMYFUNCTION("""COMPUTED_VALUE"""),"1097389680")</f>
        <v>1097389680</v>
      </c>
      <c r="V187" s="6">
        <f>IFERROR(__xludf.DUMMYFUNCTION("""COMPUTED_VALUE"""),3.006114199E9)</f>
        <v>3006114199</v>
      </c>
      <c r="W187" s="6" t="str">
        <f>IFERROR(__xludf.DUMMYFUNCTION("""COMPUTED_VALUE"""),"imecpablo@gmail.com")</f>
        <v>imecpablo@gmail.com</v>
      </c>
      <c r="X187" s="12" t="str">
        <f>IFERROR(__xludf.DUMMYFUNCTION("""COMPUTED_VALUE"""),"O+")</f>
        <v>O+</v>
      </c>
      <c r="Y187" s="12" t="str">
        <f>IFERROR(__xludf.DUMMYFUNCTION("""COMPUTED_VALUE"""),"1")</f>
        <v>1</v>
      </c>
      <c r="Z187" s="12">
        <f>IFERROR(__xludf.DUMMYFUNCTION("""COMPUTED_VALUE"""),120457.0)</f>
        <v>120457</v>
      </c>
      <c r="AA187" s="6" t="str">
        <f>IFERROR(__xludf.DUMMYFUNCTION("""COMPUTED_VALUE"""),"SURA")</f>
        <v>SURA</v>
      </c>
      <c r="AB187" s="6"/>
      <c r="AC187" s="6"/>
      <c r="AD187" s="12" t="str">
        <f>IFERROR(__xludf.DUMMYFUNCTION("""COMPUTED_VALUE"""),"1A")</f>
        <v>1A</v>
      </c>
      <c r="AE187" s="12" t="str">
        <f>IFERROR(__xludf.DUMMYFUNCTION("""COMPUTED_VALUE"""),"1345282441")</f>
        <v>1345282441</v>
      </c>
      <c r="AF187" s="6"/>
      <c r="AG187" s="12" t="str">
        <f>IFERROR(__xludf.DUMMYFUNCTION("""COMPUTED_VALUE"""),"Sara")</f>
        <v>Sara</v>
      </c>
      <c r="AH187" s="12" t="str">
        <f>IFERROR(__xludf.DUMMYFUNCTION("""COMPUTED_VALUE"""),"Cecilia")</f>
        <v>Cecilia</v>
      </c>
      <c r="AI187" s="6" t="str">
        <f>IFERROR(__xludf.DUMMYFUNCTION("""COMPUTED_VALUE"""),"Ramírez Duque")</f>
        <v>Ramírez Duque</v>
      </c>
      <c r="AJ187" s="6" t="str">
        <f>IFERROR(__xludf.DUMMYFUNCTION("""COMPUTED_VALUE"""),"ramirezduquesara@gmail.com")</f>
        <v>ramirezduquesara@gmail.com</v>
      </c>
      <c r="AK187" s="6" t="str">
        <f>IFERROR(__xludf.DUMMYFUNCTION("""COMPUTED_VALUE"""),"Ingeniera Industrial")</f>
        <v>Ingeniera Industrial</v>
      </c>
      <c r="AL187" s="6" t="str">
        <f>IFERROR(__xludf.DUMMYFUNCTION("""COMPUTED_VALUE"""),"Ernesto Sanchez y cia Agencia de seguros")</f>
        <v>Ernesto Sanchez y cia Agencia de seguros</v>
      </c>
      <c r="AM187" s="12" t="str">
        <f>IFERROR(__xludf.DUMMYFUNCTION("""COMPUTED_VALUE"""),"53068822")</f>
        <v>53068822</v>
      </c>
      <c r="AN187" s="12" t="str">
        <f>IFERROR(__xludf.DUMMYFUNCTION("""COMPUTED_VALUE"""),"3003220179")</f>
        <v>3003220179</v>
      </c>
      <c r="AO187" s="6" t="str">
        <f>IFERROR(__xludf.DUMMYFUNCTION("""COMPUTED_VALUE"""),"Madre")</f>
        <v>Madre</v>
      </c>
      <c r="AP187" s="6" t="str">
        <f>IFERROR(__xludf.DUMMYFUNCTION("""COMPUTED_VALUE"""),"Estudiante(s): Sánchez Ramírez")</f>
        <v>Estudiante(s): Sánchez Ramírez</v>
      </c>
      <c r="AQ187" s="6" t="str">
        <f>IFERROR(__xludf.DUMMYFUNCTION("""COMPUTED_VALUE"""),"120331*Gi")</f>
        <v>120331*Gi</v>
      </c>
      <c r="AR187" s="6" t="str">
        <f>IFERROR(__xludf.DUMMYFUNCTION("""COMPUTED_VALUE"""),"Pablo")</f>
        <v>Pablo</v>
      </c>
      <c r="AS187" s="6"/>
      <c r="AT187" s="6" t="str">
        <f>IFERROR(__xludf.DUMMYFUNCTION("""COMPUTED_VALUE"""),"Sánchez Posada")</f>
        <v>Sánchez Posada</v>
      </c>
      <c r="AU187" s="6" t="str">
        <f>IFERROR(__xludf.DUMMYFUNCTION("""COMPUTED_VALUE"""),"imecpablo@gmail.com")</f>
        <v>imecpablo@gmail.com</v>
      </c>
      <c r="AV187" s="6" t="str">
        <f>IFERROR(__xludf.DUMMYFUNCTION("""COMPUTED_VALUE"""),"Ingeniero Mecatrónico")</f>
        <v>Ingeniero Mecatrónico</v>
      </c>
      <c r="AW187" s="6" t="str">
        <f>IFERROR(__xludf.DUMMYFUNCTION("""COMPUTED_VALUE"""),"Ernesto Sánchez y cía Agencia de seguros")</f>
        <v>Ernesto Sánchez y cía Agencia de seguros</v>
      </c>
      <c r="AX187" s="12" t="str">
        <f>IFERROR(__xludf.DUMMYFUNCTION("""COMPUTED_VALUE"""),"1097389680")</f>
        <v>1097389680</v>
      </c>
      <c r="AY187" s="12" t="str">
        <f>IFERROR(__xludf.DUMMYFUNCTION("""COMPUTED_VALUE"""),"3006114199")</f>
        <v>3006114199</v>
      </c>
      <c r="AZ187" s="6" t="str">
        <f>IFERROR(__xludf.DUMMYFUNCTION("""COMPUTED_VALUE"""),"Padre")</f>
        <v>Padre</v>
      </c>
      <c r="BA187" s="6"/>
      <c r="BB187" s="6"/>
      <c r="BC187" s="6"/>
      <c r="BD187" s="12" t="str">
        <f>IFERROR(__xludf.DUMMYFUNCTION("""COMPUTED_VALUE"""),"san0007")</f>
        <v>san0007</v>
      </c>
      <c r="BE187" s="6"/>
      <c r="BF187" s="6"/>
      <c r="BG187" s="6">
        <f>IFERROR(__xludf.DUMMYFUNCTION("""COMPUTED_VALUE"""),2038.0)</f>
        <v>2038</v>
      </c>
      <c r="BH187" s="15">
        <f>IFERROR(__xludf.DUMMYFUNCTION("""COMPUTED_VALUE"""),46210.72609953704)</f>
        <v>46210.7261</v>
      </c>
      <c r="BI187" s="6">
        <f>IFERROR(__xludf.DUMMYFUNCTION("""COMPUTED_VALUE"""),186.0)</f>
        <v>186</v>
      </c>
      <c r="BJ187" s="6"/>
      <c r="BK187" s="6"/>
      <c r="BL187" s="6" t="str">
        <f>IFERROR(__xludf.DUMMYFUNCTION("""COMPUTED_VALUE"""),"GISSAN0007")</f>
        <v>GISSAN0007</v>
      </c>
      <c r="BM187" s="6"/>
      <c r="BN187" s="6"/>
      <c r="BO187" s="6"/>
      <c r="BP187" s="6" t="str">
        <f>IFERROR(__xludf.DUMMYFUNCTION("""COMPUTED_VALUE"""),"XC_EL_Taekwondo")</f>
        <v>XC_EL_Taekwondo</v>
      </c>
      <c r="BQ187" s="6" t="str">
        <f>IFERROR(__xludf.DUMMYFUNCTION("""COMPUTED_VALUE"""),"XC_EL_Taekwondo")</f>
        <v>XC_EL_Taekwondo</v>
      </c>
      <c r="BR187" s="6" t="str">
        <f>IFERROR(__xludf.DUMMYFUNCTION("""COMPUTED_VALUE"""),"XC_EL_PequenosCientificos")</f>
        <v>XC_EL_PequenosCientificos</v>
      </c>
      <c r="BS187" s="6" t="str">
        <f>IFERROR(__xludf.DUMMYFUNCTION("""COMPUTED_VALUE"""),"XC_EL_Taekwondo")</f>
        <v>XC_EL_Taekwondo</v>
      </c>
      <c r="BT187" s="6"/>
      <c r="BU187" s="6" t="str">
        <f>IFERROR(__xludf.DUMMYFUNCTION("""COMPUTED_VALUE"""),"SI")</f>
        <v>SI</v>
      </c>
      <c r="BV187" s="6" t="str">
        <f>IFERROR(__xludf.DUMMYFUNCTION("""COMPUTED_VALUE"""),"amelia.s2038")</f>
        <v>amelia.s2038</v>
      </c>
      <c r="BW187" s="6"/>
      <c r="BX187" s="6"/>
      <c r="BY187" s="6"/>
      <c r="BZ187" s="6"/>
    </row>
    <row r="188">
      <c r="A188" s="12" t="str">
        <f>IFERROR(__xludf.DUMMYFUNCTION("""COMPUTED_VALUE"""),"A89556074")</f>
        <v>A89556074</v>
      </c>
      <c r="B188" s="6">
        <f>IFERROR(__xludf.DUMMYFUNCTION("""COMPUTED_VALUE"""),17.0)</f>
        <v>17</v>
      </c>
      <c r="C188" s="6" t="str">
        <f>IFERROR(__xludf.DUMMYFUNCTION("""COMPUTED_VALUE"""),"Luna")</f>
        <v>Luna</v>
      </c>
      <c r="D188" s="6" t="str">
        <f>IFERROR(__xludf.DUMMYFUNCTION("""COMPUTED_VALUE"""),"Ana")</f>
        <v>Ana</v>
      </c>
      <c r="E188" s="6" t="str">
        <f>IFERROR(__xludf.DUMMYFUNCTION("""COMPUTED_VALUE"""),"Trabelsi")</f>
        <v>Trabelsi</v>
      </c>
      <c r="F188" s="6"/>
      <c r="G188" s="12" t="str">
        <f>IFERROR(__xludf.DUMMYFUNCTION("""COMPUTED_VALUE"""),"2020")</f>
        <v>2020</v>
      </c>
      <c r="H188" s="12" t="str">
        <f>IFERROR(__xludf.DUMMYFUNCTION("""COMPUTED_VALUE"""),"Enero")</f>
        <v>Enero</v>
      </c>
      <c r="I188" s="12" t="str">
        <f>IFERROR(__xludf.DUMMYFUNCTION("""COMPUTED_VALUE"""),"12")</f>
        <v>12</v>
      </c>
      <c r="J188" s="6"/>
      <c r="K188" s="12" t="str">
        <f>IFERROR(__xludf.DUMMYFUNCTION("""COMPUTED_VALUE"""),"luna.t2038@gi.edu.co")</f>
        <v>luna.t2038@gi.edu.co</v>
      </c>
      <c r="L188" s="6" t="str">
        <f>IFERROR(__xludf.DUMMYFUNCTION("""COMPUTED_VALUE"""),"PS")</f>
        <v>PS</v>
      </c>
      <c r="M188" s="6"/>
      <c r="N188" s="6" t="str">
        <f>IFERROR(__xludf.DUMMYFUNCTION("""COMPUTED_VALUE"""),"F")</f>
        <v>F</v>
      </c>
      <c r="O188" s="6" t="str">
        <f>IFERROR(__xludf.DUMMYFUNCTION("""COMPUTED_VALUE"""),"INACTIVE")</f>
        <v>INACTIVE</v>
      </c>
      <c r="P188" s="6" t="str">
        <f>IFERROR(__xludf.DUMMYFUNCTION("""COMPUTED_VALUE"""),"Nvos Hermanos")</f>
        <v>Nvos Hermanos</v>
      </c>
      <c r="Q188" s="6"/>
      <c r="R188" s="12" t="str">
        <f>IFERROR(__xludf.DUMMYFUNCTION("""COMPUTED_VALUE"""),"GiM4xT9q*")</f>
        <v>GiM4xT9q*</v>
      </c>
      <c r="S188" s="6" t="str">
        <f>IFERROR(__xludf.DUMMYFUNCTION("""COMPUTED_VALUE"""),"Trabelsi Luna Ana")</f>
        <v>Trabelsi Luna Ana</v>
      </c>
      <c r="T188" s="6" t="str">
        <f>IFERROR(__xludf.DUMMYFUNCTION("""COMPUTED_VALUE"""),"MARIA JOSE PALACIO MEJIA")</f>
        <v>MARIA JOSE PALACIO MEJIA</v>
      </c>
      <c r="U188" s="12" t="str">
        <f>IFERROR(__xludf.DUMMYFUNCTION("""COMPUTED_VALUE"""),"1018412181")</f>
        <v>1018412181</v>
      </c>
      <c r="V188" s="6">
        <f>IFERROR(__xludf.DUMMYFUNCTION("""COMPUTED_VALUE"""),1.6464991686E10)</f>
        <v>16464991686</v>
      </c>
      <c r="W188" s="6" t="str">
        <f>IFERROR(__xludf.DUMMYFUNCTION("""COMPUTED_VALUE"""),"mjpalacio@me.com")</f>
        <v>mjpalacio@me.com</v>
      </c>
      <c r="X188" s="6"/>
      <c r="Y188" s="12" t="str">
        <f>IFERROR(__xludf.DUMMYFUNCTION("""COMPUTED_VALUE"""),"1")</f>
        <v>1</v>
      </c>
      <c r="Z188" s="6">
        <f>IFERROR(__xludf.DUMMYFUNCTION("""COMPUTED_VALUE"""),120640.0)</f>
        <v>120640</v>
      </c>
      <c r="AA188" s="6"/>
      <c r="AB188" s="6"/>
      <c r="AC188" s="6"/>
      <c r="AD188" s="12" t="str">
        <f>IFERROR(__xludf.DUMMYFUNCTION("""COMPUTED_VALUE"""),"1A")</f>
        <v>1A</v>
      </c>
      <c r="AE188" s="12" t="str">
        <f>IFERROR(__xludf.DUMMYFUNCTION("""COMPUTED_VALUE"""),"1345282637")</f>
        <v>1345282637</v>
      </c>
      <c r="AF188" s="6"/>
      <c r="AG188" s="12" t="str">
        <f>IFERROR(__xludf.DUMMYFUNCTION("""COMPUTED_VALUE"""),"María")</f>
        <v>María</v>
      </c>
      <c r="AH188" s="12" t="str">
        <f>IFERROR(__xludf.DUMMYFUNCTION("""COMPUTED_VALUE"""),"José")</f>
        <v>José</v>
      </c>
      <c r="AI188" s="6" t="str">
        <f>IFERROR(__xludf.DUMMYFUNCTION("""COMPUTED_VALUE"""),"Palacio Mejía")</f>
        <v>Palacio Mejía</v>
      </c>
      <c r="AJ188" s="6" t="str">
        <f>IFERROR(__xludf.DUMMYFUNCTION("""COMPUTED_VALUE"""),"mjpalacio@me.com")</f>
        <v>mjpalacio@me.com</v>
      </c>
      <c r="AK188" s="6"/>
      <c r="AL188" s="6"/>
      <c r="AM188" s="12" t="str">
        <f>IFERROR(__xludf.DUMMYFUNCTION("""COMPUTED_VALUE"""),"1018412181")</f>
        <v>1018412181</v>
      </c>
      <c r="AN188" s="12" t="str">
        <f>IFERROR(__xludf.DUMMYFUNCTION("""COMPUTED_VALUE""")," +16464991686")</f>
        <v> +16464991686</v>
      </c>
      <c r="AO188" s="6" t="str">
        <f>IFERROR(__xludf.DUMMYFUNCTION("""COMPUTED_VALUE"""),"Madre")</f>
        <v>Madre</v>
      </c>
      <c r="AP188" s="6" t="str">
        <f>IFERROR(__xludf.DUMMYFUNCTION("""COMPUTED_VALUE"""),"Estudiante(s): Trabelsi")</f>
        <v>Estudiante(s): Trabelsi</v>
      </c>
      <c r="AQ188" s="6" t="str">
        <f>IFERROR(__xludf.DUMMYFUNCTION("""COMPUTED_VALUE"""),"120640*Gi")</f>
        <v>120640*Gi</v>
      </c>
      <c r="AR188" s="6" t="str">
        <f>IFERROR(__xludf.DUMMYFUNCTION("""COMPUTED_VALUE"""),"John")</f>
        <v>John</v>
      </c>
      <c r="AS188" s="6" t="str">
        <f>IFERROR(__xludf.DUMMYFUNCTION("""COMPUTED_VALUE"""),"Jacques")</f>
        <v>Jacques</v>
      </c>
      <c r="AT188" s="6" t="str">
        <f>IFERROR(__xludf.DUMMYFUNCTION("""COMPUTED_VALUE"""),"Trabelsi")</f>
        <v>Trabelsi</v>
      </c>
      <c r="AU188" s="6" t="str">
        <f>IFERROR(__xludf.DUMMYFUNCTION("""COMPUTED_VALUE"""),"jtrabelsi@me.com")</f>
        <v>jtrabelsi@me.com</v>
      </c>
      <c r="AV188" s="6"/>
      <c r="AW188" s="6"/>
      <c r="AX188" s="12" t="str">
        <f>IFERROR(__xludf.DUMMYFUNCTION("""COMPUTED_VALUE"""),"24HI82611")</f>
        <v>24HI82611</v>
      </c>
      <c r="AY188" s="12" t="str">
        <f>IFERROR(__xludf.DUMMYFUNCTION("""COMPUTED_VALUE""")," +16464698173")</f>
        <v> +16464698173</v>
      </c>
      <c r="AZ188" s="6" t="str">
        <f>IFERROR(__xludf.DUMMYFUNCTION("""COMPUTED_VALUE"""),"Padre")</f>
        <v>Padre</v>
      </c>
      <c r="BA188" s="6"/>
      <c r="BB188" s="6"/>
      <c r="BC188" s="6"/>
      <c r="BD188" s="12" t="str">
        <f>IFERROR(__xludf.DUMMYFUNCTION("""COMPUTED_VALUE"""),"tra0001")</f>
        <v>tra0001</v>
      </c>
      <c r="BE188" s="6" t="str">
        <f>IFERROR(__xludf.DUMMYFUNCTION("""COMPUTED_VALUE"""),"NUEVO(A)")</f>
        <v>NUEVO(A)</v>
      </c>
      <c r="BF188" s="12" t="str">
        <f>IFERROR(__xludf.DUMMYFUNCTION("""COMPUTED_VALUE"""),"HIJO DE EGRESADO")</f>
        <v>HIJO DE EGRESADO</v>
      </c>
      <c r="BG188" s="6">
        <f>IFERROR(__xludf.DUMMYFUNCTION("""COMPUTED_VALUE"""),2038.0)</f>
        <v>2038</v>
      </c>
      <c r="BH188" s="15">
        <f>IFERROR(__xludf.DUMMYFUNCTION("""COMPUTED_VALUE"""),46258.37803240741)</f>
        <v>46258.37803</v>
      </c>
      <c r="BI188" s="6">
        <f>IFERROR(__xludf.DUMMYFUNCTION("""COMPUTED_VALUE"""),187.0)</f>
        <v>187</v>
      </c>
      <c r="BJ188" s="6"/>
      <c r="BK188" s="6"/>
      <c r="BL188" s="6" t="str">
        <f>IFERROR(__xludf.DUMMYFUNCTION("""COMPUTED_VALUE"""),"GISTRA0001")</f>
        <v>GISTRA0001</v>
      </c>
      <c r="BM188" s="6"/>
      <c r="BN188" s="6"/>
      <c r="BO188" s="6"/>
      <c r="BP188" s="6"/>
      <c r="BQ188" s="6"/>
      <c r="BR188" s="6"/>
      <c r="BS188" s="6"/>
      <c r="BT188" s="6"/>
      <c r="BU188" s="6" t="str">
        <f>IFERROR(__xludf.DUMMYFUNCTION("""COMPUTED_VALUE"""),"SI")</f>
        <v>SI</v>
      </c>
      <c r="BV188" s="12" t="str">
        <f>IFERROR(__xludf.DUMMYFUNCTION("""COMPUTED_VALUE"""),"luna.t2038")</f>
        <v>luna.t2038</v>
      </c>
      <c r="BW188" s="6"/>
      <c r="BX188" s="6"/>
      <c r="BY188" s="6"/>
      <c r="BZ188" s="6"/>
    </row>
    <row r="189">
      <c r="A189" s="12">
        <f>IFERROR(__xludf.DUMMYFUNCTION("""COMPUTED_VALUE"""),1.141528166E9)</f>
        <v>1141528166</v>
      </c>
      <c r="B189" s="6">
        <f>IFERROR(__xludf.DUMMYFUNCTION("""COMPUTED_VALUE"""),18.0)</f>
        <v>18</v>
      </c>
      <c r="C189" s="6" t="str">
        <f>IFERROR(__xludf.DUMMYFUNCTION("""COMPUTED_VALUE"""),"Joaquín")</f>
        <v>Joaquín</v>
      </c>
      <c r="D189" s="6"/>
      <c r="E189" s="6" t="str">
        <f>IFERROR(__xludf.DUMMYFUNCTION("""COMPUTED_VALUE"""),"Vanegas Puentes")</f>
        <v>Vanegas Puentes</v>
      </c>
      <c r="F189" s="6" t="str">
        <f>IFERROR(__xludf.DUMMYFUNCTION("""COMPUTED_VALUE"""),"Quintas de San Julian II Casa 6 - Cra 11 No22Nte - 80")</f>
        <v>Quintas de San Julian II Casa 6 - Cra 11 No22Nte - 80</v>
      </c>
      <c r="G189" s="12" t="str">
        <f>IFERROR(__xludf.DUMMYFUNCTION("""COMPUTED_VALUE"""),"2020")</f>
        <v>2020</v>
      </c>
      <c r="H189" s="6" t="str">
        <f>IFERROR(__xludf.DUMMYFUNCTION("""COMPUTED_VALUE"""),"Marzo")</f>
        <v>Marzo</v>
      </c>
      <c r="I189" s="12" t="str">
        <f>IFERROR(__xludf.DUMMYFUNCTION("""COMPUTED_VALUE"""),"19")</f>
        <v>19</v>
      </c>
      <c r="J189" s="6" t="str">
        <f>IFERROR(__xludf.DUMMYFUNCTION("""COMPUTED_VALUE"""),"Bogotá DC")</f>
        <v>Bogotá DC</v>
      </c>
      <c r="K189" s="6" t="str">
        <f>IFERROR(__xludf.DUMMYFUNCTION("""COMPUTED_VALUE"""),"joaquin.v2038@gi.edu.co")</f>
        <v>joaquin.v2038@gi.edu.co</v>
      </c>
      <c r="L189" s="6" t="str">
        <f>IFERROR(__xludf.DUMMYFUNCTION("""COMPUTED_VALUE"""),"RC")</f>
        <v>RC</v>
      </c>
      <c r="M189" s="6" t="str">
        <f>IFERROR(__xludf.DUMMYFUNCTION("""COMPUTED_VALUE"""),"Bogotá D.C.")</f>
        <v>Bogotá D.C.</v>
      </c>
      <c r="N189" s="6" t="str">
        <f>IFERROR(__xludf.DUMMYFUNCTION("""COMPUTED_VALUE"""),"M")</f>
        <v>M</v>
      </c>
      <c r="O189" s="6" t="str">
        <f>IFERROR(__xludf.DUMMYFUNCTION("""COMPUTED_VALUE"""),"ACTIVE")</f>
        <v>ACTIVE</v>
      </c>
      <c r="P189" s="6"/>
      <c r="Q189" s="6" t="str">
        <f>IFERROR(__xludf.DUMMYFUNCTION("""COMPUTED_VALUE"""),"Armenia")</f>
        <v>Armenia</v>
      </c>
      <c r="R189" s="12" t="str">
        <f>IFERROR(__xludf.DUMMYFUNCTION("""COMPUTED_VALUE"""),"Gi22dex6k*")</f>
        <v>Gi22dex6k*</v>
      </c>
      <c r="S189" s="6" t="str">
        <f>IFERROR(__xludf.DUMMYFUNCTION("""COMPUTED_VALUE"""),"Vanegas Puentes Joaquín ")</f>
        <v>Vanegas Puentes Joaquín </v>
      </c>
      <c r="T189" s="6" t="str">
        <f>IFERROR(__xludf.DUMMYFUNCTION("""COMPUTED_VALUE"""),"SANTIAGO VANEGAS GALLO")</f>
        <v>SANTIAGO VANEGAS GALLO</v>
      </c>
      <c r="U189" s="12" t="str">
        <f>IFERROR(__xludf.DUMMYFUNCTION("""COMPUTED_VALUE"""),"1094913132")</f>
        <v>1094913132</v>
      </c>
      <c r="V189" s="6">
        <f>IFERROR(__xludf.DUMMYFUNCTION("""COMPUTED_VALUE"""),3.006125294E9)</f>
        <v>3006125294</v>
      </c>
      <c r="W189" s="6" t="str">
        <f>IFERROR(__xludf.DUMMYFUNCTION("""COMPUTED_VALUE"""),"santiago.vanegas.gallo@gmail.com
")</f>
        <v>santiago.vanegas.gallo@gmail.com
</v>
      </c>
      <c r="X189" s="12" t="str">
        <f>IFERROR(__xludf.DUMMYFUNCTION("""COMPUTED_VALUE"""),"O+")</f>
        <v>O+</v>
      </c>
      <c r="Y189" s="12" t="str">
        <f>IFERROR(__xludf.DUMMYFUNCTION("""COMPUTED_VALUE"""),"1")</f>
        <v>1</v>
      </c>
      <c r="Z189" s="12">
        <f>IFERROR(__xludf.DUMMYFUNCTION("""COMPUTED_VALUE"""),120485.0)</f>
        <v>120485</v>
      </c>
      <c r="AA189" s="6" t="str">
        <f>IFERROR(__xludf.DUMMYFUNCTION("""COMPUTED_VALUE"""),"SANITAS")</f>
        <v>SANITAS</v>
      </c>
      <c r="AB189" s="6"/>
      <c r="AC189" s="6"/>
      <c r="AD189" s="12" t="str">
        <f>IFERROR(__xludf.DUMMYFUNCTION("""COMPUTED_VALUE"""),"1A")</f>
        <v>1A</v>
      </c>
      <c r="AE189" s="12" t="str">
        <f>IFERROR(__xludf.DUMMYFUNCTION("""COMPUTED_VALUE"""),"1345282482")</f>
        <v>1345282482</v>
      </c>
      <c r="AF189" s="6"/>
      <c r="AG189" s="12" t="str">
        <f>IFERROR(__xludf.DUMMYFUNCTION("""COMPUTED_VALUE"""),"Nora")</f>
        <v>Nora</v>
      </c>
      <c r="AH189" s="12" t="str">
        <f>IFERROR(__xludf.DUMMYFUNCTION("""COMPUTED_VALUE"""),"Marcela")</f>
        <v>Marcela</v>
      </c>
      <c r="AI189" s="6" t="str">
        <f>IFERROR(__xludf.DUMMYFUNCTION("""COMPUTED_VALUE"""),"Puentes Nieto")</f>
        <v>Puentes Nieto</v>
      </c>
      <c r="AJ189" s="6" t="str">
        <f>IFERROR(__xludf.DUMMYFUNCTION("""COMPUTED_VALUE"""),"marcelapuentes_14@hotmail.com")</f>
        <v>marcelapuentes_14@hotmail.com</v>
      </c>
      <c r="AK189" s="6" t="str">
        <f>IFERROR(__xludf.DUMMYFUNCTION("""COMPUTED_VALUE"""),"Psicóloga")</f>
        <v>Psicóloga</v>
      </c>
      <c r="AL189" s="6" t="str">
        <f>IFERROR(__xludf.DUMMYFUNCTION("""COMPUTED_VALUE"""),"Match Agency")</f>
        <v>Match Agency</v>
      </c>
      <c r="AM189" s="12" t="str">
        <f>IFERROR(__xludf.DUMMYFUNCTION("""COMPUTED_VALUE"""),"1110498231")</f>
        <v>1110498231</v>
      </c>
      <c r="AN189" s="12" t="str">
        <f>IFERROR(__xludf.DUMMYFUNCTION("""COMPUTED_VALUE"""),"3178945527")</f>
        <v>3178945527</v>
      </c>
      <c r="AO189" s="6" t="str">
        <f>IFERROR(__xludf.DUMMYFUNCTION("""COMPUTED_VALUE"""),"Madre")</f>
        <v>Madre</v>
      </c>
      <c r="AP189" s="6" t="str">
        <f>IFERROR(__xludf.DUMMYFUNCTION("""COMPUTED_VALUE"""),"Estudiante(s): Vanegas Puentes")</f>
        <v>Estudiante(s): Vanegas Puentes</v>
      </c>
      <c r="AQ189" s="6" t="str">
        <f>IFERROR(__xludf.DUMMYFUNCTION("""COMPUTED_VALUE"""),"120485*Gi")</f>
        <v>120485*Gi</v>
      </c>
      <c r="AR189" s="6" t="str">
        <f>IFERROR(__xludf.DUMMYFUNCTION("""COMPUTED_VALUE"""),"Santiago")</f>
        <v>Santiago</v>
      </c>
      <c r="AS189" s="6"/>
      <c r="AT189" s="6" t="str">
        <f>IFERROR(__xludf.DUMMYFUNCTION("""COMPUTED_VALUE"""),"Vanegas Gallo")</f>
        <v>Vanegas Gallo</v>
      </c>
      <c r="AU189" s="6" t="str">
        <f>IFERROR(__xludf.DUMMYFUNCTION("""COMPUTED_VALUE"""),"santiago.vanegas.gallo@gmail.com")</f>
        <v>santiago.vanegas.gallo@gmail.com</v>
      </c>
      <c r="AV189" s="6" t="str">
        <f>IFERROR(__xludf.DUMMYFUNCTION("""COMPUTED_VALUE"""),"Comunicador Social")</f>
        <v>Comunicador Social</v>
      </c>
      <c r="AW189" s="6" t="str">
        <f>IFERROR(__xludf.DUMMYFUNCTION("""COMPUTED_VALUE"""),"ANTHOLOGY - NICEL 7 SAS")</f>
        <v>ANTHOLOGY - NICEL 7 SAS</v>
      </c>
      <c r="AX189" s="12" t="str">
        <f>IFERROR(__xludf.DUMMYFUNCTION("""COMPUTED_VALUE"""),"1094913132")</f>
        <v>1094913132</v>
      </c>
      <c r="AY189" s="12" t="str">
        <f>IFERROR(__xludf.DUMMYFUNCTION("""COMPUTED_VALUE"""),"3006125294")</f>
        <v>3006125294</v>
      </c>
      <c r="AZ189" s="6" t="str">
        <f>IFERROR(__xludf.DUMMYFUNCTION("""COMPUTED_VALUE"""),"Padre")</f>
        <v>Padre</v>
      </c>
      <c r="BA189" s="6" t="str">
        <f>IFERROR(__xludf.DUMMYFUNCTION("""COMPUTED_VALUE"""),"EDILBERTO VANEGAS")</f>
        <v>EDILBERTO VANEGAS</v>
      </c>
      <c r="BB189" s="6">
        <f>IFERROR(__xludf.DUMMYFUNCTION("""COMPUTED_VALUE"""),3.175012665E9)</f>
        <v>3175012665</v>
      </c>
      <c r="BC189" s="6" t="str">
        <f>IFERROR(__xludf.DUMMYFUNCTION("""COMPUTED_VALUE"""),"Abuelo")</f>
        <v>Abuelo</v>
      </c>
      <c r="BD189" s="12" t="str">
        <f>IFERROR(__xludf.DUMMYFUNCTION("""COMPUTED_VALUE"""),"van0003")</f>
        <v>van0003</v>
      </c>
      <c r="BE189" s="6"/>
      <c r="BF189" s="6"/>
      <c r="BG189" s="6">
        <f>IFERROR(__xludf.DUMMYFUNCTION("""COMPUTED_VALUE"""),2038.0)</f>
        <v>2038</v>
      </c>
      <c r="BH189" s="16">
        <f>IFERROR(__xludf.DUMMYFUNCTION("""COMPUTED_VALUE"""),46209.600497685184)</f>
        <v>46209.6005</v>
      </c>
      <c r="BI189" s="6">
        <f>IFERROR(__xludf.DUMMYFUNCTION("""COMPUTED_VALUE"""),188.0)</f>
        <v>188</v>
      </c>
      <c r="BJ189" s="6"/>
      <c r="BK189" s="6"/>
      <c r="BL189" s="6" t="str">
        <f>IFERROR(__xludf.DUMMYFUNCTION("""COMPUTED_VALUE"""),"GISVAN0003")</f>
        <v>GISVAN0003</v>
      </c>
      <c r="BM189" s="6"/>
      <c r="BN189" s="6"/>
      <c r="BO189" s="6"/>
      <c r="BP189" s="6" t="str">
        <f>IFERROR(__xludf.DUMMYFUNCTION("""COMPUTED_VALUE"""),"XC_1_Voleibol")</f>
        <v>XC_1_Voleibol</v>
      </c>
      <c r="BQ189" s="6"/>
      <c r="BR189" s="6" t="str">
        <f>IFERROR(__xludf.DUMMYFUNCTION("""COMPUTED_VALUE"""),"XC_EL_PequenosCientificos")</f>
        <v>XC_EL_PequenosCientificos</v>
      </c>
      <c r="BS189" s="6" t="str">
        <f>IFERROR(__xludf.DUMMYFUNCTION("""COMPUTED_VALUE"""),"XC_1_Voleibol")</f>
        <v>XC_1_Voleibol</v>
      </c>
      <c r="BT189" s="6" t="str">
        <f>IFERROR(__xludf.DUMMYFUNCTION("""COMPUTED_VALUE"""),"XC_1_Voleibol")</f>
        <v>XC_1_Voleibol</v>
      </c>
      <c r="BU189" s="6" t="str">
        <f>IFERROR(__xludf.DUMMYFUNCTION("""COMPUTED_VALUE"""),"SI")</f>
        <v>SI</v>
      </c>
      <c r="BV189" s="6" t="str">
        <f>IFERROR(__xludf.DUMMYFUNCTION("""COMPUTED_VALUE"""),"joaquin.v2038")</f>
        <v>joaquin.v2038</v>
      </c>
      <c r="BW189" s="6"/>
      <c r="BX189" s="6"/>
      <c r="BY189" s="6"/>
      <c r="BZ189" s="6"/>
    </row>
    <row r="190">
      <c r="A190" s="12">
        <f>IFERROR(__xludf.DUMMYFUNCTION("""COMPUTED_VALUE"""),1.098546708E9)</f>
        <v>1098546708</v>
      </c>
      <c r="B190" s="6">
        <f>IFERROR(__xludf.DUMMYFUNCTION("""COMPUTED_VALUE"""),19.0)</f>
        <v>19</v>
      </c>
      <c r="C190" s="6" t="str">
        <f>IFERROR(__xludf.DUMMYFUNCTION("""COMPUTED_VALUE"""),"Vicente")</f>
        <v>Vicente</v>
      </c>
      <c r="D190" s="6"/>
      <c r="E190" s="6" t="str">
        <f>IFERROR(__xludf.DUMMYFUNCTION("""COMPUTED_VALUE"""),"Vélez Fajardo")</f>
        <v>Vélez Fajardo</v>
      </c>
      <c r="F190" s="6" t="str">
        <f>IFERROR(__xludf.DUMMYFUNCTION("""COMPUTED_VALUE"""),"Condominio Los Pinos Casa 4 Luna Park - Km 4 Vía Armenia")</f>
        <v>Condominio Los Pinos Casa 4 Luna Park - Km 4 Vía Armenia</v>
      </c>
      <c r="G190" s="12" t="str">
        <f>IFERROR(__xludf.DUMMYFUNCTION("""COMPUTED_VALUE"""),"2020")</f>
        <v>2020</v>
      </c>
      <c r="H190" s="6" t="str">
        <f>IFERROR(__xludf.DUMMYFUNCTION("""COMPUTED_VALUE"""),"Enero")</f>
        <v>Enero</v>
      </c>
      <c r="I190" s="12" t="str">
        <f>IFERROR(__xludf.DUMMYFUNCTION("""COMPUTED_VALUE"""),"16")</f>
        <v>16</v>
      </c>
      <c r="J190" s="6" t="str">
        <f>IFERROR(__xludf.DUMMYFUNCTION("""COMPUTED_VALUE"""),"Armenia")</f>
        <v>Armenia</v>
      </c>
      <c r="K190" s="6" t="str">
        <f>IFERROR(__xludf.DUMMYFUNCTION("""COMPUTED_VALUE"""),"vicente.v2038@gi.edu.co")</f>
        <v>vicente.v2038@gi.edu.co</v>
      </c>
      <c r="L190" s="6" t="str">
        <f>IFERROR(__xludf.DUMMYFUNCTION("""COMPUTED_VALUE"""),"NUIP")</f>
        <v>NUIP</v>
      </c>
      <c r="M190" s="6" t="str">
        <f>IFERROR(__xludf.DUMMYFUNCTION("""COMPUTED_VALUE"""),"Armenia")</f>
        <v>Armenia</v>
      </c>
      <c r="N190" s="6" t="str">
        <f>IFERROR(__xludf.DUMMYFUNCTION("""COMPUTED_VALUE"""),"M")</f>
        <v>M</v>
      </c>
      <c r="O190" s="6" t="str">
        <f>IFERROR(__xludf.DUMMYFUNCTION("""COMPUTED_VALUE"""),"ACTIVE")</f>
        <v>ACTIVE</v>
      </c>
      <c r="P190" s="6"/>
      <c r="Q190" s="6" t="str">
        <f>IFERROR(__xludf.DUMMYFUNCTION("""COMPUTED_VALUE"""),"Circasia")</f>
        <v>Circasia</v>
      </c>
      <c r="R190" s="12" t="str">
        <f>IFERROR(__xludf.DUMMYFUNCTION("""COMPUTED_VALUE"""),"Gi28zd9*")</f>
        <v>Gi28zd9*</v>
      </c>
      <c r="S190" s="6" t="str">
        <f>IFERROR(__xludf.DUMMYFUNCTION("""COMPUTED_VALUE"""),"Vélez Fajardo Vicente ")</f>
        <v>Vélez Fajardo Vicente </v>
      </c>
      <c r="T190" s="6" t="str">
        <f>IFERROR(__xludf.DUMMYFUNCTION("""COMPUTED_VALUE"""),"JUAN VICENTE VELEZ GUTIERREZ")</f>
        <v>JUAN VICENTE VELEZ GUTIERREZ</v>
      </c>
      <c r="U190" s="12" t="str">
        <f>IFERROR(__xludf.DUMMYFUNCTION("""COMPUTED_VALUE"""),"9734265")</f>
        <v>9734265</v>
      </c>
      <c r="V190" s="6">
        <f>IFERROR(__xludf.DUMMYFUNCTION("""COMPUTED_VALUE"""),3.183493429E9)</f>
        <v>3183493429</v>
      </c>
      <c r="W190" s="6" t="str">
        <f>IFERROR(__xludf.DUMMYFUNCTION("""COMPUTED_VALUE"""),"juanvvelez@gmail.com")</f>
        <v>juanvvelez@gmail.com</v>
      </c>
      <c r="X190" s="12" t="str">
        <f>IFERROR(__xludf.DUMMYFUNCTION("""COMPUTED_VALUE"""),"A+")</f>
        <v>A+</v>
      </c>
      <c r="Y190" s="12" t="str">
        <f>IFERROR(__xludf.DUMMYFUNCTION("""COMPUTED_VALUE"""),"1")</f>
        <v>1</v>
      </c>
      <c r="Z190" s="12">
        <f>IFERROR(__xludf.DUMMYFUNCTION("""COMPUTED_VALUE"""),120239.0)</f>
        <v>120239</v>
      </c>
      <c r="AA190" s="6" t="str">
        <f>IFERROR(__xludf.DUMMYFUNCTION("""COMPUTED_VALUE"""),"SURA")</f>
        <v>SURA</v>
      </c>
      <c r="AB190" s="6"/>
      <c r="AC190" s="12" t="str">
        <f>IFERROR(__xludf.DUMMYFUNCTION("""COMPUTED_VALUE"""),"no se sabe a qué")</f>
        <v>no se sabe a qué</v>
      </c>
      <c r="AD190" s="12" t="str">
        <f>IFERROR(__xludf.DUMMYFUNCTION("""COMPUTED_VALUE"""),"1A")</f>
        <v>1A</v>
      </c>
      <c r="AE190" s="12">
        <f>IFERROR(__xludf.DUMMYFUNCTION("""COMPUTED_VALUE"""),1.345282235E9)</f>
        <v>1345282235</v>
      </c>
      <c r="AF190" s="6"/>
      <c r="AG190" s="12" t="str">
        <f>IFERROR(__xludf.DUMMYFUNCTION("""COMPUTED_VALUE"""),"Manuela")</f>
        <v>Manuela</v>
      </c>
      <c r="AH190" s="6"/>
      <c r="AI190" s="6" t="str">
        <f>IFERROR(__xludf.DUMMYFUNCTION("""COMPUTED_VALUE"""),"Fajardo Mendoza")</f>
        <v>Fajardo Mendoza</v>
      </c>
      <c r="AJ190" s="6" t="str">
        <f>IFERROR(__xludf.DUMMYFUNCTION("""COMPUTED_VALUE"""),"fajardomanuela@gmail.com")</f>
        <v>fajardomanuela@gmail.com</v>
      </c>
      <c r="AK190" s="6" t="str">
        <f>IFERROR(__xludf.DUMMYFUNCTION("""COMPUTED_VALUE"""),"arquitecta")</f>
        <v>arquitecta</v>
      </c>
      <c r="AL190" s="6"/>
      <c r="AM190" s="12" t="str">
        <f>IFERROR(__xludf.DUMMYFUNCTION("""COMPUTED_VALUE"""),"1094886378")</f>
        <v>1094886378</v>
      </c>
      <c r="AN190" s="12" t="str">
        <f>IFERROR(__xludf.DUMMYFUNCTION("""COMPUTED_VALUE"""),"3212407449")</f>
        <v>3212407449</v>
      </c>
      <c r="AO190" s="6" t="str">
        <f>IFERROR(__xludf.DUMMYFUNCTION("""COMPUTED_VALUE"""),"Madre")</f>
        <v>Madre</v>
      </c>
      <c r="AP190" s="6" t="str">
        <f>IFERROR(__xludf.DUMMYFUNCTION("""COMPUTED_VALUE"""),"Estudiante(s): Vélez Fajardo")</f>
        <v>Estudiante(s): Vélez Fajardo</v>
      </c>
      <c r="AQ190" s="6" t="str">
        <f>IFERROR(__xludf.DUMMYFUNCTION("""COMPUTED_VALUE"""),"120239*Gi")</f>
        <v>120239*Gi</v>
      </c>
      <c r="AR190" s="6" t="str">
        <f>IFERROR(__xludf.DUMMYFUNCTION("""COMPUTED_VALUE"""),"Juan")</f>
        <v>Juan</v>
      </c>
      <c r="AS190" s="6" t="str">
        <f>IFERROR(__xludf.DUMMYFUNCTION("""COMPUTED_VALUE"""),"Vicente")</f>
        <v>Vicente</v>
      </c>
      <c r="AT190" s="6" t="str">
        <f>IFERROR(__xludf.DUMMYFUNCTION("""COMPUTED_VALUE"""),"Vélez Gutiérrez")</f>
        <v>Vélez Gutiérrez</v>
      </c>
      <c r="AU190" s="6" t="str">
        <f>IFERROR(__xludf.DUMMYFUNCTION("""COMPUTED_VALUE"""),"juanvvelez@gmail.com")</f>
        <v>juanvvelez@gmail.com</v>
      </c>
      <c r="AV190" s="6" t="str">
        <f>IFERROR(__xludf.DUMMYFUNCTION("""COMPUTED_VALUE"""),"Ing. mecánico")</f>
        <v>Ing. mecánico</v>
      </c>
      <c r="AW190" s="6"/>
      <c r="AX190" s="12" t="str">
        <f>IFERROR(__xludf.DUMMYFUNCTION("""COMPUTED_VALUE"""),"9734265")</f>
        <v>9734265</v>
      </c>
      <c r="AY190" s="12" t="str">
        <f>IFERROR(__xludf.DUMMYFUNCTION("""COMPUTED_VALUE"""),"3183493429")</f>
        <v>3183493429</v>
      </c>
      <c r="AZ190" s="6" t="str">
        <f>IFERROR(__xludf.DUMMYFUNCTION("""COMPUTED_VALUE"""),"Padre")</f>
        <v>Padre</v>
      </c>
      <c r="BA190" s="6"/>
      <c r="BB190" s="6"/>
      <c r="BC190" s="6"/>
      <c r="BD190" s="12" t="str">
        <f>IFERROR(__xludf.DUMMYFUNCTION("""COMPUTED_VALUE"""),"vel0016")</f>
        <v>vel0016</v>
      </c>
      <c r="BE190" s="6"/>
      <c r="BF190" s="6"/>
      <c r="BG190" s="6">
        <f>IFERROR(__xludf.DUMMYFUNCTION("""COMPUTED_VALUE"""),2038.0)</f>
        <v>2038</v>
      </c>
      <c r="BH190" s="15">
        <f>IFERROR(__xludf.DUMMYFUNCTION("""COMPUTED_VALUE"""),46238.49600694444)</f>
        <v>46238.49601</v>
      </c>
      <c r="BI190" s="6">
        <f>IFERROR(__xludf.DUMMYFUNCTION("""COMPUTED_VALUE"""),189.0)</f>
        <v>189</v>
      </c>
      <c r="BJ190" s="6"/>
      <c r="BK190" s="6"/>
      <c r="BL190" s="6" t="str">
        <f>IFERROR(__xludf.DUMMYFUNCTION("""COMPUTED_VALUE"""),"GISVEL0016")</f>
        <v>GISVEL0016</v>
      </c>
      <c r="BM190" s="6"/>
      <c r="BN190" s="6"/>
      <c r="BO190" s="6"/>
      <c r="BP190" s="6" t="str">
        <f>IFERROR(__xludf.DUMMYFUNCTION("""COMPUTED_VALUE"""),"XC_1_Futbol_M")</f>
        <v>XC_1_Futbol_M</v>
      </c>
      <c r="BQ190" s="6"/>
      <c r="BR190" s="6"/>
      <c r="BS190" s="6" t="str">
        <f>IFERROR(__xludf.DUMMYFUNCTION("""COMPUTED_VALUE"""),"XC_1_Futbol_M")</f>
        <v>XC_1_Futbol_M</v>
      </c>
      <c r="BT190" s="6" t="str">
        <f>IFERROR(__xludf.DUMMYFUNCTION("""COMPUTED_VALUE"""),"XC_1_Futbol_M")</f>
        <v>XC_1_Futbol_M</v>
      </c>
      <c r="BU190" s="6" t="str">
        <f>IFERROR(__xludf.DUMMYFUNCTION("""COMPUTED_VALUE"""),"SI")</f>
        <v>SI</v>
      </c>
      <c r="BV190" s="6" t="str">
        <f>IFERROR(__xludf.DUMMYFUNCTION("""COMPUTED_VALUE"""),"vicente.v2038")</f>
        <v>vicente.v2038</v>
      </c>
      <c r="BW190" s="6"/>
      <c r="BX190" s="6"/>
      <c r="BY190" s="6"/>
      <c r="B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 t="str">
        <f>IFERROR(__xludf.DUMMYFUNCTION("""COMPUTED_VALUE"""),"Madre")</f>
        <v>Madre</v>
      </c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 t="str">
        <f>IFERROR(__xludf.DUMMYFUNCTION("""COMPUTED_VALUE"""),"Padre")</f>
        <v>Padre</v>
      </c>
      <c r="BA191" s="6"/>
      <c r="BB191" s="6"/>
      <c r="BC191" s="6"/>
      <c r="BD191" s="6"/>
      <c r="BE191" s="6"/>
      <c r="BF191" s="6"/>
      <c r="BG191" s="6"/>
      <c r="BH191" s="6"/>
      <c r="BI191" s="6">
        <f>IFERROR(__xludf.DUMMYFUNCTION("""COMPUTED_VALUE"""),190.0)</f>
        <v>190</v>
      </c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</row>
    <row r="192">
      <c r="A192" s="12">
        <f>IFERROR(__xludf.DUMMYFUNCTION("""COMPUTED_VALUE"""),1.092864467E9)</f>
        <v>1092864467</v>
      </c>
      <c r="B192" s="6">
        <f>IFERROR(__xludf.DUMMYFUNCTION("""COMPUTED_VALUE"""),1.0)</f>
        <v>1</v>
      </c>
      <c r="C192" s="6" t="str">
        <f>IFERROR(__xludf.DUMMYFUNCTION("""COMPUTED_VALUE"""),"Mía")</f>
        <v>Mía</v>
      </c>
      <c r="D192" s="6"/>
      <c r="E192" s="6" t="str">
        <f>IFERROR(__xludf.DUMMYFUNCTION("""COMPUTED_VALUE"""),"Agudelo Taborda")</f>
        <v>Agudelo Taborda</v>
      </c>
      <c r="F192" s="6" t="str">
        <f>IFERROR(__xludf.DUMMYFUNCTION("""COMPUTED_VALUE"""),"Cra 11 No 9a Nte - 14 Apto 406 - La Castellana")</f>
        <v>Cra 11 No 9a Nte - 14 Apto 406 - La Castellana</v>
      </c>
      <c r="G192" s="12" t="str">
        <f>IFERROR(__xludf.DUMMYFUNCTION("""COMPUTED_VALUE"""),"2020")</f>
        <v>2020</v>
      </c>
      <c r="H192" s="6" t="str">
        <f>IFERROR(__xludf.DUMMYFUNCTION("""COMPUTED_VALUE"""),"Agosto")</f>
        <v>Agosto</v>
      </c>
      <c r="I192" s="12" t="str">
        <f>IFERROR(__xludf.DUMMYFUNCTION("""COMPUTED_VALUE"""),"28")</f>
        <v>28</v>
      </c>
      <c r="J192" s="6" t="str">
        <f>IFERROR(__xludf.DUMMYFUNCTION("""COMPUTED_VALUE"""),"Armenia")</f>
        <v>Armenia</v>
      </c>
      <c r="K192" s="6" t="str">
        <f>IFERROR(__xludf.DUMMYFUNCTION("""COMPUTED_VALUE"""),"mia.a2038@gi.edu.co")</f>
        <v>mia.a2038@gi.edu.co</v>
      </c>
      <c r="L192" s="6" t="str">
        <f>IFERROR(__xludf.DUMMYFUNCTION("""COMPUTED_VALUE"""),"RC")</f>
        <v>RC</v>
      </c>
      <c r="M192" s="6" t="str">
        <f>IFERROR(__xludf.DUMMYFUNCTION("""COMPUTED_VALUE"""),"Armenia")</f>
        <v>Armenia</v>
      </c>
      <c r="N192" s="6" t="str">
        <f>IFERROR(__xludf.DUMMYFUNCTION("""COMPUTED_VALUE"""),"F")</f>
        <v>F</v>
      </c>
      <c r="O192" s="6" t="str">
        <f>IFERROR(__xludf.DUMMYFUNCTION("""COMPUTED_VALUE"""),"ACTIVE")</f>
        <v>ACTIVE</v>
      </c>
      <c r="P192" s="6"/>
      <c r="Q192" s="6" t="str">
        <f>IFERROR(__xludf.DUMMYFUNCTION("""COMPUTED_VALUE"""),"Armenia")</f>
        <v>Armenia</v>
      </c>
      <c r="R192" s="12" t="str">
        <f>IFERROR(__xludf.DUMMYFUNCTION("""COMPUTED_VALUE"""),"Gihe3r4y*")</f>
        <v>Gihe3r4y*</v>
      </c>
      <c r="S192" s="6" t="str">
        <f>IFERROR(__xludf.DUMMYFUNCTION("""COMPUTED_VALUE"""),"Agudelo Taborda Mía ")</f>
        <v>Agudelo Taborda Mía </v>
      </c>
      <c r="T192" s="6" t="str">
        <f>IFERROR(__xludf.DUMMYFUNCTION("""COMPUTED_VALUE"""),"CAMILO AGUDELO LONDOÑO")</f>
        <v>CAMILO AGUDELO LONDOÑO</v>
      </c>
      <c r="U192" s="12" t="str">
        <f>IFERROR(__xludf.DUMMYFUNCTION("""COMPUTED_VALUE"""),"1094897331")</f>
        <v>1094897331</v>
      </c>
      <c r="V192" s="6">
        <f>IFERROR(__xludf.DUMMYFUNCTION("""COMPUTED_VALUE"""),3.176413759E9)</f>
        <v>3176413759</v>
      </c>
      <c r="W192" s="6" t="str">
        <f>IFERROR(__xludf.DUMMYFUNCTION("""COMPUTED_VALUE"""),"camiloagudelolondono@hotmail.com")</f>
        <v>camiloagudelolondono@hotmail.com</v>
      </c>
      <c r="X192" s="12" t="str">
        <f>IFERROR(__xludf.DUMMYFUNCTION("""COMPUTED_VALUE"""),"A+")</f>
        <v>A+</v>
      </c>
      <c r="Y192" s="12" t="str">
        <f>IFERROR(__xludf.DUMMYFUNCTION("""COMPUTED_VALUE"""),"1")</f>
        <v>1</v>
      </c>
      <c r="Z192" s="6">
        <f>IFERROR(__xludf.DUMMYFUNCTION("""COMPUTED_VALUE"""),120554.0)</f>
        <v>120554</v>
      </c>
      <c r="AA192" s="6" t="str">
        <f>IFERROR(__xludf.DUMMYFUNCTION("""COMPUTED_VALUE"""),"SURA")</f>
        <v>SURA</v>
      </c>
      <c r="AB192" s="6"/>
      <c r="AC192" s="6"/>
      <c r="AD192" s="12" t="str">
        <f>IFERROR(__xludf.DUMMYFUNCTION("""COMPUTED_VALUE"""),"1B")</f>
        <v>1B</v>
      </c>
      <c r="AE192" s="12">
        <f>IFERROR(__xludf.DUMMYFUNCTION("""COMPUTED_VALUE"""),1.345282552E9)</f>
        <v>1345282552</v>
      </c>
      <c r="AF192" s="6"/>
      <c r="AG192" s="12" t="str">
        <f>IFERROR(__xludf.DUMMYFUNCTION("""COMPUTED_VALUE"""),"María")</f>
        <v>María</v>
      </c>
      <c r="AH192" s="12" t="str">
        <f>IFERROR(__xludf.DUMMYFUNCTION("""COMPUTED_VALUE"""),"Valentina")</f>
        <v>Valentina</v>
      </c>
      <c r="AI192" s="6" t="str">
        <f>IFERROR(__xludf.DUMMYFUNCTION("""COMPUTED_VALUE"""),"Taborda Martínez")</f>
        <v>Taborda Martínez</v>
      </c>
      <c r="AJ192" s="6" t="str">
        <f>IFERROR(__xludf.DUMMYFUNCTION("""COMPUTED_VALUE"""),"valentaborda412@hotmail.com")</f>
        <v>valentaborda412@hotmail.com</v>
      </c>
      <c r="AK192" s="6" t="str">
        <f>IFERROR(__xludf.DUMMYFUNCTION("""COMPUTED_VALUE"""),"Comunicadora Social y Periodista")</f>
        <v>Comunicadora Social y Periodista</v>
      </c>
      <c r="AL192" s="6"/>
      <c r="AM192" s="12">
        <f>IFERROR(__xludf.DUMMYFUNCTION("""COMPUTED_VALUE"""),1.094940147E9)</f>
        <v>1094940147</v>
      </c>
      <c r="AN192" s="12">
        <f>IFERROR(__xludf.DUMMYFUNCTION("""COMPUTED_VALUE"""),3.128988357E9)</f>
        <v>3128988357</v>
      </c>
      <c r="AO192" s="6" t="str">
        <f>IFERROR(__xludf.DUMMYFUNCTION("""COMPUTED_VALUE"""),"Madre")</f>
        <v>Madre</v>
      </c>
      <c r="AP192" s="6" t="str">
        <f>IFERROR(__xludf.DUMMYFUNCTION("""COMPUTED_VALUE"""),"Estudiante(s): Agudelo Taborda")</f>
        <v>Estudiante(s): Agudelo Taborda</v>
      </c>
      <c r="AQ192" s="6" t="str">
        <f>IFERROR(__xludf.DUMMYFUNCTION("""COMPUTED_VALUE"""),"120554*Gi")</f>
        <v>120554*Gi</v>
      </c>
      <c r="AR192" s="6" t="str">
        <f>IFERROR(__xludf.DUMMYFUNCTION("""COMPUTED_VALUE"""),"Camilo")</f>
        <v>Camilo</v>
      </c>
      <c r="AS192" s="6"/>
      <c r="AT192" s="6" t="str">
        <f>IFERROR(__xludf.DUMMYFUNCTION("""COMPUTED_VALUE"""),"Agudelo Londoño")</f>
        <v>Agudelo Londoño</v>
      </c>
      <c r="AU192" s="6" t="str">
        <f>IFERROR(__xludf.DUMMYFUNCTION("""COMPUTED_VALUE"""),"camiloagudelolondono@hotmail.com")</f>
        <v>camiloagudelolondono@hotmail.com</v>
      </c>
      <c r="AV192" s="6" t="str">
        <f>IFERROR(__xludf.DUMMYFUNCTION("""COMPUTED_VALUE"""),"Internacionalista")</f>
        <v>Internacionalista</v>
      </c>
      <c r="AW192" s="6" t="str">
        <f>IFERROR(__xludf.DUMMYFUNCTION("""COMPUTED_VALUE"""),"Finca Hotel Brasilia")</f>
        <v>Finca Hotel Brasilia</v>
      </c>
      <c r="AX192" s="12">
        <f>IFERROR(__xludf.DUMMYFUNCTION("""COMPUTED_VALUE"""),1.094897331E9)</f>
        <v>1094897331</v>
      </c>
      <c r="AY192" s="12">
        <f>IFERROR(__xludf.DUMMYFUNCTION("""COMPUTED_VALUE"""),3.176413759E9)</f>
        <v>3176413759</v>
      </c>
      <c r="AZ192" s="6" t="str">
        <f>IFERROR(__xludf.DUMMYFUNCTION("""COMPUTED_VALUE"""),"Padre")</f>
        <v>Padre</v>
      </c>
      <c r="BA192" s="6"/>
      <c r="BB192" s="6"/>
      <c r="BC192" s="6"/>
      <c r="BD192" s="12" t="str">
        <f>IFERROR(__xludf.DUMMYFUNCTION("""COMPUTED_VALUE"""),"agu0012")</f>
        <v>agu0012</v>
      </c>
      <c r="BE192" s="6"/>
      <c r="BF192" s="6"/>
      <c r="BG192" s="6">
        <f>IFERROR(__xludf.DUMMYFUNCTION("""COMPUTED_VALUE"""),2038.0)</f>
        <v>2038</v>
      </c>
      <c r="BH192" s="15">
        <f>IFERROR(__xludf.DUMMYFUNCTION("""COMPUTED_VALUE"""),46230.35592592593)</f>
        <v>46230.35593</v>
      </c>
      <c r="BI192" s="6">
        <f>IFERROR(__xludf.DUMMYFUNCTION("""COMPUTED_VALUE"""),191.0)</f>
        <v>191</v>
      </c>
      <c r="BJ192" s="6"/>
      <c r="BK192" s="6"/>
      <c r="BL192" s="6" t="str">
        <f>IFERROR(__xludf.DUMMYFUNCTION("""COMPUTED_VALUE"""),"GISAGU0012")</f>
        <v>GISAGU0012</v>
      </c>
      <c r="BM192" s="6"/>
      <c r="BN192" s="6"/>
      <c r="BO192" s="6"/>
      <c r="BP192" s="6" t="str">
        <f>IFERROR(__xludf.DUMMYFUNCTION("""COMPUTED_VALUE"""),"XC_EL_Taekwondo")</f>
        <v>XC_EL_Taekwondo</v>
      </c>
      <c r="BQ192" s="6" t="str">
        <f>IFERROR(__xludf.DUMMYFUNCTION("""COMPUTED_VALUE"""),"XC_EL_Taekwondo")</f>
        <v>XC_EL_Taekwondo</v>
      </c>
      <c r="BR192" s="6" t="str">
        <f>IFERROR(__xludf.DUMMYFUNCTION("""COMPUTED_VALUE"""),"XC_EL_PequenosCientificos")</f>
        <v>XC_EL_PequenosCientificos</v>
      </c>
      <c r="BS192" s="6" t="str">
        <f>IFERROR(__xludf.DUMMYFUNCTION("""COMPUTED_VALUE"""),"XC_EL_Taekwondo")</f>
        <v>XC_EL_Taekwondo</v>
      </c>
      <c r="BT192" s="6"/>
      <c r="BU192" s="6" t="str">
        <f>IFERROR(__xludf.DUMMYFUNCTION("""COMPUTED_VALUE"""),"SI")</f>
        <v>SI</v>
      </c>
      <c r="BV192" s="6" t="str">
        <f>IFERROR(__xludf.DUMMYFUNCTION("""COMPUTED_VALUE"""),"mia.a2038")</f>
        <v>mia.a2038</v>
      </c>
      <c r="BW192" s="6"/>
      <c r="BX192" s="6"/>
      <c r="BY192" s="6"/>
      <c r="BZ192" s="6"/>
    </row>
    <row r="193">
      <c r="A193" s="12">
        <f>IFERROR(__xludf.DUMMYFUNCTION("""COMPUTED_VALUE"""),1.048089486E9)</f>
        <v>1048089486</v>
      </c>
      <c r="B193" s="6">
        <f>IFERROR(__xludf.DUMMYFUNCTION("""COMPUTED_VALUE"""),2.0)</f>
        <v>2</v>
      </c>
      <c r="C193" s="6" t="str">
        <f>IFERROR(__xludf.DUMMYFUNCTION("""COMPUTED_VALUE"""),"Emilio")</f>
        <v>Emilio</v>
      </c>
      <c r="D193" s="6"/>
      <c r="E193" s="6" t="str">
        <f>IFERROR(__xludf.DUMMYFUNCTION("""COMPUTED_VALUE"""),"Amaris de la Vega")</f>
        <v>Amaris de la Vega</v>
      </c>
      <c r="F193" s="6" t="str">
        <f>IFERROR(__xludf.DUMMYFUNCTION("""COMPUTED_VALUE"""),"Conjunto Los Rosales - Km 1 Via Circasia")</f>
        <v>Conjunto Los Rosales - Km 1 Via Circasia</v>
      </c>
      <c r="G193" s="12" t="str">
        <f>IFERROR(__xludf.DUMMYFUNCTION("""COMPUTED_VALUE"""),"2020")</f>
        <v>2020</v>
      </c>
      <c r="H193" s="6" t="str">
        <f>IFERROR(__xludf.DUMMYFUNCTION("""COMPUTED_VALUE"""),"Marzo")</f>
        <v>Marzo</v>
      </c>
      <c r="I193" s="12" t="str">
        <f>IFERROR(__xludf.DUMMYFUNCTION("""COMPUTED_VALUE"""),"15")</f>
        <v>15</v>
      </c>
      <c r="J193" s="6" t="str">
        <f>IFERROR(__xludf.DUMMYFUNCTION("""COMPUTED_VALUE"""),"Armenia")</f>
        <v>Armenia</v>
      </c>
      <c r="K193" s="6" t="str">
        <f>IFERROR(__xludf.DUMMYFUNCTION("""COMPUTED_VALUE"""),"emilio.a2038@gi.edu.co")</f>
        <v>emilio.a2038@gi.edu.co</v>
      </c>
      <c r="L193" s="6" t="str">
        <f>IFERROR(__xludf.DUMMYFUNCTION("""COMPUTED_VALUE"""),"NUIP")</f>
        <v>NUIP</v>
      </c>
      <c r="M193" s="6" t="str">
        <f>IFERROR(__xludf.DUMMYFUNCTION("""COMPUTED_VALUE"""),"Barranquilla")</f>
        <v>Barranquilla</v>
      </c>
      <c r="N193" s="6" t="str">
        <f>IFERROR(__xludf.DUMMYFUNCTION("""COMPUTED_VALUE"""),"M")</f>
        <v>M</v>
      </c>
      <c r="O193" s="6" t="str">
        <f>IFERROR(__xludf.DUMMYFUNCTION("""COMPUTED_VALUE"""),"ACTIVE")</f>
        <v>ACTIVE</v>
      </c>
      <c r="P193" s="6"/>
      <c r="Q193" s="6" t="str">
        <f>IFERROR(__xludf.DUMMYFUNCTION("""COMPUTED_VALUE"""),"Armenia")</f>
        <v>Armenia</v>
      </c>
      <c r="R193" s="12" t="str">
        <f>IFERROR(__xludf.DUMMYFUNCTION("""COMPUTED_VALUE"""),"Gizj38v*")</f>
        <v>Gizj38v*</v>
      </c>
      <c r="S193" s="6" t="str">
        <f>IFERROR(__xludf.DUMMYFUNCTION("""COMPUTED_VALUE"""),"Amaris de la Vega Emilio ")</f>
        <v>Amaris de la Vega Emilio </v>
      </c>
      <c r="T193" s="6" t="str">
        <f>IFERROR(__xludf.DUMMYFUNCTION("""COMPUTED_VALUE"""),"DANIELA DE LA VEGA CANTILLO")</f>
        <v>DANIELA DE LA VEGA CANTILLO</v>
      </c>
      <c r="U193" s="12" t="str">
        <f>IFERROR(__xludf.DUMMYFUNCTION("""COMPUTED_VALUE"""),"1140830187")</f>
        <v>1140830187</v>
      </c>
      <c r="V193" s="6">
        <f>IFERROR(__xludf.DUMMYFUNCTION("""COMPUTED_VALUE"""),3.218021328E9)</f>
        <v>3218021328</v>
      </c>
      <c r="W193" s="6" t="str">
        <f>IFERROR(__xludf.DUMMYFUNCTION("""COMPUTED_VALUE"""),"danidv293@hotmail.com")</f>
        <v>danidv293@hotmail.com</v>
      </c>
      <c r="X193" s="12" t="str">
        <f>IFERROR(__xludf.DUMMYFUNCTION("""COMPUTED_VALUE"""),"A+")</f>
        <v>A+</v>
      </c>
      <c r="Y193" s="12" t="str">
        <f>IFERROR(__xludf.DUMMYFUNCTION("""COMPUTED_VALUE"""),"1")</f>
        <v>1</v>
      </c>
      <c r="Z193" s="12">
        <f>IFERROR(__xludf.DUMMYFUNCTION("""COMPUTED_VALUE"""),120344.0)</f>
        <v>120344</v>
      </c>
      <c r="AA193" s="6" t="str">
        <f>IFERROR(__xludf.DUMMYFUNCTION("""COMPUTED_VALUE"""),"SANITAS")</f>
        <v>SANITAS</v>
      </c>
      <c r="AB193" s="6"/>
      <c r="AC193" s="6"/>
      <c r="AD193" s="12" t="str">
        <f>IFERROR(__xludf.DUMMYFUNCTION("""COMPUTED_VALUE"""),"1B")</f>
        <v>1B</v>
      </c>
      <c r="AE193" s="12" t="str">
        <f>IFERROR(__xludf.DUMMYFUNCTION("""COMPUTED_VALUE"""),"1345282355")</f>
        <v>1345282355</v>
      </c>
      <c r="AF193" s="6"/>
      <c r="AG193" s="12" t="str">
        <f>IFERROR(__xludf.DUMMYFUNCTION("""COMPUTED_VALUE"""),"Daniela")</f>
        <v>Daniela</v>
      </c>
      <c r="AH193" s="12" t="str">
        <f>IFERROR(__xludf.DUMMYFUNCTION("""COMPUTED_VALUE"""),"Maria")</f>
        <v>Maria</v>
      </c>
      <c r="AI193" s="6" t="str">
        <f>IFERROR(__xludf.DUMMYFUNCTION("""COMPUTED_VALUE"""),"De La Vega Cantillo")</f>
        <v>De La Vega Cantillo</v>
      </c>
      <c r="AJ193" s="6" t="str">
        <f>IFERROR(__xludf.DUMMYFUNCTION("""COMPUTED_VALUE"""),"danidv293@hotmail.com")</f>
        <v>danidv293@hotmail.com</v>
      </c>
      <c r="AK193" s="6" t="str">
        <f>IFERROR(__xludf.DUMMYFUNCTION("""COMPUTED_VALUE"""),"Administradora de empresas")</f>
        <v>Administradora de empresas</v>
      </c>
      <c r="AL193" s="6" t="str">
        <f>IFERROR(__xludf.DUMMYFUNCTION("""COMPUTED_VALUE"""),"Clínica médica vivir")</f>
        <v>Clínica médica vivir</v>
      </c>
      <c r="AM193" s="12" t="str">
        <f>IFERROR(__xludf.DUMMYFUNCTION("""COMPUTED_VALUE"""),"1140830187")</f>
        <v>1140830187</v>
      </c>
      <c r="AN193" s="12" t="str">
        <f>IFERROR(__xludf.DUMMYFUNCTION("""COMPUTED_VALUE"""),"3218021328")</f>
        <v>3218021328</v>
      </c>
      <c r="AO193" s="6" t="str">
        <f>IFERROR(__xludf.DUMMYFUNCTION("""COMPUTED_VALUE"""),"Madre")</f>
        <v>Madre</v>
      </c>
      <c r="AP193" s="6" t="str">
        <f>IFERROR(__xludf.DUMMYFUNCTION("""COMPUTED_VALUE"""),"Estudiante(s): Amaris De La Vega")</f>
        <v>Estudiante(s): Amaris De La Vega</v>
      </c>
      <c r="AQ193" s="6" t="str">
        <f>IFERROR(__xludf.DUMMYFUNCTION("""COMPUTED_VALUE"""),"103541*Gi")</f>
        <v>103541*Gi</v>
      </c>
      <c r="AR193" s="6" t="str">
        <f>IFERROR(__xludf.DUMMYFUNCTION("""COMPUTED_VALUE"""),"Fabián")</f>
        <v>Fabián</v>
      </c>
      <c r="AS193" s="6" t="str">
        <f>IFERROR(__xludf.DUMMYFUNCTION("""COMPUTED_VALUE"""),"Arturo")</f>
        <v>Arturo</v>
      </c>
      <c r="AT193" s="6" t="str">
        <f>IFERROR(__xludf.DUMMYFUNCTION("""COMPUTED_VALUE"""),"Amaris Peñuela")</f>
        <v>Amaris Peñuela</v>
      </c>
      <c r="AU193" s="6" t="str">
        <f>IFERROR(__xludf.DUMMYFUNCTION("""COMPUTED_VALUE"""),"f_amaris@hotmail.com")</f>
        <v>f_amaris@hotmail.com</v>
      </c>
      <c r="AV193" s="6" t="str">
        <f>IFERROR(__xludf.DUMMYFUNCTION("""COMPUTED_VALUE"""),"Negocios Internacion")</f>
        <v>Negocios Internacion</v>
      </c>
      <c r="AW193" s="6" t="str">
        <f>IFERROR(__xludf.DUMMYFUNCTION("""COMPUTED_VALUE"""),"Gruvicacol")</f>
        <v>Gruvicacol</v>
      </c>
      <c r="AX193" s="12" t="str">
        <f>IFERROR(__xludf.DUMMYFUNCTION("""COMPUTED_VALUE"""),"1140814468")</f>
        <v>1140814468</v>
      </c>
      <c r="AY193" s="12" t="str">
        <f>IFERROR(__xludf.DUMMYFUNCTION("""COMPUTED_VALUE"""),"3174311899")</f>
        <v>3174311899</v>
      </c>
      <c r="AZ193" s="6" t="str">
        <f>IFERROR(__xludf.DUMMYFUNCTION("""COMPUTED_VALUE"""),"Padre")</f>
        <v>Padre</v>
      </c>
      <c r="BA193" s="6"/>
      <c r="BB193" s="6"/>
      <c r="BC193" s="6"/>
      <c r="BD193" s="12" t="str">
        <f>IFERROR(__xludf.DUMMYFUNCTION("""COMPUTED_VALUE"""),"ama0001")</f>
        <v>ama0001</v>
      </c>
      <c r="BE193" s="6"/>
      <c r="BF193" s="6"/>
      <c r="BG193" s="6">
        <f>IFERROR(__xludf.DUMMYFUNCTION("""COMPUTED_VALUE"""),2038.0)</f>
        <v>2038</v>
      </c>
      <c r="BH193" s="15">
        <f>IFERROR(__xludf.DUMMYFUNCTION("""COMPUTED_VALUE"""),46253.61170138889)</f>
        <v>46253.6117</v>
      </c>
      <c r="BI193" s="6">
        <f>IFERROR(__xludf.DUMMYFUNCTION("""COMPUTED_VALUE"""),192.0)</f>
        <v>192</v>
      </c>
      <c r="BJ193" s="6"/>
      <c r="BK193" s="6"/>
      <c r="BL193" s="6" t="str">
        <f>IFERROR(__xludf.DUMMYFUNCTION("""COMPUTED_VALUE"""),"GISAMA0001")</f>
        <v>GISAMA0001</v>
      </c>
      <c r="BM193" s="6"/>
      <c r="BN193" s="6"/>
      <c r="BO193" s="6"/>
      <c r="BP193" s="6" t="str">
        <f>IFERROR(__xludf.DUMMYFUNCTION("""COMPUTED_VALUE"""),"XC_1_Futbol_M")</f>
        <v>XC_1_Futbol_M</v>
      </c>
      <c r="BQ193" s="6"/>
      <c r="BR193" s="6"/>
      <c r="BS193" s="6" t="str">
        <f>IFERROR(__xludf.DUMMYFUNCTION("""COMPUTED_VALUE"""),"XC_1_Futbol_M")</f>
        <v>XC_1_Futbol_M</v>
      </c>
      <c r="BT193" s="6" t="str">
        <f>IFERROR(__xludf.DUMMYFUNCTION("""COMPUTED_VALUE"""),"XC_1_Futbol_M")</f>
        <v>XC_1_Futbol_M</v>
      </c>
      <c r="BU193" s="6" t="str">
        <f>IFERROR(__xludf.DUMMYFUNCTION("""COMPUTED_VALUE"""),"SI")</f>
        <v>SI</v>
      </c>
      <c r="BV193" s="6" t="str">
        <f>IFERROR(__xludf.DUMMYFUNCTION("""COMPUTED_VALUE"""),"emilio.a2038")</f>
        <v>emilio.a2038</v>
      </c>
      <c r="BW193" s="6"/>
      <c r="BX193" s="6"/>
      <c r="BY193" s="6"/>
      <c r="BZ193" s="6"/>
    </row>
    <row r="194">
      <c r="A194" s="12">
        <f>IFERROR(__xludf.DUMMYFUNCTION("""COMPUTED_VALUE"""),1.095211736E9)</f>
        <v>1095211736</v>
      </c>
      <c r="B194" s="6">
        <f>IFERROR(__xludf.DUMMYFUNCTION("""COMPUTED_VALUE"""),3.0)</f>
        <v>3</v>
      </c>
      <c r="C194" s="6" t="str">
        <f>IFERROR(__xludf.DUMMYFUNCTION("""COMPUTED_VALUE"""),"Thiago")</f>
        <v>Thiago</v>
      </c>
      <c r="D194" s="6"/>
      <c r="E194" s="6" t="str">
        <f>IFERROR(__xludf.DUMMYFUNCTION("""COMPUTED_VALUE"""),"Bedoya Bejarano")</f>
        <v>Bedoya Bejarano</v>
      </c>
      <c r="F194" s="6" t="str">
        <f>IFERROR(__xludf.DUMMYFUNCTION("""COMPUTED_VALUE"""),"La Alqueria Casa 24 - Cra 6 No3 - 40")</f>
        <v>La Alqueria Casa 24 - Cra 6 No3 - 40</v>
      </c>
      <c r="G194" s="12">
        <f>IFERROR(__xludf.DUMMYFUNCTION("""COMPUTED_VALUE"""),2020.0)</f>
        <v>2020</v>
      </c>
      <c r="H194" s="6" t="str">
        <f>IFERROR(__xludf.DUMMYFUNCTION("""COMPUTED_VALUE"""),"Mayo")</f>
        <v>Mayo</v>
      </c>
      <c r="I194" s="12">
        <f>IFERROR(__xludf.DUMMYFUNCTION("""COMPUTED_VALUE"""),9.0)</f>
        <v>9</v>
      </c>
      <c r="J194" s="6" t="str">
        <f>IFERROR(__xludf.DUMMYFUNCTION("""COMPUTED_VALUE"""),"La Tebaida")</f>
        <v>La Tebaida</v>
      </c>
      <c r="K194" s="6" t="str">
        <f>IFERROR(__xludf.DUMMYFUNCTION("""COMPUTED_VALUE"""),"thiago.b2038@gi.edu.co")</f>
        <v>thiago.b2038@gi.edu.co</v>
      </c>
      <c r="L194" s="6" t="str">
        <f>IFERROR(__xludf.DUMMYFUNCTION("""COMPUTED_VALUE"""),"RC")</f>
        <v>RC</v>
      </c>
      <c r="M194" s="6" t="str">
        <f>IFERROR(__xludf.DUMMYFUNCTION("""COMPUTED_VALUE"""),"La Tebaida")</f>
        <v>La Tebaida</v>
      </c>
      <c r="N194" s="6" t="str">
        <f>IFERROR(__xludf.DUMMYFUNCTION("""COMPUTED_VALUE"""),"M")</f>
        <v>M</v>
      </c>
      <c r="O194" s="6" t="str">
        <f>IFERROR(__xludf.DUMMYFUNCTION("""COMPUTED_VALUE"""),"ACTIVE")</f>
        <v>ACTIVE</v>
      </c>
      <c r="P194" s="6"/>
      <c r="Q194" s="6" t="str">
        <f>IFERROR(__xludf.DUMMYFUNCTION("""COMPUTED_VALUE"""),"La Tebaida")</f>
        <v>La Tebaida</v>
      </c>
      <c r="R194" s="12" t="str">
        <f>IFERROR(__xludf.DUMMYFUNCTION("""COMPUTED_VALUE"""),"Gi9m6f3w*")</f>
        <v>Gi9m6f3w*</v>
      </c>
      <c r="S194" s="6" t="str">
        <f>IFERROR(__xludf.DUMMYFUNCTION("""COMPUTED_VALUE"""),"Bedoya Bejarano Thiago ")</f>
        <v>Bedoya Bejarano Thiago </v>
      </c>
      <c r="T194" s="6" t="str">
        <f>IFERROR(__xludf.DUMMYFUNCTION("""COMPUTED_VALUE"""),"CARLOS MARIO BEDOYA MARIN")</f>
        <v>CARLOS MARIO BEDOYA MARIN</v>
      </c>
      <c r="U194" s="12" t="str">
        <f>IFERROR(__xludf.DUMMYFUNCTION("""COMPUTED_VALUE"""),"1096033940")</f>
        <v>1096033940</v>
      </c>
      <c r="V194" s="6">
        <f>IFERROR(__xludf.DUMMYFUNCTION("""COMPUTED_VALUE"""),3.114026455E9)</f>
        <v>3114026455</v>
      </c>
      <c r="W194" s="6" t="str">
        <f>IFERROR(__xludf.DUMMYFUNCTION("""COMPUTED_VALUE"""),"mariobid88@gmail.com")</f>
        <v>mariobid88@gmail.com</v>
      </c>
      <c r="X194" s="12" t="str">
        <f>IFERROR(__xludf.DUMMYFUNCTION("""COMPUTED_VALUE"""),"A+")</f>
        <v>A+</v>
      </c>
      <c r="Y194" s="12" t="str">
        <f>IFERROR(__xludf.DUMMYFUNCTION("""COMPUTED_VALUE"""),"1")</f>
        <v>1</v>
      </c>
      <c r="Z194" s="12">
        <f>IFERROR(__xludf.DUMMYFUNCTION("""COMPUTED_VALUE"""),120451.0)</f>
        <v>120451</v>
      </c>
      <c r="AA194" s="6" t="str">
        <f>IFERROR(__xludf.DUMMYFUNCTION("""COMPUTED_VALUE"""),"SURA")</f>
        <v>SURA</v>
      </c>
      <c r="AB194" s="6"/>
      <c r="AC194" s="12" t="str">
        <f>IFERROR(__xludf.DUMMYFUNCTION("""COMPUTED_VALUE"""),"Cerdo")</f>
        <v>Cerdo</v>
      </c>
      <c r="AD194" s="12" t="str">
        <f>IFERROR(__xludf.DUMMYFUNCTION("""COMPUTED_VALUE"""),"1B")</f>
        <v>1B</v>
      </c>
      <c r="AE194" s="12" t="str">
        <f>IFERROR(__xludf.DUMMYFUNCTION("""COMPUTED_VALUE"""),"1345282428")</f>
        <v>1345282428</v>
      </c>
      <c r="AF194" s="6"/>
      <c r="AG194" s="12" t="str">
        <f>IFERROR(__xludf.DUMMYFUNCTION("""COMPUTED_VALUE"""),"Diana")</f>
        <v>Diana</v>
      </c>
      <c r="AH194" s="6"/>
      <c r="AI194" s="6" t="str">
        <f>IFERROR(__xludf.DUMMYFUNCTION("""COMPUTED_VALUE"""),"Bejarano Pérez")</f>
        <v>Bejarano Pérez</v>
      </c>
      <c r="AJ194" s="6" t="str">
        <f>IFERROR(__xludf.DUMMYFUNCTION("""COMPUTED_VALUE"""),"juana2501_@hotmail.com")</f>
        <v>juana2501_@hotmail.com</v>
      </c>
      <c r="AK194" s="6" t="str">
        <f>IFERROR(__xludf.DUMMYFUNCTION("""COMPUTED_VALUE"""),"comerciante")</f>
        <v>comerciante</v>
      </c>
      <c r="AL194" s="6" t="str">
        <f>IFERROR(__xludf.DUMMYFUNCTION("""COMPUTED_VALUE"""),"señor wok")</f>
        <v>señor wok</v>
      </c>
      <c r="AM194" s="12" t="str">
        <f>IFERROR(__xludf.DUMMYFUNCTION("""COMPUTED_VALUE"""),"1096037217")</f>
        <v>1096037217</v>
      </c>
      <c r="AN194" s="12">
        <f>IFERROR(__xludf.DUMMYFUNCTION("""COMPUTED_VALUE"""),3.024181204E9)</f>
        <v>3024181204</v>
      </c>
      <c r="AO194" s="6" t="str">
        <f>IFERROR(__xludf.DUMMYFUNCTION("""COMPUTED_VALUE"""),"Madre")</f>
        <v>Madre</v>
      </c>
      <c r="AP194" s="6" t="str">
        <f>IFERROR(__xludf.DUMMYFUNCTION("""COMPUTED_VALUE"""),"Estudiante(s): Bedoya Bejarano")</f>
        <v>Estudiante(s): Bedoya Bejarano</v>
      </c>
      <c r="AQ194" s="6" t="str">
        <f>IFERROR(__xludf.DUMMYFUNCTION("""COMPUTED_VALUE"""),"120451*Gi")</f>
        <v>120451*Gi</v>
      </c>
      <c r="AR194" s="6" t="str">
        <f>IFERROR(__xludf.DUMMYFUNCTION("""COMPUTED_VALUE"""),"Carlos")</f>
        <v>Carlos</v>
      </c>
      <c r="AS194" s="6" t="str">
        <f>IFERROR(__xludf.DUMMYFUNCTION("""COMPUTED_VALUE"""),"Mario")</f>
        <v>Mario</v>
      </c>
      <c r="AT194" s="6" t="str">
        <f>IFERROR(__xludf.DUMMYFUNCTION("""COMPUTED_VALUE"""),"Bedoya Marín")</f>
        <v>Bedoya Marín</v>
      </c>
      <c r="AU194" s="6" t="str">
        <f>IFERROR(__xludf.DUMMYFUNCTION("""COMPUTED_VALUE"""),"mariobid88@gmail.com")</f>
        <v>mariobid88@gmail.com</v>
      </c>
      <c r="AV194" s="6" t="str">
        <f>IFERROR(__xludf.DUMMYFUNCTION("""COMPUTED_VALUE"""),"comerciante")</f>
        <v>comerciante</v>
      </c>
      <c r="AW194" s="6" t="str">
        <f>IFERROR(__xludf.DUMMYFUNCTION("""COMPUTED_VALUE"""),"señor wok")</f>
        <v>señor wok</v>
      </c>
      <c r="AX194" s="12" t="str">
        <f>IFERROR(__xludf.DUMMYFUNCTION("""COMPUTED_VALUE"""),"1096033940")</f>
        <v>1096033940</v>
      </c>
      <c r="AY194" s="12" t="str">
        <f>IFERROR(__xludf.DUMMYFUNCTION("""COMPUTED_VALUE"""),"3114026455")</f>
        <v>3114026455</v>
      </c>
      <c r="AZ194" s="6" t="str">
        <f>IFERROR(__xludf.DUMMYFUNCTION("""COMPUTED_VALUE"""),"Padre")</f>
        <v>Padre</v>
      </c>
      <c r="BA194" s="6"/>
      <c r="BB194" s="6"/>
      <c r="BC194" s="6"/>
      <c r="BD194" s="12" t="str">
        <f>IFERROR(__xludf.DUMMYFUNCTION("""COMPUTED_VALUE"""),"bed0004")</f>
        <v>bed0004</v>
      </c>
      <c r="BE194" s="6"/>
      <c r="BF194" s="6"/>
      <c r="BG194" s="6">
        <f>IFERROR(__xludf.DUMMYFUNCTION("""COMPUTED_VALUE"""),2038.0)</f>
        <v>2038</v>
      </c>
      <c r="BH194" s="15">
        <f>IFERROR(__xludf.DUMMYFUNCTION("""COMPUTED_VALUE"""),46209.99855324074)</f>
        <v>46209.99855</v>
      </c>
      <c r="BI194" s="6">
        <f>IFERROR(__xludf.DUMMYFUNCTION("""COMPUTED_VALUE"""),193.0)</f>
        <v>193</v>
      </c>
      <c r="BJ194" s="6"/>
      <c r="BK194" s="6"/>
      <c r="BL194" s="6" t="str">
        <f>IFERROR(__xludf.DUMMYFUNCTION("""COMPUTED_VALUE"""),"GISBED0004")</f>
        <v>GISBED0004</v>
      </c>
      <c r="BM194" s="6"/>
      <c r="BN194" s="6"/>
      <c r="BO194" s="6" t="str">
        <f>IFERROR(__xludf.DUMMYFUNCTION("""COMPUTED_VALUE"""),"XC_EL_ArtesPlasticas")</f>
        <v>XC_EL_ArtesPlasticas</v>
      </c>
      <c r="BP194" s="6" t="str">
        <f>IFERROR(__xludf.DUMMYFUNCTION("""COMPUTED_VALUE"""),"XC_123_Basquetbol")</f>
        <v>XC_123_Basquetbol</v>
      </c>
      <c r="BQ194" s="6"/>
      <c r="BR194" s="6" t="str">
        <f>IFERROR(__xludf.DUMMYFUNCTION("""COMPUTED_VALUE"""),"XC_EL_PequenosCientificos")</f>
        <v>XC_EL_PequenosCientificos</v>
      </c>
      <c r="BS194" s="6" t="str">
        <f>IFERROR(__xludf.DUMMYFUNCTION("""COMPUTED_VALUE"""),"XC_123_Basquetbol")</f>
        <v>XC_123_Basquetbol</v>
      </c>
      <c r="BT194" s="6" t="str">
        <f>IFERROR(__xludf.DUMMYFUNCTION("""COMPUTED_VALUE"""),"XC_123_Basquetbol")</f>
        <v>XC_123_Basquetbol</v>
      </c>
      <c r="BU194" s="6" t="str">
        <f>IFERROR(__xludf.DUMMYFUNCTION("""COMPUTED_VALUE"""),"SI")</f>
        <v>SI</v>
      </c>
      <c r="BV194" s="6" t="str">
        <f>IFERROR(__xludf.DUMMYFUNCTION("""COMPUTED_VALUE"""),"thiago.b2038")</f>
        <v>thiago.b2038</v>
      </c>
      <c r="BW194" s="6"/>
      <c r="BX194" s="6"/>
      <c r="BY194" s="6"/>
      <c r="BZ194" s="6"/>
    </row>
    <row r="195">
      <c r="A195" s="12">
        <f>IFERROR(__xludf.DUMMYFUNCTION("""COMPUTED_VALUE"""),1.092864296E9)</f>
        <v>1092864296</v>
      </c>
      <c r="B195" s="6">
        <f>IFERROR(__xludf.DUMMYFUNCTION("""COMPUTED_VALUE"""),4.0)</f>
        <v>4</v>
      </c>
      <c r="C195" s="6" t="str">
        <f>IFERROR(__xludf.DUMMYFUNCTION("""COMPUTED_VALUE"""),"Jerónimo")</f>
        <v>Jerónimo</v>
      </c>
      <c r="D195" s="6"/>
      <c r="E195" s="6" t="str">
        <f>IFERROR(__xludf.DUMMYFUNCTION("""COMPUTED_VALUE"""),"Buriticá Cárdenas")</f>
        <v>Buriticá Cárdenas</v>
      </c>
      <c r="F195" s="6" t="str">
        <f>IFERROR(__xludf.DUMMYFUNCTION("""COMPUTED_VALUE"""),"Calle 10 No 14-20 Piso 2 - Simon Bolivar")</f>
        <v>Calle 10 No 14-20 Piso 2 - Simon Bolivar</v>
      </c>
      <c r="G195" s="12" t="str">
        <f>IFERROR(__xludf.DUMMYFUNCTION("""COMPUTED_VALUE"""),"2020")</f>
        <v>2020</v>
      </c>
      <c r="H195" s="6" t="str">
        <f>IFERROR(__xludf.DUMMYFUNCTION("""COMPUTED_VALUE"""),"Junio")</f>
        <v>Junio</v>
      </c>
      <c r="I195" s="12" t="str">
        <f>IFERROR(__xludf.DUMMYFUNCTION("""COMPUTED_VALUE"""),"28")</f>
        <v>28</v>
      </c>
      <c r="J195" s="6" t="str">
        <f>IFERROR(__xludf.DUMMYFUNCTION("""COMPUTED_VALUE"""),"Armenia")</f>
        <v>Armenia</v>
      </c>
      <c r="K195" s="6" t="str">
        <f>IFERROR(__xludf.DUMMYFUNCTION("""COMPUTED_VALUE"""),"jeronimo.b2038@gi.edu.co")</f>
        <v>jeronimo.b2038@gi.edu.co</v>
      </c>
      <c r="L195" s="6" t="str">
        <f>IFERROR(__xludf.DUMMYFUNCTION("""COMPUTED_VALUE"""),"RC")</f>
        <v>RC</v>
      </c>
      <c r="M195" s="6" t="str">
        <f>IFERROR(__xludf.DUMMYFUNCTION("""COMPUTED_VALUE"""),"Armenia")</f>
        <v>Armenia</v>
      </c>
      <c r="N195" s="6" t="str">
        <f>IFERROR(__xludf.DUMMYFUNCTION("""COMPUTED_VALUE"""),"M")</f>
        <v>M</v>
      </c>
      <c r="O195" s="6" t="str">
        <f>IFERROR(__xludf.DUMMYFUNCTION("""COMPUTED_VALUE"""),"ACTIVE")</f>
        <v>ACTIVE</v>
      </c>
      <c r="P195" s="6"/>
      <c r="Q195" s="6" t="str">
        <f>IFERROR(__xludf.DUMMYFUNCTION("""COMPUTED_VALUE"""),"Circasia")</f>
        <v>Circasia</v>
      </c>
      <c r="R195" s="12" t="str">
        <f>IFERROR(__xludf.DUMMYFUNCTION("""COMPUTED_VALUE"""),"Gi58chd*")</f>
        <v>Gi58chd*</v>
      </c>
      <c r="S195" s="6" t="str">
        <f>IFERROR(__xludf.DUMMYFUNCTION("""COMPUTED_VALUE"""),"Buriticá Cárdenas Jerónimo ")</f>
        <v>Buriticá Cárdenas Jerónimo </v>
      </c>
      <c r="T195" s="6" t="str">
        <f>IFERROR(__xludf.DUMMYFUNCTION("""COMPUTED_VALUE"""),"DAHIANA ANDREA CÁRDENAS VILLANEDA")</f>
        <v>DAHIANA ANDREA CÁRDENAS VILLANEDA</v>
      </c>
      <c r="U195" s="12" t="str">
        <f>IFERROR(__xludf.DUMMYFUNCTION("""COMPUTED_VALUE"""),"1098312244")</f>
        <v>1098312244</v>
      </c>
      <c r="V195" s="6">
        <f>IFERROR(__xludf.DUMMYFUNCTION("""COMPUTED_VALUE"""),3.147704104E9)</f>
        <v>3147704104</v>
      </c>
      <c r="W195" s="6" t="str">
        <f>IFERROR(__xludf.DUMMYFUNCTION("""COMPUTED_VALUE"""),"dahianacardenas04@gmail.com")</f>
        <v>dahianacardenas04@gmail.com</v>
      </c>
      <c r="X195" s="12" t="str">
        <f>IFERROR(__xludf.DUMMYFUNCTION("""COMPUTED_VALUE"""),"O+")</f>
        <v>O+</v>
      </c>
      <c r="Y195" s="12" t="str">
        <f>IFERROR(__xludf.DUMMYFUNCTION("""COMPUTED_VALUE"""),"1")</f>
        <v>1</v>
      </c>
      <c r="Z195" s="12">
        <f>IFERROR(__xludf.DUMMYFUNCTION("""COMPUTED_VALUE"""),120280.0)</f>
        <v>120280</v>
      </c>
      <c r="AA195" s="6" t="str">
        <f>IFERROR(__xludf.DUMMYFUNCTION("""COMPUTED_VALUE"""),"SALUD TOTAL")</f>
        <v>SALUD TOTAL</v>
      </c>
      <c r="AB195" s="6"/>
      <c r="AC195" s="12" t="str">
        <f>IFERROR(__xludf.DUMMYFUNCTION("""COMPUTED_VALUE"""),"alergia ocular")</f>
        <v>alergia ocular</v>
      </c>
      <c r="AD195" s="12" t="str">
        <f>IFERROR(__xludf.DUMMYFUNCTION("""COMPUTED_VALUE"""),"1B")</f>
        <v>1B</v>
      </c>
      <c r="AE195" s="12">
        <f>IFERROR(__xludf.DUMMYFUNCTION("""COMPUTED_VALUE"""),1.345282255E9)</f>
        <v>1345282255</v>
      </c>
      <c r="AF195" s="6"/>
      <c r="AG195" s="12" t="str">
        <f>IFERROR(__xludf.DUMMYFUNCTION("""COMPUTED_VALUE"""),"Dahiana")</f>
        <v>Dahiana</v>
      </c>
      <c r="AH195" s="12" t="str">
        <f>IFERROR(__xludf.DUMMYFUNCTION("""COMPUTED_VALUE"""),"Andrea")</f>
        <v>Andrea</v>
      </c>
      <c r="AI195" s="6" t="str">
        <f>IFERROR(__xludf.DUMMYFUNCTION("""COMPUTED_VALUE"""),"Cárdenas Villaneda")</f>
        <v>Cárdenas Villaneda</v>
      </c>
      <c r="AJ195" s="6" t="str">
        <f>IFERROR(__xludf.DUMMYFUNCTION("""COMPUTED_VALUE"""),"dahianacardenas04@gmail.com")</f>
        <v>dahianacardenas04@gmail.com</v>
      </c>
      <c r="AK195" s="6" t="str">
        <f>IFERROR(__xludf.DUMMYFUNCTION("""COMPUTED_VALUE"""),"Administradora de Negocios")</f>
        <v>Administradora de Negocios</v>
      </c>
      <c r="AL195" s="6" t="str">
        <f>IFERROR(__xludf.DUMMYFUNCTION("""COMPUTED_VALUE"""),"GI School")</f>
        <v>GI School</v>
      </c>
      <c r="AM195" s="12" t="str">
        <f>IFERROR(__xludf.DUMMYFUNCTION("""COMPUTED_VALUE"""),"1098312244")</f>
        <v>1098312244</v>
      </c>
      <c r="AN195" s="12" t="str">
        <f>IFERROR(__xludf.DUMMYFUNCTION("""COMPUTED_VALUE"""),"3147704104")</f>
        <v>3147704104</v>
      </c>
      <c r="AO195" s="6" t="str">
        <f>IFERROR(__xludf.DUMMYFUNCTION("""COMPUTED_VALUE"""),"Madre")</f>
        <v>Madre</v>
      </c>
      <c r="AP195" s="6" t="str">
        <f>IFERROR(__xludf.DUMMYFUNCTION("""COMPUTED_VALUE"""),"Estudiante(s): Buriticá Cárdenas")</f>
        <v>Estudiante(s): Buriticá Cárdenas</v>
      </c>
      <c r="AQ195" s="6" t="str">
        <f>IFERROR(__xludf.DUMMYFUNCTION("""COMPUTED_VALUE"""),"120280*Gi")</f>
        <v>120280*Gi</v>
      </c>
      <c r="AR195" s="6" t="str">
        <f>IFERROR(__xludf.DUMMYFUNCTION("""COMPUTED_VALUE"""),"Jose ")</f>
        <v>Jose </v>
      </c>
      <c r="AS195" s="6" t="str">
        <f>IFERROR(__xludf.DUMMYFUNCTION("""COMPUTED_VALUE"""),"David")</f>
        <v>David</v>
      </c>
      <c r="AT195" s="6" t="str">
        <f>IFERROR(__xludf.DUMMYFUNCTION("""COMPUTED_VALUE"""),"Buritica Sotelo")</f>
        <v>Buritica Sotelo</v>
      </c>
      <c r="AU195" s="6" t="str">
        <f>IFERROR(__xludf.DUMMYFUNCTION("""COMPUTED_VALUE"""),"jburiticasotelo@gmail.com")</f>
        <v>jburiticasotelo@gmail.com</v>
      </c>
      <c r="AV195" s="6" t="str">
        <f>IFERROR(__xludf.DUMMYFUNCTION("""COMPUTED_VALUE"""),"Ingeniero de Alimentos")</f>
        <v>Ingeniero de Alimentos</v>
      </c>
      <c r="AW195" s="6" t="str">
        <f>IFERROR(__xludf.DUMMYFUNCTION("""COMPUTED_VALUE"""),"Cooperativa Colanta")</f>
        <v>Cooperativa Colanta</v>
      </c>
      <c r="AX195" s="12" t="str">
        <f>IFERROR(__xludf.DUMMYFUNCTION("""COMPUTED_VALUE"""),"1098311620")</f>
        <v>1098311620</v>
      </c>
      <c r="AY195" s="12" t="str">
        <f>IFERROR(__xludf.DUMMYFUNCTION("""COMPUTED_VALUE"""),"3114191119")</f>
        <v>3114191119</v>
      </c>
      <c r="AZ195" s="6" t="str">
        <f>IFERROR(__xludf.DUMMYFUNCTION("""COMPUTED_VALUE"""),"Padre")</f>
        <v>Padre</v>
      </c>
      <c r="BA195" s="6"/>
      <c r="BB195" s="6"/>
      <c r="BC195" s="6"/>
      <c r="BD195" s="12" t="str">
        <f>IFERROR(__xludf.DUMMYFUNCTION("""COMPUTED_VALUE"""),"bur0003")</f>
        <v>bur0003</v>
      </c>
      <c r="BE195" s="6"/>
      <c r="BF195" s="6"/>
      <c r="BG195" s="6">
        <f>IFERROR(__xludf.DUMMYFUNCTION("""COMPUTED_VALUE"""),2038.0)</f>
        <v>2038</v>
      </c>
      <c r="BH195" s="15">
        <f>IFERROR(__xludf.DUMMYFUNCTION("""COMPUTED_VALUE"""),46209.575)</f>
        <v>46209.575</v>
      </c>
      <c r="BI195" s="6">
        <f>IFERROR(__xludf.DUMMYFUNCTION("""COMPUTED_VALUE"""),194.0)</f>
        <v>194</v>
      </c>
      <c r="BJ195" s="6"/>
      <c r="BK195" s="6"/>
      <c r="BL195" s="6" t="str">
        <f>IFERROR(__xludf.DUMMYFUNCTION("""COMPUTED_VALUE"""),"GISBUR0003")</f>
        <v>GISBUR0003</v>
      </c>
      <c r="BM195" s="6"/>
      <c r="BN195" s="6"/>
      <c r="BO195" s="6"/>
      <c r="BP195" s="6" t="str">
        <f>IFERROR(__xludf.DUMMYFUNCTION("""COMPUTED_VALUE"""),"XC_123_Basquetbol")</f>
        <v>XC_123_Basquetbol</v>
      </c>
      <c r="BQ195" s="6"/>
      <c r="BR195" s="6" t="str">
        <f>IFERROR(__xludf.DUMMYFUNCTION("""COMPUTED_VALUE"""),"XC_EL_PequenosCientificos")</f>
        <v>XC_EL_PequenosCientificos</v>
      </c>
      <c r="BS195" s="6" t="str">
        <f>IFERROR(__xludf.DUMMYFUNCTION("""COMPUTED_VALUE"""),"XC_123_Basquetbol")</f>
        <v>XC_123_Basquetbol</v>
      </c>
      <c r="BT195" s="6" t="str">
        <f>IFERROR(__xludf.DUMMYFUNCTION("""COMPUTED_VALUE"""),"XC_123_Basquetbol")</f>
        <v>XC_123_Basquetbol</v>
      </c>
      <c r="BU195" s="6" t="str">
        <f>IFERROR(__xludf.DUMMYFUNCTION("""COMPUTED_VALUE"""),"SI")</f>
        <v>SI</v>
      </c>
      <c r="BV195" s="6" t="str">
        <f>IFERROR(__xludf.DUMMYFUNCTION("""COMPUTED_VALUE"""),"jeronimo.b2038")</f>
        <v>jeronimo.b2038</v>
      </c>
      <c r="BW195" s="6"/>
      <c r="BX195" s="6"/>
      <c r="BY195" s="6"/>
      <c r="BZ195" s="6"/>
    </row>
    <row r="196">
      <c r="A196" s="12">
        <f>IFERROR(__xludf.DUMMYFUNCTION("""COMPUTED_VALUE"""),1.014902503E9)</f>
        <v>1014902503</v>
      </c>
      <c r="B196" s="6">
        <f>IFERROR(__xludf.DUMMYFUNCTION("""COMPUTED_VALUE"""),5.0)</f>
        <v>5</v>
      </c>
      <c r="C196" s="6" t="str">
        <f>IFERROR(__xludf.DUMMYFUNCTION("""COMPUTED_VALUE"""),"Florencia")</f>
        <v>Florencia</v>
      </c>
      <c r="D196" s="6"/>
      <c r="E196" s="6" t="str">
        <f>IFERROR(__xludf.DUMMYFUNCTION("""COMPUTED_VALUE"""),"Cardona Valderrama")</f>
        <v>Cardona Valderrama</v>
      </c>
      <c r="F196" s="6" t="str">
        <f>IFERROR(__xludf.DUMMYFUNCTION("""COMPUTED_VALUE"""),"Colina Del Parque Casa A6 - Cra 11 9Nte - 01 La Castellana")</f>
        <v>Colina Del Parque Casa A6 - Cra 11 9Nte - 01 La Castellana</v>
      </c>
      <c r="G196" s="12" t="str">
        <f>IFERROR(__xludf.DUMMYFUNCTION("""COMPUTED_VALUE"""),"2020")</f>
        <v>2020</v>
      </c>
      <c r="H196" s="6" t="str">
        <f>IFERROR(__xludf.DUMMYFUNCTION("""COMPUTED_VALUE"""),"Enero")</f>
        <v>Enero</v>
      </c>
      <c r="I196" s="12" t="str">
        <f>IFERROR(__xludf.DUMMYFUNCTION("""COMPUTED_VALUE"""),"26")</f>
        <v>26</v>
      </c>
      <c r="J196" s="6" t="str">
        <f>IFERROR(__xludf.DUMMYFUNCTION("""COMPUTED_VALUE"""),"Bogotá D.C.")</f>
        <v>Bogotá D.C.</v>
      </c>
      <c r="K196" s="6" t="str">
        <f>IFERROR(__xludf.DUMMYFUNCTION("""COMPUTED_VALUE"""),"florencia.c2038@gi.edu.co")</f>
        <v>florencia.c2038@gi.edu.co</v>
      </c>
      <c r="L196" s="6" t="str">
        <f>IFERROR(__xludf.DUMMYFUNCTION("""COMPUTED_VALUE"""),"RC")</f>
        <v>RC</v>
      </c>
      <c r="M196" s="6" t="str">
        <f>IFERROR(__xludf.DUMMYFUNCTION("""COMPUTED_VALUE"""),"Bogotá D.C.")</f>
        <v>Bogotá D.C.</v>
      </c>
      <c r="N196" s="6" t="str">
        <f>IFERROR(__xludf.DUMMYFUNCTION("""COMPUTED_VALUE"""),"F")</f>
        <v>F</v>
      </c>
      <c r="O196" s="6" t="str">
        <f>IFERROR(__xludf.DUMMYFUNCTION("""COMPUTED_VALUE"""),"INACTIVE")</f>
        <v>INACTIVE</v>
      </c>
      <c r="P196" s="6"/>
      <c r="Q196" s="6" t="str">
        <f>IFERROR(__xludf.DUMMYFUNCTION("""COMPUTED_VALUE"""),"Armenia")</f>
        <v>Armenia</v>
      </c>
      <c r="R196" s="12" t="str">
        <f>IFERROR(__xludf.DUMMYFUNCTION("""COMPUTED_VALUE"""),"Gidkfg5*")</f>
        <v>Gidkfg5*</v>
      </c>
      <c r="S196" s="6" t="str">
        <f>IFERROR(__xludf.DUMMYFUNCTION("""COMPUTED_VALUE"""),"Cardona Valderrama Florencia ")</f>
        <v>Cardona Valderrama Florencia </v>
      </c>
      <c r="T196" s="6" t="str">
        <f>IFERROR(__xludf.DUMMYFUNCTION("""COMPUTED_VALUE"""),"SARA VALDERRAMA CARDONA")</f>
        <v>SARA VALDERRAMA CARDONA</v>
      </c>
      <c r="U196" s="12" t="str">
        <f>IFERROR(__xludf.DUMMYFUNCTION("""COMPUTED_VALUE"""),"1017164127")</f>
        <v>1017164127</v>
      </c>
      <c r="V196" s="6">
        <f>IFERROR(__xludf.DUMMYFUNCTION("""COMPUTED_VALUE"""),3.163091317E9)</f>
        <v>3163091317</v>
      </c>
      <c r="W196" s="6" t="str">
        <f>IFERROR(__xludf.DUMMYFUNCTION("""COMPUTED_VALUE"""),"saravalderramacardona@gmail.com")</f>
        <v>saravalderramacardona@gmail.com</v>
      </c>
      <c r="X196" s="12" t="str">
        <f>IFERROR(__xludf.DUMMYFUNCTION("""COMPUTED_VALUE"""),"A+")</f>
        <v>A+</v>
      </c>
      <c r="Y196" s="12" t="str">
        <f>IFERROR(__xludf.DUMMYFUNCTION("""COMPUTED_VALUE"""),"1")</f>
        <v>1</v>
      </c>
      <c r="Z196" s="12">
        <f>IFERROR(__xludf.DUMMYFUNCTION("""COMPUTED_VALUE"""),120369.0)</f>
        <v>120369</v>
      </c>
      <c r="AA196" s="6" t="str">
        <f>IFERROR(__xludf.DUMMYFUNCTION("""COMPUTED_VALUE"""),"SURA")</f>
        <v>SURA</v>
      </c>
      <c r="AB196" s="6"/>
      <c r="AC196" s="12" t="str">
        <f>IFERROR(__xludf.DUMMYFUNCTION("""COMPUTED_VALUE"""),"AL POLVO - al frio")</f>
        <v>AL POLVO - al frio</v>
      </c>
      <c r="AD196" s="12" t="str">
        <f>IFERROR(__xludf.DUMMYFUNCTION("""COMPUTED_VALUE"""),"1B")</f>
        <v>1B</v>
      </c>
      <c r="AE196" s="12" t="str">
        <f>IFERROR(__xludf.DUMMYFUNCTION("""COMPUTED_VALUE"""),"1345282366")</f>
        <v>1345282366</v>
      </c>
      <c r="AF196" s="6"/>
      <c r="AG196" s="12" t="str">
        <f>IFERROR(__xludf.DUMMYFUNCTION("""COMPUTED_VALUE"""),"Sara")</f>
        <v>Sara</v>
      </c>
      <c r="AH196" s="6"/>
      <c r="AI196" s="6" t="str">
        <f>IFERROR(__xludf.DUMMYFUNCTION("""COMPUTED_VALUE"""),"Valderrama Cardona")</f>
        <v>Valderrama Cardona</v>
      </c>
      <c r="AJ196" s="6" t="str">
        <f>IFERROR(__xludf.DUMMYFUNCTION("""COMPUTED_VALUE"""),"saravalderramacardona@gmail.com")</f>
        <v>saravalderramacardona@gmail.com</v>
      </c>
      <c r="AK196" s="6" t="str">
        <f>IFERROR(__xludf.DUMMYFUNCTION("""COMPUTED_VALUE"""),"Creadora de contenido digital")</f>
        <v>Creadora de contenido digital</v>
      </c>
      <c r="AL196" s="6" t="str">
        <f>IFERROR(__xludf.DUMMYFUNCTION("""COMPUTED_VALUE"""),"INVERTIMOS CS SAS")</f>
        <v>INVERTIMOS CS SAS</v>
      </c>
      <c r="AM196" s="12" t="str">
        <f>IFERROR(__xludf.DUMMYFUNCTION("""COMPUTED_VALUE"""),"1017164127")</f>
        <v>1017164127</v>
      </c>
      <c r="AN196" s="12" t="str">
        <f>IFERROR(__xludf.DUMMYFUNCTION("""COMPUTED_VALUE"""),"3163091317")</f>
        <v>3163091317</v>
      </c>
      <c r="AO196" s="6" t="str">
        <f>IFERROR(__xludf.DUMMYFUNCTION("""COMPUTED_VALUE"""),"Madre")</f>
        <v>Madre</v>
      </c>
      <c r="AP196" s="6" t="str">
        <f>IFERROR(__xludf.DUMMYFUNCTION("""COMPUTED_VALUE"""),"Estudiante(s): Cardona Valderrama")</f>
        <v>Estudiante(s): Cardona Valderrama</v>
      </c>
      <c r="AQ196" s="6" t="str">
        <f>IFERROR(__xludf.DUMMYFUNCTION("""COMPUTED_VALUE"""),"120132*Gi")</f>
        <v>120132*Gi</v>
      </c>
      <c r="AR196" s="6" t="str">
        <f>IFERROR(__xludf.DUMMYFUNCTION("""COMPUTED_VALUE"""),"Felipe")</f>
        <v>Felipe</v>
      </c>
      <c r="AS196" s="6"/>
      <c r="AT196" s="6" t="str">
        <f>IFERROR(__xludf.DUMMYFUNCTION("""COMPUTED_VALUE"""),"Cardona Salazar")</f>
        <v>Cardona Salazar</v>
      </c>
      <c r="AU196" s="6" t="str">
        <f>IFERROR(__xludf.DUMMYFUNCTION("""COMPUTED_VALUE"""),"cardona175@gmail.com")</f>
        <v>cardona175@gmail.com</v>
      </c>
      <c r="AV196" s="6" t="str">
        <f>IFERROR(__xludf.DUMMYFUNCTION("""COMPUTED_VALUE"""),"Administrador de empresas")</f>
        <v>Administrador de empresas</v>
      </c>
      <c r="AW196" s="6" t="str">
        <f>IFERROR(__xludf.DUMMYFUNCTION("""COMPUTED_VALUE"""),"INVERTIMOS CS SAS")</f>
        <v>INVERTIMOS CS SAS</v>
      </c>
      <c r="AX196" s="12" t="str">
        <f>IFERROR(__xludf.DUMMYFUNCTION("""COMPUTED_VALUE"""),"1094912693")</f>
        <v>1094912693</v>
      </c>
      <c r="AY196" s="12">
        <f>IFERROR(__xludf.DUMMYFUNCTION("""COMPUTED_VALUE"""),3.164823914E9)</f>
        <v>3164823914</v>
      </c>
      <c r="AZ196" s="6" t="str">
        <f>IFERROR(__xludf.DUMMYFUNCTION("""COMPUTED_VALUE"""),"Padre")</f>
        <v>Padre</v>
      </c>
      <c r="BA196" s="6"/>
      <c r="BB196" s="6"/>
      <c r="BC196" s="6"/>
      <c r="BD196" s="12" t="str">
        <f>IFERROR(__xludf.DUMMYFUNCTION("""COMPUTED_VALUE"""),"car0002")</f>
        <v>car0002</v>
      </c>
      <c r="BE196" s="6" t="str">
        <f>IFERROR(__xludf.DUMMYFUNCTION("""COMPUTED_VALUE"""),"FALTAN FIRMAS")</f>
        <v>FALTAN FIRMAS</v>
      </c>
      <c r="BF196" s="6"/>
      <c r="BG196" s="6">
        <f>IFERROR(__xludf.DUMMYFUNCTION("""COMPUTED_VALUE"""),2038.0)</f>
        <v>2038</v>
      </c>
      <c r="BH196" s="15">
        <f>IFERROR(__xludf.DUMMYFUNCTION("""COMPUTED_VALUE"""),46218.44721064815)</f>
        <v>46218.44721</v>
      </c>
      <c r="BI196" s="6">
        <f>IFERROR(__xludf.DUMMYFUNCTION("""COMPUTED_VALUE"""),195.0)</f>
        <v>195</v>
      </c>
      <c r="BJ196" s="6"/>
      <c r="BK196" s="6"/>
      <c r="BL196" s="6" t="str">
        <f>IFERROR(__xludf.DUMMYFUNCTION("""COMPUTED_VALUE"""),"GISCAR0002")</f>
        <v>GISCAR0002</v>
      </c>
      <c r="BM196" s="6"/>
      <c r="BN196" s="6"/>
      <c r="BO196" s="6"/>
      <c r="BP196" s="6" t="str">
        <f>IFERROR(__xludf.DUMMYFUNCTION("""COMPUTED_VALUE"""),"XC_EL_Porras")</f>
        <v>XC_EL_Porras</v>
      </c>
      <c r="BQ196" s="6" t="str">
        <f>IFERROR(__xludf.DUMMYFUNCTION("""COMPUTED_VALUE"""),"XC_EL_Porras")</f>
        <v>XC_EL_Porras</v>
      </c>
      <c r="BR196" s="6" t="str">
        <f>IFERROR(__xludf.DUMMYFUNCTION("""COMPUTED_VALUE"""),"XC_EL_DanzaModerna")</f>
        <v>XC_EL_DanzaModerna</v>
      </c>
      <c r="BS196" s="6" t="str">
        <f>IFERROR(__xludf.DUMMYFUNCTION("""COMPUTED_VALUE"""),"XC_EL_Porras")</f>
        <v>XC_EL_Porras</v>
      </c>
      <c r="BT196" s="6"/>
      <c r="BU196" s="6" t="str">
        <f>IFERROR(__xludf.DUMMYFUNCTION("""COMPUTED_VALUE"""),"SI")</f>
        <v>SI</v>
      </c>
      <c r="BV196" s="6" t="str">
        <f>IFERROR(__xludf.DUMMYFUNCTION("""COMPUTED_VALUE"""),"florencia.c2038")</f>
        <v>florencia.c2038</v>
      </c>
      <c r="BW196" s="6"/>
      <c r="BX196" s="6"/>
      <c r="BY196" s="6"/>
      <c r="BZ196" s="6"/>
    </row>
    <row r="197">
      <c r="A197" s="12">
        <f>IFERROR(__xludf.DUMMYFUNCTION("""COMPUTED_VALUE"""),1.220475645E9)</f>
        <v>1220475645</v>
      </c>
      <c r="B197" s="6">
        <f>IFERROR(__xludf.DUMMYFUNCTION("""COMPUTED_VALUE"""),6.0)</f>
        <v>6</v>
      </c>
      <c r="C197" s="6" t="str">
        <f>IFERROR(__xludf.DUMMYFUNCTION("""COMPUTED_VALUE"""),"Jacobo")</f>
        <v>Jacobo</v>
      </c>
      <c r="D197" s="6"/>
      <c r="E197" s="6" t="str">
        <f>IFERROR(__xludf.DUMMYFUNCTION("""COMPUTED_VALUE"""),"De León Rodríguez")</f>
        <v>De León Rodríguez</v>
      </c>
      <c r="F197" s="6" t="str">
        <f>IFERROR(__xludf.DUMMYFUNCTION("""COMPUTED_VALUE"""),"Condominio Campestre La Reserva Casa 23 - Cra 5 No10Nte - 25 Av Centenario")</f>
        <v>Condominio Campestre La Reserva Casa 23 - Cra 5 No10Nte - 25 Av Centenario</v>
      </c>
      <c r="G197" s="12" t="str">
        <f>IFERROR(__xludf.DUMMYFUNCTION("""COMPUTED_VALUE"""),"2020")</f>
        <v>2020</v>
      </c>
      <c r="H197" s="6" t="str">
        <f>IFERROR(__xludf.DUMMYFUNCTION("""COMPUTED_VALUE"""),"Abril")</f>
        <v>Abril</v>
      </c>
      <c r="I197" s="12" t="str">
        <f>IFERROR(__xludf.DUMMYFUNCTION("""COMPUTED_VALUE"""),"9")</f>
        <v>9</v>
      </c>
      <c r="J197" s="6" t="str">
        <f>IFERROR(__xludf.DUMMYFUNCTION("""COMPUTED_VALUE"""),"Miami")</f>
        <v>Miami</v>
      </c>
      <c r="K197" s="6" t="str">
        <f>IFERROR(__xludf.DUMMYFUNCTION("""COMPUTED_VALUE"""),"jacobo.d2038@gi.edu.co")</f>
        <v>jacobo.d2038@gi.edu.co</v>
      </c>
      <c r="L197" s="6" t="str">
        <f>IFERROR(__xludf.DUMMYFUNCTION("""COMPUTED_VALUE"""),"RC")</f>
        <v>RC</v>
      </c>
      <c r="M197" s="6" t="str">
        <f>IFERROR(__xludf.DUMMYFUNCTION("""COMPUTED_VALUE"""),"Bogotá D.C.")</f>
        <v>Bogotá D.C.</v>
      </c>
      <c r="N197" s="6" t="str">
        <f>IFERROR(__xludf.DUMMYFUNCTION("""COMPUTED_VALUE"""),"M")</f>
        <v>M</v>
      </c>
      <c r="O197" s="6" t="str">
        <f>IFERROR(__xludf.DUMMYFUNCTION("""COMPUTED_VALUE"""),"INACTIVE")</f>
        <v>INACTIVE</v>
      </c>
      <c r="P197" s="6"/>
      <c r="Q197" s="6" t="str">
        <f>IFERROR(__xludf.DUMMYFUNCTION("""COMPUTED_VALUE"""),"Armenia")</f>
        <v>Armenia</v>
      </c>
      <c r="R197" s="12" t="str">
        <f>IFERROR(__xludf.DUMMYFUNCTION("""COMPUTED_VALUE"""),"Gi22abd*")</f>
        <v>Gi22abd*</v>
      </c>
      <c r="S197" s="6" t="str">
        <f>IFERROR(__xludf.DUMMYFUNCTION("""COMPUTED_VALUE"""),"De León Rodríguez Jacobo ")</f>
        <v>De León Rodríguez Jacobo </v>
      </c>
      <c r="T197" s="6" t="str">
        <f>IFERROR(__xludf.DUMMYFUNCTION("""COMPUTED_VALUE"""),"MAURICIO ANDRES DE LEON OSPINA")</f>
        <v>MAURICIO ANDRES DE LEON OSPINA</v>
      </c>
      <c r="U197" s="12" t="str">
        <f>IFERROR(__xludf.DUMMYFUNCTION("""COMPUTED_VALUE"""),"73144658")</f>
        <v>73144658</v>
      </c>
      <c r="V197" s="6">
        <f>IFERROR(__xludf.DUMMYFUNCTION("""COMPUTED_VALUE"""),3.107519019E9)</f>
        <v>3107519019</v>
      </c>
      <c r="W197" s="6" t="str">
        <f>IFERROR(__xludf.DUMMYFUNCTION("""COMPUTED_VALUE"""),"maodeleon@gmail.com")</f>
        <v>maodeleon@gmail.com</v>
      </c>
      <c r="X197" s="12" t="str">
        <f>IFERROR(__xludf.DUMMYFUNCTION("""COMPUTED_VALUE"""),"O+")</f>
        <v>O+</v>
      </c>
      <c r="Y197" s="12" t="str">
        <f>IFERROR(__xludf.DUMMYFUNCTION("""COMPUTED_VALUE"""),"1")</f>
        <v>1</v>
      </c>
      <c r="Z197" s="12">
        <f>IFERROR(__xludf.DUMMYFUNCTION("""COMPUTED_VALUE"""),120053.0)</f>
        <v>120053</v>
      </c>
      <c r="AA197" s="6" t="str">
        <f>IFERROR(__xludf.DUMMYFUNCTION("""COMPUTED_VALUE"""),"SANITAS")</f>
        <v>SANITAS</v>
      </c>
      <c r="AB197" s="6"/>
      <c r="AC197" s="6"/>
      <c r="AD197" s="12" t="str">
        <f>IFERROR(__xludf.DUMMYFUNCTION("""COMPUTED_VALUE"""),"1B")</f>
        <v>1B</v>
      </c>
      <c r="AE197" s="12">
        <f>IFERROR(__xludf.DUMMYFUNCTION("""COMPUTED_VALUE"""),1.345282256E9)</f>
        <v>1345282256</v>
      </c>
      <c r="AF197" s="6"/>
      <c r="AG197" s="12" t="str">
        <f>IFERROR(__xludf.DUMMYFUNCTION("""COMPUTED_VALUE"""),"Ana")</f>
        <v>Ana</v>
      </c>
      <c r="AH197" s="12" t="str">
        <f>IFERROR(__xludf.DUMMYFUNCTION("""COMPUTED_VALUE"""),"Milena")</f>
        <v>Milena</v>
      </c>
      <c r="AI197" s="6" t="str">
        <f>IFERROR(__xludf.DUMMYFUNCTION("""COMPUTED_VALUE"""),"Rodríguez González")</f>
        <v>Rodríguez González</v>
      </c>
      <c r="AJ197" s="6" t="str">
        <f>IFERROR(__xludf.DUMMYFUNCTION("""COMPUTED_VALUE"""),"rogoam7@gmail.com")</f>
        <v>rogoam7@gmail.com</v>
      </c>
      <c r="AK197" s="6" t="str">
        <f>IFERROR(__xludf.DUMMYFUNCTION("""COMPUTED_VALUE"""),"Oficial Naval - Administrador Maritimo")</f>
        <v>Oficial Naval - Administrador Maritimo</v>
      </c>
      <c r="AL197" s="6" t="str">
        <f>IFERROR(__xludf.DUMMYFUNCTION("""COMPUTED_VALUE"""),"Armada Nacional")</f>
        <v>Armada Nacional</v>
      </c>
      <c r="AM197" s="12" t="str">
        <f>IFERROR(__xludf.DUMMYFUNCTION("""COMPUTED_VALUE"""),"37864856")</f>
        <v>37864856</v>
      </c>
      <c r="AN197" s="12" t="str">
        <f>IFERROR(__xludf.DUMMYFUNCTION("""COMPUTED_VALUE"""),"3125337393")</f>
        <v>3125337393</v>
      </c>
      <c r="AO197" s="6" t="str">
        <f>IFERROR(__xludf.DUMMYFUNCTION("""COMPUTED_VALUE"""),"Madre")</f>
        <v>Madre</v>
      </c>
      <c r="AP197" s="6" t="str">
        <f>IFERROR(__xludf.DUMMYFUNCTION("""COMPUTED_VALUE"""),"Estudiante(s): De León Rodríguez")</f>
        <v>Estudiante(s): De León Rodríguez</v>
      </c>
      <c r="AQ197" s="6" t="str">
        <f>IFERROR(__xludf.DUMMYFUNCTION("""COMPUTED_VALUE"""),"120053*Gi")</f>
        <v>120053*Gi</v>
      </c>
      <c r="AR197" s="6" t="str">
        <f>IFERROR(__xludf.DUMMYFUNCTION("""COMPUTED_VALUE"""),"Mauricio")</f>
        <v>Mauricio</v>
      </c>
      <c r="AS197" s="6" t="str">
        <f>IFERROR(__xludf.DUMMYFUNCTION("""COMPUTED_VALUE"""),"Andrés")</f>
        <v>Andrés</v>
      </c>
      <c r="AT197" s="6" t="str">
        <f>IFERROR(__xludf.DUMMYFUNCTION("""COMPUTED_VALUE"""),"De León Ospina")</f>
        <v>De León Ospina</v>
      </c>
      <c r="AU197" s="6" t="str">
        <f>IFERROR(__xludf.DUMMYFUNCTION("""COMPUTED_VALUE"""),"maodeleon@gmail.com")</f>
        <v>maodeleon@gmail.com</v>
      </c>
      <c r="AV197" s="6" t="str">
        <f>IFERROR(__xludf.DUMMYFUNCTION("""COMPUTED_VALUE"""),"Oficial Naval - Administrador Maritimo")</f>
        <v>Oficial Naval - Administrador Maritimo</v>
      </c>
      <c r="AW197" s="6" t="str">
        <f>IFERROR(__xludf.DUMMYFUNCTION("""COMPUTED_VALUE"""),"Armada Nacional")</f>
        <v>Armada Nacional</v>
      </c>
      <c r="AX197" s="12" t="str">
        <f>IFERROR(__xludf.DUMMYFUNCTION("""COMPUTED_VALUE"""),"73144658")</f>
        <v>73144658</v>
      </c>
      <c r="AY197" s="12" t="str">
        <f>IFERROR(__xludf.DUMMYFUNCTION("""COMPUTED_VALUE"""),"3107519019")</f>
        <v>3107519019</v>
      </c>
      <c r="AZ197" s="6" t="str">
        <f>IFERROR(__xludf.DUMMYFUNCTION("""COMPUTED_VALUE"""),"Padre")</f>
        <v>Padre</v>
      </c>
      <c r="BA197" s="6"/>
      <c r="BB197" s="6"/>
      <c r="BC197" s="6"/>
      <c r="BD197" s="12" t="str">
        <f>IFERROR(__xludf.DUMMYFUNCTION("""COMPUTED_VALUE"""),"del0002")</f>
        <v>del0002</v>
      </c>
      <c r="BE197" s="6" t="str">
        <f>IFERROR(__xludf.DUMMYFUNCTION("""COMPUTED_VALUE"""),"FALTAN FIRMAS")</f>
        <v>FALTAN FIRMAS</v>
      </c>
      <c r="BF197" s="6"/>
      <c r="BG197" s="6">
        <f>IFERROR(__xludf.DUMMYFUNCTION("""COMPUTED_VALUE"""),2038.0)</f>
        <v>2038</v>
      </c>
      <c r="BH197" s="15">
        <f>IFERROR(__xludf.DUMMYFUNCTION("""COMPUTED_VALUE"""),46213.591157407405)</f>
        <v>46213.59116</v>
      </c>
      <c r="BI197" s="6">
        <f>IFERROR(__xludf.DUMMYFUNCTION("""COMPUTED_VALUE"""),196.0)</f>
        <v>196</v>
      </c>
      <c r="BJ197" s="6"/>
      <c r="BK197" s="6"/>
      <c r="BL197" s="6" t="str">
        <f>IFERROR(__xludf.DUMMYFUNCTION("""COMPUTED_VALUE"""),"GISDEL0002")</f>
        <v>GISDEL0002</v>
      </c>
      <c r="BM197" s="6"/>
      <c r="BN197" s="6"/>
      <c r="BO197" s="6"/>
      <c r="BP197" s="6" t="str">
        <f>IFERROR(__xludf.DUMMYFUNCTION("""COMPUTED_VALUE"""),"XC_123_Basquetbol")</f>
        <v>XC_123_Basquetbol</v>
      </c>
      <c r="BQ197" s="6"/>
      <c r="BR197" s="6"/>
      <c r="BS197" s="6" t="str">
        <f>IFERROR(__xludf.DUMMYFUNCTION("""COMPUTED_VALUE"""),"XC_123_Basquetbol")</f>
        <v>XC_123_Basquetbol</v>
      </c>
      <c r="BT197" s="6" t="str">
        <f>IFERROR(__xludf.DUMMYFUNCTION("""COMPUTED_VALUE"""),"XC_123_Basquetbol")</f>
        <v>XC_123_Basquetbol</v>
      </c>
      <c r="BU197" s="6" t="str">
        <f>IFERROR(__xludf.DUMMYFUNCTION("""COMPUTED_VALUE"""),"SI")</f>
        <v>SI</v>
      </c>
      <c r="BV197" s="6" t="str">
        <f>IFERROR(__xludf.DUMMYFUNCTION("""COMPUTED_VALUE"""),"jacobo.d2038")</f>
        <v>jacobo.d2038</v>
      </c>
      <c r="BW197" s="6"/>
      <c r="BX197" s="6"/>
      <c r="BY197" s="6"/>
      <c r="BZ197" s="6"/>
    </row>
    <row r="198">
      <c r="A198" s="12">
        <f>IFERROR(__xludf.DUMMYFUNCTION("""COMPUTED_VALUE"""),1.090282173E9)</f>
        <v>1090282173</v>
      </c>
      <c r="B198" s="6">
        <f>IFERROR(__xludf.DUMMYFUNCTION("""COMPUTED_VALUE"""),7.0)</f>
        <v>7</v>
      </c>
      <c r="C198" s="6" t="str">
        <f>IFERROR(__xludf.DUMMYFUNCTION("""COMPUTED_VALUE"""),"Alicia")</f>
        <v>Alicia</v>
      </c>
      <c r="D198" s="6"/>
      <c r="E198" s="6" t="str">
        <f>IFERROR(__xludf.DUMMYFUNCTION("""COMPUTED_VALUE"""),"Echeverri Hernández")</f>
        <v>Echeverri Hernández</v>
      </c>
      <c r="F198" s="6" t="str">
        <f>IFERROR(__xludf.DUMMYFUNCTION("""COMPUTED_VALUE"""),"Condominio Campestre La Reserva Casa 28 - Cra 5 No10Nte - 25 Av Centenario")</f>
        <v>Condominio Campestre La Reserva Casa 28 - Cra 5 No10Nte - 25 Av Centenario</v>
      </c>
      <c r="G198" s="12" t="str">
        <f>IFERROR(__xludf.DUMMYFUNCTION("""COMPUTED_VALUE"""),"2020")</f>
        <v>2020</v>
      </c>
      <c r="H198" s="6" t="str">
        <f>IFERROR(__xludf.DUMMYFUNCTION("""COMPUTED_VALUE"""),"Mayo")</f>
        <v>Mayo</v>
      </c>
      <c r="I198" s="12" t="str">
        <f>IFERROR(__xludf.DUMMYFUNCTION("""COMPUTED_VALUE"""),"21")</f>
        <v>21</v>
      </c>
      <c r="J198" s="6" t="str">
        <f>IFERROR(__xludf.DUMMYFUNCTION("""COMPUTED_VALUE"""),"Armenia")</f>
        <v>Armenia</v>
      </c>
      <c r="K198" s="6" t="str">
        <f>IFERROR(__xludf.DUMMYFUNCTION("""COMPUTED_VALUE"""),"alicia.e2038@gi.edu.co")</f>
        <v>alicia.e2038@gi.edu.co</v>
      </c>
      <c r="L198" s="6" t="str">
        <f>IFERROR(__xludf.DUMMYFUNCTION("""COMPUTED_VALUE"""),"NUIP")</f>
        <v>NUIP</v>
      </c>
      <c r="M198" s="6" t="str">
        <f>IFERROR(__xludf.DUMMYFUNCTION("""COMPUTED_VALUE"""),"Envigado")</f>
        <v>Envigado</v>
      </c>
      <c r="N198" s="6" t="str">
        <f>IFERROR(__xludf.DUMMYFUNCTION("""COMPUTED_VALUE"""),"F")</f>
        <v>F</v>
      </c>
      <c r="O198" s="6" t="str">
        <f>IFERROR(__xludf.DUMMYFUNCTION("""COMPUTED_VALUE"""),"ACTIVE")</f>
        <v>ACTIVE</v>
      </c>
      <c r="P198" s="6"/>
      <c r="Q198" s="6" t="str">
        <f>IFERROR(__xludf.DUMMYFUNCTION("""COMPUTED_VALUE"""),"Armenia")</f>
        <v>Armenia</v>
      </c>
      <c r="R198" s="12" t="str">
        <f>IFERROR(__xludf.DUMMYFUNCTION("""COMPUTED_VALUE"""),"Gidu37z*")</f>
        <v>Gidu37z*</v>
      </c>
      <c r="S198" s="6" t="str">
        <f>IFERROR(__xludf.DUMMYFUNCTION("""COMPUTED_VALUE"""),"Echeverri Hernández Alicia ")</f>
        <v>Echeverri Hernández Alicia </v>
      </c>
      <c r="T198" s="6" t="str">
        <f>IFERROR(__xludf.DUMMYFUNCTION("""COMPUTED_VALUE"""),"JOAQUIN ANIBAL ECHEVERRI HERRAN")</f>
        <v>JOAQUIN ANIBAL ECHEVERRI HERRAN</v>
      </c>
      <c r="U198" s="12" t="str">
        <f>IFERROR(__xludf.DUMMYFUNCTION("""COMPUTED_VALUE"""),"18496696")</f>
        <v>18496696</v>
      </c>
      <c r="V198" s="6">
        <f>IFERROR(__xludf.DUMMYFUNCTION("""COMPUTED_VALUE"""),3.113007272E9)</f>
        <v>3113007272</v>
      </c>
      <c r="W198" s="6" t="str">
        <f>IFERROR(__xludf.DUMMYFUNCTION("""COMPUTED_VALUE"""),"joacoeche@yahoo.com")</f>
        <v>joacoeche@yahoo.com</v>
      </c>
      <c r="X198" s="12" t="str">
        <f>IFERROR(__xludf.DUMMYFUNCTION("""COMPUTED_VALUE"""),"AB+")</f>
        <v>AB+</v>
      </c>
      <c r="Y198" s="12" t="str">
        <f>IFERROR(__xludf.DUMMYFUNCTION("""COMPUTED_VALUE"""),"1")</f>
        <v>1</v>
      </c>
      <c r="Z198" s="12">
        <f>IFERROR(__xludf.DUMMYFUNCTION("""COMPUTED_VALUE"""),120281.0)</f>
        <v>120281</v>
      </c>
      <c r="AA198" s="6" t="str">
        <f>IFERROR(__xludf.DUMMYFUNCTION("""COMPUTED_VALUE"""),"SURA")</f>
        <v>SURA</v>
      </c>
      <c r="AB198" s="6"/>
      <c r="AC198" s="12" t="str">
        <f>IFERROR(__xludf.DUMMYFUNCTION("""COMPUTED_VALUE"""),"Mosquitos")</f>
        <v>Mosquitos</v>
      </c>
      <c r="AD198" s="12" t="str">
        <f>IFERROR(__xludf.DUMMYFUNCTION("""COMPUTED_VALUE"""),"1B")</f>
        <v>1B</v>
      </c>
      <c r="AE198" s="12">
        <f>IFERROR(__xludf.DUMMYFUNCTION("""COMPUTED_VALUE"""),1.345282264E9)</f>
        <v>1345282264</v>
      </c>
      <c r="AF198" s="6"/>
      <c r="AG198" s="12" t="str">
        <f>IFERROR(__xludf.DUMMYFUNCTION("""COMPUTED_VALUE"""),"Oriana")</f>
        <v>Oriana</v>
      </c>
      <c r="AH198" s="6"/>
      <c r="AI198" s="6" t="str">
        <f>IFERROR(__xludf.DUMMYFUNCTION("""COMPUTED_VALUE"""),"Hernández Alcalde")</f>
        <v>Hernández Alcalde</v>
      </c>
      <c r="AJ198" s="6" t="str">
        <f>IFERROR(__xludf.DUMMYFUNCTION("""COMPUTED_VALUE"""),"orialcalde@gmail.com")</f>
        <v>orialcalde@gmail.com</v>
      </c>
      <c r="AK198" s="6" t="str">
        <f>IFERROR(__xludf.DUMMYFUNCTION("""COMPUTED_VALUE"""),"PERIODISTA")</f>
        <v>PERIODISTA</v>
      </c>
      <c r="AL198" s="6"/>
      <c r="AM198" s="12" t="str">
        <f>IFERROR(__xludf.DUMMYFUNCTION("""COMPUTED_VALUE"""),"41958023")</f>
        <v>41958023</v>
      </c>
      <c r="AN198" s="12" t="str">
        <f>IFERROR(__xludf.DUMMYFUNCTION("""COMPUTED_VALUE"""),"3204903469")</f>
        <v>3204903469</v>
      </c>
      <c r="AO198" s="6" t="str">
        <f>IFERROR(__xludf.DUMMYFUNCTION("""COMPUTED_VALUE"""),"Madre")</f>
        <v>Madre</v>
      </c>
      <c r="AP198" s="6" t="str">
        <f>IFERROR(__xludf.DUMMYFUNCTION("""COMPUTED_VALUE"""),"Estudiante(s): Echeverri Hernández")</f>
        <v>Estudiante(s): Echeverri Hernández</v>
      </c>
      <c r="AQ198" s="6" t="str">
        <f>IFERROR(__xludf.DUMMYFUNCTION("""COMPUTED_VALUE"""),"120281*Gi")</f>
        <v>120281*Gi</v>
      </c>
      <c r="AR198" s="6" t="str">
        <f>IFERROR(__xludf.DUMMYFUNCTION("""COMPUTED_VALUE"""),"Joaquin ")</f>
        <v>Joaquin </v>
      </c>
      <c r="AS198" s="6" t="str">
        <f>IFERROR(__xludf.DUMMYFUNCTION("""COMPUTED_VALUE"""),"Anibal")</f>
        <v>Anibal</v>
      </c>
      <c r="AT198" s="6" t="str">
        <f>IFERROR(__xludf.DUMMYFUNCTION("""COMPUTED_VALUE"""),"Echeverri Herran")</f>
        <v>Echeverri Herran</v>
      </c>
      <c r="AU198" s="6" t="str">
        <f>IFERROR(__xludf.DUMMYFUNCTION("""COMPUTED_VALUE"""),"joacoeche@yahoo.com")</f>
        <v>joacoeche@yahoo.com</v>
      </c>
      <c r="AV198" s="6" t="str">
        <f>IFERROR(__xludf.DUMMYFUNCTION("""COMPUTED_VALUE"""),"ECONOMISTA")</f>
        <v>ECONOMISTA</v>
      </c>
      <c r="AW198" s="6"/>
      <c r="AX198" s="12" t="str">
        <f>IFERROR(__xludf.DUMMYFUNCTION("""COMPUTED_VALUE"""),"18496696")</f>
        <v>18496696</v>
      </c>
      <c r="AY198" s="12" t="str">
        <f>IFERROR(__xludf.DUMMYFUNCTION("""COMPUTED_VALUE"""),"3113007272")</f>
        <v>3113007272</v>
      </c>
      <c r="AZ198" s="6" t="str">
        <f>IFERROR(__xludf.DUMMYFUNCTION("""COMPUTED_VALUE"""),"Padre")</f>
        <v>Padre</v>
      </c>
      <c r="BA198" s="6"/>
      <c r="BB198" s="6"/>
      <c r="BC198" s="6"/>
      <c r="BD198" s="12" t="str">
        <f>IFERROR(__xludf.DUMMYFUNCTION("""COMPUTED_VALUE"""),"ech0006")</f>
        <v>ech0006</v>
      </c>
      <c r="BE198" s="6"/>
      <c r="BF198" s="6"/>
      <c r="BG198" s="6">
        <f>IFERROR(__xludf.DUMMYFUNCTION("""COMPUTED_VALUE"""),2038.0)</f>
        <v>2038</v>
      </c>
      <c r="BH198" s="15">
        <f>IFERROR(__xludf.DUMMYFUNCTION("""COMPUTED_VALUE"""),46211.323159722226)</f>
        <v>46211.32316</v>
      </c>
      <c r="BI198" s="6">
        <f>IFERROR(__xludf.DUMMYFUNCTION("""COMPUTED_VALUE"""),197.0)</f>
        <v>197</v>
      </c>
      <c r="BJ198" s="6"/>
      <c r="BK198" s="6"/>
      <c r="BL198" s="6" t="str">
        <f>IFERROR(__xludf.DUMMYFUNCTION("""COMPUTED_VALUE"""),"GISECH0006")</f>
        <v>GISECH0006</v>
      </c>
      <c r="BM198" s="6"/>
      <c r="BN198" s="6"/>
      <c r="BO198" s="6"/>
      <c r="BP198" s="6" t="str">
        <f>IFERROR(__xludf.DUMMYFUNCTION("""COMPUTED_VALUE"""),"XC_EL_Porras")</f>
        <v>XC_EL_Porras</v>
      </c>
      <c r="BQ198" s="6" t="str">
        <f>IFERROR(__xludf.DUMMYFUNCTION("""COMPUTED_VALUE"""),"XC_EL_Porras")</f>
        <v>XC_EL_Porras</v>
      </c>
      <c r="BR198" s="6"/>
      <c r="BS198" s="6" t="str">
        <f>IFERROR(__xludf.DUMMYFUNCTION("""COMPUTED_VALUE"""),"XC_EL_Porras")</f>
        <v>XC_EL_Porras</v>
      </c>
      <c r="BT198" s="6"/>
      <c r="BU198" s="6" t="str">
        <f>IFERROR(__xludf.DUMMYFUNCTION("""COMPUTED_VALUE"""),"SI")</f>
        <v>SI</v>
      </c>
      <c r="BV198" s="6" t="str">
        <f>IFERROR(__xludf.DUMMYFUNCTION("""COMPUTED_VALUE"""),"alicia.e2038")</f>
        <v>alicia.e2038</v>
      </c>
      <c r="BW198" s="6"/>
      <c r="BX198" s="6"/>
      <c r="BY198" s="6"/>
      <c r="BZ198" s="6"/>
    </row>
    <row r="199">
      <c r="A199" s="12">
        <f>IFERROR(__xludf.DUMMYFUNCTION("""COMPUTED_VALUE"""),1.092466799E9)</f>
        <v>1092466799</v>
      </c>
      <c r="B199" s="6">
        <f>IFERROR(__xludf.DUMMYFUNCTION("""COMPUTED_VALUE"""),8.0)</f>
        <v>8</v>
      </c>
      <c r="C199" s="6" t="str">
        <f>IFERROR(__xludf.DUMMYFUNCTION("""COMPUTED_VALUE"""),"Jacobo")</f>
        <v>Jacobo</v>
      </c>
      <c r="D199" s="6"/>
      <c r="E199" s="6" t="str">
        <f>IFERROR(__xludf.DUMMYFUNCTION("""COMPUTED_VALUE"""),"Escobar Giraldo")</f>
        <v>Escobar Giraldo</v>
      </c>
      <c r="F199" s="6" t="str">
        <f>IFERROR(__xludf.DUMMYFUNCTION("""COMPUTED_VALUE"""),"Condominio Hacienda Horizontes Casa 52 - Km 3 Via Circasia Vereda la Florida")</f>
        <v>Condominio Hacienda Horizontes Casa 52 - Km 3 Via Circasia Vereda la Florida</v>
      </c>
      <c r="G199" s="12" t="str">
        <f>IFERROR(__xludf.DUMMYFUNCTION("""COMPUTED_VALUE"""),"2020")</f>
        <v>2020</v>
      </c>
      <c r="H199" s="6" t="str">
        <f>IFERROR(__xludf.DUMMYFUNCTION("""COMPUTED_VALUE"""),"Julio")</f>
        <v>Julio</v>
      </c>
      <c r="I199" s="12" t="str">
        <f>IFERROR(__xludf.DUMMYFUNCTION("""COMPUTED_VALUE"""),"24")</f>
        <v>24</v>
      </c>
      <c r="J199" s="6" t="str">
        <f>IFERROR(__xludf.DUMMYFUNCTION("""COMPUTED_VALUE"""),"Cali")</f>
        <v>Cali</v>
      </c>
      <c r="K199" s="6" t="str">
        <f>IFERROR(__xludf.DUMMYFUNCTION("""COMPUTED_VALUE"""),"jacobo.e2038@gi.edu.co")</f>
        <v>jacobo.e2038@gi.edu.co</v>
      </c>
      <c r="L199" s="6" t="str">
        <f>IFERROR(__xludf.DUMMYFUNCTION("""COMPUTED_VALUE"""),"RC")</f>
        <v>RC</v>
      </c>
      <c r="M199" s="6" t="str">
        <f>IFERROR(__xludf.DUMMYFUNCTION("""COMPUTED_VALUE"""),"Armenia")</f>
        <v>Armenia</v>
      </c>
      <c r="N199" s="6" t="str">
        <f>IFERROR(__xludf.DUMMYFUNCTION("""COMPUTED_VALUE"""),"M")</f>
        <v>M</v>
      </c>
      <c r="O199" s="6" t="str">
        <f>IFERROR(__xludf.DUMMYFUNCTION("""COMPUTED_VALUE"""),"ACTIVE")</f>
        <v>ACTIVE</v>
      </c>
      <c r="P199" s="6"/>
      <c r="Q199" s="6" t="str">
        <f>IFERROR(__xludf.DUMMYFUNCTION("""COMPUTED_VALUE"""),"Armenia")</f>
        <v>Armenia</v>
      </c>
      <c r="R199" s="12" t="str">
        <f>IFERROR(__xludf.DUMMYFUNCTION("""COMPUTED_VALUE"""),"Gi912ae*")</f>
        <v>Gi912ae*</v>
      </c>
      <c r="S199" s="6" t="str">
        <f>IFERROR(__xludf.DUMMYFUNCTION("""COMPUTED_VALUE"""),"Escobar Giraldo Jacobo ")</f>
        <v>Escobar Giraldo Jacobo </v>
      </c>
      <c r="T199" s="6" t="str">
        <f>IFERROR(__xludf.DUMMYFUNCTION("""COMPUTED_VALUE"""),"JULIAN ESCOBAR BELTRAN")</f>
        <v>JULIAN ESCOBAR BELTRAN</v>
      </c>
      <c r="U199" s="12" t="str">
        <f>IFERROR(__xludf.DUMMYFUNCTION("""COMPUTED_VALUE"""),"1094887313")</f>
        <v>1094887313</v>
      </c>
      <c r="V199" s="6">
        <f>IFERROR(__xludf.DUMMYFUNCTION("""COMPUTED_VALUE"""),3.158714768E9)</f>
        <v>3158714768</v>
      </c>
      <c r="W199" s="6" t="str">
        <f>IFERROR(__xludf.DUMMYFUNCTION("""COMPUTED_VALUE"""),"gerencia@constructorabio.com")</f>
        <v>gerencia@constructorabio.com</v>
      </c>
      <c r="X199" s="12" t="str">
        <f>IFERROR(__xludf.DUMMYFUNCTION("""COMPUTED_VALUE"""),"A-")</f>
        <v>A-</v>
      </c>
      <c r="Y199" s="12" t="str">
        <f>IFERROR(__xludf.DUMMYFUNCTION("""COMPUTED_VALUE"""),"1")</f>
        <v>1</v>
      </c>
      <c r="Z199" s="12">
        <f>IFERROR(__xludf.DUMMYFUNCTION("""COMPUTED_VALUE"""),103897.0)</f>
        <v>103897</v>
      </c>
      <c r="AA199" s="6" t="str">
        <f>IFERROR(__xludf.DUMMYFUNCTION("""COMPUTED_VALUE"""),"SALUD TOTAL")</f>
        <v>SALUD TOTAL</v>
      </c>
      <c r="AB199" s="6"/>
      <c r="AC199" s="6"/>
      <c r="AD199" s="12" t="str">
        <f>IFERROR(__xludf.DUMMYFUNCTION("""COMPUTED_VALUE"""),"1B")</f>
        <v>1B</v>
      </c>
      <c r="AE199" s="12">
        <f>IFERROR(__xludf.DUMMYFUNCTION("""COMPUTED_VALUE"""),1.345282282E9)</f>
        <v>1345282282</v>
      </c>
      <c r="AF199" s="6"/>
      <c r="AG199" s="12" t="str">
        <f>IFERROR(__xludf.DUMMYFUNCTION("""COMPUTED_VALUE"""),"Maria")</f>
        <v>Maria</v>
      </c>
      <c r="AH199" s="12" t="str">
        <f>IFERROR(__xludf.DUMMYFUNCTION("""COMPUTED_VALUE"""),"Jose")</f>
        <v>Jose</v>
      </c>
      <c r="AI199" s="6" t="str">
        <f>IFERROR(__xludf.DUMMYFUNCTION("""COMPUTED_VALUE"""),"Giraldo Giraldo")</f>
        <v>Giraldo Giraldo</v>
      </c>
      <c r="AJ199" s="6" t="str">
        <f>IFERROR(__xludf.DUMMYFUNCTION("""COMPUTED_VALUE"""),"giraldogmajo@gmail.com")</f>
        <v>giraldogmajo@gmail.com</v>
      </c>
      <c r="AK199" s="6" t="str">
        <f>IFERROR(__xludf.DUMMYFUNCTION("""COMPUTED_VALUE"""),"mercadeo y logistica internacionales")</f>
        <v>mercadeo y logistica internacionales</v>
      </c>
      <c r="AL199" s="6" t="str">
        <f>IFERROR(__xludf.DUMMYFUNCTION("""COMPUTED_VALUE"""),"BIO SAS")</f>
        <v>BIO SAS</v>
      </c>
      <c r="AM199" s="12" t="str">
        <f>IFERROR(__xludf.DUMMYFUNCTION("""COMPUTED_VALUE"""),"1130682681")</f>
        <v>1130682681</v>
      </c>
      <c r="AN199" s="12" t="str">
        <f>IFERROR(__xludf.DUMMYFUNCTION("""COMPUTED_VALUE"""),"3005433546")</f>
        <v>3005433546</v>
      </c>
      <c r="AO199" s="6" t="str">
        <f>IFERROR(__xludf.DUMMYFUNCTION("""COMPUTED_VALUE"""),"Madre")</f>
        <v>Madre</v>
      </c>
      <c r="AP199" s="6" t="str">
        <f>IFERROR(__xludf.DUMMYFUNCTION("""COMPUTED_VALUE"""),"Estudiante(s): Escobar Giraldo")</f>
        <v>Estudiante(s): Escobar Giraldo</v>
      </c>
      <c r="AQ199" s="6" t="str">
        <f>IFERROR(__xludf.DUMMYFUNCTION("""COMPUTED_VALUE"""),"103897*Gi")</f>
        <v>103897*Gi</v>
      </c>
      <c r="AR199" s="6" t="str">
        <f>IFERROR(__xludf.DUMMYFUNCTION("""COMPUTED_VALUE"""),"Julián")</f>
        <v>Julián</v>
      </c>
      <c r="AS199" s="6"/>
      <c r="AT199" s="6" t="str">
        <f>IFERROR(__xludf.DUMMYFUNCTION("""COMPUTED_VALUE"""),"Escobar Beltrán")</f>
        <v>Escobar Beltrán</v>
      </c>
      <c r="AU199" s="6" t="str">
        <f>IFERROR(__xludf.DUMMYFUNCTION("""COMPUTED_VALUE"""),"gerencia@constructorabio.com")</f>
        <v>gerencia@constructorabio.com</v>
      </c>
      <c r="AV199" s="6" t="str">
        <f>IFERROR(__xludf.DUMMYFUNCTION("""COMPUTED_VALUE"""),"arquitecto")</f>
        <v>arquitecto</v>
      </c>
      <c r="AW199" s="6" t="str">
        <f>IFERROR(__xludf.DUMMYFUNCTION("""COMPUTED_VALUE"""),"BIO SAS")</f>
        <v>BIO SAS</v>
      </c>
      <c r="AX199" s="12" t="str">
        <f>IFERROR(__xludf.DUMMYFUNCTION("""COMPUTED_VALUE"""),"1094887313")</f>
        <v>1094887313</v>
      </c>
      <c r="AY199" s="12">
        <f>IFERROR(__xludf.DUMMYFUNCTION("""COMPUTED_VALUE"""),3.158714768E9)</f>
        <v>3158714768</v>
      </c>
      <c r="AZ199" s="6" t="str">
        <f>IFERROR(__xludf.DUMMYFUNCTION("""COMPUTED_VALUE"""),"Padre")</f>
        <v>Padre</v>
      </c>
      <c r="BA199" s="6"/>
      <c r="BB199" s="6"/>
      <c r="BC199" s="6"/>
      <c r="BD199" s="12" t="str">
        <f>IFERROR(__xludf.DUMMYFUNCTION("""COMPUTED_VALUE"""),"esc0004")</f>
        <v>esc0004</v>
      </c>
      <c r="BE199" s="6"/>
      <c r="BF199" s="6"/>
      <c r="BG199" s="6">
        <f>IFERROR(__xludf.DUMMYFUNCTION("""COMPUTED_VALUE"""),2038.0)</f>
        <v>2038</v>
      </c>
      <c r="BH199" s="15">
        <f>IFERROR(__xludf.DUMMYFUNCTION("""COMPUTED_VALUE"""),46209.4675)</f>
        <v>46209.4675</v>
      </c>
      <c r="BI199" s="6">
        <f>IFERROR(__xludf.DUMMYFUNCTION("""COMPUTED_VALUE"""),198.0)</f>
        <v>198</v>
      </c>
      <c r="BJ199" s="6"/>
      <c r="BK199" s="6"/>
      <c r="BL199" s="6" t="str">
        <f>IFERROR(__xludf.DUMMYFUNCTION("""COMPUTED_VALUE"""),"GISESC0004")</f>
        <v>GISESC0004</v>
      </c>
      <c r="BM199" s="6"/>
      <c r="BN199" s="6"/>
      <c r="BO199" s="6"/>
      <c r="BP199" s="6" t="str">
        <f>IFERROR(__xludf.DUMMYFUNCTION("""COMPUTED_VALUE"""),"XC_EL_Taekwondo")</f>
        <v>XC_EL_Taekwondo</v>
      </c>
      <c r="BQ199" s="6" t="str">
        <f>IFERROR(__xludf.DUMMYFUNCTION("""COMPUTED_VALUE"""),"XC_EL_Taekwondo")</f>
        <v>XC_EL_Taekwondo</v>
      </c>
      <c r="BR199" s="6"/>
      <c r="BS199" s="6" t="str">
        <f>IFERROR(__xludf.DUMMYFUNCTION("""COMPUTED_VALUE"""),"XC_EL_Taekwondo")</f>
        <v>XC_EL_Taekwondo</v>
      </c>
      <c r="BT199" s="6"/>
      <c r="BU199" s="6" t="str">
        <f>IFERROR(__xludf.DUMMYFUNCTION("""COMPUTED_VALUE"""),"SI")</f>
        <v>SI</v>
      </c>
      <c r="BV199" s="6" t="str">
        <f>IFERROR(__xludf.DUMMYFUNCTION("""COMPUTED_VALUE"""),"jacobo.e2038")</f>
        <v>jacobo.e2038</v>
      </c>
      <c r="BW199" s="6"/>
      <c r="BX199" s="6"/>
      <c r="BY199" s="6"/>
      <c r="BZ199" s="6"/>
    </row>
    <row r="200">
      <c r="A200" s="12">
        <f>IFERROR(__xludf.DUMMYFUNCTION("""COMPUTED_VALUE"""),1.098314177E9)</f>
        <v>1098314177</v>
      </c>
      <c r="B200" s="6">
        <f>IFERROR(__xludf.DUMMYFUNCTION("""COMPUTED_VALUE"""),9.0)</f>
        <v>9</v>
      </c>
      <c r="C200" s="6" t="str">
        <f>IFERROR(__xludf.DUMMYFUNCTION("""COMPUTED_VALUE"""),"Salvador")</f>
        <v>Salvador</v>
      </c>
      <c r="D200" s="6"/>
      <c r="E200" s="6" t="str">
        <f>IFERROR(__xludf.DUMMYFUNCTION("""COMPUTED_VALUE"""),"Hoyos Ramírez")</f>
        <v>Hoyos Ramírez</v>
      </c>
      <c r="F200" s="6" t="str">
        <f>IFERROR(__xludf.DUMMYFUNCTION("""COMPUTED_VALUE"""),"Rancho la Soledad Casa 51 Etapa 2 - Km 1 Via Montenegro Armenia")</f>
        <v>Rancho la Soledad Casa 51 Etapa 2 - Km 1 Via Montenegro Armenia</v>
      </c>
      <c r="G200" s="12" t="str">
        <f>IFERROR(__xludf.DUMMYFUNCTION("""COMPUTED_VALUE"""),"2019")</f>
        <v>2019</v>
      </c>
      <c r="H200" s="6" t="str">
        <f>IFERROR(__xludf.DUMMYFUNCTION("""COMPUTED_VALUE"""),"Diciembre")</f>
        <v>Diciembre</v>
      </c>
      <c r="I200" s="12" t="str">
        <f>IFERROR(__xludf.DUMMYFUNCTION("""COMPUTED_VALUE"""),"30")</f>
        <v>30</v>
      </c>
      <c r="J200" s="6" t="str">
        <f>IFERROR(__xludf.DUMMYFUNCTION("""COMPUTED_VALUE"""),"Armenia")</f>
        <v>Armenia</v>
      </c>
      <c r="K200" s="6" t="str">
        <f>IFERROR(__xludf.DUMMYFUNCTION("""COMPUTED_VALUE"""),"salvador.h2038@gi.edu.co")</f>
        <v>salvador.h2038@gi.edu.co</v>
      </c>
      <c r="L200" s="6" t="str">
        <f>IFERROR(__xludf.DUMMYFUNCTION("""COMPUTED_VALUE"""),"RC")</f>
        <v>RC</v>
      </c>
      <c r="M200" s="6" t="str">
        <f>IFERROR(__xludf.DUMMYFUNCTION("""COMPUTED_VALUE"""),"Circasia")</f>
        <v>Circasia</v>
      </c>
      <c r="N200" s="6" t="str">
        <f>IFERROR(__xludf.DUMMYFUNCTION("""COMPUTED_VALUE"""),"M")</f>
        <v>M</v>
      </c>
      <c r="O200" s="6" t="str">
        <f>IFERROR(__xludf.DUMMYFUNCTION("""COMPUTED_VALUE"""),"INACTIVE")</f>
        <v>INACTIVE</v>
      </c>
      <c r="P200" s="6"/>
      <c r="Q200" s="6" t="str">
        <f>IFERROR(__xludf.DUMMYFUNCTION("""COMPUTED_VALUE"""),"Montenegro")</f>
        <v>Montenegro</v>
      </c>
      <c r="R200" s="12" t="str">
        <f>IFERROR(__xludf.DUMMYFUNCTION("""COMPUTED_VALUE"""),"Giw468h*")</f>
        <v>Giw468h*</v>
      </c>
      <c r="S200" s="6" t="str">
        <f>IFERROR(__xludf.DUMMYFUNCTION("""COMPUTED_VALUE"""),"Hoyos Ramírez Salvador ")</f>
        <v>Hoyos Ramírez Salvador </v>
      </c>
      <c r="T200" s="6" t="str">
        <f>IFERROR(__xludf.DUMMYFUNCTION("""COMPUTED_VALUE"""),"SEBASTIAN HOYOS VALLEJO")</f>
        <v>SEBASTIAN HOYOS VALLEJO</v>
      </c>
      <c r="U200" s="12" t="str">
        <f>IFERROR(__xludf.DUMMYFUNCTION("""COMPUTED_VALUE"""),"1094904446")</f>
        <v>1094904446</v>
      </c>
      <c r="V200" s="6">
        <f>IFERROR(__xludf.DUMMYFUNCTION("""COMPUTED_VALUE"""),3.004085816E9)</f>
        <v>3004085816</v>
      </c>
      <c r="W200" s="6" t="str">
        <f>IFERROR(__xludf.DUMMYFUNCTION("""COMPUTED_VALUE"""),"sebashoyos_1225@hotmail.com")</f>
        <v>sebashoyos_1225@hotmail.com</v>
      </c>
      <c r="X200" s="12" t="str">
        <f>IFERROR(__xludf.DUMMYFUNCTION("""COMPUTED_VALUE"""),"O+")</f>
        <v>O+</v>
      </c>
      <c r="Y200" s="12" t="str">
        <f>IFERROR(__xludf.DUMMYFUNCTION("""COMPUTED_VALUE"""),"1")</f>
        <v>1</v>
      </c>
      <c r="Z200" s="12">
        <f>IFERROR(__xludf.DUMMYFUNCTION("""COMPUTED_VALUE"""),120303.0)</f>
        <v>120303</v>
      </c>
      <c r="AA200" s="6" t="str">
        <f>IFERROR(__xludf.DUMMYFUNCTION("""COMPUTED_VALUE"""),"SURA")</f>
        <v>SURA</v>
      </c>
      <c r="AB200" s="6"/>
      <c r="AC200" s="6"/>
      <c r="AD200" s="12" t="str">
        <f>IFERROR(__xludf.DUMMYFUNCTION("""COMPUTED_VALUE"""),"1B")</f>
        <v>1B</v>
      </c>
      <c r="AE200" s="12">
        <f>IFERROR(__xludf.DUMMYFUNCTION("""COMPUTED_VALUE"""),1.345282297E9)</f>
        <v>1345282297</v>
      </c>
      <c r="AF200" s="6"/>
      <c r="AG200" s="12" t="str">
        <f>IFERROR(__xludf.DUMMYFUNCTION("""COMPUTED_VALUE"""),"Andrea")</f>
        <v>Andrea</v>
      </c>
      <c r="AH200" s="6"/>
      <c r="AI200" s="6" t="str">
        <f>IFERROR(__xludf.DUMMYFUNCTION("""COMPUTED_VALUE"""),"Ramírez García")</f>
        <v>Ramírez García</v>
      </c>
      <c r="AJ200" s="6" t="str">
        <f>IFERROR(__xludf.DUMMYFUNCTION("""COMPUTED_VALUE"""),"andreramirezgar@gmail.com")</f>
        <v>andreramirezgar@gmail.com</v>
      </c>
      <c r="AK200" s="6" t="str">
        <f>IFERROR(__xludf.DUMMYFUNCTION("""COMPUTED_VALUE"""),"Arquitecta")</f>
        <v>Arquitecta</v>
      </c>
      <c r="AL200" s="6"/>
      <c r="AM200" s="12" t="str">
        <f>IFERROR(__xludf.DUMMYFUNCTION("""COMPUTED_VALUE"""),"1098311745")</f>
        <v>1098311745</v>
      </c>
      <c r="AN200" s="12" t="str">
        <f>IFERROR(__xludf.DUMMYFUNCTION("""COMPUTED_VALUE"""),"3154014432")</f>
        <v>3154014432</v>
      </c>
      <c r="AO200" s="6" t="str">
        <f>IFERROR(__xludf.DUMMYFUNCTION("""COMPUTED_VALUE"""),"Madre")</f>
        <v>Madre</v>
      </c>
      <c r="AP200" s="6" t="str">
        <f>IFERROR(__xludf.DUMMYFUNCTION("""COMPUTED_VALUE"""),"Estudiante(s): Hoyos Ramírez")</f>
        <v>Estudiante(s): Hoyos Ramírez</v>
      </c>
      <c r="AQ200" s="6" t="str">
        <f>IFERROR(__xludf.DUMMYFUNCTION("""COMPUTED_VALUE"""),"120303*Gi")</f>
        <v>120303*Gi</v>
      </c>
      <c r="AR200" s="6" t="str">
        <f>IFERROR(__xludf.DUMMYFUNCTION("""COMPUTED_VALUE"""),"Sebastian")</f>
        <v>Sebastian</v>
      </c>
      <c r="AS200" s="6"/>
      <c r="AT200" s="6" t="str">
        <f>IFERROR(__xludf.DUMMYFUNCTION("""COMPUTED_VALUE"""),"Hoyos Vallejo")</f>
        <v>Hoyos Vallejo</v>
      </c>
      <c r="AU200" s="6" t="str">
        <f>IFERROR(__xludf.DUMMYFUNCTION("""COMPUTED_VALUE"""),"sebashoyos_1225@hotmail.com")</f>
        <v>sebashoyos_1225@hotmail.com</v>
      </c>
      <c r="AV200" s="6" t="str">
        <f>IFERROR(__xludf.DUMMYFUNCTION("""COMPUTED_VALUE"""),"Arquitecto")</f>
        <v>Arquitecto</v>
      </c>
      <c r="AW200" s="6"/>
      <c r="AX200" s="12" t="str">
        <f>IFERROR(__xludf.DUMMYFUNCTION("""COMPUTED_VALUE"""),"1094904446")</f>
        <v>1094904446</v>
      </c>
      <c r="AY200" s="12" t="str">
        <f>IFERROR(__xludf.DUMMYFUNCTION("""COMPUTED_VALUE"""),"3004085816")</f>
        <v>3004085816</v>
      </c>
      <c r="AZ200" s="6" t="str">
        <f>IFERROR(__xludf.DUMMYFUNCTION("""COMPUTED_VALUE"""),"Padre")</f>
        <v>Padre</v>
      </c>
      <c r="BA200" s="6"/>
      <c r="BB200" s="6"/>
      <c r="BC200" s="6"/>
      <c r="BD200" s="12" t="str">
        <f>IFERROR(__xludf.DUMMYFUNCTION("""COMPUTED_VALUE"""),"hoy0005")</f>
        <v>hoy0005</v>
      </c>
      <c r="BE200" s="6" t="str">
        <f>IFERROR(__xludf.DUMMYFUNCTION("""COMPUTED_VALUE"""),"FALTAN FIRMAS")</f>
        <v>FALTAN FIRMAS</v>
      </c>
      <c r="BF200" s="6"/>
      <c r="BG200" s="6">
        <f>IFERROR(__xludf.DUMMYFUNCTION("""COMPUTED_VALUE"""),2038.0)</f>
        <v>2038</v>
      </c>
      <c r="BH200" s="15">
        <f>IFERROR(__xludf.DUMMYFUNCTION("""COMPUTED_VALUE"""),46216.76453703704)</f>
        <v>46216.76454</v>
      </c>
      <c r="BI200" s="6">
        <f>IFERROR(__xludf.DUMMYFUNCTION("""COMPUTED_VALUE"""),199.0)</f>
        <v>199</v>
      </c>
      <c r="BJ200" s="6"/>
      <c r="BK200" s="6"/>
      <c r="BL200" s="6" t="str">
        <f>IFERROR(__xludf.DUMMYFUNCTION("""COMPUTED_VALUE"""),"GISHOY0005")</f>
        <v>GISHOY0005</v>
      </c>
      <c r="BM200" s="6"/>
      <c r="BN200" s="6"/>
      <c r="BO200" s="6"/>
      <c r="BP200" s="6" t="str">
        <f>IFERROR(__xludf.DUMMYFUNCTION("""COMPUTED_VALUE"""),"XC_EL_Taekwondo")</f>
        <v>XC_EL_Taekwondo</v>
      </c>
      <c r="BQ200" s="6" t="str">
        <f>IFERROR(__xludf.DUMMYFUNCTION("""COMPUTED_VALUE"""),"XC_EL_Taekwondo")</f>
        <v>XC_EL_Taekwondo</v>
      </c>
      <c r="BR200" s="6"/>
      <c r="BS200" s="6" t="str">
        <f>IFERROR(__xludf.DUMMYFUNCTION("""COMPUTED_VALUE"""),"XC_EL_Taekwondo")</f>
        <v>XC_EL_Taekwondo</v>
      </c>
      <c r="BT200" s="6"/>
      <c r="BU200" s="6" t="str">
        <f>IFERROR(__xludf.DUMMYFUNCTION("""COMPUTED_VALUE"""),"SI")</f>
        <v>SI</v>
      </c>
      <c r="BV200" s="6" t="str">
        <f>IFERROR(__xludf.DUMMYFUNCTION("""COMPUTED_VALUE"""),"salvador.h2038")</f>
        <v>salvador.h2038</v>
      </c>
      <c r="BW200" s="6"/>
      <c r="BX200" s="6"/>
      <c r="BY200" s="6"/>
      <c r="BZ200" s="6"/>
    </row>
    <row r="201">
      <c r="A201" s="12">
        <f>IFERROR(__xludf.DUMMYFUNCTION("""COMPUTED_VALUE"""),1.091889281E9)</f>
        <v>1091889281</v>
      </c>
      <c r="B201" s="6">
        <f>IFERROR(__xludf.DUMMYFUNCTION("""COMPUTED_VALUE"""),10.0)</f>
        <v>10</v>
      </c>
      <c r="C201" s="6" t="str">
        <f>IFERROR(__xludf.DUMMYFUNCTION("""COMPUTED_VALUE"""),"Jerónimo")</f>
        <v>Jerónimo</v>
      </c>
      <c r="D201" s="6"/>
      <c r="E201" s="6" t="str">
        <f>IFERROR(__xludf.DUMMYFUNCTION("""COMPUTED_VALUE"""),"Jaramillo Arango")</f>
        <v>Jaramillo Arango</v>
      </c>
      <c r="F201" s="6" t="str">
        <f>IFERROR(__xludf.DUMMYFUNCTION("""COMPUTED_VALUE"""),"Colina de la Castellana Casa 4 - Calle 11Nte No9 - 55 La castellana")</f>
        <v>Colina de la Castellana Casa 4 - Calle 11Nte No9 - 55 La castellana</v>
      </c>
      <c r="G201" s="12" t="str">
        <f>IFERROR(__xludf.DUMMYFUNCTION("""COMPUTED_VALUE"""),"2020")</f>
        <v>2020</v>
      </c>
      <c r="H201" s="6" t="str">
        <f>IFERROR(__xludf.DUMMYFUNCTION("""COMPUTED_VALUE"""),"Enero")</f>
        <v>Enero</v>
      </c>
      <c r="I201" s="12" t="str">
        <f>IFERROR(__xludf.DUMMYFUNCTION("""COMPUTED_VALUE"""),"24")</f>
        <v>24</v>
      </c>
      <c r="J201" s="6" t="str">
        <f>IFERROR(__xludf.DUMMYFUNCTION("""COMPUTED_VALUE"""),"Armenia")</f>
        <v>Armenia</v>
      </c>
      <c r="K201" s="6" t="str">
        <f>IFERROR(__xludf.DUMMYFUNCTION("""COMPUTED_VALUE"""),"jeronimo.j2038@gi.edu.co")</f>
        <v>jeronimo.j2038@gi.edu.co</v>
      </c>
      <c r="L201" s="6" t="str">
        <f>IFERROR(__xludf.DUMMYFUNCTION("""COMPUTED_VALUE"""),"NUIP")</f>
        <v>NUIP</v>
      </c>
      <c r="M201" s="6" t="str">
        <f>IFERROR(__xludf.DUMMYFUNCTION("""COMPUTED_VALUE"""),"Armenia")</f>
        <v>Armenia</v>
      </c>
      <c r="N201" s="6" t="str">
        <f>IFERROR(__xludf.DUMMYFUNCTION("""COMPUTED_VALUE"""),"M")</f>
        <v>M</v>
      </c>
      <c r="O201" s="6" t="str">
        <f>IFERROR(__xludf.DUMMYFUNCTION("""COMPUTED_VALUE"""),"INACTIVE")</f>
        <v>INACTIVE</v>
      </c>
      <c r="P201" s="6"/>
      <c r="Q201" s="6" t="str">
        <f>IFERROR(__xludf.DUMMYFUNCTION("""COMPUTED_VALUE"""),"Armenia")</f>
        <v>Armenia</v>
      </c>
      <c r="R201" s="12" t="str">
        <f>IFERROR(__xludf.DUMMYFUNCTION("""COMPUTED_VALUE"""),"Giadns7*")</f>
        <v>Giadns7*</v>
      </c>
      <c r="S201" s="6" t="str">
        <f>IFERROR(__xludf.DUMMYFUNCTION("""COMPUTED_VALUE"""),"Jaramillo Arango Jerónimo ")</f>
        <v>Jaramillo Arango Jerónimo </v>
      </c>
      <c r="T201" s="6" t="str">
        <f>IFERROR(__xludf.DUMMYFUNCTION("""COMPUTED_VALUE"""),"SANTIAGO JARAMILLO ARANGO")</f>
        <v>SANTIAGO JARAMILLO ARANGO</v>
      </c>
      <c r="U201" s="12" t="str">
        <f>IFERROR(__xludf.DUMMYFUNCTION("""COMPUTED_VALUE"""),"1094881389")</f>
        <v>1094881389</v>
      </c>
      <c r="V201" s="6">
        <f>IFERROR(__xludf.DUMMYFUNCTION("""COMPUTED_VALUE"""),3.175387767E9)</f>
        <v>3175387767</v>
      </c>
      <c r="W201" s="6" t="str">
        <f>IFERROR(__xludf.DUMMYFUNCTION("""COMPUTED_VALUE"""),"santijar7@gmail.com")</f>
        <v>santijar7@gmail.com</v>
      </c>
      <c r="X201" s="12" t="str">
        <f>IFERROR(__xludf.DUMMYFUNCTION("""COMPUTED_VALUE"""),"O+")</f>
        <v>O+</v>
      </c>
      <c r="Y201" s="12" t="str">
        <f>IFERROR(__xludf.DUMMYFUNCTION("""COMPUTED_VALUE"""),"1")</f>
        <v>1</v>
      </c>
      <c r="Z201" s="12">
        <f>IFERROR(__xludf.DUMMYFUNCTION("""COMPUTED_VALUE"""),120175.0)</f>
        <v>120175</v>
      </c>
      <c r="AA201" s="6" t="str">
        <f>IFERROR(__xludf.DUMMYFUNCTION("""COMPUTED_VALUE"""),"SURA")</f>
        <v>SURA</v>
      </c>
      <c r="AB201" s="6"/>
      <c r="AC201" s="6"/>
      <c r="AD201" s="12" t="str">
        <f>IFERROR(__xludf.DUMMYFUNCTION("""COMPUTED_VALUE"""),"1B")</f>
        <v>1B</v>
      </c>
      <c r="AE201" s="12">
        <f>IFERROR(__xludf.DUMMYFUNCTION("""COMPUTED_VALUE"""),1.345282118E9)</f>
        <v>1345282118</v>
      </c>
      <c r="AF201" s="6"/>
      <c r="AG201" s="12" t="str">
        <f>IFERROR(__xludf.DUMMYFUNCTION("""COMPUTED_VALUE"""),"Catalina")</f>
        <v>Catalina</v>
      </c>
      <c r="AH201" s="6"/>
      <c r="AI201" s="6" t="str">
        <f>IFERROR(__xludf.DUMMYFUNCTION("""COMPUTED_VALUE"""),"Arango Rabitz")</f>
        <v>Arango Rabitz</v>
      </c>
      <c r="AJ201" s="6" t="str">
        <f>IFERROR(__xludf.DUMMYFUNCTION("""COMPUTED_VALUE"""),"catalinarangor@gmail.com")</f>
        <v>catalinarangor@gmail.com</v>
      </c>
      <c r="AK201" s="6" t="str">
        <f>IFERROR(__xludf.DUMMYFUNCTION("""COMPUTED_VALUE"""),"Politóloga")</f>
        <v>Politóloga</v>
      </c>
      <c r="AL201" s="6"/>
      <c r="AM201" s="12" t="str">
        <f>IFERROR(__xludf.DUMMYFUNCTION("""COMPUTED_VALUE"""),"1000586546")</f>
        <v>1000586546</v>
      </c>
      <c r="AN201" s="12" t="str">
        <f>IFERROR(__xludf.DUMMYFUNCTION("""COMPUTED_VALUE"""),"3214477807")</f>
        <v>3214477807</v>
      </c>
      <c r="AO201" s="6" t="str">
        <f>IFERROR(__xludf.DUMMYFUNCTION("""COMPUTED_VALUE"""),"Madre")</f>
        <v>Madre</v>
      </c>
      <c r="AP201" s="6" t="str">
        <f>IFERROR(__xludf.DUMMYFUNCTION("""COMPUTED_VALUE"""),"Estudiante(s): Jaramillo Arango")</f>
        <v>Estudiante(s): Jaramillo Arango</v>
      </c>
      <c r="AQ201" s="6" t="str">
        <f>IFERROR(__xludf.DUMMYFUNCTION("""COMPUTED_VALUE"""),"120175*Gi")</f>
        <v>120175*Gi</v>
      </c>
      <c r="AR201" s="6" t="str">
        <f>IFERROR(__xludf.DUMMYFUNCTION("""COMPUTED_VALUE"""),"Santiago")</f>
        <v>Santiago</v>
      </c>
      <c r="AS201" s="6"/>
      <c r="AT201" s="6" t="str">
        <f>IFERROR(__xludf.DUMMYFUNCTION("""COMPUTED_VALUE"""),"Jaramillo Arango")</f>
        <v>Jaramillo Arango</v>
      </c>
      <c r="AU201" s="6" t="str">
        <f>IFERROR(__xludf.DUMMYFUNCTION("""COMPUTED_VALUE"""),"santijar7@gmail.com")</f>
        <v>santijar7@gmail.com</v>
      </c>
      <c r="AV201" s="6" t="str">
        <f>IFERROR(__xludf.DUMMYFUNCTION("""COMPUTED_VALUE"""),"Publicista")</f>
        <v>Publicista</v>
      </c>
      <c r="AW201" s="6" t="str">
        <f>IFERROR(__xludf.DUMMYFUNCTION("""COMPUTED_VALUE"""),"Constructora Jaramillo Arango")</f>
        <v>Constructora Jaramillo Arango</v>
      </c>
      <c r="AX201" s="12" t="str">
        <f>IFERROR(__xludf.DUMMYFUNCTION("""COMPUTED_VALUE"""),"1094881389")</f>
        <v>1094881389</v>
      </c>
      <c r="AY201" s="12" t="str">
        <f>IFERROR(__xludf.DUMMYFUNCTION("""COMPUTED_VALUE"""),"3175387767")</f>
        <v>3175387767</v>
      </c>
      <c r="AZ201" s="6" t="str">
        <f>IFERROR(__xludf.DUMMYFUNCTION("""COMPUTED_VALUE"""),"Padre")</f>
        <v>Padre</v>
      </c>
      <c r="BA201" s="6"/>
      <c r="BB201" s="6"/>
      <c r="BC201" s="6"/>
      <c r="BD201" s="12" t="str">
        <f>IFERROR(__xludf.DUMMYFUNCTION("""COMPUTED_VALUE"""),"jar0008")</f>
        <v>jar0008</v>
      </c>
      <c r="BE201" s="6" t="str">
        <f>IFERROR(__xludf.DUMMYFUNCTION("""COMPUTED_VALUE"""),"FALTAN FIRMAS")</f>
        <v>FALTAN FIRMAS</v>
      </c>
      <c r="BF201" s="6"/>
      <c r="BG201" s="6">
        <f>IFERROR(__xludf.DUMMYFUNCTION("""COMPUTED_VALUE"""),2038.0)</f>
        <v>2038</v>
      </c>
      <c r="BH201" s="15">
        <f>IFERROR(__xludf.DUMMYFUNCTION("""COMPUTED_VALUE"""),46212.45332175926)</f>
        <v>46212.45332</v>
      </c>
      <c r="BI201" s="6">
        <f>IFERROR(__xludf.DUMMYFUNCTION("""COMPUTED_VALUE"""),200.0)</f>
        <v>200</v>
      </c>
      <c r="BJ201" s="6"/>
      <c r="BK201" s="6"/>
      <c r="BL201" s="6" t="str">
        <f>IFERROR(__xludf.DUMMYFUNCTION("""COMPUTED_VALUE"""),"GISJAR0008")</f>
        <v>GISJAR0008</v>
      </c>
      <c r="BM201" s="6"/>
      <c r="BN201" s="6"/>
      <c r="BO201" s="6"/>
      <c r="BP201" s="6"/>
      <c r="BQ201" s="6"/>
      <c r="BR201" s="6" t="str">
        <f>IFERROR(__xludf.DUMMYFUNCTION("""COMPUTED_VALUE"""),"XC_EL_PequenosCientificos")</f>
        <v>XC_EL_PequenosCientificos</v>
      </c>
      <c r="BS201" s="6"/>
      <c r="BT201" s="6"/>
      <c r="BU201" s="6" t="str">
        <f>IFERROR(__xludf.DUMMYFUNCTION("""COMPUTED_VALUE"""),"SI")</f>
        <v>SI</v>
      </c>
      <c r="BV201" s="6" t="str">
        <f>IFERROR(__xludf.DUMMYFUNCTION("""COMPUTED_VALUE"""),"jeronimo.j2038")</f>
        <v>jeronimo.j2038</v>
      </c>
      <c r="BW201" s="6"/>
      <c r="BX201" s="6"/>
      <c r="BY201" s="6"/>
      <c r="BZ201" s="6"/>
    </row>
    <row r="202">
      <c r="A202" s="12">
        <f>IFERROR(__xludf.DUMMYFUNCTION("""COMPUTED_VALUE"""),1.092466324E9)</f>
        <v>1092466324</v>
      </c>
      <c r="B202" s="6">
        <f>IFERROR(__xludf.DUMMYFUNCTION("""COMPUTED_VALUE"""),11.0)</f>
        <v>11</v>
      </c>
      <c r="C202" s="6" t="str">
        <f>IFERROR(__xludf.DUMMYFUNCTION("""COMPUTED_VALUE"""),"Jerónimo")</f>
        <v>Jerónimo</v>
      </c>
      <c r="D202" s="6"/>
      <c r="E202" s="6" t="str">
        <f>IFERROR(__xludf.DUMMYFUNCTION("""COMPUTED_VALUE"""),"Londoño Cardozo")</f>
        <v>Londoño Cardozo</v>
      </c>
      <c r="F202" s="6" t="str">
        <f>IFERROR(__xludf.DUMMYFUNCTION("""COMPUTED_VALUE"""),"Via Armenia - La Tebaida Conjunto Residencial Hacienda el Cabrero Casa 9")</f>
        <v>Via Armenia - La Tebaida Conjunto Residencial Hacienda el Cabrero Casa 9</v>
      </c>
      <c r="G202" s="12">
        <f>IFERROR(__xludf.DUMMYFUNCTION("""COMPUTED_VALUE"""),2019.0)</f>
        <v>2019</v>
      </c>
      <c r="H202" s="12" t="str">
        <f>IFERROR(__xludf.DUMMYFUNCTION("""COMPUTED_VALUE"""),"Agosto")</f>
        <v>Agosto</v>
      </c>
      <c r="I202" s="12">
        <f>IFERROR(__xludf.DUMMYFUNCTION("""COMPUTED_VALUE"""),28.0)</f>
        <v>28</v>
      </c>
      <c r="J202" s="6"/>
      <c r="K202" s="12" t="str">
        <f>IFERROR(__xludf.DUMMYFUNCTION("""COMPUTED_VALUE"""),"jeronimo.l2038@gi.edu.co")</f>
        <v>jeronimo.l2038@gi.edu.co</v>
      </c>
      <c r="L202" s="6" t="str">
        <f>IFERROR(__xludf.DUMMYFUNCTION("""COMPUTED_VALUE"""),"RC")</f>
        <v>RC</v>
      </c>
      <c r="M202" s="6" t="str">
        <f>IFERROR(__xludf.DUMMYFUNCTION("""COMPUTED_VALUE"""),"Armenia")</f>
        <v>Armenia</v>
      </c>
      <c r="N202" s="6" t="str">
        <f>IFERROR(__xludf.DUMMYFUNCTION("""COMPUTED_VALUE"""),"M")</f>
        <v>M</v>
      </c>
      <c r="O202" s="6" t="str">
        <f>IFERROR(__xludf.DUMMYFUNCTION("""COMPUTED_VALUE"""),"ACTIVE")</f>
        <v>ACTIVE</v>
      </c>
      <c r="P202" s="6"/>
      <c r="Q202" s="6"/>
      <c r="R202" s="12" t="str">
        <f>IFERROR(__xludf.DUMMYFUNCTION("""COMPUTED_VALUE"""),"GiD7Xj5L*")</f>
        <v>GiD7Xj5L*</v>
      </c>
      <c r="S202" s="6" t="str">
        <f>IFERROR(__xludf.DUMMYFUNCTION("""COMPUTED_VALUE"""),"Londoño Cardozo Jerónimo ")</f>
        <v>Londoño Cardozo Jerónimo </v>
      </c>
      <c r="T202" s="6" t="str">
        <f>IFERROR(__xludf.DUMMYFUNCTION("""COMPUTED_VALUE"""),"JORGE ALBERTO BONILLA ACHACH")</f>
        <v>JORGE ALBERTO BONILLA ACHACH</v>
      </c>
      <c r="U202" s="12" t="str">
        <f>IFERROR(__xludf.DUMMYFUNCTION("""COMPUTED_VALUE"""),"7673764")</f>
        <v>7673764</v>
      </c>
      <c r="V202" s="6">
        <f>IFERROR(__xludf.DUMMYFUNCTION("""COMPUTED_VALUE"""),3.14297579E9)</f>
        <v>3142975790</v>
      </c>
      <c r="W202" s="6" t="str">
        <f>IFERROR(__xludf.DUMMYFUNCTION("""COMPUTED_VALUE"""),"jbachach@gmail.com")</f>
        <v>jbachach@gmail.com</v>
      </c>
      <c r="X202" s="12" t="str">
        <f>IFERROR(__xludf.DUMMYFUNCTION("""COMPUTED_VALUE"""),"O+")</f>
        <v>O+</v>
      </c>
      <c r="Y202" s="12" t="str">
        <f>IFERROR(__xludf.DUMMYFUNCTION("""COMPUTED_VALUE"""),"1")</f>
        <v>1</v>
      </c>
      <c r="Z202" s="6">
        <f>IFERROR(__xludf.DUMMYFUNCTION("""COMPUTED_VALUE"""),120632.0)</f>
        <v>120632</v>
      </c>
      <c r="AA202" s="6"/>
      <c r="AB202" s="6"/>
      <c r="AC202" s="6"/>
      <c r="AD202" s="12" t="str">
        <f>IFERROR(__xludf.DUMMYFUNCTION("""COMPUTED_VALUE"""),"1B")</f>
        <v>1B</v>
      </c>
      <c r="AE202" s="12" t="str">
        <f>IFERROR(__xludf.DUMMYFUNCTION("""COMPUTED_VALUE"""),"1345282629")</f>
        <v>1345282629</v>
      </c>
      <c r="AF202" s="6"/>
      <c r="AG202" s="12" t="str">
        <f>IFERROR(__xludf.DUMMYFUNCTION("""COMPUTED_VALUE"""),"Claudia")</f>
        <v>Claudia</v>
      </c>
      <c r="AH202" s="12" t="str">
        <f>IFERROR(__xludf.DUMMYFUNCTION("""COMPUTED_VALUE"""),"Viviana")</f>
        <v>Viviana</v>
      </c>
      <c r="AI202" s="6" t="str">
        <f>IFERROR(__xludf.DUMMYFUNCTION("""COMPUTED_VALUE"""),"Cardozo Flórez")</f>
        <v>Cardozo Flórez</v>
      </c>
      <c r="AJ202" s="6" t="str">
        <f>IFERROR(__xludf.DUMMYFUNCTION("""COMPUTED_VALUE"""),"viviandi35@hotmail.com")</f>
        <v>viviandi35@hotmail.com</v>
      </c>
      <c r="AK202" s="6" t="str">
        <f>IFERROR(__xludf.DUMMYFUNCTION("""COMPUTED_VALUE"""),"Talento Humano")</f>
        <v>Talento Humano</v>
      </c>
      <c r="AL202" s="6"/>
      <c r="AM202" s="12" t="str">
        <f>IFERROR(__xludf.DUMMYFUNCTION("""COMPUTED_VALUE"""),"1094918816")</f>
        <v>1094918816</v>
      </c>
      <c r="AN202" s="12" t="str">
        <f>IFERROR(__xludf.DUMMYFUNCTION("""COMPUTED_VALUE"""),"3202775982")</f>
        <v>3202775982</v>
      </c>
      <c r="AO202" s="6" t="str">
        <f>IFERROR(__xludf.DUMMYFUNCTION("""COMPUTED_VALUE"""),"Madre")</f>
        <v>Madre</v>
      </c>
      <c r="AP202" s="6" t="str">
        <f>IFERROR(__xludf.DUMMYFUNCTION("""COMPUTED_VALUE"""),"Estudiante(s): Londoño Cardozo")</f>
        <v>Estudiante(s): Londoño Cardozo</v>
      </c>
      <c r="AQ202" s="6" t="str">
        <f>IFERROR(__xludf.DUMMYFUNCTION("""COMPUTED_VALUE"""),"120632*Gi")</f>
        <v>120632*Gi</v>
      </c>
      <c r="AR202" s="6" t="str">
        <f>IFERROR(__xludf.DUMMYFUNCTION("""COMPUTED_VALUE"""),"David")</f>
        <v>David</v>
      </c>
      <c r="AS202" s="6" t="str">
        <f>IFERROR(__xludf.DUMMYFUNCTION("""COMPUTED_VALUE"""),"Santiago")</f>
        <v>Santiago</v>
      </c>
      <c r="AT202" s="6" t="str">
        <f>IFERROR(__xludf.DUMMYFUNCTION("""COMPUTED_VALUE"""),"Londoño Vélez")</f>
        <v>Londoño Vélez</v>
      </c>
      <c r="AU202" s="6" t="str">
        <f>IFERROR(__xludf.DUMMYFUNCTION("""COMPUTED_VALUE"""),"j.bonilla@mejicaliturbine.com")</f>
        <v>j.bonilla@mejicaliturbine.com</v>
      </c>
      <c r="AV202" s="6" t="str">
        <f>IFERROR(__xludf.DUMMYFUNCTION("""COMPUTED_VALUE"""),"Técnico de informatica")</f>
        <v>Técnico de informatica</v>
      </c>
      <c r="AW202" s="6"/>
      <c r="AX202" s="12" t="str">
        <f>IFERROR(__xludf.DUMMYFUNCTION("""COMPUTED_VALUE"""),"1094947144")</f>
        <v>1094947144</v>
      </c>
      <c r="AY202" s="12" t="str">
        <f>IFERROR(__xludf.DUMMYFUNCTION("""COMPUTED_VALUE"""),"3022112775")</f>
        <v>3022112775</v>
      </c>
      <c r="AZ202" s="6" t="str">
        <f>IFERROR(__xludf.DUMMYFUNCTION("""COMPUTED_VALUE"""),"Padre")</f>
        <v>Padre</v>
      </c>
      <c r="BA202" s="6" t="str">
        <f>IFERROR(__xludf.DUMMYFUNCTION("""COMPUTED_VALUE"""),"JORGE ALBERTO BONILLA ACHACH")</f>
        <v>JORGE ALBERTO BONILLA ACHACH</v>
      </c>
      <c r="BB202" s="6">
        <f>IFERROR(__xludf.DUMMYFUNCTION("""COMPUTED_VALUE"""),3.14297579E9)</f>
        <v>3142975790</v>
      </c>
      <c r="BC202" s="6" t="str">
        <f>IFERROR(__xludf.DUMMYFUNCTION("""COMPUTED_VALUE"""),"Padrastro jbachach@gmail.com")</f>
        <v>Padrastro jbachach@gmail.com</v>
      </c>
      <c r="BD202" s="12" t="str">
        <f>IFERROR(__xludf.DUMMYFUNCTION("""COMPUTED_VALUE"""),"lon0016")</f>
        <v>lon0016</v>
      </c>
      <c r="BE202" s="6" t="str">
        <f>IFERROR(__xludf.DUMMYFUNCTION("""COMPUTED_VALUE"""),"NUEVO(A)")</f>
        <v>NUEVO(A)</v>
      </c>
      <c r="BF202" s="6"/>
      <c r="BG202" s="6">
        <f>IFERROR(__xludf.DUMMYFUNCTION("""COMPUTED_VALUE"""),2038.0)</f>
        <v>2038</v>
      </c>
      <c r="BH202" s="15">
        <f>IFERROR(__xludf.DUMMYFUNCTION("""COMPUTED_VALUE"""),46200.06337962963)</f>
        <v>46200.06338</v>
      </c>
      <c r="BI202" s="6">
        <f>IFERROR(__xludf.DUMMYFUNCTION("""COMPUTED_VALUE"""),201.0)</f>
        <v>201</v>
      </c>
      <c r="BJ202" s="6"/>
      <c r="BK202" s="6"/>
      <c r="BL202" s="6" t="str">
        <f>IFERROR(__xludf.DUMMYFUNCTION("""COMPUTED_VALUE"""),"GISLON0016")</f>
        <v>GISLON0016</v>
      </c>
      <c r="BM202" s="6"/>
      <c r="BN202" s="6"/>
      <c r="BO202" s="6"/>
      <c r="BP202" s="6" t="str">
        <f>IFERROR(__xludf.DUMMYFUNCTION("""COMPUTED_VALUE"""),"XC_1_Futbol_M")</f>
        <v>XC_1_Futbol_M</v>
      </c>
      <c r="BQ202" s="6"/>
      <c r="BR202" s="6" t="str">
        <f>IFERROR(__xludf.DUMMYFUNCTION("""COMPUTED_VALUE"""),"XC_EL_DesaInstrumental")</f>
        <v>XC_EL_DesaInstrumental</v>
      </c>
      <c r="BS202" s="6" t="str">
        <f>IFERROR(__xludf.DUMMYFUNCTION("""COMPUTED_VALUE"""),"XC_1_Futbol_M")</f>
        <v>XC_1_Futbol_M</v>
      </c>
      <c r="BT202" s="6" t="str">
        <f>IFERROR(__xludf.DUMMYFUNCTION("""COMPUTED_VALUE"""),"XC_1_Futbol_M")</f>
        <v>XC_1_Futbol_M</v>
      </c>
      <c r="BU202" s="6" t="str">
        <f>IFERROR(__xludf.DUMMYFUNCTION("""COMPUTED_VALUE"""),"SI")</f>
        <v>SI</v>
      </c>
      <c r="BV202" s="12" t="str">
        <f>IFERROR(__xludf.DUMMYFUNCTION("""COMPUTED_VALUE"""),"jeronimo.l2038")</f>
        <v>jeronimo.l2038</v>
      </c>
      <c r="BW202" s="6"/>
      <c r="BX202" s="6"/>
      <c r="BY202" s="6"/>
      <c r="BZ202" s="6"/>
    </row>
    <row r="203">
      <c r="A203" s="12">
        <f>IFERROR(__xludf.DUMMYFUNCTION("""COMPUTED_VALUE"""),1.034928019E9)</f>
        <v>1034928019</v>
      </c>
      <c r="B203" s="6">
        <f>IFERROR(__xludf.DUMMYFUNCTION("""COMPUTED_VALUE"""),12.0)</f>
        <v>12</v>
      </c>
      <c r="C203" s="6" t="str">
        <f>IFERROR(__xludf.DUMMYFUNCTION("""COMPUTED_VALUE"""),"Agustín")</f>
        <v>Agustín</v>
      </c>
      <c r="D203" s="6"/>
      <c r="E203" s="6" t="str">
        <f>IFERROR(__xludf.DUMMYFUNCTION("""COMPUTED_VALUE"""),"Luque Hincapié")</f>
        <v>Luque Hincapié</v>
      </c>
      <c r="F203" s="6" t="str">
        <f>IFERROR(__xludf.DUMMYFUNCTION("""COMPUTED_VALUE"""),"Senderos de Bruselas Casa 20 - Km 2 Vía al Caimo")</f>
        <v>Senderos de Bruselas Casa 20 - Km 2 Vía al Caimo</v>
      </c>
      <c r="G203" s="12" t="str">
        <f>IFERROR(__xludf.DUMMYFUNCTION("""COMPUTED_VALUE"""),"2020")</f>
        <v>2020</v>
      </c>
      <c r="H203" s="6" t="str">
        <f>IFERROR(__xludf.DUMMYFUNCTION("""COMPUTED_VALUE"""),"Junio")</f>
        <v>Junio</v>
      </c>
      <c r="I203" s="12" t="str">
        <f>IFERROR(__xludf.DUMMYFUNCTION("""COMPUTED_VALUE"""),"21")</f>
        <v>21</v>
      </c>
      <c r="J203" s="6" t="str">
        <f>IFERROR(__xludf.DUMMYFUNCTION("""COMPUTED_VALUE"""),"Medellín")</f>
        <v>Medellín</v>
      </c>
      <c r="K203" s="6" t="str">
        <f>IFERROR(__xludf.DUMMYFUNCTION("""COMPUTED_VALUE"""),"agustin.l2038@gi.edu.co")</f>
        <v>agustin.l2038@gi.edu.co</v>
      </c>
      <c r="L203" s="6" t="str">
        <f>IFERROR(__xludf.DUMMYFUNCTION("""COMPUTED_VALUE"""),"RC")</f>
        <v>RC</v>
      </c>
      <c r="M203" s="6" t="str">
        <f>IFERROR(__xludf.DUMMYFUNCTION("""COMPUTED_VALUE"""),"Medellín")</f>
        <v>Medellín</v>
      </c>
      <c r="N203" s="6" t="str">
        <f>IFERROR(__xludf.DUMMYFUNCTION("""COMPUTED_VALUE"""),"M")</f>
        <v>M</v>
      </c>
      <c r="O203" s="6" t="str">
        <f>IFERROR(__xludf.DUMMYFUNCTION("""COMPUTED_VALUE"""),"ACTIVE")</f>
        <v>ACTIVE</v>
      </c>
      <c r="P203" s="6"/>
      <c r="Q203" s="6" t="str">
        <f>IFERROR(__xludf.DUMMYFUNCTION("""COMPUTED_VALUE"""),"Armenia")</f>
        <v>Armenia</v>
      </c>
      <c r="R203" s="12" t="str">
        <f>IFERROR(__xludf.DUMMYFUNCTION("""COMPUTED_VALUE"""),"Gijcy37p*")</f>
        <v>Gijcy37p*</v>
      </c>
      <c r="S203" s="6" t="str">
        <f>IFERROR(__xludf.DUMMYFUNCTION("""COMPUTED_VALUE"""),"Luque Hincapié Agustín ")</f>
        <v>Luque Hincapié Agustín </v>
      </c>
      <c r="T203" s="6" t="str">
        <f>IFERROR(__xludf.DUMMYFUNCTION("""COMPUTED_VALUE"""),"JACOB DE LOS REYES LUQUE NAVARRO")</f>
        <v>JACOB DE LOS REYES LUQUE NAVARRO</v>
      </c>
      <c r="U203" s="12" t="str">
        <f>IFERROR(__xludf.DUMMYFUNCTION("""COMPUTED_VALUE"""),"12644368")</f>
        <v>12644368</v>
      </c>
      <c r="V203" s="6">
        <f>IFERROR(__xludf.DUMMYFUNCTION("""COMPUTED_VALUE"""),3.016963677E9)</f>
        <v>3016963677</v>
      </c>
      <c r="W203" s="6" t="str">
        <f>IFERROR(__xludf.DUMMYFUNCTION("""COMPUTED_VALUE"""),"jacobluquenavarro@gmail.com")</f>
        <v>jacobluquenavarro@gmail.com</v>
      </c>
      <c r="X203" s="12" t="str">
        <f>IFERROR(__xludf.DUMMYFUNCTION("""COMPUTED_VALUE"""),"A+")</f>
        <v>A+</v>
      </c>
      <c r="Y203" s="12" t="str">
        <f>IFERROR(__xludf.DUMMYFUNCTION("""COMPUTED_VALUE"""),"1")</f>
        <v>1</v>
      </c>
      <c r="Z203" s="6">
        <f>IFERROR(__xludf.DUMMYFUNCTION("""COMPUTED_VALUE"""),120553.0)</f>
        <v>120553</v>
      </c>
      <c r="AA203" s="6" t="str">
        <f>IFERROR(__xludf.DUMMYFUNCTION("""COMPUTED_VALUE"""),"SURA")</f>
        <v>SURA</v>
      </c>
      <c r="AB203" s="6"/>
      <c r="AC203" s="12" t="str">
        <f>IFERROR(__xludf.DUMMYFUNCTION("""COMPUTED_VALUE"""),"Asmatico")</f>
        <v>Asmatico</v>
      </c>
      <c r="AD203" s="12" t="str">
        <f>IFERROR(__xludf.DUMMYFUNCTION("""COMPUTED_VALUE"""),"1B")</f>
        <v>1B</v>
      </c>
      <c r="AE203" s="6">
        <f>IFERROR(__xludf.DUMMYFUNCTION("""COMPUTED_VALUE"""),1.345282551E9)</f>
        <v>1345282551</v>
      </c>
      <c r="AF203" s="6"/>
      <c r="AG203" s="12" t="str">
        <f>IFERROR(__xludf.DUMMYFUNCTION("""COMPUTED_VALUE"""),"Yohana")</f>
        <v>Yohana</v>
      </c>
      <c r="AH203" s="12" t="str">
        <f>IFERROR(__xludf.DUMMYFUNCTION("""COMPUTED_VALUE"""),"Marcela")</f>
        <v>Marcela</v>
      </c>
      <c r="AI203" s="6" t="str">
        <f>IFERROR(__xludf.DUMMYFUNCTION("""COMPUTED_VALUE"""),"Hincapié Pérez")</f>
        <v>Hincapié Pérez</v>
      </c>
      <c r="AJ203" s="6" t="str">
        <f>IFERROR(__xludf.DUMMYFUNCTION("""COMPUTED_VALUE"""),"yohanamarcel.hincapie@gmail.com")</f>
        <v>yohanamarcel.hincapie@gmail.com</v>
      </c>
      <c r="AK203" s="6" t="str">
        <f>IFERROR(__xludf.DUMMYFUNCTION("""COMPUTED_VALUE"""),"EJECUTIVA FINANCIERA")</f>
        <v>EJECUTIVA FINANCIERA</v>
      </c>
      <c r="AL203" s="6" t="str">
        <f>IFERROR(__xludf.DUMMYFUNCTION("""COMPUTED_VALUE"""),"BBVA")</f>
        <v>BBVA</v>
      </c>
      <c r="AM203" s="12">
        <f>IFERROR(__xludf.DUMMYFUNCTION("""COMPUTED_VALUE"""),4.1962565E7)</f>
        <v>41962565</v>
      </c>
      <c r="AN203" s="12">
        <f>IFERROR(__xludf.DUMMYFUNCTION("""COMPUTED_VALUE"""),3.023888262E9)</f>
        <v>3023888262</v>
      </c>
      <c r="AO203" s="6" t="str">
        <f>IFERROR(__xludf.DUMMYFUNCTION("""COMPUTED_VALUE"""),"Madre")</f>
        <v>Madre</v>
      </c>
      <c r="AP203" s="12" t="str">
        <f>IFERROR(__xludf.DUMMYFUNCTION("""COMPUTED_VALUE"""),"Estudiante(s): Luque Hincapié")</f>
        <v>Estudiante(s): Luque Hincapié</v>
      </c>
      <c r="AQ203" s="6" t="str">
        <f>IFERROR(__xludf.DUMMYFUNCTION("""COMPUTED_VALUE"""),"120553*Gi")</f>
        <v>120553*Gi</v>
      </c>
      <c r="AR203" s="6" t="str">
        <f>IFERROR(__xludf.DUMMYFUNCTION("""COMPUTED_VALUE"""),"Jacob")</f>
        <v>Jacob</v>
      </c>
      <c r="AS203" s="6" t="str">
        <f>IFERROR(__xludf.DUMMYFUNCTION("""COMPUTED_VALUE"""),"de los Reyes")</f>
        <v>de los Reyes</v>
      </c>
      <c r="AT203" s="6" t="str">
        <f>IFERROR(__xludf.DUMMYFUNCTION("""COMPUTED_VALUE"""),"Luque Navarro")</f>
        <v>Luque Navarro</v>
      </c>
      <c r="AU203" s="6" t="str">
        <f>IFERROR(__xludf.DUMMYFUNCTION("""COMPUTED_VALUE"""),"jacobluquenavarro@gmail.com")</f>
        <v>jacobluquenavarro@gmail.com</v>
      </c>
      <c r="AV203" s="6" t="str">
        <f>IFERROR(__xludf.DUMMYFUNCTION("""COMPUTED_VALUE"""),"NEUROLOGO")</f>
        <v>NEUROLOGO</v>
      </c>
      <c r="AW203" s="6" t="str">
        <f>IFERROR(__xludf.DUMMYFUNCTION("""COMPUTED_VALUE"""),"HOSPITAL SAN JUAN DE DIOS")</f>
        <v>HOSPITAL SAN JUAN DE DIOS</v>
      </c>
      <c r="AX203" s="12">
        <f>IFERROR(__xludf.DUMMYFUNCTION("""COMPUTED_VALUE"""),1.2644368E7)</f>
        <v>12644368</v>
      </c>
      <c r="AY203" s="12">
        <f>IFERROR(__xludf.DUMMYFUNCTION("""COMPUTED_VALUE"""),3.016963677E9)</f>
        <v>3016963677</v>
      </c>
      <c r="AZ203" s="6" t="str">
        <f>IFERROR(__xludf.DUMMYFUNCTION("""COMPUTED_VALUE"""),"Padre")</f>
        <v>Padre</v>
      </c>
      <c r="BA203" s="6"/>
      <c r="BB203" s="6"/>
      <c r="BC203" s="6"/>
      <c r="BD203" s="12" t="str">
        <f>IFERROR(__xludf.DUMMYFUNCTION("""COMPUTED_VALUE"""),"luq0001")</f>
        <v>luq0001</v>
      </c>
      <c r="BE203" s="6"/>
      <c r="BF203" s="6"/>
      <c r="BG203" s="6">
        <f>IFERROR(__xludf.DUMMYFUNCTION("""COMPUTED_VALUE"""),2038.0)</f>
        <v>2038</v>
      </c>
      <c r="BH203" s="15">
        <f>IFERROR(__xludf.DUMMYFUNCTION("""COMPUTED_VALUE"""),46212.39534722222)</f>
        <v>46212.39535</v>
      </c>
      <c r="BI203" s="6">
        <f>IFERROR(__xludf.DUMMYFUNCTION("""COMPUTED_VALUE"""),202.0)</f>
        <v>202</v>
      </c>
      <c r="BJ203" s="6"/>
      <c r="BK203" s="6"/>
      <c r="BL203" s="6" t="str">
        <f>IFERROR(__xludf.DUMMYFUNCTION("""COMPUTED_VALUE"""),"GISLUQ0001")</f>
        <v>GISLUQ0001</v>
      </c>
      <c r="BM203" s="6"/>
      <c r="BN203" s="6"/>
      <c r="BO203" s="6"/>
      <c r="BP203" s="6" t="str">
        <f>IFERROR(__xludf.DUMMYFUNCTION("""COMPUTED_VALUE"""),"XC_1_Futbol_M")</f>
        <v>XC_1_Futbol_M</v>
      </c>
      <c r="BQ203" s="6"/>
      <c r="BR203" s="6"/>
      <c r="BS203" s="6" t="str">
        <f>IFERROR(__xludf.DUMMYFUNCTION("""COMPUTED_VALUE"""),"XC_1_Futbol_M")</f>
        <v>XC_1_Futbol_M</v>
      </c>
      <c r="BT203" s="6" t="str">
        <f>IFERROR(__xludf.DUMMYFUNCTION("""COMPUTED_VALUE"""),"XC_1_Futbol_M")</f>
        <v>XC_1_Futbol_M</v>
      </c>
      <c r="BU203" s="6" t="str">
        <f>IFERROR(__xludf.DUMMYFUNCTION("""COMPUTED_VALUE"""),"SI")</f>
        <v>SI</v>
      </c>
      <c r="BV203" s="6" t="str">
        <f>IFERROR(__xludf.DUMMYFUNCTION("""COMPUTED_VALUE"""),"agustin.l2038")</f>
        <v>agustin.l2038</v>
      </c>
      <c r="BW203" s="6"/>
      <c r="BX203" s="6"/>
      <c r="BY203" s="6"/>
      <c r="BZ203" s="6"/>
    </row>
    <row r="204">
      <c r="A204" s="12">
        <f>IFERROR(__xludf.DUMMYFUNCTION("""COMPUTED_VALUE"""),1.104957774E9)</f>
        <v>1104957774</v>
      </c>
      <c r="B204" s="6">
        <f>IFERROR(__xludf.DUMMYFUNCTION("""COMPUTED_VALUE"""),13.0)</f>
        <v>13</v>
      </c>
      <c r="C204" s="6" t="str">
        <f>IFERROR(__xludf.DUMMYFUNCTION("""COMPUTED_VALUE"""),"Luciana")</f>
        <v>Luciana</v>
      </c>
      <c r="D204" s="6"/>
      <c r="E204" s="6" t="str">
        <f>IFERROR(__xludf.DUMMYFUNCTION("""COMPUTED_VALUE"""),"Mejía Cabrera")</f>
        <v>Mejía Cabrera</v>
      </c>
      <c r="F204" s="6" t="str">
        <f>IFERROR(__xludf.DUMMYFUNCTION("""COMPUTED_VALUE"""),"Lagos de Iraka Conjunto Casa 32 - Km 7 Via Armenia - El Caimo")</f>
        <v>Lagos de Iraka Conjunto Casa 32 - Km 7 Via Armenia - El Caimo</v>
      </c>
      <c r="G204" s="12" t="str">
        <f>IFERROR(__xludf.DUMMYFUNCTION("""COMPUTED_VALUE"""),"2020")</f>
        <v>2020</v>
      </c>
      <c r="H204" s="6" t="str">
        <f>IFERROR(__xludf.DUMMYFUNCTION("""COMPUTED_VALUE"""),"Septiembre")</f>
        <v>Septiembre</v>
      </c>
      <c r="I204" s="12" t="str">
        <f>IFERROR(__xludf.DUMMYFUNCTION("""COMPUTED_VALUE"""),"28")</f>
        <v>28</v>
      </c>
      <c r="J204" s="6" t="str">
        <f>IFERROR(__xludf.DUMMYFUNCTION("""COMPUTED_VALUE"""),"Ibagué")</f>
        <v>Ibagué</v>
      </c>
      <c r="K204" s="6" t="str">
        <f>IFERROR(__xludf.DUMMYFUNCTION("""COMPUTED_VALUE"""),"luciana.m2038@gi.edu.co")</f>
        <v>luciana.m2038@gi.edu.co</v>
      </c>
      <c r="L204" s="6" t="str">
        <f>IFERROR(__xludf.DUMMYFUNCTION("""COMPUTED_VALUE"""),"RC")</f>
        <v>RC</v>
      </c>
      <c r="M204" s="6" t="str">
        <f>IFERROR(__xludf.DUMMYFUNCTION("""COMPUTED_VALUE"""),"Ibagué")</f>
        <v>Ibagué</v>
      </c>
      <c r="N204" s="6" t="str">
        <f>IFERROR(__xludf.DUMMYFUNCTION("""COMPUTED_VALUE"""),"F")</f>
        <v>F</v>
      </c>
      <c r="O204" s="6" t="str">
        <f>IFERROR(__xludf.DUMMYFUNCTION("""COMPUTED_VALUE"""),"ACTIVE")</f>
        <v>ACTIVE</v>
      </c>
      <c r="P204" s="6"/>
      <c r="Q204" s="6" t="str">
        <f>IFERROR(__xludf.DUMMYFUNCTION("""COMPUTED_VALUE"""),"Armenia")</f>
        <v>Armenia</v>
      </c>
      <c r="R204" s="12" t="str">
        <f>IFERROR(__xludf.DUMMYFUNCTION("""COMPUTED_VALUE"""),"GiHy3x6*")</f>
        <v>GiHy3x6*</v>
      </c>
      <c r="S204" s="6" t="str">
        <f>IFERROR(__xludf.DUMMYFUNCTION("""COMPUTED_VALUE"""),"Mejía Cabrera Luciana ")</f>
        <v>Mejía Cabrera Luciana </v>
      </c>
      <c r="T204" s="6" t="str">
        <f>IFERROR(__xludf.DUMMYFUNCTION("""COMPUTED_VALUE"""),"ESTEBAN MEJIA TORRES")</f>
        <v>ESTEBAN MEJIA TORRES</v>
      </c>
      <c r="U204" s="12" t="str">
        <f>IFERROR(__xludf.DUMMYFUNCTION("""COMPUTED_VALUE"""),"1110466519")</f>
        <v>1110466519</v>
      </c>
      <c r="V204" s="6">
        <f>IFERROR(__xludf.DUMMYFUNCTION("""COMPUTED_VALUE"""),3.115334755E9)</f>
        <v>3115334755</v>
      </c>
      <c r="W204" s="6" t="str">
        <f>IFERROR(__xludf.DUMMYFUNCTION("""COMPUTED_VALUE"""),"emejiatorres@gmail.com")</f>
        <v>emejiatorres@gmail.com</v>
      </c>
      <c r="X204" s="12" t="str">
        <f>IFERROR(__xludf.DUMMYFUNCTION("""COMPUTED_VALUE"""),"A+")</f>
        <v>A+</v>
      </c>
      <c r="Y204" s="12" t="str">
        <f>IFERROR(__xludf.DUMMYFUNCTION("""COMPUTED_VALUE"""),"1")</f>
        <v>1</v>
      </c>
      <c r="Z204" s="12">
        <f>IFERROR(__xludf.DUMMYFUNCTION("""COMPUTED_VALUE"""),120340.0)</f>
        <v>120340</v>
      </c>
      <c r="AA204" s="6" t="str">
        <f>IFERROR(__xludf.DUMMYFUNCTION("""COMPUTED_VALUE"""),"SALUD TOTAL")</f>
        <v>SALUD TOTAL</v>
      </c>
      <c r="AB204" s="6"/>
      <c r="AC204" s="6"/>
      <c r="AD204" s="12" t="str">
        <f>IFERROR(__xludf.DUMMYFUNCTION("""COMPUTED_VALUE"""),"1B")</f>
        <v>1B</v>
      </c>
      <c r="AE204" s="12">
        <f>IFERROR(__xludf.DUMMYFUNCTION("""COMPUTED_VALUE"""),1.345282348E9)</f>
        <v>1345282348</v>
      </c>
      <c r="AF204" s="6"/>
      <c r="AG204" s="12" t="str">
        <f>IFERROR(__xludf.DUMMYFUNCTION("""COMPUTED_VALUE"""),"Laura")</f>
        <v>Laura</v>
      </c>
      <c r="AH204" s="6"/>
      <c r="AI204" s="6" t="str">
        <f>IFERROR(__xludf.DUMMYFUNCTION("""COMPUTED_VALUE"""),"Cabrera Niño")</f>
        <v>Cabrera Niño</v>
      </c>
      <c r="AJ204" s="6" t="str">
        <f>IFERROR(__xludf.DUMMYFUNCTION("""COMPUTED_VALUE"""),"atelier.lauracabrera@gmail.com")</f>
        <v>atelier.lauracabrera@gmail.com</v>
      </c>
      <c r="AK204" s="6" t="str">
        <f>IFERROR(__xludf.DUMMYFUNCTION("""COMPUTED_VALUE"""),"DISEÑADORA DE JOYAS")</f>
        <v>DISEÑADORA DE JOYAS</v>
      </c>
      <c r="AL204" s="6"/>
      <c r="AM204" s="12" t="str">
        <f>IFERROR(__xludf.DUMMYFUNCTION("""COMPUTED_VALUE"""),"1094884629")</f>
        <v>1094884629</v>
      </c>
      <c r="AN204" s="12" t="str">
        <f>IFERROR(__xludf.DUMMYFUNCTION("""COMPUTED_VALUE"""),"3148876369")</f>
        <v>3148876369</v>
      </c>
      <c r="AO204" s="6" t="str">
        <f>IFERROR(__xludf.DUMMYFUNCTION("""COMPUTED_VALUE"""),"Madre")</f>
        <v>Madre</v>
      </c>
      <c r="AP204" s="6" t="str">
        <f>IFERROR(__xludf.DUMMYFUNCTION("""COMPUTED_VALUE"""),"Estudiante(s): Mejía Cabrera")</f>
        <v>Estudiante(s): Mejía Cabrera</v>
      </c>
      <c r="AQ204" s="6" t="str">
        <f>IFERROR(__xludf.DUMMYFUNCTION("""COMPUTED_VALUE"""),"120296*Gi")</f>
        <v>120296*Gi</v>
      </c>
      <c r="AR204" s="6" t="str">
        <f>IFERROR(__xludf.DUMMYFUNCTION("""COMPUTED_VALUE"""),"Esteban")</f>
        <v>Esteban</v>
      </c>
      <c r="AS204" s="6"/>
      <c r="AT204" s="6" t="str">
        <f>IFERROR(__xludf.DUMMYFUNCTION("""COMPUTED_VALUE"""),"Mejía Torres")</f>
        <v>Mejía Torres</v>
      </c>
      <c r="AU204" s="6" t="str">
        <f>IFERROR(__xludf.DUMMYFUNCTION("""COMPUTED_VALUE"""),"emejiatorres@gmail.com")</f>
        <v>emejiatorres@gmail.com</v>
      </c>
      <c r="AV204" s="6" t="str">
        <f>IFERROR(__xludf.DUMMYFUNCTION("""COMPUTED_VALUE"""),"ADMINISTRADOR DE EMPRESAS")</f>
        <v>ADMINISTRADOR DE EMPRESAS</v>
      </c>
      <c r="AW204" s="6" t="str">
        <f>IFERROR(__xludf.DUMMYFUNCTION("""COMPUTED_VALUE"""),"NIÑO SANCHEZ HERMANOS SAS")</f>
        <v>NIÑO SANCHEZ HERMANOS SAS</v>
      </c>
      <c r="AX204" s="12" t="str">
        <f>IFERROR(__xludf.DUMMYFUNCTION("""COMPUTED_VALUE"""),"1110466519")</f>
        <v>1110466519</v>
      </c>
      <c r="AY204" s="6">
        <f>IFERROR(__xludf.DUMMYFUNCTION("""COMPUTED_VALUE"""),3.115334755E9)</f>
        <v>3115334755</v>
      </c>
      <c r="AZ204" s="6" t="str">
        <f>IFERROR(__xludf.DUMMYFUNCTION("""COMPUTED_VALUE"""),"Padre")</f>
        <v>Padre</v>
      </c>
      <c r="BA204" s="6"/>
      <c r="BB204" s="6"/>
      <c r="BC204" s="6"/>
      <c r="BD204" s="12" t="str">
        <f>IFERROR(__xludf.DUMMYFUNCTION("""COMPUTED_VALUE"""),"mej0005")</f>
        <v>mej0005</v>
      </c>
      <c r="BE204" s="6"/>
      <c r="BF204" s="6"/>
      <c r="BG204" s="6">
        <f>IFERROR(__xludf.DUMMYFUNCTION("""COMPUTED_VALUE"""),2038.0)</f>
        <v>2038</v>
      </c>
      <c r="BH204" s="15">
        <f>IFERROR(__xludf.DUMMYFUNCTION("""COMPUTED_VALUE"""),46210.32465277778)</f>
        <v>46210.32465</v>
      </c>
      <c r="BI204" s="6">
        <f>IFERROR(__xludf.DUMMYFUNCTION("""COMPUTED_VALUE"""),203.0)</f>
        <v>203</v>
      </c>
      <c r="BJ204" s="6"/>
      <c r="BK204" s="6"/>
      <c r="BL204" s="6" t="str">
        <f>IFERROR(__xludf.DUMMYFUNCTION("""COMPUTED_VALUE"""),"GISMEJ0005")</f>
        <v>GISMEJ0005</v>
      </c>
      <c r="BM204" s="6"/>
      <c r="BN204" s="6"/>
      <c r="BO204" s="6"/>
      <c r="BP204" s="6" t="str">
        <f>IFERROR(__xludf.DUMMYFUNCTION("""COMPUTED_VALUE"""),"XC_1_Voleibol")</f>
        <v>XC_1_Voleibol</v>
      </c>
      <c r="BQ204" s="6"/>
      <c r="BR204" s="6"/>
      <c r="BS204" s="6" t="str">
        <f>IFERROR(__xludf.DUMMYFUNCTION("""COMPUTED_VALUE"""),"XC_1_Voleibol")</f>
        <v>XC_1_Voleibol</v>
      </c>
      <c r="BT204" s="6" t="str">
        <f>IFERROR(__xludf.DUMMYFUNCTION("""COMPUTED_VALUE"""),"XC_1_Voleibol")</f>
        <v>XC_1_Voleibol</v>
      </c>
      <c r="BU204" s="6" t="str">
        <f>IFERROR(__xludf.DUMMYFUNCTION("""COMPUTED_VALUE"""),"SI")</f>
        <v>SI</v>
      </c>
      <c r="BV204" s="6" t="str">
        <f>IFERROR(__xludf.DUMMYFUNCTION("""COMPUTED_VALUE"""),"luciana.m2038")</f>
        <v>luciana.m2038</v>
      </c>
      <c r="BW204" s="6"/>
      <c r="BX204" s="6"/>
      <c r="BY204" s="6"/>
      <c r="BZ204" s="6"/>
    </row>
    <row r="205">
      <c r="A205" s="12">
        <f>IFERROR(__xludf.DUMMYFUNCTION("""COMPUTED_VALUE"""),1.019919535E9)</f>
        <v>1019919535</v>
      </c>
      <c r="B205" s="6">
        <f>IFERROR(__xludf.DUMMYFUNCTION("""COMPUTED_VALUE"""),14.0)</f>
        <v>14</v>
      </c>
      <c r="C205" s="6" t="str">
        <f>IFERROR(__xludf.DUMMYFUNCTION("""COMPUTED_VALUE"""),"Salvador")</f>
        <v>Salvador</v>
      </c>
      <c r="D205" s="6"/>
      <c r="E205" s="6" t="str">
        <f>IFERROR(__xludf.DUMMYFUNCTION("""COMPUTED_VALUE"""),"Molina Mejía")</f>
        <v>Molina Mejía</v>
      </c>
      <c r="F205" s="6" t="str">
        <f>IFERROR(__xludf.DUMMYFUNCTION("""COMPUTED_VALUE"""),"Alcarraza Casa 3 - Km 3 Via el Caimo La Tebaida")</f>
        <v>Alcarraza Casa 3 - Km 3 Via el Caimo La Tebaida</v>
      </c>
      <c r="G205" s="12" t="str">
        <f>IFERROR(__xludf.DUMMYFUNCTION("""COMPUTED_VALUE"""),"2020")</f>
        <v>2020</v>
      </c>
      <c r="H205" s="6" t="str">
        <f>IFERROR(__xludf.DUMMYFUNCTION("""COMPUTED_VALUE"""),"Enero")</f>
        <v>Enero</v>
      </c>
      <c r="I205" s="12" t="str">
        <f>IFERROR(__xludf.DUMMYFUNCTION("""COMPUTED_VALUE"""),"16")</f>
        <v>16</v>
      </c>
      <c r="J205" s="6" t="str">
        <f>IFERROR(__xludf.DUMMYFUNCTION("""COMPUTED_VALUE"""),"Bogotá D.C.")</f>
        <v>Bogotá D.C.</v>
      </c>
      <c r="K205" s="6" t="str">
        <f>IFERROR(__xludf.DUMMYFUNCTION("""COMPUTED_VALUE"""),"salvador.m2038@gi.edu.co")</f>
        <v>salvador.m2038@gi.edu.co</v>
      </c>
      <c r="L205" s="6" t="str">
        <f>IFERROR(__xludf.DUMMYFUNCTION("""COMPUTED_VALUE"""),"RC")</f>
        <v>RC</v>
      </c>
      <c r="M205" s="6" t="str">
        <f>IFERROR(__xludf.DUMMYFUNCTION("""COMPUTED_VALUE"""),"Bogotá D.C.")</f>
        <v>Bogotá D.C.</v>
      </c>
      <c r="N205" s="6" t="str">
        <f>IFERROR(__xludf.DUMMYFUNCTION("""COMPUTED_VALUE"""),"M")</f>
        <v>M</v>
      </c>
      <c r="O205" s="6" t="str">
        <f>IFERROR(__xludf.DUMMYFUNCTION("""COMPUTED_VALUE"""),"ACTIVE")</f>
        <v>ACTIVE</v>
      </c>
      <c r="P205" s="6"/>
      <c r="Q205" s="6" t="str">
        <f>IFERROR(__xludf.DUMMYFUNCTION("""COMPUTED_VALUE"""),"Armenia")</f>
        <v>Armenia</v>
      </c>
      <c r="R205" s="12" t="str">
        <f>IFERROR(__xludf.DUMMYFUNCTION("""COMPUTED_VALUE"""),"Gid82jns*")</f>
        <v>Gid82jns*</v>
      </c>
      <c r="S205" s="6" t="str">
        <f>IFERROR(__xludf.DUMMYFUNCTION("""COMPUTED_VALUE"""),"Molina Mejía Salvador ")</f>
        <v>Molina Mejía Salvador </v>
      </c>
      <c r="T205" s="6" t="str">
        <f>IFERROR(__xludf.DUMMYFUNCTION("""COMPUTED_VALUE"""),"JUAN SEBASTIAN MOLINA FATAT")</f>
        <v>JUAN SEBASTIAN MOLINA FATAT</v>
      </c>
      <c r="U205" s="12" t="str">
        <f>IFERROR(__xludf.DUMMYFUNCTION("""COMPUTED_VALUE"""),"80873056")</f>
        <v>80873056</v>
      </c>
      <c r="V205" s="6">
        <f>IFERROR(__xludf.DUMMYFUNCTION("""COMPUTED_VALUE"""),3.106806486E9)</f>
        <v>3106806486</v>
      </c>
      <c r="W205" s="6" t="str">
        <f>IFERROR(__xludf.DUMMYFUNCTION("""COMPUTED_VALUE"""),"juansmolina1@gmail.com")</f>
        <v>juansmolina1@gmail.com</v>
      </c>
      <c r="X205" s="12" t="str">
        <f>IFERROR(__xludf.DUMMYFUNCTION("""COMPUTED_VALUE"""),"A+")</f>
        <v>A+</v>
      </c>
      <c r="Y205" s="12" t="str">
        <f>IFERROR(__xludf.DUMMYFUNCTION("""COMPUTED_VALUE"""),"1")</f>
        <v>1</v>
      </c>
      <c r="Z205" s="12">
        <f>IFERROR(__xludf.DUMMYFUNCTION("""COMPUTED_VALUE"""),120261.0)</f>
        <v>120261</v>
      </c>
      <c r="AA205" s="6" t="str">
        <f>IFERROR(__xludf.DUMMYFUNCTION("""COMPUTED_VALUE"""),"SANITAS")</f>
        <v>SANITAS</v>
      </c>
      <c r="AB205" s="6"/>
      <c r="AC205" s="6"/>
      <c r="AD205" s="12" t="str">
        <f>IFERROR(__xludf.DUMMYFUNCTION("""COMPUTED_VALUE"""),"1B")</f>
        <v>1B</v>
      </c>
      <c r="AE205" s="12">
        <f>IFERROR(__xludf.DUMMYFUNCTION("""COMPUTED_VALUE"""),1.34528225E9)</f>
        <v>1345282250</v>
      </c>
      <c r="AF205" s="6"/>
      <c r="AG205" s="12" t="str">
        <f>IFERROR(__xludf.DUMMYFUNCTION("""COMPUTED_VALUE"""),"Maria")</f>
        <v>Maria</v>
      </c>
      <c r="AH205" s="12" t="str">
        <f>IFERROR(__xludf.DUMMYFUNCTION("""COMPUTED_VALUE"""),"Jose")</f>
        <v>Jose</v>
      </c>
      <c r="AI205" s="6" t="str">
        <f>IFERROR(__xludf.DUMMYFUNCTION("""COMPUTED_VALUE"""),"Mejía Cano")</f>
        <v>Mejía Cano</v>
      </c>
      <c r="AJ205" s="6" t="str">
        <f>IFERROR(__xludf.DUMMYFUNCTION("""COMPUTED_VALUE"""),"mariajosemejiacano@gmail.com")</f>
        <v>mariajosemejiacano@gmail.com</v>
      </c>
      <c r="AK205" s="6" t="str">
        <f>IFERROR(__xludf.DUMMYFUNCTION("""COMPUTED_VALUE"""),"Administrador de empresas")</f>
        <v>Administrador de empresas</v>
      </c>
      <c r="AL205" s="6"/>
      <c r="AM205" s="12" t="str">
        <f>IFERROR(__xludf.DUMMYFUNCTION("""COMPUTED_VALUE"""),"1094915480")</f>
        <v>1094915480</v>
      </c>
      <c r="AN205" s="12" t="str">
        <f>IFERROR(__xludf.DUMMYFUNCTION("""COMPUTED_VALUE"""),"3113181751")</f>
        <v>3113181751</v>
      </c>
      <c r="AO205" s="6" t="str">
        <f>IFERROR(__xludf.DUMMYFUNCTION("""COMPUTED_VALUE"""),"Madre")</f>
        <v>Madre</v>
      </c>
      <c r="AP205" s="6" t="str">
        <f>IFERROR(__xludf.DUMMYFUNCTION("""COMPUTED_VALUE"""),"Estudiante(s): Molina Mejía")</f>
        <v>Estudiante(s): Molina Mejía</v>
      </c>
      <c r="AQ205" s="6" t="str">
        <f>IFERROR(__xludf.DUMMYFUNCTION("""COMPUTED_VALUE"""),"120261*Gi")</f>
        <v>120261*Gi</v>
      </c>
      <c r="AR205" s="6" t="str">
        <f>IFERROR(__xludf.DUMMYFUNCTION("""COMPUTED_VALUE"""),"Juan")</f>
        <v>Juan</v>
      </c>
      <c r="AS205" s="6" t="str">
        <f>IFERROR(__xludf.DUMMYFUNCTION("""COMPUTED_VALUE"""),"Sebastian")</f>
        <v>Sebastian</v>
      </c>
      <c r="AT205" s="6" t="str">
        <f>IFERROR(__xludf.DUMMYFUNCTION("""COMPUTED_VALUE"""),"Molina Fatat")</f>
        <v>Molina Fatat</v>
      </c>
      <c r="AU205" s="6" t="str">
        <f>IFERROR(__xludf.DUMMYFUNCTION("""COMPUTED_VALUE"""),"juansmolina1@gmail.com")</f>
        <v>juansmolina1@gmail.com</v>
      </c>
      <c r="AV205" s="6" t="str">
        <f>IFERROR(__xludf.DUMMYFUNCTION("""COMPUTED_VALUE"""),"administrador de empresas")</f>
        <v>administrador de empresas</v>
      </c>
      <c r="AW205" s="6"/>
      <c r="AX205" s="12" t="str">
        <f>IFERROR(__xludf.DUMMYFUNCTION("""COMPUTED_VALUE"""),"80873056")</f>
        <v>80873056</v>
      </c>
      <c r="AY205" s="12" t="str">
        <f>IFERROR(__xludf.DUMMYFUNCTION("""COMPUTED_VALUE"""),"3106806486")</f>
        <v>3106806486</v>
      </c>
      <c r="AZ205" s="6" t="str">
        <f>IFERROR(__xludf.DUMMYFUNCTION("""COMPUTED_VALUE"""),"Padre")</f>
        <v>Padre</v>
      </c>
      <c r="BA205" s="6"/>
      <c r="BB205" s="6"/>
      <c r="BC205" s="6"/>
      <c r="BD205" s="12" t="str">
        <f>IFERROR(__xludf.DUMMYFUNCTION("""COMPUTED_VALUE"""),"mej0004")</f>
        <v>mej0004</v>
      </c>
      <c r="BE205" s="6"/>
      <c r="BF205" s="6"/>
      <c r="BG205" s="6">
        <f>IFERROR(__xludf.DUMMYFUNCTION("""COMPUTED_VALUE"""),2038.0)</f>
        <v>2038</v>
      </c>
      <c r="BH205" s="15">
        <f>IFERROR(__xludf.DUMMYFUNCTION("""COMPUTED_VALUE"""),46210.47068287037)</f>
        <v>46210.47068</v>
      </c>
      <c r="BI205" s="6">
        <f>IFERROR(__xludf.DUMMYFUNCTION("""COMPUTED_VALUE"""),204.0)</f>
        <v>204</v>
      </c>
      <c r="BJ205" s="6"/>
      <c r="BK205" s="6"/>
      <c r="BL205" s="6" t="str">
        <f>IFERROR(__xludf.DUMMYFUNCTION("""COMPUTED_VALUE"""),"GISMEJ0004")</f>
        <v>GISMEJ0004</v>
      </c>
      <c r="BM205" s="6"/>
      <c r="BN205" s="6"/>
      <c r="BO205" s="6"/>
      <c r="BP205" s="6" t="str">
        <f>IFERROR(__xludf.DUMMYFUNCTION("""COMPUTED_VALUE"""),"XC_1_Futbol_M")</f>
        <v>XC_1_Futbol_M</v>
      </c>
      <c r="BQ205" s="6"/>
      <c r="BR205" s="6"/>
      <c r="BS205" s="6" t="str">
        <f>IFERROR(__xludf.DUMMYFUNCTION("""COMPUTED_VALUE"""),"XC_1_Futbol_M")</f>
        <v>XC_1_Futbol_M</v>
      </c>
      <c r="BT205" s="6" t="str">
        <f>IFERROR(__xludf.DUMMYFUNCTION("""COMPUTED_VALUE"""),"XC_1_Futbol_M")</f>
        <v>XC_1_Futbol_M</v>
      </c>
      <c r="BU205" s="6" t="str">
        <f>IFERROR(__xludf.DUMMYFUNCTION("""COMPUTED_VALUE"""),"SI")</f>
        <v>SI</v>
      </c>
      <c r="BV205" s="6" t="str">
        <f>IFERROR(__xludf.DUMMYFUNCTION("""COMPUTED_VALUE"""),"salvador.m2038")</f>
        <v>salvador.m2038</v>
      </c>
      <c r="BW205" s="6"/>
      <c r="BX205" s="6"/>
      <c r="BY205" s="6"/>
      <c r="BZ205" s="6"/>
    </row>
    <row r="206">
      <c r="A206" s="12">
        <f>IFERROR(__xludf.DUMMYFUNCTION("""COMPUTED_VALUE"""),1.09286386E9)</f>
        <v>1092863860</v>
      </c>
      <c r="B206" s="6">
        <f>IFERROR(__xludf.DUMMYFUNCTION("""COMPUTED_VALUE"""),15.0)</f>
        <v>15</v>
      </c>
      <c r="C206" s="6" t="str">
        <f>IFERROR(__xludf.DUMMYFUNCTION("""COMPUTED_VALUE"""),"Manuela")</f>
        <v>Manuela</v>
      </c>
      <c r="D206" s="6"/>
      <c r="E206" s="6" t="str">
        <f>IFERROR(__xludf.DUMMYFUNCTION("""COMPUTED_VALUE"""),"Orozco Tovar")</f>
        <v>Orozco Tovar</v>
      </c>
      <c r="F206" s="6" t="str">
        <f>IFERROR(__xludf.DUMMYFUNCTION("""COMPUTED_VALUE"""),"Parque Residencial San Simon Casa 24 - Calle 32Nte No18 - 60")</f>
        <v>Parque Residencial San Simon Casa 24 - Calle 32Nte No18 - 60</v>
      </c>
      <c r="G206" s="12" t="str">
        <f>IFERROR(__xludf.DUMMYFUNCTION("""COMPUTED_VALUE"""),"2020")</f>
        <v>2020</v>
      </c>
      <c r="H206" s="6" t="str">
        <f>IFERROR(__xludf.DUMMYFUNCTION("""COMPUTED_VALUE"""),"Enero")</f>
        <v>Enero</v>
      </c>
      <c r="I206" s="12" t="str">
        <f>IFERROR(__xludf.DUMMYFUNCTION("""COMPUTED_VALUE"""),"23")</f>
        <v>23</v>
      </c>
      <c r="J206" s="6" t="str">
        <f>IFERROR(__xludf.DUMMYFUNCTION("""COMPUTED_VALUE"""),"Armenia")</f>
        <v>Armenia</v>
      </c>
      <c r="K206" s="6" t="str">
        <f>IFERROR(__xludf.DUMMYFUNCTION("""COMPUTED_VALUE"""),"manuela.o2038@gi.edu.co")</f>
        <v>manuela.o2038@gi.edu.co</v>
      </c>
      <c r="L206" s="6" t="str">
        <f>IFERROR(__xludf.DUMMYFUNCTION("""COMPUTED_VALUE"""),"RC")</f>
        <v>RC</v>
      </c>
      <c r="M206" s="6" t="str">
        <f>IFERROR(__xludf.DUMMYFUNCTION("""COMPUTED_VALUE"""),"Armenia")</f>
        <v>Armenia</v>
      </c>
      <c r="N206" s="6" t="str">
        <f>IFERROR(__xludf.DUMMYFUNCTION("""COMPUTED_VALUE"""),"F")</f>
        <v>F</v>
      </c>
      <c r="O206" s="6" t="str">
        <f>IFERROR(__xludf.DUMMYFUNCTION("""COMPUTED_VALUE"""),"ACTIVE")</f>
        <v>ACTIVE</v>
      </c>
      <c r="P206" s="6"/>
      <c r="Q206" s="6" t="str">
        <f>IFERROR(__xludf.DUMMYFUNCTION("""COMPUTED_VALUE"""),"Armenia")</f>
        <v>Armenia</v>
      </c>
      <c r="R206" s="12" t="str">
        <f>IFERROR(__xludf.DUMMYFUNCTION("""COMPUTED_VALUE"""),"Gis6chw*")</f>
        <v>Gis6chw*</v>
      </c>
      <c r="S206" s="6" t="str">
        <f>IFERROR(__xludf.DUMMYFUNCTION("""COMPUTED_VALUE"""),"Orozco Tovar Manuela ")</f>
        <v>Orozco Tovar Manuela </v>
      </c>
      <c r="T206" s="6" t="str">
        <f>IFERROR(__xludf.DUMMYFUNCTION("""COMPUTED_VALUE"""),"STEFFANY TOVAR VILLA")</f>
        <v>STEFFANY TOVAR VILLA</v>
      </c>
      <c r="U206" s="12" t="str">
        <f>IFERROR(__xludf.DUMMYFUNCTION("""COMPUTED_VALUE"""),"1094923678")</f>
        <v>1094923678</v>
      </c>
      <c r="V206" s="6">
        <f>IFERROR(__xludf.DUMMYFUNCTION("""COMPUTED_VALUE"""),3.152706636E9)</f>
        <v>3152706636</v>
      </c>
      <c r="W206" s="6" t="str">
        <f>IFERROR(__xludf.DUMMYFUNCTION("""COMPUTED_VALUE"""),"steffanytovarvilla@hotmail.com")</f>
        <v>steffanytovarvilla@hotmail.com</v>
      </c>
      <c r="X206" s="12" t="str">
        <f>IFERROR(__xludf.DUMMYFUNCTION("""COMPUTED_VALUE"""),"O+")</f>
        <v>O+</v>
      </c>
      <c r="Y206" s="12" t="str">
        <f>IFERROR(__xludf.DUMMYFUNCTION("""COMPUTED_VALUE"""),"1")</f>
        <v>1</v>
      </c>
      <c r="Z206" s="12">
        <f>IFERROR(__xludf.DUMMYFUNCTION("""COMPUTED_VALUE"""),120320.0)</f>
        <v>120320</v>
      </c>
      <c r="AA206" s="6" t="str">
        <f>IFERROR(__xludf.DUMMYFUNCTION("""COMPUTED_VALUE"""),"SANITAS")</f>
        <v>SANITAS</v>
      </c>
      <c r="AB206" s="6"/>
      <c r="AC206" s="6"/>
      <c r="AD206" s="12" t="str">
        <f>IFERROR(__xludf.DUMMYFUNCTION("""COMPUTED_VALUE"""),"1B")</f>
        <v>1B</v>
      </c>
      <c r="AE206" s="12">
        <f>IFERROR(__xludf.DUMMYFUNCTION("""COMPUTED_VALUE"""),1.345282342E9)</f>
        <v>1345282342</v>
      </c>
      <c r="AF206" s="6"/>
      <c r="AG206" s="12" t="str">
        <f>IFERROR(__xludf.DUMMYFUNCTION("""COMPUTED_VALUE"""),"Steffany")</f>
        <v>Steffany</v>
      </c>
      <c r="AH206" s="6"/>
      <c r="AI206" s="6" t="str">
        <f>IFERROR(__xludf.DUMMYFUNCTION("""COMPUTED_VALUE"""),"Tovar Villa")</f>
        <v>Tovar Villa</v>
      </c>
      <c r="AJ206" s="6" t="str">
        <f>IFERROR(__xludf.DUMMYFUNCTION("""COMPUTED_VALUE"""),"steffanytovarvilla@hotmail.com")</f>
        <v>steffanytovarvilla@hotmail.com</v>
      </c>
      <c r="AK206" s="6" t="str">
        <f>IFERROR(__xludf.DUMMYFUNCTION("""COMPUTED_VALUE"""),"Abogada")</f>
        <v>Abogada</v>
      </c>
      <c r="AL206" s="6"/>
      <c r="AM206" s="12" t="str">
        <f>IFERROR(__xludf.DUMMYFUNCTION("""COMPUTED_VALUE"""),"1094923678")</f>
        <v>1094923678</v>
      </c>
      <c r="AN206" s="12" t="str">
        <f>IFERROR(__xludf.DUMMYFUNCTION("""COMPUTED_VALUE"""),"3152706636")</f>
        <v>3152706636</v>
      </c>
      <c r="AO206" s="6" t="str">
        <f>IFERROR(__xludf.DUMMYFUNCTION("""COMPUTED_VALUE"""),"Madre")</f>
        <v>Madre</v>
      </c>
      <c r="AP206" s="6" t="str">
        <f>IFERROR(__xludf.DUMMYFUNCTION("""COMPUTED_VALUE"""),"Estudiante(s): Orozco Tovar")</f>
        <v>Estudiante(s): Orozco Tovar</v>
      </c>
      <c r="AQ206" s="6" t="str">
        <f>IFERROR(__xludf.DUMMYFUNCTION("""COMPUTED_VALUE"""),"120320*Gi")</f>
        <v>120320*Gi</v>
      </c>
      <c r="AR206" s="6" t="str">
        <f>IFERROR(__xludf.DUMMYFUNCTION("""COMPUTED_VALUE"""),"Manuel")</f>
        <v>Manuel</v>
      </c>
      <c r="AS206" s="6" t="str">
        <f>IFERROR(__xludf.DUMMYFUNCTION("""COMPUTED_VALUE"""),"Felipe")</f>
        <v>Felipe</v>
      </c>
      <c r="AT206" s="6" t="str">
        <f>IFERROR(__xludf.DUMMYFUNCTION("""COMPUTED_VALUE"""),"Orozco Castañeda")</f>
        <v>Orozco Castañeda</v>
      </c>
      <c r="AU206" s="6" t="str">
        <f>IFERROR(__xludf.DUMMYFUNCTION("""COMPUTED_VALUE"""),"manuelforozco.2525@hotmail.com")</f>
        <v>manuelforozco.2525@hotmail.com</v>
      </c>
      <c r="AV206" s="6" t="str">
        <f>IFERROR(__xludf.DUMMYFUNCTION("""COMPUTED_VALUE"""),"Abogado")</f>
        <v>Abogado</v>
      </c>
      <c r="AW206" s="6"/>
      <c r="AX206" s="12" t="str">
        <f>IFERROR(__xludf.DUMMYFUNCTION("""COMPUTED_VALUE"""),"1094933384")</f>
        <v>1094933384</v>
      </c>
      <c r="AY206" s="12" t="str">
        <f>IFERROR(__xludf.DUMMYFUNCTION("""COMPUTED_VALUE"""),"3178952560")</f>
        <v>3178952560</v>
      </c>
      <c r="AZ206" s="6" t="str">
        <f>IFERROR(__xludf.DUMMYFUNCTION("""COMPUTED_VALUE"""),"Padre")</f>
        <v>Padre</v>
      </c>
      <c r="BA206" s="6"/>
      <c r="BB206" s="6"/>
      <c r="BC206" s="6"/>
      <c r="BD206" s="12" t="str">
        <f>IFERROR(__xludf.DUMMYFUNCTION("""COMPUTED_VALUE"""),"oro0004")</f>
        <v>oro0004</v>
      </c>
      <c r="BE206" s="6"/>
      <c r="BF206" s="6"/>
      <c r="BG206" s="6">
        <f>IFERROR(__xludf.DUMMYFUNCTION("""COMPUTED_VALUE"""),2038.0)</f>
        <v>2038</v>
      </c>
      <c r="BH206" s="15">
        <f>IFERROR(__xludf.DUMMYFUNCTION("""COMPUTED_VALUE"""),46212.76459490741)</f>
        <v>46212.76459</v>
      </c>
      <c r="BI206" s="6">
        <f>IFERROR(__xludf.DUMMYFUNCTION("""COMPUTED_VALUE"""),205.0)</f>
        <v>205</v>
      </c>
      <c r="BJ206" s="6"/>
      <c r="BK206" s="6"/>
      <c r="BL206" s="6" t="str">
        <f>IFERROR(__xludf.DUMMYFUNCTION("""COMPUTED_VALUE"""),"GISORO0004")</f>
        <v>GISORO0004</v>
      </c>
      <c r="BM206" s="6"/>
      <c r="BN206" s="6"/>
      <c r="BO206" s="6"/>
      <c r="BP206" s="6" t="str">
        <f>IFERROR(__xludf.DUMMYFUNCTION("""COMPUTED_VALUE"""),"XC_EL_Porras")</f>
        <v>XC_EL_Porras</v>
      </c>
      <c r="BQ206" s="6" t="str">
        <f>IFERROR(__xludf.DUMMYFUNCTION("""COMPUTED_VALUE"""),"XC_EL_Porras")</f>
        <v>XC_EL_Porras</v>
      </c>
      <c r="BR206" s="6"/>
      <c r="BS206" s="6" t="str">
        <f>IFERROR(__xludf.DUMMYFUNCTION("""COMPUTED_VALUE"""),"XC_EL_Porras")</f>
        <v>XC_EL_Porras</v>
      </c>
      <c r="BT206" s="6"/>
      <c r="BU206" s="6" t="str">
        <f>IFERROR(__xludf.DUMMYFUNCTION("""COMPUTED_VALUE"""),"SI")</f>
        <v>SI</v>
      </c>
      <c r="BV206" s="6" t="str">
        <f>IFERROR(__xludf.DUMMYFUNCTION("""COMPUTED_VALUE"""),"manuela.o2038")</f>
        <v>manuela.o2038</v>
      </c>
      <c r="BW206" s="6"/>
      <c r="BX206" s="6"/>
      <c r="BY206" s="6"/>
      <c r="BZ206" s="6"/>
    </row>
    <row r="207">
      <c r="A207" s="12">
        <f>IFERROR(__xludf.DUMMYFUNCTION("""COMPUTED_VALUE"""),1.091889546E9)</f>
        <v>1091889546</v>
      </c>
      <c r="B207" s="6">
        <f>IFERROR(__xludf.DUMMYFUNCTION("""COMPUTED_VALUE"""),16.0)</f>
        <v>16</v>
      </c>
      <c r="C207" s="6" t="str">
        <f>IFERROR(__xludf.DUMMYFUNCTION("""COMPUTED_VALUE"""),"Elena")</f>
        <v>Elena</v>
      </c>
      <c r="D207" s="6"/>
      <c r="E207" s="6" t="str">
        <f>IFERROR(__xludf.DUMMYFUNCTION("""COMPUTED_VALUE"""),"Patiño González")</f>
        <v>Patiño González</v>
      </c>
      <c r="F207" s="6" t="str">
        <f>IFERROR(__xludf.DUMMYFUNCTION("""COMPUTED_VALUE"""),"Condominio Mattiz Torre A Apto 805  - Cra 14 No50Nte - 42")</f>
        <v>Condominio Mattiz Torre A Apto 805  - Cra 14 No50Nte - 42</v>
      </c>
      <c r="G207" s="12" t="str">
        <f>IFERROR(__xludf.DUMMYFUNCTION("""COMPUTED_VALUE"""),"2020")</f>
        <v>2020</v>
      </c>
      <c r="H207" s="6" t="str">
        <f>IFERROR(__xludf.DUMMYFUNCTION("""COMPUTED_VALUE"""),"Agosto")</f>
        <v>Agosto</v>
      </c>
      <c r="I207" s="12" t="str">
        <f>IFERROR(__xludf.DUMMYFUNCTION("""COMPUTED_VALUE"""),"31")</f>
        <v>31</v>
      </c>
      <c r="J207" s="6" t="str">
        <f>IFERROR(__xludf.DUMMYFUNCTION("""COMPUTED_VALUE"""),"Armenia")</f>
        <v>Armenia</v>
      </c>
      <c r="K207" s="6" t="str">
        <f>IFERROR(__xludf.DUMMYFUNCTION("""COMPUTED_VALUE"""),"elena.p2038@gi.edu.co")</f>
        <v>elena.p2038@gi.edu.co</v>
      </c>
      <c r="L207" s="6" t="str">
        <f>IFERROR(__xludf.DUMMYFUNCTION("""COMPUTED_VALUE"""),"RC")</f>
        <v>RC</v>
      </c>
      <c r="M207" s="6" t="str">
        <f>IFERROR(__xludf.DUMMYFUNCTION("""COMPUTED_VALUE"""),"Armenia")</f>
        <v>Armenia</v>
      </c>
      <c r="N207" s="6" t="str">
        <f>IFERROR(__xludf.DUMMYFUNCTION("""COMPUTED_VALUE"""),"F")</f>
        <v>F</v>
      </c>
      <c r="O207" s="6" t="str">
        <f>IFERROR(__xludf.DUMMYFUNCTION("""COMPUTED_VALUE"""),"ACTIVE")</f>
        <v>ACTIVE</v>
      </c>
      <c r="P207" s="6"/>
      <c r="Q207" s="6" t="str">
        <f>IFERROR(__xludf.DUMMYFUNCTION("""COMPUTED_VALUE"""),"Armenia")</f>
        <v>Armenia</v>
      </c>
      <c r="R207" s="12" t="str">
        <f>IFERROR(__xludf.DUMMYFUNCTION("""COMPUTED_VALUE"""),"Gititwn7*")</f>
        <v>Gititwn7*</v>
      </c>
      <c r="S207" s="6" t="str">
        <f>IFERROR(__xludf.DUMMYFUNCTION("""COMPUTED_VALUE"""),"Patiño González Elena ")</f>
        <v>Patiño González Elena </v>
      </c>
      <c r="T207" s="6" t="str">
        <f>IFERROR(__xludf.DUMMYFUNCTION("""COMPUTED_VALUE"""),"MANUEL ALEJANDRO PATIÑO BUITRAGO")</f>
        <v>MANUEL ALEJANDRO PATIÑO BUITRAGO</v>
      </c>
      <c r="U207" s="12" t="str">
        <f>IFERROR(__xludf.DUMMYFUNCTION("""COMPUTED_VALUE"""),"1094906847")</f>
        <v>1094906847</v>
      </c>
      <c r="V207" s="6">
        <f>IFERROR(__xludf.DUMMYFUNCTION("""COMPUTED_VALUE"""),3.003431697E9)</f>
        <v>3003431697</v>
      </c>
      <c r="W207" s="6" t="str">
        <f>IFERROR(__xludf.DUMMYFUNCTION("""COMPUTED_VALUE"""),"manuel1a1@hotmail.com")</f>
        <v>manuel1a1@hotmail.com</v>
      </c>
      <c r="X207" s="12" t="str">
        <f>IFERROR(__xludf.DUMMYFUNCTION("""COMPUTED_VALUE"""),"O+")</f>
        <v>O+</v>
      </c>
      <c r="Y207" s="12" t="str">
        <f>IFERROR(__xludf.DUMMYFUNCTION("""COMPUTED_VALUE"""),"1")</f>
        <v>1</v>
      </c>
      <c r="Z207" s="6">
        <f>IFERROR(__xludf.DUMMYFUNCTION("""COMPUTED_VALUE"""),120572.0)</f>
        <v>120572</v>
      </c>
      <c r="AA207" s="6" t="str">
        <f>IFERROR(__xludf.DUMMYFUNCTION("""COMPUTED_VALUE"""),"SURA")</f>
        <v>SURA</v>
      </c>
      <c r="AB207" s="6"/>
      <c r="AC207" s="6" t="str">
        <f>IFERROR(__xludf.DUMMYFUNCTION("""COMPUTED_VALUE"""),"PROTEÍNA DE LA LECHE, PERO HASTA EL MOMENTO ESTA TOLERANDO LOS ALIMENTOS QUE LE ESTAMOS INTRODUCIENDO")</f>
        <v>PROTEÍNA DE LA LECHE, PERO HASTA EL MOMENTO ESTA TOLERANDO LOS ALIMENTOS QUE LE ESTAMOS INTRODUCIENDO</v>
      </c>
      <c r="AD207" s="12" t="str">
        <f>IFERROR(__xludf.DUMMYFUNCTION("""COMPUTED_VALUE"""),"1B")</f>
        <v>1B</v>
      </c>
      <c r="AE207" s="12">
        <f>IFERROR(__xludf.DUMMYFUNCTION("""COMPUTED_VALUE"""),1.34528257E9)</f>
        <v>1345282570</v>
      </c>
      <c r="AF207" s="6"/>
      <c r="AG207" s="12" t="str">
        <f>IFERROR(__xludf.DUMMYFUNCTION("""COMPUTED_VALUE"""),"Johana")</f>
        <v>Johana</v>
      </c>
      <c r="AH207" s="6"/>
      <c r="AI207" s="6" t="str">
        <f>IFERROR(__xludf.DUMMYFUNCTION("""COMPUTED_VALUE"""),"González Escobar")</f>
        <v>González Escobar</v>
      </c>
      <c r="AJ207" s="6" t="str">
        <f>IFERROR(__xludf.DUMMYFUNCTION("""COMPUTED_VALUE"""),"johanita839@gmail.com")</f>
        <v>johanita839@gmail.com</v>
      </c>
      <c r="AK207" s="6" t="str">
        <f>IFERROR(__xludf.DUMMYFUNCTION("""COMPUTED_VALUE"""),"Administradora Comercial y Mercadeo")</f>
        <v>Administradora Comercial y Mercadeo</v>
      </c>
      <c r="AL207" s="6" t="str">
        <f>IFERROR(__xludf.DUMMYFUNCTION("""COMPUTED_VALUE"""),"Fondo Nacional del Ahorro")</f>
        <v>Fondo Nacional del Ahorro</v>
      </c>
      <c r="AM207" s="12">
        <f>IFERROR(__xludf.DUMMYFUNCTION("""COMPUTED_VALUE"""),1.128406924E9)</f>
        <v>1128406924</v>
      </c>
      <c r="AN207" s="12">
        <f>IFERROR(__xludf.DUMMYFUNCTION("""COMPUTED_VALUE"""),3.182099357E9)</f>
        <v>3182099357</v>
      </c>
      <c r="AO207" s="6" t="str">
        <f>IFERROR(__xludf.DUMMYFUNCTION("""COMPUTED_VALUE"""),"Madre")</f>
        <v>Madre</v>
      </c>
      <c r="AP207" s="6" t="str">
        <f>IFERROR(__xludf.DUMMYFUNCTION("""COMPUTED_VALUE"""),"Estudiante(s): Patiño González")</f>
        <v>Estudiante(s): Patiño González</v>
      </c>
      <c r="AQ207" s="6" t="str">
        <f>IFERROR(__xludf.DUMMYFUNCTION("""COMPUTED_VALUE"""),"120572*Gi")</f>
        <v>120572*Gi</v>
      </c>
      <c r="AR207" s="6" t="str">
        <f>IFERROR(__xludf.DUMMYFUNCTION("""COMPUTED_VALUE"""),"Manuel")</f>
        <v>Manuel</v>
      </c>
      <c r="AS207" s="6" t="str">
        <f>IFERROR(__xludf.DUMMYFUNCTION("""COMPUTED_VALUE"""),"Alejandro")</f>
        <v>Alejandro</v>
      </c>
      <c r="AT207" s="6" t="str">
        <f>IFERROR(__xludf.DUMMYFUNCTION("""COMPUTED_VALUE"""),"Patiño Buitrago")</f>
        <v>Patiño Buitrago</v>
      </c>
      <c r="AU207" s="6" t="str">
        <f>IFERROR(__xludf.DUMMYFUNCTION("""COMPUTED_VALUE"""),"manuel1a1@hotmail.com")</f>
        <v>manuel1a1@hotmail.com</v>
      </c>
      <c r="AV207" s="6" t="str">
        <f>IFERROR(__xludf.DUMMYFUNCTION("""COMPUTED_VALUE"""),"Politologo")</f>
        <v>Politologo</v>
      </c>
      <c r="AW207" s="6" t="str">
        <f>IFERROR(__xludf.DUMMYFUNCTION("""COMPUTED_VALUE"""),"Proyecta")</f>
        <v>Proyecta</v>
      </c>
      <c r="AX207" s="12">
        <f>IFERROR(__xludf.DUMMYFUNCTION("""COMPUTED_VALUE"""),1.094906847E9)</f>
        <v>1094906847</v>
      </c>
      <c r="AY207" s="12">
        <f>IFERROR(__xludf.DUMMYFUNCTION("""COMPUTED_VALUE"""),3.003431697E9)</f>
        <v>3003431697</v>
      </c>
      <c r="AZ207" s="6" t="str">
        <f>IFERROR(__xludf.DUMMYFUNCTION("""COMPUTED_VALUE"""),"Padre")</f>
        <v>Padre</v>
      </c>
      <c r="BA207" s="6"/>
      <c r="BB207" s="6"/>
      <c r="BC207" s="6"/>
      <c r="BD207" s="12" t="str">
        <f>IFERROR(__xludf.DUMMYFUNCTION("""COMPUTED_VALUE"""),"pat0004")</f>
        <v>pat0004</v>
      </c>
      <c r="BE207" s="6"/>
      <c r="BF207" s="12" t="str">
        <f>IFERROR(__xludf.DUMMYFUNCTION("""COMPUTED_VALUE"""),"5M+6m ENE/26 A DIC/26 SE APLICA MATR Y CTOS ESPECIALES")</f>
        <v>5M+6m ENE/26 A DIC/26 SE APLICA MATR Y CTOS ESPECIALES</v>
      </c>
      <c r="BG207" s="6">
        <f>IFERROR(__xludf.DUMMYFUNCTION("""COMPUTED_VALUE"""),2038.0)</f>
        <v>2038</v>
      </c>
      <c r="BH207" s="15">
        <f>IFERROR(__xludf.DUMMYFUNCTION("""COMPUTED_VALUE"""),46206.766875)</f>
        <v>46206.76688</v>
      </c>
      <c r="BI207" s="6">
        <f>IFERROR(__xludf.DUMMYFUNCTION("""COMPUTED_VALUE"""),206.0)</f>
        <v>206</v>
      </c>
      <c r="BJ207" s="6"/>
      <c r="BK207" s="6"/>
      <c r="BL207" s="6" t="str">
        <f>IFERROR(__xludf.DUMMYFUNCTION("""COMPUTED_VALUE"""),"GISPAT0004")</f>
        <v>GISPAT0004</v>
      </c>
      <c r="BM207" s="6"/>
      <c r="BN207" s="6"/>
      <c r="BO207" s="6"/>
      <c r="BP207" s="6"/>
      <c r="BQ207" s="6"/>
      <c r="BR207" s="6"/>
      <c r="BS207" s="6"/>
      <c r="BT207" s="6"/>
      <c r="BU207" s="6" t="str">
        <f>IFERROR(__xludf.DUMMYFUNCTION("""COMPUTED_VALUE"""),"SI")</f>
        <v>SI</v>
      </c>
      <c r="BV207" s="6" t="str">
        <f>IFERROR(__xludf.DUMMYFUNCTION("""COMPUTED_VALUE"""),"elena.p2038")</f>
        <v>elena.p2038</v>
      </c>
      <c r="BW207" s="6"/>
      <c r="BX207" s="6"/>
      <c r="BY207" s="6"/>
      <c r="BZ207" s="6"/>
    </row>
    <row r="208">
      <c r="A208" s="12">
        <f>IFERROR(__xludf.DUMMYFUNCTION("""COMPUTED_VALUE"""),1.035015956E9)</f>
        <v>1035015956</v>
      </c>
      <c r="B208" s="6">
        <f>IFERROR(__xludf.DUMMYFUNCTION("""COMPUTED_VALUE"""),17.0)</f>
        <v>17</v>
      </c>
      <c r="C208" s="6" t="str">
        <f>IFERROR(__xludf.DUMMYFUNCTION("""COMPUTED_VALUE"""),"Aurora")</f>
        <v>Aurora</v>
      </c>
      <c r="D208" s="6"/>
      <c r="E208" s="6" t="str">
        <f>IFERROR(__xludf.DUMMYFUNCTION("""COMPUTED_VALUE"""),"Rodríguez Arango")</f>
        <v>Rodríguez Arango</v>
      </c>
      <c r="F208" s="6" t="str">
        <f>IFERROR(__xludf.DUMMYFUNCTION("""COMPUTED_VALUE"""),"360 Apartamentos Apto 1112 - Cra 6 No3 - 100")</f>
        <v>360 Apartamentos Apto 1112 - Cra 6 No3 - 100</v>
      </c>
      <c r="G208" s="12" t="str">
        <f>IFERROR(__xludf.DUMMYFUNCTION("""COMPUTED_VALUE"""),"2020")</f>
        <v>2020</v>
      </c>
      <c r="H208" s="6" t="str">
        <f>IFERROR(__xludf.DUMMYFUNCTION("""COMPUTED_VALUE"""),"Enero")</f>
        <v>Enero</v>
      </c>
      <c r="I208" s="12" t="str">
        <f>IFERROR(__xludf.DUMMYFUNCTION("""COMPUTED_VALUE"""),"13")</f>
        <v>13</v>
      </c>
      <c r="J208" s="6" t="str">
        <f>IFERROR(__xludf.DUMMYFUNCTION("""COMPUTED_VALUE"""),"Medellín")</f>
        <v>Medellín</v>
      </c>
      <c r="K208" s="6" t="str">
        <f>IFERROR(__xludf.DUMMYFUNCTION("""COMPUTED_VALUE"""),"aurora.r2038@gi.edu.co")</f>
        <v>aurora.r2038@gi.edu.co</v>
      </c>
      <c r="L208" s="6" t="str">
        <f>IFERROR(__xludf.DUMMYFUNCTION("""COMPUTED_VALUE"""),"RC")</f>
        <v>RC</v>
      </c>
      <c r="M208" s="6" t="str">
        <f>IFERROR(__xludf.DUMMYFUNCTION("""COMPUTED_VALUE"""),"Medellín")</f>
        <v>Medellín</v>
      </c>
      <c r="N208" s="6" t="str">
        <f>IFERROR(__xludf.DUMMYFUNCTION("""COMPUTED_VALUE"""),"F")</f>
        <v>F</v>
      </c>
      <c r="O208" s="6" t="str">
        <f>IFERROR(__xludf.DUMMYFUNCTION("""COMPUTED_VALUE"""),"ACTIVE")</f>
        <v>ACTIVE</v>
      </c>
      <c r="P208" s="6"/>
      <c r="Q208" s="6" t="str">
        <f>IFERROR(__xludf.DUMMYFUNCTION("""COMPUTED_VALUE"""),"Armenia")</f>
        <v>Armenia</v>
      </c>
      <c r="R208" s="12" t="str">
        <f>IFERROR(__xludf.DUMMYFUNCTION("""COMPUTED_VALUE"""),"Gi4cffk*")</f>
        <v>Gi4cffk*</v>
      </c>
      <c r="S208" s="6" t="str">
        <f>IFERROR(__xludf.DUMMYFUNCTION("""COMPUTED_VALUE"""),"Rodríguez Arango Aurora ")</f>
        <v>Rodríguez Arango Aurora </v>
      </c>
      <c r="T208" s="6" t="str">
        <f>IFERROR(__xludf.DUMMYFUNCTION("""COMPUTED_VALUE"""),"JUAN CAMILO RODRIGUEZ RESTREPO")</f>
        <v>JUAN CAMILO RODRIGUEZ RESTREPO</v>
      </c>
      <c r="U208" s="12" t="str">
        <f>IFERROR(__xludf.DUMMYFUNCTION("""COMPUTED_VALUE"""),"9774038")</f>
        <v>9774038</v>
      </c>
      <c r="V208" s="6">
        <f>IFERROR(__xludf.DUMMYFUNCTION("""COMPUTED_VALUE"""),3.00289197E9)</f>
        <v>3002891970</v>
      </c>
      <c r="W208" s="6" t="str">
        <f>IFERROR(__xludf.DUMMYFUNCTION("""COMPUTED_VALUE"""),"jucarore@gmail.com")</f>
        <v>jucarore@gmail.com</v>
      </c>
      <c r="X208" s="12" t="str">
        <f>IFERROR(__xludf.DUMMYFUNCTION("""COMPUTED_VALUE"""),"O+")</f>
        <v>O+</v>
      </c>
      <c r="Y208" s="12" t="str">
        <f>IFERROR(__xludf.DUMMYFUNCTION("""COMPUTED_VALUE"""),"1")</f>
        <v>1</v>
      </c>
      <c r="Z208" s="12">
        <f>IFERROR(__xludf.DUMMYFUNCTION("""COMPUTED_VALUE"""),120275.0)</f>
        <v>120275</v>
      </c>
      <c r="AA208" s="6" t="str">
        <f>IFERROR(__xludf.DUMMYFUNCTION("""COMPUTED_VALUE"""),"SURA")</f>
        <v>SURA</v>
      </c>
      <c r="AB208" s="6"/>
      <c r="AC208" s="6"/>
      <c r="AD208" s="12" t="str">
        <f>IFERROR(__xludf.DUMMYFUNCTION("""COMPUTED_VALUE"""),"1B")</f>
        <v>1B</v>
      </c>
      <c r="AE208" s="12">
        <f>IFERROR(__xludf.DUMMYFUNCTION("""COMPUTED_VALUE"""),1.345282269E9)</f>
        <v>1345282269</v>
      </c>
      <c r="AF208" s="6"/>
      <c r="AG208" s="12" t="str">
        <f>IFERROR(__xludf.DUMMYFUNCTION("""COMPUTED_VALUE"""),"Ana")</f>
        <v>Ana</v>
      </c>
      <c r="AH208" s="12" t="str">
        <f>IFERROR(__xludf.DUMMYFUNCTION("""COMPUTED_VALUE"""),"María")</f>
        <v>María</v>
      </c>
      <c r="AI208" s="6" t="str">
        <f>IFERROR(__xludf.DUMMYFUNCTION("""COMPUTED_VALUE"""),"Arango Valencia")</f>
        <v>Arango Valencia</v>
      </c>
      <c r="AJ208" s="6" t="str">
        <f>IFERROR(__xludf.DUMMYFUNCTION("""COMPUTED_VALUE"""),"anaarango919@gmail.com")</f>
        <v>anaarango919@gmail.com</v>
      </c>
      <c r="AK208" s="6" t="str">
        <f>IFERROR(__xludf.DUMMYFUNCTION("""COMPUTED_VALUE"""),"Diseñadora Industrial")</f>
        <v>Diseñadora Industrial</v>
      </c>
      <c r="AL208" s="6" t="str">
        <f>IFERROR(__xludf.DUMMYFUNCTION("""COMPUTED_VALUE"""),"Globant")</f>
        <v>Globant</v>
      </c>
      <c r="AM208" s="12" t="str">
        <f>IFERROR(__xludf.DUMMYFUNCTION("""COMPUTED_VALUE"""),"41964019")</f>
        <v>41964019</v>
      </c>
      <c r="AN208" s="12" t="str">
        <f>IFERROR(__xludf.DUMMYFUNCTION("""COMPUTED_VALUE"""),"3015472290")</f>
        <v>3015472290</v>
      </c>
      <c r="AO208" s="6" t="str">
        <f>IFERROR(__xludf.DUMMYFUNCTION("""COMPUTED_VALUE"""),"Madre")</f>
        <v>Madre</v>
      </c>
      <c r="AP208" s="6" t="str">
        <f>IFERROR(__xludf.DUMMYFUNCTION("""COMPUTED_VALUE"""),"Estudiante(s): Rodríguez Arango")</f>
        <v>Estudiante(s): Rodríguez Arango</v>
      </c>
      <c r="AQ208" s="6" t="str">
        <f>IFERROR(__xludf.DUMMYFUNCTION("""COMPUTED_VALUE"""),"120275*Gi")</f>
        <v>120275*Gi</v>
      </c>
      <c r="AR208" s="6" t="str">
        <f>IFERROR(__xludf.DUMMYFUNCTION("""COMPUTED_VALUE"""),"Juan")</f>
        <v>Juan</v>
      </c>
      <c r="AS208" s="6" t="str">
        <f>IFERROR(__xludf.DUMMYFUNCTION("""COMPUTED_VALUE"""),"Camilo")</f>
        <v>Camilo</v>
      </c>
      <c r="AT208" s="6" t="str">
        <f>IFERROR(__xludf.DUMMYFUNCTION("""COMPUTED_VALUE"""),"Rodríguez Restrepo")</f>
        <v>Rodríguez Restrepo</v>
      </c>
      <c r="AU208" s="6" t="str">
        <f>IFERROR(__xludf.DUMMYFUNCTION("""COMPUTED_VALUE"""),"jucarore@gmail.com")</f>
        <v>jucarore@gmail.com</v>
      </c>
      <c r="AV208" s="6" t="str">
        <f>IFERROR(__xludf.DUMMYFUNCTION("""COMPUTED_VALUE"""),"Ingeniero de Sistemas")</f>
        <v>Ingeniero de Sistemas</v>
      </c>
      <c r="AW208" s="6" t="str">
        <f>IFERROR(__xludf.DUMMYFUNCTION("""COMPUTED_VALUE"""),"Mercado Libre LTDA")</f>
        <v>Mercado Libre LTDA</v>
      </c>
      <c r="AX208" s="12" t="str">
        <f>IFERROR(__xludf.DUMMYFUNCTION("""COMPUTED_VALUE"""),"9774038")</f>
        <v>9774038</v>
      </c>
      <c r="AY208" s="12" t="str">
        <f>IFERROR(__xludf.DUMMYFUNCTION("""COMPUTED_VALUE"""),"3002891970")</f>
        <v>3002891970</v>
      </c>
      <c r="AZ208" s="6" t="str">
        <f>IFERROR(__xludf.DUMMYFUNCTION("""COMPUTED_VALUE"""),"Padre")</f>
        <v>Padre</v>
      </c>
      <c r="BA208" s="6"/>
      <c r="BB208" s="6"/>
      <c r="BC208" s="6"/>
      <c r="BD208" s="12" t="str">
        <f>IFERROR(__xludf.DUMMYFUNCTION("""COMPUTED_VALUE"""),"rod0014")</f>
        <v>rod0014</v>
      </c>
      <c r="BE208" s="6"/>
      <c r="BF208" s="6"/>
      <c r="BG208" s="6">
        <f>IFERROR(__xludf.DUMMYFUNCTION("""COMPUTED_VALUE"""),2038.0)</f>
        <v>2038</v>
      </c>
      <c r="BH208" s="15">
        <f>IFERROR(__xludf.DUMMYFUNCTION("""COMPUTED_VALUE"""),46211.65849537037)</f>
        <v>46211.6585</v>
      </c>
      <c r="BI208" s="6">
        <f>IFERROR(__xludf.DUMMYFUNCTION("""COMPUTED_VALUE"""),207.0)</f>
        <v>207</v>
      </c>
      <c r="BJ208" s="6"/>
      <c r="BK208" s="6"/>
      <c r="BL208" s="6" t="str">
        <f>IFERROR(__xludf.DUMMYFUNCTION("""COMPUTED_VALUE"""),"GISROD0014")</f>
        <v>GISROD0014</v>
      </c>
      <c r="BM208" s="6"/>
      <c r="BN208" s="6"/>
      <c r="BO208" s="6"/>
      <c r="BP208" s="6" t="str">
        <f>IFERROR(__xludf.DUMMYFUNCTION("""COMPUTED_VALUE"""),"XC_EL_Futbol_F")</f>
        <v>XC_EL_Futbol_F</v>
      </c>
      <c r="BQ208" s="6"/>
      <c r="BR208" s="6" t="str">
        <f>IFERROR(__xludf.DUMMYFUNCTION("""COMPUTED_VALUE"""),"XC_EL_PequenosCientificos")</f>
        <v>XC_EL_PequenosCientificos</v>
      </c>
      <c r="BS208" s="6" t="str">
        <f>IFERROR(__xludf.DUMMYFUNCTION("""COMPUTED_VALUE"""),"XC_EL_Futbol_F")</f>
        <v>XC_EL_Futbol_F</v>
      </c>
      <c r="BT208" s="6" t="str">
        <f>IFERROR(__xludf.DUMMYFUNCTION("""COMPUTED_VALUE"""),"XC_EL_Futbol_F")</f>
        <v>XC_EL_Futbol_F</v>
      </c>
      <c r="BU208" s="6" t="str">
        <f>IFERROR(__xludf.DUMMYFUNCTION("""COMPUTED_VALUE"""),"SI")</f>
        <v>SI</v>
      </c>
      <c r="BV208" s="6" t="str">
        <f>IFERROR(__xludf.DUMMYFUNCTION("""COMPUTED_VALUE"""),"aurora.r2038")</f>
        <v>aurora.r2038</v>
      </c>
      <c r="BW208" s="6"/>
      <c r="BX208" s="6"/>
      <c r="BY208" s="6"/>
      <c r="BZ208" s="6"/>
    </row>
    <row r="209">
      <c r="A209" s="12">
        <f>IFERROR(__xludf.DUMMYFUNCTION("""COMPUTED_VALUE"""),1.094985027E9)</f>
        <v>1094985027</v>
      </c>
      <c r="B209" s="6">
        <f>IFERROR(__xludf.DUMMYFUNCTION("""COMPUTED_VALUE"""),18.0)</f>
        <v>18</v>
      </c>
      <c r="C209" s="6" t="str">
        <f>IFERROR(__xludf.DUMMYFUNCTION("""COMPUTED_VALUE"""),"Owen")</f>
        <v>Owen</v>
      </c>
      <c r="D209" s="6" t="str">
        <f>IFERROR(__xludf.DUMMYFUNCTION("""COMPUTED_VALUE"""),"Grey")</f>
        <v>Grey</v>
      </c>
      <c r="E209" s="6" t="str">
        <f>IFERROR(__xludf.DUMMYFUNCTION("""COMPUTED_VALUE"""),"Tredrea")</f>
        <v>Tredrea</v>
      </c>
      <c r="F209" s="6" t="str">
        <f>IFERROR(__xludf.DUMMYFUNCTION("""COMPUTED_VALUE"""),"Bosques De Toscana Casa 6 - Km 3 Via Armenia - Circasia")</f>
        <v>Bosques De Toscana Casa 6 - Km 3 Via Armenia - Circasia</v>
      </c>
      <c r="G209" s="12" t="str">
        <f>IFERROR(__xludf.DUMMYFUNCTION("""COMPUTED_VALUE"""),"2019")</f>
        <v>2019</v>
      </c>
      <c r="H209" s="6" t="str">
        <f>IFERROR(__xludf.DUMMYFUNCTION("""COMPUTED_VALUE"""),"Octubre")</f>
        <v>Octubre</v>
      </c>
      <c r="I209" s="12" t="str">
        <f>IFERROR(__xludf.DUMMYFUNCTION("""COMPUTED_VALUE"""),"13")</f>
        <v>13</v>
      </c>
      <c r="J209" s="6"/>
      <c r="K209" s="6" t="str">
        <f>IFERROR(__xludf.DUMMYFUNCTION("""COMPUTED_VALUE"""),"owen.t2038@gi.edu.co")</f>
        <v>owen.t2038@gi.edu.co</v>
      </c>
      <c r="L209" s="6" t="str">
        <f>IFERROR(__xludf.DUMMYFUNCTION("""COMPUTED_VALUE"""),"RC")</f>
        <v>RC</v>
      </c>
      <c r="M209" s="6" t="str">
        <f>IFERROR(__xludf.DUMMYFUNCTION("""COMPUTED_VALUE"""),"Armenia")</f>
        <v>Armenia</v>
      </c>
      <c r="N209" s="6" t="str">
        <f>IFERROR(__xludf.DUMMYFUNCTION("""COMPUTED_VALUE"""),"M")</f>
        <v>M</v>
      </c>
      <c r="O209" s="6" t="str">
        <f>IFERROR(__xludf.DUMMYFUNCTION("""COMPUTED_VALUE"""),"INACTIVE")</f>
        <v>INACTIVE</v>
      </c>
      <c r="P209" s="6"/>
      <c r="Q209" s="6"/>
      <c r="R209" s="12" t="str">
        <f>IFERROR(__xludf.DUMMYFUNCTION("""COMPUTED_VALUE"""),"Givr33m8*")</f>
        <v>Givr33m8*</v>
      </c>
      <c r="S209" s="6" t="str">
        <f>IFERROR(__xludf.DUMMYFUNCTION("""COMPUTED_VALUE"""),"Tredrea Owen Grey")</f>
        <v>Tredrea Owen Grey</v>
      </c>
      <c r="T209" s="6" t="str">
        <f>IFERROR(__xludf.DUMMYFUNCTION("""COMPUTED_VALUE"""),"KIEL THOMAS TREDREA")</f>
        <v>KIEL THOMAS TREDREA</v>
      </c>
      <c r="U209" s="12" t="str">
        <f>IFERROR(__xludf.DUMMYFUNCTION("""COMPUTED_VALUE"""),"7772953")</f>
        <v>7772953</v>
      </c>
      <c r="V209" s="6">
        <f>IFERROR(__xludf.DUMMYFUNCTION("""COMPUTED_VALUE"""),3.104954212E9)</f>
        <v>3104954212</v>
      </c>
      <c r="W209" s="6" t="str">
        <f>IFERROR(__xludf.DUMMYFUNCTION("""COMPUTED_VALUE"""),"kiel@red27creative.com")</f>
        <v>kiel@red27creative.com</v>
      </c>
      <c r="X209" s="12" t="str">
        <f>IFERROR(__xludf.DUMMYFUNCTION("""COMPUTED_VALUE"""),"B+")</f>
        <v>B+</v>
      </c>
      <c r="Y209" s="12" t="str">
        <f>IFERROR(__xludf.DUMMYFUNCTION("""COMPUTED_VALUE"""),"1")</f>
        <v>1</v>
      </c>
      <c r="Z209" s="6">
        <f>IFERROR(__xludf.DUMMYFUNCTION("""COMPUTED_VALUE"""),120537.0)</f>
        <v>120537</v>
      </c>
      <c r="AA209" s="6" t="str">
        <f>IFERROR(__xludf.DUMMYFUNCTION("""COMPUTED_VALUE"""),"SURA")</f>
        <v>SURA</v>
      </c>
      <c r="AB209" s="6"/>
      <c r="AC209" s="6"/>
      <c r="AD209" s="12" t="str">
        <f>IFERROR(__xludf.DUMMYFUNCTION("""COMPUTED_VALUE"""),"1B")</f>
        <v>1B</v>
      </c>
      <c r="AE209" s="12" t="str">
        <f>IFERROR(__xludf.DUMMYFUNCTION("""COMPUTED_VALUE"""),"1345282536")</f>
        <v>1345282536</v>
      </c>
      <c r="AF209" s="6"/>
      <c r="AG209" s="12" t="str">
        <f>IFERROR(__xludf.DUMMYFUNCTION("""COMPUTED_VALUE"""),"Ana")</f>
        <v>Ana</v>
      </c>
      <c r="AH209" s="12" t="str">
        <f>IFERROR(__xludf.DUMMYFUNCTION("""COMPUTED_VALUE"""),"Marcela")</f>
        <v>Marcela</v>
      </c>
      <c r="AI209" s="6" t="str">
        <f>IFERROR(__xludf.DUMMYFUNCTION("""COMPUTED_VALUE"""),"Calderón Echeverry")</f>
        <v>Calderón Echeverry</v>
      </c>
      <c r="AJ209" s="6" t="str">
        <f>IFERROR(__xludf.DUMMYFUNCTION("""COMPUTED_VALUE"""),"ana@teamtredrea.com")</f>
        <v>ana@teamtredrea.com</v>
      </c>
      <c r="AK209" s="6" t="str">
        <f>IFERROR(__xludf.DUMMYFUNCTION("""COMPUTED_VALUE"""),"Independiente ")</f>
        <v>Independiente </v>
      </c>
      <c r="AL209" s="6" t="str">
        <f>IFERROR(__xludf.DUMMYFUNCTION("""COMPUTED_VALUE"""),"LUXEVIDA co")</f>
        <v>LUXEVIDA co</v>
      </c>
      <c r="AM209" s="12" t="str">
        <f>IFERROR(__xludf.DUMMYFUNCTION("""COMPUTED_VALUE"""),"1125979868")</f>
        <v>1125979868</v>
      </c>
      <c r="AN209" s="12" t="str">
        <f>IFERROR(__xludf.DUMMYFUNCTION("""COMPUTED_VALUE"""),"3136325695")</f>
        <v>3136325695</v>
      </c>
      <c r="AO209" s="6" t="str">
        <f>IFERROR(__xludf.DUMMYFUNCTION("""COMPUTED_VALUE"""),"Madre")</f>
        <v>Madre</v>
      </c>
      <c r="AP209" s="6" t="str">
        <f>IFERROR(__xludf.DUMMYFUNCTION("""COMPUTED_VALUE"""),"Estudiante(s): Tredrea")</f>
        <v>Estudiante(s): Tredrea</v>
      </c>
      <c r="AQ209" s="6" t="str">
        <f>IFERROR(__xludf.DUMMYFUNCTION("""COMPUTED_VALUE"""),"120536*Gi")</f>
        <v>120536*Gi</v>
      </c>
      <c r="AR209" s="6" t="str">
        <f>IFERROR(__xludf.DUMMYFUNCTION("""COMPUTED_VALUE"""),"Kiel")</f>
        <v>Kiel</v>
      </c>
      <c r="AS209" s="6" t="str">
        <f>IFERROR(__xludf.DUMMYFUNCTION("""COMPUTED_VALUE"""),"Thomas")</f>
        <v>Thomas</v>
      </c>
      <c r="AT209" s="6" t="str">
        <f>IFERROR(__xludf.DUMMYFUNCTION("""COMPUTED_VALUE"""),"Tredrea")</f>
        <v>Tredrea</v>
      </c>
      <c r="AU209" s="6" t="str">
        <f>IFERROR(__xludf.DUMMYFUNCTION("""COMPUTED_VALUE"""),"kiel@teamtredrea.com")</f>
        <v>kiel@teamtredrea.com</v>
      </c>
      <c r="AV209" s="6" t="str">
        <f>IFERROR(__xludf.DUMMYFUNCTION("""COMPUTED_VALUE"""),"Independiente ")</f>
        <v>Independiente </v>
      </c>
      <c r="AW209" s="6" t="str">
        <f>IFERROR(__xludf.DUMMYFUNCTION("""COMPUTED_VALUE"""),"Creation assets inc")</f>
        <v>Creation assets inc</v>
      </c>
      <c r="AX209" s="12" t="str">
        <f>IFERROR(__xludf.DUMMYFUNCTION("""COMPUTED_VALUE"""),"7772953")</f>
        <v>7772953</v>
      </c>
      <c r="AY209" s="12" t="str">
        <f>IFERROR(__xludf.DUMMYFUNCTION("""COMPUTED_VALUE"""),"3104954212")</f>
        <v>3104954212</v>
      </c>
      <c r="AZ209" s="6" t="str">
        <f>IFERROR(__xludf.DUMMYFUNCTION("""COMPUTED_VALUE"""),"Padre")</f>
        <v>Padre</v>
      </c>
      <c r="BA209" s="6"/>
      <c r="BB209" s="6"/>
      <c r="BC209" s="6"/>
      <c r="BD209" s="12" t="str">
        <f>IFERROR(__xludf.DUMMYFUNCTION("""COMPUTED_VALUE"""),"tre0002")</f>
        <v>tre0002</v>
      </c>
      <c r="BE209" s="6" t="str">
        <f>IFERROR(__xludf.DUMMYFUNCTION("""COMPUTED_VALUE"""),"FALTAN FIRMAS")</f>
        <v>FALTAN FIRMAS</v>
      </c>
      <c r="BF209" s="6"/>
      <c r="BG209" s="6">
        <f>IFERROR(__xludf.DUMMYFUNCTION("""COMPUTED_VALUE"""),2038.0)</f>
        <v>2038</v>
      </c>
      <c r="BH209" s="15">
        <f>IFERROR(__xludf.DUMMYFUNCTION("""COMPUTED_VALUE"""),46211.48266203704)</f>
        <v>46211.48266</v>
      </c>
      <c r="BI209" s="6">
        <f>IFERROR(__xludf.DUMMYFUNCTION("""COMPUTED_VALUE"""),208.0)</f>
        <v>208</v>
      </c>
      <c r="BJ209" s="6" t="str">
        <f>IFERROR(__xludf.DUMMYFUNCTION("""COMPUTED_VALUE"""),"Junio - 2026 Se retira el estudiante de la categoría reportada en SIMAT
Abril-2026 Se reportó que el estudiante aparecía en SIMAT con ""Talento Excepcional en Ciencias Sociales o Humanas"", desde Junio de 2025")</f>
        <v>Junio - 2026 Se retira el estudiante de la categoría reportada en SIMAT
Abril-2026 Se reportó que el estudiante aparecía en SIMAT con "Talento Excepcional en Ciencias Sociales o Humanas", desde Junio de 2025</v>
      </c>
      <c r="BK209" s="6"/>
      <c r="BL209" s="6" t="str">
        <f>IFERROR(__xludf.DUMMYFUNCTION("""COMPUTED_VALUE"""),"GISTRE0002")</f>
        <v>GISTRE0002</v>
      </c>
      <c r="BM209" s="6"/>
      <c r="BN209" s="6"/>
      <c r="BO209" s="6"/>
      <c r="BP209" s="6" t="str">
        <f>IFERROR(__xludf.DUMMYFUNCTION("""COMPUTED_VALUE"""),"XC_EL_Taekwondo")</f>
        <v>XC_EL_Taekwondo</v>
      </c>
      <c r="BQ209" s="6" t="str">
        <f>IFERROR(__xludf.DUMMYFUNCTION("""COMPUTED_VALUE"""),"XC_EL_Taekwondo")</f>
        <v>XC_EL_Taekwondo</v>
      </c>
      <c r="BR209" s="6" t="str">
        <f>IFERROR(__xludf.DUMMYFUNCTION("""COMPUTED_VALUE"""),"XC_EL_DesaInstrumental")</f>
        <v>XC_EL_DesaInstrumental</v>
      </c>
      <c r="BS209" s="6" t="str">
        <f>IFERROR(__xludf.DUMMYFUNCTION("""COMPUTED_VALUE"""),"XC_EL_Taekwondo")</f>
        <v>XC_EL_Taekwondo</v>
      </c>
      <c r="BT209" s="6"/>
      <c r="BU209" s="6" t="str">
        <f>IFERROR(__xludf.DUMMYFUNCTION("""COMPUTED_VALUE"""),"SI")</f>
        <v>SI</v>
      </c>
      <c r="BV209" s="6" t="str">
        <f>IFERROR(__xludf.DUMMYFUNCTION("""COMPUTED_VALUE"""),"owen.t2038")</f>
        <v>owen.t2038</v>
      </c>
      <c r="BW209" s="6"/>
      <c r="BX209" s="6"/>
      <c r="BY209" s="6"/>
      <c r="BZ209" s="6"/>
    </row>
    <row r="210">
      <c r="A210" s="12">
        <f>IFERROR(__xludf.DUMMYFUNCTION("""COMPUTED_VALUE"""),1.0928636E9)</f>
        <v>1092863600</v>
      </c>
      <c r="B210" s="6">
        <f>IFERROR(__xludf.DUMMYFUNCTION("""COMPUTED_VALUE"""),19.0)</f>
        <v>19</v>
      </c>
      <c r="C210" s="6" t="str">
        <f>IFERROR(__xludf.DUMMYFUNCTION("""COMPUTED_VALUE"""),"Paulina")</f>
        <v>Paulina</v>
      </c>
      <c r="D210" s="6"/>
      <c r="E210" s="6" t="str">
        <f>IFERROR(__xludf.DUMMYFUNCTION("""COMPUTED_VALUE"""),"Urrea Montero")</f>
        <v>Urrea Montero</v>
      </c>
      <c r="F210" s="6" t="str">
        <f>IFERROR(__xludf.DUMMYFUNCTION("""COMPUTED_VALUE"""),"Edificio La Castellana Apto 503 - Calle 14 Nte No10 - 49")</f>
        <v>Edificio La Castellana Apto 503 - Calle 14 Nte No10 - 49</v>
      </c>
      <c r="G210" s="12" t="str">
        <f>IFERROR(__xludf.DUMMYFUNCTION("""COMPUTED_VALUE"""),"2019")</f>
        <v>2019</v>
      </c>
      <c r="H210" s="6" t="str">
        <f>IFERROR(__xludf.DUMMYFUNCTION("""COMPUTED_VALUE"""),"Noviembre")</f>
        <v>Noviembre</v>
      </c>
      <c r="I210" s="12" t="str">
        <f>IFERROR(__xludf.DUMMYFUNCTION("""COMPUTED_VALUE"""),"1")</f>
        <v>1</v>
      </c>
      <c r="J210" s="6" t="str">
        <f>IFERROR(__xludf.DUMMYFUNCTION("""COMPUTED_VALUE"""),"Armenia")</f>
        <v>Armenia</v>
      </c>
      <c r="K210" s="6" t="str">
        <f>IFERROR(__xludf.DUMMYFUNCTION("""COMPUTED_VALUE"""),"paulina.u2038@gi.edu.co")</f>
        <v>paulina.u2038@gi.edu.co</v>
      </c>
      <c r="L210" s="6" t="str">
        <f>IFERROR(__xludf.DUMMYFUNCTION("""COMPUTED_VALUE"""),"NUIP")</f>
        <v>NUIP</v>
      </c>
      <c r="M210" s="6" t="str">
        <f>IFERROR(__xludf.DUMMYFUNCTION("""COMPUTED_VALUE"""),"Armenia")</f>
        <v>Armenia</v>
      </c>
      <c r="N210" s="6" t="str">
        <f>IFERROR(__xludf.DUMMYFUNCTION("""COMPUTED_VALUE"""),"F")</f>
        <v>F</v>
      </c>
      <c r="O210" s="6" t="str">
        <f>IFERROR(__xludf.DUMMYFUNCTION("""COMPUTED_VALUE"""),"ACTIVE")</f>
        <v>ACTIVE</v>
      </c>
      <c r="P210" s="6"/>
      <c r="Q210" s="6" t="str">
        <f>IFERROR(__xludf.DUMMYFUNCTION("""COMPUTED_VALUE"""),"Armenia")</f>
        <v>Armenia</v>
      </c>
      <c r="R210" s="12" t="str">
        <f>IFERROR(__xludf.DUMMYFUNCTION("""COMPUTED_VALUE"""),"GihgKj5X*")</f>
        <v>GihgKj5X*</v>
      </c>
      <c r="S210" s="6" t="str">
        <f>IFERROR(__xludf.DUMMYFUNCTION("""COMPUTED_VALUE"""),"Urrea Montero Paulina ")</f>
        <v>Urrea Montero Paulina </v>
      </c>
      <c r="T210" s="6" t="str">
        <f>IFERROR(__xludf.DUMMYFUNCTION("""COMPUTED_VALUE"""),"JUAN PABLO URREA GUTIÉRREZ")</f>
        <v>JUAN PABLO URREA GUTIÉRREZ</v>
      </c>
      <c r="U210" s="12" t="str">
        <f>IFERROR(__xludf.DUMMYFUNCTION("""COMPUTED_VALUE"""),"1032435169")</f>
        <v>1032435169</v>
      </c>
      <c r="V210" s="6">
        <f>IFERROR(__xludf.DUMMYFUNCTION("""COMPUTED_VALUE"""),3.104142767E9)</f>
        <v>3104142767</v>
      </c>
      <c r="W210" s="6" t="str">
        <f>IFERROR(__xludf.DUMMYFUNCTION("""COMPUTED_VALUE"""),"comercial@ruaseguros.com")</f>
        <v>comercial@ruaseguros.com</v>
      </c>
      <c r="X210" s="12" t="str">
        <f>IFERROR(__xludf.DUMMYFUNCTION("""COMPUTED_VALUE"""),"O+")</f>
        <v>O+</v>
      </c>
      <c r="Y210" s="12" t="str">
        <f>IFERROR(__xludf.DUMMYFUNCTION("""COMPUTED_VALUE"""),"1")</f>
        <v>1</v>
      </c>
      <c r="Z210" s="12">
        <f>IFERROR(__xludf.DUMMYFUNCTION("""COMPUTED_VALUE"""),120128.0)</f>
        <v>120128</v>
      </c>
      <c r="AA210" s="6" t="str">
        <f>IFERROR(__xludf.DUMMYFUNCTION("""COMPUTED_VALUE"""),"SURA")</f>
        <v>SURA</v>
      </c>
      <c r="AB210" s="6"/>
      <c r="AC210" s="6"/>
      <c r="AD210" s="12" t="str">
        <f>IFERROR(__xludf.DUMMYFUNCTION("""COMPUTED_VALUE"""),"1B")</f>
        <v>1B</v>
      </c>
      <c r="AE210" s="12">
        <f>IFERROR(__xludf.DUMMYFUNCTION("""COMPUTED_VALUE"""),1.34528215E9)</f>
        <v>1345282150</v>
      </c>
      <c r="AF210" s="6"/>
      <c r="AG210" s="12" t="str">
        <f>IFERROR(__xludf.DUMMYFUNCTION("""COMPUTED_VALUE"""),"Valeria")</f>
        <v>Valeria</v>
      </c>
      <c r="AH210" s="6"/>
      <c r="AI210" s="6" t="str">
        <f>IFERROR(__xludf.DUMMYFUNCTION("""COMPUTED_VALUE"""),"Montero Palacio")</f>
        <v>Montero Palacio</v>
      </c>
      <c r="AJ210" s="6" t="str">
        <f>IFERROR(__xludf.DUMMYFUNCTION("""COMPUTED_VALUE"""),"valeriamonteropalacio2020@gmail.com")</f>
        <v>valeriamonteropalacio2020@gmail.com</v>
      </c>
      <c r="AK210" s="6" t="str">
        <f>IFERROR(__xludf.DUMMYFUNCTION("""COMPUTED_VALUE"""),"Diseñadora Industrial")</f>
        <v>Diseñadora Industrial</v>
      </c>
      <c r="AL210" s="6"/>
      <c r="AM210" s="12" t="str">
        <f>IFERROR(__xludf.DUMMYFUNCTION("""COMPUTED_VALUE"""),"1094920343")</f>
        <v>1094920343</v>
      </c>
      <c r="AN210" s="12" t="str">
        <f>IFERROR(__xludf.DUMMYFUNCTION("""COMPUTED_VALUE"""),"3104329799")</f>
        <v>3104329799</v>
      </c>
      <c r="AO210" s="6" t="str">
        <f>IFERROR(__xludf.DUMMYFUNCTION("""COMPUTED_VALUE"""),"Madre")</f>
        <v>Madre</v>
      </c>
      <c r="AP210" s="6" t="str">
        <f>IFERROR(__xludf.DUMMYFUNCTION("""COMPUTED_VALUE"""),"Estudiante(s): Urrea Montero")</f>
        <v>Estudiante(s): Urrea Montero</v>
      </c>
      <c r="AQ210" s="6" t="str">
        <f>IFERROR(__xludf.DUMMYFUNCTION("""COMPUTED_VALUE"""),"120128*Gi")</f>
        <v>120128*Gi</v>
      </c>
      <c r="AR210" s="6" t="str">
        <f>IFERROR(__xludf.DUMMYFUNCTION("""COMPUTED_VALUE"""),"Juan")</f>
        <v>Juan</v>
      </c>
      <c r="AS210" s="6" t="str">
        <f>IFERROR(__xludf.DUMMYFUNCTION("""COMPUTED_VALUE"""),"Pablo")</f>
        <v>Pablo</v>
      </c>
      <c r="AT210" s="6" t="str">
        <f>IFERROR(__xludf.DUMMYFUNCTION("""COMPUTED_VALUE"""),"Urrea Gutiérrez")</f>
        <v>Urrea Gutiérrez</v>
      </c>
      <c r="AU210" s="6" t="str">
        <f>IFERROR(__xludf.DUMMYFUNCTION("""COMPUTED_VALUE"""),"comercial@ruaseguros.com")</f>
        <v>comercial@ruaseguros.com</v>
      </c>
      <c r="AV210" s="6" t="str">
        <f>IFERROR(__xludf.DUMMYFUNCTION("""COMPUTED_VALUE"""),"Politólogo")</f>
        <v>Politólogo</v>
      </c>
      <c r="AW210" s="6" t="str">
        <f>IFERROR(__xludf.DUMMYFUNCTION("""COMPUTED_VALUE"""),"RUA SEGUROS")</f>
        <v>RUA SEGUROS</v>
      </c>
      <c r="AX210" s="12" t="str">
        <f>IFERROR(__xludf.DUMMYFUNCTION("""COMPUTED_VALUE"""),"1032435169")</f>
        <v>1032435169</v>
      </c>
      <c r="AY210" s="12" t="str">
        <f>IFERROR(__xludf.DUMMYFUNCTION("""COMPUTED_VALUE"""),"3104142767")</f>
        <v>3104142767</v>
      </c>
      <c r="AZ210" s="6" t="str">
        <f>IFERROR(__xludf.DUMMYFUNCTION("""COMPUTED_VALUE"""),"Padre")</f>
        <v>Padre</v>
      </c>
      <c r="BA210" s="6"/>
      <c r="BB210" s="6"/>
      <c r="BC210" s="6"/>
      <c r="BD210" s="12" t="str">
        <f>IFERROR(__xludf.DUMMYFUNCTION("""COMPUTED_VALUE"""),"urr0005")</f>
        <v>urr0005</v>
      </c>
      <c r="BE210" s="6"/>
      <c r="BF210" s="6"/>
      <c r="BG210" s="6">
        <f>IFERROR(__xludf.DUMMYFUNCTION("""COMPUTED_VALUE"""),2038.0)</f>
        <v>2038</v>
      </c>
      <c r="BH210" s="15">
        <f>IFERROR(__xludf.DUMMYFUNCTION("""COMPUTED_VALUE"""),46205.35701388889)</f>
        <v>46205.35701</v>
      </c>
      <c r="BI210" s="6">
        <f>IFERROR(__xludf.DUMMYFUNCTION("""COMPUTED_VALUE"""),209.0)</f>
        <v>209</v>
      </c>
      <c r="BJ210" s="6"/>
      <c r="BK210" s="6"/>
      <c r="BL210" s="6" t="str">
        <f>IFERROR(__xludf.DUMMYFUNCTION("""COMPUTED_VALUE"""),"GISURR0005")</f>
        <v>GISURR0005</v>
      </c>
      <c r="BM210" s="6"/>
      <c r="BN210" s="6"/>
      <c r="BO210" s="6"/>
      <c r="BP210" s="6" t="str">
        <f>IFERROR(__xludf.DUMMYFUNCTION("""COMPUTED_VALUE"""),"XC_EL_Porras")</f>
        <v>XC_EL_Porras</v>
      </c>
      <c r="BQ210" s="6" t="str">
        <f>IFERROR(__xludf.DUMMYFUNCTION("""COMPUTED_VALUE"""),"XC_EL_Porras")</f>
        <v>XC_EL_Porras</v>
      </c>
      <c r="BR210" s="6" t="str">
        <f>IFERROR(__xludf.DUMMYFUNCTION("""COMPUTED_VALUE"""),"XC_EL_DanzaModerna")</f>
        <v>XC_EL_DanzaModerna</v>
      </c>
      <c r="BS210" s="6" t="str">
        <f>IFERROR(__xludf.DUMMYFUNCTION("""COMPUTED_VALUE"""),"XC_EL_Porras")</f>
        <v>XC_EL_Porras</v>
      </c>
      <c r="BT210" s="6"/>
      <c r="BU210" s="6" t="str">
        <f>IFERROR(__xludf.DUMMYFUNCTION("""COMPUTED_VALUE"""),"SI")</f>
        <v>SI</v>
      </c>
      <c r="BV210" s="6" t="str">
        <f>IFERROR(__xludf.DUMMYFUNCTION("""COMPUTED_VALUE"""),"paulina.u2038")</f>
        <v>paulina.u2038</v>
      </c>
      <c r="BW210" s="6"/>
      <c r="BX210" s="6"/>
      <c r="BY210" s="6"/>
      <c r="BZ210" s="6"/>
    </row>
    <row r="211">
      <c r="A211" s="12">
        <f>IFERROR(__xludf.DUMMYFUNCTION("""COMPUTED_VALUE"""),1.092864547E9)</f>
        <v>1092864547</v>
      </c>
      <c r="B211" s="6">
        <f>IFERROR(__xludf.DUMMYFUNCTION("""COMPUTED_VALUE"""),20.0)</f>
        <v>20</v>
      </c>
      <c r="C211" s="6" t="str">
        <f>IFERROR(__xludf.DUMMYFUNCTION("""COMPUTED_VALUE"""),"Matilde")</f>
        <v>Matilde</v>
      </c>
      <c r="D211" s="6"/>
      <c r="E211" s="6" t="str">
        <f>IFERROR(__xludf.DUMMYFUNCTION("""COMPUTED_VALUE"""),"Villegas Vélez")</f>
        <v>Villegas Vélez</v>
      </c>
      <c r="F211" s="6" t="str">
        <f>IFERROR(__xludf.DUMMYFUNCTION("""COMPUTED_VALUE"""),"Condominio Pradera Boreal Casa 56 - Km. 5 Via Armenia Pereira")</f>
        <v>Condominio Pradera Boreal Casa 56 - Km. 5 Via Armenia Pereira</v>
      </c>
      <c r="G211" s="12" t="str">
        <f>IFERROR(__xludf.DUMMYFUNCTION("""COMPUTED_VALUE"""),"2020")</f>
        <v>2020</v>
      </c>
      <c r="H211" s="6" t="str">
        <f>IFERROR(__xludf.DUMMYFUNCTION("""COMPUTED_VALUE"""),"Septiembre")</f>
        <v>Septiembre</v>
      </c>
      <c r="I211" s="12" t="str">
        <f>IFERROR(__xludf.DUMMYFUNCTION("""COMPUTED_VALUE"""),"29")</f>
        <v>29</v>
      </c>
      <c r="J211" s="6" t="str">
        <f>IFERROR(__xludf.DUMMYFUNCTION("""COMPUTED_VALUE"""),"Armenia")</f>
        <v>Armenia</v>
      </c>
      <c r="K211" s="6" t="str">
        <f>IFERROR(__xludf.DUMMYFUNCTION("""COMPUTED_VALUE"""),"matilde.v2038@gi.edu.co")</f>
        <v>matilde.v2038@gi.edu.co</v>
      </c>
      <c r="L211" s="6" t="str">
        <f>IFERROR(__xludf.DUMMYFUNCTION("""COMPUTED_VALUE"""),"RC")</f>
        <v>RC</v>
      </c>
      <c r="M211" s="6" t="str">
        <f>IFERROR(__xludf.DUMMYFUNCTION("""COMPUTED_VALUE"""),"Armenia")</f>
        <v>Armenia</v>
      </c>
      <c r="N211" s="6" t="str">
        <f>IFERROR(__xludf.DUMMYFUNCTION("""COMPUTED_VALUE"""),"F")</f>
        <v>F</v>
      </c>
      <c r="O211" s="6" t="str">
        <f>IFERROR(__xludf.DUMMYFUNCTION("""COMPUTED_VALUE"""),"ACTIVE")</f>
        <v>ACTIVE</v>
      </c>
      <c r="P211" s="6"/>
      <c r="Q211" s="6" t="str">
        <f>IFERROR(__xludf.DUMMYFUNCTION("""COMPUTED_VALUE"""),"Circasia")</f>
        <v>Circasia</v>
      </c>
      <c r="R211" s="12" t="str">
        <f>IFERROR(__xludf.DUMMYFUNCTION("""COMPUTED_VALUE"""),"Gi55gha*")</f>
        <v>Gi55gha*</v>
      </c>
      <c r="S211" s="6" t="str">
        <f>IFERROR(__xludf.DUMMYFUNCTION("""COMPUTED_VALUE"""),"Villegas Vélez Matilde ")</f>
        <v>Villegas Vélez Matilde </v>
      </c>
      <c r="T211" s="6" t="str">
        <f>IFERROR(__xludf.DUMMYFUNCTION("""COMPUTED_VALUE"""),"MARIANA VELEZ GÓMEZ")</f>
        <v>MARIANA VELEZ GÓMEZ</v>
      </c>
      <c r="U211" s="12" t="str">
        <f>IFERROR(__xludf.DUMMYFUNCTION("""COMPUTED_VALUE"""),"1094889406")</f>
        <v>1094889406</v>
      </c>
      <c r="V211" s="6">
        <f>IFERROR(__xludf.DUMMYFUNCTION("""COMPUTED_VALUE"""),3.008940394E9)</f>
        <v>3008940394</v>
      </c>
      <c r="W211" s="6" t="str">
        <f>IFERROR(__xludf.DUMMYFUNCTION("""COMPUTED_VALUE"""),"mariana.velez.gomez@gmail.com")</f>
        <v>mariana.velez.gomez@gmail.com</v>
      </c>
      <c r="X211" s="12" t="str">
        <f>IFERROR(__xludf.DUMMYFUNCTION("""COMPUTED_VALUE"""),"O+")</f>
        <v>O+</v>
      </c>
      <c r="Y211" s="12" t="str">
        <f>IFERROR(__xludf.DUMMYFUNCTION("""COMPUTED_VALUE"""),"1")</f>
        <v>1</v>
      </c>
      <c r="Z211" s="12">
        <f>IFERROR(__xludf.DUMMYFUNCTION("""COMPUTED_VALUE"""),120265.0)</f>
        <v>120265</v>
      </c>
      <c r="AA211" s="6" t="str">
        <f>IFERROR(__xludf.DUMMYFUNCTION("""COMPUTED_VALUE"""),"SANITAS")</f>
        <v>SANITAS</v>
      </c>
      <c r="AB211" s="6"/>
      <c r="AC211" s="6"/>
      <c r="AD211" s="12" t="str">
        <f>IFERROR(__xludf.DUMMYFUNCTION("""COMPUTED_VALUE"""),"1B")</f>
        <v>1B</v>
      </c>
      <c r="AE211" s="12">
        <f>IFERROR(__xludf.DUMMYFUNCTION("""COMPUTED_VALUE"""),1.345282252E9)</f>
        <v>1345282252</v>
      </c>
      <c r="AF211" s="6"/>
      <c r="AG211" s="12" t="str">
        <f>IFERROR(__xludf.DUMMYFUNCTION("""COMPUTED_VALUE"""),"Mariana")</f>
        <v>Mariana</v>
      </c>
      <c r="AH211" s="6"/>
      <c r="AI211" s="6" t="str">
        <f>IFERROR(__xludf.DUMMYFUNCTION("""COMPUTED_VALUE"""),"Vélez Gómez")</f>
        <v>Vélez Gómez</v>
      </c>
      <c r="AJ211" s="6" t="str">
        <f>IFERROR(__xludf.DUMMYFUNCTION("""COMPUTED_VALUE"""),"mariana.velez.gomez@gmail.com")</f>
        <v>mariana.velez.gomez@gmail.com</v>
      </c>
      <c r="AK211" s="6" t="str">
        <f>IFERROR(__xludf.DUMMYFUNCTION("""COMPUTED_VALUE"""),"Administración de Empresas")</f>
        <v>Administración de Empresas</v>
      </c>
      <c r="AL211" s="6" t="str">
        <f>IFERROR(__xludf.DUMMYFUNCTION("""COMPUTED_VALUE"""),"Primax SA")</f>
        <v>Primax SA</v>
      </c>
      <c r="AM211" s="12" t="str">
        <f>IFERROR(__xludf.DUMMYFUNCTION("""COMPUTED_VALUE"""),"1094889406")</f>
        <v>1094889406</v>
      </c>
      <c r="AN211" s="12" t="str">
        <f>IFERROR(__xludf.DUMMYFUNCTION("""COMPUTED_VALUE"""),"3008940394")</f>
        <v>3008940394</v>
      </c>
      <c r="AO211" s="6" t="str">
        <f>IFERROR(__xludf.DUMMYFUNCTION("""COMPUTED_VALUE"""),"Madre")</f>
        <v>Madre</v>
      </c>
      <c r="AP211" s="6" t="str">
        <f>IFERROR(__xludf.DUMMYFUNCTION("""COMPUTED_VALUE"""),"Estudiante(s): Villegas Vélez")</f>
        <v>Estudiante(s): Villegas Vélez</v>
      </c>
      <c r="AQ211" s="6" t="str">
        <f>IFERROR(__xludf.DUMMYFUNCTION("""COMPUTED_VALUE"""),"120265*Gi")</f>
        <v>120265*Gi</v>
      </c>
      <c r="AR211" s="6" t="str">
        <f>IFERROR(__xludf.DUMMYFUNCTION("""COMPUTED_VALUE"""),"Juan ")</f>
        <v>Juan </v>
      </c>
      <c r="AS211" s="6" t="str">
        <f>IFERROR(__xludf.DUMMYFUNCTION("""COMPUTED_VALUE"""),"Martin")</f>
        <v>Martin</v>
      </c>
      <c r="AT211" s="6" t="str">
        <f>IFERROR(__xludf.DUMMYFUNCTION("""COMPUTED_VALUE"""),"Villegas Sierra")</f>
        <v>Villegas Sierra</v>
      </c>
      <c r="AU211" s="6" t="str">
        <f>IFERROR(__xludf.DUMMYFUNCTION("""COMPUTED_VALUE"""),"juanmv85@hotmail.com")</f>
        <v>juanmv85@hotmail.com</v>
      </c>
      <c r="AV211" s="6" t="str">
        <f>IFERROR(__xludf.DUMMYFUNCTION("""COMPUTED_VALUE"""),"Diseñador Gráfico")</f>
        <v>Diseñador Gráfico</v>
      </c>
      <c r="AW211" s="6"/>
      <c r="AX211" s="12" t="str">
        <f>IFERROR(__xludf.DUMMYFUNCTION("""COMPUTED_VALUE"""),"75099559")</f>
        <v>75099559</v>
      </c>
      <c r="AY211" s="12">
        <f>IFERROR(__xludf.DUMMYFUNCTION("""COMPUTED_VALUE"""),3.164821728E9)</f>
        <v>3164821728</v>
      </c>
      <c r="AZ211" s="6" t="str">
        <f>IFERROR(__xludf.DUMMYFUNCTION("""COMPUTED_VALUE"""),"Padre")</f>
        <v>Padre</v>
      </c>
      <c r="BA211" s="6"/>
      <c r="BB211" s="6"/>
      <c r="BC211" s="6"/>
      <c r="BD211" s="12" t="str">
        <f>IFERROR(__xludf.DUMMYFUNCTION("""COMPUTED_VALUE"""),"vil0008")</f>
        <v>vil0008</v>
      </c>
      <c r="BE211" s="6"/>
      <c r="BF211" s="6"/>
      <c r="BG211" s="6">
        <f>IFERROR(__xludf.DUMMYFUNCTION("""COMPUTED_VALUE"""),2038.0)</f>
        <v>2038</v>
      </c>
      <c r="BH211" s="15">
        <f>IFERROR(__xludf.DUMMYFUNCTION("""COMPUTED_VALUE"""),46232.61688657408)</f>
        <v>46232.61689</v>
      </c>
      <c r="BI211" s="6">
        <f>IFERROR(__xludf.DUMMYFUNCTION("""COMPUTED_VALUE"""),210.0)</f>
        <v>210</v>
      </c>
      <c r="BJ211" s="6"/>
      <c r="BK211" s="6"/>
      <c r="BL211" s="6" t="str">
        <f>IFERROR(__xludf.DUMMYFUNCTION("""COMPUTED_VALUE"""),"GISVIL0008")</f>
        <v>GISVIL0008</v>
      </c>
      <c r="BM211" s="6"/>
      <c r="BN211" s="6"/>
      <c r="BO211" s="6"/>
      <c r="BP211" s="6" t="str">
        <f>IFERROR(__xludf.DUMMYFUNCTION("""COMPUTED_VALUE"""),"XC_1_Voleibol")</f>
        <v>XC_1_Voleibol</v>
      </c>
      <c r="BQ211" s="6"/>
      <c r="BR211" s="6" t="str">
        <f>IFERROR(__xludf.DUMMYFUNCTION("""COMPUTED_VALUE"""),"XC_EL_DanzaModerna")</f>
        <v>XC_EL_DanzaModerna</v>
      </c>
      <c r="BS211" s="6" t="str">
        <f>IFERROR(__xludf.DUMMYFUNCTION("""COMPUTED_VALUE"""),"XC_1_Voleibol")</f>
        <v>XC_1_Voleibol</v>
      </c>
      <c r="BT211" s="6" t="str">
        <f>IFERROR(__xludf.DUMMYFUNCTION("""COMPUTED_VALUE"""),"XC_1_Voleibol")</f>
        <v>XC_1_Voleibol</v>
      </c>
      <c r="BU211" s="6" t="str">
        <f>IFERROR(__xludf.DUMMYFUNCTION("""COMPUTED_VALUE"""),"SI")</f>
        <v>SI</v>
      </c>
      <c r="BV211" s="6" t="str">
        <f>IFERROR(__xludf.DUMMYFUNCTION("""COMPUTED_VALUE"""),"matilde.v2038")</f>
        <v>matilde.v2038</v>
      </c>
      <c r="BW211" s="6"/>
      <c r="BX211" s="6"/>
      <c r="BY211" s="6"/>
      <c r="B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 t="str">
        <f>IFERROR(__xludf.DUMMYFUNCTION("""COMPUTED_VALUE"""),"Madre")</f>
        <v>Madre</v>
      </c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 t="str">
        <f>IFERROR(__xludf.DUMMYFUNCTION("""COMPUTED_VALUE"""),"Padre")</f>
        <v>Padre</v>
      </c>
      <c r="BA212" s="6"/>
      <c r="BB212" s="6"/>
      <c r="BC212" s="6"/>
      <c r="BD212" s="6"/>
      <c r="BE212" s="6"/>
      <c r="BF212" s="6"/>
      <c r="BG212" s="6"/>
      <c r="BH212" s="6"/>
      <c r="BI212" s="6">
        <f>IFERROR(__xludf.DUMMYFUNCTION("""COMPUTED_VALUE"""),211.0)</f>
        <v>211</v>
      </c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</row>
    <row r="213">
      <c r="A213" s="12">
        <f>IFERROR(__xludf.DUMMYFUNCTION("""COMPUTED_VALUE"""),1.092864047E9)</f>
        <v>1092864047</v>
      </c>
      <c r="B213" s="6">
        <f>IFERROR(__xludf.DUMMYFUNCTION("""COMPUTED_VALUE"""),1.0)</f>
        <v>1</v>
      </c>
      <c r="C213" s="6" t="str">
        <f>IFERROR(__xludf.DUMMYFUNCTION("""COMPUTED_VALUE"""),"Paulina")</f>
        <v>Paulina</v>
      </c>
      <c r="D213" s="6"/>
      <c r="E213" s="6" t="str">
        <f>IFERROR(__xludf.DUMMYFUNCTION("""COMPUTED_VALUE"""),"Álvarez Urrea")</f>
        <v>Álvarez Urrea</v>
      </c>
      <c r="F213" s="6" t="str">
        <f>IFERROR(__xludf.DUMMYFUNCTION("""COMPUTED_VALUE"""),"Parque Residencial San Simon Casa 19 - Calle 32Nte No18 - 60")</f>
        <v>Parque Residencial San Simon Casa 19 - Calle 32Nte No18 - 60</v>
      </c>
      <c r="G213" s="12" t="str">
        <f>IFERROR(__xludf.DUMMYFUNCTION("""COMPUTED_VALUE"""),"2020")</f>
        <v>2020</v>
      </c>
      <c r="H213" s="6" t="str">
        <f>IFERROR(__xludf.DUMMYFUNCTION("""COMPUTED_VALUE"""),"Marzo")</f>
        <v>Marzo</v>
      </c>
      <c r="I213" s="12" t="str">
        <f>IFERROR(__xludf.DUMMYFUNCTION("""COMPUTED_VALUE"""),"28")</f>
        <v>28</v>
      </c>
      <c r="J213" s="6" t="str">
        <f>IFERROR(__xludf.DUMMYFUNCTION("""COMPUTED_VALUE"""),"Armenia")</f>
        <v>Armenia</v>
      </c>
      <c r="K213" s="6" t="str">
        <f>IFERROR(__xludf.DUMMYFUNCTION("""COMPUTED_VALUE"""),"paulina.a2038@gi.edu.co")</f>
        <v>paulina.a2038@gi.edu.co</v>
      </c>
      <c r="L213" s="6" t="str">
        <f>IFERROR(__xludf.DUMMYFUNCTION("""COMPUTED_VALUE"""),"RC")</f>
        <v>RC</v>
      </c>
      <c r="M213" s="6" t="str">
        <f>IFERROR(__xludf.DUMMYFUNCTION("""COMPUTED_VALUE"""),"Armenia")</f>
        <v>Armenia</v>
      </c>
      <c r="N213" s="6" t="str">
        <f>IFERROR(__xludf.DUMMYFUNCTION("""COMPUTED_VALUE"""),"F")</f>
        <v>F</v>
      </c>
      <c r="O213" s="6" t="str">
        <f>IFERROR(__xludf.DUMMYFUNCTION("""COMPUTED_VALUE"""),"ACTIVE")</f>
        <v>ACTIVE</v>
      </c>
      <c r="P213" s="6"/>
      <c r="Q213" s="6" t="str">
        <f>IFERROR(__xludf.DUMMYFUNCTION("""COMPUTED_VALUE"""),"Armenia")</f>
        <v>Armenia</v>
      </c>
      <c r="R213" s="12" t="str">
        <f>IFERROR(__xludf.DUMMYFUNCTION("""COMPUTED_VALUE"""),"Gi43iufn5*")</f>
        <v>Gi43iufn5*</v>
      </c>
      <c r="S213" s="6" t="str">
        <f>IFERROR(__xludf.DUMMYFUNCTION("""COMPUTED_VALUE"""),"Álvarez Urrea Paulina ")</f>
        <v>Álvarez Urrea Paulina </v>
      </c>
      <c r="T213" s="6" t="str">
        <f>IFERROR(__xludf.DUMMYFUNCTION("""COMPUTED_VALUE"""),"LAURA FERNANDA URREA CARVAJAL")</f>
        <v>LAURA FERNANDA URREA CARVAJAL</v>
      </c>
      <c r="U213" s="12" t="str">
        <f>IFERROR(__xludf.DUMMYFUNCTION("""COMPUTED_VALUE"""),"1094906351")</f>
        <v>1094906351</v>
      </c>
      <c r="V213" s="6">
        <f>IFERROR(__xludf.DUMMYFUNCTION("""COMPUTED_VALUE"""),3.043752818E9)</f>
        <v>3043752818</v>
      </c>
      <c r="W213" s="6" t="str">
        <f>IFERROR(__xludf.DUMMYFUNCTION("""COMPUTED_VALUE"""),"laurita18299@hotmail.com")</f>
        <v>laurita18299@hotmail.com</v>
      </c>
      <c r="X213" s="12" t="str">
        <f>IFERROR(__xludf.DUMMYFUNCTION("""COMPUTED_VALUE"""),"B+")</f>
        <v>B+</v>
      </c>
      <c r="Y213" s="12" t="str">
        <f>IFERROR(__xludf.DUMMYFUNCTION("""COMPUTED_VALUE"""),"1")</f>
        <v>1</v>
      </c>
      <c r="Z213" s="12">
        <f>IFERROR(__xludf.DUMMYFUNCTION("""COMPUTED_VALUE"""),120242.0)</f>
        <v>120242</v>
      </c>
      <c r="AA213" s="6" t="str">
        <f>IFERROR(__xludf.DUMMYFUNCTION("""COMPUTED_VALUE"""),"SURA")</f>
        <v>SURA</v>
      </c>
      <c r="AB213" s="6"/>
      <c r="AC213" s="6"/>
      <c r="AD213" s="12" t="str">
        <f>IFERROR(__xludf.DUMMYFUNCTION("""COMPUTED_VALUE"""),"1C")</f>
        <v>1C</v>
      </c>
      <c r="AE213" s="12">
        <f>IFERROR(__xludf.DUMMYFUNCTION("""COMPUTED_VALUE"""),1.345282234E9)</f>
        <v>1345282234</v>
      </c>
      <c r="AF213" s="6"/>
      <c r="AG213" s="12" t="str">
        <f>IFERROR(__xludf.DUMMYFUNCTION("""COMPUTED_VALUE"""),"Laura")</f>
        <v>Laura</v>
      </c>
      <c r="AH213" s="12" t="str">
        <f>IFERROR(__xludf.DUMMYFUNCTION("""COMPUTED_VALUE"""),"Fernanda")</f>
        <v>Fernanda</v>
      </c>
      <c r="AI213" s="6" t="str">
        <f>IFERROR(__xludf.DUMMYFUNCTION("""COMPUTED_VALUE"""),"Urrea Carvajal")</f>
        <v>Urrea Carvajal</v>
      </c>
      <c r="AJ213" s="6" t="str">
        <f>IFERROR(__xludf.DUMMYFUNCTION("""COMPUTED_VALUE"""),"laurita18299@hotmail.com")</f>
        <v>laurita18299@hotmail.com</v>
      </c>
      <c r="AK213" s="6" t="str">
        <f>IFERROR(__xludf.DUMMYFUNCTION("""COMPUTED_VALUE"""),"ABOGADA")</f>
        <v>ABOGADA</v>
      </c>
      <c r="AL213" s="6" t="str">
        <f>IFERROR(__xludf.DUMMYFUNCTION("""COMPUTED_VALUE"""),"RAMA JUDICIAL")</f>
        <v>RAMA JUDICIAL</v>
      </c>
      <c r="AM213" s="12" t="str">
        <f>IFERROR(__xludf.DUMMYFUNCTION("""COMPUTED_VALUE"""),"1094906351")</f>
        <v>1094906351</v>
      </c>
      <c r="AN213" s="12" t="str">
        <f>IFERROR(__xludf.DUMMYFUNCTION("""COMPUTED_VALUE"""),"3043752818")</f>
        <v>3043752818</v>
      </c>
      <c r="AO213" s="6" t="str">
        <f>IFERROR(__xludf.DUMMYFUNCTION("""COMPUTED_VALUE"""),"Madre")</f>
        <v>Madre</v>
      </c>
      <c r="AP213" s="6" t="str">
        <f>IFERROR(__xludf.DUMMYFUNCTION("""COMPUTED_VALUE"""),"Estudiante(s): Álvarez Urrea")</f>
        <v>Estudiante(s): Álvarez Urrea</v>
      </c>
      <c r="AQ213" s="6" t="str">
        <f>IFERROR(__xludf.DUMMYFUNCTION("""COMPUTED_VALUE"""),"120242*Gi")</f>
        <v>120242*Gi</v>
      </c>
      <c r="AR213" s="6" t="str">
        <f>IFERROR(__xludf.DUMMYFUNCTION("""COMPUTED_VALUE"""),"Javier")</f>
        <v>Javier</v>
      </c>
      <c r="AS213" s="6" t="str">
        <f>IFERROR(__xludf.DUMMYFUNCTION("""COMPUTED_VALUE"""),"Andrés")</f>
        <v>Andrés</v>
      </c>
      <c r="AT213" s="6" t="str">
        <f>IFERROR(__xludf.DUMMYFUNCTION("""COMPUTED_VALUE"""),"Álvarez Muriel")</f>
        <v>Álvarez Muriel</v>
      </c>
      <c r="AU213" s="6" t="str">
        <f>IFERROR(__xludf.DUMMYFUNCTION("""COMPUTED_VALUE"""),"jaam_1177@hotmail.com")</f>
        <v>jaam_1177@hotmail.com</v>
      </c>
      <c r="AV213" s="6" t="str">
        <f>IFERROR(__xludf.DUMMYFUNCTION("""COMPUTED_VALUE"""),"ABOGADO Y COMERCIANTE")</f>
        <v>ABOGADO Y COMERCIANTE</v>
      </c>
      <c r="AW213" s="6"/>
      <c r="AX213" s="12" t="str">
        <f>IFERROR(__xludf.DUMMYFUNCTION("""COMPUTED_VALUE"""),"9770954")</f>
        <v>9770954</v>
      </c>
      <c r="AY213" s="12" t="str">
        <f>IFERROR(__xludf.DUMMYFUNCTION("""COMPUTED_VALUE"""),"3043872620")</f>
        <v>3043872620</v>
      </c>
      <c r="AZ213" s="6" t="str">
        <f>IFERROR(__xludf.DUMMYFUNCTION("""COMPUTED_VALUE"""),"Padre")</f>
        <v>Padre</v>
      </c>
      <c r="BA213" s="6"/>
      <c r="BB213" s="6"/>
      <c r="BC213" s="6"/>
      <c r="BD213" s="12" t="str">
        <f>IFERROR(__xludf.DUMMYFUNCTION("""COMPUTED_VALUE"""),"alv0002")</f>
        <v>alv0002</v>
      </c>
      <c r="BE213" s="6"/>
      <c r="BF213" s="6"/>
      <c r="BG213" s="6">
        <f>IFERROR(__xludf.DUMMYFUNCTION("""COMPUTED_VALUE"""),2038.0)</f>
        <v>2038</v>
      </c>
      <c r="BH213" s="15">
        <f>IFERROR(__xludf.DUMMYFUNCTION("""COMPUTED_VALUE"""),46205.49332175926)</f>
        <v>46205.49332</v>
      </c>
      <c r="BI213" s="6">
        <f>IFERROR(__xludf.DUMMYFUNCTION("""COMPUTED_VALUE"""),212.0)</f>
        <v>212</v>
      </c>
      <c r="BJ213" s="6"/>
      <c r="BK213" s="6"/>
      <c r="BL213" s="6" t="str">
        <f>IFERROR(__xludf.DUMMYFUNCTION("""COMPUTED_VALUE"""),"GISALV0002")</f>
        <v>GISALV0002</v>
      </c>
      <c r="BM213" s="6"/>
      <c r="BN213" s="6"/>
      <c r="BO213" s="6" t="str">
        <f>IFERROR(__xludf.DUMMYFUNCTION("""COMPUTED_VALUE"""),"XC_EL_ArtesPlasticas")</f>
        <v>XC_EL_ArtesPlasticas</v>
      </c>
      <c r="BP213" s="6" t="str">
        <f>IFERROR(__xludf.DUMMYFUNCTION("""COMPUTED_VALUE"""),"XC_EL_Porras")</f>
        <v>XC_EL_Porras</v>
      </c>
      <c r="BQ213" s="6" t="str">
        <f>IFERROR(__xludf.DUMMYFUNCTION("""COMPUTED_VALUE"""),"XC_EL_Porras")</f>
        <v>XC_EL_Porras</v>
      </c>
      <c r="BR213" s="6"/>
      <c r="BS213" s="6" t="str">
        <f>IFERROR(__xludf.DUMMYFUNCTION("""COMPUTED_VALUE"""),"XC_EL_Porras")</f>
        <v>XC_EL_Porras</v>
      </c>
      <c r="BT213" s="6"/>
      <c r="BU213" s="6" t="str">
        <f>IFERROR(__xludf.DUMMYFUNCTION("""COMPUTED_VALUE"""),"SI")</f>
        <v>SI</v>
      </c>
      <c r="BV213" s="6" t="str">
        <f>IFERROR(__xludf.DUMMYFUNCTION("""COMPUTED_VALUE"""),"paulina.a2038")</f>
        <v>paulina.a2038</v>
      </c>
      <c r="BW213" s="6"/>
      <c r="BX213" s="6"/>
      <c r="BY213" s="6"/>
      <c r="BZ213" s="6"/>
    </row>
    <row r="214">
      <c r="A214" s="12">
        <f>IFERROR(__xludf.DUMMYFUNCTION("""COMPUTED_VALUE"""),1.091889177E9)</f>
        <v>1091889177</v>
      </c>
      <c r="B214" s="6">
        <f>IFERROR(__xludf.DUMMYFUNCTION("""COMPUTED_VALUE"""),2.0)</f>
        <v>2</v>
      </c>
      <c r="C214" s="6" t="str">
        <f>IFERROR(__xludf.DUMMYFUNCTION("""COMPUTED_VALUE"""),"Matías")</f>
        <v>Matías</v>
      </c>
      <c r="D214" s="6"/>
      <c r="E214" s="6" t="str">
        <f>IFERROR(__xludf.DUMMYFUNCTION("""COMPUTED_VALUE"""),"Arboleda Vargas")</f>
        <v>Arboleda Vargas</v>
      </c>
      <c r="F214" s="6" t="str">
        <f>IFERROR(__xludf.DUMMYFUNCTION("""COMPUTED_VALUE"""),"Condominio Hacienda Horizontes Casa 4 - Km 3 Via Circasia Vereda la Florida")</f>
        <v>Condominio Hacienda Horizontes Casa 4 - Km 3 Via Circasia Vereda la Florida</v>
      </c>
      <c r="G214" s="12" t="str">
        <f>IFERROR(__xludf.DUMMYFUNCTION("""COMPUTED_VALUE"""),"2019")</f>
        <v>2019</v>
      </c>
      <c r="H214" s="6" t="str">
        <f>IFERROR(__xludf.DUMMYFUNCTION("""COMPUTED_VALUE"""),"Octubre")</f>
        <v>Octubre</v>
      </c>
      <c r="I214" s="12" t="str">
        <f>IFERROR(__xludf.DUMMYFUNCTION("""COMPUTED_VALUE"""),"2")</f>
        <v>2</v>
      </c>
      <c r="J214" s="6" t="str">
        <f>IFERROR(__xludf.DUMMYFUNCTION("""COMPUTED_VALUE"""),"Armenia")</f>
        <v>Armenia</v>
      </c>
      <c r="K214" s="6" t="str">
        <f>IFERROR(__xludf.DUMMYFUNCTION("""COMPUTED_VALUE"""),"matias.a2038@gi.edu.co")</f>
        <v>matias.a2038@gi.edu.co</v>
      </c>
      <c r="L214" s="6" t="str">
        <f>IFERROR(__xludf.DUMMYFUNCTION("""COMPUTED_VALUE"""),"RC")</f>
        <v>RC</v>
      </c>
      <c r="M214" s="6" t="str">
        <f>IFERROR(__xludf.DUMMYFUNCTION("""COMPUTED_VALUE"""),"Armenia")</f>
        <v>Armenia</v>
      </c>
      <c r="N214" s="6" t="str">
        <f>IFERROR(__xludf.DUMMYFUNCTION("""COMPUTED_VALUE"""),"M")</f>
        <v>M</v>
      </c>
      <c r="O214" s="6" t="str">
        <f>IFERROR(__xludf.DUMMYFUNCTION("""COMPUTED_VALUE"""),"ACTIVE")</f>
        <v>ACTIVE</v>
      </c>
      <c r="P214" s="6"/>
      <c r="Q214" s="6" t="str">
        <f>IFERROR(__xludf.DUMMYFUNCTION("""COMPUTED_VALUE"""),"Circasia")</f>
        <v>Circasia</v>
      </c>
      <c r="R214" s="12" t="str">
        <f>IFERROR(__xludf.DUMMYFUNCTION("""COMPUTED_VALUE"""),"Gis7an4j*")</f>
        <v>Gis7an4j*</v>
      </c>
      <c r="S214" s="6" t="str">
        <f>IFERROR(__xludf.DUMMYFUNCTION("""COMPUTED_VALUE"""),"Arboleda Vargas Matías ")</f>
        <v>Arboleda Vargas Matías </v>
      </c>
      <c r="T214" s="6" t="str">
        <f>IFERROR(__xludf.DUMMYFUNCTION("""COMPUTED_VALUE"""),"CARLOS JULIO ARBOLEDA AUDRITO")</f>
        <v>CARLOS JULIO ARBOLEDA AUDRITO</v>
      </c>
      <c r="U214" s="12" t="str">
        <f>IFERROR(__xludf.DUMMYFUNCTION("""COMPUTED_VALUE"""),"18494950")</f>
        <v>18494950</v>
      </c>
      <c r="V214" s="6">
        <f>IFERROR(__xludf.DUMMYFUNCTION("""COMPUTED_VALUE"""),3.116351574E9)</f>
        <v>3116351574</v>
      </c>
      <c r="W214" s="6" t="str">
        <f>IFERROR(__xludf.DUMMYFUNCTION("""COMPUTED_VALUE"""),"cjarbol@yahoo.com")</f>
        <v>cjarbol@yahoo.com</v>
      </c>
      <c r="X214" s="12" t="str">
        <f>IFERROR(__xludf.DUMMYFUNCTION("""COMPUTED_VALUE"""),"AB-")</f>
        <v>AB-</v>
      </c>
      <c r="Y214" s="12" t="str">
        <f>IFERROR(__xludf.DUMMYFUNCTION("""COMPUTED_VALUE"""),"1")</f>
        <v>1</v>
      </c>
      <c r="Z214" s="12">
        <f>IFERROR(__xludf.DUMMYFUNCTION("""COMPUTED_VALUE"""),120253.0)</f>
        <v>120253</v>
      </c>
      <c r="AA214" s="6" t="str">
        <f>IFERROR(__xludf.DUMMYFUNCTION("""COMPUTED_VALUE"""),"SURA")</f>
        <v>SURA</v>
      </c>
      <c r="AB214" s="6"/>
      <c r="AC214" s="6"/>
      <c r="AD214" s="12" t="str">
        <f>IFERROR(__xludf.DUMMYFUNCTION("""COMPUTED_VALUE"""),"1C")</f>
        <v>1C</v>
      </c>
      <c r="AE214" s="12">
        <f>IFERROR(__xludf.DUMMYFUNCTION("""COMPUTED_VALUE"""),1.345282243E9)</f>
        <v>1345282243</v>
      </c>
      <c r="AF214" s="6"/>
      <c r="AG214" s="12" t="str">
        <f>IFERROR(__xludf.DUMMYFUNCTION("""COMPUTED_VALUE"""),"Juliana")</f>
        <v>Juliana</v>
      </c>
      <c r="AH214" s="6"/>
      <c r="AI214" s="6" t="str">
        <f>IFERROR(__xludf.DUMMYFUNCTION("""COMPUTED_VALUE"""),"Vargas Rozo")</f>
        <v>Vargas Rozo</v>
      </c>
      <c r="AJ214" s="6" t="str">
        <f>IFERROR(__xludf.DUMMYFUNCTION("""COMPUTED_VALUE"""),"julianavargasrozo@gmail.com")</f>
        <v>julianavargasrozo@gmail.com</v>
      </c>
      <c r="AK214" s="6" t="str">
        <f>IFERROR(__xludf.DUMMYFUNCTION("""COMPUTED_VALUE"""),"Ingeniera Civil")</f>
        <v>Ingeniera Civil</v>
      </c>
      <c r="AL214" s="6" t="str">
        <f>IFERROR(__xludf.DUMMYFUNCTION("""COMPUTED_VALUE"""),"AISAS")</f>
        <v>AISAS</v>
      </c>
      <c r="AM214" s="12" t="str">
        <f>IFERROR(__xludf.DUMMYFUNCTION("""COMPUTED_VALUE"""),"1113789679")</f>
        <v>1113789679</v>
      </c>
      <c r="AN214" s="12" t="str">
        <f>IFERROR(__xludf.DUMMYFUNCTION("""COMPUTED_VALUE"""),"3165797123")</f>
        <v>3165797123</v>
      </c>
      <c r="AO214" s="6" t="str">
        <f>IFERROR(__xludf.DUMMYFUNCTION("""COMPUTED_VALUE"""),"Madre")</f>
        <v>Madre</v>
      </c>
      <c r="AP214" s="6" t="str">
        <f>IFERROR(__xludf.DUMMYFUNCTION("""COMPUTED_VALUE"""),"Estudiante(s): Arboleda Vargas")</f>
        <v>Estudiante(s): Arboleda Vargas</v>
      </c>
      <c r="AQ214" s="6" t="str">
        <f>IFERROR(__xludf.DUMMYFUNCTION("""COMPUTED_VALUE"""),"120253*Gi")</f>
        <v>120253*Gi</v>
      </c>
      <c r="AR214" s="6" t="str">
        <f>IFERROR(__xludf.DUMMYFUNCTION("""COMPUTED_VALUE"""),"Carlos")</f>
        <v>Carlos</v>
      </c>
      <c r="AS214" s="6" t="str">
        <f>IFERROR(__xludf.DUMMYFUNCTION("""COMPUTED_VALUE"""),"Julio")</f>
        <v>Julio</v>
      </c>
      <c r="AT214" s="6" t="str">
        <f>IFERROR(__xludf.DUMMYFUNCTION("""COMPUTED_VALUE"""),"Arboleda Audrito")</f>
        <v>Arboleda Audrito</v>
      </c>
      <c r="AU214" s="6" t="str">
        <f>IFERROR(__xludf.DUMMYFUNCTION("""COMPUTED_VALUE"""),"cjarbol@yahoo.com")</f>
        <v>cjarbol@yahoo.com</v>
      </c>
      <c r="AV214" s="6" t="str">
        <f>IFERROR(__xludf.DUMMYFUNCTION("""COMPUTED_VALUE"""),"Ingeniero Civil")</f>
        <v>Ingeniero Civil</v>
      </c>
      <c r="AW214" s="6"/>
      <c r="AX214" s="12" t="str">
        <f>IFERROR(__xludf.DUMMYFUNCTION("""COMPUTED_VALUE"""),"18494950")</f>
        <v>18494950</v>
      </c>
      <c r="AY214" s="12" t="str">
        <f>IFERROR(__xludf.DUMMYFUNCTION("""COMPUTED_VALUE"""),"3116351574")</f>
        <v>3116351574</v>
      </c>
      <c r="AZ214" s="6" t="str">
        <f>IFERROR(__xludf.DUMMYFUNCTION("""COMPUTED_VALUE"""),"Padre")</f>
        <v>Padre</v>
      </c>
      <c r="BA214" s="6"/>
      <c r="BB214" s="6"/>
      <c r="BC214" s="6"/>
      <c r="BD214" s="12" t="str">
        <f>IFERROR(__xludf.DUMMYFUNCTION("""COMPUTED_VALUE"""),"arb0001")</f>
        <v>arb0001</v>
      </c>
      <c r="BE214" s="6"/>
      <c r="BF214" s="6"/>
      <c r="BG214" s="6">
        <f>IFERROR(__xludf.DUMMYFUNCTION("""COMPUTED_VALUE"""),2038.0)</f>
        <v>2038</v>
      </c>
      <c r="BH214" s="15">
        <f>IFERROR(__xludf.DUMMYFUNCTION("""COMPUTED_VALUE"""),46205.32152777778)</f>
        <v>46205.32153</v>
      </c>
      <c r="BI214" s="6">
        <f>IFERROR(__xludf.DUMMYFUNCTION("""COMPUTED_VALUE"""),213.0)</f>
        <v>213</v>
      </c>
      <c r="BJ214" s="6"/>
      <c r="BK214" s="6"/>
      <c r="BL214" s="6" t="str">
        <f>IFERROR(__xludf.DUMMYFUNCTION("""COMPUTED_VALUE"""),"GISARB0001")</f>
        <v>GISARB0001</v>
      </c>
      <c r="BM214" s="6"/>
      <c r="BN214" s="6"/>
      <c r="BO214" s="6"/>
      <c r="BP214" s="6" t="str">
        <f>IFERROR(__xludf.DUMMYFUNCTION("""COMPUTED_VALUE"""),"XC_1_Futbol_M")</f>
        <v>XC_1_Futbol_M</v>
      </c>
      <c r="BQ214" s="6"/>
      <c r="BR214" s="6" t="str">
        <f>IFERROR(__xludf.DUMMYFUNCTION("""COMPUTED_VALUE"""),"XC_EL_PequenosCientificos")</f>
        <v>XC_EL_PequenosCientificos</v>
      </c>
      <c r="BS214" s="6" t="str">
        <f>IFERROR(__xludf.DUMMYFUNCTION("""COMPUTED_VALUE"""),"XC_1_Futbol_M")</f>
        <v>XC_1_Futbol_M</v>
      </c>
      <c r="BT214" s="6" t="str">
        <f>IFERROR(__xludf.DUMMYFUNCTION("""COMPUTED_VALUE"""),"XC_1_Futbol_M")</f>
        <v>XC_1_Futbol_M</v>
      </c>
      <c r="BU214" s="6" t="str">
        <f>IFERROR(__xludf.DUMMYFUNCTION("""COMPUTED_VALUE"""),"SI")</f>
        <v>SI</v>
      </c>
      <c r="BV214" s="6" t="str">
        <f>IFERROR(__xludf.DUMMYFUNCTION("""COMPUTED_VALUE"""),"matias.a2038")</f>
        <v>matias.a2038</v>
      </c>
      <c r="BW214" s="6"/>
      <c r="BX214" s="6"/>
      <c r="BY214" s="6"/>
      <c r="BZ214" s="6"/>
    </row>
    <row r="215">
      <c r="A215" s="12">
        <f>IFERROR(__xludf.DUMMYFUNCTION("""COMPUTED_VALUE"""),1.08939185E9)</f>
        <v>1089391850</v>
      </c>
      <c r="B215" s="6">
        <f>IFERROR(__xludf.DUMMYFUNCTION("""COMPUTED_VALUE"""),3.0)</f>
        <v>3</v>
      </c>
      <c r="C215" s="6" t="str">
        <f>IFERROR(__xludf.DUMMYFUNCTION("""COMPUTED_VALUE"""),"Emilia")</f>
        <v>Emilia</v>
      </c>
      <c r="D215" s="6"/>
      <c r="E215" s="6" t="str">
        <f>IFERROR(__xludf.DUMMYFUNCTION("""COMPUTED_VALUE"""),"Castaño Aristizábal")</f>
        <v>Castaño Aristizábal</v>
      </c>
      <c r="F215" s="6" t="str">
        <f>IFERROR(__xludf.DUMMYFUNCTION("""COMPUTED_VALUE"""),"Conjunto Residencial La Primavera - Cra 14 No54Nte 10")</f>
        <v>Conjunto Residencial La Primavera - Cra 14 No54Nte 10</v>
      </c>
      <c r="G215" s="12" t="str">
        <f>IFERROR(__xludf.DUMMYFUNCTION("""COMPUTED_VALUE"""),"2020")</f>
        <v>2020</v>
      </c>
      <c r="H215" s="6" t="str">
        <f>IFERROR(__xludf.DUMMYFUNCTION("""COMPUTED_VALUE"""),"Enero")</f>
        <v>Enero</v>
      </c>
      <c r="I215" s="12" t="str">
        <f>IFERROR(__xludf.DUMMYFUNCTION("""COMPUTED_VALUE"""),"25")</f>
        <v>25</v>
      </c>
      <c r="J215" s="6" t="str">
        <f>IFERROR(__xludf.DUMMYFUNCTION("""COMPUTED_VALUE"""),"Pereira")</f>
        <v>Pereira</v>
      </c>
      <c r="K215" s="6" t="str">
        <f>IFERROR(__xludf.DUMMYFUNCTION("""COMPUTED_VALUE"""),"emilia.c2038@gi.edu.co")</f>
        <v>emilia.c2038@gi.edu.co</v>
      </c>
      <c r="L215" s="6" t="str">
        <f>IFERROR(__xludf.DUMMYFUNCTION("""COMPUTED_VALUE"""),"RC")</f>
        <v>RC</v>
      </c>
      <c r="M215" s="6" t="str">
        <f>IFERROR(__xludf.DUMMYFUNCTION("""COMPUTED_VALUE"""),"Pereira")</f>
        <v>Pereira</v>
      </c>
      <c r="N215" s="6" t="str">
        <f>IFERROR(__xludf.DUMMYFUNCTION("""COMPUTED_VALUE"""),"F")</f>
        <v>F</v>
      </c>
      <c r="O215" s="6" t="str">
        <f>IFERROR(__xludf.DUMMYFUNCTION("""COMPUTED_VALUE"""),"INACTIVE")</f>
        <v>INACTIVE</v>
      </c>
      <c r="P215" s="6"/>
      <c r="Q215" s="6" t="str">
        <f>IFERROR(__xludf.DUMMYFUNCTION("""COMPUTED_VALUE"""),"Armenia")</f>
        <v>Armenia</v>
      </c>
      <c r="R215" s="12" t="str">
        <f>IFERROR(__xludf.DUMMYFUNCTION("""COMPUTED_VALUE"""),"Gi297cx*")</f>
        <v>Gi297cx*</v>
      </c>
      <c r="S215" s="6" t="str">
        <f>IFERROR(__xludf.DUMMYFUNCTION("""COMPUTED_VALUE"""),"Castaño Aristizábal Emilia ")</f>
        <v>Castaño Aristizábal Emilia </v>
      </c>
      <c r="T215" s="6" t="str">
        <f>IFERROR(__xludf.DUMMYFUNCTION("""COMPUTED_VALUE"""),"JAVIER ENRIQUE CASTAÑO QUICENO")</f>
        <v>JAVIER ENRIQUE CASTAÑO QUICENO</v>
      </c>
      <c r="U215" s="12" t="str">
        <f>IFERROR(__xludf.DUMMYFUNCTION("""COMPUTED_VALUE"""),"94386117")</f>
        <v>94386117</v>
      </c>
      <c r="V215" s="6">
        <f>IFERROR(__xludf.DUMMYFUNCTION("""COMPUTED_VALUE"""),3.178486195E9)</f>
        <v>3178486195</v>
      </c>
      <c r="W215" s="6" t="str">
        <f>IFERROR(__xludf.DUMMYFUNCTION("""COMPUTED_VALUE"""),"javicas777@hotmail.com")</f>
        <v>javicas777@hotmail.com</v>
      </c>
      <c r="X215" s="12" t="str">
        <f>IFERROR(__xludf.DUMMYFUNCTION("""COMPUTED_VALUE"""),"O+")</f>
        <v>O+</v>
      </c>
      <c r="Y215" s="12" t="str">
        <f>IFERROR(__xludf.DUMMYFUNCTION("""COMPUTED_VALUE"""),"1")</f>
        <v>1</v>
      </c>
      <c r="Z215" s="12">
        <f>IFERROR(__xludf.DUMMYFUNCTION("""COMPUTED_VALUE"""),130911.0)</f>
        <v>130911</v>
      </c>
      <c r="AA215" s="6" t="str">
        <f>IFERROR(__xludf.DUMMYFUNCTION("""COMPUTED_VALUE"""),"SURA")</f>
        <v>SURA</v>
      </c>
      <c r="AB215" s="6"/>
      <c r="AC215" s="6"/>
      <c r="AD215" s="12" t="str">
        <f>IFERROR(__xludf.DUMMYFUNCTION("""COMPUTED_VALUE"""),"1C")</f>
        <v>1C</v>
      </c>
      <c r="AE215" s="12">
        <f>IFERROR(__xludf.DUMMYFUNCTION("""COMPUTED_VALUE"""),1.345282285E9)</f>
        <v>1345282285</v>
      </c>
      <c r="AF215" s="6"/>
      <c r="AG215" s="12" t="str">
        <f>IFERROR(__xludf.DUMMYFUNCTION("""COMPUTED_VALUE"""),"Alejandra")</f>
        <v>Alejandra</v>
      </c>
      <c r="AH215" s="6"/>
      <c r="AI215" s="6" t="str">
        <f>IFERROR(__xludf.DUMMYFUNCTION("""COMPUTED_VALUE"""),"Aristizábal Riveros")</f>
        <v>Aristizábal Riveros</v>
      </c>
      <c r="AJ215" s="6" t="str">
        <f>IFERROR(__xludf.DUMMYFUNCTION("""COMPUTED_VALUE"""),"alejitaaristizabal26@hotmail.com")</f>
        <v>alejitaaristizabal26@hotmail.com</v>
      </c>
      <c r="AK215" s="6" t="str">
        <f>IFERROR(__xludf.DUMMYFUNCTION("""COMPUTED_VALUE"""),"Administradora de negocios internacionales")</f>
        <v>Administradora de negocios internacionales</v>
      </c>
      <c r="AL215" s="6"/>
      <c r="AM215" s="12" t="str">
        <f>IFERROR(__xludf.DUMMYFUNCTION("""COMPUTED_VALUE"""),"1115186585")</f>
        <v>1115186585</v>
      </c>
      <c r="AN215" s="12" t="str">
        <f>IFERROR(__xludf.DUMMYFUNCTION("""COMPUTED_VALUE"""),"3148634742")</f>
        <v>3148634742</v>
      </c>
      <c r="AO215" s="6" t="str">
        <f>IFERROR(__xludf.DUMMYFUNCTION("""COMPUTED_VALUE"""),"Madre")</f>
        <v>Madre</v>
      </c>
      <c r="AP215" s="6" t="str">
        <f>IFERROR(__xludf.DUMMYFUNCTION("""COMPUTED_VALUE"""),"Estudiante(s): Castaño Aristizábal")</f>
        <v>Estudiante(s): Castaño Aristizábal</v>
      </c>
      <c r="AQ215" s="6" t="str">
        <f>IFERROR(__xludf.DUMMYFUNCTION("""COMPUTED_VALUE"""),"130911*Gi")</f>
        <v>130911*Gi</v>
      </c>
      <c r="AR215" s="6" t="str">
        <f>IFERROR(__xludf.DUMMYFUNCTION("""COMPUTED_VALUE"""),"Javier ")</f>
        <v>Javier </v>
      </c>
      <c r="AS215" s="6" t="str">
        <f>IFERROR(__xludf.DUMMYFUNCTION("""COMPUTED_VALUE"""),"Enrique")</f>
        <v>Enrique</v>
      </c>
      <c r="AT215" s="6" t="str">
        <f>IFERROR(__xludf.DUMMYFUNCTION("""COMPUTED_VALUE"""),"Castaño Quiceno")</f>
        <v>Castaño Quiceno</v>
      </c>
      <c r="AU215" s="6" t="str">
        <f>IFERROR(__xludf.DUMMYFUNCTION("""COMPUTED_VALUE"""),"javicas777@hotmail.com")</f>
        <v>javicas777@hotmail.com</v>
      </c>
      <c r="AV215" s="6" t="str">
        <f>IFERROR(__xludf.DUMMYFUNCTION("""COMPUTED_VALUE"""),"Importador /comerciante de autopartes")</f>
        <v>Importador /comerciante de autopartes</v>
      </c>
      <c r="AW215" s="6"/>
      <c r="AX215" s="12" t="str">
        <f>IFERROR(__xludf.DUMMYFUNCTION("""COMPUTED_VALUE"""),"94386117")</f>
        <v>94386117</v>
      </c>
      <c r="AY215" s="12" t="str">
        <f>IFERROR(__xludf.DUMMYFUNCTION("""COMPUTED_VALUE"""),"3178486195")</f>
        <v>3178486195</v>
      </c>
      <c r="AZ215" s="6" t="str">
        <f>IFERROR(__xludf.DUMMYFUNCTION("""COMPUTED_VALUE"""),"Padre")</f>
        <v>Padre</v>
      </c>
      <c r="BA215" s="6"/>
      <c r="BB215" s="6"/>
      <c r="BC215" s="6"/>
      <c r="BD215" s="12" t="str">
        <f>IFERROR(__xludf.DUMMYFUNCTION("""COMPUTED_VALUE"""),"cas0002")</f>
        <v>cas0002</v>
      </c>
      <c r="BE215" s="6" t="str">
        <f>IFERROR(__xludf.DUMMYFUNCTION("""COMPUTED_VALUE"""),"FALTAN FIRMAS")</f>
        <v>FALTAN FIRMAS</v>
      </c>
      <c r="BF215" s="6"/>
      <c r="BG215" s="6">
        <f>IFERROR(__xludf.DUMMYFUNCTION("""COMPUTED_VALUE"""),2038.0)</f>
        <v>2038</v>
      </c>
      <c r="BH215" s="15">
        <f>IFERROR(__xludf.DUMMYFUNCTION("""COMPUTED_VALUE"""),46214.3794212963)</f>
        <v>46214.37942</v>
      </c>
      <c r="BI215" s="6">
        <f>IFERROR(__xludf.DUMMYFUNCTION("""COMPUTED_VALUE"""),214.0)</f>
        <v>214</v>
      </c>
      <c r="BJ215" s="6"/>
      <c r="BK215" s="6"/>
      <c r="BL215" s="6" t="str">
        <f>IFERROR(__xludf.DUMMYFUNCTION("""COMPUTED_VALUE"""),"GISCAS0002")</f>
        <v>GISCAS0002</v>
      </c>
      <c r="BM215" s="6"/>
      <c r="BN215" s="6"/>
      <c r="BO215" s="6"/>
      <c r="BP215" s="6" t="str">
        <f>IFERROR(__xludf.DUMMYFUNCTION("""COMPUTED_VALUE"""),"XC_EL_Porras")</f>
        <v>XC_EL_Porras</v>
      </c>
      <c r="BQ215" s="6" t="str">
        <f>IFERROR(__xludf.DUMMYFUNCTION("""COMPUTED_VALUE"""),"XC_EL_Porras")</f>
        <v>XC_EL_Porras</v>
      </c>
      <c r="BR215" s="6" t="str">
        <f>IFERROR(__xludf.DUMMYFUNCTION("""COMPUTED_VALUE"""),"XC_EL_DanzaModerna")</f>
        <v>XC_EL_DanzaModerna</v>
      </c>
      <c r="BS215" s="6" t="str">
        <f>IFERROR(__xludf.DUMMYFUNCTION("""COMPUTED_VALUE"""),"XC_EL_Porras")</f>
        <v>XC_EL_Porras</v>
      </c>
      <c r="BT215" s="6"/>
      <c r="BU215" s="6" t="str">
        <f>IFERROR(__xludf.DUMMYFUNCTION("""COMPUTED_VALUE"""),"SI")</f>
        <v>SI</v>
      </c>
      <c r="BV215" s="6" t="str">
        <f>IFERROR(__xludf.DUMMYFUNCTION("""COMPUTED_VALUE"""),"emilia.c2038")</f>
        <v>emilia.c2038</v>
      </c>
      <c r="BW215" s="6"/>
      <c r="BX215" s="6"/>
      <c r="BY215" s="6"/>
      <c r="BZ215" s="6"/>
    </row>
    <row r="216">
      <c r="A216" s="12">
        <f>IFERROR(__xludf.DUMMYFUNCTION("""COMPUTED_VALUE"""),1.092864066E9)</f>
        <v>1092864066</v>
      </c>
      <c r="B216" s="6">
        <f>IFERROR(__xludf.DUMMYFUNCTION("""COMPUTED_VALUE"""),4.0)</f>
        <v>4</v>
      </c>
      <c r="C216" s="6" t="str">
        <f>IFERROR(__xludf.DUMMYFUNCTION("""COMPUTED_VALUE"""),"Moisés")</f>
        <v>Moisés</v>
      </c>
      <c r="D216" s="6"/>
      <c r="E216" s="6" t="str">
        <f>IFERROR(__xludf.DUMMYFUNCTION("""COMPUTED_VALUE"""),"Castro Vidal")</f>
        <v>Castro Vidal</v>
      </c>
      <c r="F216" s="6" t="str">
        <f>IFERROR(__xludf.DUMMYFUNCTION("""COMPUTED_VALUE"""),"Condominio Entre Maderos Casa - Vereda El Congal Km 1.2 Via Circasia - Armenia")</f>
        <v>Condominio Entre Maderos Casa - Vereda El Congal Km 1.2 Via Circasia - Armenia</v>
      </c>
      <c r="G216" s="12" t="str">
        <f>IFERROR(__xludf.DUMMYFUNCTION("""COMPUTED_VALUE"""),"2020")</f>
        <v>2020</v>
      </c>
      <c r="H216" s="6" t="str">
        <f>IFERROR(__xludf.DUMMYFUNCTION("""COMPUTED_VALUE"""),"Abril")</f>
        <v>Abril</v>
      </c>
      <c r="I216" s="12" t="str">
        <f>IFERROR(__xludf.DUMMYFUNCTION("""COMPUTED_VALUE"""),"9")</f>
        <v>9</v>
      </c>
      <c r="J216" s="6" t="str">
        <f>IFERROR(__xludf.DUMMYFUNCTION("""COMPUTED_VALUE"""),"Pereira")</f>
        <v>Pereira</v>
      </c>
      <c r="K216" s="6" t="str">
        <f>IFERROR(__xludf.DUMMYFUNCTION("""COMPUTED_VALUE"""),"moises.c2038@gi.edu.co")</f>
        <v>moises.c2038@gi.edu.co</v>
      </c>
      <c r="L216" s="6" t="str">
        <f>IFERROR(__xludf.DUMMYFUNCTION("""COMPUTED_VALUE"""),"NUIP")</f>
        <v>NUIP</v>
      </c>
      <c r="M216" s="6" t="str">
        <f>IFERROR(__xludf.DUMMYFUNCTION("""COMPUTED_VALUE"""),"Armenia")</f>
        <v>Armenia</v>
      </c>
      <c r="N216" s="6" t="str">
        <f>IFERROR(__xludf.DUMMYFUNCTION("""COMPUTED_VALUE"""),"M")</f>
        <v>M</v>
      </c>
      <c r="O216" s="6" t="str">
        <f>IFERROR(__xludf.DUMMYFUNCTION("""COMPUTED_VALUE"""),"ACTIVE")</f>
        <v>ACTIVE</v>
      </c>
      <c r="P216" s="6"/>
      <c r="Q216" s="6" t="str">
        <f>IFERROR(__xludf.DUMMYFUNCTION("""COMPUTED_VALUE"""),"Armenia")</f>
        <v>Armenia</v>
      </c>
      <c r="R216" s="12" t="str">
        <f>IFERROR(__xludf.DUMMYFUNCTION("""COMPUTED_VALUE"""),"Gi3n6My*")</f>
        <v>Gi3n6My*</v>
      </c>
      <c r="S216" s="6" t="str">
        <f>IFERROR(__xludf.DUMMYFUNCTION("""COMPUTED_VALUE"""),"Castro Vidal Moisés ")</f>
        <v>Castro Vidal Moisés </v>
      </c>
      <c r="T216" s="6" t="str">
        <f>IFERROR(__xludf.DUMMYFUNCTION("""COMPUTED_VALUE"""),"JESÚS ANDRÉS CASTRO ZAPATA")</f>
        <v>JESÚS ANDRÉS CASTRO ZAPATA</v>
      </c>
      <c r="U216" s="12" t="str">
        <f>IFERROR(__xludf.DUMMYFUNCTION("""COMPUTED_VALUE"""),"71381840")</f>
        <v>71381840</v>
      </c>
      <c r="V216" s="6">
        <f>IFERROR(__xludf.DUMMYFUNCTION("""COMPUTED_VALUE"""),3.137316274E9)</f>
        <v>3137316274</v>
      </c>
      <c r="W216" s="6" t="str">
        <f>IFERROR(__xludf.DUMMYFUNCTION("""COMPUTED_VALUE"""),"jacastroz@gmail.com")</f>
        <v>jacastroz@gmail.com</v>
      </c>
      <c r="X216" s="12" t="str">
        <f>IFERROR(__xludf.DUMMYFUNCTION("""COMPUTED_VALUE"""),"O+")</f>
        <v>O+</v>
      </c>
      <c r="Y216" s="12" t="str">
        <f>IFERROR(__xludf.DUMMYFUNCTION("""COMPUTED_VALUE"""),"1")</f>
        <v>1</v>
      </c>
      <c r="Z216" s="12">
        <f>IFERROR(__xludf.DUMMYFUNCTION("""COMPUTED_VALUE"""),120324.0)</f>
        <v>120324</v>
      </c>
      <c r="AA216" s="6" t="str">
        <f>IFERROR(__xludf.DUMMYFUNCTION("""COMPUTED_VALUE"""),"SURA")</f>
        <v>SURA</v>
      </c>
      <c r="AB216" s="6"/>
      <c r="AC216" s="6"/>
      <c r="AD216" s="12" t="str">
        <f>IFERROR(__xludf.DUMMYFUNCTION("""COMPUTED_VALUE"""),"1C")</f>
        <v>1C</v>
      </c>
      <c r="AE216" s="12">
        <f>IFERROR(__xludf.DUMMYFUNCTION("""COMPUTED_VALUE"""),1.345282341E9)</f>
        <v>1345282341</v>
      </c>
      <c r="AF216" s="6"/>
      <c r="AG216" s="12" t="str">
        <f>IFERROR(__xludf.DUMMYFUNCTION("""COMPUTED_VALUE"""),"Kelyn")</f>
        <v>Kelyn</v>
      </c>
      <c r="AH216" s="12" t="str">
        <f>IFERROR(__xludf.DUMMYFUNCTION("""COMPUTED_VALUE"""),"Vanessa")</f>
        <v>Vanessa</v>
      </c>
      <c r="AI216" s="6" t="str">
        <f>IFERROR(__xludf.DUMMYFUNCTION("""COMPUTED_VALUE"""),"Vidal Monsalve")</f>
        <v>Vidal Monsalve</v>
      </c>
      <c r="AJ216" s="6" t="str">
        <f>IFERROR(__xludf.DUMMYFUNCTION("""COMPUTED_VALUE"""),"vanevidal.0821@gmail.com")</f>
        <v>vanevidal.0821@gmail.com</v>
      </c>
      <c r="AK216" s="6" t="str">
        <f>IFERROR(__xludf.DUMMYFUNCTION("""COMPUTED_VALUE"""),"Cosmetologa")</f>
        <v>Cosmetologa</v>
      </c>
      <c r="AL216" s="6"/>
      <c r="AM216" s="12" t="str">
        <f>IFERROR(__xludf.DUMMYFUNCTION("""COMPUTED_VALUE"""),"1118236683")</f>
        <v>1118236683</v>
      </c>
      <c r="AN216" s="12" t="str">
        <f>IFERROR(__xludf.DUMMYFUNCTION("""COMPUTED_VALUE"""),"3125170619")</f>
        <v>3125170619</v>
      </c>
      <c r="AO216" s="6" t="str">
        <f>IFERROR(__xludf.DUMMYFUNCTION("""COMPUTED_VALUE"""),"Madre")</f>
        <v>Madre</v>
      </c>
      <c r="AP216" s="6" t="str">
        <f>IFERROR(__xludf.DUMMYFUNCTION("""COMPUTED_VALUE"""),"Estudiante(s): Moisés Castro Vidal &amp; Mauricio Rodas Vidal")</f>
        <v>Estudiante(s): Moisés Castro Vidal &amp; Mauricio Rodas Vidal</v>
      </c>
      <c r="AQ216" s="6" t="str">
        <f>IFERROR(__xludf.DUMMYFUNCTION("""COMPUTED_VALUE"""),"120324*Gi")</f>
        <v>120324*Gi</v>
      </c>
      <c r="AR216" s="6" t="str">
        <f>IFERROR(__xludf.DUMMYFUNCTION("""COMPUTED_VALUE"""),"Jesús")</f>
        <v>Jesús</v>
      </c>
      <c r="AS216" s="6" t="str">
        <f>IFERROR(__xludf.DUMMYFUNCTION("""COMPUTED_VALUE"""),"Andrés")</f>
        <v>Andrés</v>
      </c>
      <c r="AT216" s="6" t="str">
        <f>IFERROR(__xludf.DUMMYFUNCTION("""COMPUTED_VALUE"""),"Castro Zapata")</f>
        <v>Castro Zapata</v>
      </c>
      <c r="AU216" s="6" t="str">
        <f>IFERROR(__xludf.DUMMYFUNCTION("""COMPUTED_VALUE"""),"jacastroz@gmail.com")</f>
        <v>jacastroz@gmail.com</v>
      </c>
      <c r="AV216" s="6" t="str">
        <f>IFERROR(__xludf.DUMMYFUNCTION("""COMPUTED_VALUE"""),"Ingeniero Civil")</f>
        <v>Ingeniero Civil</v>
      </c>
      <c r="AW216" s="6"/>
      <c r="AX216" s="12" t="str">
        <f>IFERROR(__xludf.DUMMYFUNCTION("""COMPUTED_VALUE"""),"71381840")</f>
        <v>71381840</v>
      </c>
      <c r="AY216" s="12" t="str">
        <f>IFERROR(__xludf.DUMMYFUNCTION("""COMPUTED_VALUE"""),"3137316274")</f>
        <v>3137316274</v>
      </c>
      <c r="AZ216" s="6" t="str">
        <f>IFERROR(__xludf.DUMMYFUNCTION("""COMPUTED_VALUE"""),"Padre")</f>
        <v>Padre</v>
      </c>
      <c r="BA216" s="6"/>
      <c r="BB216" s="6"/>
      <c r="BC216" s="6"/>
      <c r="BD216" s="12" t="str">
        <f>IFERROR(__xludf.DUMMYFUNCTION("""COMPUTED_VALUE"""),"cas0019")</f>
        <v>cas0019</v>
      </c>
      <c r="BE216" s="6"/>
      <c r="BF216" s="6"/>
      <c r="BG216" s="6">
        <f>IFERROR(__xludf.DUMMYFUNCTION("""COMPUTED_VALUE"""),2038.0)</f>
        <v>2038</v>
      </c>
      <c r="BH216" s="15">
        <f>IFERROR(__xludf.DUMMYFUNCTION("""COMPUTED_VALUE"""),46239.923796296294)</f>
        <v>46239.9238</v>
      </c>
      <c r="BI216" s="6">
        <f>IFERROR(__xludf.DUMMYFUNCTION("""COMPUTED_VALUE"""),215.0)</f>
        <v>215</v>
      </c>
      <c r="BJ216" s="6"/>
      <c r="BK216" s="6"/>
      <c r="BL216" s="6" t="str">
        <f>IFERROR(__xludf.DUMMYFUNCTION("""COMPUTED_VALUE"""),"GISCAS0019")</f>
        <v>GISCAS0019</v>
      </c>
      <c r="BM216" s="6"/>
      <c r="BN216" s="6"/>
      <c r="BO216" s="6"/>
      <c r="BP216" s="6" t="str">
        <f>IFERROR(__xludf.DUMMYFUNCTION("""COMPUTED_VALUE"""),"XC_1_Futbol_M")</f>
        <v>XC_1_Futbol_M</v>
      </c>
      <c r="BQ216" s="6"/>
      <c r="BR216" s="6"/>
      <c r="BS216" s="6" t="str">
        <f>IFERROR(__xludf.DUMMYFUNCTION("""COMPUTED_VALUE"""),"XC_1_Futbol_M")</f>
        <v>XC_1_Futbol_M</v>
      </c>
      <c r="BT216" s="6" t="str">
        <f>IFERROR(__xludf.DUMMYFUNCTION("""COMPUTED_VALUE"""),"XC_1_Futbol_M")</f>
        <v>XC_1_Futbol_M</v>
      </c>
      <c r="BU216" s="6" t="str">
        <f>IFERROR(__xludf.DUMMYFUNCTION("""COMPUTED_VALUE"""),"SI")</f>
        <v>SI</v>
      </c>
      <c r="BV216" s="6" t="str">
        <f>IFERROR(__xludf.DUMMYFUNCTION("""COMPUTED_VALUE"""),"moises.c2038")</f>
        <v>moises.c2038</v>
      </c>
      <c r="BW216" s="6"/>
      <c r="BX216" s="6"/>
      <c r="BY216" s="6"/>
      <c r="BZ216" s="6"/>
    </row>
    <row r="217">
      <c r="A217" s="12">
        <f>IFERROR(__xludf.DUMMYFUNCTION("""COMPUTED_VALUE"""),1.092864236E9)</f>
        <v>1092864236</v>
      </c>
      <c r="B217" s="6">
        <f>IFERROR(__xludf.DUMMYFUNCTION("""COMPUTED_VALUE"""),5.0)</f>
        <v>5</v>
      </c>
      <c r="C217" s="6" t="str">
        <f>IFERROR(__xludf.DUMMYFUNCTION("""COMPUTED_VALUE"""),"Anderson")</f>
        <v>Anderson</v>
      </c>
      <c r="D217" s="6" t="str">
        <f>IFERROR(__xludf.DUMMYFUNCTION("""COMPUTED_VALUE"""),"Leonardo")</f>
        <v>Leonardo</v>
      </c>
      <c r="E217" s="6" t="str">
        <f>IFERROR(__xludf.DUMMYFUNCTION("""COMPUTED_VALUE"""),"Goitia Matheus")</f>
        <v>Goitia Matheus</v>
      </c>
      <c r="F217" s="6" t="str">
        <f>IFERROR(__xludf.DUMMYFUNCTION("""COMPUTED_VALUE"""),"Calle 19Nte No15-66 B5 A403 - Laureles")</f>
        <v>Calle 19Nte No15-66 B5 A403 - Laureles</v>
      </c>
      <c r="G217" s="12">
        <f>IFERROR(__xludf.DUMMYFUNCTION("""COMPUTED_VALUE"""),2020.0)</f>
        <v>2020</v>
      </c>
      <c r="H217" s="6" t="str">
        <f>IFERROR(__xludf.DUMMYFUNCTION("""COMPUTED_VALUE"""),"Junio")</f>
        <v>Junio</v>
      </c>
      <c r="I217" s="12">
        <f>IFERROR(__xludf.DUMMYFUNCTION("""COMPUTED_VALUE"""),4.0)</f>
        <v>4</v>
      </c>
      <c r="J217" s="6" t="str">
        <f>IFERROR(__xludf.DUMMYFUNCTION("""COMPUTED_VALUE"""),"Armenia")</f>
        <v>Armenia</v>
      </c>
      <c r="K217" s="6" t="str">
        <f>IFERROR(__xludf.DUMMYFUNCTION("""COMPUTED_VALUE"""),"anderson.g2038@gi.edu.co")</f>
        <v>anderson.g2038@gi.edu.co</v>
      </c>
      <c r="L217" s="6" t="str">
        <f>IFERROR(__xludf.DUMMYFUNCTION("""COMPUTED_VALUE"""),"RC")</f>
        <v>RC</v>
      </c>
      <c r="M217" s="6" t="str">
        <f>IFERROR(__xludf.DUMMYFUNCTION("""COMPUTED_VALUE"""),"Armenia")</f>
        <v>Armenia</v>
      </c>
      <c r="N217" s="6" t="str">
        <f>IFERROR(__xludf.DUMMYFUNCTION("""COMPUTED_VALUE"""),"M")</f>
        <v>M</v>
      </c>
      <c r="O217" s="6" t="str">
        <f>IFERROR(__xludf.DUMMYFUNCTION("""COMPUTED_VALUE"""),"ACTIVE")</f>
        <v>ACTIVE</v>
      </c>
      <c r="P217" s="6"/>
      <c r="Q217" s="6" t="str">
        <f>IFERROR(__xludf.DUMMYFUNCTION("""COMPUTED_VALUE"""),"Armenia")</f>
        <v>Armenia</v>
      </c>
      <c r="R217" s="12" t="str">
        <f>IFERROR(__xludf.DUMMYFUNCTION("""COMPUTED_VALUE"""),"Gijcss4u*")</f>
        <v>Gijcss4u*</v>
      </c>
      <c r="S217" s="6" t="str">
        <f>IFERROR(__xludf.DUMMYFUNCTION("""COMPUTED_VALUE"""),"Goitia Matheus Anderson Leonardo")</f>
        <v>Goitia Matheus Anderson Leonardo</v>
      </c>
      <c r="T217" s="6" t="str">
        <f>IFERROR(__xludf.DUMMYFUNCTION("""COMPUTED_VALUE"""),"SUJHAM LEONARDA MATHEUS VARGAS")</f>
        <v>SUJHAM LEONARDA MATHEUS VARGAS</v>
      </c>
      <c r="U217" s="12" t="str">
        <f>IFERROR(__xludf.DUMMYFUNCTION("""COMPUTED_VALUE"""),"737654")</f>
        <v>737654</v>
      </c>
      <c r="V217" s="6">
        <f>IFERROR(__xludf.DUMMYFUNCTION("""COMPUTED_VALUE"""),3.1488667E9)</f>
        <v>3148866700</v>
      </c>
      <c r="W217" s="6" t="str">
        <f>IFERROR(__xludf.DUMMYFUNCTION("""COMPUTED_VALUE"""),"sujham87@gmail.com")</f>
        <v>sujham87@gmail.com</v>
      </c>
      <c r="X217" s="12" t="str">
        <f>IFERROR(__xludf.DUMMYFUNCTION("""COMPUTED_VALUE"""),"A+")</f>
        <v>A+</v>
      </c>
      <c r="Y217" s="12" t="str">
        <f>IFERROR(__xludf.DUMMYFUNCTION("""COMPUTED_VALUE"""),"1")</f>
        <v>1</v>
      </c>
      <c r="Z217" s="6">
        <f>IFERROR(__xludf.DUMMYFUNCTION("""COMPUTED_VALUE"""),120558.0)</f>
        <v>120558</v>
      </c>
      <c r="AA217" s="6" t="str">
        <f>IFERROR(__xludf.DUMMYFUNCTION("""COMPUTED_VALUE"""),"SURA")</f>
        <v>SURA</v>
      </c>
      <c r="AB217" s="6"/>
      <c r="AC217" s="6"/>
      <c r="AD217" s="12" t="str">
        <f>IFERROR(__xludf.DUMMYFUNCTION("""COMPUTED_VALUE"""),"1C")</f>
        <v>1C</v>
      </c>
      <c r="AE217" s="6">
        <f>IFERROR(__xludf.DUMMYFUNCTION("""COMPUTED_VALUE"""),1.345282555E9)</f>
        <v>1345282555</v>
      </c>
      <c r="AF217" s="6"/>
      <c r="AG217" s="12" t="str">
        <f>IFERROR(__xludf.DUMMYFUNCTION("""COMPUTED_VALUE"""),"Sujham")</f>
        <v>Sujham</v>
      </c>
      <c r="AH217" s="12" t="str">
        <f>IFERROR(__xludf.DUMMYFUNCTION("""COMPUTED_VALUE"""),"Leonarda")</f>
        <v>Leonarda</v>
      </c>
      <c r="AI217" s="6" t="str">
        <f>IFERROR(__xludf.DUMMYFUNCTION("""COMPUTED_VALUE"""),"Matheus Vargas")</f>
        <v>Matheus Vargas</v>
      </c>
      <c r="AJ217" s="6" t="str">
        <f>IFERROR(__xludf.DUMMYFUNCTION("""COMPUTED_VALUE"""),"sujham87@gmail.com")</f>
        <v>sujham87@gmail.com</v>
      </c>
      <c r="AK217" s="6" t="str">
        <f>IFERROR(__xludf.DUMMYFUNCTION("""COMPUTED_VALUE"""),"MEDICA ESPECIALISTA")</f>
        <v>MEDICA ESPECIALISTA</v>
      </c>
      <c r="AL217" s="6" t="str">
        <f>IFERROR(__xludf.DUMMYFUNCTION("""COMPUTED_VALUE"""),"CLINICA CENTRAL")</f>
        <v>CLINICA CENTRAL</v>
      </c>
      <c r="AM217" s="12">
        <f>IFERROR(__xludf.DUMMYFUNCTION("""COMPUTED_VALUE"""),737654.0)</f>
        <v>737654</v>
      </c>
      <c r="AN217" s="12">
        <f>IFERROR(__xludf.DUMMYFUNCTION("""COMPUTED_VALUE"""),3.1488667E9)</f>
        <v>3148866700</v>
      </c>
      <c r="AO217" s="6" t="str">
        <f>IFERROR(__xludf.DUMMYFUNCTION("""COMPUTED_VALUE"""),"Madre")</f>
        <v>Madre</v>
      </c>
      <c r="AP217" s="6" t="str">
        <f>IFERROR(__xludf.DUMMYFUNCTION("""COMPUTED_VALUE"""),"Estudiante(s): Goitia Matheus")</f>
        <v>Estudiante(s): Goitia Matheus</v>
      </c>
      <c r="AQ217" s="6" t="str">
        <f>IFERROR(__xludf.DUMMYFUNCTION("""COMPUTED_VALUE"""),"120558*Gi")</f>
        <v>120558*Gi</v>
      </c>
      <c r="AR217" s="6" t="str">
        <f>IFERROR(__xludf.DUMMYFUNCTION("""COMPUTED_VALUE"""),"Anderson")</f>
        <v>Anderson</v>
      </c>
      <c r="AS217" s="6" t="str">
        <f>IFERROR(__xludf.DUMMYFUNCTION("""COMPUTED_VALUE"""),"Jesús")</f>
        <v>Jesús</v>
      </c>
      <c r="AT217" s="6" t="str">
        <f>IFERROR(__xludf.DUMMYFUNCTION("""COMPUTED_VALUE"""),"Goitia Loyo")</f>
        <v>Goitia Loyo</v>
      </c>
      <c r="AU217" s="6" t="str">
        <f>IFERROR(__xludf.DUMMYFUNCTION("""COMPUTED_VALUE"""),"andherg@gmail.com")</f>
        <v>andherg@gmail.com</v>
      </c>
      <c r="AV217" s="6" t="str">
        <f>IFERROR(__xludf.DUMMYFUNCTION("""COMPUTED_VALUE"""),"ADMINISTRACION")</f>
        <v>ADMINISTRACION</v>
      </c>
      <c r="AW217" s="6" t="str">
        <f>IFERROR(__xludf.DUMMYFUNCTION("""COMPUTED_VALUE"""),"INDEPEDIENTE")</f>
        <v>INDEPEDIENTE</v>
      </c>
      <c r="AX217" s="12">
        <f>IFERROR(__xludf.DUMMYFUNCTION("""COMPUTED_VALUE"""),1145390.0)</f>
        <v>1145390</v>
      </c>
      <c r="AY217" s="12">
        <f>IFERROR(__xludf.DUMMYFUNCTION("""COMPUTED_VALUE"""),3.108302062E9)</f>
        <v>3108302062</v>
      </c>
      <c r="AZ217" s="6" t="str">
        <f>IFERROR(__xludf.DUMMYFUNCTION("""COMPUTED_VALUE"""),"Padre")</f>
        <v>Padre</v>
      </c>
      <c r="BA217" s="6"/>
      <c r="BB217" s="6"/>
      <c r="BC217" s="6"/>
      <c r="BD217" s="12" t="str">
        <f>IFERROR(__xludf.DUMMYFUNCTION("""COMPUTED_VALUE"""),"goi0001")</f>
        <v>goi0001</v>
      </c>
      <c r="BE217" s="6"/>
      <c r="BF217" s="12" t="str">
        <f>IFERROR(__xludf.DUMMYFUNCTION("""COMPUTED_VALUE"""),"1M+10m SEP/25 A AGO/26 SE APLICA MATR Y CTOS ESPECIALES")</f>
        <v>1M+10m SEP/25 A AGO/26 SE APLICA MATR Y CTOS ESPECIALES</v>
      </c>
      <c r="BG217" s="6">
        <f>IFERROR(__xludf.DUMMYFUNCTION("""COMPUTED_VALUE"""),2038.0)</f>
        <v>2038</v>
      </c>
      <c r="BH217" s="15">
        <f>IFERROR(__xludf.DUMMYFUNCTION("""COMPUTED_VALUE"""),46204.69315972222)</f>
        <v>46204.69316</v>
      </c>
      <c r="BI217" s="6">
        <f>IFERROR(__xludf.DUMMYFUNCTION("""COMPUTED_VALUE"""),216.0)</f>
        <v>216</v>
      </c>
      <c r="BJ217" s="6"/>
      <c r="BK217" s="6"/>
      <c r="BL217" s="6" t="str">
        <f>IFERROR(__xludf.DUMMYFUNCTION("""COMPUTED_VALUE"""),"GISGOI0001")</f>
        <v>GISGOI0001</v>
      </c>
      <c r="BM217" s="6"/>
      <c r="BN217" s="6"/>
      <c r="BO217" s="6"/>
      <c r="BP217" s="6"/>
      <c r="BQ217" s="6"/>
      <c r="BR217" s="6"/>
      <c r="BS217" s="6"/>
      <c r="BT217" s="6"/>
      <c r="BU217" s="6" t="str">
        <f>IFERROR(__xludf.DUMMYFUNCTION("""COMPUTED_VALUE"""),"SI")</f>
        <v>SI</v>
      </c>
      <c r="BV217" s="6" t="str">
        <f>IFERROR(__xludf.DUMMYFUNCTION("""COMPUTED_VALUE"""),"anderson.g2038")</f>
        <v>anderson.g2038</v>
      </c>
      <c r="BW217" s="6"/>
      <c r="BX217" s="6"/>
      <c r="BY217" s="6"/>
      <c r="BZ217" s="6"/>
    </row>
    <row r="218">
      <c r="A218" s="12">
        <f>IFERROR(__xludf.DUMMYFUNCTION("""COMPUTED_VALUE"""),1.092863577E9)</f>
        <v>1092863577</v>
      </c>
      <c r="B218" s="6">
        <f>IFERROR(__xludf.DUMMYFUNCTION("""COMPUTED_VALUE"""),6.0)</f>
        <v>6</v>
      </c>
      <c r="C218" s="6" t="str">
        <f>IFERROR(__xludf.DUMMYFUNCTION("""COMPUTED_VALUE"""),"Juan")</f>
        <v>Juan</v>
      </c>
      <c r="D218" s="6" t="str">
        <f>IFERROR(__xludf.DUMMYFUNCTION("""COMPUTED_VALUE"""),"Antonio")</f>
        <v>Antonio</v>
      </c>
      <c r="E218" s="6" t="str">
        <f>IFERROR(__xludf.DUMMYFUNCTION("""COMPUTED_VALUE"""),"Gómez Gamboa")</f>
        <v>Gómez Gamboa</v>
      </c>
      <c r="F218" s="6" t="str">
        <f>IFERROR(__xludf.DUMMYFUNCTION("""COMPUTED_VALUE"""),"Bosque Residencial La Pradera Casa 10 - Cra 6 No50Nte - 1 Av Centenario")</f>
        <v>Bosque Residencial La Pradera Casa 10 - Cra 6 No50Nte - 1 Av Centenario</v>
      </c>
      <c r="G218" s="12" t="str">
        <f>IFERROR(__xludf.DUMMYFUNCTION("""COMPUTED_VALUE"""),"2019")</f>
        <v>2019</v>
      </c>
      <c r="H218" s="6" t="str">
        <f>IFERROR(__xludf.DUMMYFUNCTION("""COMPUTED_VALUE"""),"Octubre")</f>
        <v>Octubre</v>
      </c>
      <c r="I218" s="12" t="str">
        <f>IFERROR(__xludf.DUMMYFUNCTION("""COMPUTED_VALUE"""),"26")</f>
        <v>26</v>
      </c>
      <c r="J218" s="6" t="str">
        <f>IFERROR(__xludf.DUMMYFUNCTION("""COMPUTED_VALUE"""),"Armenia")</f>
        <v>Armenia</v>
      </c>
      <c r="K218" s="6" t="str">
        <f>IFERROR(__xludf.DUMMYFUNCTION("""COMPUTED_VALUE"""),"juan.g2038@gi.edu.co")</f>
        <v>juan.g2038@gi.edu.co</v>
      </c>
      <c r="L218" s="6" t="str">
        <f>IFERROR(__xludf.DUMMYFUNCTION("""COMPUTED_VALUE"""),"RC")</f>
        <v>RC</v>
      </c>
      <c r="M218" s="6" t="str">
        <f>IFERROR(__xludf.DUMMYFUNCTION("""COMPUTED_VALUE"""),"Armenia")</f>
        <v>Armenia</v>
      </c>
      <c r="N218" s="6" t="str">
        <f>IFERROR(__xludf.DUMMYFUNCTION("""COMPUTED_VALUE"""),"M")</f>
        <v>M</v>
      </c>
      <c r="O218" s="6" t="str">
        <f>IFERROR(__xludf.DUMMYFUNCTION("""COMPUTED_VALUE"""),"ACTIVE")</f>
        <v>ACTIVE</v>
      </c>
      <c r="P218" s="6"/>
      <c r="Q218" s="6" t="str">
        <f>IFERROR(__xludf.DUMMYFUNCTION("""COMPUTED_VALUE"""),"Armenia")</f>
        <v>Armenia</v>
      </c>
      <c r="R218" s="12" t="str">
        <f>IFERROR(__xludf.DUMMYFUNCTION("""COMPUTED_VALUE"""),"gi88deg*")</f>
        <v>gi88deg*</v>
      </c>
      <c r="S218" s="6" t="str">
        <f>IFERROR(__xludf.DUMMYFUNCTION("""COMPUTED_VALUE"""),"Gómez Gamboa Juan Antonio")</f>
        <v>Gómez Gamboa Juan Antonio</v>
      </c>
      <c r="T218" s="6" t="str">
        <f>IFERROR(__xludf.DUMMYFUNCTION("""COMPUTED_VALUE"""),"STEPHANY GAMBOA LONDOÑO")</f>
        <v>STEPHANY GAMBOA LONDOÑO</v>
      </c>
      <c r="U218" s="12" t="str">
        <f>IFERROR(__xludf.DUMMYFUNCTION("""COMPUTED_VALUE"""),"1094926812")</f>
        <v>1094926812</v>
      </c>
      <c r="V218" s="6">
        <f>IFERROR(__xludf.DUMMYFUNCTION("""COMPUTED_VALUE"""),3.166995073E9)</f>
        <v>3166995073</v>
      </c>
      <c r="W218" s="6" t="str">
        <f>IFERROR(__xludf.DUMMYFUNCTION("""COMPUTED_VALUE"""),"linaarq@hotmail.com")</f>
        <v>linaarq@hotmail.com</v>
      </c>
      <c r="X218" s="12" t="str">
        <f>IFERROR(__xludf.DUMMYFUNCTION("""COMPUTED_VALUE"""),"A+")</f>
        <v>A+</v>
      </c>
      <c r="Y218" s="12" t="str">
        <f>IFERROR(__xludf.DUMMYFUNCTION("""COMPUTED_VALUE"""),"1")</f>
        <v>1</v>
      </c>
      <c r="Z218" s="12">
        <f>IFERROR(__xludf.DUMMYFUNCTION("""COMPUTED_VALUE"""),120277.0)</f>
        <v>120277</v>
      </c>
      <c r="AA218" s="6" t="str">
        <f>IFERROR(__xludf.DUMMYFUNCTION("""COMPUTED_VALUE"""),"NUEVA EPS")</f>
        <v>NUEVA EPS</v>
      </c>
      <c r="AB218" s="6"/>
      <c r="AC218" s="12" t="str">
        <f>IFERROR(__xludf.DUMMYFUNCTION("""COMPUTED_VALUE"""),"cambios fuertes de temperatura")</f>
        <v>cambios fuertes de temperatura</v>
      </c>
      <c r="AD218" s="12" t="str">
        <f>IFERROR(__xludf.DUMMYFUNCTION("""COMPUTED_VALUE"""),"1C")</f>
        <v>1C</v>
      </c>
      <c r="AE218" s="12">
        <f>IFERROR(__xludf.DUMMYFUNCTION("""COMPUTED_VALUE"""),1.345282265E9)</f>
        <v>1345282265</v>
      </c>
      <c r="AF218" s="6"/>
      <c r="AG218" s="12" t="str">
        <f>IFERROR(__xludf.DUMMYFUNCTION("""COMPUTED_VALUE"""),"Sthepany")</f>
        <v>Sthepany</v>
      </c>
      <c r="AH218" s="6"/>
      <c r="AI218" s="6" t="str">
        <f>IFERROR(__xludf.DUMMYFUNCTION("""COMPUTED_VALUE"""),"Gamboa Londoño")</f>
        <v>Gamboa Londoño</v>
      </c>
      <c r="AJ218" s="6" t="str">
        <f>IFERROR(__xludf.DUMMYFUNCTION("""COMPUTED_VALUE"""),"sgamboalondono@gmail.com")</f>
        <v>sgamboalondono@gmail.com</v>
      </c>
      <c r="AK218" s="6" t="str">
        <f>IFERROR(__xludf.DUMMYFUNCTION("""COMPUTED_VALUE"""),"ARQUITECTA")</f>
        <v>ARQUITECTA</v>
      </c>
      <c r="AL218" s="6"/>
      <c r="AM218" s="12" t="str">
        <f>IFERROR(__xludf.DUMMYFUNCTION("""COMPUTED_VALUE"""),"1094926812")</f>
        <v>1094926812</v>
      </c>
      <c r="AN218" s="12" t="str">
        <f>IFERROR(__xludf.DUMMYFUNCTION("""COMPUTED_VALUE"""),"3166995073")</f>
        <v>3166995073</v>
      </c>
      <c r="AO218" s="6" t="str">
        <f>IFERROR(__xludf.DUMMYFUNCTION("""COMPUTED_VALUE"""),"Madre")</f>
        <v>Madre</v>
      </c>
      <c r="AP218" s="6" t="str">
        <f>IFERROR(__xludf.DUMMYFUNCTION("""COMPUTED_VALUE"""),"Estudiante(s): Gómez Gamboa")</f>
        <v>Estudiante(s): Gómez Gamboa</v>
      </c>
      <c r="AQ218" s="6" t="str">
        <f>IFERROR(__xludf.DUMMYFUNCTION("""COMPUTED_VALUE"""),"120277*Gi")</f>
        <v>120277*Gi</v>
      </c>
      <c r="AR218" s="6" t="str">
        <f>IFERROR(__xludf.DUMMYFUNCTION("""COMPUTED_VALUE"""),"Juan")</f>
        <v>Juan</v>
      </c>
      <c r="AS218" s="6" t="str">
        <f>IFERROR(__xludf.DUMMYFUNCTION("""COMPUTED_VALUE"""),"David")</f>
        <v>David</v>
      </c>
      <c r="AT218" s="6" t="str">
        <f>IFERROR(__xludf.DUMMYFUNCTION("""COMPUTED_VALUE"""),"Gómez Zamorano")</f>
        <v>Gómez Zamorano</v>
      </c>
      <c r="AU218" s="6" t="str">
        <f>IFERROR(__xludf.DUMMYFUNCTION("""COMPUTED_VALUE"""),"juancho.gz07@gmail.com")</f>
        <v>juancho.gz07@gmail.com</v>
      </c>
      <c r="AV218" s="6" t="str">
        <f>IFERROR(__xludf.DUMMYFUNCTION("""COMPUTED_VALUE"""),"ADMINISTRADOR DE EMPRESAS (ESP. GERENCIA Y MERCADEO)")</f>
        <v>ADMINISTRADOR DE EMPRESAS (ESP. GERENCIA Y MERCADEO)</v>
      </c>
      <c r="AW218" s="6"/>
      <c r="AX218" s="12" t="str">
        <f>IFERROR(__xludf.DUMMYFUNCTION("""COMPUTED_VALUE"""),"1094929951")</f>
        <v>1094929951</v>
      </c>
      <c r="AY218" s="12" t="str">
        <f>IFERROR(__xludf.DUMMYFUNCTION("""COMPUTED_VALUE"""),"3239735248")</f>
        <v>3239735248</v>
      </c>
      <c r="AZ218" s="6" t="str">
        <f>IFERROR(__xludf.DUMMYFUNCTION("""COMPUTED_VALUE"""),"Padre")</f>
        <v>Padre</v>
      </c>
      <c r="BA218" s="6"/>
      <c r="BB218" s="6"/>
      <c r="BC218" s="6"/>
      <c r="BD218" s="12" t="str">
        <f>IFERROR(__xludf.DUMMYFUNCTION("""COMPUTED_VALUE"""),"gom0008")</f>
        <v>gom0008</v>
      </c>
      <c r="BE218" s="6"/>
      <c r="BF218" s="6"/>
      <c r="BG218" s="6">
        <f>IFERROR(__xludf.DUMMYFUNCTION("""COMPUTED_VALUE"""),2038.0)</f>
        <v>2038</v>
      </c>
      <c r="BH218" s="15">
        <f>IFERROR(__xludf.DUMMYFUNCTION("""COMPUTED_VALUE"""),46212.67320601852)</f>
        <v>46212.67321</v>
      </c>
      <c r="BI218" s="6">
        <f>IFERROR(__xludf.DUMMYFUNCTION("""COMPUTED_VALUE"""),217.0)</f>
        <v>217</v>
      </c>
      <c r="BJ218" s="6"/>
      <c r="BK218" s="6"/>
      <c r="BL218" s="6" t="str">
        <f>IFERROR(__xludf.DUMMYFUNCTION("""COMPUTED_VALUE"""),"GISGOM0008")</f>
        <v>GISGOM0008</v>
      </c>
      <c r="BM218" s="6"/>
      <c r="BN218" s="6"/>
      <c r="BO218" s="6"/>
      <c r="BP218" s="6"/>
      <c r="BQ218" s="6"/>
      <c r="BR218" s="6"/>
      <c r="BS218" s="6"/>
      <c r="BT218" s="6"/>
      <c r="BU218" s="6" t="str">
        <f>IFERROR(__xludf.DUMMYFUNCTION("""COMPUTED_VALUE"""),"SI")</f>
        <v>SI</v>
      </c>
      <c r="BV218" s="6" t="str">
        <f>IFERROR(__xludf.DUMMYFUNCTION("""COMPUTED_VALUE"""),"juan.g2038")</f>
        <v>juan.g2038</v>
      </c>
      <c r="BW218" s="6"/>
      <c r="BX218" s="6"/>
      <c r="BY218" s="6"/>
      <c r="BZ218" s="6"/>
    </row>
    <row r="219">
      <c r="A219" s="12">
        <f>IFERROR(__xludf.DUMMYFUNCTION("""COMPUTED_VALUE"""),1.09286349E9)</f>
        <v>1092863490</v>
      </c>
      <c r="B219" s="6">
        <f>IFERROR(__xludf.DUMMYFUNCTION("""COMPUTED_VALUE"""),7.0)</f>
        <v>7</v>
      </c>
      <c r="C219" s="6" t="str">
        <f>IFERROR(__xludf.DUMMYFUNCTION("""COMPUTED_VALUE"""),"Juan")</f>
        <v>Juan</v>
      </c>
      <c r="D219" s="6" t="str">
        <f>IFERROR(__xludf.DUMMYFUNCTION("""COMPUTED_VALUE"""),"Martín")</f>
        <v>Martín</v>
      </c>
      <c r="E219" s="6" t="str">
        <f>IFERROR(__xludf.DUMMYFUNCTION("""COMPUTED_VALUE"""),"Gómez Gómez")</f>
        <v>Gómez Gómez</v>
      </c>
      <c r="F219" s="6" t="str">
        <f>IFERROR(__xludf.DUMMYFUNCTION("""COMPUTED_VALUE"""),"Condominio Casas de Campo Casa 26 - Calle 23ANte No19 - 47")</f>
        <v>Condominio Casas de Campo Casa 26 - Calle 23ANte No19 - 47</v>
      </c>
      <c r="G219" s="12" t="str">
        <f>IFERROR(__xludf.DUMMYFUNCTION("""COMPUTED_VALUE"""),"2019")</f>
        <v>2019</v>
      </c>
      <c r="H219" s="6" t="str">
        <f>IFERROR(__xludf.DUMMYFUNCTION("""COMPUTED_VALUE"""),"Octubre")</f>
        <v>Octubre</v>
      </c>
      <c r="I219" s="12" t="str">
        <f>IFERROR(__xludf.DUMMYFUNCTION("""COMPUTED_VALUE"""),"3")</f>
        <v>3</v>
      </c>
      <c r="J219" s="6" t="str">
        <f>IFERROR(__xludf.DUMMYFUNCTION("""COMPUTED_VALUE"""),"Armenia")</f>
        <v>Armenia</v>
      </c>
      <c r="K219" s="6" t="str">
        <f>IFERROR(__xludf.DUMMYFUNCTION("""COMPUTED_VALUE"""),"juanm.g2038@gi.edu.co")</f>
        <v>juanm.g2038@gi.edu.co</v>
      </c>
      <c r="L219" s="6" t="str">
        <f>IFERROR(__xludf.DUMMYFUNCTION("""COMPUTED_VALUE"""),"RC")</f>
        <v>RC</v>
      </c>
      <c r="M219" s="6" t="str">
        <f>IFERROR(__xludf.DUMMYFUNCTION("""COMPUTED_VALUE"""),"Armenia")</f>
        <v>Armenia</v>
      </c>
      <c r="N219" s="6" t="str">
        <f>IFERROR(__xludf.DUMMYFUNCTION("""COMPUTED_VALUE"""),"M")</f>
        <v>M</v>
      </c>
      <c r="O219" s="6" t="str">
        <f>IFERROR(__xludf.DUMMYFUNCTION("""COMPUTED_VALUE"""),"ACTIVE")</f>
        <v>ACTIVE</v>
      </c>
      <c r="P219" s="6"/>
      <c r="Q219" s="6" t="str">
        <f>IFERROR(__xludf.DUMMYFUNCTION("""COMPUTED_VALUE"""),"Armenia")</f>
        <v>Armenia</v>
      </c>
      <c r="R219" s="12" t="str">
        <f>IFERROR(__xludf.DUMMYFUNCTION("""COMPUTED_VALUE"""),"Giw479hu*")</f>
        <v>Giw479hu*</v>
      </c>
      <c r="S219" s="6" t="str">
        <f>IFERROR(__xludf.DUMMYFUNCTION("""COMPUTED_VALUE"""),"Gómez Gómez Juan Martín")</f>
        <v>Gómez Gómez Juan Martín</v>
      </c>
      <c r="T219" s="6" t="str">
        <f>IFERROR(__xludf.DUMMYFUNCTION("""COMPUTED_VALUE"""),"ANGÉLICA MARIA GÓMEZ LEAL")</f>
        <v>ANGÉLICA MARIA GÓMEZ LEAL</v>
      </c>
      <c r="U219" s="12" t="str">
        <f>IFERROR(__xludf.DUMMYFUNCTION("""COMPUTED_VALUE"""),"38793176")</f>
        <v>38793176</v>
      </c>
      <c r="V219" s="6">
        <f>IFERROR(__xludf.DUMMYFUNCTION("""COMPUTED_VALUE"""),3.137166445E9)</f>
        <v>3137166445</v>
      </c>
      <c r="W219" s="6" t="str">
        <f>IFERROR(__xludf.DUMMYFUNCTION("""COMPUTED_VALUE"""),"nelson.gomez@gomvi.com")</f>
        <v>nelson.gomez@gomvi.com</v>
      </c>
      <c r="X219" s="12" t="str">
        <f>IFERROR(__xludf.DUMMYFUNCTION("""COMPUTED_VALUE"""),"AB+")</f>
        <v>AB+</v>
      </c>
      <c r="Y219" s="12" t="str">
        <f>IFERROR(__xludf.DUMMYFUNCTION("""COMPUTED_VALUE"""),"1")</f>
        <v>1</v>
      </c>
      <c r="Z219" s="12">
        <f>IFERROR(__xludf.DUMMYFUNCTION("""COMPUTED_VALUE"""),120178.0)</f>
        <v>120178</v>
      </c>
      <c r="AA219" s="6" t="str">
        <f>IFERROR(__xludf.DUMMYFUNCTION("""COMPUTED_VALUE"""),"SURA")</f>
        <v>SURA</v>
      </c>
      <c r="AB219" s="6"/>
      <c r="AC219" s="6"/>
      <c r="AD219" s="12" t="str">
        <f>IFERROR(__xludf.DUMMYFUNCTION("""COMPUTED_VALUE"""),"1C")</f>
        <v>1C</v>
      </c>
      <c r="AE219" s="12">
        <f>IFERROR(__xludf.DUMMYFUNCTION("""COMPUTED_VALUE"""),1.345282186E9)</f>
        <v>1345282186</v>
      </c>
      <c r="AF219" s="6"/>
      <c r="AG219" s="12" t="str">
        <f>IFERROR(__xludf.DUMMYFUNCTION("""COMPUTED_VALUE"""),"Angélica")</f>
        <v>Angélica</v>
      </c>
      <c r="AH219" s="12" t="str">
        <f>IFERROR(__xludf.DUMMYFUNCTION("""COMPUTED_VALUE"""),"María")</f>
        <v>María</v>
      </c>
      <c r="AI219" s="6" t="str">
        <f>IFERROR(__xludf.DUMMYFUNCTION("""COMPUTED_VALUE"""),"Gómez Leal")</f>
        <v>Gómez Leal</v>
      </c>
      <c r="AJ219" s="6" t="str">
        <f>IFERROR(__xludf.DUMMYFUNCTION("""COMPUTED_VALUE"""),"angelica.gomvi@gmail.com")</f>
        <v>angelica.gomvi@gmail.com</v>
      </c>
      <c r="AK219" s="6" t="str">
        <f>IFERROR(__xludf.DUMMYFUNCTION("""COMPUTED_VALUE"""),"Comerciante")</f>
        <v>Comerciante</v>
      </c>
      <c r="AL219" s="6" t="str">
        <f>IFERROR(__xludf.DUMMYFUNCTION("""COMPUTED_VALUE"""),"Gomvi Fashion")</f>
        <v>Gomvi Fashion</v>
      </c>
      <c r="AM219" s="12" t="str">
        <f>IFERROR(__xludf.DUMMYFUNCTION("""COMPUTED_VALUE"""),"38793176")</f>
        <v>38793176</v>
      </c>
      <c r="AN219" s="12" t="str">
        <f>IFERROR(__xludf.DUMMYFUNCTION("""COMPUTED_VALUE"""),"3137166445")</f>
        <v>3137166445</v>
      </c>
      <c r="AO219" s="6" t="str">
        <f>IFERROR(__xludf.DUMMYFUNCTION("""COMPUTED_VALUE"""),"Madre")</f>
        <v>Madre</v>
      </c>
      <c r="AP219" s="6" t="str">
        <f>IFERROR(__xludf.DUMMYFUNCTION("""COMPUTED_VALUE"""),"Estudiante(s): Gómez Gómez")</f>
        <v>Estudiante(s): Gómez Gómez</v>
      </c>
      <c r="AQ219" s="6" t="str">
        <f>IFERROR(__xludf.DUMMYFUNCTION("""COMPUTED_VALUE"""),"103013*Gi")</f>
        <v>103013*Gi</v>
      </c>
      <c r="AR219" s="6" t="str">
        <f>IFERROR(__xludf.DUMMYFUNCTION("""COMPUTED_VALUE"""),"Nelson")</f>
        <v>Nelson</v>
      </c>
      <c r="AS219" s="6" t="str">
        <f>IFERROR(__xludf.DUMMYFUNCTION("""COMPUTED_VALUE"""),"Alexander")</f>
        <v>Alexander</v>
      </c>
      <c r="AT219" s="6" t="str">
        <f>IFERROR(__xludf.DUMMYFUNCTION("""COMPUTED_VALUE"""),"Gomez Villegas")</f>
        <v>Gomez Villegas</v>
      </c>
      <c r="AU219" s="6" t="str">
        <f>IFERROR(__xludf.DUMMYFUNCTION("""COMPUTED_VALUE"""),"nelson.gomez@gomvi.com")</f>
        <v>nelson.gomez@gomvi.com</v>
      </c>
      <c r="AV219" s="6" t="str">
        <f>IFERROR(__xludf.DUMMYFUNCTION("""COMPUTED_VALUE"""),"Comerciante")</f>
        <v>Comerciante</v>
      </c>
      <c r="AW219" s="6" t="str">
        <f>IFERROR(__xludf.DUMMYFUNCTION("""COMPUTED_VALUE"""),"Gomvi Company Sas")</f>
        <v>Gomvi Company Sas</v>
      </c>
      <c r="AX219" s="12" t="str">
        <f>IFERROR(__xludf.DUMMYFUNCTION("""COMPUTED_VALUE"""),"71784701")</f>
        <v>71784701</v>
      </c>
      <c r="AY219" s="12" t="str">
        <f>IFERROR(__xludf.DUMMYFUNCTION("""COMPUTED_VALUE"""),"3206935933")</f>
        <v>3206935933</v>
      </c>
      <c r="AZ219" s="6" t="str">
        <f>IFERROR(__xludf.DUMMYFUNCTION("""COMPUTED_VALUE"""),"Padre")</f>
        <v>Padre</v>
      </c>
      <c r="BA219" s="6"/>
      <c r="BB219" s="6"/>
      <c r="BC219" s="6"/>
      <c r="BD219" s="12" t="str">
        <f>IFERROR(__xludf.DUMMYFUNCTION("""COMPUTED_VALUE"""),"gme0015")</f>
        <v>gme0015</v>
      </c>
      <c r="BE219" s="6"/>
      <c r="BF219" s="6"/>
      <c r="BG219" s="6">
        <f>IFERROR(__xludf.DUMMYFUNCTION("""COMPUTED_VALUE"""),2038.0)</f>
        <v>2038</v>
      </c>
      <c r="BH219" s="15">
        <f>IFERROR(__xludf.DUMMYFUNCTION("""COMPUTED_VALUE"""),46206.19594907408)</f>
        <v>46206.19595</v>
      </c>
      <c r="BI219" s="6">
        <f>IFERROR(__xludf.DUMMYFUNCTION("""COMPUTED_VALUE"""),218.0)</f>
        <v>218</v>
      </c>
      <c r="BJ219" s="6"/>
      <c r="BK219" s="6"/>
      <c r="BL219" s="6" t="str">
        <f>IFERROR(__xludf.DUMMYFUNCTION("""COMPUTED_VALUE"""),"GISGME0015")</f>
        <v>GISGME0015</v>
      </c>
      <c r="BM219" s="6"/>
      <c r="BN219" s="6"/>
      <c r="BO219" s="6"/>
      <c r="BP219" s="6" t="str">
        <f>IFERROR(__xludf.DUMMYFUNCTION("""COMPUTED_VALUE"""),"XC_1_Futbol_M")</f>
        <v>XC_1_Futbol_M</v>
      </c>
      <c r="BQ219" s="6"/>
      <c r="BR219" s="6"/>
      <c r="BS219" s="6" t="str">
        <f>IFERROR(__xludf.DUMMYFUNCTION("""COMPUTED_VALUE"""),"XC_1_Futbol_M")</f>
        <v>XC_1_Futbol_M</v>
      </c>
      <c r="BT219" s="6" t="str">
        <f>IFERROR(__xludf.DUMMYFUNCTION("""COMPUTED_VALUE"""),"XC_1_Futbol_M")</f>
        <v>XC_1_Futbol_M</v>
      </c>
      <c r="BU219" s="6" t="str">
        <f>IFERROR(__xludf.DUMMYFUNCTION("""COMPUTED_VALUE"""),"SI")</f>
        <v>SI</v>
      </c>
      <c r="BV219" s="6" t="str">
        <f>IFERROR(__xludf.DUMMYFUNCTION("""COMPUTED_VALUE"""),"juanm.g2038")</f>
        <v>juanm.g2038</v>
      </c>
      <c r="BW219" s="6"/>
      <c r="BX219" s="6"/>
      <c r="BY219" s="6"/>
      <c r="BZ219" s="6"/>
    </row>
    <row r="220">
      <c r="A220" s="12">
        <f>IFERROR(__xludf.DUMMYFUNCTION("""COMPUTED_VALUE"""),1.096672335E9)</f>
        <v>1096672335</v>
      </c>
      <c r="B220" s="6">
        <f>IFERROR(__xludf.DUMMYFUNCTION("""COMPUTED_VALUE"""),8.0)</f>
        <v>8</v>
      </c>
      <c r="C220" s="6" t="str">
        <f>IFERROR(__xludf.DUMMYFUNCTION("""COMPUTED_VALUE"""),"Emilio")</f>
        <v>Emilio</v>
      </c>
      <c r="D220" s="6"/>
      <c r="E220" s="6" t="str">
        <f>IFERROR(__xludf.DUMMYFUNCTION("""COMPUTED_VALUE"""),"Hoyos Barreneche")</f>
        <v>Hoyos Barreneche</v>
      </c>
      <c r="F220" s="6" t="str">
        <f>IFERROR(__xludf.DUMMYFUNCTION("""COMPUTED_VALUE"""),"Rancho la Soledad Casa 29 Etapa 2 - Km 1 Via Montenegro Armenia")</f>
        <v>Rancho la Soledad Casa 29 Etapa 2 - Km 1 Via Montenegro Armenia</v>
      </c>
      <c r="G220" s="12" t="str">
        <f>IFERROR(__xludf.DUMMYFUNCTION("""COMPUTED_VALUE"""),"2020")</f>
        <v>2020</v>
      </c>
      <c r="H220" s="6" t="str">
        <f>IFERROR(__xludf.DUMMYFUNCTION("""COMPUTED_VALUE"""),"Octubre")</f>
        <v>Octubre</v>
      </c>
      <c r="I220" s="12" t="str">
        <f>IFERROR(__xludf.DUMMYFUNCTION("""COMPUTED_VALUE"""),"30")</f>
        <v>30</v>
      </c>
      <c r="J220" s="6" t="str">
        <f>IFERROR(__xludf.DUMMYFUNCTION("""COMPUTED_VALUE"""),"Armenia")</f>
        <v>Armenia</v>
      </c>
      <c r="K220" s="6" t="str">
        <f>IFERROR(__xludf.DUMMYFUNCTION("""COMPUTED_VALUE"""),"emilio.h2038@gi.edu.co")</f>
        <v>emilio.h2038@gi.edu.co</v>
      </c>
      <c r="L220" s="6" t="str">
        <f>IFERROR(__xludf.DUMMYFUNCTION("""COMPUTED_VALUE"""),"RC")</f>
        <v>RC</v>
      </c>
      <c r="M220" s="6" t="str">
        <f>IFERROR(__xludf.DUMMYFUNCTION("""COMPUTED_VALUE"""),"Montenegro")</f>
        <v>Montenegro</v>
      </c>
      <c r="N220" s="6" t="str">
        <f>IFERROR(__xludf.DUMMYFUNCTION("""COMPUTED_VALUE"""),"M")</f>
        <v>M</v>
      </c>
      <c r="O220" s="6" t="str">
        <f>IFERROR(__xludf.DUMMYFUNCTION("""COMPUTED_VALUE"""),"ACTIVE")</f>
        <v>ACTIVE</v>
      </c>
      <c r="P220" s="6"/>
      <c r="Q220" s="6" t="str">
        <f>IFERROR(__xludf.DUMMYFUNCTION("""COMPUTED_VALUE"""),"Montenegro")</f>
        <v>Montenegro</v>
      </c>
      <c r="R220" s="12" t="str">
        <f>IFERROR(__xludf.DUMMYFUNCTION("""COMPUTED_VALUE"""),"G1-2s4g*")</f>
        <v>G1-2s4g*</v>
      </c>
      <c r="S220" s="6" t="str">
        <f>IFERROR(__xludf.DUMMYFUNCTION("""COMPUTED_VALUE"""),"Hoyos Barreneche Emilio ")</f>
        <v>Hoyos Barreneche Emilio </v>
      </c>
      <c r="T220" s="6" t="str">
        <f>IFERROR(__xludf.DUMMYFUNCTION("""COMPUTED_VALUE"""),"ALEJANDRO HOYOS VALLEJO")</f>
        <v>ALEJANDRO HOYOS VALLEJO</v>
      </c>
      <c r="U220" s="12" t="str">
        <f>IFERROR(__xludf.DUMMYFUNCTION("""COMPUTED_VALUE"""),"9728656")</f>
        <v>9728656</v>
      </c>
      <c r="V220" s="6">
        <f>IFERROR(__xludf.DUMMYFUNCTION("""COMPUTED_VALUE"""),3.155691556E9)</f>
        <v>3155691556</v>
      </c>
      <c r="W220" s="6" t="str">
        <f>IFERROR(__xludf.DUMMYFUNCTION("""COMPUTED_VALUE"""),"ahoyosv@gmail.com")</f>
        <v>ahoyosv@gmail.com</v>
      </c>
      <c r="X220" s="12" t="str">
        <f>IFERROR(__xludf.DUMMYFUNCTION("""COMPUTED_VALUE"""),"A+")</f>
        <v>A+</v>
      </c>
      <c r="Y220" s="12" t="str">
        <f>IFERROR(__xludf.DUMMYFUNCTION("""COMPUTED_VALUE"""),"1")</f>
        <v>1</v>
      </c>
      <c r="Z220" s="12">
        <f>IFERROR(__xludf.DUMMYFUNCTION("""COMPUTED_VALUE"""),120302.0)</f>
        <v>120302</v>
      </c>
      <c r="AA220" s="6" t="str">
        <f>IFERROR(__xludf.DUMMYFUNCTION("""COMPUTED_VALUE"""),"SURA")</f>
        <v>SURA</v>
      </c>
      <c r="AB220" s="6"/>
      <c r="AC220" s="6"/>
      <c r="AD220" s="12" t="str">
        <f>IFERROR(__xludf.DUMMYFUNCTION("""COMPUTED_VALUE"""),"1C")</f>
        <v>1C</v>
      </c>
      <c r="AE220" s="12">
        <f>IFERROR(__xludf.DUMMYFUNCTION("""COMPUTED_VALUE"""),1.345282296E9)</f>
        <v>1345282296</v>
      </c>
      <c r="AF220" s="6"/>
      <c r="AG220" s="12" t="str">
        <f>IFERROR(__xludf.DUMMYFUNCTION("""COMPUTED_VALUE"""),"Marcela")</f>
        <v>Marcela</v>
      </c>
      <c r="AH220" s="6"/>
      <c r="AI220" s="6" t="str">
        <f>IFERROR(__xludf.DUMMYFUNCTION("""COMPUTED_VALUE"""),"Barreneche Zuleta")</f>
        <v>Barreneche Zuleta</v>
      </c>
      <c r="AJ220" s="6" t="str">
        <f>IFERROR(__xludf.DUMMYFUNCTION("""COMPUTED_VALUE"""),"barrenechemarcela@yahoo.com")</f>
        <v>barrenechemarcela@yahoo.com</v>
      </c>
      <c r="AK220" s="6" t="str">
        <f>IFERROR(__xludf.DUMMYFUNCTION("""COMPUTED_VALUE"""),"ADMINISTRADORA DE EMPRESAS")</f>
        <v>ADMINISTRADORA DE EMPRESAS</v>
      </c>
      <c r="AL220" s="6" t="str">
        <f>IFERROR(__xludf.DUMMYFUNCTION("""COMPUTED_VALUE"""),"LINEA DIRECTA")</f>
        <v>LINEA DIRECTA</v>
      </c>
      <c r="AM220" s="12" t="str">
        <f>IFERROR(__xludf.DUMMYFUNCTION("""COMPUTED_VALUE"""),"1094889674")</f>
        <v>1094889674</v>
      </c>
      <c r="AN220" s="12" t="str">
        <f>IFERROR(__xludf.DUMMYFUNCTION("""COMPUTED_VALUE"""),"3104034530")</f>
        <v>3104034530</v>
      </c>
      <c r="AO220" s="6" t="str">
        <f>IFERROR(__xludf.DUMMYFUNCTION("""COMPUTED_VALUE"""),"Madre")</f>
        <v>Madre</v>
      </c>
      <c r="AP220" s="6" t="str">
        <f>IFERROR(__xludf.DUMMYFUNCTION("""COMPUTED_VALUE"""),"Estudiante(s): Hoyos Barreneche")</f>
        <v>Estudiante(s): Hoyos Barreneche</v>
      </c>
      <c r="AQ220" s="6" t="str">
        <f>IFERROR(__xludf.DUMMYFUNCTION("""COMPUTED_VALUE"""),"120022*Gi")</f>
        <v>120022*Gi</v>
      </c>
      <c r="AR220" s="6" t="str">
        <f>IFERROR(__xludf.DUMMYFUNCTION("""COMPUTED_VALUE"""),"Alejandro")</f>
        <v>Alejandro</v>
      </c>
      <c r="AS220" s="6"/>
      <c r="AT220" s="6" t="str">
        <f>IFERROR(__xludf.DUMMYFUNCTION("""COMPUTED_VALUE"""),"Hoyos Vallejo")</f>
        <v>Hoyos Vallejo</v>
      </c>
      <c r="AU220" s="6" t="str">
        <f>IFERROR(__xludf.DUMMYFUNCTION("""COMPUTED_VALUE"""),"ahoyosv@gmail.com")</f>
        <v>ahoyosv@gmail.com</v>
      </c>
      <c r="AV220" s="6" t="str">
        <f>IFERROR(__xludf.DUMMYFUNCTION("""COMPUTED_VALUE"""),"ARQUITECTO")</f>
        <v>ARQUITECTO</v>
      </c>
      <c r="AW220" s="6"/>
      <c r="AX220" s="12" t="str">
        <f>IFERROR(__xludf.DUMMYFUNCTION("""COMPUTED_VALUE"""),"9728656")</f>
        <v>9728656</v>
      </c>
      <c r="AY220" s="12" t="str">
        <f>IFERROR(__xludf.DUMMYFUNCTION("""COMPUTED_VALUE"""),"3155691556")</f>
        <v>3155691556</v>
      </c>
      <c r="AZ220" s="6" t="str">
        <f>IFERROR(__xludf.DUMMYFUNCTION("""COMPUTED_VALUE"""),"Padre")</f>
        <v>Padre</v>
      </c>
      <c r="BA220" s="6"/>
      <c r="BB220" s="6"/>
      <c r="BC220" s="6"/>
      <c r="BD220" s="12" t="str">
        <f>IFERROR(__xludf.DUMMYFUNCTION("""COMPUTED_VALUE"""),"hoy0001")</f>
        <v>hoy0001</v>
      </c>
      <c r="BE220" s="6"/>
      <c r="BF220" s="6"/>
      <c r="BG220" s="6">
        <f>IFERROR(__xludf.DUMMYFUNCTION("""COMPUTED_VALUE"""),2038.0)</f>
        <v>2038</v>
      </c>
      <c r="BH220" s="15">
        <f>IFERROR(__xludf.DUMMYFUNCTION("""COMPUTED_VALUE"""),46204.550104166665)</f>
        <v>46204.5501</v>
      </c>
      <c r="BI220" s="6">
        <f>IFERROR(__xludf.DUMMYFUNCTION("""COMPUTED_VALUE"""),219.0)</f>
        <v>219</v>
      </c>
      <c r="BJ220" s="6"/>
      <c r="BK220" s="6"/>
      <c r="BL220" s="6" t="str">
        <f>IFERROR(__xludf.DUMMYFUNCTION("""COMPUTED_VALUE"""),"GISHOY0001")</f>
        <v>GISHOY0001</v>
      </c>
      <c r="BM220" s="6"/>
      <c r="BN220" s="6"/>
      <c r="BO220" s="6"/>
      <c r="BP220" s="6" t="str">
        <f>IFERROR(__xludf.DUMMYFUNCTION("""COMPUTED_VALUE"""),"XC_EL_Taekwondo")</f>
        <v>XC_EL_Taekwondo</v>
      </c>
      <c r="BQ220" s="6" t="str">
        <f>IFERROR(__xludf.DUMMYFUNCTION("""COMPUTED_VALUE"""),"XC_EL_Taekwondo")</f>
        <v>XC_EL_Taekwondo</v>
      </c>
      <c r="BR220" s="6"/>
      <c r="BS220" s="6" t="str">
        <f>IFERROR(__xludf.DUMMYFUNCTION("""COMPUTED_VALUE"""),"XC_EL_Taekwondo")</f>
        <v>XC_EL_Taekwondo</v>
      </c>
      <c r="BT220" s="6"/>
      <c r="BU220" s="6" t="str">
        <f>IFERROR(__xludf.DUMMYFUNCTION("""COMPUTED_VALUE"""),"SI")</f>
        <v>SI</v>
      </c>
      <c r="BV220" s="6" t="str">
        <f>IFERROR(__xludf.DUMMYFUNCTION("""COMPUTED_VALUE"""),"emilio.h2038")</f>
        <v>emilio.h2038</v>
      </c>
      <c r="BW220" s="6"/>
      <c r="BX220" s="6"/>
      <c r="BY220" s="6"/>
      <c r="BZ220" s="6"/>
    </row>
    <row r="221">
      <c r="A221" s="12">
        <f>IFERROR(__xludf.DUMMYFUNCTION("""COMPUTED_VALUE"""),1.108260612E9)</f>
        <v>1108260612</v>
      </c>
      <c r="B221" s="6">
        <f>IFERROR(__xludf.DUMMYFUNCTION("""COMPUTED_VALUE"""),9.0)</f>
        <v>9</v>
      </c>
      <c r="C221" s="6" t="str">
        <f>IFERROR(__xludf.DUMMYFUNCTION("""COMPUTED_VALUE"""),"Mariana")</f>
        <v>Mariana</v>
      </c>
      <c r="D221" s="6"/>
      <c r="E221" s="6" t="str">
        <f>IFERROR(__xludf.DUMMYFUNCTION("""COMPUTED_VALUE"""),"Manzanera Suárez")</f>
        <v>Manzanera Suárez</v>
      </c>
      <c r="F221" s="6" t="str">
        <f>IFERROR(__xludf.DUMMYFUNCTION("""COMPUTED_VALUE"""),"Condominio Pradera Boreal Casa 29 - Km. 5 Via Armenia Pereira")</f>
        <v>Condominio Pradera Boreal Casa 29 - Km. 5 Via Armenia Pereira</v>
      </c>
      <c r="G221" s="12" t="str">
        <f>IFERROR(__xludf.DUMMYFUNCTION("""COMPUTED_VALUE"""),"2020")</f>
        <v>2020</v>
      </c>
      <c r="H221" s="6" t="str">
        <f>IFERROR(__xludf.DUMMYFUNCTION("""COMPUTED_VALUE"""),"Agosto")</f>
        <v>Agosto</v>
      </c>
      <c r="I221" s="12" t="str">
        <f>IFERROR(__xludf.DUMMYFUNCTION("""COMPUTED_VALUE"""),"20")</f>
        <v>20</v>
      </c>
      <c r="J221" s="6" t="str">
        <f>IFERROR(__xludf.DUMMYFUNCTION("""COMPUTED_VALUE"""),"Cali")</f>
        <v>Cali</v>
      </c>
      <c r="K221" s="6" t="str">
        <f>IFERROR(__xludf.DUMMYFUNCTION("""COMPUTED_VALUE"""),"mariana.m2038@gi.edu.co")</f>
        <v>mariana.m2038@gi.edu.co</v>
      </c>
      <c r="L221" s="6" t="str">
        <f>IFERROR(__xludf.DUMMYFUNCTION("""COMPUTED_VALUE"""),"RC")</f>
        <v>RC</v>
      </c>
      <c r="M221" s="6" t="str">
        <f>IFERROR(__xludf.DUMMYFUNCTION("""COMPUTED_VALUE"""),"Cali")</f>
        <v>Cali</v>
      </c>
      <c r="N221" s="6" t="str">
        <f>IFERROR(__xludf.DUMMYFUNCTION("""COMPUTED_VALUE"""),"F")</f>
        <v>F</v>
      </c>
      <c r="O221" s="6" t="str">
        <f>IFERROR(__xludf.DUMMYFUNCTION("""COMPUTED_VALUE"""),"ACTIVE")</f>
        <v>ACTIVE</v>
      </c>
      <c r="P221" s="6"/>
      <c r="Q221" s="6" t="str">
        <f>IFERROR(__xludf.DUMMYFUNCTION("""COMPUTED_VALUE"""),"Circasia")</f>
        <v>Circasia</v>
      </c>
      <c r="R221" s="12" t="str">
        <f>IFERROR(__xludf.DUMMYFUNCTION("""COMPUTED_VALUE"""),"Gis6f89*")</f>
        <v>Gis6f89*</v>
      </c>
      <c r="S221" s="6" t="str">
        <f>IFERROR(__xludf.DUMMYFUNCTION("""COMPUTED_VALUE"""),"Manzanera Suárez Mariana ")</f>
        <v>Manzanera Suárez Mariana </v>
      </c>
      <c r="T221" s="6" t="str">
        <f>IFERROR(__xludf.DUMMYFUNCTION("""COMPUTED_VALUE"""),"RICARDO MANZANERA BLEL")</f>
        <v>RICARDO MANZANERA BLEL</v>
      </c>
      <c r="U221" s="12" t="str">
        <f>IFERROR(__xludf.DUMMYFUNCTION("""COMPUTED_VALUE"""),"72357262")</f>
        <v>72357262</v>
      </c>
      <c r="V221" s="6">
        <f>IFERROR(__xludf.DUMMYFUNCTION("""COMPUTED_VALUE"""),3.124737507E9)</f>
        <v>3124737507</v>
      </c>
      <c r="W221" s="6" t="str">
        <f>IFERROR(__xludf.DUMMYFUNCTION("""COMPUTED_VALUE"""),"rmanzablel@hotmail.com")</f>
        <v>rmanzablel@hotmail.com</v>
      </c>
      <c r="X221" s="12" t="str">
        <f>IFERROR(__xludf.DUMMYFUNCTION("""COMPUTED_VALUE"""),"O+")</f>
        <v>O+</v>
      </c>
      <c r="Y221" s="12" t="str">
        <f>IFERROR(__xludf.DUMMYFUNCTION("""COMPUTED_VALUE"""),"1")</f>
        <v>1</v>
      </c>
      <c r="Z221" s="12">
        <f>IFERROR(__xludf.DUMMYFUNCTION("""COMPUTED_VALUE"""),120238.0)</f>
        <v>120238</v>
      </c>
      <c r="AA221" s="6" t="str">
        <f>IFERROR(__xludf.DUMMYFUNCTION("""COMPUTED_VALUE"""),"SURA")</f>
        <v>SURA</v>
      </c>
      <c r="AB221" s="6"/>
      <c r="AC221" s="6"/>
      <c r="AD221" s="12" t="str">
        <f>IFERROR(__xludf.DUMMYFUNCTION("""COMPUTED_VALUE"""),"1C")</f>
        <v>1C</v>
      </c>
      <c r="AE221" s="12">
        <f>IFERROR(__xludf.DUMMYFUNCTION("""COMPUTED_VALUE"""),1.345282259E9)</f>
        <v>1345282259</v>
      </c>
      <c r="AF221" s="6"/>
      <c r="AG221" s="12" t="str">
        <f>IFERROR(__xludf.DUMMYFUNCTION("""COMPUTED_VALUE"""),"Maria ")</f>
        <v>Maria </v>
      </c>
      <c r="AH221" s="12" t="str">
        <f>IFERROR(__xludf.DUMMYFUNCTION("""COMPUTED_VALUE"""),"Camila")</f>
        <v>Camila</v>
      </c>
      <c r="AI221" s="6" t="str">
        <f>IFERROR(__xludf.DUMMYFUNCTION("""COMPUTED_VALUE"""),"Suárez Mejía")</f>
        <v>Suárez Mejía</v>
      </c>
      <c r="AJ221" s="6" t="str">
        <f>IFERROR(__xludf.DUMMYFUNCTION("""COMPUTED_VALUE"""),"mila_suarez@hotmail.com")</f>
        <v>mila_suarez@hotmail.com</v>
      </c>
      <c r="AK221" s="6" t="str">
        <f>IFERROR(__xludf.DUMMYFUNCTION("""COMPUTED_VALUE"""),"Psicologa")</f>
        <v>Psicologa</v>
      </c>
      <c r="AL221" s="6"/>
      <c r="AM221" s="12" t="str">
        <f>IFERROR(__xludf.DUMMYFUNCTION("""COMPUTED_VALUE"""),"41963061")</f>
        <v>41963061</v>
      </c>
      <c r="AN221" s="12" t="str">
        <f>IFERROR(__xludf.DUMMYFUNCTION("""COMPUTED_VALUE"""),"3148949388")</f>
        <v>3148949388</v>
      </c>
      <c r="AO221" s="6" t="str">
        <f>IFERROR(__xludf.DUMMYFUNCTION("""COMPUTED_VALUE"""),"Madre")</f>
        <v>Madre</v>
      </c>
      <c r="AP221" s="6" t="str">
        <f>IFERROR(__xludf.DUMMYFUNCTION("""COMPUTED_VALUE"""),"Estudiante(s): Manzanera Suárez")</f>
        <v>Estudiante(s): Manzanera Suárez</v>
      </c>
      <c r="AQ221" s="6" t="str">
        <f>IFERROR(__xludf.DUMMYFUNCTION("""COMPUTED_VALUE"""),"120238*Gi")</f>
        <v>120238*Gi</v>
      </c>
      <c r="AR221" s="6" t="str">
        <f>IFERROR(__xludf.DUMMYFUNCTION("""COMPUTED_VALUE"""),"Ricardo")</f>
        <v>Ricardo</v>
      </c>
      <c r="AS221" s="6"/>
      <c r="AT221" s="6" t="str">
        <f>IFERROR(__xludf.DUMMYFUNCTION("""COMPUTED_VALUE"""),"Manzanera Blel")</f>
        <v>Manzanera Blel</v>
      </c>
      <c r="AU221" s="6" t="str">
        <f>IFERROR(__xludf.DUMMYFUNCTION("""COMPUTED_VALUE"""),"rmanzablel@hotmail.com")</f>
        <v>rmanzablel@hotmail.com</v>
      </c>
      <c r="AV221" s="6" t="str">
        <f>IFERROR(__xludf.DUMMYFUNCTION("""COMPUTED_VALUE"""),"Piloto")</f>
        <v>Piloto</v>
      </c>
      <c r="AW221" s="6" t="str">
        <f>IFERROR(__xludf.DUMMYFUNCTION("""COMPUTED_VALUE"""),"Avianca")</f>
        <v>Avianca</v>
      </c>
      <c r="AX221" s="12" t="str">
        <f>IFERROR(__xludf.DUMMYFUNCTION("""COMPUTED_VALUE"""),"72357262")</f>
        <v>72357262</v>
      </c>
      <c r="AY221" s="12">
        <f>IFERROR(__xludf.DUMMYFUNCTION("""COMPUTED_VALUE"""),3.124737507E9)</f>
        <v>3124737507</v>
      </c>
      <c r="AZ221" s="6" t="str">
        <f>IFERROR(__xludf.DUMMYFUNCTION("""COMPUTED_VALUE"""),"Padre")</f>
        <v>Padre</v>
      </c>
      <c r="BA221" s="6"/>
      <c r="BB221" s="6"/>
      <c r="BC221" s="6"/>
      <c r="BD221" s="12" t="str">
        <f>IFERROR(__xludf.DUMMYFUNCTION("""COMPUTED_VALUE"""),"man0004")</f>
        <v>man0004</v>
      </c>
      <c r="BE221" s="6"/>
      <c r="BF221" s="6"/>
      <c r="BG221" s="6">
        <f>IFERROR(__xludf.DUMMYFUNCTION("""COMPUTED_VALUE"""),2038.0)</f>
        <v>2038</v>
      </c>
      <c r="BH221" s="15">
        <f>IFERROR(__xludf.DUMMYFUNCTION("""COMPUTED_VALUE"""),46211.51787037037)</f>
        <v>46211.51787</v>
      </c>
      <c r="BI221" s="6">
        <f>IFERROR(__xludf.DUMMYFUNCTION("""COMPUTED_VALUE"""),220.0)</f>
        <v>220</v>
      </c>
      <c r="BJ221" s="6"/>
      <c r="BK221" s="6"/>
      <c r="BL221" s="6" t="str">
        <f>IFERROR(__xludf.DUMMYFUNCTION("""COMPUTED_VALUE"""),"GISMAN0004")</f>
        <v>GISMAN0004</v>
      </c>
      <c r="BM221" s="6"/>
      <c r="BN221" s="6"/>
      <c r="BO221" s="6"/>
      <c r="BP221" s="6" t="str">
        <f>IFERROR(__xludf.DUMMYFUNCTION("""COMPUTED_VALUE"""),"XC_1_Voleibol")</f>
        <v>XC_1_Voleibol</v>
      </c>
      <c r="BQ221" s="6"/>
      <c r="BR221" s="6"/>
      <c r="BS221" s="6" t="str">
        <f>IFERROR(__xludf.DUMMYFUNCTION("""COMPUTED_VALUE"""),"XC_1_Voleibol")</f>
        <v>XC_1_Voleibol</v>
      </c>
      <c r="BT221" s="6" t="str">
        <f>IFERROR(__xludf.DUMMYFUNCTION("""COMPUTED_VALUE"""),"XC_1_Voleibol")</f>
        <v>XC_1_Voleibol</v>
      </c>
      <c r="BU221" s="6" t="str">
        <f>IFERROR(__xludf.DUMMYFUNCTION("""COMPUTED_VALUE"""),"SI")</f>
        <v>SI</v>
      </c>
      <c r="BV221" s="6" t="str">
        <f>IFERROR(__xludf.DUMMYFUNCTION("""COMPUTED_VALUE"""),"mariana.m2038")</f>
        <v>mariana.m2038</v>
      </c>
      <c r="BW221" s="6"/>
      <c r="BX221" s="6"/>
      <c r="BY221" s="6"/>
      <c r="BZ221" s="6"/>
    </row>
    <row r="222">
      <c r="A222" s="12">
        <f>IFERROR(__xludf.DUMMYFUNCTION("""COMPUTED_VALUE"""),1.021515275E9)</f>
        <v>1021515275</v>
      </c>
      <c r="B222" s="6">
        <f>IFERROR(__xludf.DUMMYFUNCTION("""COMPUTED_VALUE"""),10.0)</f>
        <v>10</v>
      </c>
      <c r="C222" s="6" t="str">
        <f>IFERROR(__xludf.DUMMYFUNCTION("""COMPUTED_VALUE"""),"Agustín")</f>
        <v>Agustín</v>
      </c>
      <c r="D222" s="6"/>
      <c r="E222" s="6" t="str">
        <f>IFERROR(__xludf.DUMMYFUNCTION("""COMPUTED_VALUE"""),"Méndez Reyes")</f>
        <v>Méndez Reyes</v>
      </c>
      <c r="F222" s="6" t="str">
        <f>IFERROR(__xludf.DUMMYFUNCTION("""COMPUTED_VALUE"""),"Conjunto Campestre Ananda Casa 29- Km 4 Via La Tebaida El Caimo")</f>
        <v>Conjunto Campestre Ananda Casa 29- Km 4 Via La Tebaida El Caimo</v>
      </c>
      <c r="G222" s="12" t="str">
        <f>IFERROR(__xludf.DUMMYFUNCTION("""COMPUTED_VALUE"""),"2020")</f>
        <v>2020</v>
      </c>
      <c r="H222" s="6" t="str">
        <f>IFERROR(__xludf.DUMMYFUNCTION("""COMPUTED_VALUE"""),"Agosto")</f>
        <v>Agosto</v>
      </c>
      <c r="I222" s="12" t="str">
        <f>IFERROR(__xludf.DUMMYFUNCTION("""COMPUTED_VALUE"""),"27")</f>
        <v>27</v>
      </c>
      <c r="J222" s="6" t="str">
        <f>IFERROR(__xludf.DUMMYFUNCTION("""COMPUTED_VALUE"""),"Bogotá D.C.")</f>
        <v>Bogotá D.C.</v>
      </c>
      <c r="K222" s="6" t="str">
        <f>IFERROR(__xludf.DUMMYFUNCTION("""COMPUTED_VALUE"""),"agustin.m2038@gi.edu.co")</f>
        <v>agustin.m2038@gi.edu.co</v>
      </c>
      <c r="L222" s="6" t="str">
        <f>IFERROR(__xludf.DUMMYFUNCTION("""COMPUTED_VALUE"""),"RC")</f>
        <v>RC</v>
      </c>
      <c r="M222" s="6" t="str">
        <f>IFERROR(__xludf.DUMMYFUNCTION("""COMPUTED_VALUE"""),"Bogotá D.C.")</f>
        <v>Bogotá D.C.</v>
      </c>
      <c r="N222" s="6" t="str">
        <f>IFERROR(__xludf.DUMMYFUNCTION("""COMPUTED_VALUE"""),"M")</f>
        <v>M</v>
      </c>
      <c r="O222" s="6" t="str">
        <f>IFERROR(__xludf.DUMMYFUNCTION("""COMPUTED_VALUE"""),"INACTIVE")</f>
        <v>INACTIVE</v>
      </c>
      <c r="P222" s="6"/>
      <c r="Q222" s="6" t="str">
        <f>IFERROR(__xludf.DUMMYFUNCTION("""COMPUTED_VALUE"""),"Armenia")</f>
        <v>Armenia</v>
      </c>
      <c r="R222" s="12" t="str">
        <f>IFERROR(__xludf.DUMMYFUNCTION("""COMPUTED_VALUE"""),"Giw6438*")</f>
        <v>Giw6438*</v>
      </c>
      <c r="S222" s="6" t="str">
        <f>IFERROR(__xludf.DUMMYFUNCTION("""COMPUTED_VALUE"""),"Méndez Reyes Agustín ")</f>
        <v>Méndez Reyes Agustín </v>
      </c>
      <c r="T222" s="6" t="str">
        <f>IFERROR(__xludf.DUMMYFUNCTION("""COMPUTED_VALUE"""),"JUAN SEBASTIAN MENDEZ ALZATE")</f>
        <v>JUAN SEBASTIAN MENDEZ ALZATE</v>
      </c>
      <c r="U222" s="12" t="str">
        <f>IFERROR(__xludf.DUMMYFUNCTION("""COMPUTED_VALUE"""),"14621904")</f>
        <v>14621904</v>
      </c>
      <c r="V222" s="6">
        <f>IFERROR(__xludf.DUMMYFUNCTION("""COMPUTED_VALUE"""),3.016004332E9)</f>
        <v>3016004332</v>
      </c>
      <c r="W222" s="6" t="str">
        <f>IFERROR(__xludf.DUMMYFUNCTION("""COMPUTED_VALUE"""),"juan_sebastian_mendez@hotmail.com")</f>
        <v>juan_sebastian_mendez@hotmail.com</v>
      </c>
      <c r="X222" s="12" t="str">
        <f>IFERROR(__xludf.DUMMYFUNCTION("""COMPUTED_VALUE"""),"O+")</f>
        <v>O+</v>
      </c>
      <c r="Y222" s="12" t="str">
        <f>IFERROR(__xludf.DUMMYFUNCTION("""COMPUTED_VALUE"""),"1")</f>
        <v>1</v>
      </c>
      <c r="Z222" s="12">
        <f>IFERROR(__xludf.DUMMYFUNCTION("""COMPUTED_VALUE"""),120376.0)</f>
        <v>120376</v>
      </c>
      <c r="AA222" s="6" t="str">
        <f>IFERROR(__xludf.DUMMYFUNCTION("""COMPUTED_VALUE"""),"SANITAS")</f>
        <v>SANITAS</v>
      </c>
      <c r="AB222" s="6"/>
      <c r="AC222" s="12" t="str">
        <f>IFERROR(__xludf.DUMMYFUNCTION("""COMPUTED_VALUE"""),"Amoxicilina")</f>
        <v>Amoxicilina</v>
      </c>
      <c r="AD222" s="12" t="str">
        <f>IFERROR(__xludf.DUMMYFUNCTION("""COMPUTED_VALUE"""),"1C")</f>
        <v>1C</v>
      </c>
      <c r="AE222" s="12" t="str">
        <f>IFERROR(__xludf.DUMMYFUNCTION("""COMPUTED_VALUE"""),"1345282380")</f>
        <v>1345282380</v>
      </c>
      <c r="AF222" s="6"/>
      <c r="AG222" s="12" t="str">
        <f>IFERROR(__xludf.DUMMYFUNCTION("""COMPUTED_VALUE"""),"Alejandra")</f>
        <v>Alejandra</v>
      </c>
      <c r="AH222" s="6"/>
      <c r="AI222" s="6" t="str">
        <f>IFERROR(__xludf.DUMMYFUNCTION("""COMPUTED_VALUE"""),"Reyes Martínez")</f>
        <v>Reyes Martínez</v>
      </c>
      <c r="AJ222" s="6" t="str">
        <f>IFERROR(__xludf.DUMMYFUNCTION("""COMPUTED_VALUE"""),"aleja_reyes_martinez@hotmail.com")</f>
        <v>aleja_reyes_martinez@hotmail.com</v>
      </c>
      <c r="AK222" s="6" t="str">
        <f>IFERROR(__xludf.DUMMYFUNCTION("""COMPUTED_VALUE"""),"Profesional en Finanzas")</f>
        <v>Profesional en Finanzas</v>
      </c>
      <c r="AL222" s="6" t="str">
        <f>IFERROR(__xludf.DUMMYFUNCTION("""COMPUTED_VALUE"""),"Nokia Solutions Ltda")</f>
        <v>Nokia Solutions Ltda</v>
      </c>
      <c r="AM222" s="12" t="str">
        <f>IFERROR(__xludf.DUMMYFUNCTION("""COMPUTED_VALUE"""),"52999391")</f>
        <v>52999391</v>
      </c>
      <c r="AN222" s="12" t="str">
        <f>IFERROR(__xludf.DUMMYFUNCTION("""COMPUTED_VALUE"""),"3124579322")</f>
        <v>3124579322</v>
      </c>
      <c r="AO222" s="6" t="str">
        <f>IFERROR(__xludf.DUMMYFUNCTION("""COMPUTED_VALUE"""),"Madre")</f>
        <v>Madre</v>
      </c>
      <c r="AP222" s="6" t="str">
        <f>IFERROR(__xludf.DUMMYFUNCTION("""COMPUTED_VALUE"""),"Estudiante(s): Mendez Reyes")</f>
        <v>Estudiante(s): Mendez Reyes</v>
      </c>
      <c r="AQ222" s="6" t="str">
        <f>IFERROR(__xludf.DUMMYFUNCTION("""COMPUTED_VALUE"""),"120376*Gi")</f>
        <v>120376*Gi</v>
      </c>
      <c r="AR222" s="6" t="str">
        <f>IFERROR(__xludf.DUMMYFUNCTION("""COMPUTED_VALUE"""),"Juan")</f>
        <v>Juan</v>
      </c>
      <c r="AS222" s="6" t="str">
        <f>IFERROR(__xludf.DUMMYFUNCTION("""COMPUTED_VALUE"""),"Sebastián")</f>
        <v>Sebastián</v>
      </c>
      <c r="AT222" s="6" t="str">
        <f>IFERROR(__xludf.DUMMYFUNCTION("""COMPUTED_VALUE"""),"Méndez Alzate")</f>
        <v>Méndez Alzate</v>
      </c>
      <c r="AU222" s="6" t="str">
        <f>IFERROR(__xludf.DUMMYFUNCTION("""COMPUTED_VALUE"""),"juan_sebastian_mendez@hotmail.com")</f>
        <v>juan_sebastian_mendez@hotmail.com</v>
      </c>
      <c r="AV222" s="6" t="str">
        <f>IFERROR(__xludf.DUMMYFUNCTION("""COMPUTED_VALUE"""),"Ingeniero Industrial")</f>
        <v>Ingeniero Industrial</v>
      </c>
      <c r="AW222" s="6" t="str">
        <f>IFERROR(__xludf.DUMMYFUNCTION("""COMPUTED_VALUE"""),"Avaltitulos SAS")</f>
        <v>Avaltitulos SAS</v>
      </c>
      <c r="AX222" s="12" t="str">
        <f>IFERROR(__xludf.DUMMYFUNCTION("""COMPUTED_VALUE"""),"14621904")</f>
        <v>14621904</v>
      </c>
      <c r="AY222" s="12">
        <f>IFERROR(__xludf.DUMMYFUNCTION("""COMPUTED_VALUE"""),3.016004332E9)</f>
        <v>3016004332</v>
      </c>
      <c r="AZ222" s="6" t="str">
        <f>IFERROR(__xludf.DUMMYFUNCTION("""COMPUTED_VALUE"""),"Padre")</f>
        <v>Padre</v>
      </c>
      <c r="BA222" s="6"/>
      <c r="BB222" s="6"/>
      <c r="BC222" s="6"/>
      <c r="BD222" s="12" t="str">
        <f>IFERROR(__xludf.DUMMYFUNCTION("""COMPUTED_VALUE"""),"men0001")</f>
        <v>men0001</v>
      </c>
      <c r="BE222" s="6" t="str">
        <f>IFERROR(__xludf.DUMMYFUNCTION("""COMPUTED_VALUE"""),"FALTAN FIRMAS")</f>
        <v>FALTAN FIRMAS</v>
      </c>
      <c r="BF222" s="6"/>
      <c r="BG222" s="6">
        <f>IFERROR(__xludf.DUMMYFUNCTION("""COMPUTED_VALUE"""),2038.0)</f>
        <v>2038</v>
      </c>
      <c r="BH222" s="15">
        <f>IFERROR(__xludf.DUMMYFUNCTION("""COMPUTED_VALUE"""),46212.68503472222)</f>
        <v>46212.68503</v>
      </c>
      <c r="BI222" s="6">
        <f>IFERROR(__xludf.DUMMYFUNCTION("""COMPUTED_VALUE"""),221.0)</f>
        <v>221</v>
      </c>
      <c r="BJ222" s="6"/>
      <c r="BK222" s="6"/>
      <c r="BL222" s="6" t="str">
        <f>IFERROR(__xludf.DUMMYFUNCTION("""COMPUTED_VALUE"""),"GISMEN0001")</f>
        <v>GISMEN0001</v>
      </c>
      <c r="BM222" s="6"/>
      <c r="BN222" s="6"/>
      <c r="BO222" s="6"/>
      <c r="BP222" s="6" t="str">
        <f>IFERROR(__xludf.DUMMYFUNCTION("""COMPUTED_VALUE"""),"XC_1_Futbol_M")</f>
        <v>XC_1_Futbol_M</v>
      </c>
      <c r="BQ222" s="6"/>
      <c r="BR222" s="6"/>
      <c r="BS222" s="6" t="str">
        <f>IFERROR(__xludf.DUMMYFUNCTION("""COMPUTED_VALUE"""),"XC_1_Futbol_M")</f>
        <v>XC_1_Futbol_M</v>
      </c>
      <c r="BT222" s="6" t="str">
        <f>IFERROR(__xludf.DUMMYFUNCTION("""COMPUTED_VALUE"""),"XC_1_Futbol_M")</f>
        <v>XC_1_Futbol_M</v>
      </c>
      <c r="BU222" s="6" t="str">
        <f>IFERROR(__xludf.DUMMYFUNCTION("""COMPUTED_VALUE"""),"SI")</f>
        <v>SI</v>
      </c>
      <c r="BV222" s="6" t="str">
        <f>IFERROR(__xludf.DUMMYFUNCTION("""COMPUTED_VALUE"""),"agustin.m2038")</f>
        <v>agustin.m2038</v>
      </c>
      <c r="BW222" s="6"/>
      <c r="BX222" s="6"/>
      <c r="BY222" s="6"/>
      <c r="BZ222" s="6"/>
    </row>
    <row r="223">
      <c r="A223" s="12">
        <f>IFERROR(__xludf.DUMMYFUNCTION("""COMPUTED_VALUE"""),1.092863713E9)</f>
        <v>1092863713</v>
      </c>
      <c r="B223" s="6">
        <f>IFERROR(__xludf.DUMMYFUNCTION("""COMPUTED_VALUE"""),11.0)</f>
        <v>11</v>
      </c>
      <c r="C223" s="6" t="str">
        <f>IFERROR(__xludf.DUMMYFUNCTION("""COMPUTED_VALUE"""),"María")</f>
        <v>María</v>
      </c>
      <c r="D223" s="6" t="str">
        <f>IFERROR(__xludf.DUMMYFUNCTION("""COMPUTED_VALUE"""),"Antonia")</f>
        <v>Antonia</v>
      </c>
      <c r="E223" s="6" t="str">
        <f>IFERROR(__xludf.DUMMYFUNCTION("""COMPUTED_VALUE"""),"Muñoz Pacheco")</f>
        <v>Muñoz Pacheco</v>
      </c>
      <c r="F223" s="6" t="str">
        <f>IFERROR(__xludf.DUMMYFUNCTION("""COMPUTED_VALUE"""),"CALLE 26 NORTE N 18-10 CASA 23 PARQUE RESIDENCIAL TERRANOVA - PARQUE RESIDENCIAL TERRANOVA")</f>
        <v>CALLE 26 NORTE N 18-10 CASA 23 PARQUE RESIDENCIAL TERRANOVA - PARQUE RESIDENCIAL TERRANOVA</v>
      </c>
      <c r="G223" s="12">
        <f>IFERROR(__xludf.DUMMYFUNCTION("""COMPUTED_VALUE"""),2019.0)</f>
        <v>2019</v>
      </c>
      <c r="H223" s="12" t="str">
        <f>IFERROR(__xludf.DUMMYFUNCTION("""COMPUTED_VALUE"""),"Diciembre")</f>
        <v>Diciembre</v>
      </c>
      <c r="I223" s="12">
        <f>IFERROR(__xludf.DUMMYFUNCTION("""COMPUTED_VALUE"""),7.0)</f>
        <v>7</v>
      </c>
      <c r="J223" s="6"/>
      <c r="K223" s="12" t="str">
        <f>IFERROR(__xludf.DUMMYFUNCTION("""COMPUTED_VALUE"""),"mariaantonia.m2038@gi.edu.co")</f>
        <v>mariaantonia.m2038@gi.edu.co</v>
      </c>
      <c r="L223" s="6" t="str">
        <f>IFERROR(__xludf.DUMMYFUNCTION("""COMPUTED_VALUE"""),"RC")</f>
        <v>RC</v>
      </c>
      <c r="M223" s="6" t="str">
        <f>IFERROR(__xludf.DUMMYFUNCTION("""COMPUTED_VALUE"""),"Armenia")</f>
        <v>Armenia</v>
      </c>
      <c r="N223" s="6" t="str">
        <f>IFERROR(__xludf.DUMMYFUNCTION("""COMPUTED_VALUE"""),"F")</f>
        <v>F</v>
      </c>
      <c r="O223" s="6" t="str">
        <f>IFERROR(__xludf.DUMMYFUNCTION("""COMPUTED_VALUE"""),"ACTIVE")</f>
        <v>ACTIVE</v>
      </c>
      <c r="P223" s="6"/>
      <c r="Q223" s="6"/>
      <c r="R223" s="12" t="str">
        <f>IFERROR(__xludf.DUMMYFUNCTION("""COMPUTED_VALUE"""),"GiN5Tk8P*")</f>
        <v>GiN5Tk8P*</v>
      </c>
      <c r="S223" s="6" t="str">
        <f>IFERROR(__xludf.DUMMYFUNCTION("""COMPUTED_VALUE"""),"Muñoz Pacheco María Antonia")</f>
        <v>Muñoz Pacheco María Antonia</v>
      </c>
      <c r="T223" s="6" t="str">
        <f>IFERROR(__xludf.DUMMYFUNCTION("""COMPUTED_VALUE"""),"JULIAN DAVID MUNOZ SALGADO")</f>
        <v>JULIAN DAVID MUNOZ SALGADO</v>
      </c>
      <c r="U223" s="12" t="str">
        <f>IFERROR(__xludf.DUMMYFUNCTION("""COMPUTED_VALUE"""),"9739804")</f>
        <v>9739804</v>
      </c>
      <c r="V223" s="6">
        <f>IFERROR(__xludf.DUMMYFUNCTION("""COMPUTED_VALUE"""),3.113000135E9)</f>
        <v>3113000135</v>
      </c>
      <c r="W223" s="6" t="str">
        <f>IFERROR(__xludf.DUMMYFUNCTION("""COMPUTED_VALUE"""),"jdmunozz@hotmail.com")</f>
        <v>jdmunozz@hotmail.com</v>
      </c>
      <c r="X223" s="12" t="str">
        <f>IFERROR(__xludf.DUMMYFUNCTION("""COMPUTED_VALUE"""),"O-")</f>
        <v>O-</v>
      </c>
      <c r="Y223" s="12" t="str">
        <f>IFERROR(__xludf.DUMMYFUNCTION("""COMPUTED_VALUE"""),"1")</f>
        <v>1</v>
      </c>
      <c r="Z223" s="6">
        <f>IFERROR(__xludf.DUMMYFUNCTION("""COMPUTED_VALUE"""),120616.0)</f>
        <v>120616</v>
      </c>
      <c r="AA223" s="6" t="str">
        <f>IFERROR(__xludf.DUMMYFUNCTION("""COMPUTED_VALUE"""),"SURA")</f>
        <v>SURA</v>
      </c>
      <c r="AB223" s="6"/>
      <c r="AC223" s="6"/>
      <c r="AD223" s="12" t="str">
        <f>IFERROR(__xludf.DUMMYFUNCTION("""COMPUTED_VALUE"""),"1C")</f>
        <v>1C</v>
      </c>
      <c r="AE223" s="12" t="str">
        <f>IFERROR(__xludf.DUMMYFUNCTION("""COMPUTED_VALUE"""),"1345282613")</f>
        <v>1345282613</v>
      </c>
      <c r="AF223" s="6"/>
      <c r="AG223" s="12" t="str">
        <f>IFERROR(__xludf.DUMMYFUNCTION("""COMPUTED_VALUE"""),"Diana")</f>
        <v>Diana</v>
      </c>
      <c r="AH223" s="12" t="str">
        <f>IFERROR(__xludf.DUMMYFUNCTION("""COMPUTED_VALUE"""),"Yamile")</f>
        <v>Yamile</v>
      </c>
      <c r="AI223" s="6" t="str">
        <f>IFERROR(__xludf.DUMMYFUNCTION("""COMPUTED_VALUE"""),"Pacheco Aguirre")</f>
        <v>Pacheco Aguirre</v>
      </c>
      <c r="AJ223" s="6" t="str">
        <f>IFERROR(__xludf.DUMMYFUNCTION("""COMPUTED_VALUE"""),"diana.pachecoped@gmail.com")</f>
        <v>diana.pachecoped@gmail.com</v>
      </c>
      <c r="AK223" s="6" t="str">
        <f>IFERROR(__xludf.DUMMYFUNCTION("""COMPUTED_VALUE"""),"PEDIATRA")</f>
        <v>PEDIATRA</v>
      </c>
      <c r="AL223" s="6"/>
      <c r="AM223" s="12" t="str">
        <f>IFERROR(__xludf.DUMMYFUNCTION("""COMPUTED_VALUE"""),"41960836")</f>
        <v>41960836</v>
      </c>
      <c r="AN223" s="12" t="str">
        <f>IFERROR(__xludf.DUMMYFUNCTION("""COMPUTED_VALUE"""),"3116266161")</f>
        <v>3116266161</v>
      </c>
      <c r="AO223" s="6" t="str">
        <f>IFERROR(__xludf.DUMMYFUNCTION("""COMPUTED_VALUE"""),"Madre")</f>
        <v>Madre</v>
      </c>
      <c r="AP223" s="6" t="str">
        <f>IFERROR(__xludf.DUMMYFUNCTION("""COMPUTED_VALUE"""),"Estudiante(s): Muñoz Pacheco")</f>
        <v>Estudiante(s): Muñoz Pacheco</v>
      </c>
      <c r="AQ223" s="6" t="str">
        <f>IFERROR(__xludf.DUMMYFUNCTION("""COMPUTED_VALUE"""),"120616*Gi")</f>
        <v>120616*Gi</v>
      </c>
      <c r="AR223" s="6" t="str">
        <f>IFERROR(__xludf.DUMMYFUNCTION("""COMPUTED_VALUE"""),"Julián")</f>
        <v>Julián</v>
      </c>
      <c r="AS223" s="6" t="str">
        <f>IFERROR(__xludf.DUMMYFUNCTION("""COMPUTED_VALUE"""),"David")</f>
        <v>David</v>
      </c>
      <c r="AT223" s="6" t="str">
        <f>IFERROR(__xludf.DUMMYFUNCTION("""COMPUTED_VALUE"""),"Muñoz Salgado")</f>
        <v>Muñoz Salgado</v>
      </c>
      <c r="AU223" s="6" t="str">
        <f>IFERROR(__xludf.DUMMYFUNCTION("""COMPUTED_VALUE"""),"jdmunozz@hotmail.com")</f>
        <v>jdmunozz@hotmail.com</v>
      </c>
      <c r="AV223" s="6" t="str">
        <f>IFERROR(__xludf.DUMMYFUNCTION("""COMPUTED_VALUE"""),"ABOGADO")</f>
        <v>ABOGADO</v>
      </c>
      <c r="AW223" s="6"/>
      <c r="AX223" s="12" t="str">
        <f>IFERROR(__xludf.DUMMYFUNCTION("""COMPUTED_VALUE"""),"9739804")</f>
        <v>9739804</v>
      </c>
      <c r="AY223" s="12" t="str">
        <f>IFERROR(__xludf.DUMMYFUNCTION("""COMPUTED_VALUE"""),"3113000135")</f>
        <v>3113000135</v>
      </c>
      <c r="AZ223" s="6" t="str">
        <f>IFERROR(__xludf.DUMMYFUNCTION("""COMPUTED_VALUE"""),"Padre")</f>
        <v>Padre</v>
      </c>
      <c r="BA223" s="6"/>
      <c r="BB223" s="6"/>
      <c r="BC223" s="6"/>
      <c r="BD223" s="12" t="str">
        <f>IFERROR(__xludf.DUMMYFUNCTION("""COMPUTED_VALUE"""),"mun0004")</f>
        <v>mun0004</v>
      </c>
      <c r="BE223" s="6" t="str">
        <f>IFERROR(__xludf.DUMMYFUNCTION("""COMPUTED_VALUE"""),"NUEVO(A)")</f>
        <v>NUEVO(A)</v>
      </c>
      <c r="BF223" s="6"/>
      <c r="BG223" s="6">
        <f>IFERROR(__xludf.DUMMYFUNCTION("""COMPUTED_VALUE"""),2038.0)</f>
        <v>2038</v>
      </c>
      <c r="BH223" s="15">
        <f>IFERROR(__xludf.DUMMYFUNCTION("""COMPUTED_VALUE"""),46196.344293981485)</f>
        <v>46196.34429</v>
      </c>
      <c r="BI223" s="6">
        <f>IFERROR(__xludf.DUMMYFUNCTION("""COMPUTED_VALUE"""),222.0)</f>
        <v>222</v>
      </c>
      <c r="BJ223" s="6"/>
      <c r="BK223" s="6"/>
      <c r="BL223" s="6" t="str">
        <f>IFERROR(__xludf.DUMMYFUNCTION("""COMPUTED_VALUE"""),"GISMUN0004")</f>
        <v>GISMUN0004</v>
      </c>
      <c r="BM223" s="6"/>
      <c r="BN223" s="6"/>
      <c r="BO223" s="6" t="str">
        <f>IFERROR(__xludf.DUMMYFUNCTION("""COMPUTED_VALUE"""),"XC_EL_ArtesPlasticas")</f>
        <v>XC_EL_ArtesPlasticas</v>
      </c>
      <c r="BP223" s="6"/>
      <c r="BQ223" s="6"/>
      <c r="BR223" s="6"/>
      <c r="BS223" s="6"/>
      <c r="BT223" s="6"/>
      <c r="BU223" s="6" t="str">
        <f>IFERROR(__xludf.DUMMYFUNCTION("""COMPUTED_VALUE"""),"SI")</f>
        <v>SI</v>
      </c>
      <c r="BV223" s="12" t="str">
        <f>IFERROR(__xludf.DUMMYFUNCTION("""COMPUTED_VALUE"""),"mariaantonia.m2038")</f>
        <v>mariaantonia.m2038</v>
      </c>
      <c r="BW223" s="6"/>
      <c r="BX223" s="6"/>
      <c r="BY223" s="6"/>
      <c r="BZ223" s="6"/>
    </row>
    <row r="224">
      <c r="A224" s="12">
        <f>IFERROR(__xludf.DUMMYFUNCTION("""COMPUTED_VALUE"""),1.092863862E9)</f>
        <v>1092863862</v>
      </c>
      <c r="B224" s="6">
        <f>IFERROR(__xludf.DUMMYFUNCTION("""COMPUTED_VALUE"""),12.0)</f>
        <v>12</v>
      </c>
      <c r="C224" s="6" t="str">
        <f>IFERROR(__xludf.DUMMYFUNCTION("""COMPUTED_VALUE"""),"Leticia")</f>
        <v>Leticia</v>
      </c>
      <c r="D224" s="6"/>
      <c r="E224" s="6" t="str">
        <f>IFERROR(__xludf.DUMMYFUNCTION("""COMPUTED_VALUE"""),"Ocampo Jiménez")</f>
        <v>Ocampo Jiménez</v>
      </c>
      <c r="F224" s="6" t="str">
        <f>IFERROR(__xludf.DUMMYFUNCTION("""COMPUTED_VALUE"""),"Parque Residencial Altos Del Rio Casa 63 - Calle 41 No36 - 110")</f>
        <v>Parque Residencial Altos Del Rio Casa 63 - Calle 41 No36 - 110</v>
      </c>
      <c r="G224" s="12" t="str">
        <f>IFERROR(__xludf.DUMMYFUNCTION("""COMPUTED_VALUE"""),"2020")</f>
        <v>2020</v>
      </c>
      <c r="H224" s="6" t="str">
        <f>IFERROR(__xludf.DUMMYFUNCTION("""COMPUTED_VALUE"""),"Enero")</f>
        <v>Enero</v>
      </c>
      <c r="I224" s="12" t="str">
        <f>IFERROR(__xludf.DUMMYFUNCTION("""COMPUTED_VALUE"""),"22")</f>
        <v>22</v>
      </c>
      <c r="J224" s="6" t="str">
        <f>IFERROR(__xludf.DUMMYFUNCTION("""COMPUTED_VALUE"""),"Armenia")</f>
        <v>Armenia</v>
      </c>
      <c r="K224" s="6" t="str">
        <f>IFERROR(__xludf.DUMMYFUNCTION("""COMPUTED_VALUE"""),"leticia.o2038@gi.edu.co")</f>
        <v>leticia.o2038@gi.edu.co</v>
      </c>
      <c r="L224" s="6" t="str">
        <f>IFERROR(__xludf.DUMMYFUNCTION("""COMPUTED_VALUE"""),"RC")</f>
        <v>RC</v>
      </c>
      <c r="M224" s="6" t="str">
        <f>IFERROR(__xludf.DUMMYFUNCTION("""COMPUTED_VALUE"""),"Armenia")</f>
        <v>Armenia</v>
      </c>
      <c r="N224" s="6" t="str">
        <f>IFERROR(__xludf.DUMMYFUNCTION("""COMPUTED_VALUE"""),"F")</f>
        <v>F</v>
      </c>
      <c r="O224" s="6" t="str">
        <f>IFERROR(__xludf.DUMMYFUNCTION("""COMPUTED_VALUE"""),"ACTIVE")</f>
        <v>ACTIVE</v>
      </c>
      <c r="P224" s="6"/>
      <c r="Q224" s="6" t="str">
        <f>IFERROR(__xludf.DUMMYFUNCTION("""COMPUTED_VALUE"""),"Armenia")</f>
        <v>Armenia</v>
      </c>
      <c r="R224" s="12" t="str">
        <f>IFERROR(__xludf.DUMMYFUNCTION("""COMPUTED_VALUE"""),"Gi6cndj*")</f>
        <v>Gi6cndj*</v>
      </c>
      <c r="S224" s="6" t="str">
        <f>IFERROR(__xludf.DUMMYFUNCTION("""COMPUTED_VALUE"""),"Ocampo Jiménez Leticia ")</f>
        <v>Ocampo Jiménez Leticia </v>
      </c>
      <c r="T224" s="6" t="str">
        <f>IFERROR(__xludf.DUMMYFUNCTION("""COMPUTED_VALUE"""),"MAURICIO OCAMPO GALEANO")</f>
        <v>MAURICIO OCAMPO GALEANO</v>
      </c>
      <c r="U224" s="12" t="str">
        <f>IFERROR(__xludf.DUMMYFUNCTION("""COMPUTED_VALUE"""),"1094895942")</f>
        <v>1094895942</v>
      </c>
      <c r="V224" s="6">
        <f>IFERROR(__xludf.DUMMYFUNCTION("""COMPUTED_VALUE"""),3.004945015E9)</f>
        <v>3004945015</v>
      </c>
      <c r="W224" s="6" t="str">
        <f>IFERROR(__xludf.DUMMYFUNCTION("""COMPUTED_VALUE"""),"mauricio.ocampo@cuatrocielos.com.co")</f>
        <v>mauricio.ocampo@cuatrocielos.com.co</v>
      </c>
      <c r="X224" s="12" t="str">
        <f>IFERROR(__xludf.DUMMYFUNCTION("""COMPUTED_VALUE"""),"O+")</f>
        <v>O+</v>
      </c>
      <c r="Y224" s="12" t="str">
        <f>IFERROR(__xludf.DUMMYFUNCTION("""COMPUTED_VALUE"""),"1")</f>
        <v>1</v>
      </c>
      <c r="Z224" s="12">
        <f>IFERROR(__xludf.DUMMYFUNCTION("""COMPUTED_VALUE"""),120282.0)</f>
        <v>120282</v>
      </c>
      <c r="AA224" s="6" t="str">
        <f>IFERROR(__xludf.DUMMYFUNCTION("""COMPUTED_VALUE"""),"SURA")</f>
        <v>SURA</v>
      </c>
      <c r="AB224" s="6"/>
      <c r="AC224" s="6"/>
      <c r="AD224" s="12" t="str">
        <f>IFERROR(__xludf.DUMMYFUNCTION("""COMPUTED_VALUE"""),"1C")</f>
        <v>1C</v>
      </c>
      <c r="AE224" s="12">
        <f>IFERROR(__xludf.DUMMYFUNCTION("""COMPUTED_VALUE"""),1.345282266E9)</f>
        <v>1345282266</v>
      </c>
      <c r="AF224" s="6"/>
      <c r="AG224" s="12" t="str">
        <f>IFERROR(__xludf.DUMMYFUNCTION("""COMPUTED_VALUE"""),"Ana")</f>
        <v>Ana</v>
      </c>
      <c r="AH224" s="12" t="str">
        <f>IFERROR(__xludf.DUMMYFUNCTION("""COMPUTED_VALUE"""),"María")</f>
        <v>María</v>
      </c>
      <c r="AI224" s="6" t="str">
        <f>IFERROR(__xludf.DUMMYFUNCTION("""COMPUTED_VALUE"""),"Jiménez Ceballos")</f>
        <v>Jiménez Ceballos</v>
      </c>
      <c r="AJ224" s="6" t="str">
        <f>IFERROR(__xludf.DUMMYFUNCTION("""COMPUTED_VALUE"""),"ana_jimenez88@hotmail.com")</f>
        <v>ana_jimenez88@hotmail.com</v>
      </c>
      <c r="AK224" s="6" t="str">
        <f>IFERROR(__xludf.DUMMYFUNCTION("""COMPUTED_VALUE"""),"DISEÑADORA CON ENFASIS EN PRODUCTO")</f>
        <v>DISEÑADORA CON ENFASIS EN PRODUCTO</v>
      </c>
      <c r="AL224" s="6" t="str">
        <f>IFERROR(__xludf.DUMMYFUNCTION("""COMPUTED_VALUE"""),"CUATROCIELOS SAS")</f>
        <v>CUATROCIELOS SAS</v>
      </c>
      <c r="AM224" s="12" t="str">
        <f>IFERROR(__xludf.DUMMYFUNCTION("""COMPUTED_VALUE"""),"1094899988")</f>
        <v>1094899988</v>
      </c>
      <c r="AN224" s="12" t="str">
        <f>IFERROR(__xludf.DUMMYFUNCTION("""COMPUTED_VALUE"""),"3155615727")</f>
        <v>3155615727</v>
      </c>
      <c r="AO224" s="6" t="str">
        <f>IFERROR(__xludf.DUMMYFUNCTION("""COMPUTED_VALUE"""),"Madre")</f>
        <v>Madre</v>
      </c>
      <c r="AP224" s="6" t="str">
        <f>IFERROR(__xludf.DUMMYFUNCTION("""COMPUTED_VALUE"""),"Estudiante(s): Ocampo Jiménez")</f>
        <v>Estudiante(s): Ocampo Jiménez</v>
      </c>
      <c r="AQ224" s="6" t="str">
        <f>IFERROR(__xludf.DUMMYFUNCTION("""COMPUTED_VALUE"""),"120282*Gi")</f>
        <v>120282*Gi</v>
      </c>
      <c r="AR224" s="6" t="str">
        <f>IFERROR(__xludf.DUMMYFUNCTION("""COMPUTED_VALUE"""),"Mauricio")</f>
        <v>Mauricio</v>
      </c>
      <c r="AS224" s="6"/>
      <c r="AT224" s="6" t="str">
        <f>IFERROR(__xludf.DUMMYFUNCTION("""COMPUTED_VALUE"""),"Ocampo Galeano")</f>
        <v>Ocampo Galeano</v>
      </c>
      <c r="AU224" s="6" t="str">
        <f>IFERROR(__xludf.DUMMYFUNCTION("""COMPUTED_VALUE"""),"mauricio.ocampo@cuatrocielos.com.co")</f>
        <v>mauricio.ocampo@cuatrocielos.com.co</v>
      </c>
      <c r="AV224" s="6" t="str">
        <f>IFERROR(__xludf.DUMMYFUNCTION("""COMPUTED_VALUE"""),"ADMINISTRADOR DE NEGOCIOS")</f>
        <v>ADMINISTRADOR DE NEGOCIOS</v>
      </c>
      <c r="AW224" s="6"/>
      <c r="AX224" s="12" t="str">
        <f>IFERROR(__xludf.DUMMYFUNCTION("""COMPUTED_VALUE"""),"1094895942")</f>
        <v>1094895942</v>
      </c>
      <c r="AY224" s="12" t="str">
        <f>IFERROR(__xludf.DUMMYFUNCTION("""COMPUTED_VALUE"""),"3004945015")</f>
        <v>3004945015</v>
      </c>
      <c r="AZ224" s="6" t="str">
        <f>IFERROR(__xludf.DUMMYFUNCTION("""COMPUTED_VALUE"""),"Padre")</f>
        <v>Padre</v>
      </c>
      <c r="BA224" s="6"/>
      <c r="BB224" s="6"/>
      <c r="BC224" s="6"/>
      <c r="BD224" s="12" t="str">
        <f>IFERROR(__xludf.DUMMYFUNCTION("""COMPUTED_VALUE"""),"oca0001")</f>
        <v>oca0001</v>
      </c>
      <c r="BE224" s="6"/>
      <c r="BF224" s="6"/>
      <c r="BG224" s="6">
        <f>IFERROR(__xludf.DUMMYFUNCTION("""COMPUTED_VALUE"""),2038.0)</f>
        <v>2038</v>
      </c>
      <c r="BH224" s="15">
        <f>IFERROR(__xludf.DUMMYFUNCTION("""COMPUTED_VALUE"""),46210.5622337963)</f>
        <v>46210.56223</v>
      </c>
      <c r="BI224" s="6">
        <f>IFERROR(__xludf.DUMMYFUNCTION("""COMPUTED_VALUE"""),223.0)</f>
        <v>223</v>
      </c>
      <c r="BJ224" s="6"/>
      <c r="BK224" s="6" t="str">
        <f>IFERROR(__xludf.DUMMYFUNCTION("""COMPUTED_VALUE"""),"Si: cronofen jarabe")</f>
        <v>Si: cronofen jarabe</v>
      </c>
      <c r="BL224" s="6" t="str">
        <f>IFERROR(__xludf.DUMMYFUNCTION("""COMPUTED_VALUE"""),"GISOCA0001")</f>
        <v>GISOCA0001</v>
      </c>
      <c r="BM224" s="6"/>
      <c r="BN224" s="6"/>
      <c r="BO224" s="6" t="str">
        <f>IFERROR(__xludf.DUMMYFUNCTION("""COMPUTED_VALUE"""),"XC_EL_TecVocal")</f>
        <v>XC_EL_TecVocal</v>
      </c>
      <c r="BP224" s="6"/>
      <c r="BQ224" s="6"/>
      <c r="BR224" s="6" t="str">
        <f>IFERROR(__xludf.DUMMYFUNCTION("""COMPUTED_VALUE"""),"XC_EL_DesaInstrumental")</f>
        <v>XC_EL_DesaInstrumental</v>
      </c>
      <c r="BS224" s="6"/>
      <c r="BT224" s="6"/>
      <c r="BU224" s="6" t="str">
        <f>IFERROR(__xludf.DUMMYFUNCTION("""COMPUTED_VALUE"""),"SI")</f>
        <v>SI</v>
      </c>
      <c r="BV224" s="6" t="str">
        <f>IFERROR(__xludf.DUMMYFUNCTION("""COMPUTED_VALUE"""),"leticia.o2038")</f>
        <v>leticia.o2038</v>
      </c>
      <c r="BW224" s="6"/>
      <c r="BX224" s="6"/>
      <c r="BY224" s="6"/>
      <c r="BZ224" s="6"/>
    </row>
    <row r="225">
      <c r="A225" s="12">
        <f>IFERROR(__xludf.DUMMYFUNCTION("""COMPUTED_VALUE"""),1.150695832E9)</f>
        <v>1150695832</v>
      </c>
      <c r="B225" s="6">
        <f>IFERROR(__xludf.DUMMYFUNCTION("""COMPUTED_VALUE"""),13.0)</f>
        <v>13</v>
      </c>
      <c r="C225" s="6" t="str">
        <f>IFERROR(__xludf.DUMMYFUNCTION("""COMPUTED_VALUE"""),"Tomás")</f>
        <v>Tomás</v>
      </c>
      <c r="D225" s="6"/>
      <c r="E225" s="6" t="str">
        <f>IFERROR(__xludf.DUMMYFUNCTION("""COMPUTED_VALUE"""),"Parra Alfonso")</f>
        <v>Parra Alfonso</v>
      </c>
      <c r="F225" s="6" t="str">
        <f>IFERROR(__xludf.DUMMYFUNCTION("""COMPUTED_VALUE"""),"Condominio Arboretum Torre 2 Apto 503 - Calle 27 Nte No5 00 Av Centenario")</f>
        <v>Condominio Arboretum Torre 2 Apto 503 - Calle 27 Nte No5 00 Av Centenario</v>
      </c>
      <c r="G225" s="12">
        <f>IFERROR(__xludf.DUMMYFUNCTION("""COMPUTED_VALUE"""),2020.0)</f>
        <v>2020</v>
      </c>
      <c r="H225" s="6" t="str">
        <f>IFERROR(__xludf.DUMMYFUNCTION("""COMPUTED_VALUE"""),"Marzo")</f>
        <v>Marzo</v>
      </c>
      <c r="I225" s="12">
        <f>IFERROR(__xludf.DUMMYFUNCTION("""COMPUTED_VALUE"""),10.0)</f>
        <v>10</v>
      </c>
      <c r="J225" s="6" t="str">
        <f>IFERROR(__xludf.DUMMYFUNCTION("""COMPUTED_VALUE"""),"Cali")</f>
        <v>Cali</v>
      </c>
      <c r="K225" s="6" t="str">
        <f>IFERROR(__xludf.DUMMYFUNCTION("""COMPUTED_VALUE"""),"tomas.p2038@gi.edu.co")</f>
        <v>tomas.p2038@gi.edu.co</v>
      </c>
      <c r="L225" s="6" t="str">
        <f>IFERROR(__xludf.DUMMYFUNCTION("""COMPUTED_VALUE"""),"RC")</f>
        <v>RC</v>
      </c>
      <c r="M225" s="6" t="str">
        <f>IFERROR(__xludf.DUMMYFUNCTION("""COMPUTED_VALUE"""),"Cali")</f>
        <v>Cali</v>
      </c>
      <c r="N225" s="6" t="str">
        <f>IFERROR(__xludf.DUMMYFUNCTION("""COMPUTED_VALUE"""),"M")</f>
        <v>M</v>
      </c>
      <c r="O225" s="6" t="str">
        <f>IFERROR(__xludf.DUMMYFUNCTION("""COMPUTED_VALUE"""),"ACTIVE")</f>
        <v>ACTIVE</v>
      </c>
      <c r="P225" s="6"/>
      <c r="Q225" s="6" t="str">
        <f>IFERROR(__xludf.DUMMYFUNCTION("""COMPUTED_VALUE"""),"Armenia")</f>
        <v>Armenia</v>
      </c>
      <c r="R225" s="12" t="str">
        <f>IFERROR(__xludf.DUMMYFUNCTION("""COMPUTED_VALUE"""),"Gitt4vd8*")</f>
        <v>Gitt4vd8*</v>
      </c>
      <c r="S225" s="6" t="str">
        <f>IFERROR(__xludf.DUMMYFUNCTION("""COMPUTED_VALUE"""),"Parra Alfonso Tomás ")</f>
        <v>Parra Alfonso Tomás </v>
      </c>
      <c r="T225" s="6" t="str">
        <f>IFERROR(__xludf.DUMMYFUNCTION("""COMPUTED_VALUE"""),"JOHANN SEBASTIAN PARRA SILVA")</f>
        <v>JOHANN SEBASTIAN PARRA SILVA</v>
      </c>
      <c r="U225" s="12" t="str">
        <f>IFERROR(__xludf.DUMMYFUNCTION("""COMPUTED_VALUE"""),"1130606245")</f>
        <v>1130606245</v>
      </c>
      <c r="V225" s="6">
        <f>IFERROR(__xludf.DUMMYFUNCTION("""COMPUTED_VALUE"""),3.186279016E9)</f>
        <v>3186279016</v>
      </c>
      <c r="W225" s="6" t="str">
        <f>IFERROR(__xludf.DUMMYFUNCTION("""COMPUTED_VALUE"""),"parra_sebastian@hotmail.com")</f>
        <v>parra_sebastian@hotmail.com</v>
      </c>
      <c r="X225" s="12" t="str">
        <f>IFERROR(__xludf.DUMMYFUNCTION("""COMPUTED_VALUE"""),"O+")</f>
        <v>O+</v>
      </c>
      <c r="Y225" s="12" t="str">
        <f>IFERROR(__xludf.DUMMYFUNCTION("""COMPUTED_VALUE"""),"1")</f>
        <v>1</v>
      </c>
      <c r="Z225" s="6">
        <f>IFERROR(__xludf.DUMMYFUNCTION("""COMPUTED_VALUE"""),120533.0)</f>
        <v>120533</v>
      </c>
      <c r="AA225" s="6"/>
      <c r="AB225" s="6"/>
      <c r="AC225" s="12" t="str">
        <f>IFERROR(__xludf.DUMMYFUNCTION("""COMPUTED_VALUE"""),"Ácaros")</f>
        <v>Ácaros</v>
      </c>
      <c r="AD225" s="12" t="str">
        <f>IFERROR(__xludf.DUMMYFUNCTION("""COMPUTED_VALUE"""),"1C")</f>
        <v>1C</v>
      </c>
      <c r="AE225" s="12" t="str">
        <f>IFERROR(__xludf.DUMMYFUNCTION("""COMPUTED_VALUE"""),"1345282532")</f>
        <v>1345282532</v>
      </c>
      <c r="AF225" s="6"/>
      <c r="AG225" s="12" t="str">
        <f>IFERROR(__xludf.DUMMYFUNCTION("""COMPUTED_VALUE"""),"María")</f>
        <v>María</v>
      </c>
      <c r="AH225" s="12" t="str">
        <f>IFERROR(__xludf.DUMMYFUNCTION("""COMPUTED_VALUE"""),"Juliana")</f>
        <v>Juliana</v>
      </c>
      <c r="AI225" s="6" t="str">
        <f>IFERROR(__xludf.DUMMYFUNCTION("""COMPUTED_VALUE"""),"Alfonso Agudelo")</f>
        <v>Alfonso Agudelo</v>
      </c>
      <c r="AJ225" s="6" t="str">
        <f>IFERROR(__xludf.DUMMYFUNCTION("""COMPUTED_VALUE"""),"mariajulialfonso@gmail.com")</f>
        <v>mariajulialfonso@gmail.com</v>
      </c>
      <c r="AK225" s="6" t="str">
        <f>IFERROR(__xludf.DUMMYFUNCTION("""COMPUTED_VALUE"""),"Comunicadora Social")</f>
        <v>Comunicadora Social</v>
      </c>
      <c r="AL225" s="6" t="str">
        <f>IFERROR(__xludf.DUMMYFUNCTION("""COMPUTED_VALUE"""),"DIDACTU SAS")</f>
        <v>DIDACTU SAS</v>
      </c>
      <c r="AM225" s="12" t="str">
        <f>IFERROR(__xludf.DUMMYFUNCTION("""COMPUTED_VALUE"""),"1130606243")</f>
        <v>1130606243</v>
      </c>
      <c r="AN225" s="12" t="str">
        <f>IFERROR(__xludf.DUMMYFUNCTION("""COMPUTED_VALUE"""),"3008797727")</f>
        <v>3008797727</v>
      </c>
      <c r="AO225" s="6" t="str">
        <f>IFERROR(__xludf.DUMMYFUNCTION("""COMPUTED_VALUE"""),"Madre")</f>
        <v>Madre</v>
      </c>
      <c r="AP225" s="6" t="str">
        <f>IFERROR(__xludf.DUMMYFUNCTION("""COMPUTED_VALUE"""),"Estudiante(s): Parra Alfonso")</f>
        <v>Estudiante(s): Parra Alfonso</v>
      </c>
      <c r="AQ225" s="6" t="str">
        <f>IFERROR(__xludf.DUMMYFUNCTION("""COMPUTED_VALUE"""),"120533*Gi")</f>
        <v>120533*Gi</v>
      </c>
      <c r="AR225" s="6" t="str">
        <f>IFERROR(__xludf.DUMMYFUNCTION("""COMPUTED_VALUE"""),"Johann")</f>
        <v>Johann</v>
      </c>
      <c r="AS225" s="6" t="str">
        <f>IFERROR(__xludf.DUMMYFUNCTION("""COMPUTED_VALUE"""),"Sebastián")</f>
        <v>Sebastián</v>
      </c>
      <c r="AT225" s="6" t="str">
        <f>IFERROR(__xludf.DUMMYFUNCTION("""COMPUTED_VALUE"""),"Parra Silva")</f>
        <v>Parra Silva</v>
      </c>
      <c r="AU225" s="6" t="str">
        <f>IFERROR(__xludf.DUMMYFUNCTION("""COMPUTED_VALUE"""),"parra_sebastian@hotmail.com")</f>
        <v>parra_sebastian@hotmail.com</v>
      </c>
      <c r="AV225" s="6" t="str">
        <f>IFERROR(__xludf.DUMMYFUNCTION("""COMPUTED_VALUE"""),"Ingeniero Industrial")</f>
        <v>Ingeniero Industrial</v>
      </c>
      <c r="AW225" s="6" t="str">
        <f>IFERROR(__xludf.DUMMYFUNCTION("""COMPUTED_VALUE"""),"DIDACTU SAS")</f>
        <v>DIDACTU SAS</v>
      </c>
      <c r="AX225" s="12" t="str">
        <f>IFERROR(__xludf.DUMMYFUNCTION("""COMPUTED_VALUE"""),"1130606245")</f>
        <v>1130606245</v>
      </c>
      <c r="AY225" s="12" t="str">
        <f>IFERROR(__xludf.DUMMYFUNCTION("""COMPUTED_VALUE"""),"3186279016")</f>
        <v>3186279016</v>
      </c>
      <c r="AZ225" s="6" t="str">
        <f>IFERROR(__xludf.DUMMYFUNCTION("""COMPUTED_VALUE"""),"Padre")</f>
        <v>Padre</v>
      </c>
      <c r="BA225" s="6"/>
      <c r="BB225" s="6"/>
      <c r="BC225" s="6"/>
      <c r="BD225" s="12" t="str">
        <f>IFERROR(__xludf.DUMMYFUNCTION("""COMPUTED_VALUE"""),"par0004")</f>
        <v>par0004</v>
      </c>
      <c r="BE225" s="6"/>
      <c r="BF225" s="6"/>
      <c r="BG225" s="6">
        <f>IFERROR(__xludf.DUMMYFUNCTION("""COMPUTED_VALUE"""),2038.0)</f>
        <v>2038</v>
      </c>
      <c r="BH225" s="15">
        <f>IFERROR(__xludf.DUMMYFUNCTION("""COMPUTED_VALUE"""),46212.65599537037)</f>
        <v>46212.656</v>
      </c>
      <c r="BI225" s="6">
        <f>IFERROR(__xludf.DUMMYFUNCTION("""COMPUTED_VALUE"""),224.0)</f>
        <v>224</v>
      </c>
      <c r="BJ225" s="6"/>
      <c r="BK225" s="6"/>
      <c r="BL225" s="6" t="str">
        <f>IFERROR(__xludf.DUMMYFUNCTION("""COMPUTED_VALUE"""),"GISPAR0004")</f>
        <v>GISPAR0004</v>
      </c>
      <c r="BM225" s="6"/>
      <c r="BN225" s="6"/>
      <c r="BO225" s="6"/>
      <c r="BP225" s="6" t="str">
        <f>IFERROR(__xludf.DUMMYFUNCTION("""COMPUTED_VALUE"""),"XC_EL_Taekwondo")</f>
        <v>XC_EL_Taekwondo</v>
      </c>
      <c r="BQ225" s="6" t="str">
        <f>IFERROR(__xludf.DUMMYFUNCTION("""COMPUTED_VALUE"""),"XC_EL_Taekwondo")</f>
        <v>XC_EL_Taekwondo</v>
      </c>
      <c r="BR225" s="6"/>
      <c r="BS225" s="6" t="str">
        <f>IFERROR(__xludf.DUMMYFUNCTION("""COMPUTED_VALUE"""),"XC_EL_Taekwondo")</f>
        <v>XC_EL_Taekwondo</v>
      </c>
      <c r="BT225" s="6"/>
      <c r="BU225" s="6" t="str">
        <f>IFERROR(__xludf.DUMMYFUNCTION("""COMPUTED_VALUE"""),"SI")</f>
        <v>SI</v>
      </c>
      <c r="BV225" s="6" t="str">
        <f>IFERROR(__xludf.DUMMYFUNCTION("""COMPUTED_VALUE"""),"tomas.p2038")</f>
        <v>tomas.p2038</v>
      </c>
      <c r="BW225" s="6"/>
      <c r="BX225" s="6"/>
      <c r="BY225" s="6"/>
      <c r="BZ225" s="6"/>
    </row>
    <row r="226">
      <c r="A226" s="12">
        <f>IFERROR(__xludf.DUMMYFUNCTION("""COMPUTED_VALUE"""),1.109568813E9)</f>
        <v>1109568813</v>
      </c>
      <c r="B226" s="6">
        <f>IFERROR(__xludf.DUMMYFUNCTION("""COMPUTED_VALUE"""),14.0)</f>
        <v>14</v>
      </c>
      <c r="C226" s="6" t="str">
        <f>IFERROR(__xludf.DUMMYFUNCTION("""COMPUTED_VALUE"""),"Macarena")</f>
        <v>Macarena</v>
      </c>
      <c r="D226" s="6"/>
      <c r="E226" s="6" t="str">
        <f>IFERROR(__xludf.DUMMYFUNCTION("""COMPUTED_VALUE"""),"Quintero Villegas")</f>
        <v>Quintero Villegas</v>
      </c>
      <c r="F226" s="6" t="str">
        <f>IFERROR(__xludf.DUMMYFUNCTION("""COMPUTED_VALUE"""),"Lagos de Iraka Casas de Campo Casa 24b - Km 12 Via Armenia - El Caimo")</f>
        <v>Lagos de Iraka Casas de Campo Casa 24b - Km 12 Via Armenia - El Caimo</v>
      </c>
      <c r="G226" s="12" t="str">
        <f>IFERROR(__xludf.DUMMYFUNCTION("""COMPUTED_VALUE"""),"2019")</f>
        <v>2019</v>
      </c>
      <c r="H226" s="6" t="str">
        <f>IFERROR(__xludf.DUMMYFUNCTION("""COMPUTED_VALUE"""),"Noviembre")</f>
        <v>Noviembre</v>
      </c>
      <c r="I226" s="12" t="str">
        <f>IFERROR(__xludf.DUMMYFUNCTION("""COMPUTED_VALUE"""),"5")</f>
        <v>5</v>
      </c>
      <c r="J226" s="6" t="str">
        <f>IFERROR(__xludf.DUMMYFUNCTION("""COMPUTED_VALUE"""),"Cali")</f>
        <v>Cali</v>
      </c>
      <c r="K226" s="6" t="str">
        <f>IFERROR(__xludf.DUMMYFUNCTION("""COMPUTED_VALUE"""),"macarena.q2038@gi.edu.co")</f>
        <v>macarena.q2038@gi.edu.co</v>
      </c>
      <c r="L226" s="6" t="str">
        <f>IFERROR(__xludf.DUMMYFUNCTION("""COMPUTED_VALUE"""),"RC")</f>
        <v>RC</v>
      </c>
      <c r="M226" s="6" t="str">
        <f>IFERROR(__xludf.DUMMYFUNCTION("""COMPUTED_VALUE"""),"Cali")</f>
        <v>Cali</v>
      </c>
      <c r="N226" s="6" t="str">
        <f>IFERROR(__xludf.DUMMYFUNCTION("""COMPUTED_VALUE"""),"F")</f>
        <v>F</v>
      </c>
      <c r="O226" s="6" t="str">
        <f>IFERROR(__xludf.DUMMYFUNCTION("""COMPUTED_VALUE"""),"ACTIVE")</f>
        <v>ACTIVE</v>
      </c>
      <c r="P226" s="6"/>
      <c r="Q226" s="6" t="str">
        <f>IFERROR(__xludf.DUMMYFUNCTION("""COMPUTED_VALUE"""),"Armenia")</f>
        <v>Armenia</v>
      </c>
      <c r="R226" s="12" t="str">
        <f>IFERROR(__xludf.DUMMYFUNCTION("""COMPUTED_VALUE"""),"Giy8c2mZ1*")</f>
        <v>Giy8c2mZ1*</v>
      </c>
      <c r="S226" s="6" t="str">
        <f>IFERROR(__xludf.DUMMYFUNCTION("""COMPUTED_VALUE"""),"Quintero Villegas Macarena ")</f>
        <v>Quintero Villegas Macarena </v>
      </c>
      <c r="T226" s="6" t="str">
        <f>IFERROR(__xludf.DUMMYFUNCTION("""COMPUTED_VALUE"""),"ALEXANDRA VILLEGAS TOBON")</f>
        <v>ALEXANDRA VILLEGAS TOBON</v>
      </c>
      <c r="U226" s="12" t="str">
        <f>IFERROR(__xludf.DUMMYFUNCTION("""COMPUTED_VALUE"""),"1130671438")</f>
        <v>1130671438</v>
      </c>
      <c r="V226" s="6">
        <f>IFERROR(__xludf.DUMMYFUNCTION("""COMPUTED_VALUE"""),3.186310384E9)</f>
        <v>3186310384</v>
      </c>
      <c r="W226" s="6" t="str">
        <f>IFERROR(__xludf.DUMMYFUNCTION("""COMPUTED_VALUE"""),"alexvt07@hotmail.com")</f>
        <v>alexvt07@hotmail.com</v>
      </c>
      <c r="X226" s="12" t="str">
        <f>IFERROR(__xludf.DUMMYFUNCTION("""COMPUTED_VALUE"""),"O+")</f>
        <v>O+</v>
      </c>
      <c r="Y226" s="12" t="str">
        <f>IFERROR(__xludf.DUMMYFUNCTION("""COMPUTED_VALUE"""),"1")</f>
        <v>1</v>
      </c>
      <c r="Z226" s="12">
        <f>IFERROR(__xludf.DUMMYFUNCTION("""COMPUTED_VALUE"""),120407.0)</f>
        <v>120407</v>
      </c>
      <c r="AA226" s="6" t="str">
        <f>IFERROR(__xludf.DUMMYFUNCTION("""COMPUTED_VALUE"""),"SURA")</f>
        <v>SURA</v>
      </c>
      <c r="AB226" s="6"/>
      <c r="AC226" s="6"/>
      <c r="AD226" s="12" t="str">
        <f>IFERROR(__xludf.DUMMYFUNCTION("""COMPUTED_VALUE"""),"1C")</f>
        <v>1C</v>
      </c>
      <c r="AE226" s="12" t="str">
        <f>IFERROR(__xludf.DUMMYFUNCTION("""COMPUTED_VALUE"""),"1345282410")</f>
        <v>1345282410</v>
      </c>
      <c r="AF226" s="6"/>
      <c r="AG226" s="12" t="str">
        <f>IFERROR(__xludf.DUMMYFUNCTION("""COMPUTED_VALUE"""),"Alexandra")</f>
        <v>Alexandra</v>
      </c>
      <c r="AH226" s="6"/>
      <c r="AI226" s="6" t="str">
        <f>IFERROR(__xludf.DUMMYFUNCTION("""COMPUTED_VALUE"""),"Villegas Tobón")</f>
        <v>Villegas Tobón</v>
      </c>
      <c r="AJ226" s="6" t="str">
        <f>IFERROR(__xludf.DUMMYFUNCTION("""COMPUTED_VALUE"""),"alexvt07@hotmail.com")</f>
        <v>alexvt07@hotmail.com</v>
      </c>
      <c r="AK226" s="6" t="str">
        <f>IFERROR(__xludf.DUMMYFUNCTION("""COMPUTED_VALUE"""),"medico internista")</f>
        <v>medico internista</v>
      </c>
      <c r="AL226" s="6" t="str">
        <f>IFERROR(__xludf.DUMMYFUNCTION("""COMPUTED_VALUE"""),"CHRISTUS SINERGIA, IDIME, COMFANDI")</f>
        <v>CHRISTUS SINERGIA, IDIME, COMFANDI</v>
      </c>
      <c r="AM226" s="12" t="str">
        <f>IFERROR(__xludf.DUMMYFUNCTION("""COMPUTED_VALUE"""),"1130671438")</f>
        <v>1130671438</v>
      </c>
      <c r="AN226" s="12" t="str">
        <f>IFERROR(__xludf.DUMMYFUNCTION("""COMPUTED_VALUE"""),"3186310384")</f>
        <v>3186310384</v>
      </c>
      <c r="AO226" s="6" t="str">
        <f>IFERROR(__xludf.DUMMYFUNCTION("""COMPUTED_VALUE"""),"Madre")</f>
        <v>Madre</v>
      </c>
      <c r="AP226" s="6" t="str">
        <f>IFERROR(__xludf.DUMMYFUNCTION("""COMPUTED_VALUE"""),"Estudiante(s): Quintero Villegas")</f>
        <v>Estudiante(s): Quintero Villegas</v>
      </c>
      <c r="AQ226" s="6" t="str">
        <f>IFERROR(__xludf.DUMMYFUNCTION("""COMPUTED_VALUE"""),"120406*Gi")</f>
        <v>120406*Gi</v>
      </c>
      <c r="AR226" s="6" t="str">
        <f>IFERROR(__xludf.DUMMYFUNCTION("""COMPUTED_VALUE"""),"Juan")</f>
        <v>Juan</v>
      </c>
      <c r="AS226" s="6" t="str">
        <f>IFERROR(__xludf.DUMMYFUNCTION("""COMPUTED_VALUE"""),"Guillermo")</f>
        <v>Guillermo</v>
      </c>
      <c r="AT226" s="6" t="str">
        <f>IFERROR(__xludf.DUMMYFUNCTION("""COMPUTED_VALUE"""),"Quintero Benitez")</f>
        <v>Quintero Benitez</v>
      </c>
      <c r="AU226" s="6" t="str">
        <f>IFERROR(__xludf.DUMMYFUNCTION("""COMPUTED_VALUE"""),"juang.quintero@hotmail.com")</f>
        <v>juang.quintero@hotmail.com</v>
      </c>
      <c r="AV226" s="6" t="str">
        <f>IFERROR(__xludf.DUMMYFUNCTION("""COMPUTED_VALUE"""),"medico internista")</f>
        <v>medico internista</v>
      </c>
      <c r="AW226" s="6" t="str">
        <f>IFERROR(__xludf.DUMMYFUNCTION("""COMPUTED_VALUE"""),"CHRISTUS SINERGIA, IDIME, COMFANDI")</f>
        <v>CHRISTUS SINERGIA, IDIME, COMFANDI</v>
      </c>
      <c r="AX226" s="12" t="str">
        <f>IFERROR(__xludf.DUMMYFUNCTION("""COMPUTED_VALUE"""),"16554133")</f>
        <v>16554133</v>
      </c>
      <c r="AY226" s="12">
        <f>IFERROR(__xludf.DUMMYFUNCTION("""COMPUTED_VALUE"""),3.206803598E9)</f>
        <v>3206803598</v>
      </c>
      <c r="AZ226" s="6" t="str">
        <f>IFERROR(__xludf.DUMMYFUNCTION("""COMPUTED_VALUE"""),"Padre")</f>
        <v>Padre</v>
      </c>
      <c r="BA226" s="6"/>
      <c r="BB226" s="6"/>
      <c r="BC226" s="6"/>
      <c r="BD226" s="12" t="str">
        <f>IFERROR(__xludf.DUMMYFUNCTION("""COMPUTED_VALUE"""),"qui0007")</f>
        <v>qui0007</v>
      </c>
      <c r="BE226" s="6"/>
      <c r="BF226" s="6"/>
      <c r="BG226" s="6">
        <f>IFERROR(__xludf.DUMMYFUNCTION("""COMPUTED_VALUE"""),2038.0)</f>
        <v>2038</v>
      </c>
      <c r="BH226" s="15">
        <f>IFERROR(__xludf.DUMMYFUNCTION("""COMPUTED_VALUE"""),46213.85668981481)</f>
        <v>46213.85669</v>
      </c>
      <c r="BI226" s="6">
        <f>IFERROR(__xludf.DUMMYFUNCTION("""COMPUTED_VALUE"""),225.0)</f>
        <v>225</v>
      </c>
      <c r="BJ226" s="6"/>
      <c r="BK226" s="6"/>
      <c r="BL226" s="6" t="str">
        <f>IFERROR(__xludf.DUMMYFUNCTION("""COMPUTED_VALUE"""),"GISQUI0007")</f>
        <v>GISQUI0007</v>
      </c>
      <c r="BM226" s="6"/>
      <c r="BN226" s="6"/>
      <c r="BO226" s="6"/>
      <c r="BP226" s="6"/>
      <c r="BQ226" s="6"/>
      <c r="BR226" s="6"/>
      <c r="BS226" s="6"/>
      <c r="BT226" s="6"/>
      <c r="BU226" s="6" t="str">
        <f>IFERROR(__xludf.DUMMYFUNCTION("""COMPUTED_VALUE"""),"SI")</f>
        <v>SI</v>
      </c>
      <c r="BV226" s="6" t="str">
        <f>IFERROR(__xludf.DUMMYFUNCTION("""COMPUTED_VALUE"""),"macarena.q2038")</f>
        <v>macarena.q2038</v>
      </c>
      <c r="BW226" s="6"/>
      <c r="BX226" s="6"/>
      <c r="BY226" s="6"/>
      <c r="BZ226" s="6"/>
    </row>
    <row r="227">
      <c r="A227" s="12">
        <f>IFERROR(__xludf.DUMMYFUNCTION("""COMPUTED_VALUE"""),1.092863678E9)</f>
        <v>1092863678</v>
      </c>
      <c r="B227" s="6">
        <f>IFERROR(__xludf.DUMMYFUNCTION("""COMPUTED_VALUE"""),15.0)</f>
        <v>15</v>
      </c>
      <c r="C227" s="6" t="str">
        <f>IFERROR(__xludf.DUMMYFUNCTION("""COMPUTED_VALUE"""),"Emilia")</f>
        <v>Emilia</v>
      </c>
      <c r="D227" s="6"/>
      <c r="E227" s="6" t="str">
        <f>IFERROR(__xludf.DUMMYFUNCTION("""COMPUTED_VALUE"""),"Rodríguez Rendón")</f>
        <v>Rodríguez Rendón</v>
      </c>
      <c r="F227" s="6" t="str">
        <f>IFERROR(__xludf.DUMMYFUNCTION("""COMPUTED_VALUE"""),"Portal de Alameda Casa 2 - Cra 19 No36Nte - 30")</f>
        <v>Portal de Alameda Casa 2 - Cra 19 No36Nte - 30</v>
      </c>
      <c r="G227" s="12" t="str">
        <f>IFERROR(__xludf.DUMMYFUNCTION("""COMPUTED_VALUE"""),"2019")</f>
        <v>2019</v>
      </c>
      <c r="H227" s="6" t="str">
        <f>IFERROR(__xludf.DUMMYFUNCTION("""COMPUTED_VALUE"""),"Noviembre")</f>
        <v>Noviembre</v>
      </c>
      <c r="I227" s="12" t="str">
        <f>IFERROR(__xludf.DUMMYFUNCTION("""COMPUTED_VALUE"""),"22")</f>
        <v>22</v>
      </c>
      <c r="J227" s="6" t="str">
        <f>IFERROR(__xludf.DUMMYFUNCTION("""COMPUTED_VALUE"""),"Armenia")</f>
        <v>Armenia</v>
      </c>
      <c r="K227" s="6" t="str">
        <f>IFERROR(__xludf.DUMMYFUNCTION("""COMPUTED_VALUE"""),"emiliar.r2038@gi.edu.co")</f>
        <v>emiliar.r2038@gi.edu.co</v>
      </c>
      <c r="L227" s="6" t="str">
        <f>IFERROR(__xludf.DUMMYFUNCTION("""COMPUTED_VALUE"""),"RC")</f>
        <v>RC</v>
      </c>
      <c r="M227" s="6" t="str">
        <f>IFERROR(__xludf.DUMMYFUNCTION("""COMPUTED_VALUE"""),"Armenia")</f>
        <v>Armenia</v>
      </c>
      <c r="N227" s="6" t="str">
        <f>IFERROR(__xludf.DUMMYFUNCTION("""COMPUTED_VALUE"""),"F")</f>
        <v>F</v>
      </c>
      <c r="O227" s="6" t="str">
        <f>IFERROR(__xludf.DUMMYFUNCTION("""COMPUTED_VALUE"""),"ACTIVE")</f>
        <v>ACTIVE</v>
      </c>
      <c r="P227" s="6"/>
      <c r="Q227" s="6" t="str">
        <f>IFERROR(__xludf.DUMMYFUNCTION("""COMPUTED_VALUE"""),"Armenia")</f>
        <v>Armenia</v>
      </c>
      <c r="R227" s="12" t="str">
        <f>IFERROR(__xludf.DUMMYFUNCTION("""COMPUTED_VALUE"""),"Gi876r45m*")</f>
        <v>Gi876r45m*</v>
      </c>
      <c r="S227" s="6" t="str">
        <f>IFERROR(__xludf.DUMMYFUNCTION("""COMPUTED_VALUE"""),"Rodríguez Rendón Emilia ")</f>
        <v>Rodríguez Rendón Emilia </v>
      </c>
      <c r="T227" s="6" t="str">
        <f>IFERROR(__xludf.DUMMYFUNCTION("""COMPUTED_VALUE"""),"LEIDY JOHANNA RENDON HENAO")</f>
        <v>LEIDY JOHANNA RENDON HENAO</v>
      </c>
      <c r="U227" s="12" t="str">
        <f>IFERROR(__xludf.DUMMYFUNCTION("""COMPUTED_VALUE"""),"1094890460")</f>
        <v>1094890460</v>
      </c>
      <c r="V227" s="6">
        <f>IFERROR(__xludf.DUMMYFUNCTION("""COMPUTED_VALUE"""),3.182745771E9)</f>
        <v>3182745771</v>
      </c>
      <c r="W227" s="6" t="str">
        <f>IFERROR(__xludf.DUMMYFUNCTION("""COMPUTED_VALUE"""),"leidyasesoratributaria@gmail.com")</f>
        <v>leidyasesoratributaria@gmail.com</v>
      </c>
      <c r="X227" s="12" t="str">
        <f>IFERROR(__xludf.DUMMYFUNCTION("""COMPUTED_VALUE"""),"A+")</f>
        <v>A+</v>
      </c>
      <c r="Y227" s="12" t="str">
        <f>IFERROR(__xludf.DUMMYFUNCTION("""COMPUTED_VALUE"""),"1")</f>
        <v>1</v>
      </c>
      <c r="Z227" s="12">
        <f>IFERROR(__xludf.DUMMYFUNCTION("""COMPUTED_VALUE"""),120213.0)</f>
        <v>120213</v>
      </c>
      <c r="AA227" s="6" t="str">
        <f>IFERROR(__xludf.DUMMYFUNCTION("""COMPUTED_VALUE"""),"SURA")</f>
        <v>SURA</v>
      </c>
      <c r="AB227" s="6"/>
      <c r="AC227" s="6"/>
      <c r="AD227" s="12" t="str">
        <f>IFERROR(__xludf.DUMMYFUNCTION("""COMPUTED_VALUE"""),"1C")</f>
        <v>1C</v>
      </c>
      <c r="AE227" s="12">
        <f>IFERROR(__xludf.DUMMYFUNCTION("""COMPUTED_VALUE"""),1.345282202E9)</f>
        <v>1345282202</v>
      </c>
      <c r="AF227" s="6"/>
      <c r="AG227" s="12" t="str">
        <f>IFERROR(__xludf.DUMMYFUNCTION("""COMPUTED_VALUE"""),"Leidy")</f>
        <v>Leidy</v>
      </c>
      <c r="AH227" s="12" t="str">
        <f>IFERROR(__xludf.DUMMYFUNCTION("""COMPUTED_VALUE"""),"Johanna")</f>
        <v>Johanna</v>
      </c>
      <c r="AI227" s="6" t="str">
        <f>IFERROR(__xludf.DUMMYFUNCTION("""COMPUTED_VALUE"""),"Rendon Henao")</f>
        <v>Rendon Henao</v>
      </c>
      <c r="AJ227" s="6" t="str">
        <f>IFERROR(__xludf.DUMMYFUNCTION("""COMPUTED_VALUE"""),"leidyasesoratributaria@gmail.com")</f>
        <v>leidyasesoratributaria@gmail.com</v>
      </c>
      <c r="AK227" s="6" t="str">
        <f>IFERROR(__xludf.DUMMYFUNCTION("""COMPUTED_VALUE"""),"Contador publico magister en administracion")</f>
        <v>Contador publico magister en administracion</v>
      </c>
      <c r="AL227" s="6"/>
      <c r="AM227" s="12" t="str">
        <f>IFERROR(__xludf.DUMMYFUNCTION("""COMPUTED_VALUE"""),"1094890460")</f>
        <v>1094890460</v>
      </c>
      <c r="AN227" s="12" t="str">
        <f>IFERROR(__xludf.DUMMYFUNCTION("""COMPUTED_VALUE"""),"3182745771")</f>
        <v>3182745771</v>
      </c>
      <c r="AO227" s="6" t="str">
        <f>IFERROR(__xludf.DUMMYFUNCTION("""COMPUTED_VALUE"""),"Madre")</f>
        <v>Madre</v>
      </c>
      <c r="AP227" s="6" t="str">
        <f>IFERROR(__xludf.DUMMYFUNCTION("""COMPUTED_VALUE"""),"Estudiante(s): Rodríguez Rendón")</f>
        <v>Estudiante(s): Rodríguez Rendón</v>
      </c>
      <c r="AQ227" s="6" t="str">
        <f>IFERROR(__xludf.DUMMYFUNCTION("""COMPUTED_VALUE"""),"120213*Gi")</f>
        <v>120213*Gi</v>
      </c>
      <c r="AR227" s="6" t="str">
        <f>IFERROR(__xludf.DUMMYFUNCTION("""COMPUTED_VALUE"""),"Jorge")</f>
        <v>Jorge</v>
      </c>
      <c r="AS227" s="6" t="str">
        <f>IFERROR(__xludf.DUMMYFUNCTION("""COMPUTED_VALUE"""),"Andres")</f>
        <v>Andres</v>
      </c>
      <c r="AT227" s="6" t="str">
        <f>IFERROR(__xludf.DUMMYFUNCTION("""COMPUTED_VALUE"""),"Rodríguez Arce")</f>
        <v>Rodríguez Arce</v>
      </c>
      <c r="AU227" s="6" t="str">
        <f>IFERROR(__xludf.DUMMYFUNCTION("""COMPUTED_VALUE"""),"cpjorgeandresrodrigueza@gmail.com")</f>
        <v>cpjorgeandresrodrigueza@gmail.com</v>
      </c>
      <c r="AV227" s="6" t="str">
        <f>IFERROR(__xludf.DUMMYFUNCTION("""COMPUTED_VALUE"""),"Contador especialista en impuestos")</f>
        <v>Contador especialista en impuestos</v>
      </c>
      <c r="AW227" s="6" t="str">
        <f>IFERROR(__xludf.DUMMYFUNCTION("""COMPUTED_VALUE"""),"happy clinica dental sas")</f>
        <v>happy clinica dental sas</v>
      </c>
      <c r="AX227" s="12" t="str">
        <f>IFERROR(__xludf.DUMMYFUNCTION("""COMPUTED_VALUE"""),"1094880880")</f>
        <v>1094880880</v>
      </c>
      <c r="AY227" s="12" t="str">
        <f>IFERROR(__xludf.DUMMYFUNCTION("""COMPUTED_VALUE"""),"3014264701")</f>
        <v>3014264701</v>
      </c>
      <c r="AZ227" s="6" t="str">
        <f>IFERROR(__xludf.DUMMYFUNCTION("""COMPUTED_VALUE"""),"Padre")</f>
        <v>Padre</v>
      </c>
      <c r="BA227" s="6"/>
      <c r="BB227" s="6"/>
      <c r="BC227" s="6"/>
      <c r="BD227" s="12" t="str">
        <f>IFERROR(__xludf.DUMMYFUNCTION("""COMPUTED_VALUE"""),"ror0001")</f>
        <v>ror0001</v>
      </c>
      <c r="BE227" s="6"/>
      <c r="BF227" s="6"/>
      <c r="BG227" s="6">
        <f>IFERROR(__xludf.DUMMYFUNCTION("""COMPUTED_VALUE"""),2038.0)</f>
        <v>2038</v>
      </c>
      <c r="BH227" s="15">
        <f>IFERROR(__xludf.DUMMYFUNCTION("""COMPUTED_VALUE"""),46205.60369212963)</f>
        <v>46205.60369</v>
      </c>
      <c r="BI227" s="6">
        <f>IFERROR(__xludf.DUMMYFUNCTION("""COMPUTED_VALUE"""),226.0)</f>
        <v>226</v>
      </c>
      <c r="BJ227" s="6"/>
      <c r="BK227" s="6"/>
      <c r="BL227" s="6" t="str">
        <f>IFERROR(__xludf.DUMMYFUNCTION("""COMPUTED_VALUE"""),"GISROR0001")</f>
        <v>GISROR0001</v>
      </c>
      <c r="BM227" s="6"/>
      <c r="BN227" s="6"/>
      <c r="BO227" s="6"/>
      <c r="BP227" s="6" t="str">
        <f>IFERROR(__xludf.DUMMYFUNCTION("""COMPUTED_VALUE"""),"XC_123_Basquetbol")</f>
        <v>XC_123_Basquetbol</v>
      </c>
      <c r="BQ227" s="6"/>
      <c r="BR227" s="6" t="str">
        <f>IFERROR(__xludf.DUMMYFUNCTION("""COMPUTED_VALUE"""),"XC_EL_PequenosCientificos")</f>
        <v>XC_EL_PequenosCientificos</v>
      </c>
      <c r="BS227" s="6" t="str">
        <f>IFERROR(__xludf.DUMMYFUNCTION("""COMPUTED_VALUE"""),"XC_123_Basquetbol")</f>
        <v>XC_123_Basquetbol</v>
      </c>
      <c r="BT227" s="6" t="str">
        <f>IFERROR(__xludf.DUMMYFUNCTION("""COMPUTED_VALUE"""),"XC_123_Basquetbol")</f>
        <v>XC_123_Basquetbol</v>
      </c>
      <c r="BU227" s="6" t="str">
        <f>IFERROR(__xludf.DUMMYFUNCTION("""COMPUTED_VALUE"""),"SI")</f>
        <v>SI</v>
      </c>
      <c r="BV227" s="6" t="str">
        <f>IFERROR(__xludf.DUMMYFUNCTION("""COMPUTED_VALUE"""),"emiliar.r2038")</f>
        <v>emiliar.r2038</v>
      </c>
      <c r="BW227" s="6"/>
      <c r="BX227" s="6"/>
      <c r="BY227" s="6"/>
      <c r="BZ227" s="6"/>
    </row>
    <row r="228">
      <c r="A228" s="12">
        <f>IFERROR(__xludf.DUMMYFUNCTION("""COMPUTED_VALUE"""),1.091207954E9)</f>
        <v>1091207954</v>
      </c>
      <c r="B228" s="6">
        <f>IFERROR(__xludf.DUMMYFUNCTION("""COMPUTED_VALUE"""),16.0)</f>
        <v>16</v>
      </c>
      <c r="C228" s="6" t="str">
        <f>IFERROR(__xludf.DUMMYFUNCTION("""COMPUTED_VALUE"""),"Helena")</f>
        <v>Helena</v>
      </c>
      <c r="D228" s="6"/>
      <c r="E228" s="6" t="str">
        <f>IFERROR(__xludf.DUMMYFUNCTION("""COMPUTED_VALUE"""),"Suárez Díaz")</f>
        <v>Suárez Díaz</v>
      </c>
      <c r="F228" s="6" t="str">
        <f>IFERROR(__xludf.DUMMYFUNCTION("""COMPUTED_VALUE"""),"Monteprado 9-101 - Calle 29 No32 - 10")</f>
        <v>Monteprado 9-101 - Calle 29 No32 - 10</v>
      </c>
      <c r="G228" s="12" t="str">
        <f>IFERROR(__xludf.DUMMYFUNCTION("""COMPUTED_VALUE"""),"2020")</f>
        <v>2020</v>
      </c>
      <c r="H228" s="6" t="str">
        <f>IFERROR(__xludf.DUMMYFUNCTION("""COMPUTED_VALUE"""),"Julio")</f>
        <v>Julio</v>
      </c>
      <c r="I228" s="12" t="str">
        <f>IFERROR(__xludf.DUMMYFUNCTION("""COMPUTED_VALUE"""),"27")</f>
        <v>27</v>
      </c>
      <c r="J228" s="6" t="str">
        <f>IFERROR(__xludf.DUMMYFUNCTION("""COMPUTED_VALUE"""),"Armenia")</f>
        <v>Armenia</v>
      </c>
      <c r="K228" s="6" t="str">
        <f>IFERROR(__xludf.DUMMYFUNCTION("""COMPUTED_VALUE"""),"helena.s2038@gi.edu.co")</f>
        <v>helena.s2038@gi.edu.co</v>
      </c>
      <c r="L228" s="6" t="str">
        <f>IFERROR(__xludf.DUMMYFUNCTION("""COMPUTED_VALUE"""),"RC")</f>
        <v>RC</v>
      </c>
      <c r="M228" s="6" t="str">
        <f>IFERROR(__xludf.DUMMYFUNCTION("""COMPUTED_VALUE"""),"Armenia")</f>
        <v>Armenia</v>
      </c>
      <c r="N228" s="6" t="str">
        <f>IFERROR(__xludf.DUMMYFUNCTION("""COMPUTED_VALUE"""),"F")</f>
        <v>F</v>
      </c>
      <c r="O228" s="6" t="str">
        <f>IFERROR(__xludf.DUMMYFUNCTION("""COMPUTED_VALUE"""),"ACTIVE")</f>
        <v>ACTIVE</v>
      </c>
      <c r="P228" s="6"/>
      <c r="Q228" s="6" t="str">
        <f>IFERROR(__xludf.DUMMYFUNCTION("""COMPUTED_VALUE"""),"Armenia")</f>
        <v>Armenia</v>
      </c>
      <c r="R228" s="12" t="str">
        <f>IFERROR(__xludf.DUMMYFUNCTION("""COMPUTED_VALUE"""),"Gi99yvns*")</f>
        <v>Gi99yvns*</v>
      </c>
      <c r="S228" s="6" t="str">
        <f>IFERROR(__xludf.DUMMYFUNCTION("""COMPUTED_VALUE"""),"Suárez Díaz Helena ")</f>
        <v>Suárez Díaz Helena </v>
      </c>
      <c r="T228" s="6" t="str">
        <f>IFERROR(__xludf.DUMMYFUNCTION("""COMPUTED_VALUE"""),"JONATHAN SUAREZ MEDINA")</f>
        <v>JONATHAN SUAREZ MEDINA</v>
      </c>
      <c r="U228" s="12" t="str">
        <f>IFERROR(__xludf.DUMMYFUNCTION("""COMPUTED_VALUE"""),"1094927381")</f>
        <v>1094927381</v>
      </c>
      <c r="V228" s="6">
        <f>IFERROR(__xludf.DUMMYFUNCTION("""COMPUTED_VALUE"""),3.21720411E9)</f>
        <v>3217204110</v>
      </c>
      <c r="W228" s="6" t="str">
        <f>IFERROR(__xludf.DUMMYFUNCTION("""COMPUTED_VALUE"""),"jonathan.su@hotmail.com")</f>
        <v>jonathan.su@hotmail.com</v>
      </c>
      <c r="X228" s="12" t="str">
        <f>IFERROR(__xludf.DUMMYFUNCTION("""COMPUTED_VALUE"""),"O+")</f>
        <v>O+</v>
      </c>
      <c r="Y228" s="12" t="str">
        <f>IFERROR(__xludf.DUMMYFUNCTION("""COMPUTED_VALUE"""),"1")</f>
        <v>1</v>
      </c>
      <c r="Z228" s="6">
        <f>IFERROR(__xludf.DUMMYFUNCTION("""COMPUTED_VALUE"""),120547.0)</f>
        <v>120547</v>
      </c>
      <c r="AA228" s="6" t="str">
        <f>IFERROR(__xludf.DUMMYFUNCTION("""COMPUTED_VALUE"""),"SURA")</f>
        <v>SURA</v>
      </c>
      <c r="AB228" s="6"/>
      <c r="AC228" s="12" t="str">
        <f>IFERROR(__xludf.DUMMYFUNCTION("""COMPUTED_VALUE"""),"picadura hormiga de fuego")</f>
        <v>picadura hormiga de fuego</v>
      </c>
      <c r="AD228" s="12" t="str">
        <f>IFERROR(__xludf.DUMMYFUNCTION("""COMPUTED_VALUE"""),"1C")</f>
        <v>1C</v>
      </c>
      <c r="AE228" s="12" t="str">
        <f>IFERROR(__xludf.DUMMYFUNCTION("""COMPUTED_VALUE"""),"1345282540")</f>
        <v>1345282540</v>
      </c>
      <c r="AF228" s="6"/>
      <c r="AG228" s="12" t="str">
        <f>IFERROR(__xludf.DUMMYFUNCTION("""COMPUTED_VALUE"""),"Jessica")</f>
        <v>Jessica</v>
      </c>
      <c r="AH228" s="6"/>
      <c r="AI228" s="6" t="str">
        <f>IFERROR(__xludf.DUMMYFUNCTION("""COMPUTED_VALUE"""),"Díaz Cortés")</f>
        <v>Díaz Cortés</v>
      </c>
      <c r="AJ228" s="6" t="str">
        <f>IFERROR(__xludf.DUMMYFUNCTION("""COMPUTED_VALUE"""),"jess.dicortes@gmail.com")</f>
        <v>jess.dicortes@gmail.com</v>
      </c>
      <c r="AK228" s="6" t="str">
        <f>IFERROR(__xludf.DUMMYFUNCTION("""COMPUTED_VALUE"""),"Abogada")</f>
        <v>Abogada</v>
      </c>
      <c r="AL228" s="6" t="str">
        <f>IFERROR(__xludf.DUMMYFUNCTION("""COMPUTED_VALUE"""),"Suárez&amp;Díaz abogados")</f>
        <v>Suárez&amp;Díaz abogados</v>
      </c>
      <c r="AM228" s="12" t="str">
        <f>IFERROR(__xludf.DUMMYFUNCTION("""COMPUTED_VALUE"""),"1094898288")</f>
        <v>1094898288</v>
      </c>
      <c r="AN228" s="12" t="str">
        <f>IFERROR(__xludf.DUMMYFUNCTION("""COMPUTED_VALUE"""),"3148509886")</f>
        <v>3148509886</v>
      </c>
      <c r="AO228" s="6" t="str">
        <f>IFERROR(__xludf.DUMMYFUNCTION("""COMPUTED_VALUE"""),"Madre")</f>
        <v>Madre</v>
      </c>
      <c r="AP228" s="6" t="str">
        <f>IFERROR(__xludf.DUMMYFUNCTION("""COMPUTED_VALUE"""),"Estudiante(s): Suárez Díaz")</f>
        <v>Estudiante(s): Suárez Díaz</v>
      </c>
      <c r="AQ228" s="6" t="str">
        <f>IFERROR(__xludf.DUMMYFUNCTION("""COMPUTED_VALUE"""),"120547*Gi")</f>
        <v>120547*Gi</v>
      </c>
      <c r="AR228" s="6" t="str">
        <f>IFERROR(__xludf.DUMMYFUNCTION("""COMPUTED_VALUE"""),"Jonathan")</f>
        <v>Jonathan</v>
      </c>
      <c r="AS228" s="6"/>
      <c r="AT228" s="6" t="str">
        <f>IFERROR(__xludf.DUMMYFUNCTION("""COMPUTED_VALUE"""),"Suárez Medina")</f>
        <v>Suárez Medina</v>
      </c>
      <c r="AU228" s="6" t="str">
        <f>IFERROR(__xludf.DUMMYFUNCTION("""COMPUTED_VALUE"""),"jonathan.su@hotmail.com")</f>
        <v>jonathan.su@hotmail.com</v>
      </c>
      <c r="AV228" s="6" t="str">
        <f>IFERROR(__xludf.DUMMYFUNCTION("""COMPUTED_VALUE"""),"Abogado")</f>
        <v>Abogado</v>
      </c>
      <c r="AW228" s="6" t="str">
        <f>IFERROR(__xludf.DUMMYFUNCTION("""COMPUTED_VALUE"""),"Suárez&amp;Díaz abogados")</f>
        <v>Suárez&amp;Díaz abogados</v>
      </c>
      <c r="AX228" s="12" t="str">
        <f>IFERROR(__xludf.DUMMYFUNCTION("""COMPUTED_VALUE"""),"1094927381")</f>
        <v>1094927381</v>
      </c>
      <c r="AY228" s="12" t="str">
        <f>IFERROR(__xludf.DUMMYFUNCTION("""COMPUTED_VALUE"""),"3217204110")</f>
        <v>3217204110</v>
      </c>
      <c r="AZ228" s="6" t="str">
        <f>IFERROR(__xludf.DUMMYFUNCTION("""COMPUTED_VALUE"""),"Padre")</f>
        <v>Padre</v>
      </c>
      <c r="BA228" s="6"/>
      <c r="BB228" s="6"/>
      <c r="BC228" s="6"/>
      <c r="BD228" s="12" t="str">
        <f>IFERROR(__xludf.DUMMYFUNCTION("""COMPUTED_VALUE"""),"sua0004")</f>
        <v>sua0004</v>
      </c>
      <c r="BE228" s="6"/>
      <c r="BF228" s="6"/>
      <c r="BG228" s="6">
        <f>IFERROR(__xludf.DUMMYFUNCTION("""COMPUTED_VALUE"""),2038.0)</f>
        <v>2038</v>
      </c>
      <c r="BH228" s="15">
        <f>IFERROR(__xludf.DUMMYFUNCTION("""COMPUTED_VALUE"""),46204.51258101852)</f>
        <v>46204.51258</v>
      </c>
      <c r="BI228" s="6">
        <f>IFERROR(__xludf.DUMMYFUNCTION("""COMPUTED_VALUE"""),227.0)</f>
        <v>227</v>
      </c>
      <c r="BJ228" s="6"/>
      <c r="BK228" s="6"/>
      <c r="BL228" s="6" t="str">
        <f>IFERROR(__xludf.DUMMYFUNCTION("""COMPUTED_VALUE"""),"GISSUA0004")</f>
        <v>GISSUA0004</v>
      </c>
      <c r="BM228" s="6"/>
      <c r="BN228" s="6"/>
      <c r="BO228" s="6"/>
      <c r="BP228" s="6" t="str">
        <f>IFERROR(__xludf.DUMMYFUNCTION("""COMPUTED_VALUE"""),"XC_EL_Taekwondo")</f>
        <v>XC_EL_Taekwondo</v>
      </c>
      <c r="BQ228" s="6" t="str">
        <f>IFERROR(__xludf.DUMMYFUNCTION("""COMPUTED_VALUE"""),"XC_EL_Taekwondo")</f>
        <v>XC_EL_Taekwondo</v>
      </c>
      <c r="BR228" s="6" t="str">
        <f>IFERROR(__xludf.DUMMYFUNCTION("""COMPUTED_VALUE"""),"XC_EL_DanzaModerna")</f>
        <v>XC_EL_DanzaModerna</v>
      </c>
      <c r="BS228" s="6" t="str">
        <f>IFERROR(__xludf.DUMMYFUNCTION("""COMPUTED_VALUE"""),"XC_EL_Taekwondo")</f>
        <v>XC_EL_Taekwondo</v>
      </c>
      <c r="BT228" s="6"/>
      <c r="BU228" s="6" t="str">
        <f>IFERROR(__xludf.DUMMYFUNCTION("""COMPUTED_VALUE"""),"SI")</f>
        <v>SI</v>
      </c>
      <c r="BV228" s="6" t="str">
        <f>IFERROR(__xludf.DUMMYFUNCTION("""COMPUTED_VALUE"""),"helena.s2038")</f>
        <v>helena.s2038</v>
      </c>
      <c r="BW228" s="6"/>
      <c r="BX228" s="6"/>
      <c r="BY228" s="6"/>
      <c r="BZ228" s="6"/>
    </row>
    <row r="229">
      <c r="A229" s="12">
        <f>IFERROR(__xludf.DUMMYFUNCTION("""COMPUTED_VALUE"""),1.092863979E9)</f>
        <v>1092863979</v>
      </c>
      <c r="B229" s="6">
        <f>IFERROR(__xludf.DUMMYFUNCTION("""COMPUTED_VALUE"""),17.0)</f>
        <v>17</v>
      </c>
      <c r="C229" s="6" t="str">
        <f>IFERROR(__xludf.DUMMYFUNCTION("""COMPUTED_VALUE"""),"Matteo")</f>
        <v>Matteo</v>
      </c>
      <c r="D229" s="6"/>
      <c r="E229" s="6" t="str">
        <f>IFERROR(__xludf.DUMMYFUNCTION("""COMPUTED_VALUE"""),"Trujillo Guevara")</f>
        <v>Trujillo Guevara</v>
      </c>
      <c r="F229" s="6" t="str">
        <f>IFERROR(__xludf.DUMMYFUNCTION("""COMPUTED_VALUE"""),"Los Geranios - Calle 50Nte No16 - 02")</f>
        <v>Los Geranios - Calle 50Nte No16 - 02</v>
      </c>
      <c r="G229" s="12">
        <f>IFERROR(__xludf.DUMMYFUNCTION("""COMPUTED_VALUE"""),2020.0)</f>
        <v>2020</v>
      </c>
      <c r="H229" s="6" t="str">
        <f>IFERROR(__xludf.DUMMYFUNCTION("""COMPUTED_VALUE"""),"Febrero")</f>
        <v>Febrero</v>
      </c>
      <c r="I229" s="12">
        <f>IFERROR(__xludf.DUMMYFUNCTION("""COMPUTED_VALUE"""),28.0)</f>
        <v>28</v>
      </c>
      <c r="J229" s="6" t="str">
        <f>IFERROR(__xludf.DUMMYFUNCTION("""COMPUTED_VALUE"""),"Armenia")</f>
        <v>Armenia</v>
      </c>
      <c r="K229" s="6" t="str">
        <f>IFERROR(__xludf.DUMMYFUNCTION("""COMPUTED_VALUE"""),"matteo.t2038@gi.edu.co")</f>
        <v>matteo.t2038@gi.edu.co</v>
      </c>
      <c r="L229" s="6" t="str">
        <f>IFERROR(__xludf.DUMMYFUNCTION("""COMPUTED_VALUE"""),"RC")</f>
        <v>RC</v>
      </c>
      <c r="M229" s="6" t="str">
        <f>IFERROR(__xludf.DUMMYFUNCTION("""COMPUTED_VALUE"""),"Armenia")</f>
        <v>Armenia</v>
      </c>
      <c r="N229" s="6" t="str">
        <f>IFERROR(__xludf.DUMMYFUNCTION("""COMPUTED_VALUE"""),"M")</f>
        <v>M</v>
      </c>
      <c r="O229" s="6" t="str">
        <f>IFERROR(__xludf.DUMMYFUNCTION("""COMPUTED_VALUE"""),"ACTIVE")</f>
        <v>ACTIVE</v>
      </c>
      <c r="P229" s="6"/>
      <c r="Q229" s="6" t="str">
        <f>IFERROR(__xludf.DUMMYFUNCTION("""COMPUTED_VALUE"""),"Armenia")</f>
        <v>Armenia</v>
      </c>
      <c r="R229" s="12" t="str">
        <f>IFERROR(__xludf.DUMMYFUNCTION("""COMPUTED_VALUE"""),"Gizq9pr4v*")</f>
        <v>Gizq9pr4v*</v>
      </c>
      <c r="S229" s="6" t="str">
        <f>IFERROR(__xludf.DUMMYFUNCTION("""COMPUTED_VALUE"""),"Trujillo Guevara Matteo ")</f>
        <v>Trujillo Guevara Matteo </v>
      </c>
      <c r="T229" s="6" t="str">
        <f>IFERROR(__xludf.DUMMYFUNCTION("""COMPUTED_VALUE"""),"EVERLYS JUREIMA GUEVARA COSTA")</f>
        <v>EVERLYS JUREIMA GUEVARA COSTA</v>
      </c>
      <c r="U229" s="12" t="str">
        <f>IFERROR(__xludf.DUMMYFUNCTION("""COMPUTED_VALUE"""),"49783518")</f>
        <v>49783518</v>
      </c>
      <c r="V229" s="6">
        <f>IFERROR(__xludf.DUMMYFUNCTION("""COMPUTED_VALUE"""),3.214526523E9)</f>
        <v>3214526523</v>
      </c>
      <c r="W229" s="6" t="str">
        <f>IFERROR(__xludf.DUMMYFUNCTION("""COMPUTED_VALUE"""),"everlisguevara@hotmail.com")</f>
        <v>everlisguevara@hotmail.com</v>
      </c>
      <c r="X229" s="12" t="str">
        <f>IFERROR(__xludf.DUMMYFUNCTION("""COMPUTED_VALUE"""),"B+")</f>
        <v>B+</v>
      </c>
      <c r="Y229" s="12" t="str">
        <f>IFERROR(__xludf.DUMMYFUNCTION("""COMPUTED_VALUE"""),"1")</f>
        <v>1</v>
      </c>
      <c r="Z229" s="12">
        <f>IFERROR(__xludf.DUMMYFUNCTION("""COMPUTED_VALUE"""),120458.0)</f>
        <v>120458</v>
      </c>
      <c r="AA229" s="6" t="str">
        <f>IFERROR(__xludf.DUMMYFUNCTION("""COMPUTED_VALUE"""),"SANITAS")</f>
        <v>SANITAS</v>
      </c>
      <c r="AB229" s="6"/>
      <c r="AC229" s="6"/>
      <c r="AD229" s="12" t="str">
        <f>IFERROR(__xludf.DUMMYFUNCTION("""COMPUTED_VALUE"""),"1C")</f>
        <v>1C</v>
      </c>
      <c r="AE229" s="12" t="str">
        <f>IFERROR(__xludf.DUMMYFUNCTION("""COMPUTED_VALUE"""),"1345282445")</f>
        <v>1345282445</v>
      </c>
      <c r="AF229" s="6"/>
      <c r="AG229" s="12" t="str">
        <f>IFERROR(__xludf.DUMMYFUNCTION("""COMPUTED_VALUE"""),"Everlys")</f>
        <v>Everlys</v>
      </c>
      <c r="AH229" s="12" t="str">
        <f>IFERROR(__xludf.DUMMYFUNCTION("""COMPUTED_VALUE"""),"Jureima")</f>
        <v>Jureima</v>
      </c>
      <c r="AI229" s="6" t="str">
        <f>IFERROR(__xludf.DUMMYFUNCTION("""COMPUTED_VALUE"""),"Guevara Costa")</f>
        <v>Guevara Costa</v>
      </c>
      <c r="AJ229" s="6" t="str">
        <f>IFERROR(__xludf.DUMMYFUNCTION("""COMPUTED_VALUE"""),"everlisguevara@hotmail.com")</f>
        <v>everlisguevara@hotmail.com</v>
      </c>
      <c r="AK229" s="6" t="str">
        <f>IFERROR(__xludf.DUMMYFUNCTION("""COMPUTED_VALUE"""),"Abogada")</f>
        <v>Abogada</v>
      </c>
      <c r="AL229" s="6" t="str">
        <f>IFERROR(__xludf.DUMMYFUNCTION("""COMPUTED_VALUE"""),"Fiscalía General de la Nación")</f>
        <v>Fiscalía General de la Nación</v>
      </c>
      <c r="AM229" s="12" t="str">
        <f>IFERROR(__xludf.DUMMYFUNCTION("""COMPUTED_VALUE"""),"49783518")</f>
        <v>49783518</v>
      </c>
      <c r="AN229" s="12" t="str">
        <f>IFERROR(__xludf.DUMMYFUNCTION("""COMPUTED_VALUE"""),"3214526523")</f>
        <v>3214526523</v>
      </c>
      <c r="AO229" s="6" t="str">
        <f>IFERROR(__xludf.DUMMYFUNCTION("""COMPUTED_VALUE"""),"Madre")</f>
        <v>Madre</v>
      </c>
      <c r="AP229" s="6" t="str">
        <f>IFERROR(__xludf.DUMMYFUNCTION("""COMPUTED_VALUE"""),"Estudiante(s): Trujillo Guevara")</f>
        <v>Estudiante(s): Trujillo Guevara</v>
      </c>
      <c r="AQ229" s="6" t="str">
        <f>IFERROR(__xludf.DUMMYFUNCTION("""COMPUTED_VALUE"""),"120458*Gi")</f>
        <v>120458*Gi</v>
      </c>
      <c r="AR229" s="6" t="str">
        <f>IFERROR(__xludf.DUMMYFUNCTION("""COMPUTED_VALUE"""),"Jorge")</f>
        <v>Jorge</v>
      </c>
      <c r="AS229" s="6" t="str">
        <f>IFERROR(__xludf.DUMMYFUNCTION("""COMPUTED_VALUE"""),"Ómar")</f>
        <v>Ómar</v>
      </c>
      <c r="AT229" s="6" t="str">
        <f>IFERROR(__xludf.DUMMYFUNCTION("""COMPUTED_VALUE"""),"Trujillo Guzmán")</f>
        <v>Trujillo Guzmán</v>
      </c>
      <c r="AU229" s="6" t="str">
        <f>IFERROR(__xludf.DUMMYFUNCTION("""COMPUTED_VALUE"""),"jmtrujilloram@gmail.com")</f>
        <v>jmtrujilloram@gmail.com</v>
      </c>
      <c r="AV229" s="6" t="str">
        <f>IFERROR(__xludf.DUMMYFUNCTION("""COMPUTED_VALUE"""),"Docente")</f>
        <v>Docente</v>
      </c>
      <c r="AW229" s="6" t="str">
        <f>IFERROR(__xludf.DUMMYFUNCTION("""COMPUTED_VALUE"""),"Magisterio")</f>
        <v>Magisterio</v>
      </c>
      <c r="AX229" s="12" t="str">
        <f>IFERROR(__xludf.DUMMYFUNCTION("""COMPUTED_VALUE"""),"4378202")</f>
        <v>4378202</v>
      </c>
      <c r="AY229" s="12" t="str">
        <f>IFERROR(__xludf.DUMMYFUNCTION("""COMPUTED_VALUE"""),"3117765199")</f>
        <v>3117765199</v>
      </c>
      <c r="AZ229" s="6" t="str">
        <f>IFERROR(__xludf.DUMMYFUNCTION("""COMPUTED_VALUE"""),"Padre")</f>
        <v>Padre</v>
      </c>
      <c r="BA229" s="6"/>
      <c r="BB229" s="6"/>
      <c r="BC229" s="6"/>
      <c r="BD229" s="12" t="str">
        <f>IFERROR(__xludf.DUMMYFUNCTION("""COMPUTED_VALUE"""),"tru0009")</f>
        <v>tru0009</v>
      </c>
      <c r="BE229" s="6"/>
      <c r="BF229" s="6"/>
      <c r="BG229" s="6">
        <f>IFERROR(__xludf.DUMMYFUNCTION("""COMPUTED_VALUE"""),2038.0)</f>
        <v>2038</v>
      </c>
      <c r="BH229" s="15">
        <f>IFERROR(__xludf.DUMMYFUNCTION("""COMPUTED_VALUE"""),46204.693761574075)</f>
        <v>46204.69376</v>
      </c>
      <c r="BI229" s="6">
        <f>IFERROR(__xludf.DUMMYFUNCTION("""COMPUTED_VALUE"""),228.0)</f>
        <v>228</v>
      </c>
      <c r="BJ229" s="6"/>
      <c r="BK229" s="6"/>
      <c r="BL229" s="6" t="str">
        <f>IFERROR(__xludf.DUMMYFUNCTION("""COMPUTED_VALUE"""),"GISTRU0009")</f>
        <v>GISTRU0009</v>
      </c>
      <c r="BM229" s="6"/>
      <c r="BN229" s="6"/>
      <c r="BO229" s="6"/>
      <c r="BP229" s="6"/>
      <c r="BQ229" s="6"/>
      <c r="BR229" s="6" t="str">
        <f>IFERROR(__xludf.DUMMYFUNCTION("""COMPUTED_VALUE"""),"XC_EL_PequenosCientificos")</f>
        <v>XC_EL_PequenosCientificos</v>
      </c>
      <c r="BS229" s="6"/>
      <c r="BT229" s="6"/>
      <c r="BU229" s="6" t="str">
        <f>IFERROR(__xludf.DUMMYFUNCTION("""COMPUTED_VALUE"""),"SI")</f>
        <v>SI</v>
      </c>
      <c r="BV229" s="6" t="str">
        <f>IFERROR(__xludf.DUMMYFUNCTION("""COMPUTED_VALUE"""),"matteo.t2038")</f>
        <v>matteo.t2038</v>
      </c>
      <c r="BW229" s="6"/>
      <c r="BX229" s="6"/>
      <c r="BY229" s="6"/>
      <c r="BZ229" s="6"/>
    </row>
    <row r="230">
      <c r="A230" s="12">
        <f>IFERROR(__xludf.DUMMYFUNCTION("""COMPUTED_VALUE"""),1.197473125E9)</f>
        <v>1197473125</v>
      </c>
      <c r="B230" s="6">
        <f>IFERROR(__xludf.DUMMYFUNCTION("""COMPUTED_VALUE"""),18.0)</f>
        <v>18</v>
      </c>
      <c r="C230" s="6" t="str">
        <f>IFERROR(__xludf.DUMMYFUNCTION("""COMPUTED_VALUE"""),"Mariangel")</f>
        <v>Mariangel</v>
      </c>
      <c r="D230" s="6"/>
      <c r="E230" s="6" t="str">
        <f>IFERROR(__xludf.DUMMYFUNCTION("""COMPUTED_VALUE"""),"Vásquez Bedoya")</f>
        <v>Vásquez Bedoya</v>
      </c>
      <c r="F230" s="6" t="str">
        <f>IFERROR(__xludf.DUMMYFUNCTION("""COMPUTED_VALUE"""),"Bosque Residencial Zimbabwe Casa 3 - Calle 1 No16 - 205 Km 7 Via Armenia - Pereira")</f>
        <v>Bosque Residencial Zimbabwe Casa 3 - Calle 1 No16 - 205 Km 7 Via Armenia - Pereira</v>
      </c>
      <c r="G230" s="12" t="str">
        <f>IFERROR(__xludf.DUMMYFUNCTION("""COMPUTED_VALUE"""),"2019")</f>
        <v>2019</v>
      </c>
      <c r="H230" s="6" t="str">
        <f>IFERROR(__xludf.DUMMYFUNCTION("""COMPUTED_VALUE"""),"Noviembre")</f>
        <v>Noviembre</v>
      </c>
      <c r="I230" s="12" t="str">
        <f>IFERROR(__xludf.DUMMYFUNCTION("""COMPUTED_VALUE"""),"16")</f>
        <v>16</v>
      </c>
      <c r="J230" s="6" t="str">
        <f>IFERROR(__xludf.DUMMYFUNCTION("""COMPUTED_VALUE"""),"Ibagué")</f>
        <v>Ibagué</v>
      </c>
      <c r="K230" s="6" t="str">
        <f>IFERROR(__xludf.DUMMYFUNCTION("""COMPUTED_VALUE"""),"mariangel.v2038@gi.edu.co")</f>
        <v>mariangel.v2038@gi.edu.co</v>
      </c>
      <c r="L230" s="6" t="str">
        <f>IFERROR(__xludf.DUMMYFUNCTION("""COMPUTED_VALUE"""),"RC")</f>
        <v>RC</v>
      </c>
      <c r="M230" s="6" t="str">
        <f>IFERROR(__xludf.DUMMYFUNCTION("""COMPUTED_VALUE"""),"Ibagué")</f>
        <v>Ibagué</v>
      </c>
      <c r="N230" s="6" t="str">
        <f>IFERROR(__xludf.DUMMYFUNCTION("""COMPUTED_VALUE"""),"F")</f>
        <v>F</v>
      </c>
      <c r="O230" s="6" t="str">
        <f>IFERROR(__xludf.DUMMYFUNCTION("""COMPUTED_VALUE"""),"ACTIVE")</f>
        <v>ACTIVE</v>
      </c>
      <c r="P230" s="6"/>
      <c r="Q230" s="6" t="str">
        <f>IFERROR(__xludf.DUMMYFUNCTION("""COMPUTED_VALUE"""),"Circasia")</f>
        <v>Circasia</v>
      </c>
      <c r="R230" s="12" t="str">
        <f>IFERROR(__xludf.DUMMYFUNCTION("""COMPUTED_VALUE"""),"Git2j8v9*")</f>
        <v>Git2j8v9*</v>
      </c>
      <c r="S230" s="6" t="str">
        <f>IFERROR(__xludf.DUMMYFUNCTION("""COMPUTED_VALUE"""),"Vásquez Bedoya Mariangel ")</f>
        <v>Vásquez Bedoya Mariangel </v>
      </c>
      <c r="T230" s="6" t="str">
        <f>IFERROR(__xludf.DUMMYFUNCTION("""COMPUTED_VALUE"""),"JOHN JAIRO VASQUEZ MORENO")</f>
        <v>JOHN JAIRO VASQUEZ MORENO</v>
      </c>
      <c r="U230" s="12" t="str">
        <f>IFERROR(__xludf.DUMMYFUNCTION("""COMPUTED_VALUE"""),"79630139")</f>
        <v>79630139</v>
      </c>
      <c r="V230" s="6">
        <f>IFERROR(__xludf.DUMMYFUNCTION("""COMPUTED_VALUE"""),3.50588451E9)</f>
        <v>3505884510</v>
      </c>
      <c r="W230" s="6" t="str">
        <f>IFERROR(__xludf.DUMMYFUNCTION("""COMPUTED_VALUE"""),"johnvamo@gmail.com")</f>
        <v>johnvamo@gmail.com</v>
      </c>
      <c r="X230" s="12" t="str">
        <f>IFERROR(__xludf.DUMMYFUNCTION("""COMPUTED_VALUE"""),"O+")</f>
        <v>O+</v>
      </c>
      <c r="Y230" s="12" t="str">
        <f>IFERROR(__xludf.DUMMYFUNCTION("""COMPUTED_VALUE"""),"1")</f>
        <v>1</v>
      </c>
      <c r="Z230" s="12">
        <f>IFERROR(__xludf.DUMMYFUNCTION("""COMPUTED_VALUE"""),120410.0)</f>
        <v>120410</v>
      </c>
      <c r="AA230" s="6" t="str">
        <f>IFERROR(__xludf.DUMMYFUNCTION("""COMPUTED_VALUE"""),"COLMEDICA")</f>
        <v>COLMEDICA</v>
      </c>
      <c r="AB230" s="6"/>
      <c r="AC230" s="6"/>
      <c r="AD230" s="12" t="str">
        <f>IFERROR(__xludf.DUMMYFUNCTION("""COMPUTED_VALUE"""),"1C")</f>
        <v>1C</v>
      </c>
      <c r="AE230" s="12" t="str">
        <f>IFERROR(__xludf.DUMMYFUNCTION("""COMPUTED_VALUE"""),"1345282411")</f>
        <v>1345282411</v>
      </c>
      <c r="AF230" s="6"/>
      <c r="AG230" s="12" t="str">
        <f>IFERROR(__xludf.DUMMYFUNCTION("""COMPUTED_VALUE"""),"María")</f>
        <v>María</v>
      </c>
      <c r="AH230" s="12" t="str">
        <f>IFERROR(__xludf.DUMMYFUNCTION("""COMPUTED_VALUE"""),"Alejandra")</f>
        <v>Alejandra</v>
      </c>
      <c r="AI230" s="6" t="str">
        <f>IFERROR(__xludf.DUMMYFUNCTION("""COMPUTED_VALUE""")," Bedoya Mejía")</f>
        <v> Bedoya Mejía</v>
      </c>
      <c r="AJ230" s="6" t="str">
        <f>IFERROR(__xludf.DUMMYFUNCTION("""COMPUTED_VALUE"""),"alejandra.bed.m@gmail.com")</f>
        <v>alejandra.bed.m@gmail.com</v>
      </c>
      <c r="AK230" s="6" t="str">
        <f>IFERROR(__xludf.DUMMYFUNCTION("""COMPUTED_VALUE"""),"Adminsitrador de Empresas")</f>
        <v>Adminsitrador de Empresas</v>
      </c>
      <c r="AL230" s="6" t="str">
        <f>IFERROR(__xludf.DUMMYFUNCTION("""COMPUTED_VALUE"""),"CDA del Occidente SA")</f>
        <v>CDA del Occidente SA</v>
      </c>
      <c r="AM230" s="12" t="str">
        <f>IFERROR(__xludf.DUMMYFUNCTION("""COMPUTED_VALUE"""),"1015413893")</f>
        <v>1015413893</v>
      </c>
      <c r="AN230" s="12" t="str">
        <f>IFERROR(__xludf.DUMMYFUNCTION("""COMPUTED_VALUE"""),"3505885146")</f>
        <v>3505885146</v>
      </c>
      <c r="AO230" s="6" t="str">
        <f>IFERROR(__xludf.DUMMYFUNCTION("""COMPUTED_VALUE"""),"Madre")</f>
        <v>Madre</v>
      </c>
      <c r="AP230" s="6" t="str">
        <f>IFERROR(__xludf.DUMMYFUNCTION("""COMPUTED_VALUE"""),"Estudiante(s): Vásquez Bedoya")</f>
        <v>Estudiante(s): Vásquez Bedoya</v>
      </c>
      <c r="AQ230" s="6" t="str">
        <f>IFERROR(__xludf.DUMMYFUNCTION("""COMPUTED_VALUE"""),"120399*Gi")</f>
        <v>120399*Gi</v>
      </c>
      <c r="AR230" s="6" t="str">
        <f>IFERROR(__xludf.DUMMYFUNCTION("""COMPUTED_VALUE"""),"John")</f>
        <v>John</v>
      </c>
      <c r="AS230" s="6" t="str">
        <f>IFERROR(__xludf.DUMMYFUNCTION("""COMPUTED_VALUE"""),"Jairo")</f>
        <v>Jairo</v>
      </c>
      <c r="AT230" s="6" t="str">
        <f>IFERROR(__xludf.DUMMYFUNCTION("""COMPUTED_VALUE""")," Vásquez Moreno")</f>
        <v> Vásquez Moreno</v>
      </c>
      <c r="AU230" s="6" t="str">
        <f>IFERROR(__xludf.DUMMYFUNCTION("""COMPUTED_VALUE"""),"johnvamo@gmail.com")</f>
        <v>johnvamo@gmail.com</v>
      </c>
      <c r="AV230" s="6" t="str">
        <f>IFERROR(__xludf.DUMMYFUNCTION("""COMPUTED_VALUE"""),"Arquitecto")</f>
        <v>Arquitecto</v>
      </c>
      <c r="AW230" s="6" t="str">
        <f>IFERROR(__xludf.DUMMYFUNCTION("""COMPUTED_VALUE"""),"Virtualidad SAS")</f>
        <v>Virtualidad SAS</v>
      </c>
      <c r="AX230" s="12" t="str">
        <f>IFERROR(__xludf.DUMMYFUNCTION("""COMPUTED_VALUE"""),"79630139")</f>
        <v>79630139</v>
      </c>
      <c r="AY230" s="12">
        <f>IFERROR(__xludf.DUMMYFUNCTION("""COMPUTED_VALUE"""),3.50588451E9)</f>
        <v>3505884510</v>
      </c>
      <c r="AZ230" s="6" t="str">
        <f>IFERROR(__xludf.DUMMYFUNCTION("""COMPUTED_VALUE"""),"Padre")</f>
        <v>Padre</v>
      </c>
      <c r="BA230" s="6"/>
      <c r="BB230" s="6"/>
      <c r="BC230" s="6"/>
      <c r="BD230" s="12" t="str">
        <f>IFERROR(__xludf.DUMMYFUNCTION("""COMPUTED_VALUE"""),"vas0003")</f>
        <v>vas0003</v>
      </c>
      <c r="BE230" s="6"/>
      <c r="BF230" s="6"/>
      <c r="BG230" s="6">
        <f>IFERROR(__xludf.DUMMYFUNCTION("""COMPUTED_VALUE"""),2038.0)</f>
        <v>2038</v>
      </c>
      <c r="BH230" s="15">
        <f>IFERROR(__xludf.DUMMYFUNCTION("""COMPUTED_VALUE"""),46210.58456018518)</f>
        <v>46210.58456</v>
      </c>
      <c r="BI230" s="6">
        <f>IFERROR(__xludf.DUMMYFUNCTION("""COMPUTED_VALUE"""),229.0)</f>
        <v>229</v>
      </c>
      <c r="BJ230" s="6"/>
      <c r="BK230" s="6"/>
      <c r="BL230" s="6" t="str">
        <f>IFERROR(__xludf.DUMMYFUNCTION("""COMPUTED_VALUE"""),"GISVAS0003")</f>
        <v>GISVAS0003</v>
      </c>
      <c r="BM230" s="6"/>
      <c r="BN230" s="6"/>
      <c r="BO230" s="6"/>
      <c r="BP230" s="6" t="str">
        <f>IFERROR(__xludf.DUMMYFUNCTION("""COMPUTED_VALUE"""),"XC_1_Voleibol")</f>
        <v>XC_1_Voleibol</v>
      </c>
      <c r="BQ230" s="6"/>
      <c r="BR230" s="6"/>
      <c r="BS230" s="6" t="str">
        <f>IFERROR(__xludf.DUMMYFUNCTION("""COMPUTED_VALUE"""),"XC_1_Voleibol")</f>
        <v>XC_1_Voleibol</v>
      </c>
      <c r="BT230" s="6" t="str">
        <f>IFERROR(__xludf.DUMMYFUNCTION("""COMPUTED_VALUE"""),"XC_1_Voleibol")</f>
        <v>XC_1_Voleibol</v>
      </c>
      <c r="BU230" s="6" t="str">
        <f>IFERROR(__xludf.DUMMYFUNCTION("""COMPUTED_VALUE"""),"SI")</f>
        <v>SI</v>
      </c>
      <c r="BV230" s="6" t="str">
        <f>IFERROR(__xludf.DUMMYFUNCTION("""COMPUTED_VALUE"""),"mariangel.v2038")</f>
        <v>mariangel.v2038</v>
      </c>
      <c r="BW230" s="6"/>
      <c r="BX230" s="6"/>
      <c r="BY230" s="6"/>
      <c r="BZ230" s="6"/>
    </row>
    <row r="231">
      <c r="A231" s="12">
        <f>IFERROR(__xludf.DUMMYFUNCTION("""COMPUTED_VALUE"""),1.092466608E9)</f>
        <v>1092466608</v>
      </c>
      <c r="B231" s="6">
        <f>IFERROR(__xludf.DUMMYFUNCTION("""COMPUTED_VALUE"""),19.0)</f>
        <v>19</v>
      </c>
      <c r="C231" s="6" t="str">
        <f>IFERROR(__xludf.DUMMYFUNCTION("""COMPUTED_VALUE"""),"Pedro")</f>
        <v>Pedro</v>
      </c>
      <c r="D231" s="6" t="str">
        <f>IFERROR(__xludf.DUMMYFUNCTION("""COMPUTED_VALUE"""),"Juan")</f>
        <v>Juan</v>
      </c>
      <c r="E231" s="6" t="str">
        <f>IFERROR(__xludf.DUMMYFUNCTION("""COMPUTED_VALUE"""),"Velásquez Velásquez")</f>
        <v>Velásquez Velásquez</v>
      </c>
      <c r="F231" s="6" t="str">
        <f>IFERROR(__xludf.DUMMYFUNCTION("""COMPUTED_VALUE"""),"Parque Residencial Altos Del Rio Casa 61 - Calle 41 No36 - 110")</f>
        <v>Parque Residencial Altos Del Rio Casa 61 - Calle 41 No36 - 110</v>
      </c>
      <c r="G231" s="12" t="str">
        <f>IFERROR(__xludf.DUMMYFUNCTION("""COMPUTED_VALUE"""),"2020")</f>
        <v>2020</v>
      </c>
      <c r="H231" s="6" t="str">
        <f>IFERROR(__xludf.DUMMYFUNCTION("""COMPUTED_VALUE"""),"Julio")</f>
        <v>Julio</v>
      </c>
      <c r="I231" s="12" t="str">
        <f>IFERROR(__xludf.DUMMYFUNCTION("""COMPUTED_VALUE"""),"3")</f>
        <v>3</v>
      </c>
      <c r="J231" s="6" t="str">
        <f>IFERROR(__xludf.DUMMYFUNCTION("""COMPUTED_VALUE"""),"Armenia")</f>
        <v>Armenia</v>
      </c>
      <c r="K231" s="6" t="str">
        <f>IFERROR(__xludf.DUMMYFUNCTION("""COMPUTED_VALUE"""),"pedro.v2038@gi.edu.co")</f>
        <v>pedro.v2038@gi.edu.co</v>
      </c>
      <c r="L231" s="6" t="str">
        <f>IFERROR(__xludf.DUMMYFUNCTION("""COMPUTED_VALUE"""),"RC")</f>
        <v>RC</v>
      </c>
      <c r="M231" s="6" t="str">
        <f>IFERROR(__xludf.DUMMYFUNCTION("""COMPUTED_VALUE"""),"Armenia")</f>
        <v>Armenia</v>
      </c>
      <c r="N231" s="6" t="str">
        <f>IFERROR(__xludf.DUMMYFUNCTION("""COMPUTED_VALUE"""),"M")</f>
        <v>M</v>
      </c>
      <c r="O231" s="6" t="str">
        <f>IFERROR(__xludf.DUMMYFUNCTION("""COMPUTED_VALUE"""),"INACTIVE")</f>
        <v>INACTIVE</v>
      </c>
      <c r="P231" s="6"/>
      <c r="Q231" s="6" t="str">
        <f>IFERROR(__xludf.DUMMYFUNCTION("""COMPUTED_VALUE"""),"Calarcá")</f>
        <v>Calarcá</v>
      </c>
      <c r="R231" s="12" t="str">
        <f>IFERROR(__xludf.DUMMYFUNCTION("""COMPUTED_VALUE"""),"Gi2s5g7j*")</f>
        <v>Gi2s5g7j*</v>
      </c>
      <c r="S231" s="6" t="str">
        <f>IFERROR(__xludf.DUMMYFUNCTION("""COMPUTED_VALUE"""),"Velásquez Velásquez Pedro Juan")</f>
        <v>Velásquez Velásquez Pedro Juan</v>
      </c>
      <c r="T231" s="6" t="str">
        <f>IFERROR(__xludf.DUMMYFUNCTION("""COMPUTED_VALUE"""),"JAIME ALBERTO VELASQUEZ LOPEZ")</f>
        <v>JAIME ALBERTO VELASQUEZ LOPEZ</v>
      </c>
      <c r="U231" s="12" t="str">
        <f>IFERROR(__xludf.DUMMYFUNCTION("""COMPUTED_VALUE"""),"9736163")</f>
        <v>9736163</v>
      </c>
      <c r="V231" s="6">
        <f>IFERROR(__xludf.DUMMYFUNCTION("""COMPUTED_VALUE"""),3.023616031E9)</f>
        <v>3023616031</v>
      </c>
      <c r="W231" s="6" t="str">
        <f>IFERROR(__xludf.DUMMYFUNCTION("""COMPUTED_VALUE"""),"papeto001@hotmail.com")</f>
        <v>papeto001@hotmail.com</v>
      </c>
      <c r="X231" s="12" t="str">
        <f>IFERROR(__xludf.DUMMYFUNCTION("""COMPUTED_VALUE"""),"O-")</f>
        <v>O-</v>
      </c>
      <c r="Y231" s="12" t="str">
        <f>IFERROR(__xludf.DUMMYFUNCTION("""COMPUTED_VALUE"""),"1")</f>
        <v>1</v>
      </c>
      <c r="Z231" s="12">
        <f>IFERROR(__xludf.DUMMYFUNCTION("""COMPUTED_VALUE"""),120341.0)</f>
        <v>120341</v>
      </c>
      <c r="AA231" s="6" t="str">
        <f>IFERROR(__xludf.DUMMYFUNCTION("""COMPUTED_VALUE"""),"SURA")</f>
        <v>SURA</v>
      </c>
      <c r="AB231" s="6"/>
      <c r="AC231" s="6"/>
      <c r="AD231" s="12" t="str">
        <f>IFERROR(__xludf.DUMMYFUNCTION("""COMPUTED_VALUE"""),"1C")</f>
        <v>1C</v>
      </c>
      <c r="AE231" s="12" t="str">
        <f>IFERROR(__xludf.DUMMYFUNCTION("""COMPUTED_VALUE"""),"1345282351")</f>
        <v>1345282351</v>
      </c>
      <c r="AF231" s="6"/>
      <c r="AG231" s="12" t="str">
        <f>IFERROR(__xludf.DUMMYFUNCTION("""COMPUTED_VALUE"""),"Daniela")</f>
        <v>Daniela</v>
      </c>
      <c r="AH231" s="6"/>
      <c r="AI231" s="6" t="str">
        <f>IFERROR(__xludf.DUMMYFUNCTION("""COMPUTED_VALUE"""),"Velásquez Botero")</f>
        <v>Velásquez Botero</v>
      </c>
      <c r="AJ231" s="6" t="str">
        <f>IFERROR(__xludf.DUMMYFUNCTION("""COMPUTED_VALUE"""),"daniela3159@gmail.com")</f>
        <v>daniela3159@gmail.com</v>
      </c>
      <c r="AK231" s="6" t="str">
        <f>IFERROR(__xludf.DUMMYFUNCTION("""COMPUTED_VALUE"""),"Profesional en seguridad y salud en el trabajo")</f>
        <v>Profesional en seguridad y salud en el trabajo</v>
      </c>
      <c r="AL231" s="6" t="str">
        <f>IFERROR(__xludf.DUMMYFUNCTION("""COMPUTED_VALUE"""),"Proarquitectura")</f>
        <v>Proarquitectura</v>
      </c>
      <c r="AM231" s="12" t="str">
        <f>IFERROR(__xludf.DUMMYFUNCTION("""COMPUTED_VALUE"""),"1094888736")</f>
        <v>1094888736</v>
      </c>
      <c r="AN231" s="12" t="str">
        <f>IFERROR(__xludf.DUMMYFUNCTION("""COMPUTED_VALUE"""),"3146309864")</f>
        <v>3146309864</v>
      </c>
      <c r="AO231" s="6" t="str">
        <f>IFERROR(__xludf.DUMMYFUNCTION("""COMPUTED_VALUE"""),"Madre")</f>
        <v>Madre</v>
      </c>
      <c r="AP231" s="6" t="str">
        <f>IFERROR(__xludf.DUMMYFUNCTION("""COMPUTED_VALUE"""),"Estudiante(s): Velásquez Velásquez")</f>
        <v>Estudiante(s): Velásquez Velásquez</v>
      </c>
      <c r="AQ231" s="6" t="str">
        <f>IFERROR(__xludf.DUMMYFUNCTION("""COMPUTED_VALUE"""),"120341Gi*")</f>
        <v>120341Gi*</v>
      </c>
      <c r="AR231" s="6" t="str">
        <f>IFERROR(__xludf.DUMMYFUNCTION("""COMPUTED_VALUE"""),"Jaime")</f>
        <v>Jaime</v>
      </c>
      <c r="AS231" s="6" t="str">
        <f>IFERROR(__xludf.DUMMYFUNCTION("""COMPUTED_VALUE"""),"Alberto")</f>
        <v>Alberto</v>
      </c>
      <c r="AT231" s="6" t="str">
        <f>IFERROR(__xludf.DUMMYFUNCTION("""COMPUTED_VALUE"""),"Velásquez López")</f>
        <v>Velásquez López</v>
      </c>
      <c r="AU231" s="6" t="str">
        <f>IFERROR(__xludf.DUMMYFUNCTION("""COMPUTED_VALUE"""),"papeto001@hotmail.com")</f>
        <v>papeto001@hotmail.com</v>
      </c>
      <c r="AV231" s="6" t="str">
        <f>IFERROR(__xludf.DUMMYFUNCTION("""COMPUTED_VALUE"""),"Zootecnista")</f>
        <v>Zootecnista</v>
      </c>
      <c r="AW231" s="6" t="str">
        <f>IFERROR(__xludf.DUMMYFUNCTION("""COMPUTED_VALUE"""),"Detectores Colombia SAS")</f>
        <v>Detectores Colombia SAS</v>
      </c>
      <c r="AX231" s="12" t="str">
        <f>IFERROR(__xludf.DUMMYFUNCTION("""COMPUTED_VALUE"""),"9736163")</f>
        <v>9736163</v>
      </c>
      <c r="AY231" s="12" t="str">
        <f>IFERROR(__xludf.DUMMYFUNCTION("""COMPUTED_VALUE"""),"3023616031")</f>
        <v>3023616031</v>
      </c>
      <c r="AZ231" s="6" t="str">
        <f>IFERROR(__xludf.DUMMYFUNCTION("""COMPUTED_VALUE"""),"Padre")</f>
        <v>Padre</v>
      </c>
      <c r="BA231" s="6"/>
      <c r="BB231" s="6"/>
      <c r="BC231" s="6"/>
      <c r="BD231" s="12" t="str">
        <f>IFERROR(__xludf.DUMMYFUNCTION("""COMPUTED_VALUE"""),"vel0020")</f>
        <v>vel0020</v>
      </c>
      <c r="BE231" s="6" t="str">
        <f>IFERROR(__xludf.DUMMYFUNCTION("""COMPUTED_VALUE"""),"FALTAN FIRMAS")</f>
        <v>FALTAN FIRMAS</v>
      </c>
      <c r="BF231" s="12" t="str">
        <f>IFERROR(__xludf.DUMMYFUNCTION("""COMPUTED_VALUE"""),"PÓLIZA")</f>
        <v>PÓLIZA</v>
      </c>
      <c r="BG231" s="6">
        <f>IFERROR(__xludf.DUMMYFUNCTION("""COMPUTED_VALUE"""),2038.0)</f>
        <v>2038</v>
      </c>
      <c r="BH231" s="15">
        <f>IFERROR(__xludf.DUMMYFUNCTION("""COMPUTED_VALUE"""),46211.43224537037)</f>
        <v>46211.43225</v>
      </c>
      <c r="BI231" s="6">
        <f>IFERROR(__xludf.DUMMYFUNCTION("""COMPUTED_VALUE"""),230.0)</f>
        <v>230</v>
      </c>
      <c r="BJ231" s="6"/>
      <c r="BK231" s="6"/>
      <c r="BL231" s="6" t="str">
        <f>IFERROR(__xludf.DUMMYFUNCTION("""COMPUTED_VALUE"""),"GISVEL0020")</f>
        <v>GISVEL0020</v>
      </c>
      <c r="BM231" s="6"/>
      <c r="BN231" s="6"/>
      <c r="BO231" s="6"/>
      <c r="BP231" s="6" t="str">
        <f>IFERROR(__xludf.DUMMYFUNCTION("""COMPUTED_VALUE"""),"XC_1_Futbol_M")</f>
        <v>XC_1_Futbol_M</v>
      </c>
      <c r="BQ231" s="6"/>
      <c r="BR231" s="6" t="str">
        <f>IFERROR(__xludf.DUMMYFUNCTION("""COMPUTED_VALUE"""),"XC_EL_PequenosCientificos")</f>
        <v>XC_EL_PequenosCientificos</v>
      </c>
      <c r="BS231" s="6" t="str">
        <f>IFERROR(__xludf.DUMMYFUNCTION("""COMPUTED_VALUE"""),"XC_1_Futbol_M")</f>
        <v>XC_1_Futbol_M</v>
      </c>
      <c r="BT231" s="6" t="str">
        <f>IFERROR(__xludf.DUMMYFUNCTION("""COMPUTED_VALUE"""),"XC_1_Futbol_M")</f>
        <v>XC_1_Futbol_M</v>
      </c>
      <c r="BU231" s="6" t="str">
        <f>IFERROR(__xludf.DUMMYFUNCTION("""COMPUTED_VALUE"""),"SI")</f>
        <v>SI</v>
      </c>
      <c r="BV231" s="6" t="str">
        <f>IFERROR(__xludf.DUMMYFUNCTION("""COMPUTED_VALUE"""),"pedro.v2038")</f>
        <v>pedro.v2038</v>
      </c>
      <c r="BW231" s="6"/>
      <c r="BX231" s="6"/>
      <c r="BY231" s="6"/>
      <c r="BZ231" s="6"/>
    </row>
    <row r="232">
      <c r="A232" s="12">
        <f>IFERROR(__xludf.DUMMYFUNCTION("""COMPUTED_VALUE"""),1.019609402E9)</f>
        <v>1019609402</v>
      </c>
      <c r="B232" s="6">
        <f>IFERROR(__xludf.DUMMYFUNCTION("""COMPUTED_VALUE"""),20.0)</f>
        <v>20</v>
      </c>
      <c r="C232" s="6" t="str">
        <f>IFERROR(__xludf.DUMMYFUNCTION("""COMPUTED_VALUE"""),"Santiago")</f>
        <v>Santiago</v>
      </c>
      <c r="D232" s="6"/>
      <c r="E232" s="6" t="str">
        <f>IFERROR(__xludf.DUMMYFUNCTION("""COMPUTED_VALUE"""),"Villegas Castro")</f>
        <v>Villegas Castro</v>
      </c>
      <c r="F232" s="6" t="str">
        <f>IFERROR(__xludf.DUMMYFUNCTION("""COMPUTED_VALUE"""),"Condominio Haciendas el Rancho Casa 11 - Vereda la Argentina Km 2 Via Aeropuerto el Edén 633027")</f>
        <v>Condominio Haciendas el Rancho Casa 11 - Vereda la Argentina Km 2 Via Aeropuerto el Edén 633027</v>
      </c>
      <c r="G232" s="12" t="str">
        <f>IFERROR(__xludf.DUMMYFUNCTION("""COMPUTED_VALUE"""),"2020")</f>
        <v>2020</v>
      </c>
      <c r="H232" s="6" t="str">
        <f>IFERROR(__xludf.DUMMYFUNCTION("""COMPUTED_VALUE"""),"Mayo")</f>
        <v>Mayo</v>
      </c>
      <c r="I232" s="12" t="str">
        <f>IFERROR(__xludf.DUMMYFUNCTION("""COMPUTED_VALUE"""),"18")</f>
        <v>18</v>
      </c>
      <c r="J232" s="6" t="str">
        <f>IFERROR(__xludf.DUMMYFUNCTION("""COMPUTED_VALUE"""),"Bogotá D.C.")</f>
        <v>Bogotá D.C.</v>
      </c>
      <c r="K232" s="6" t="str">
        <f>IFERROR(__xludf.DUMMYFUNCTION("""COMPUTED_VALUE"""),"santiago.v2038@gi.edu.co")</f>
        <v>santiago.v2038@gi.edu.co</v>
      </c>
      <c r="L232" s="6" t="str">
        <f>IFERROR(__xludf.DUMMYFUNCTION("""COMPUTED_VALUE"""),"RC")</f>
        <v>RC</v>
      </c>
      <c r="M232" s="6" t="str">
        <f>IFERROR(__xludf.DUMMYFUNCTION("""COMPUTED_VALUE"""),"Bogotá D.C.")</f>
        <v>Bogotá D.C.</v>
      </c>
      <c r="N232" s="6" t="str">
        <f>IFERROR(__xludf.DUMMYFUNCTION("""COMPUTED_VALUE"""),"M")</f>
        <v>M</v>
      </c>
      <c r="O232" s="6" t="str">
        <f>IFERROR(__xludf.DUMMYFUNCTION("""COMPUTED_VALUE"""),"ACTIVE")</f>
        <v>ACTIVE</v>
      </c>
      <c r="P232" s="6"/>
      <c r="Q232" s="6" t="str">
        <f>IFERROR(__xludf.DUMMYFUNCTION("""COMPUTED_VALUE"""),"La Tebaida")</f>
        <v>La Tebaida</v>
      </c>
      <c r="R232" s="12" t="str">
        <f>IFERROR(__xludf.DUMMYFUNCTION("""COMPUTED_VALUE"""),"Giaas8h*")</f>
        <v>Giaas8h*</v>
      </c>
      <c r="S232" s="6" t="str">
        <f>IFERROR(__xludf.DUMMYFUNCTION("""COMPUTED_VALUE"""),"Villegas Castro Santiago ")</f>
        <v>Villegas Castro Santiago </v>
      </c>
      <c r="T232" s="6" t="str">
        <f>IFERROR(__xludf.DUMMYFUNCTION("""COMPUTED_VALUE"""),"ALVARO JOSE VILLEGAS TOBON")</f>
        <v>ALVARO JOSE VILLEGAS TOBON</v>
      </c>
      <c r="U232" s="12" t="str">
        <f>IFERROR(__xludf.DUMMYFUNCTION("""COMPUTED_VALUE"""),"80424016")</f>
        <v>80424016</v>
      </c>
      <c r="V232" s="6">
        <f>IFERROR(__xludf.DUMMYFUNCTION("""COMPUTED_VALUE"""),3.158363366E9)</f>
        <v>3158363366</v>
      </c>
      <c r="W232" s="6" t="str">
        <f>IFERROR(__xludf.DUMMYFUNCTION("""COMPUTED_VALUE"""),"alvaro2@hotmail.com")</f>
        <v>alvaro2@hotmail.com</v>
      </c>
      <c r="X232" s="12" t="str">
        <f>IFERROR(__xludf.DUMMYFUNCTION("""COMPUTED_VALUE"""),"AB+")</f>
        <v>AB+</v>
      </c>
      <c r="Y232" s="12" t="str">
        <f>IFERROR(__xludf.DUMMYFUNCTION("""COMPUTED_VALUE"""),"1")</f>
        <v>1</v>
      </c>
      <c r="Z232" s="12">
        <f>IFERROR(__xludf.DUMMYFUNCTION("""COMPUTED_VALUE"""),120153.0)</f>
        <v>120153</v>
      </c>
      <c r="AA232" s="6" t="str">
        <f>IFERROR(__xludf.DUMMYFUNCTION("""COMPUTED_VALUE"""),"SANITAS")</f>
        <v>SANITAS</v>
      </c>
      <c r="AB232" s="6"/>
      <c r="AC232" s="6"/>
      <c r="AD232" s="12" t="str">
        <f>IFERROR(__xludf.DUMMYFUNCTION("""COMPUTED_VALUE"""),"1C")</f>
        <v>1C</v>
      </c>
      <c r="AE232" s="12">
        <f>IFERROR(__xludf.DUMMYFUNCTION("""COMPUTED_VALUE"""),1.345282294E9)</f>
        <v>1345282294</v>
      </c>
      <c r="AF232" s="6"/>
      <c r="AG232" s="12" t="str">
        <f>IFERROR(__xludf.DUMMYFUNCTION("""COMPUTED_VALUE"""),"Lina")</f>
        <v>Lina</v>
      </c>
      <c r="AH232" s="12" t="str">
        <f>IFERROR(__xludf.DUMMYFUNCTION("""COMPUTED_VALUE"""),"Maria")</f>
        <v>Maria</v>
      </c>
      <c r="AI232" s="6" t="str">
        <f>IFERROR(__xludf.DUMMYFUNCTION("""COMPUTED_VALUE"""),"Castro Díaz")</f>
        <v>Castro Díaz</v>
      </c>
      <c r="AJ232" s="6" t="str">
        <f>IFERROR(__xludf.DUMMYFUNCTION("""COMPUTED_VALUE"""),"linamcastro10@hotmail.com")</f>
        <v>linamcastro10@hotmail.com</v>
      </c>
      <c r="AK232" s="6" t="str">
        <f>IFERROR(__xludf.DUMMYFUNCTION("""COMPUTED_VALUE"""),"Abogada")</f>
        <v>Abogada</v>
      </c>
      <c r="AL232" s="6"/>
      <c r="AM232" s="12" t="str">
        <f>IFERROR(__xludf.DUMMYFUNCTION("""COMPUTED_VALUE"""),"41953196")</f>
        <v>41953196</v>
      </c>
      <c r="AN232" s="12" t="str">
        <f>IFERROR(__xludf.DUMMYFUNCTION("""COMPUTED_VALUE"""),"3116295491")</f>
        <v>3116295491</v>
      </c>
      <c r="AO232" s="6" t="str">
        <f>IFERROR(__xludf.DUMMYFUNCTION("""COMPUTED_VALUE"""),"Madre")</f>
        <v>Madre</v>
      </c>
      <c r="AP232" s="6" t="str">
        <f>IFERROR(__xludf.DUMMYFUNCTION("""COMPUTED_VALUE"""),"Estudiante(s): Villegas Castro")</f>
        <v>Estudiante(s): Villegas Castro</v>
      </c>
      <c r="AQ232" s="6" t="str">
        <f>IFERROR(__xludf.DUMMYFUNCTION("""COMPUTED_VALUE"""),"120153*Gi")</f>
        <v>120153*Gi</v>
      </c>
      <c r="AR232" s="6" t="str">
        <f>IFERROR(__xludf.DUMMYFUNCTION("""COMPUTED_VALUE"""),"Alvaro")</f>
        <v>Alvaro</v>
      </c>
      <c r="AS232" s="6" t="str">
        <f>IFERROR(__xludf.DUMMYFUNCTION("""COMPUTED_VALUE"""),"José")</f>
        <v>José</v>
      </c>
      <c r="AT232" s="6" t="str">
        <f>IFERROR(__xludf.DUMMYFUNCTION("""COMPUTED_VALUE"""),"Villegas Tobón")</f>
        <v>Villegas Tobón</v>
      </c>
      <c r="AU232" s="6" t="str">
        <f>IFERROR(__xludf.DUMMYFUNCTION("""COMPUTED_VALUE"""),"alvaro2@hotmail.com")</f>
        <v>alvaro2@hotmail.com</v>
      </c>
      <c r="AV232" s="6" t="str">
        <f>IFERROR(__xludf.DUMMYFUNCTION("""COMPUTED_VALUE"""),"Arquitecto")</f>
        <v>Arquitecto</v>
      </c>
      <c r="AW232" s="6" t="str">
        <f>IFERROR(__xludf.DUMMYFUNCTION("""COMPUTED_VALUE"""),"Global ICG")</f>
        <v>Global ICG</v>
      </c>
      <c r="AX232" s="12" t="str">
        <f>IFERROR(__xludf.DUMMYFUNCTION("""COMPUTED_VALUE"""),"80424016")</f>
        <v>80424016</v>
      </c>
      <c r="AY232" s="12" t="str">
        <f>IFERROR(__xludf.DUMMYFUNCTION("""COMPUTED_VALUE"""),"3158363366")</f>
        <v>3158363366</v>
      </c>
      <c r="AZ232" s="6" t="str">
        <f>IFERROR(__xludf.DUMMYFUNCTION("""COMPUTED_VALUE"""),"Padre")</f>
        <v>Padre</v>
      </c>
      <c r="BA232" s="6" t="str">
        <f>IFERROR(__xludf.DUMMYFUNCTION("""COMPUTED_VALUE"""),"VELENTINA VILLEGAS CASTRO")</f>
        <v>VELENTINA VILLEGAS CASTRO</v>
      </c>
      <c r="BB232" s="6">
        <f>IFERROR(__xludf.DUMMYFUNCTION("""COMPUTED_VALUE"""),3.158363366E9)</f>
        <v>3158363366</v>
      </c>
      <c r="BC232" s="6" t="str">
        <f>IFERROR(__xludf.DUMMYFUNCTION("""COMPUTED_VALUE"""),"Otro")</f>
        <v>Otro</v>
      </c>
      <c r="BD232" s="12" t="str">
        <f>IFERROR(__xludf.DUMMYFUNCTION("""COMPUTED_VALUE"""),"vil0002")</f>
        <v>vil0002</v>
      </c>
      <c r="BE232" s="6"/>
      <c r="BF232" s="6"/>
      <c r="BG232" s="6">
        <f>IFERROR(__xludf.DUMMYFUNCTION("""COMPUTED_VALUE"""),2038.0)</f>
        <v>2038</v>
      </c>
      <c r="BH232" s="15">
        <f>IFERROR(__xludf.DUMMYFUNCTION("""COMPUTED_VALUE"""),46207.560590277775)</f>
        <v>46207.56059</v>
      </c>
      <c r="BI232" s="6">
        <f>IFERROR(__xludf.DUMMYFUNCTION("""COMPUTED_VALUE"""),231.0)</f>
        <v>231</v>
      </c>
      <c r="BJ232" s="6"/>
      <c r="BK232" s="6"/>
      <c r="BL232" s="6" t="str">
        <f>IFERROR(__xludf.DUMMYFUNCTION("""COMPUTED_VALUE"""),"GISVIL0002")</f>
        <v>GISVIL0002</v>
      </c>
      <c r="BM232" s="6"/>
      <c r="BN232" s="6"/>
      <c r="BO232" s="6"/>
      <c r="BP232" s="6"/>
      <c r="BQ232" s="6"/>
      <c r="BR232" s="6"/>
      <c r="BS232" s="6"/>
      <c r="BT232" s="6"/>
      <c r="BU232" s="6" t="str">
        <f>IFERROR(__xludf.DUMMYFUNCTION("""COMPUTED_VALUE"""),"SI")</f>
        <v>SI</v>
      </c>
      <c r="BV232" s="6" t="str">
        <f>IFERROR(__xludf.DUMMYFUNCTION("""COMPUTED_VALUE"""),"santiago.v2038")</f>
        <v>santiago.v2038</v>
      </c>
      <c r="BW232" s="6"/>
      <c r="BX232" s="6"/>
      <c r="BY232" s="6"/>
      <c r="B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 t="str">
        <f>IFERROR(__xludf.DUMMYFUNCTION("""COMPUTED_VALUE"""),"Madre")</f>
        <v>Madre</v>
      </c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 t="str">
        <f>IFERROR(__xludf.DUMMYFUNCTION("""COMPUTED_VALUE"""),"Padre")</f>
        <v>Padre</v>
      </c>
      <c r="BA233" s="6"/>
      <c r="BB233" s="6"/>
      <c r="BC233" s="6"/>
      <c r="BD233" s="6"/>
      <c r="BE233" s="6"/>
      <c r="BF233" s="6"/>
      <c r="BG233" s="6"/>
      <c r="BH233" s="6"/>
      <c r="BI233" s="6">
        <f>IFERROR(__xludf.DUMMYFUNCTION("""COMPUTED_VALUE"""),232.0)</f>
        <v>232</v>
      </c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</row>
    <row r="234">
      <c r="A234" s="12">
        <f>IFERROR(__xludf.DUMMYFUNCTION("""COMPUTED_VALUE"""),1.092862522E9)</f>
        <v>1092862522</v>
      </c>
      <c r="B234" s="6">
        <f>IFERROR(__xludf.DUMMYFUNCTION("""COMPUTED_VALUE"""),1.0)</f>
        <v>1</v>
      </c>
      <c r="C234" s="6" t="str">
        <f>IFERROR(__xludf.DUMMYFUNCTION("""COMPUTED_VALUE"""),"Joaquín")</f>
        <v>Joaquín</v>
      </c>
      <c r="D234" s="6"/>
      <c r="E234" s="6" t="str">
        <f>IFERROR(__xludf.DUMMYFUNCTION("""COMPUTED_VALUE"""),"Cardozo Pérez")</f>
        <v>Cardozo Pérez</v>
      </c>
      <c r="F234" s="6" t="str">
        <f>IFERROR(__xludf.DUMMYFUNCTION("""COMPUTED_VALUE"""),"Conjunto Residencial PotosI Casa 28 - Km. 4 Via Calarca la Y")</f>
        <v>Conjunto Residencial PotosI Casa 28 - Km. 4 Via Calarca la Y</v>
      </c>
      <c r="G234" s="12" t="str">
        <f>IFERROR(__xludf.DUMMYFUNCTION("""COMPUTED_VALUE"""),"2018")</f>
        <v>2018</v>
      </c>
      <c r="H234" s="6" t="str">
        <f>IFERROR(__xludf.DUMMYFUNCTION("""COMPUTED_VALUE"""),"Noviembre")</f>
        <v>Noviembre</v>
      </c>
      <c r="I234" s="12" t="str">
        <f>IFERROR(__xludf.DUMMYFUNCTION("""COMPUTED_VALUE"""),"12")</f>
        <v>12</v>
      </c>
      <c r="J234" s="6" t="str">
        <f>IFERROR(__xludf.DUMMYFUNCTION("""COMPUTED_VALUE"""),"Armenia")</f>
        <v>Armenia</v>
      </c>
      <c r="K234" s="6" t="str">
        <f>IFERROR(__xludf.DUMMYFUNCTION("""COMPUTED_VALUE"""),"joaquin.c2037@gi.edu.co")</f>
        <v>joaquin.c2037@gi.edu.co</v>
      </c>
      <c r="L234" s="6" t="str">
        <f>IFERROR(__xludf.DUMMYFUNCTION("""COMPUTED_VALUE"""),"TI")</f>
        <v>TI</v>
      </c>
      <c r="M234" s="6" t="str">
        <f>IFERROR(__xludf.DUMMYFUNCTION("""COMPUTED_VALUE"""),"Armenia")</f>
        <v>Armenia</v>
      </c>
      <c r="N234" s="6" t="str">
        <f>IFERROR(__xludf.DUMMYFUNCTION("""COMPUTED_VALUE"""),"M")</f>
        <v>M</v>
      </c>
      <c r="O234" s="6" t="str">
        <f>IFERROR(__xludf.DUMMYFUNCTION("""COMPUTED_VALUE"""),"ACTIVE")</f>
        <v>ACTIVE</v>
      </c>
      <c r="P234" s="6"/>
      <c r="Q234" s="6" t="str">
        <f>IFERROR(__xludf.DUMMYFUNCTION("""COMPUTED_VALUE"""),"Armenia")</f>
        <v>Armenia</v>
      </c>
      <c r="R234" s="12" t="str">
        <f>IFERROR(__xludf.DUMMYFUNCTION("""COMPUTED_VALUE"""),"Gi29fj3c*")</f>
        <v>Gi29fj3c*</v>
      </c>
      <c r="S234" s="6" t="str">
        <f>IFERROR(__xludf.DUMMYFUNCTION("""COMPUTED_VALUE"""),"Cardozo Pérez Joaquín ")</f>
        <v>Cardozo Pérez Joaquín </v>
      </c>
      <c r="T234" s="6" t="str">
        <f>IFERROR(__xludf.DUMMYFUNCTION("""COMPUTED_VALUE"""),"ANDRÉS FELIPE CARDOZO LÓPEZ")</f>
        <v>ANDRÉS FELIPE CARDOZO LÓPEZ</v>
      </c>
      <c r="U234" s="12" t="str">
        <f>IFERROR(__xludf.DUMMYFUNCTION("""COMPUTED_VALUE"""),"1094896471")</f>
        <v>1094896471</v>
      </c>
      <c r="V234" s="6">
        <f>IFERROR(__xludf.DUMMYFUNCTION("""COMPUTED_VALUE"""),3.022900967E9)</f>
        <v>3022900967</v>
      </c>
      <c r="W234" s="6" t="str">
        <f>IFERROR(__xludf.DUMMYFUNCTION("""COMPUTED_VALUE"""),"comercial@aletta.com.co")</f>
        <v>comercial@aletta.com.co</v>
      </c>
      <c r="X234" s="12" t="str">
        <f>IFERROR(__xludf.DUMMYFUNCTION("""COMPUTED_VALUE"""),"O+")</f>
        <v>O+</v>
      </c>
      <c r="Y234" s="12" t="str">
        <f>IFERROR(__xludf.DUMMYFUNCTION("""COMPUTED_VALUE"""),"2")</f>
        <v>2</v>
      </c>
      <c r="Z234" s="12">
        <f>IFERROR(__xludf.DUMMYFUNCTION("""COMPUTED_VALUE"""),120214.0)</f>
        <v>120214</v>
      </c>
      <c r="AA234" s="6" t="str">
        <f>IFERROR(__xludf.DUMMYFUNCTION("""COMPUTED_VALUE"""),"SANITAS")</f>
        <v>SANITAS</v>
      </c>
      <c r="AB234" s="6"/>
      <c r="AC234" s="12" t="str">
        <f>IFERROR(__xludf.DUMMYFUNCTION("""COMPUTED_VALUE"""),"perros y gatos")</f>
        <v>perros y gatos</v>
      </c>
      <c r="AD234" s="12" t="str">
        <f>IFERROR(__xludf.DUMMYFUNCTION("""COMPUTED_VALUE"""),"2A")</f>
        <v>2A</v>
      </c>
      <c r="AE234" s="12">
        <f>IFERROR(__xludf.DUMMYFUNCTION("""COMPUTED_VALUE"""),1.345282203E9)</f>
        <v>1345282203</v>
      </c>
      <c r="AF234" s="12" t="str">
        <f>IFERROR(__xludf.DUMMYFUNCTION("""COMPUTED_VALUE"""),"1345282203")</f>
        <v>1345282203</v>
      </c>
      <c r="AG234" s="12" t="str">
        <f>IFERROR(__xludf.DUMMYFUNCTION("""COMPUTED_VALUE"""),"Valentina")</f>
        <v>Valentina</v>
      </c>
      <c r="AH234" s="6"/>
      <c r="AI234" s="6" t="str">
        <f>IFERROR(__xludf.DUMMYFUNCTION("""COMPUTED_VALUE"""),"Pérez Suárez")</f>
        <v>Pérez Suárez</v>
      </c>
      <c r="AJ234" s="6" t="str">
        <f>IFERROR(__xludf.DUMMYFUNCTION("""COMPUTED_VALUE"""),"valentinaperezsuarez@hotmail.com")</f>
        <v>valentinaperezsuarez@hotmail.com</v>
      </c>
      <c r="AK234" s="6" t="str">
        <f>IFERROR(__xludf.DUMMYFUNCTION("""COMPUTED_VALUE"""),"Administradora de empresas")</f>
        <v>Administradora de empresas</v>
      </c>
      <c r="AL234" s="6"/>
      <c r="AM234" s="12" t="str">
        <f>IFERROR(__xludf.DUMMYFUNCTION("""COMPUTED_VALUE"""),"1094907906")</f>
        <v>1094907906</v>
      </c>
      <c r="AN234" s="12" t="str">
        <f>IFERROR(__xludf.DUMMYFUNCTION("""COMPUTED_VALUE"""),"3136321485")</f>
        <v>3136321485</v>
      </c>
      <c r="AO234" s="6" t="str">
        <f>IFERROR(__xludf.DUMMYFUNCTION("""COMPUTED_VALUE"""),"Madre")</f>
        <v>Madre</v>
      </c>
      <c r="AP234" s="6" t="str">
        <f>IFERROR(__xludf.DUMMYFUNCTION("""COMPUTED_VALUE"""),"Estudiante(s): Cardozo Pérez")</f>
        <v>Estudiante(s): Cardozo Pérez</v>
      </c>
      <c r="AQ234" s="6" t="str">
        <f>IFERROR(__xludf.DUMMYFUNCTION("""COMPUTED_VALUE"""),"120214*Gi")</f>
        <v>120214*Gi</v>
      </c>
      <c r="AR234" s="6" t="str">
        <f>IFERROR(__xludf.DUMMYFUNCTION("""COMPUTED_VALUE"""),"Andrés")</f>
        <v>Andrés</v>
      </c>
      <c r="AS234" s="6" t="str">
        <f>IFERROR(__xludf.DUMMYFUNCTION("""COMPUTED_VALUE"""),"Felipe")</f>
        <v>Felipe</v>
      </c>
      <c r="AT234" s="6" t="str">
        <f>IFERROR(__xludf.DUMMYFUNCTION("""COMPUTED_VALUE"""),"Cardozo López")</f>
        <v>Cardozo López</v>
      </c>
      <c r="AU234" s="6" t="str">
        <f>IFERROR(__xludf.DUMMYFUNCTION("""COMPUTED_VALUE"""),"comercial@aletta.com.co")</f>
        <v>comercial@aletta.com.co</v>
      </c>
      <c r="AV234" s="6" t="str">
        <f>IFERROR(__xludf.DUMMYFUNCTION("""COMPUTED_VALUE"""),"abogado")</f>
        <v>abogado</v>
      </c>
      <c r="AW234" s="6"/>
      <c r="AX234" s="12" t="str">
        <f>IFERROR(__xludf.DUMMYFUNCTION("""COMPUTED_VALUE"""),"1094896471")</f>
        <v>1094896471</v>
      </c>
      <c r="AY234" s="12" t="str">
        <f>IFERROR(__xludf.DUMMYFUNCTION("""COMPUTED_VALUE"""),"3022900967")</f>
        <v>3022900967</v>
      </c>
      <c r="AZ234" s="6" t="str">
        <f>IFERROR(__xludf.DUMMYFUNCTION("""COMPUTED_VALUE"""),"Padre")</f>
        <v>Padre</v>
      </c>
      <c r="BA234" s="6"/>
      <c r="BB234" s="6"/>
      <c r="BC234" s="6"/>
      <c r="BD234" s="12" t="str">
        <f>IFERROR(__xludf.DUMMYFUNCTION("""COMPUTED_VALUE"""),"car0003")</f>
        <v>car0003</v>
      </c>
      <c r="BE234" s="6"/>
      <c r="BF234" s="6"/>
      <c r="BG234" s="6">
        <f>IFERROR(__xludf.DUMMYFUNCTION("""COMPUTED_VALUE"""),2037.0)</f>
        <v>2037</v>
      </c>
      <c r="BH234" s="15">
        <f>IFERROR(__xludf.DUMMYFUNCTION("""COMPUTED_VALUE"""),46256.68482638889)</f>
        <v>46256.68483</v>
      </c>
      <c r="BI234" s="6">
        <f>IFERROR(__xludf.DUMMYFUNCTION("""COMPUTED_VALUE"""),233.0)</f>
        <v>233</v>
      </c>
      <c r="BJ234" s="6"/>
      <c r="BK234" s="6" t="str">
        <f>IFERROR(__xludf.DUMMYFUNCTION("""COMPUTED_VALUE"""),"Si: Alerfast")</f>
        <v>Si: Alerfast</v>
      </c>
      <c r="BL234" s="6" t="str">
        <f>IFERROR(__xludf.DUMMYFUNCTION("""COMPUTED_VALUE"""),"GISCAR0003")</f>
        <v>GISCAR0003</v>
      </c>
      <c r="BM234" s="6"/>
      <c r="BN234" s="6"/>
      <c r="BO234" s="6"/>
      <c r="BP234" s="6" t="str">
        <f>IFERROR(__xludf.DUMMYFUNCTION("""COMPUTED_VALUE"""),"XC_23_Futbol_M")</f>
        <v>XC_23_Futbol_M</v>
      </c>
      <c r="BQ234" s="6"/>
      <c r="BR234" s="6"/>
      <c r="BS234" s="6" t="str">
        <f>IFERROR(__xludf.DUMMYFUNCTION("""COMPUTED_VALUE"""),"XC_23_Futbol_M")</f>
        <v>XC_23_Futbol_M</v>
      </c>
      <c r="BT234" s="6" t="str">
        <f>IFERROR(__xludf.DUMMYFUNCTION("""COMPUTED_VALUE"""),"XC_23_Futbol_M")</f>
        <v>XC_23_Futbol_M</v>
      </c>
      <c r="BU234" s="6" t="str">
        <f>IFERROR(__xludf.DUMMYFUNCTION("""COMPUTED_VALUE"""),"SI")</f>
        <v>SI</v>
      </c>
      <c r="BV234" s="6" t="str">
        <f>IFERROR(__xludf.DUMMYFUNCTION("""COMPUTED_VALUE"""),"joaquin.c2037")</f>
        <v>joaquin.c2037</v>
      </c>
      <c r="BW234" s="6"/>
      <c r="BX234" s="6"/>
      <c r="BY234" s="6"/>
      <c r="BZ234" s="6"/>
    </row>
    <row r="235">
      <c r="A235" s="12">
        <f>IFERROR(__xludf.DUMMYFUNCTION("""COMPUTED_VALUE"""),1.092862629E9)</f>
        <v>1092862629</v>
      </c>
      <c r="B235" s="6">
        <f>IFERROR(__xludf.DUMMYFUNCTION("""COMPUTED_VALUE"""),2.0)</f>
        <v>2</v>
      </c>
      <c r="C235" s="6" t="str">
        <f>IFERROR(__xludf.DUMMYFUNCTION("""COMPUTED_VALUE"""),"Sofía")</f>
        <v>Sofía</v>
      </c>
      <c r="D235" s="6"/>
      <c r="E235" s="6" t="str">
        <f>IFERROR(__xludf.DUMMYFUNCTION("""COMPUTED_VALUE"""),"Celades Silva")</f>
        <v>Celades Silva</v>
      </c>
      <c r="F235" s="6" t="str">
        <f>IFERROR(__xludf.DUMMYFUNCTION("""COMPUTED_VALUE"""),"Edificio Monticello Apto 202 - Cra 13 No15Nte - 43 El Nogal")</f>
        <v>Edificio Monticello Apto 202 - Cra 13 No15Nte - 43 El Nogal</v>
      </c>
      <c r="G235" s="12" t="str">
        <f>IFERROR(__xludf.DUMMYFUNCTION("""COMPUTED_VALUE"""),"2018")</f>
        <v>2018</v>
      </c>
      <c r="H235" s="6" t="str">
        <f>IFERROR(__xludf.DUMMYFUNCTION("""COMPUTED_VALUE"""),"Diciembre")</f>
        <v>Diciembre</v>
      </c>
      <c r="I235" s="12" t="str">
        <f>IFERROR(__xludf.DUMMYFUNCTION("""COMPUTED_VALUE"""),"1")</f>
        <v>1</v>
      </c>
      <c r="J235" s="6" t="str">
        <f>IFERROR(__xludf.DUMMYFUNCTION("""COMPUTED_VALUE"""),"Armenia")</f>
        <v>Armenia</v>
      </c>
      <c r="K235" s="6" t="str">
        <f>IFERROR(__xludf.DUMMYFUNCTION("""COMPUTED_VALUE"""),"sofia.c2037@gi.edu.co")</f>
        <v>sofia.c2037@gi.edu.co</v>
      </c>
      <c r="L235" s="6" t="str">
        <f>IFERROR(__xludf.DUMMYFUNCTION("""COMPUTED_VALUE"""),"RC")</f>
        <v>RC</v>
      </c>
      <c r="M235" s="6" t="str">
        <f>IFERROR(__xludf.DUMMYFUNCTION("""COMPUTED_VALUE"""),"Armenia")</f>
        <v>Armenia</v>
      </c>
      <c r="N235" s="6" t="str">
        <f>IFERROR(__xludf.DUMMYFUNCTION("""COMPUTED_VALUE"""),"F")</f>
        <v>F</v>
      </c>
      <c r="O235" s="6" t="str">
        <f>IFERROR(__xludf.DUMMYFUNCTION("""COMPUTED_VALUE"""),"INACTIVE")</f>
        <v>INACTIVE</v>
      </c>
      <c r="P235" s="6"/>
      <c r="Q235" s="6" t="str">
        <f>IFERROR(__xludf.DUMMYFUNCTION("""COMPUTED_VALUE"""),"Armenia")</f>
        <v>Armenia</v>
      </c>
      <c r="R235" s="12" t="str">
        <f>IFERROR(__xludf.DUMMYFUNCTION("""COMPUTED_VALUE"""),"Gi4ud69j*")</f>
        <v>Gi4ud69j*</v>
      </c>
      <c r="S235" s="6" t="str">
        <f>IFERROR(__xludf.DUMMYFUNCTION("""COMPUTED_VALUE"""),"Celades Silva Sofía ")</f>
        <v>Celades Silva Sofía </v>
      </c>
      <c r="T235" s="6" t="str">
        <f>IFERROR(__xludf.DUMMYFUNCTION("""COMPUTED_VALUE"""),"JOSÉ FERNANDO CELADES HERNANDEZ")</f>
        <v>JOSÉ FERNANDO CELADES HERNANDEZ</v>
      </c>
      <c r="U235" s="12" t="str">
        <f>IFERROR(__xludf.DUMMYFUNCTION("""COMPUTED_VALUE"""),"10098597")</f>
        <v>10098597</v>
      </c>
      <c r="V235" s="6">
        <f>IFERROR(__xludf.DUMMYFUNCTION("""COMPUTED_VALUE"""),3.117614743E9)</f>
        <v>3117614743</v>
      </c>
      <c r="W235" s="6" t="str">
        <f>IFERROR(__xludf.DUMMYFUNCTION("""COMPUTED_VALUE"""),"josefernandocelades@gmail.com")</f>
        <v>josefernandocelades@gmail.com</v>
      </c>
      <c r="X235" s="12" t="str">
        <f>IFERROR(__xludf.DUMMYFUNCTION("""COMPUTED_VALUE"""),"O+")</f>
        <v>O+</v>
      </c>
      <c r="Y235" s="12" t="str">
        <f>IFERROR(__xludf.DUMMYFUNCTION("""COMPUTED_VALUE"""),"2")</f>
        <v>2</v>
      </c>
      <c r="Z235" s="12">
        <f>IFERROR(__xludf.DUMMYFUNCTION("""COMPUTED_VALUE"""),120250.0)</f>
        <v>120250</v>
      </c>
      <c r="AA235" s="6" t="str">
        <f>IFERROR(__xludf.DUMMYFUNCTION("""COMPUTED_VALUE"""),"SURA")</f>
        <v>SURA</v>
      </c>
      <c r="AB235" s="6" t="str">
        <f>IFERROR(__xludf.DUMMYFUNCTION("""COMPUTED_VALUE"""),"EMI (PLAN PREFERENCIAL EPS SURA)")</f>
        <v>EMI (PLAN PREFERENCIAL EPS SURA)</v>
      </c>
      <c r="AC235" s="6"/>
      <c r="AD235" s="12" t="str">
        <f>IFERROR(__xludf.DUMMYFUNCTION("""COMPUTED_VALUE"""),"2A")</f>
        <v>2A</v>
      </c>
      <c r="AE235" s="12">
        <f>IFERROR(__xludf.DUMMYFUNCTION("""COMPUTED_VALUE"""),1.345282236E9)</f>
        <v>1345282236</v>
      </c>
      <c r="AF235" s="12" t="str">
        <f>IFERROR(__xludf.DUMMYFUNCTION("""COMPUTED_VALUE"""),"1345282236")</f>
        <v>1345282236</v>
      </c>
      <c r="AG235" s="12" t="str">
        <f>IFERROR(__xludf.DUMMYFUNCTION("""COMPUTED_VALUE"""),"Paula")</f>
        <v>Paula</v>
      </c>
      <c r="AH235" s="12" t="str">
        <f>IFERROR(__xludf.DUMMYFUNCTION("""COMPUTED_VALUE"""),"Andrea")</f>
        <v>Andrea</v>
      </c>
      <c r="AI235" s="6" t="str">
        <f>IFERROR(__xludf.DUMMYFUNCTION("""COMPUTED_VALUE"""),"Silva Amaya")</f>
        <v>Silva Amaya</v>
      </c>
      <c r="AJ235" s="6" t="str">
        <f>IFERROR(__xludf.DUMMYFUNCTION("""COMPUTED_VALUE"""),"gestionjuridica@hotmail.com")</f>
        <v>gestionjuridica@hotmail.com</v>
      </c>
      <c r="AK235" s="6" t="str">
        <f>IFERROR(__xludf.DUMMYFUNCTION("""COMPUTED_VALUE"""),"Abogada")</f>
        <v>Abogada</v>
      </c>
      <c r="AL235" s="6" t="str">
        <f>IFERROR(__xludf.DUMMYFUNCTION("""COMPUTED_VALUE"""),"DIAN")</f>
        <v>DIAN</v>
      </c>
      <c r="AM235" s="12" t="str">
        <f>IFERROR(__xludf.DUMMYFUNCTION("""COMPUTED_VALUE"""),"41944222")</f>
        <v>41944222</v>
      </c>
      <c r="AN235" s="12" t="str">
        <f>IFERROR(__xludf.DUMMYFUNCTION("""COMPUTED_VALUE"""),"3117463959")</f>
        <v>3117463959</v>
      </c>
      <c r="AO235" s="6" t="str">
        <f>IFERROR(__xludf.DUMMYFUNCTION("""COMPUTED_VALUE"""),"Madre")</f>
        <v>Madre</v>
      </c>
      <c r="AP235" s="6" t="str">
        <f>IFERROR(__xludf.DUMMYFUNCTION("""COMPUTED_VALUE"""),"Estudiante(s): Celades Silva")</f>
        <v>Estudiante(s): Celades Silva</v>
      </c>
      <c r="AQ235" s="6" t="str">
        <f>IFERROR(__xludf.DUMMYFUNCTION("""COMPUTED_VALUE"""),"102940*Gi")</f>
        <v>102940*Gi</v>
      </c>
      <c r="AR235" s="6" t="str">
        <f>IFERROR(__xludf.DUMMYFUNCTION("""COMPUTED_VALUE"""),"José")</f>
        <v>José</v>
      </c>
      <c r="AS235" s="6" t="str">
        <f>IFERROR(__xludf.DUMMYFUNCTION("""COMPUTED_VALUE"""),"Fernando")</f>
        <v>Fernando</v>
      </c>
      <c r="AT235" s="6" t="str">
        <f>IFERROR(__xludf.DUMMYFUNCTION("""COMPUTED_VALUE"""),"Celades Hernández")</f>
        <v>Celades Hernández</v>
      </c>
      <c r="AU235" s="6" t="str">
        <f>IFERROR(__xludf.DUMMYFUNCTION("""COMPUTED_VALUE"""),"josefernandocelades@gmail.com")</f>
        <v>josefernandocelades@gmail.com</v>
      </c>
      <c r="AV235" s="6" t="str">
        <f>IFERROR(__xludf.DUMMYFUNCTION("""COMPUTED_VALUE"""),"MÉDICO - ABOGADO")</f>
        <v>MÉDICO - ABOGADO</v>
      </c>
      <c r="AW235" s="6" t="str">
        <f>IFERROR(__xludf.DUMMYFUNCTION("""COMPUTED_VALUE"""),"HOSPITAL SAN JUAN DE DIOS")</f>
        <v>HOSPITAL SAN JUAN DE DIOS</v>
      </c>
      <c r="AX235" s="12" t="str">
        <f>IFERROR(__xludf.DUMMYFUNCTION("""COMPUTED_VALUE"""),"10098597")</f>
        <v>10098597</v>
      </c>
      <c r="AY235" s="12" t="str">
        <f>IFERROR(__xludf.DUMMYFUNCTION("""COMPUTED_VALUE"""),"3117614743")</f>
        <v>3117614743</v>
      </c>
      <c r="AZ235" s="6" t="str">
        <f>IFERROR(__xludf.DUMMYFUNCTION("""COMPUTED_VALUE"""),"Padre")</f>
        <v>Padre</v>
      </c>
      <c r="BA235" s="6"/>
      <c r="BB235" s="6"/>
      <c r="BC235" s="6"/>
      <c r="BD235" s="12" t="str">
        <f>IFERROR(__xludf.DUMMYFUNCTION("""COMPUTED_VALUE"""),"cel0001")</f>
        <v>cel0001</v>
      </c>
      <c r="BE235" s="6" t="str">
        <f>IFERROR(__xludf.DUMMYFUNCTION("""COMPUTED_VALUE"""),"FALTAN FIRMAS")</f>
        <v>FALTAN FIRMAS</v>
      </c>
      <c r="BF235" s="6"/>
      <c r="BG235" s="6">
        <f>IFERROR(__xludf.DUMMYFUNCTION("""COMPUTED_VALUE"""),2037.0)</f>
        <v>2037</v>
      </c>
      <c r="BH235" s="15">
        <f>IFERROR(__xludf.DUMMYFUNCTION("""COMPUTED_VALUE"""),46209.96119212963)</f>
        <v>46209.96119</v>
      </c>
      <c r="BI235" s="6">
        <f>IFERROR(__xludf.DUMMYFUNCTION("""COMPUTED_VALUE"""),234.0)</f>
        <v>234</v>
      </c>
      <c r="BJ235" s="6"/>
      <c r="BK235" s="6"/>
      <c r="BL235" s="6" t="str">
        <f>IFERROR(__xludf.DUMMYFUNCTION("""COMPUTED_VALUE"""),"GISCEL0001")</f>
        <v>GISCEL0001</v>
      </c>
      <c r="BM235" s="6"/>
      <c r="BN235" s="6"/>
      <c r="BO235" s="6"/>
      <c r="BP235" s="6" t="str">
        <f>IFERROR(__xludf.DUMMYFUNCTION("""COMPUTED_VALUE"""),"XC_EL_Taekwondo")</f>
        <v>XC_EL_Taekwondo</v>
      </c>
      <c r="BQ235" s="6" t="str">
        <f>IFERROR(__xludf.DUMMYFUNCTION("""COMPUTED_VALUE"""),"XC_EL_Taekwondo")</f>
        <v>XC_EL_Taekwondo</v>
      </c>
      <c r="BR235" s="6" t="str">
        <f>IFERROR(__xludf.DUMMYFUNCTION("""COMPUTED_VALUE"""),"XC_EL_PequenosCientificos")</f>
        <v>XC_EL_PequenosCientificos</v>
      </c>
      <c r="BS235" s="6" t="str">
        <f>IFERROR(__xludf.DUMMYFUNCTION("""COMPUTED_VALUE"""),"XC_EL_Taekwondo")</f>
        <v>XC_EL_Taekwondo</v>
      </c>
      <c r="BT235" s="6"/>
      <c r="BU235" s="6" t="str">
        <f>IFERROR(__xludf.DUMMYFUNCTION("""COMPUTED_VALUE"""),"SI")</f>
        <v>SI</v>
      </c>
      <c r="BV235" s="6" t="str">
        <f>IFERROR(__xludf.DUMMYFUNCTION("""COMPUTED_VALUE"""),"sofia.c2037")</f>
        <v>sofia.c2037</v>
      </c>
      <c r="BW235" s="6"/>
      <c r="BX235" s="6"/>
      <c r="BY235" s="6"/>
      <c r="BZ235" s="6"/>
    </row>
    <row r="236">
      <c r="A236" s="12">
        <f>IFERROR(__xludf.DUMMYFUNCTION("""COMPUTED_VALUE"""),1.092862805E9)</f>
        <v>1092862805</v>
      </c>
      <c r="B236" s="6">
        <f>IFERROR(__xludf.DUMMYFUNCTION("""COMPUTED_VALUE"""),3.0)</f>
        <v>3</v>
      </c>
      <c r="C236" s="6" t="str">
        <f>IFERROR(__xludf.DUMMYFUNCTION("""COMPUTED_VALUE"""),"Pedro")</f>
        <v>Pedro</v>
      </c>
      <c r="D236" s="6"/>
      <c r="E236" s="6" t="str">
        <f>IFERROR(__xludf.DUMMYFUNCTION("""COMPUTED_VALUE"""),"Escobar Cárdenas")</f>
        <v>Escobar Cárdenas</v>
      </c>
      <c r="F236" s="6" t="str">
        <f>IFERROR(__xludf.DUMMYFUNCTION("""COMPUTED_VALUE"""),"Calle 11Nte No9-55 Conjunto Colina de la Castellana Casa 10 - La Castellana")</f>
        <v>Calle 11Nte No9-55 Conjunto Colina de la Castellana Casa 10 - La Castellana</v>
      </c>
      <c r="G236" s="12" t="str">
        <f>IFERROR(__xludf.DUMMYFUNCTION("""COMPUTED_VALUE"""),"2019")</f>
        <v>2019</v>
      </c>
      <c r="H236" s="6" t="str">
        <f>IFERROR(__xludf.DUMMYFUNCTION("""COMPUTED_VALUE"""),"Marzo")</f>
        <v>Marzo</v>
      </c>
      <c r="I236" s="12" t="str">
        <f>IFERROR(__xludf.DUMMYFUNCTION("""COMPUTED_VALUE"""),"2")</f>
        <v>2</v>
      </c>
      <c r="J236" s="6" t="str">
        <f>IFERROR(__xludf.DUMMYFUNCTION("""COMPUTED_VALUE"""),"Armenia")</f>
        <v>Armenia</v>
      </c>
      <c r="K236" s="6" t="str">
        <f>IFERROR(__xludf.DUMMYFUNCTION("""COMPUTED_VALUE"""),"pedro.e2037@gi.edu.co")</f>
        <v>pedro.e2037@gi.edu.co</v>
      </c>
      <c r="L236" s="6" t="str">
        <f>IFERROR(__xludf.DUMMYFUNCTION("""COMPUTED_VALUE"""),"RC")</f>
        <v>RC</v>
      </c>
      <c r="M236" s="6" t="str">
        <f>IFERROR(__xludf.DUMMYFUNCTION("""COMPUTED_VALUE"""),"Armenia")</f>
        <v>Armenia</v>
      </c>
      <c r="N236" s="6" t="str">
        <f>IFERROR(__xludf.DUMMYFUNCTION("""COMPUTED_VALUE"""),"M")</f>
        <v>M</v>
      </c>
      <c r="O236" s="6" t="str">
        <f>IFERROR(__xludf.DUMMYFUNCTION("""COMPUTED_VALUE"""),"ACTIVE")</f>
        <v>ACTIVE</v>
      </c>
      <c r="P236" s="6"/>
      <c r="Q236" s="6" t="str">
        <f>IFERROR(__xludf.DUMMYFUNCTION("""COMPUTED_VALUE"""),"Armenia")</f>
        <v>Armenia</v>
      </c>
      <c r="R236" s="12" t="str">
        <f>IFERROR(__xludf.DUMMYFUNCTION("""COMPUTED_VALUE"""),"GiKjQf3D*")</f>
        <v>GiKjQf3D*</v>
      </c>
      <c r="S236" s="6" t="str">
        <f>IFERROR(__xludf.DUMMYFUNCTION("""COMPUTED_VALUE"""),"Escobar Cárdenas Pedro ")</f>
        <v>Escobar Cárdenas Pedro </v>
      </c>
      <c r="T236" s="6" t="str">
        <f>IFERROR(__xludf.DUMMYFUNCTION("""COMPUTED_VALUE"""),"ALEJANDRA CÁRDENAS GÓMEZ")</f>
        <v>ALEJANDRA CÁRDENAS GÓMEZ</v>
      </c>
      <c r="U236" s="12" t="str">
        <f>IFERROR(__xludf.DUMMYFUNCTION("""COMPUTED_VALUE"""),"41961200")</f>
        <v>41961200</v>
      </c>
      <c r="V236" s="6">
        <f>IFERROR(__xludf.DUMMYFUNCTION("""COMPUTED_VALUE"""),3.117647867E9)</f>
        <v>3117647867</v>
      </c>
      <c r="W236" s="6" t="str">
        <f>IFERROR(__xludf.DUMMYFUNCTION("""COMPUTED_VALUE"""),"acg288@hotmail.com")</f>
        <v>acg288@hotmail.com</v>
      </c>
      <c r="X236" s="12" t="str">
        <f>IFERROR(__xludf.DUMMYFUNCTION("""COMPUTED_VALUE"""),"A+")</f>
        <v>A+</v>
      </c>
      <c r="Y236" s="12" t="str">
        <f>IFERROR(__xludf.DUMMYFUNCTION("""COMPUTED_VALUE"""),"2")</f>
        <v>2</v>
      </c>
      <c r="Z236" s="12">
        <f>IFERROR(__xludf.DUMMYFUNCTION("""COMPUTED_VALUE"""),120186.0)</f>
        <v>120186</v>
      </c>
      <c r="AA236" s="6" t="str">
        <f>IFERROR(__xludf.DUMMYFUNCTION("""COMPUTED_VALUE"""),"SURA")</f>
        <v>SURA</v>
      </c>
      <c r="AB236" s="6"/>
      <c r="AC236" s="6"/>
      <c r="AD236" s="12" t="str">
        <f>IFERROR(__xludf.DUMMYFUNCTION("""COMPUTED_VALUE"""),"2A")</f>
        <v>2A</v>
      </c>
      <c r="AE236" s="12">
        <f>IFERROR(__xludf.DUMMYFUNCTION("""COMPUTED_VALUE"""),1.345282151E9)</f>
        <v>1345282151</v>
      </c>
      <c r="AF236" s="12" t="str">
        <f>IFERROR(__xludf.DUMMYFUNCTION("""COMPUTED_VALUE"""),"1345282151")</f>
        <v>1345282151</v>
      </c>
      <c r="AG236" s="12" t="str">
        <f>IFERROR(__xludf.DUMMYFUNCTION("""COMPUTED_VALUE"""),"Alejandra")</f>
        <v>Alejandra</v>
      </c>
      <c r="AH236" s="6"/>
      <c r="AI236" s="6" t="str">
        <f>IFERROR(__xludf.DUMMYFUNCTION("""COMPUTED_VALUE"""),"Cárdenas Gómez")</f>
        <v>Cárdenas Gómez</v>
      </c>
      <c r="AJ236" s="6" t="str">
        <f>IFERROR(__xludf.DUMMYFUNCTION("""COMPUTED_VALUE"""),"acg288@hotmail.com")</f>
        <v>acg288@hotmail.com</v>
      </c>
      <c r="AK236" s="6" t="str">
        <f>IFERROR(__xludf.DUMMYFUNCTION("""COMPUTED_VALUE"""),"Comunicadora Social")</f>
        <v>Comunicadora Social</v>
      </c>
      <c r="AL236" s="6" t="str">
        <f>IFERROR(__xludf.DUMMYFUNCTION("""COMPUTED_VALUE"""),"Cabalgatas El Carmelo")</f>
        <v>Cabalgatas El Carmelo</v>
      </c>
      <c r="AM236" s="12" t="str">
        <f>IFERROR(__xludf.DUMMYFUNCTION("""COMPUTED_VALUE"""),"41961200")</f>
        <v>41961200</v>
      </c>
      <c r="AN236" s="12" t="str">
        <f>IFERROR(__xludf.DUMMYFUNCTION("""COMPUTED_VALUE"""),"3117647867")</f>
        <v>3117647867</v>
      </c>
      <c r="AO236" s="6" t="str">
        <f>IFERROR(__xludf.DUMMYFUNCTION("""COMPUTED_VALUE"""),"Madre")</f>
        <v>Madre</v>
      </c>
      <c r="AP236" s="6" t="str">
        <f>IFERROR(__xludf.DUMMYFUNCTION("""COMPUTED_VALUE"""),"Estudiante(s): Escobar Cárdenas")</f>
        <v>Estudiante(s): Escobar Cárdenas</v>
      </c>
      <c r="AQ236" s="6" t="str">
        <f>IFERROR(__xludf.DUMMYFUNCTION("""COMPUTED_VALUE"""),"103631*Gi")</f>
        <v>103631*Gi</v>
      </c>
      <c r="AR236" s="6" t="str">
        <f>IFERROR(__xludf.DUMMYFUNCTION("""COMPUTED_VALUE"""),"Andrés")</f>
        <v>Andrés</v>
      </c>
      <c r="AS236" s="6"/>
      <c r="AT236" s="6" t="str">
        <f>IFERROR(__xludf.DUMMYFUNCTION("""COMPUTED_VALUE"""),"Escobar Botero")</f>
        <v>Escobar Botero</v>
      </c>
      <c r="AU236" s="6" t="str">
        <f>IFERROR(__xludf.DUMMYFUNCTION("""COMPUTED_VALUE"""),"andresescobar78@hotmail.com")</f>
        <v>andresescobar78@hotmail.com</v>
      </c>
      <c r="AV236" s="6" t="str">
        <f>IFERROR(__xludf.DUMMYFUNCTION("""COMPUTED_VALUE"""),"Agricultor")</f>
        <v>Agricultor</v>
      </c>
      <c r="AW236" s="6" t="str">
        <f>IFERROR(__xludf.DUMMYFUNCTION("""COMPUTED_VALUE"""),"Granja La Siria")</f>
        <v>Granja La Siria</v>
      </c>
      <c r="AX236" s="12" t="str">
        <f>IFERROR(__xludf.DUMMYFUNCTION("""COMPUTED_VALUE"""),"4377000")</f>
        <v>4377000</v>
      </c>
      <c r="AY236" s="12" t="str">
        <f>IFERROR(__xludf.DUMMYFUNCTION("""COMPUTED_VALUE"""),"3117472628")</f>
        <v>3117472628</v>
      </c>
      <c r="AZ236" s="6" t="str">
        <f>IFERROR(__xludf.DUMMYFUNCTION("""COMPUTED_VALUE"""),"Padre")</f>
        <v>Padre</v>
      </c>
      <c r="BA236" s="6"/>
      <c r="BB236" s="6"/>
      <c r="BC236" s="6"/>
      <c r="BD236" s="12" t="str">
        <f>IFERROR(__xludf.DUMMYFUNCTION("""COMPUTED_VALUE"""),"esc0002")</f>
        <v>esc0002</v>
      </c>
      <c r="BE236" s="6"/>
      <c r="BF236" s="6"/>
      <c r="BG236" s="6">
        <f>IFERROR(__xludf.DUMMYFUNCTION("""COMPUTED_VALUE"""),2037.0)</f>
        <v>2037</v>
      </c>
      <c r="BH236" s="15">
        <f>IFERROR(__xludf.DUMMYFUNCTION("""COMPUTED_VALUE"""),46209.91372685185)</f>
        <v>46209.91373</v>
      </c>
      <c r="BI236" s="6">
        <f>IFERROR(__xludf.DUMMYFUNCTION("""COMPUTED_VALUE"""),235.0)</f>
        <v>235</v>
      </c>
      <c r="BJ236" s="6"/>
      <c r="BK236" s="6"/>
      <c r="BL236" s="6" t="str">
        <f>IFERROR(__xludf.DUMMYFUNCTION("""COMPUTED_VALUE"""),"GISESC0002")</f>
        <v>GISESC0002</v>
      </c>
      <c r="BM236" s="6"/>
      <c r="BN236" s="6"/>
      <c r="BO236" s="6"/>
      <c r="BP236" s="6"/>
      <c r="BQ236" s="6"/>
      <c r="BR236" s="6"/>
      <c r="BS236" s="6"/>
      <c r="BT236" s="6"/>
      <c r="BU236" s="6" t="str">
        <f>IFERROR(__xludf.DUMMYFUNCTION("""COMPUTED_VALUE"""),"SI")</f>
        <v>SI</v>
      </c>
      <c r="BV236" s="6" t="str">
        <f>IFERROR(__xludf.DUMMYFUNCTION("""COMPUTED_VALUE"""),"pedro.e2037")</f>
        <v>pedro.e2037</v>
      </c>
      <c r="BW236" s="6"/>
      <c r="BX236" s="6"/>
      <c r="BY236" s="6"/>
      <c r="BZ236" s="6"/>
    </row>
    <row r="237">
      <c r="A237" s="12">
        <f>IFERROR(__xludf.DUMMYFUNCTION("""COMPUTED_VALUE"""),1.09246618E9)</f>
        <v>1092466180</v>
      </c>
      <c r="B237" s="6">
        <f>IFERROR(__xludf.DUMMYFUNCTION("""COMPUTED_VALUE"""),4.0)</f>
        <v>4</v>
      </c>
      <c r="C237" s="6" t="str">
        <f>IFERROR(__xludf.DUMMYFUNCTION("""COMPUTED_VALUE"""),"Ana")</f>
        <v>Ana</v>
      </c>
      <c r="D237" s="6" t="str">
        <f>IFERROR(__xludf.DUMMYFUNCTION("""COMPUTED_VALUE"""),"Sofía")</f>
        <v>Sofía</v>
      </c>
      <c r="E237" s="6" t="str">
        <f>IFERROR(__xludf.DUMMYFUNCTION("""COMPUTED_VALUE"""),"Hoyos Marín")</f>
        <v>Hoyos Marín</v>
      </c>
      <c r="F237" s="6" t="str">
        <f>IFERROR(__xludf.DUMMYFUNCTION("""COMPUTED_VALUE"""),"Parque Residencial Santa Barbara Casa 22 - Cra 6 No38Nte - 07 Av Centenario")</f>
        <v>Parque Residencial Santa Barbara Casa 22 - Cra 6 No38Nte - 07 Av Centenario</v>
      </c>
      <c r="G237" s="12" t="str">
        <f>IFERROR(__xludf.DUMMYFUNCTION("""COMPUTED_VALUE"""),"2019")</f>
        <v>2019</v>
      </c>
      <c r="H237" s="6" t="str">
        <f>IFERROR(__xludf.DUMMYFUNCTION("""COMPUTED_VALUE"""),"Junio")</f>
        <v>Junio</v>
      </c>
      <c r="I237" s="12" t="str">
        <f>IFERROR(__xludf.DUMMYFUNCTION("""COMPUTED_VALUE"""),"1")</f>
        <v>1</v>
      </c>
      <c r="J237" s="6" t="str">
        <f>IFERROR(__xludf.DUMMYFUNCTION("""COMPUTED_VALUE"""),"Armenia")</f>
        <v>Armenia</v>
      </c>
      <c r="K237" s="6" t="str">
        <f>IFERROR(__xludf.DUMMYFUNCTION("""COMPUTED_VALUE"""),"anasofia.h2037@gi.edu.co")</f>
        <v>anasofia.h2037@gi.edu.co</v>
      </c>
      <c r="L237" s="6" t="str">
        <f>IFERROR(__xludf.DUMMYFUNCTION("""COMPUTED_VALUE"""),"RC")</f>
        <v>RC</v>
      </c>
      <c r="M237" s="6" t="str">
        <f>IFERROR(__xludf.DUMMYFUNCTION("""COMPUTED_VALUE"""),"Armenia")</f>
        <v>Armenia</v>
      </c>
      <c r="N237" s="6" t="str">
        <f>IFERROR(__xludf.DUMMYFUNCTION("""COMPUTED_VALUE"""),"F")</f>
        <v>F</v>
      </c>
      <c r="O237" s="6" t="str">
        <f>IFERROR(__xludf.DUMMYFUNCTION("""COMPUTED_VALUE"""),"INACTIVE")</f>
        <v>INACTIVE</v>
      </c>
      <c r="P237" s="6"/>
      <c r="Q237" s="6" t="str">
        <f>IFERROR(__xludf.DUMMYFUNCTION("""COMPUTED_VALUE"""),"Armenia")</f>
        <v>Armenia</v>
      </c>
      <c r="R237" s="12" t="str">
        <f>IFERROR(__xludf.DUMMYFUNCTION("""COMPUTED_VALUE"""),"Givf3r5u8*")</f>
        <v>Givf3r5u8*</v>
      </c>
      <c r="S237" s="6" t="str">
        <f>IFERROR(__xludf.DUMMYFUNCTION("""COMPUTED_VALUE"""),"Hoyos Marín Ana Sofía")</f>
        <v>Hoyos Marín Ana Sofía</v>
      </c>
      <c r="T237" s="6" t="str">
        <f>IFERROR(__xludf.DUMMYFUNCTION("""COMPUTED_VALUE"""),"DIEGO HOYOS VARGAS")</f>
        <v>DIEGO HOYOS VARGAS</v>
      </c>
      <c r="U237" s="12" t="str">
        <f>IFERROR(__xludf.DUMMYFUNCTION("""COMPUTED_VALUE"""),"15921736")</f>
        <v>15921736</v>
      </c>
      <c r="V237" s="6">
        <f>IFERROR(__xludf.DUMMYFUNCTION("""COMPUTED_VALUE"""),3.118315653E9)</f>
        <v>3118315653</v>
      </c>
      <c r="W237" s="6" t="str">
        <f>IFERROR(__xludf.DUMMYFUNCTION("""COMPUTED_VALUE"""),"diehoyos@icloud.com")</f>
        <v>diehoyos@icloud.com</v>
      </c>
      <c r="X237" s="12" t="str">
        <f>IFERROR(__xludf.DUMMYFUNCTION("""COMPUTED_VALUE"""),"O+")</f>
        <v>O+</v>
      </c>
      <c r="Y237" s="12" t="str">
        <f>IFERROR(__xludf.DUMMYFUNCTION("""COMPUTED_VALUE"""),"2")</f>
        <v>2</v>
      </c>
      <c r="Z237" s="12">
        <f>IFERROR(__xludf.DUMMYFUNCTION("""COMPUTED_VALUE"""),120486.0)</f>
        <v>120486</v>
      </c>
      <c r="AA237" s="6" t="str">
        <f>IFERROR(__xludf.DUMMYFUNCTION("""COMPUTED_VALUE"""),"SURA")</f>
        <v>SURA</v>
      </c>
      <c r="AB237" s="6"/>
      <c r="AC237" s="6"/>
      <c r="AD237" s="12" t="str">
        <f>IFERROR(__xludf.DUMMYFUNCTION("""COMPUTED_VALUE"""),"2A")</f>
        <v>2A</v>
      </c>
      <c r="AE237" s="12" t="str">
        <f>IFERROR(__xludf.DUMMYFUNCTION("""COMPUTED_VALUE"""),"1345282483")</f>
        <v>1345282483</v>
      </c>
      <c r="AF237" s="12" t="str">
        <f>IFERROR(__xludf.DUMMYFUNCTION("""COMPUTED_VALUE"""),"1345282483")</f>
        <v>1345282483</v>
      </c>
      <c r="AG237" s="12" t="str">
        <f>IFERROR(__xludf.DUMMYFUNCTION("""COMPUTED_VALUE"""),"Viviana")</f>
        <v>Viviana</v>
      </c>
      <c r="AH237" s="6"/>
      <c r="AI237" s="6" t="str">
        <f>IFERROR(__xludf.DUMMYFUNCTION("""COMPUTED_VALUE"""),"Marín Arango")</f>
        <v>Marín Arango</v>
      </c>
      <c r="AJ237" s="6" t="str">
        <f>IFERROR(__xludf.DUMMYFUNCTION("""COMPUTED_VALUE"""),"vivianama19@icloud.com")</f>
        <v>vivianama19@icloud.com</v>
      </c>
      <c r="AK237" s="6" t="str">
        <f>IFERROR(__xludf.DUMMYFUNCTION("""COMPUTED_VALUE"""),"Medico")</f>
        <v>Medico</v>
      </c>
      <c r="AL237" s="6" t="str">
        <f>IFERROR(__xludf.DUMMYFUNCTION("""COMPUTED_VALUE"""),"Consultorio médico ")</f>
        <v>Consultorio médico </v>
      </c>
      <c r="AM237" s="12" t="str">
        <f>IFERROR(__xludf.DUMMYFUNCTION("""COMPUTED_VALUE"""),"1094890233")</f>
        <v>1094890233</v>
      </c>
      <c r="AN237" s="12" t="str">
        <f>IFERROR(__xludf.DUMMYFUNCTION("""COMPUTED_VALUE"""),"3505293503")</f>
        <v>3505293503</v>
      </c>
      <c r="AO237" s="6" t="str">
        <f>IFERROR(__xludf.DUMMYFUNCTION("""COMPUTED_VALUE"""),"Madre")</f>
        <v>Madre</v>
      </c>
      <c r="AP237" s="6" t="str">
        <f>IFERROR(__xludf.DUMMYFUNCTION("""COMPUTED_VALUE"""),"Estudiante(s): Hoyos Sepúlveda &amp; Hoyos Marín")</f>
        <v>Estudiante(s): Hoyos Sepúlveda &amp; Hoyos Marín</v>
      </c>
      <c r="AQ237" s="6" t="str">
        <f>IFERROR(__xludf.DUMMYFUNCTION("""COMPUTED_VALUE"""),"103051*Gi")</f>
        <v>103051*Gi</v>
      </c>
      <c r="AR237" s="6" t="str">
        <f>IFERROR(__xludf.DUMMYFUNCTION("""COMPUTED_VALUE"""),"Diego")</f>
        <v>Diego</v>
      </c>
      <c r="AS237" s="6"/>
      <c r="AT237" s="6" t="str">
        <f>IFERROR(__xludf.DUMMYFUNCTION("""COMPUTED_VALUE"""),"Hoyos Vargas")</f>
        <v>Hoyos Vargas</v>
      </c>
      <c r="AU237" s="6" t="str">
        <f>IFERROR(__xludf.DUMMYFUNCTION("""COMPUTED_VALUE"""),"diehoyos@icloud.com")</f>
        <v>diehoyos@icloud.com</v>
      </c>
      <c r="AV237" s="6" t="str">
        <f>IFERROR(__xludf.DUMMYFUNCTION("""COMPUTED_VALUE"""),"Ingeniero Civil")</f>
        <v>Ingeniero Civil</v>
      </c>
      <c r="AW237" s="6" t="str">
        <f>IFERROR(__xludf.DUMMYFUNCTION("""COMPUTED_VALUE"""),"Concesionaria ruta al sur")</f>
        <v>Concesionaria ruta al sur</v>
      </c>
      <c r="AX237" s="12" t="str">
        <f>IFERROR(__xludf.DUMMYFUNCTION("""COMPUTED_VALUE"""),"15921736")</f>
        <v>15921736</v>
      </c>
      <c r="AY237" s="12" t="str">
        <f>IFERROR(__xludf.DUMMYFUNCTION("""COMPUTED_VALUE"""),"3118315653")</f>
        <v>3118315653</v>
      </c>
      <c r="AZ237" s="6" t="str">
        <f>IFERROR(__xludf.DUMMYFUNCTION("""COMPUTED_VALUE"""),"Padre")</f>
        <v>Padre</v>
      </c>
      <c r="BA237" s="6"/>
      <c r="BB237" s="6"/>
      <c r="BC237" s="6"/>
      <c r="BD237" s="12" t="str">
        <f>IFERROR(__xludf.DUMMYFUNCTION("""COMPUTED_VALUE"""),"hoy0008")</f>
        <v>hoy0008</v>
      </c>
      <c r="BE237" s="6" t="str">
        <f>IFERROR(__xludf.DUMMYFUNCTION("""COMPUTED_VALUE"""),"FALTAN FIRMAS")</f>
        <v>FALTAN FIRMAS</v>
      </c>
      <c r="BF237" s="6"/>
      <c r="BG237" s="6">
        <f>IFERROR(__xludf.DUMMYFUNCTION("""COMPUTED_VALUE"""),2037.0)</f>
        <v>2037</v>
      </c>
      <c r="BH237" s="16">
        <f>IFERROR(__xludf.DUMMYFUNCTION("""COMPUTED_VALUE"""),46212.55873842593)</f>
        <v>46212.55874</v>
      </c>
      <c r="BI237" s="6">
        <f>IFERROR(__xludf.DUMMYFUNCTION("""COMPUTED_VALUE"""),236.0)</f>
        <v>236</v>
      </c>
      <c r="BJ237" s="6"/>
      <c r="BK237" s="6"/>
      <c r="BL237" s="6" t="str">
        <f>IFERROR(__xludf.DUMMYFUNCTION("""COMPUTED_VALUE"""),"GISHOY0008")</f>
        <v>GISHOY0008</v>
      </c>
      <c r="BM237" s="6"/>
      <c r="BN237" s="6"/>
      <c r="BO237" s="6"/>
      <c r="BP237" s="6"/>
      <c r="BQ237" s="6"/>
      <c r="BR237" s="6"/>
      <c r="BS237" s="6"/>
      <c r="BT237" s="6"/>
      <c r="BU237" s="6" t="str">
        <f>IFERROR(__xludf.DUMMYFUNCTION("""COMPUTED_VALUE"""),"SI")</f>
        <v>SI</v>
      </c>
      <c r="BV237" s="6" t="str">
        <f>IFERROR(__xludf.DUMMYFUNCTION("""COMPUTED_VALUE"""),"anasofia.h2039")</f>
        <v>anasofia.h2039</v>
      </c>
      <c r="BW237" s="6"/>
      <c r="BX237" s="6"/>
      <c r="BY237" s="6"/>
      <c r="BZ237" s="6"/>
    </row>
    <row r="238">
      <c r="A238" s="12">
        <f>IFERROR(__xludf.DUMMYFUNCTION("""COMPUTED_VALUE"""),1.092862268E9)</f>
        <v>1092862268</v>
      </c>
      <c r="B238" s="6">
        <f>IFERROR(__xludf.DUMMYFUNCTION("""COMPUTED_VALUE"""),5.0)</f>
        <v>5</v>
      </c>
      <c r="C238" s="6" t="str">
        <f>IFERROR(__xludf.DUMMYFUNCTION("""COMPUTED_VALUE"""),"Miguel")</f>
        <v>Miguel</v>
      </c>
      <c r="D238" s="6"/>
      <c r="E238" s="6" t="str">
        <f>IFERROR(__xludf.DUMMYFUNCTION("""COMPUTED_VALUE"""),"Isaza Tafur")</f>
        <v>Isaza Tafur</v>
      </c>
      <c r="F238" s="6" t="str">
        <f>IFERROR(__xludf.DUMMYFUNCTION("""COMPUTED_VALUE"""),"Condominio Jordan Campestre Casa 25 - Cra 6 13Nte - 30 Av Centenario")</f>
        <v>Condominio Jordan Campestre Casa 25 - Cra 6 13Nte - 30 Av Centenario</v>
      </c>
      <c r="G238" s="12" t="str">
        <f>IFERROR(__xludf.DUMMYFUNCTION("""COMPUTED_VALUE"""),"2018")</f>
        <v>2018</v>
      </c>
      <c r="H238" s="6" t="str">
        <f>IFERROR(__xludf.DUMMYFUNCTION("""COMPUTED_VALUE"""),"Agosto")</f>
        <v>Agosto</v>
      </c>
      <c r="I238" s="12" t="str">
        <f>IFERROR(__xludf.DUMMYFUNCTION("""COMPUTED_VALUE"""),"19")</f>
        <v>19</v>
      </c>
      <c r="J238" s="6" t="str">
        <f>IFERROR(__xludf.DUMMYFUNCTION("""COMPUTED_VALUE"""),"Armenia")</f>
        <v>Armenia</v>
      </c>
      <c r="K238" s="6" t="str">
        <f>IFERROR(__xludf.DUMMYFUNCTION("""COMPUTED_VALUE"""),"miguel.i2037@gi.edu.co")</f>
        <v>miguel.i2037@gi.edu.co</v>
      </c>
      <c r="L238" s="6" t="str">
        <f>IFERROR(__xludf.DUMMYFUNCTION("""COMPUTED_VALUE"""),"TI")</f>
        <v>TI</v>
      </c>
      <c r="M238" s="6" t="str">
        <f>IFERROR(__xludf.DUMMYFUNCTION("""COMPUTED_VALUE"""),"Armenia")</f>
        <v>Armenia</v>
      </c>
      <c r="N238" s="6" t="str">
        <f>IFERROR(__xludf.DUMMYFUNCTION("""COMPUTED_VALUE"""),"M")</f>
        <v>M</v>
      </c>
      <c r="O238" s="6" t="str">
        <f>IFERROR(__xludf.DUMMYFUNCTION("""COMPUTED_VALUE"""),"ACTIVE")</f>
        <v>ACTIVE</v>
      </c>
      <c r="P238" s="6"/>
      <c r="Q238" s="6" t="str">
        <f>IFERROR(__xludf.DUMMYFUNCTION("""COMPUTED_VALUE"""),"Armenia")</f>
        <v>Armenia</v>
      </c>
      <c r="R238" s="12" t="str">
        <f>IFERROR(__xludf.DUMMYFUNCTION("""COMPUTED_VALUE"""),"Gis3mHcE*")</f>
        <v>Gis3mHcE*</v>
      </c>
      <c r="S238" s="6" t="str">
        <f>IFERROR(__xludf.DUMMYFUNCTION("""COMPUTED_VALUE"""),"Isaza Tafur Miguel ")</f>
        <v>Isaza Tafur Miguel </v>
      </c>
      <c r="T238" s="6" t="str">
        <f>IFERROR(__xludf.DUMMYFUNCTION("""COMPUTED_VALUE"""),"SEBASTIAN ISAZA SALAZAR")</f>
        <v>SEBASTIAN ISAZA SALAZAR</v>
      </c>
      <c r="U238" s="12" t="str">
        <f>IFERROR(__xludf.DUMMYFUNCTION("""COMPUTED_VALUE"""),"9773411")</f>
        <v>9773411</v>
      </c>
      <c r="V238" s="6">
        <f>IFERROR(__xludf.DUMMYFUNCTION("""COMPUTED_VALUE"""),3.146173742E9)</f>
        <v>3146173742</v>
      </c>
      <c r="W238" s="6" t="str">
        <f>IFERROR(__xludf.DUMMYFUNCTION("""COMPUTED_VALUE"""),"isaza66@hotmail.com")</f>
        <v>isaza66@hotmail.com</v>
      </c>
      <c r="X238" s="12" t="str">
        <f>IFERROR(__xludf.DUMMYFUNCTION("""COMPUTED_VALUE"""),"O+")</f>
        <v>O+</v>
      </c>
      <c r="Y238" s="12" t="str">
        <f>IFERROR(__xludf.DUMMYFUNCTION("""COMPUTED_VALUE"""),"2")</f>
        <v>2</v>
      </c>
      <c r="Z238" s="12">
        <f>IFERROR(__xludf.DUMMYFUNCTION("""COMPUTED_VALUE"""),120201.0)</f>
        <v>120201</v>
      </c>
      <c r="AA238" s="6" t="str">
        <f>IFERROR(__xludf.DUMMYFUNCTION("""COMPUTED_VALUE"""),"SANITAS")</f>
        <v>SANITAS</v>
      </c>
      <c r="AB238" s="6"/>
      <c r="AC238" s="12" t="str">
        <f>IFERROR(__xludf.DUMMYFUNCTION("""COMPUTED_VALUE"""),"frio, resfriados")</f>
        <v>frio, resfriados</v>
      </c>
      <c r="AD238" s="12" t="str">
        <f>IFERROR(__xludf.DUMMYFUNCTION("""COMPUTED_VALUE"""),"2A")</f>
        <v>2A</v>
      </c>
      <c r="AE238" s="12">
        <f>IFERROR(__xludf.DUMMYFUNCTION("""COMPUTED_VALUE"""),1.345282137E9)</f>
        <v>1345282137</v>
      </c>
      <c r="AF238" s="12" t="str">
        <f>IFERROR(__xludf.DUMMYFUNCTION("""COMPUTED_VALUE"""),"2811466823")</f>
        <v>2811466823</v>
      </c>
      <c r="AG238" s="12" t="str">
        <f>IFERROR(__xludf.DUMMYFUNCTION("""COMPUTED_VALUE"""),"Leydi")</f>
        <v>Leydi</v>
      </c>
      <c r="AH238" s="12" t="str">
        <f>IFERROR(__xludf.DUMMYFUNCTION("""COMPUTED_VALUE"""),"Yohana")</f>
        <v>Yohana</v>
      </c>
      <c r="AI238" s="6" t="str">
        <f>IFERROR(__xludf.DUMMYFUNCTION("""COMPUTED_VALUE"""),"Tafur Alzate")</f>
        <v>Tafur Alzate</v>
      </c>
      <c r="AJ238" s="6" t="str">
        <f>IFERROR(__xludf.DUMMYFUNCTION("""COMPUTED_VALUE"""),"leidy-tafur@hotmail.com")</f>
        <v>leidy-tafur@hotmail.com</v>
      </c>
      <c r="AK238" s="6" t="str">
        <f>IFERROR(__xludf.DUMMYFUNCTION("""COMPUTED_VALUE"""),"ADMINISTRADORA DE EMPRESAS")</f>
        <v>ADMINISTRADORA DE EMPRESAS</v>
      </c>
      <c r="AL238" s="6" t="str">
        <f>IFERROR(__xludf.DUMMYFUNCTION("""COMPUTED_VALUE"""),"SUPERMERCADO LAURELES")</f>
        <v>SUPERMERCADO LAURELES</v>
      </c>
      <c r="AM238" s="12" t="str">
        <f>IFERROR(__xludf.DUMMYFUNCTION("""COMPUTED_VALUE"""),"41951652")</f>
        <v>41951652</v>
      </c>
      <c r="AN238" s="12" t="str">
        <f>IFERROR(__xludf.DUMMYFUNCTION("""COMPUTED_VALUE"""),"3117644786")</f>
        <v>3117644786</v>
      </c>
      <c r="AO238" s="6" t="str">
        <f>IFERROR(__xludf.DUMMYFUNCTION("""COMPUTED_VALUE"""),"Madre")</f>
        <v>Madre</v>
      </c>
      <c r="AP238" s="6" t="str">
        <f>IFERROR(__xludf.DUMMYFUNCTION("""COMPUTED_VALUE"""),"Estudiante(s): Isaza Tafur")</f>
        <v>Estudiante(s): Isaza Tafur</v>
      </c>
      <c r="AQ238" s="6" t="str">
        <f>IFERROR(__xludf.DUMMYFUNCTION("""COMPUTED_VALUE"""),"120136*Gi")</f>
        <v>120136*Gi</v>
      </c>
      <c r="AR238" s="6" t="str">
        <f>IFERROR(__xludf.DUMMYFUNCTION("""COMPUTED_VALUE"""),"Sebastián")</f>
        <v>Sebastián</v>
      </c>
      <c r="AS238" s="6"/>
      <c r="AT238" s="6" t="str">
        <f>IFERROR(__xludf.DUMMYFUNCTION("""COMPUTED_VALUE"""),"Isaza Salazar")</f>
        <v>Isaza Salazar</v>
      </c>
      <c r="AU238" s="6" t="str">
        <f>IFERROR(__xludf.DUMMYFUNCTION("""COMPUTED_VALUE"""),"isaza66@hotmail.com")</f>
        <v>isaza66@hotmail.com</v>
      </c>
      <c r="AV238" s="6" t="str">
        <f>IFERROR(__xludf.DUMMYFUNCTION("""COMPUTED_VALUE"""),"ADMINISTRADOR")</f>
        <v>ADMINISTRADOR</v>
      </c>
      <c r="AW238" s="6"/>
      <c r="AX238" s="12" t="str">
        <f>IFERROR(__xludf.DUMMYFUNCTION("""COMPUTED_VALUE"""),"9773411")</f>
        <v>9773411</v>
      </c>
      <c r="AY238" s="12" t="str">
        <f>IFERROR(__xludf.DUMMYFUNCTION("""COMPUTED_VALUE"""),"3146173742")</f>
        <v>3146173742</v>
      </c>
      <c r="AZ238" s="6" t="str">
        <f>IFERROR(__xludf.DUMMYFUNCTION("""COMPUTED_VALUE"""),"Padre")</f>
        <v>Padre</v>
      </c>
      <c r="BA238" s="6"/>
      <c r="BB238" s="6"/>
      <c r="BC238" s="6"/>
      <c r="BD238" s="12" t="str">
        <f>IFERROR(__xludf.DUMMYFUNCTION("""COMPUTED_VALUE"""),"isa0001")</f>
        <v>isa0001</v>
      </c>
      <c r="BE238" s="6"/>
      <c r="BF238" s="6"/>
      <c r="BG238" s="6">
        <f>IFERROR(__xludf.DUMMYFUNCTION("""COMPUTED_VALUE"""),2037.0)</f>
        <v>2037</v>
      </c>
      <c r="BH238" s="15">
        <f>IFERROR(__xludf.DUMMYFUNCTION("""COMPUTED_VALUE"""),46211.510659722226)</f>
        <v>46211.51066</v>
      </c>
      <c r="BI238" s="6">
        <f>IFERROR(__xludf.DUMMYFUNCTION("""COMPUTED_VALUE"""),237.0)</f>
        <v>237</v>
      </c>
      <c r="BJ238" s="6"/>
      <c r="BK238" s="6"/>
      <c r="BL238" s="6" t="str">
        <f>IFERROR(__xludf.DUMMYFUNCTION("""COMPUTED_VALUE"""),"GISISA0001")</f>
        <v>GISISA0001</v>
      </c>
      <c r="BM238" s="6"/>
      <c r="BN238" s="6"/>
      <c r="BO238" s="6"/>
      <c r="BP238" s="6" t="str">
        <f>IFERROR(__xludf.DUMMYFUNCTION("""COMPUTED_VALUE"""),"XC_23_Futbol_M")</f>
        <v>XC_23_Futbol_M</v>
      </c>
      <c r="BQ238" s="6"/>
      <c r="BR238" s="6" t="str">
        <f>IFERROR(__xludf.DUMMYFUNCTION("""COMPUTED_VALUE"""),"XC_EL_DesaInstrumental")</f>
        <v>XC_EL_DesaInstrumental</v>
      </c>
      <c r="BS238" s="6" t="str">
        <f>IFERROR(__xludf.DUMMYFUNCTION("""COMPUTED_VALUE"""),"XC_23_Futbol_M")</f>
        <v>XC_23_Futbol_M</v>
      </c>
      <c r="BT238" s="6" t="str">
        <f>IFERROR(__xludf.DUMMYFUNCTION("""COMPUTED_VALUE"""),"XC_23_Futbol_M")</f>
        <v>XC_23_Futbol_M</v>
      </c>
      <c r="BU238" s="6" t="str">
        <f>IFERROR(__xludf.DUMMYFUNCTION("""COMPUTED_VALUE"""),"SI")</f>
        <v>SI</v>
      </c>
      <c r="BV238" s="6" t="str">
        <f>IFERROR(__xludf.DUMMYFUNCTION("""COMPUTED_VALUE"""),"miguel.i2037")</f>
        <v>miguel.i2037</v>
      </c>
      <c r="BW238" s="6"/>
      <c r="BX238" s="6"/>
      <c r="BY238" s="6"/>
      <c r="BZ238" s="6"/>
    </row>
    <row r="239">
      <c r="A239" s="12" t="str">
        <f>IFERROR(__xludf.DUMMYFUNCTION("""COMPUTED_VALUE"""),"1035014830")</f>
        <v>1035014830</v>
      </c>
      <c r="B239" s="6">
        <f>IFERROR(__xludf.DUMMYFUNCTION("""COMPUTED_VALUE"""),6.0)</f>
        <v>6</v>
      </c>
      <c r="C239" s="6" t="str">
        <f>IFERROR(__xludf.DUMMYFUNCTION("""COMPUTED_VALUE"""),"Emiliana")</f>
        <v>Emiliana</v>
      </c>
      <c r="D239" s="6"/>
      <c r="E239" s="6" t="str">
        <f>IFERROR(__xludf.DUMMYFUNCTION("""COMPUTED_VALUE"""),"Jaramillo González")</f>
        <v>Jaramillo González</v>
      </c>
      <c r="F239" s="6" t="str">
        <f>IFERROR(__xludf.DUMMYFUNCTION("""COMPUTED_VALUE"""),"Carrera 10 #11Norte-12, Apto 202, Edf. Montemadero - La Castellana")</f>
        <v>Carrera 10 #11Norte-12, Apto 202, Edf. Montemadero - La Castellana</v>
      </c>
      <c r="G239" s="12">
        <f>IFERROR(__xludf.DUMMYFUNCTION("""COMPUTED_VALUE"""),2019.0)</f>
        <v>2019</v>
      </c>
      <c r="H239" s="12" t="str">
        <f>IFERROR(__xludf.DUMMYFUNCTION("""COMPUTED_VALUE"""),"Julio")</f>
        <v>Julio</v>
      </c>
      <c r="I239" s="12">
        <f>IFERROR(__xludf.DUMMYFUNCTION("""COMPUTED_VALUE"""),6.0)</f>
        <v>6</v>
      </c>
      <c r="J239" s="6"/>
      <c r="K239" s="12" t="str">
        <f>IFERROR(__xludf.DUMMYFUNCTION("""COMPUTED_VALUE"""),"emiliana.j2037@gi.edu.co")</f>
        <v>emiliana.j2037@gi.edu.co</v>
      </c>
      <c r="L239" s="6" t="str">
        <f>IFERROR(__xludf.DUMMYFUNCTION("""COMPUTED_VALUE"""),"TI")</f>
        <v>TI</v>
      </c>
      <c r="M239" s="6" t="str">
        <f>IFERROR(__xludf.DUMMYFUNCTION("""COMPUTED_VALUE"""),"Armenia")</f>
        <v>Armenia</v>
      </c>
      <c r="N239" s="6" t="str">
        <f>IFERROR(__xludf.DUMMYFUNCTION("""COMPUTED_VALUE"""),"F")</f>
        <v>F</v>
      </c>
      <c r="O239" s="6" t="str">
        <f>IFERROR(__xludf.DUMMYFUNCTION("""COMPUTED_VALUE"""),"ACTIVE")</f>
        <v>ACTIVE</v>
      </c>
      <c r="P239" s="6" t="str">
        <f>IFERROR(__xludf.DUMMYFUNCTION("""COMPUTED_VALUE"""),"Nvos Hermanos")</f>
        <v>Nvos Hermanos</v>
      </c>
      <c r="Q239" s="6"/>
      <c r="R239" s="12" t="str">
        <f>IFERROR(__xludf.DUMMYFUNCTION("""COMPUTED_VALUE"""),"GiH2vJ7m*")</f>
        <v>GiH2vJ7m*</v>
      </c>
      <c r="S239" s="6" t="str">
        <f>IFERROR(__xludf.DUMMYFUNCTION("""COMPUTED_VALUE"""),"Jaramillo González Emiliana ")</f>
        <v>Jaramillo González Emiliana </v>
      </c>
      <c r="T239" s="6" t="str">
        <f>IFERROR(__xludf.DUMMYFUNCTION("""COMPUTED_VALUE"""),"JUAN RAMON JARAMILLO HERNANDEZ")</f>
        <v>JUAN RAMON JARAMILLO HERNANDEZ</v>
      </c>
      <c r="U239" s="12" t="str">
        <f>IFERROR(__xludf.DUMMYFUNCTION("""COMPUTED_VALUE"""),"9737263")</f>
        <v>9737263</v>
      </c>
      <c r="V239" s="6">
        <f>IFERROR(__xludf.DUMMYFUNCTION("""COMPUTED_VALUE"""),3.105385102E9)</f>
        <v>3105385102</v>
      </c>
      <c r="W239" s="6" t="str">
        <f>IFERROR(__xludf.DUMMYFUNCTION("""COMPUTED_VALUE"""),"juanchu_j@yahoo.com")</f>
        <v>juanchu_j@yahoo.com</v>
      </c>
      <c r="X239" s="12" t="str">
        <f>IFERROR(__xludf.DUMMYFUNCTION("""COMPUTED_VALUE"""),"O+")</f>
        <v>O+</v>
      </c>
      <c r="Y239" s="12" t="str">
        <f>IFERROR(__xludf.DUMMYFUNCTION("""COMPUTED_VALUE"""),"2")</f>
        <v>2</v>
      </c>
      <c r="Z239" s="6">
        <f>IFERROR(__xludf.DUMMYFUNCTION("""COMPUTED_VALUE"""),120610.0)</f>
        <v>120610</v>
      </c>
      <c r="AA239" s="6"/>
      <c r="AB239" s="6"/>
      <c r="AC239" s="6"/>
      <c r="AD239" s="12" t="str">
        <f>IFERROR(__xludf.DUMMYFUNCTION("""COMPUTED_VALUE"""),"2A")</f>
        <v>2A</v>
      </c>
      <c r="AE239" s="12" t="str">
        <f>IFERROR(__xludf.DUMMYFUNCTION("""COMPUTED_VALUE"""),"1345282607")</f>
        <v>1345282607</v>
      </c>
      <c r="AF239" s="6"/>
      <c r="AG239" s="12" t="str">
        <f>IFERROR(__xludf.DUMMYFUNCTION("""COMPUTED_VALUE"""),"Juliana")</f>
        <v>Juliana</v>
      </c>
      <c r="AH239" s="6"/>
      <c r="AI239" s="6" t="str">
        <f>IFERROR(__xludf.DUMMYFUNCTION("""COMPUTED_VALUE"""),"González González")</f>
        <v>González González</v>
      </c>
      <c r="AJ239" s="6" t="str">
        <f>IFERROR(__xludf.DUMMYFUNCTION("""COMPUTED_VALUE"""),"juligonza89@hotmail.com")</f>
        <v>juligonza89@hotmail.com</v>
      </c>
      <c r="AK239" s="6" t="str">
        <f>IFERROR(__xludf.DUMMYFUNCTION("""COMPUTED_VALUE"""),"Médica")</f>
        <v>Médica</v>
      </c>
      <c r="AL239" s="6"/>
      <c r="AM239" s="12" t="str">
        <f>IFERROR(__xludf.DUMMYFUNCTION("""COMPUTED_VALUE"""),"1039451152")</f>
        <v>1039451152</v>
      </c>
      <c r="AN239" s="12" t="str">
        <f>IFERROR(__xludf.DUMMYFUNCTION("""COMPUTED_VALUE"""),"3116098166")</f>
        <v>3116098166</v>
      </c>
      <c r="AO239" s="6" t="str">
        <f>IFERROR(__xludf.DUMMYFUNCTION("""COMPUTED_VALUE"""),"Madre")</f>
        <v>Madre</v>
      </c>
      <c r="AP239" s="6" t="str">
        <f>IFERROR(__xludf.DUMMYFUNCTION("""COMPUTED_VALUE"""),"Estudiante(s): Jaramillo González")</f>
        <v>Estudiante(s): Jaramillo González</v>
      </c>
      <c r="AQ239" s="6" t="str">
        <f>IFERROR(__xludf.DUMMYFUNCTION("""COMPUTED_VALUE"""),"120602*Gi")</f>
        <v>120602*Gi</v>
      </c>
      <c r="AR239" s="6" t="str">
        <f>IFERROR(__xludf.DUMMYFUNCTION("""COMPUTED_VALUE"""),"Juan")</f>
        <v>Juan</v>
      </c>
      <c r="AS239" s="6" t="str">
        <f>IFERROR(__xludf.DUMMYFUNCTION("""COMPUTED_VALUE"""),"Ramón")</f>
        <v>Ramón</v>
      </c>
      <c r="AT239" s="6" t="str">
        <f>IFERROR(__xludf.DUMMYFUNCTION("""COMPUTED_VALUE"""),"Jaramillo Hernández")</f>
        <v>Jaramillo Hernández</v>
      </c>
      <c r="AU239" s="6" t="str">
        <f>IFERROR(__xludf.DUMMYFUNCTION("""COMPUTED_VALUE"""),"juanchu_j@yahoo.com")</f>
        <v>juanchu_j@yahoo.com</v>
      </c>
      <c r="AV239" s="6" t="str">
        <f>IFERROR(__xludf.DUMMYFUNCTION("""COMPUTED_VALUE"""),"Ingeniero Electrónico")</f>
        <v>Ingeniero Electrónico</v>
      </c>
      <c r="AW239" s="6"/>
      <c r="AX239" s="12" t="str">
        <f>IFERROR(__xludf.DUMMYFUNCTION("""COMPUTED_VALUE"""),"9737263")</f>
        <v>9737263</v>
      </c>
      <c r="AY239" s="12" t="str">
        <f>IFERROR(__xludf.DUMMYFUNCTION("""COMPUTED_VALUE"""),"3105385102")</f>
        <v>3105385102</v>
      </c>
      <c r="AZ239" s="6" t="str">
        <f>IFERROR(__xludf.DUMMYFUNCTION("""COMPUTED_VALUE"""),"Padre")</f>
        <v>Padre</v>
      </c>
      <c r="BA239" s="6"/>
      <c r="BB239" s="6"/>
      <c r="BC239" s="6"/>
      <c r="BD239" s="12" t="str">
        <f>IFERROR(__xludf.DUMMYFUNCTION("""COMPUTED_VALUE"""),"jar0030")</f>
        <v>jar0030</v>
      </c>
      <c r="BE239" s="6" t="str">
        <f>IFERROR(__xludf.DUMMYFUNCTION("""COMPUTED_VALUE"""),"NUEVO(A)")</f>
        <v>NUEVO(A)</v>
      </c>
      <c r="BF239" s="12" t="str">
        <f>IFERROR(__xludf.DUMMYFUNCTION("""COMPUTED_VALUE"""),"HIJA DE EGRESADO")</f>
        <v>HIJA DE EGRESADO</v>
      </c>
      <c r="BG239" s="6">
        <f>IFERROR(__xludf.DUMMYFUNCTION("""COMPUTED_VALUE"""),2037.0)</f>
        <v>2037</v>
      </c>
      <c r="BH239" s="15">
        <f>IFERROR(__xludf.DUMMYFUNCTION("""COMPUTED_VALUE"""),46179.39540509259)</f>
        <v>46179.39541</v>
      </c>
      <c r="BI239" s="6">
        <f>IFERROR(__xludf.DUMMYFUNCTION("""COMPUTED_VALUE"""),238.0)</f>
        <v>238</v>
      </c>
      <c r="BJ239" s="6"/>
      <c r="BK239" s="6"/>
      <c r="BL239" s="6" t="str">
        <f>IFERROR(__xludf.DUMMYFUNCTION("""COMPUTED_VALUE"""),"GISJAR0030")</f>
        <v>GISJAR0030</v>
      </c>
      <c r="BM239" s="6"/>
      <c r="BN239" s="6"/>
      <c r="BO239" s="6"/>
      <c r="BP239" s="6"/>
      <c r="BQ239" s="6"/>
      <c r="BR239" s="6" t="str">
        <f>IFERROR(__xludf.DUMMYFUNCTION("""COMPUTED_VALUE"""),"XC_EL_PequenosCientificos")</f>
        <v>XC_EL_PequenosCientificos</v>
      </c>
      <c r="BS239" s="6"/>
      <c r="BT239" s="6"/>
      <c r="BU239" s="6" t="str">
        <f>IFERROR(__xludf.DUMMYFUNCTION("""COMPUTED_VALUE"""),"SI")</f>
        <v>SI</v>
      </c>
      <c r="BV239" s="6" t="str">
        <f>IFERROR(__xludf.DUMMYFUNCTION("""COMPUTED_VALUE"""),"emiliana.j2037")</f>
        <v>emiliana.j2037</v>
      </c>
      <c r="BW239" s="6"/>
      <c r="BX239" s="6"/>
      <c r="BY239" s="6"/>
      <c r="BZ239" s="6"/>
    </row>
    <row r="240">
      <c r="A240" s="12">
        <f>IFERROR(__xludf.DUMMYFUNCTION("""COMPUTED_VALUE"""),1.054890664E9)</f>
        <v>1054890664</v>
      </c>
      <c r="B240" s="6">
        <f>IFERROR(__xludf.DUMMYFUNCTION("""COMPUTED_VALUE"""),7.0)</f>
        <v>7</v>
      </c>
      <c r="C240" s="6" t="str">
        <f>IFERROR(__xludf.DUMMYFUNCTION("""COMPUTED_VALUE"""),"Simona")</f>
        <v>Simona</v>
      </c>
      <c r="D240" s="6"/>
      <c r="E240" s="6" t="str">
        <f>IFERROR(__xludf.DUMMYFUNCTION("""COMPUTED_VALUE"""),"Lozano Mejía")</f>
        <v>Lozano Mejía</v>
      </c>
      <c r="F240" s="6" t="str">
        <f>IFERROR(__xludf.DUMMYFUNCTION("""COMPUTED_VALUE"""),"Conjunto Los Rosales Casa 13 - Km 1 Via Circasia")</f>
        <v>Conjunto Los Rosales Casa 13 - Km 1 Via Circasia</v>
      </c>
      <c r="G240" s="12" t="str">
        <f>IFERROR(__xludf.DUMMYFUNCTION("""COMPUTED_VALUE"""),"2019")</f>
        <v>2019</v>
      </c>
      <c r="H240" s="6" t="str">
        <f>IFERROR(__xludf.DUMMYFUNCTION("""COMPUTED_VALUE"""),"Agosto")</f>
        <v>Agosto</v>
      </c>
      <c r="I240" s="12" t="str">
        <f>IFERROR(__xludf.DUMMYFUNCTION("""COMPUTED_VALUE"""),"17")</f>
        <v>17</v>
      </c>
      <c r="J240" s="6" t="str">
        <f>IFERROR(__xludf.DUMMYFUNCTION("""COMPUTED_VALUE"""),"Manizales")</f>
        <v>Manizales</v>
      </c>
      <c r="K240" s="6" t="str">
        <f>IFERROR(__xludf.DUMMYFUNCTION("""COMPUTED_VALUE"""),"simona.l2037@gi.edu.co")</f>
        <v>simona.l2037@gi.edu.co</v>
      </c>
      <c r="L240" s="6" t="str">
        <f>IFERROR(__xludf.DUMMYFUNCTION("""COMPUTED_VALUE"""),"RC")</f>
        <v>RC</v>
      </c>
      <c r="M240" s="6" t="str">
        <f>IFERROR(__xludf.DUMMYFUNCTION("""COMPUTED_VALUE"""),"Manizales")</f>
        <v>Manizales</v>
      </c>
      <c r="N240" s="6" t="str">
        <f>IFERROR(__xludf.DUMMYFUNCTION("""COMPUTED_VALUE"""),"F")</f>
        <v>F</v>
      </c>
      <c r="O240" s="6" t="str">
        <f>IFERROR(__xludf.DUMMYFUNCTION("""COMPUTED_VALUE"""),"ACTIVE")</f>
        <v>ACTIVE</v>
      </c>
      <c r="P240" s="6"/>
      <c r="Q240" s="6" t="str">
        <f>IFERROR(__xludf.DUMMYFUNCTION("""COMPUTED_VALUE"""),"Armenia")</f>
        <v>Armenia</v>
      </c>
      <c r="R240" s="12" t="str">
        <f>IFERROR(__xludf.DUMMYFUNCTION("""COMPUTED_VALUE"""),"GiWyz74f*")</f>
        <v>GiWyz74f*</v>
      </c>
      <c r="S240" s="6" t="str">
        <f>IFERROR(__xludf.DUMMYFUNCTION("""COMPUTED_VALUE"""),"Lozano Mejía Simona ")</f>
        <v>Lozano Mejía Simona </v>
      </c>
      <c r="T240" s="6" t="str">
        <f>IFERROR(__xludf.DUMMYFUNCTION("""COMPUTED_VALUE"""),"NICOLAS LOZANO BALCAZAR")</f>
        <v>NICOLAS LOZANO BALCAZAR</v>
      </c>
      <c r="U240" s="12" t="str">
        <f>IFERROR(__xludf.DUMMYFUNCTION("""COMPUTED_VALUE"""),"4375635")</f>
        <v>4375635</v>
      </c>
      <c r="V240" s="6">
        <f>IFERROR(__xludf.DUMMYFUNCTION("""COMPUTED_VALUE"""),3.206678558E9)</f>
        <v>3206678558</v>
      </c>
      <c r="W240" s="6" t="str">
        <f>IFERROR(__xludf.DUMMYFUNCTION("""COMPUTED_VALUE"""),"nicofrutales@gmail.com")</f>
        <v>nicofrutales@gmail.com</v>
      </c>
      <c r="X240" s="12" t="str">
        <f>IFERROR(__xludf.DUMMYFUNCTION("""COMPUTED_VALUE"""),"O+")</f>
        <v>O+</v>
      </c>
      <c r="Y240" s="12" t="str">
        <f>IFERROR(__xludf.DUMMYFUNCTION("""COMPUTED_VALUE"""),"2")</f>
        <v>2</v>
      </c>
      <c r="Z240" s="12">
        <f>IFERROR(__xludf.DUMMYFUNCTION("""COMPUTED_VALUE"""),120122.0)</f>
        <v>120122</v>
      </c>
      <c r="AA240" s="6" t="str">
        <f>IFERROR(__xludf.DUMMYFUNCTION("""COMPUTED_VALUE"""),"NUEVA EPS")</f>
        <v>NUEVA EPS</v>
      </c>
      <c r="AB240" s="6"/>
      <c r="AC240" s="6"/>
      <c r="AD240" s="12" t="str">
        <f>IFERROR(__xludf.DUMMYFUNCTION("""COMPUTED_VALUE"""),"2A")</f>
        <v>2A</v>
      </c>
      <c r="AE240" s="12">
        <f>IFERROR(__xludf.DUMMYFUNCTION("""COMPUTED_VALUE"""),1.345282126E9)</f>
        <v>1345282126</v>
      </c>
      <c r="AF240" s="12" t="str">
        <f>IFERROR(__xludf.DUMMYFUNCTION("""COMPUTED_VALUE"""),"2790932167")</f>
        <v>2790932167</v>
      </c>
      <c r="AG240" s="12" t="str">
        <f>IFERROR(__xludf.DUMMYFUNCTION("""COMPUTED_VALUE"""),"Valentina")</f>
        <v>Valentina</v>
      </c>
      <c r="AH240" s="6"/>
      <c r="AI240" s="6" t="str">
        <f>IFERROR(__xludf.DUMMYFUNCTION("""COMPUTED_VALUE"""),"Mejía Estrada")</f>
        <v>Mejía Estrada</v>
      </c>
      <c r="AJ240" s="6" t="str">
        <f>IFERROR(__xludf.DUMMYFUNCTION("""COMPUTED_VALUE"""),"valentinamejiaestrada@gmail.com")</f>
        <v>valentinamejiaestrada@gmail.com</v>
      </c>
      <c r="AK240" s="6" t="str">
        <f>IFERROR(__xludf.DUMMYFUNCTION("""COMPUTED_VALUE"""),"Comunicadora Social")</f>
        <v>Comunicadora Social</v>
      </c>
      <c r="AL240" s="6"/>
      <c r="AM240" s="12" t="str">
        <f>IFERROR(__xludf.DUMMYFUNCTION("""COMPUTED_VALUE"""),"24335632")</f>
        <v>24335632</v>
      </c>
      <c r="AN240" s="12" t="str">
        <f>IFERROR(__xludf.DUMMYFUNCTION("""COMPUTED_VALUE"""),"3128553676")</f>
        <v>3128553676</v>
      </c>
      <c r="AO240" s="6" t="str">
        <f>IFERROR(__xludf.DUMMYFUNCTION("""COMPUTED_VALUE"""),"Madre")</f>
        <v>Madre</v>
      </c>
      <c r="AP240" s="6" t="str">
        <f>IFERROR(__xludf.DUMMYFUNCTION("""COMPUTED_VALUE"""),"Estudiante(s): Lozano Mejía")</f>
        <v>Estudiante(s): Lozano Mejía</v>
      </c>
      <c r="AQ240" s="6" t="str">
        <f>IFERROR(__xludf.DUMMYFUNCTION("""COMPUTED_VALUE"""),"103930*Gi")</f>
        <v>103930*Gi</v>
      </c>
      <c r="AR240" s="6" t="str">
        <f>IFERROR(__xludf.DUMMYFUNCTION("""COMPUTED_VALUE"""),"Nicolás")</f>
        <v>Nicolás</v>
      </c>
      <c r="AS240" s="6"/>
      <c r="AT240" s="6" t="str">
        <f>IFERROR(__xludf.DUMMYFUNCTION("""COMPUTED_VALUE"""),"Lozano Balcázar")</f>
        <v>Lozano Balcázar</v>
      </c>
      <c r="AU240" s="6" t="str">
        <f>IFERROR(__xludf.DUMMYFUNCTION("""COMPUTED_VALUE"""),"nicofrutales@gmail.com")</f>
        <v>nicofrutales@gmail.com</v>
      </c>
      <c r="AV240" s="6" t="str">
        <f>IFERROR(__xludf.DUMMYFUNCTION("""COMPUTED_VALUE"""),"Ing. Mecánico Msc. Ing. Agrícola")</f>
        <v>Ing. Mecánico Msc. Ing. Agrícola</v>
      </c>
      <c r="AW240" s="6" t="str">
        <f>IFERROR(__xludf.DUMMYFUNCTION("""COMPUTED_VALUE"""),"Ecofrutales S.A.S.")</f>
        <v>Ecofrutales S.A.S.</v>
      </c>
      <c r="AX240" s="12" t="str">
        <f>IFERROR(__xludf.DUMMYFUNCTION("""COMPUTED_VALUE"""),"4375635")</f>
        <v>4375635</v>
      </c>
      <c r="AY240" s="12" t="str">
        <f>IFERROR(__xludf.DUMMYFUNCTION("""COMPUTED_VALUE"""),"3206678558")</f>
        <v>3206678558</v>
      </c>
      <c r="AZ240" s="6" t="str">
        <f>IFERROR(__xludf.DUMMYFUNCTION("""COMPUTED_VALUE"""),"Padre")</f>
        <v>Padre</v>
      </c>
      <c r="BA240" s="6"/>
      <c r="BB240" s="6"/>
      <c r="BC240" s="6"/>
      <c r="BD240" s="12" t="str">
        <f>IFERROR(__xludf.DUMMYFUNCTION("""COMPUTED_VALUE"""),"loz0003")</f>
        <v>loz0003</v>
      </c>
      <c r="BE240" s="6"/>
      <c r="BF240" s="6"/>
      <c r="BG240" s="6">
        <f>IFERROR(__xludf.DUMMYFUNCTION("""COMPUTED_VALUE"""),2037.0)</f>
        <v>2037</v>
      </c>
      <c r="BH240" s="15">
        <f>IFERROR(__xludf.DUMMYFUNCTION("""COMPUTED_VALUE"""),46205.39587962963)</f>
        <v>46205.39588</v>
      </c>
      <c r="BI240" s="6">
        <f>IFERROR(__xludf.DUMMYFUNCTION("""COMPUTED_VALUE"""),239.0)</f>
        <v>239</v>
      </c>
      <c r="BJ240" s="6"/>
      <c r="BK240" s="6"/>
      <c r="BL240" s="6" t="str">
        <f>IFERROR(__xludf.DUMMYFUNCTION("""COMPUTED_VALUE"""),"GISLOZ0003")</f>
        <v>GISLOZ0003</v>
      </c>
      <c r="BM240" s="6"/>
      <c r="BN240" s="6"/>
      <c r="BO240" s="6"/>
      <c r="BP240" s="6" t="str">
        <f>IFERROR(__xludf.DUMMYFUNCTION("""COMPUTED_VALUE"""),"XC_EL_Futbol_F")</f>
        <v>XC_EL_Futbol_F</v>
      </c>
      <c r="BQ240" s="6"/>
      <c r="BR240" s="6"/>
      <c r="BS240" s="6" t="str">
        <f>IFERROR(__xludf.DUMMYFUNCTION("""COMPUTED_VALUE"""),"XC_EL_Futbol_F")</f>
        <v>XC_EL_Futbol_F</v>
      </c>
      <c r="BT240" s="6" t="str">
        <f>IFERROR(__xludf.DUMMYFUNCTION("""COMPUTED_VALUE"""),"XC_EL_Futbol_F")</f>
        <v>XC_EL_Futbol_F</v>
      </c>
      <c r="BU240" s="6" t="str">
        <f>IFERROR(__xludf.DUMMYFUNCTION("""COMPUTED_VALUE"""),"SI")</f>
        <v>SI</v>
      </c>
      <c r="BV240" s="6" t="str">
        <f>IFERROR(__xludf.DUMMYFUNCTION("""COMPUTED_VALUE"""),"simona.l2037")</f>
        <v>simona.l2037</v>
      </c>
      <c r="BW240" s="6"/>
      <c r="BX240" s="6"/>
      <c r="BY240" s="6"/>
      <c r="BZ240" s="6"/>
    </row>
    <row r="241">
      <c r="A241" s="12">
        <f>IFERROR(__xludf.DUMMYFUNCTION("""COMPUTED_VALUE"""),1.092863316E9)</f>
        <v>1092863316</v>
      </c>
      <c r="B241" s="6">
        <f>IFERROR(__xludf.DUMMYFUNCTION("""COMPUTED_VALUE"""),8.0)</f>
        <v>8</v>
      </c>
      <c r="C241" s="6" t="str">
        <f>IFERROR(__xludf.DUMMYFUNCTION("""COMPUTED_VALUE"""),"María")</f>
        <v>María</v>
      </c>
      <c r="D241" s="6" t="str">
        <f>IFERROR(__xludf.DUMMYFUNCTION("""COMPUTED_VALUE"""),"Camila")</f>
        <v>Camila</v>
      </c>
      <c r="E241" s="6" t="str">
        <f>IFERROR(__xludf.DUMMYFUNCTION("""COMPUTED_VALUE"""),"Mora Porras")</f>
        <v>Mora Porras</v>
      </c>
      <c r="F241" s="6" t="str">
        <f>IFERROR(__xludf.DUMMYFUNCTION("""COMPUTED_VALUE"""),"Bosque Residencial La Pradera Casa 20 - Cra 6 No50Nte - 1 Av Centenario")</f>
        <v>Bosque Residencial La Pradera Casa 20 - Cra 6 No50Nte - 1 Av Centenario</v>
      </c>
      <c r="G241" s="12" t="str">
        <f>IFERROR(__xludf.DUMMYFUNCTION("""COMPUTED_VALUE"""),"2019")</f>
        <v>2019</v>
      </c>
      <c r="H241" s="6" t="str">
        <f>IFERROR(__xludf.DUMMYFUNCTION("""COMPUTED_VALUE"""),"Agosto")</f>
        <v>Agosto</v>
      </c>
      <c r="I241" s="12" t="str">
        <f>IFERROR(__xludf.DUMMYFUNCTION("""COMPUTED_VALUE"""),"24")</f>
        <v>24</v>
      </c>
      <c r="J241" s="6" t="str">
        <f>IFERROR(__xludf.DUMMYFUNCTION("""COMPUTED_VALUE"""),"Armenia")</f>
        <v>Armenia</v>
      </c>
      <c r="K241" s="6" t="str">
        <f>IFERROR(__xludf.DUMMYFUNCTION("""COMPUTED_VALUE"""),"mariac.m2037@gi.edu.co")</f>
        <v>mariac.m2037@gi.edu.co</v>
      </c>
      <c r="L241" s="6" t="str">
        <f>IFERROR(__xludf.DUMMYFUNCTION("""COMPUTED_VALUE"""),"RC")</f>
        <v>RC</v>
      </c>
      <c r="M241" s="6" t="str">
        <f>IFERROR(__xludf.DUMMYFUNCTION("""COMPUTED_VALUE"""),"Armenia")</f>
        <v>Armenia</v>
      </c>
      <c r="N241" s="6" t="str">
        <f>IFERROR(__xludf.DUMMYFUNCTION("""COMPUTED_VALUE"""),"F")</f>
        <v>F</v>
      </c>
      <c r="O241" s="6" t="str">
        <f>IFERROR(__xludf.DUMMYFUNCTION("""COMPUTED_VALUE"""),"ACTIVE")</f>
        <v>ACTIVE</v>
      </c>
      <c r="P241" s="6"/>
      <c r="Q241" s="6" t="str">
        <f>IFERROR(__xludf.DUMMYFUNCTION("""COMPUTED_VALUE"""),"Armenia")</f>
        <v>Armenia</v>
      </c>
      <c r="R241" s="12" t="str">
        <f>IFERROR(__xludf.DUMMYFUNCTION("""COMPUTED_VALUE"""),"Gi27aen*")</f>
        <v>Gi27aen*</v>
      </c>
      <c r="S241" s="6" t="str">
        <f>IFERROR(__xludf.DUMMYFUNCTION("""COMPUTED_VALUE"""),"Mora Porras María Camila")</f>
        <v>Mora Porras María Camila</v>
      </c>
      <c r="T241" s="6" t="str">
        <f>IFERROR(__xludf.DUMMYFUNCTION("""COMPUTED_VALUE"""),"LUIS RICARDO MORA POSADA")</f>
        <v>LUIS RICARDO MORA POSADA</v>
      </c>
      <c r="U241" s="12" t="str">
        <f>IFERROR(__xludf.DUMMYFUNCTION("""COMPUTED_VALUE"""),"89004456")</f>
        <v>89004456</v>
      </c>
      <c r="V241" s="6">
        <f>IFERROR(__xludf.DUMMYFUNCTION("""COMPUTED_VALUE"""),3.113012136E9)</f>
        <v>3113012136</v>
      </c>
      <c r="W241" s="6" t="str">
        <f>IFERROR(__xludf.DUMMYFUNCTION("""COMPUTED_VALUE"""),"cirujanormp@gmail.com")</f>
        <v>cirujanormp@gmail.com</v>
      </c>
      <c r="X241" s="12" t="str">
        <f>IFERROR(__xludf.DUMMYFUNCTION("""COMPUTED_VALUE"""),"O+")</f>
        <v>O+</v>
      </c>
      <c r="Y241" s="12" t="str">
        <f>IFERROR(__xludf.DUMMYFUNCTION("""COMPUTED_VALUE"""),"2")</f>
        <v>2</v>
      </c>
      <c r="Z241" s="12">
        <f>IFERROR(__xludf.DUMMYFUNCTION("""COMPUTED_VALUE"""),120372.0)</f>
        <v>120372</v>
      </c>
      <c r="AA241" s="6" t="str">
        <f>IFERROR(__xludf.DUMMYFUNCTION("""COMPUTED_VALUE"""),"SANITAS")</f>
        <v>SANITAS</v>
      </c>
      <c r="AB241" s="6"/>
      <c r="AC241" s="6"/>
      <c r="AD241" s="12" t="str">
        <f>IFERROR(__xludf.DUMMYFUNCTION("""COMPUTED_VALUE"""),"2A")</f>
        <v>2A</v>
      </c>
      <c r="AE241" s="12" t="str">
        <f>IFERROR(__xludf.DUMMYFUNCTION("""COMPUTED_VALUE"""),"1345282370")</f>
        <v>1345282370</v>
      </c>
      <c r="AF241" s="12" t="str">
        <f>IFERROR(__xludf.DUMMYFUNCTION("""COMPUTED_VALUE"""),"1345282370")</f>
        <v>1345282370</v>
      </c>
      <c r="AG241" s="12" t="str">
        <f>IFERROR(__xludf.DUMMYFUNCTION("""COMPUTED_VALUE"""),"Yadira ")</f>
        <v>Yadira </v>
      </c>
      <c r="AH241" s="6"/>
      <c r="AI241" s="6" t="str">
        <f>IFERROR(__xludf.DUMMYFUNCTION("""COMPUTED_VALUE"""),"Porras Rodríguez")</f>
        <v>Porras Rodríguez</v>
      </c>
      <c r="AJ241" s="6" t="str">
        <f>IFERROR(__xludf.DUMMYFUNCTION("""COMPUTED_VALUE"""),"yadi2802@hotmail.com")</f>
        <v>yadi2802@hotmail.com</v>
      </c>
      <c r="AK241" s="6" t="str">
        <f>IFERROR(__xludf.DUMMYFUNCTION("""COMPUTED_VALUE"""),"Ginecologa")</f>
        <v>Ginecologa</v>
      </c>
      <c r="AL241" s="6"/>
      <c r="AM241" s="12" t="str">
        <f>IFERROR(__xludf.DUMMYFUNCTION("""COMPUTED_VALUE"""),"52529746")</f>
        <v>52529746</v>
      </c>
      <c r="AN241" s="12" t="str">
        <f>IFERROR(__xludf.DUMMYFUNCTION("""COMPUTED_VALUE"""),"3122597128")</f>
        <v>3122597128</v>
      </c>
      <c r="AO241" s="6" t="str">
        <f>IFERROR(__xludf.DUMMYFUNCTION("""COMPUTED_VALUE"""),"Madre")</f>
        <v>Madre</v>
      </c>
      <c r="AP241" s="6" t="str">
        <f>IFERROR(__xludf.DUMMYFUNCTION("""COMPUTED_VALUE"""),"Estudiante(s): Mora Porras")</f>
        <v>Estudiante(s): Mora Porras</v>
      </c>
      <c r="AQ241" s="6" t="str">
        <f>IFERROR(__xludf.DUMMYFUNCTION("""COMPUTED_VALUE"""),"120372*Gi")</f>
        <v>120372*Gi</v>
      </c>
      <c r="AR241" s="6" t="str">
        <f>IFERROR(__xludf.DUMMYFUNCTION("""COMPUTED_VALUE"""),"Luis")</f>
        <v>Luis</v>
      </c>
      <c r="AS241" s="6" t="str">
        <f>IFERROR(__xludf.DUMMYFUNCTION("""COMPUTED_VALUE"""),"Ricardo")</f>
        <v>Ricardo</v>
      </c>
      <c r="AT241" s="6" t="str">
        <f>IFERROR(__xludf.DUMMYFUNCTION("""COMPUTED_VALUE"""),"Mora Posada")</f>
        <v>Mora Posada</v>
      </c>
      <c r="AU241" s="6" t="str">
        <f>IFERROR(__xludf.DUMMYFUNCTION("""COMPUTED_VALUE"""),"cirujanormp@gmail.com")</f>
        <v>cirujanormp@gmail.com</v>
      </c>
      <c r="AV241" s="6" t="str">
        <f>IFERROR(__xludf.DUMMYFUNCTION("""COMPUTED_VALUE"""),"Cirujano Vascular")</f>
        <v>Cirujano Vascular</v>
      </c>
      <c r="AW241" s="6" t="str">
        <f>IFERROR(__xludf.DUMMYFUNCTION("""COMPUTED_VALUE"""),"Consultorio 203 CCQ")</f>
        <v>Consultorio 203 CCQ</v>
      </c>
      <c r="AX241" s="12" t="str">
        <f>IFERROR(__xludf.DUMMYFUNCTION("""COMPUTED_VALUE"""),"89004456")</f>
        <v>89004456</v>
      </c>
      <c r="AY241" s="12">
        <f>IFERROR(__xludf.DUMMYFUNCTION("""COMPUTED_VALUE"""),3.113012136E9)</f>
        <v>3113012136</v>
      </c>
      <c r="AZ241" s="6" t="str">
        <f>IFERROR(__xludf.DUMMYFUNCTION("""COMPUTED_VALUE"""),"Padre")</f>
        <v>Padre</v>
      </c>
      <c r="BA241" s="6"/>
      <c r="BB241" s="6"/>
      <c r="BC241" s="6"/>
      <c r="BD241" s="12" t="str">
        <f>IFERROR(__xludf.DUMMYFUNCTION("""COMPUTED_VALUE"""),"mor0011")</f>
        <v>mor0011</v>
      </c>
      <c r="BE241" s="6"/>
      <c r="BF241" s="6"/>
      <c r="BG241" s="6">
        <f>IFERROR(__xludf.DUMMYFUNCTION("""COMPUTED_VALUE"""),2037.0)</f>
        <v>2037</v>
      </c>
      <c r="BH241" s="15">
        <f>IFERROR(__xludf.DUMMYFUNCTION("""COMPUTED_VALUE"""),46211.872453703705)</f>
        <v>46211.87245</v>
      </c>
      <c r="BI241" s="6">
        <f>IFERROR(__xludf.DUMMYFUNCTION("""COMPUTED_VALUE"""),240.0)</f>
        <v>240</v>
      </c>
      <c r="BJ241" s="6"/>
      <c r="BK241" s="6"/>
      <c r="BL241" s="6" t="str">
        <f>IFERROR(__xludf.DUMMYFUNCTION("""COMPUTED_VALUE"""),"GISMOR0011")</f>
        <v>GISMOR0011</v>
      </c>
      <c r="BM241" s="6"/>
      <c r="BN241" s="6"/>
      <c r="BO241" s="6"/>
      <c r="BP241" s="6"/>
      <c r="BQ241" s="6"/>
      <c r="BR241" s="6"/>
      <c r="BS241" s="6"/>
      <c r="BT241" s="6"/>
      <c r="BU241" s="6" t="str">
        <f>IFERROR(__xludf.DUMMYFUNCTION("""COMPUTED_VALUE"""),"SI")</f>
        <v>SI</v>
      </c>
      <c r="BV241" s="6" t="str">
        <f>IFERROR(__xludf.DUMMYFUNCTION("""COMPUTED_VALUE"""),"mariac.m2037")</f>
        <v>mariac.m2037</v>
      </c>
      <c r="BW241" s="6"/>
      <c r="BX241" s="6"/>
      <c r="BY241" s="6"/>
      <c r="BZ241" s="6"/>
    </row>
    <row r="242">
      <c r="A242" s="12">
        <f>IFERROR(__xludf.DUMMYFUNCTION("""COMPUTED_VALUE"""),1.092862779E9)</f>
        <v>1092862779</v>
      </c>
      <c r="B242" s="6">
        <f>IFERROR(__xludf.DUMMYFUNCTION("""COMPUTED_VALUE"""),9.0)</f>
        <v>9</v>
      </c>
      <c r="C242" s="6" t="str">
        <f>IFERROR(__xludf.DUMMYFUNCTION("""COMPUTED_VALUE"""),"Tomás")</f>
        <v>Tomás</v>
      </c>
      <c r="D242" s="6"/>
      <c r="E242" s="6" t="str">
        <f>IFERROR(__xludf.DUMMYFUNCTION("""COMPUTED_VALUE"""),"Pérez Arango")</f>
        <v>Pérez Arango</v>
      </c>
      <c r="F242" s="6" t="str">
        <f>IFERROR(__xludf.DUMMYFUNCTION("""COMPUTED_VALUE"""),"Conjunto Tulipanes Casa 32 - Calle 19Nte No17 - 51 Laureles")</f>
        <v>Conjunto Tulipanes Casa 32 - Calle 19Nte No17 - 51 Laureles</v>
      </c>
      <c r="G242" s="12" t="str">
        <f>IFERROR(__xludf.DUMMYFUNCTION("""COMPUTED_VALUE"""),"2019")</f>
        <v>2019</v>
      </c>
      <c r="H242" s="6" t="str">
        <f>IFERROR(__xludf.DUMMYFUNCTION("""COMPUTED_VALUE"""),"Febrero")</f>
        <v>Febrero</v>
      </c>
      <c r="I242" s="12" t="str">
        <f>IFERROR(__xludf.DUMMYFUNCTION("""COMPUTED_VALUE"""),"8")</f>
        <v>8</v>
      </c>
      <c r="J242" s="6" t="str">
        <f>IFERROR(__xludf.DUMMYFUNCTION("""COMPUTED_VALUE"""),"Armenia")</f>
        <v>Armenia</v>
      </c>
      <c r="K242" s="6" t="str">
        <f>IFERROR(__xludf.DUMMYFUNCTION("""COMPUTED_VALUE"""),"tomas.p2037@gi.edu.co")</f>
        <v>tomas.p2037@gi.edu.co</v>
      </c>
      <c r="L242" s="6" t="str">
        <f>IFERROR(__xludf.DUMMYFUNCTION("""COMPUTED_VALUE"""),"RC")</f>
        <v>RC</v>
      </c>
      <c r="M242" s="6" t="str">
        <f>IFERROR(__xludf.DUMMYFUNCTION("""COMPUTED_VALUE"""),"Armenia")</f>
        <v>Armenia</v>
      </c>
      <c r="N242" s="6" t="str">
        <f>IFERROR(__xludf.DUMMYFUNCTION("""COMPUTED_VALUE"""),"M")</f>
        <v>M</v>
      </c>
      <c r="O242" s="6" t="str">
        <f>IFERROR(__xludf.DUMMYFUNCTION("""COMPUTED_VALUE"""),"ACTIVE")</f>
        <v>ACTIVE</v>
      </c>
      <c r="P242" s="6"/>
      <c r="Q242" s="6" t="str">
        <f>IFERROR(__xludf.DUMMYFUNCTION("""COMPUTED_VALUE"""),"Armenia")</f>
        <v>Armenia</v>
      </c>
      <c r="R242" s="12" t="str">
        <f>IFERROR(__xludf.DUMMYFUNCTION("""COMPUTED_VALUE"""),"Gi9d35h*")</f>
        <v>Gi9d35h*</v>
      </c>
      <c r="S242" s="6" t="str">
        <f>IFERROR(__xludf.DUMMYFUNCTION("""COMPUTED_VALUE"""),"Pérez Arango Tomás ")</f>
        <v>Pérez Arango Tomás </v>
      </c>
      <c r="T242" s="6" t="str">
        <f>IFERROR(__xludf.DUMMYFUNCTION("""COMPUTED_VALUE"""),"CELSO FERNANDO PEREZ CARO")</f>
        <v>CELSO FERNANDO PEREZ CARO</v>
      </c>
      <c r="U242" s="12" t="str">
        <f>IFERROR(__xludf.DUMMYFUNCTION("""COMPUTED_VALUE"""),"9773482")</f>
        <v>9773482</v>
      </c>
      <c r="V242" s="6">
        <f>IFERROR(__xludf.DUMMYFUNCTION("""COMPUTED_VALUE"""),3.00751024E9)</f>
        <v>3007510240</v>
      </c>
      <c r="W242" s="6" t="str">
        <f>IFERROR(__xludf.DUMMYFUNCTION("""COMPUTED_VALUE"""),"celso04@hotmail.com")</f>
        <v>celso04@hotmail.com</v>
      </c>
      <c r="X242" s="12" t="str">
        <f>IFERROR(__xludf.DUMMYFUNCTION("""COMPUTED_VALUE"""),"A+")</f>
        <v>A+</v>
      </c>
      <c r="Y242" s="12" t="str">
        <f>IFERROR(__xludf.DUMMYFUNCTION("""COMPUTED_VALUE"""),"2")</f>
        <v>2</v>
      </c>
      <c r="Z242" s="12">
        <f>IFERROR(__xludf.DUMMYFUNCTION("""COMPUTED_VALUE"""),120375.0)</f>
        <v>120375</v>
      </c>
      <c r="AA242" s="6" t="str">
        <f>IFERROR(__xludf.DUMMYFUNCTION("""COMPUTED_VALUE"""),"SURA")</f>
        <v>SURA</v>
      </c>
      <c r="AB242" s="6"/>
      <c r="AC242" s="12" t="str">
        <f>IFERROR(__xludf.DUMMYFUNCTION("""COMPUTED_VALUE"""),"EN PIEL PERO NO ES ESPECIFICO A QUE")</f>
        <v>EN PIEL PERO NO ES ESPECIFICO A QUE</v>
      </c>
      <c r="AD242" s="12" t="str">
        <f>IFERROR(__xludf.DUMMYFUNCTION("""COMPUTED_VALUE"""),"2A")</f>
        <v>2A</v>
      </c>
      <c r="AE242" s="12" t="str">
        <f>IFERROR(__xludf.DUMMYFUNCTION("""COMPUTED_VALUE"""),"1345282369")</f>
        <v>1345282369</v>
      </c>
      <c r="AF242" s="12" t="str">
        <f>IFERROR(__xludf.DUMMYFUNCTION("""COMPUTED_VALUE"""),"1345282369")</f>
        <v>1345282369</v>
      </c>
      <c r="AG242" s="12" t="str">
        <f>IFERROR(__xludf.DUMMYFUNCTION("""COMPUTED_VALUE"""),"Carolina")</f>
        <v>Carolina</v>
      </c>
      <c r="AH242" s="6"/>
      <c r="AI242" s="6" t="str">
        <f>IFERROR(__xludf.DUMMYFUNCTION("""COMPUTED_VALUE"""),"Arango Vallejo")</f>
        <v>Arango Vallejo</v>
      </c>
      <c r="AJ242" s="6" t="str">
        <f>IFERROR(__xludf.DUMMYFUNCTION("""COMPUTED_VALUE"""),"krito2308@hotmail.com")</f>
        <v>krito2308@hotmail.com</v>
      </c>
      <c r="AK242" s="6" t="str">
        <f>IFERROR(__xludf.DUMMYFUNCTION("""COMPUTED_VALUE"""),"Enfermera")</f>
        <v>Enfermera</v>
      </c>
      <c r="AL242" s="6" t="str">
        <f>IFERROR(__xludf.DUMMYFUNCTION("""COMPUTED_VALUE"""),"MARY KAY")</f>
        <v>MARY KAY</v>
      </c>
      <c r="AM242" s="12" t="str">
        <f>IFERROR(__xludf.DUMMYFUNCTION("""COMPUTED_VALUE"""),"41964033")</f>
        <v>41964033</v>
      </c>
      <c r="AN242" s="12" t="str">
        <f>IFERROR(__xludf.DUMMYFUNCTION("""COMPUTED_VALUE"""),"3127801509")</f>
        <v>3127801509</v>
      </c>
      <c r="AO242" s="6" t="str">
        <f>IFERROR(__xludf.DUMMYFUNCTION("""COMPUTED_VALUE"""),"Madre")</f>
        <v>Madre</v>
      </c>
      <c r="AP242" s="6" t="str">
        <f>IFERROR(__xludf.DUMMYFUNCTION("""COMPUTED_VALUE"""),"Estudiante(s): Perez Arango")</f>
        <v>Estudiante(s): Perez Arango</v>
      </c>
      <c r="AQ242" s="6" t="str">
        <f>IFERROR(__xludf.DUMMYFUNCTION("""COMPUTED_VALUE"""),"120375*Gi")</f>
        <v>120375*Gi</v>
      </c>
      <c r="AR242" s="6" t="str">
        <f>IFERROR(__xludf.DUMMYFUNCTION("""COMPUTED_VALUE"""),"Celso")</f>
        <v>Celso</v>
      </c>
      <c r="AS242" s="6" t="str">
        <f>IFERROR(__xludf.DUMMYFUNCTION("""COMPUTED_VALUE"""),"Fernando")</f>
        <v>Fernando</v>
      </c>
      <c r="AT242" s="6" t="str">
        <f>IFERROR(__xludf.DUMMYFUNCTION("""COMPUTED_VALUE"""),"Pérez Caro")</f>
        <v>Pérez Caro</v>
      </c>
      <c r="AU242" s="6" t="str">
        <f>IFERROR(__xludf.DUMMYFUNCTION("""COMPUTED_VALUE"""),"celso04@hotmail.com")</f>
        <v>celso04@hotmail.com</v>
      </c>
      <c r="AV242" s="6" t="str">
        <f>IFERROR(__xludf.DUMMYFUNCTION("""COMPUTED_VALUE"""),"Medico Radiologo")</f>
        <v>Medico Radiologo</v>
      </c>
      <c r="AW242" s="6" t="str">
        <f>IFERROR(__xludf.DUMMYFUNCTION("""COMPUTED_VALUE"""),"medico radiologo")</f>
        <v>medico radiologo</v>
      </c>
      <c r="AX242" s="12" t="str">
        <f>IFERROR(__xludf.DUMMYFUNCTION("""COMPUTED_VALUE"""),"9773482")</f>
        <v>9773482</v>
      </c>
      <c r="AY242" s="12">
        <f>IFERROR(__xludf.DUMMYFUNCTION("""COMPUTED_VALUE"""),3.00751024E9)</f>
        <v>3007510240</v>
      </c>
      <c r="AZ242" s="6" t="str">
        <f>IFERROR(__xludf.DUMMYFUNCTION("""COMPUTED_VALUE"""),"Padre")</f>
        <v>Padre</v>
      </c>
      <c r="BA242" s="6"/>
      <c r="BB242" s="6"/>
      <c r="BC242" s="6"/>
      <c r="BD242" s="12" t="str">
        <f>IFERROR(__xludf.DUMMYFUNCTION("""COMPUTED_VALUE"""),"per0002")</f>
        <v>per0002</v>
      </c>
      <c r="BE242" s="6"/>
      <c r="BF242" s="6"/>
      <c r="BG242" s="6">
        <f>IFERROR(__xludf.DUMMYFUNCTION("""COMPUTED_VALUE"""),2037.0)</f>
        <v>2037</v>
      </c>
      <c r="BH242" s="15">
        <f>IFERROR(__xludf.DUMMYFUNCTION("""COMPUTED_VALUE"""),46212.881377314814)</f>
        <v>46212.88138</v>
      </c>
      <c r="BI242" s="6">
        <f>IFERROR(__xludf.DUMMYFUNCTION("""COMPUTED_VALUE"""),241.0)</f>
        <v>241</v>
      </c>
      <c r="BJ242" s="6" t="str">
        <f>IFERROR(__xludf.DUMMYFUNCTION("""COMPUTED_VALUE"""),"Junio - 2026 Se retira el estudiante de la categoría reportada en SIMAT
Abril-2026 Se reportó que el estudiante aparecía en SIMAT con ""Capacidades Excepcionales"", desde Junio de 2023")</f>
        <v>Junio - 2026 Se retira el estudiante de la categoría reportada en SIMAT
Abril-2026 Se reportó que el estudiante aparecía en SIMAT con "Capacidades Excepcionales", desde Junio de 2023</v>
      </c>
      <c r="BK242" s="6"/>
      <c r="BL242" s="6" t="str">
        <f>IFERROR(__xludf.DUMMYFUNCTION("""COMPUTED_VALUE"""),"GISPER0002")</f>
        <v>GISPER0002</v>
      </c>
      <c r="BM242" s="6"/>
      <c r="BN242" s="6"/>
      <c r="BO242" s="6"/>
      <c r="BP242" s="6" t="str">
        <f>IFERROR(__xludf.DUMMYFUNCTION("""COMPUTED_VALUE"""),"XC_123_Basquetbol")</f>
        <v>XC_123_Basquetbol</v>
      </c>
      <c r="BQ242" s="6"/>
      <c r="BR242" s="6" t="str">
        <f>IFERROR(__xludf.DUMMYFUNCTION("""COMPUTED_VALUE"""),"XC_EL_PequenosCientificos")</f>
        <v>XC_EL_PequenosCientificos</v>
      </c>
      <c r="BS242" s="6" t="str">
        <f>IFERROR(__xludf.DUMMYFUNCTION("""COMPUTED_VALUE"""),"XC_123_Basquetbol")</f>
        <v>XC_123_Basquetbol</v>
      </c>
      <c r="BT242" s="6" t="str">
        <f>IFERROR(__xludf.DUMMYFUNCTION("""COMPUTED_VALUE"""),"XC_123_Basquetbol")</f>
        <v>XC_123_Basquetbol</v>
      </c>
      <c r="BU242" s="6" t="str">
        <f>IFERROR(__xludf.DUMMYFUNCTION("""COMPUTED_VALUE"""),"SI")</f>
        <v>SI</v>
      </c>
      <c r="BV242" s="6" t="str">
        <f>IFERROR(__xludf.DUMMYFUNCTION("""COMPUTED_VALUE"""),"tomas.p2037")</f>
        <v>tomas.p2037</v>
      </c>
      <c r="BW242" s="6"/>
      <c r="BX242" s="6"/>
      <c r="BY242" s="6"/>
      <c r="BZ242" s="6"/>
    </row>
    <row r="243">
      <c r="A243" s="12">
        <f>IFERROR(__xludf.DUMMYFUNCTION("""COMPUTED_VALUE"""),1.023245312E9)</f>
        <v>1023245312</v>
      </c>
      <c r="B243" s="6">
        <f>IFERROR(__xludf.DUMMYFUNCTION("""COMPUTED_VALUE"""),10.0)</f>
        <v>10</v>
      </c>
      <c r="C243" s="6" t="str">
        <f>IFERROR(__xludf.DUMMYFUNCTION("""COMPUTED_VALUE"""),"Luciano")</f>
        <v>Luciano</v>
      </c>
      <c r="D243" s="6"/>
      <c r="E243" s="6" t="str">
        <f>IFERROR(__xludf.DUMMYFUNCTION("""COMPUTED_VALUE"""),"Posada Jaramillo")</f>
        <v>Posada Jaramillo</v>
      </c>
      <c r="F243" s="6" t="str">
        <f>IFERROR(__xludf.DUMMYFUNCTION("""COMPUTED_VALUE"""),"Conjunto Residencial Pontevedra Casa 22 - Km 8 Vía El Caimo El Campestre Via Panamericana")</f>
        <v>Conjunto Residencial Pontevedra Casa 22 - Km 8 Vía El Caimo El Campestre Via Panamericana</v>
      </c>
      <c r="G243" s="12" t="str">
        <f>IFERROR(__xludf.DUMMYFUNCTION("""COMPUTED_VALUE"""),"2019")</f>
        <v>2019</v>
      </c>
      <c r="H243" s="6" t="str">
        <f>IFERROR(__xludf.DUMMYFUNCTION("""COMPUTED_VALUE"""),"Marzo")</f>
        <v>Marzo</v>
      </c>
      <c r="I243" s="12" t="str">
        <f>IFERROR(__xludf.DUMMYFUNCTION("""COMPUTED_VALUE"""),"30")</f>
        <v>30</v>
      </c>
      <c r="J243" s="6" t="str">
        <f>IFERROR(__xludf.DUMMYFUNCTION("""COMPUTED_VALUE"""),"Bogotá D.C.")</f>
        <v>Bogotá D.C.</v>
      </c>
      <c r="K243" s="6" t="str">
        <f>IFERROR(__xludf.DUMMYFUNCTION("""COMPUTED_VALUE"""),"luciano.p2037@gi.edu.co")</f>
        <v>luciano.p2037@gi.edu.co</v>
      </c>
      <c r="L243" s="6" t="str">
        <f>IFERROR(__xludf.DUMMYFUNCTION("""COMPUTED_VALUE"""),"TI")</f>
        <v>TI</v>
      </c>
      <c r="M243" s="6" t="str">
        <f>IFERROR(__xludf.DUMMYFUNCTION("""COMPUTED_VALUE"""),"Bogotá D.C.")</f>
        <v>Bogotá D.C.</v>
      </c>
      <c r="N243" s="6" t="str">
        <f>IFERROR(__xludf.DUMMYFUNCTION("""COMPUTED_VALUE"""),"M")</f>
        <v>M</v>
      </c>
      <c r="O243" s="6" t="str">
        <f>IFERROR(__xludf.DUMMYFUNCTION("""COMPUTED_VALUE"""),"ACTIVE")</f>
        <v>ACTIVE</v>
      </c>
      <c r="P243" s="6"/>
      <c r="Q243" s="6" t="str">
        <f>IFERROR(__xludf.DUMMYFUNCTION("""COMPUTED_VALUE"""),"Armenia")</f>
        <v>Armenia</v>
      </c>
      <c r="R243" s="12" t="str">
        <f>IFERROR(__xludf.DUMMYFUNCTION("""COMPUTED_VALUE"""),"Gi4pfj5bz*")</f>
        <v>Gi4pfj5bz*</v>
      </c>
      <c r="S243" s="6" t="str">
        <f>IFERROR(__xludf.DUMMYFUNCTION("""COMPUTED_VALUE"""),"Posada Jaramillo Luciano ")</f>
        <v>Posada Jaramillo Luciano </v>
      </c>
      <c r="T243" s="6" t="str">
        <f>IFERROR(__xludf.DUMMYFUNCTION("""COMPUTED_VALUE"""),"DANIEL POSADA GOMEZ")</f>
        <v>DANIEL POSADA GOMEZ</v>
      </c>
      <c r="U243" s="12" t="str">
        <f>IFERROR(__xludf.DUMMYFUNCTION("""COMPUTED_VALUE"""),"80215643")</f>
        <v>80215643</v>
      </c>
      <c r="V243" s="6">
        <f>IFERROR(__xludf.DUMMYFUNCTION("""COMPUTED_VALUE"""),3.112225365E9)</f>
        <v>3112225365</v>
      </c>
      <c r="W243" s="6" t="str">
        <f>IFERROR(__xludf.DUMMYFUNCTION("""COMPUTED_VALUE"""),"daniel.posada@grupookana.com")</f>
        <v>daniel.posada@grupookana.com</v>
      </c>
      <c r="X243" s="12" t="str">
        <f>IFERROR(__xludf.DUMMYFUNCTION("""COMPUTED_VALUE"""),"B+")</f>
        <v>B+</v>
      </c>
      <c r="Y243" s="12" t="str">
        <f>IFERROR(__xludf.DUMMYFUNCTION("""COMPUTED_VALUE"""),"2")</f>
        <v>2</v>
      </c>
      <c r="Z243" s="12">
        <f>IFERROR(__xludf.DUMMYFUNCTION("""COMPUTED_VALUE"""),120171.0)</f>
        <v>120171</v>
      </c>
      <c r="AA243" s="6" t="str">
        <f>IFERROR(__xludf.DUMMYFUNCTION("""COMPUTED_VALUE"""),"SURA")</f>
        <v>SURA</v>
      </c>
      <c r="AB243" s="6"/>
      <c r="AC243" s="6"/>
      <c r="AD243" s="12" t="str">
        <f>IFERROR(__xludf.DUMMYFUNCTION("""COMPUTED_VALUE"""),"2A")</f>
        <v>2A</v>
      </c>
      <c r="AE243" s="12">
        <f>IFERROR(__xludf.DUMMYFUNCTION("""COMPUTED_VALUE"""),1.345282174E9)</f>
        <v>1345282174</v>
      </c>
      <c r="AF243" s="12" t="str">
        <f>IFERROR(__xludf.DUMMYFUNCTION("""COMPUTED_VALUE"""),"1345282174")</f>
        <v>1345282174</v>
      </c>
      <c r="AG243" s="12" t="str">
        <f>IFERROR(__xludf.DUMMYFUNCTION("""COMPUTED_VALUE"""),"María")</f>
        <v>María</v>
      </c>
      <c r="AH243" s="12" t="str">
        <f>IFERROR(__xludf.DUMMYFUNCTION("""COMPUTED_VALUE"""),"José")</f>
        <v>José</v>
      </c>
      <c r="AI243" s="6" t="str">
        <f>IFERROR(__xludf.DUMMYFUNCTION("""COMPUTED_VALUE"""),"Jaramillo Gómez")</f>
        <v>Jaramillo Gómez</v>
      </c>
      <c r="AJ243" s="6" t="str">
        <f>IFERROR(__xludf.DUMMYFUNCTION("""COMPUTED_VALUE"""),"maria.jaramillo@grupookana.com")</f>
        <v>maria.jaramillo@grupookana.com</v>
      </c>
      <c r="AK243" s="6" t="str">
        <f>IFERROR(__xludf.DUMMYFUNCTION("""COMPUTED_VALUE"""),"Marketing y negocios internacionales")</f>
        <v>Marketing y negocios internacionales</v>
      </c>
      <c r="AL243" s="6" t="str">
        <f>IFERROR(__xludf.DUMMYFUNCTION("""COMPUTED_VALUE"""),"Grupo Okana")</f>
        <v>Grupo Okana</v>
      </c>
      <c r="AM243" s="12" t="str">
        <f>IFERROR(__xludf.DUMMYFUNCTION("""COMPUTED_VALUE"""),"1094895952")</f>
        <v>1094895952</v>
      </c>
      <c r="AN243" s="12" t="str">
        <f>IFERROR(__xludf.DUMMYFUNCTION("""COMPUTED_VALUE"""),"3148212418")</f>
        <v>3148212418</v>
      </c>
      <c r="AO243" s="6" t="str">
        <f>IFERROR(__xludf.DUMMYFUNCTION("""COMPUTED_VALUE"""),"Madre")</f>
        <v>Madre</v>
      </c>
      <c r="AP243" s="6" t="str">
        <f>IFERROR(__xludf.DUMMYFUNCTION("""COMPUTED_VALUE"""),"Estudiante(s): Posada Jaramillo")</f>
        <v>Estudiante(s): Posada Jaramillo</v>
      </c>
      <c r="AQ243" s="6" t="str">
        <f>IFERROR(__xludf.DUMMYFUNCTION("""COMPUTED_VALUE"""),"120171*Gi")</f>
        <v>120171*Gi</v>
      </c>
      <c r="AR243" s="6" t="str">
        <f>IFERROR(__xludf.DUMMYFUNCTION("""COMPUTED_VALUE"""),"Daniel")</f>
        <v>Daniel</v>
      </c>
      <c r="AS243" s="6"/>
      <c r="AT243" s="6" t="str">
        <f>IFERROR(__xludf.DUMMYFUNCTION("""COMPUTED_VALUE"""),"Posada Gómez")</f>
        <v>Posada Gómez</v>
      </c>
      <c r="AU243" s="6" t="str">
        <f>IFERROR(__xludf.DUMMYFUNCTION("""COMPUTED_VALUE"""),"daniel.posada@grupookana.com")</f>
        <v>daniel.posada@grupookana.com</v>
      </c>
      <c r="AV243" s="6" t="str">
        <f>IFERROR(__xludf.DUMMYFUNCTION("""COMPUTED_VALUE"""),"Comunicacion social")</f>
        <v>Comunicacion social</v>
      </c>
      <c r="AW243" s="6"/>
      <c r="AX243" s="12" t="str">
        <f>IFERROR(__xludf.DUMMYFUNCTION("""COMPUTED_VALUE"""),"80215643")</f>
        <v>80215643</v>
      </c>
      <c r="AY243" s="12" t="str">
        <f>IFERROR(__xludf.DUMMYFUNCTION("""COMPUTED_VALUE"""),"3112225365")</f>
        <v>3112225365</v>
      </c>
      <c r="AZ243" s="6" t="str">
        <f>IFERROR(__xludf.DUMMYFUNCTION("""COMPUTED_VALUE"""),"Padre")</f>
        <v>Padre</v>
      </c>
      <c r="BA243" s="6"/>
      <c r="BB243" s="6"/>
      <c r="BC243" s="6"/>
      <c r="BD243" s="12" t="str">
        <f>IFERROR(__xludf.DUMMYFUNCTION("""COMPUTED_VALUE"""),"pos0001")</f>
        <v>pos0001</v>
      </c>
      <c r="BE243" s="6"/>
      <c r="BF243" s="6"/>
      <c r="BG243" s="6">
        <f>IFERROR(__xludf.DUMMYFUNCTION("""COMPUTED_VALUE"""),2037.0)</f>
        <v>2037</v>
      </c>
      <c r="BH243" s="15">
        <f>IFERROR(__xludf.DUMMYFUNCTION("""COMPUTED_VALUE"""),46209.81685185185)</f>
        <v>46209.81685</v>
      </c>
      <c r="BI243" s="6">
        <f>IFERROR(__xludf.DUMMYFUNCTION("""COMPUTED_VALUE"""),242.0)</f>
        <v>242</v>
      </c>
      <c r="BJ243" s="6"/>
      <c r="BK243" s="6"/>
      <c r="BL243" s="6" t="str">
        <f>IFERROR(__xludf.DUMMYFUNCTION("""COMPUTED_VALUE"""),"GISPOS0001")</f>
        <v>GISPOS0001</v>
      </c>
      <c r="BM243" s="6"/>
      <c r="BN243" s="6"/>
      <c r="BO243" s="6"/>
      <c r="BP243" s="6" t="str">
        <f>IFERROR(__xludf.DUMMYFUNCTION("""COMPUTED_VALUE"""),"XC_23_Futbol_M")</f>
        <v>XC_23_Futbol_M</v>
      </c>
      <c r="BQ243" s="6"/>
      <c r="BR243" s="6"/>
      <c r="BS243" s="6" t="str">
        <f>IFERROR(__xludf.DUMMYFUNCTION("""COMPUTED_VALUE"""),"XC_23_Futbol_M")</f>
        <v>XC_23_Futbol_M</v>
      </c>
      <c r="BT243" s="6" t="str">
        <f>IFERROR(__xludf.DUMMYFUNCTION("""COMPUTED_VALUE"""),"XC_23_Futbol_M")</f>
        <v>XC_23_Futbol_M</v>
      </c>
      <c r="BU243" s="6" t="str">
        <f>IFERROR(__xludf.DUMMYFUNCTION("""COMPUTED_VALUE"""),"SI")</f>
        <v>SI</v>
      </c>
      <c r="BV243" s="6" t="str">
        <f>IFERROR(__xludf.DUMMYFUNCTION("""COMPUTED_VALUE"""),"luciano.p2037")</f>
        <v>luciano.p2037</v>
      </c>
      <c r="BW243" s="6"/>
      <c r="BX243" s="6"/>
      <c r="BY243" s="6"/>
      <c r="BZ243" s="6"/>
    </row>
    <row r="244">
      <c r="A244" s="12">
        <f>IFERROR(__xludf.DUMMYFUNCTION("""COMPUTED_VALUE"""),1.092862619E9)</f>
        <v>1092862619</v>
      </c>
      <c r="B244" s="6">
        <f>IFERROR(__xludf.DUMMYFUNCTION("""COMPUTED_VALUE"""),11.0)</f>
        <v>11</v>
      </c>
      <c r="C244" s="6" t="str">
        <f>IFERROR(__xludf.DUMMYFUNCTION("""COMPUTED_VALUE"""),"Vicente")</f>
        <v>Vicente</v>
      </c>
      <c r="D244" s="6"/>
      <c r="E244" s="6" t="str">
        <f>IFERROR(__xludf.DUMMYFUNCTION("""COMPUTED_VALUE"""),"Ramírez López")</f>
        <v>Ramírez López</v>
      </c>
      <c r="F244" s="6" t="str">
        <f>IFERROR(__xludf.DUMMYFUNCTION("""COMPUTED_VALUE"""),"Parque Residencial Los Cedros Torre 2 Apto 101 - Calle 50Nte No15 - 1")</f>
        <v>Parque Residencial Los Cedros Torre 2 Apto 101 - Calle 50Nte No15 - 1</v>
      </c>
      <c r="G244" s="12" t="str">
        <f>IFERROR(__xludf.DUMMYFUNCTION("""COMPUTED_VALUE"""),"2018")</f>
        <v>2018</v>
      </c>
      <c r="H244" s="6" t="str">
        <f>IFERROR(__xludf.DUMMYFUNCTION("""COMPUTED_VALUE"""),"Diciembre")</f>
        <v>Diciembre</v>
      </c>
      <c r="I244" s="12" t="str">
        <f>IFERROR(__xludf.DUMMYFUNCTION("""COMPUTED_VALUE"""),"10")</f>
        <v>10</v>
      </c>
      <c r="J244" s="6" t="str">
        <f>IFERROR(__xludf.DUMMYFUNCTION("""COMPUTED_VALUE"""),"Armenia")</f>
        <v>Armenia</v>
      </c>
      <c r="K244" s="6" t="str">
        <f>IFERROR(__xludf.DUMMYFUNCTION("""COMPUTED_VALUE"""),"vicente.r2037@gi.edu.co")</f>
        <v>vicente.r2037@gi.edu.co</v>
      </c>
      <c r="L244" s="6" t="str">
        <f>IFERROR(__xludf.DUMMYFUNCTION("""COMPUTED_VALUE"""),"TI")</f>
        <v>TI</v>
      </c>
      <c r="M244" s="6" t="str">
        <f>IFERROR(__xludf.DUMMYFUNCTION("""COMPUTED_VALUE"""),"Armenia")</f>
        <v>Armenia</v>
      </c>
      <c r="N244" s="6" t="str">
        <f>IFERROR(__xludf.DUMMYFUNCTION("""COMPUTED_VALUE"""),"M")</f>
        <v>M</v>
      </c>
      <c r="O244" s="6" t="str">
        <f>IFERROR(__xludf.DUMMYFUNCTION("""COMPUTED_VALUE"""),"ACTIVE")</f>
        <v>ACTIVE</v>
      </c>
      <c r="P244" s="6"/>
      <c r="Q244" s="6" t="str">
        <f>IFERROR(__xludf.DUMMYFUNCTION("""COMPUTED_VALUE"""),"Calarcá")</f>
        <v>Calarcá</v>
      </c>
      <c r="R244" s="12" t="str">
        <f>IFERROR(__xludf.DUMMYFUNCTION("""COMPUTED_VALUE"""),"GiF2uWhU*")</f>
        <v>GiF2uWhU*</v>
      </c>
      <c r="S244" s="6" t="str">
        <f>IFERROR(__xludf.DUMMYFUNCTION("""COMPUTED_VALUE"""),"Ramírez López Vicente ")</f>
        <v>Ramírez López Vicente </v>
      </c>
      <c r="T244" s="6" t="str">
        <f>IFERROR(__xludf.DUMMYFUNCTION("""COMPUTED_VALUE"""),"CATALINA LÓPEZ TOBON")</f>
        <v>CATALINA LÓPEZ TOBON</v>
      </c>
      <c r="U244" s="12" t="str">
        <f>IFERROR(__xludf.DUMMYFUNCTION("""COMPUTED_VALUE"""),"41956345")</f>
        <v>41956345</v>
      </c>
      <c r="V244" s="6">
        <f>IFERROR(__xludf.DUMMYFUNCTION("""COMPUTED_VALUE"""),3.165202452E9)</f>
        <v>3165202452</v>
      </c>
      <c r="W244" s="6" t="str">
        <f>IFERROR(__xludf.DUMMYFUNCTION("""COMPUTED_VALUE"""),"clopeztobon@gmail.com")</f>
        <v>clopeztobon@gmail.com</v>
      </c>
      <c r="X244" s="12" t="str">
        <f>IFERROR(__xludf.DUMMYFUNCTION("""COMPUTED_VALUE"""),"O+")</f>
        <v>O+</v>
      </c>
      <c r="Y244" s="12" t="str">
        <f>IFERROR(__xludf.DUMMYFUNCTION("""COMPUTED_VALUE"""),"2")</f>
        <v>2</v>
      </c>
      <c r="Z244" s="12">
        <f>IFERROR(__xludf.DUMMYFUNCTION("""COMPUTED_VALUE"""),120189.0)</f>
        <v>120189</v>
      </c>
      <c r="AA244" s="6" t="str">
        <f>IFERROR(__xludf.DUMMYFUNCTION("""COMPUTED_VALUE"""),"SALUD TOTAL")</f>
        <v>SALUD TOTAL</v>
      </c>
      <c r="AB244" s="6"/>
      <c r="AC244" s="6"/>
      <c r="AD244" s="12" t="str">
        <f>IFERROR(__xludf.DUMMYFUNCTION("""COMPUTED_VALUE"""),"2A")</f>
        <v>2A</v>
      </c>
      <c r="AE244" s="12">
        <f>IFERROR(__xludf.DUMMYFUNCTION("""COMPUTED_VALUE"""),1.345282156E9)</f>
        <v>1345282156</v>
      </c>
      <c r="AF244" s="12" t="str">
        <f>IFERROR(__xludf.DUMMYFUNCTION("""COMPUTED_VALUE"""),"1345282156")</f>
        <v>1345282156</v>
      </c>
      <c r="AG244" s="12" t="str">
        <f>IFERROR(__xludf.DUMMYFUNCTION("""COMPUTED_VALUE"""),"Catalina")</f>
        <v>Catalina</v>
      </c>
      <c r="AH244" s="6"/>
      <c r="AI244" s="6" t="str">
        <f>IFERROR(__xludf.DUMMYFUNCTION("""COMPUTED_VALUE"""),"López Tobón")</f>
        <v>López Tobón</v>
      </c>
      <c r="AJ244" s="6" t="str">
        <f>IFERROR(__xludf.DUMMYFUNCTION("""COMPUTED_VALUE"""),"clopeztobon@gmail.com")</f>
        <v>clopeztobon@gmail.com</v>
      </c>
      <c r="AK244" s="6" t="str">
        <f>IFERROR(__xludf.DUMMYFUNCTION("""COMPUTED_VALUE"""),"comunicadora social")</f>
        <v>comunicadora social</v>
      </c>
      <c r="AL244" s="6" t="str">
        <f>IFERROR(__xludf.DUMMYFUNCTION("""COMPUTED_VALUE"""),"HLincober sas")</f>
        <v>HLincober sas</v>
      </c>
      <c r="AM244" s="12" t="str">
        <f>IFERROR(__xludf.DUMMYFUNCTION("""COMPUTED_VALUE"""),"41956345")</f>
        <v>41956345</v>
      </c>
      <c r="AN244" s="12" t="str">
        <f>IFERROR(__xludf.DUMMYFUNCTION("""COMPUTED_VALUE"""),"3165202452")</f>
        <v>3165202452</v>
      </c>
      <c r="AO244" s="6" t="str">
        <f>IFERROR(__xludf.DUMMYFUNCTION("""COMPUTED_VALUE"""),"Madre")</f>
        <v>Madre</v>
      </c>
      <c r="AP244" s="6" t="str">
        <f>IFERROR(__xludf.DUMMYFUNCTION("""COMPUTED_VALUE"""),"Estudiante(s): Vicente Ramírez López &amp; Emilia Correa López")</f>
        <v>Estudiante(s): Vicente Ramírez López &amp; Emilia Correa López</v>
      </c>
      <c r="AQ244" s="6" t="str">
        <f>IFERROR(__xludf.DUMMYFUNCTION("""COMPUTED_VALUE"""),"103560*Gi")</f>
        <v>103560*Gi</v>
      </c>
      <c r="AR244" s="6" t="str">
        <f>IFERROR(__xludf.DUMMYFUNCTION("""COMPUTED_VALUE"""),"Francisco")</f>
        <v>Francisco</v>
      </c>
      <c r="AS244" s="6" t="str">
        <f>IFERROR(__xludf.DUMMYFUNCTION("""COMPUTED_VALUE"""),"José")</f>
        <v>José</v>
      </c>
      <c r="AT244" s="6" t="str">
        <f>IFERROR(__xludf.DUMMYFUNCTION("""COMPUTED_VALUE"""),"Ramírez Bohórquez")</f>
        <v>Ramírez Bohórquez</v>
      </c>
      <c r="AU244" s="6" t="str">
        <f>IFERROR(__xludf.DUMMYFUNCTION("""COMPUTED_VALUE"""),"pacho89@gmail.com")</f>
        <v>pacho89@gmail.com</v>
      </c>
      <c r="AV244" s="6" t="str">
        <f>IFERROR(__xludf.DUMMYFUNCTION("""COMPUTED_VALUE"""),"Economista")</f>
        <v>Economista</v>
      </c>
      <c r="AW244" s="6"/>
      <c r="AX244" s="12" t="str">
        <f>IFERROR(__xludf.DUMMYFUNCTION("""COMPUTED_VALUE"""),"75082770")</f>
        <v>75082770</v>
      </c>
      <c r="AY244" s="12" t="str">
        <f>IFERROR(__xludf.DUMMYFUNCTION("""COMPUTED_VALUE"""),"3125924534")</f>
        <v>3125924534</v>
      </c>
      <c r="AZ244" s="6" t="str">
        <f>IFERROR(__xludf.DUMMYFUNCTION("""COMPUTED_VALUE"""),"Padre")</f>
        <v>Padre</v>
      </c>
      <c r="BA244" s="6"/>
      <c r="BB244" s="6"/>
      <c r="BC244" s="6"/>
      <c r="BD244" s="12" t="str">
        <f>IFERROR(__xludf.DUMMYFUNCTION("""COMPUTED_VALUE"""),"cor0010")</f>
        <v>cor0010</v>
      </c>
      <c r="BE244" s="6"/>
      <c r="BF244" s="6"/>
      <c r="BG244" s="6">
        <f>IFERROR(__xludf.DUMMYFUNCTION("""COMPUTED_VALUE"""),2037.0)</f>
        <v>2037</v>
      </c>
      <c r="BH244" s="15">
        <f>IFERROR(__xludf.DUMMYFUNCTION("""COMPUTED_VALUE"""),46209.33988425926)</f>
        <v>46209.33988</v>
      </c>
      <c r="BI244" s="6">
        <f>IFERROR(__xludf.DUMMYFUNCTION("""COMPUTED_VALUE"""),243.0)</f>
        <v>243</v>
      </c>
      <c r="BJ244" s="6"/>
      <c r="BK244" s="6"/>
      <c r="BL244" s="6" t="str">
        <f>IFERROR(__xludf.DUMMYFUNCTION("""COMPUTED_VALUE"""),"GISCOR0010")</f>
        <v>GISCOR0010</v>
      </c>
      <c r="BM244" s="6"/>
      <c r="BN244" s="6"/>
      <c r="BO244" s="6"/>
      <c r="BP244" s="6"/>
      <c r="BQ244" s="6"/>
      <c r="BR244" s="6"/>
      <c r="BS244" s="6"/>
      <c r="BT244" s="6"/>
      <c r="BU244" s="6" t="str">
        <f>IFERROR(__xludf.DUMMYFUNCTION("""COMPUTED_VALUE"""),"SI")</f>
        <v>SI</v>
      </c>
      <c r="BV244" s="6" t="str">
        <f>IFERROR(__xludf.DUMMYFUNCTION("""COMPUTED_VALUE"""),"vicente.r2037")</f>
        <v>vicente.r2037</v>
      </c>
      <c r="BW244" s="6"/>
      <c r="BX244" s="6"/>
      <c r="BY244" s="6"/>
      <c r="BZ244" s="6"/>
    </row>
    <row r="245">
      <c r="A245" s="12">
        <f>IFERROR(__xludf.DUMMYFUNCTION("""COMPUTED_VALUE"""),1.090271746E9)</f>
        <v>1090271746</v>
      </c>
      <c r="B245" s="6">
        <f>IFERROR(__xludf.DUMMYFUNCTION("""COMPUTED_VALUE"""),12.0)</f>
        <v>12</v>
      </c>
      <c r="C245" s="6" t="str">
        <f>IFERROR(__xludf.DUMMYFUNCTION("""COMPUTED_VALUE"""),"Jacobo")</f>
        <v>Jacobo</v>
      </c>
      <c r="D245" s="6"/>
      <c r="E245" s="6" t="str">
        <f>IFERROR(__xludf.DUMMYFUNCTION("""COMPUTED_VALUE"""),"Rodríguez Arboleda")</f>
        <v>Rodríguez Arboleda</v>
      </c>
      <c r="F245" s="6" t="str">
        <f>IFERROR(__xludf.DUMMYFUNCTION("""COMPUTED_VALUE"""),"Bosque Residencial La Pradera Casa 11 - Cra 6 No50Nte - 1 Av Centenario")</f>
        <v>Bosque Residencial La Pradera Casa 11 - Cra 6 No50Nte - 1 Av Centenario</v>
      </c>
      <c r="G245" s="12" t="str">
        <f>IFERROR(__xludf.DUMMYFUNCTION("""COMPUTED_VALUE"""),"2019")</f>
        <v>2019</v>
      </c>
      <c r="H245" s="6" t="str">
        <f>IFERROR(__xludf.DUMMYFUNCTION("""COMPUTED_VALUE"""),"Abril")</f>
        <v>Abril</v>
      </c>
      <c r="I245" s="12" t="str">
        <f>IFERROR(__xludf.DUMMYFUNCTION("""COMPUTED_VALUE"""),"1")</f>
        <v>1</v>
      </c>
      <c r="J245" s="6" t="str">
        <f>IFERROR(__xludf.DUMMYFUNCTION("""COMPUTED_VALUE"""),"Armenia")</f>
        <v>Armenia</v>
      </c>
      <c r="K245" s="6" t="str">
        <f>IFERROR(__xludf.DUMMYFUNCTION("""COMPUTED_VALUE"""),"jacobo.r2037@gi.edu.co")</f>
        <v>jacobo.r2037@gi.edu.co</v>
      </c>
      <c r="L245" s="6" t="str">
        <f>IFERROR(__xludf.DUMMYFUNCTION("""COMPUTED_VALUE"""),"RC")</f>
        <v>RC</v>
      </c>
      <c r="M245" s="6" t="str">
        <f>IFERROR(__xludf.DUMMYFUNCTION("""COMPUTED_VALUE"""),"Armenia")</f>
        <v>Armenia</v>
      </c>
      <c r="N245" s="6" t="str">
        <f>IFERROR(__xludf.DUMMYFUNCTION("""COMPUTED_VALUE"""),"M")</f>
        <v>M</v>
      </c>
      <c r="O245" s="6" t="str">
        <f>IFERROR(__xludf.DUMMYFUNCTION("""COMPUTED_VALUE"""),"INACTIVE")</f>
        <v>INACTIVE</v>
      </c>
      <c r="P245" s="6"/>
      <c r="Q245" s="6" t="str">
        <f>IFERROR(__xludf.DUMMYFUNCTION("""COMPUTED_VALUE"""),"Armenia")</f>
        <v>Armenia</v>
      </c>
      <c r="R245" s="12" t="str">
        <f>IFERROR(__xludf.DUMMYFUNCTION("""COMPUTED_VALUE"""),"Gis7N2XU*")</f>
        <v>Gis7N2XU*</v>
      </c>
      <c r="S245" s="6" t="str">
        <f>IFERROR(__xludf.DUMMYFUNCTION("""COMPUTED_VALUE"""),"Rodríguez Arboleda Jacobo ")</f>
        <v>Rodríguez Arboleda Jacobo </v>
      </c>
      <c r="T245" s="6" t="str">
        <f>IFERROR(__xludf.DUMMYFUNCTION("""COMPUTED_VALUE"""),"YOANNY RODRIGUEZ JIMENEZ")</f>
        <v>YOANNY RODRIGUEZ JIMENEZ</v>
      </c>
      <c r="U245" s="12" t="str">
        <f>IFERROR(__xludf.DUMMYFUNCTION("""COMPUTED_VALUE"""),"9726645")</f>
        <v>9726645</v>
      </c>
      <c r="V245" s="6">
        <f>IFERROR(__xludf.DUMMYFUNCTION("""COMPUTED_VALUE"""),3.113344379E9)</f>
        <v>3113344379</v>
      </c>
      <c r="W245" s="6" t="str">
        <f>IFERROR(__xludf.DUMMYFUNCTION("""COMPUTED_VALUE"""),"yoannyrj@gmail.com")</f>
        <v>yoannyrj@gmail.com</v>
      </c>
      <c r="X245" s="12" t="str">
        <f>IFERROR(__xludf.DUMMYFUNCTION("""COMPUTED_VALUE"""),"O+")</f>
        <v>O+</v>
      </c>
      <c r="Y245" s="12" t="str">
        <f>IFERROR(__xludf.DUMMYFUNCTION("""COMPUTED_VALUE"""),"2")</f>
        <v>2</v>
      </c>
      <c r="Z245" s="12">
        <f>IFERROR(__xludf.DUMMYFUNCTION("""COMPUTED_VALUE"""),120190.0)</f>
        <v>120190</v>
      </c>
      <c r="AA245" s="6" t="str">
        <f>IFERROR(__xludf.DUMMYFUNCTION("""COMPUTED_VALUE"""),"SURA")</f>
        <v>SURA</v>
      </c>
      <c r="AB245" s="6"/>
      <c r="AC245" s="12" t="str">
        <f>IFERROR(__xludf.DUMMYFUNCTION("""COMPUTED_VALUE"""),"ibuprofeno")</f>
        <v>ibuprofeno</v>
      </c>
      <c r="AD245" s="12" t="str">
        <f>IFERROR(__xludf.DUMMYFUNCTION("""COMPUTED_VALUE"""),"2A")</f>
        <v>2A</v>
      </c>
      <c r="AE245" s="12">
        <f>IFERROR(__xludf.DUMMYFUNCTION("""COMPUTED_VALUE"""),1.345282125E9)</f>
        <v>1345282125</v>
      </c>
      <c r="AF245" s="12" t="str">
        <f>IFERROR(__xludf.DUMMYFUNCTION("""COMPUTED_VALUE"""),"1345282125")</f>
        <v>1345282125</v>
      </c>
      <c r="AG245" s="12" t="str">
        <f>IFERROR(__xludf.DUMMYFUNCTION("""COMPUTED_VALUE"""),"Ángela")</f>
        <v>Ángela</v>
      </c>
      <c r="AH245" s="12" t="str">
        <f>IFERROR(__xludf.DUMMYFUNCTION("""COMPUTED_VALUE"""),"María")</f>
        <v>María</v>
      </c>
      <c r="AI245" s="6" t="str">
        <f>IFERROR(__xludf.DUMMYFUNCTION("""COMPUTED_VALUE"""),"Arboleda Castaño")</f>
        <v>Arboleda Castaño</v>
      </c>
      <c r="AJ245" s="6" t="str">
        <f>IFERROR(__xludf.DUMMYFUNCTION("""COMPUTED_VALUE"""),"angierj1005@gmail.com")</f>
        <v>angierj1005@gmail.com</v>
      </c>
      <c r="AK245" s="6" t="str">
        <f>IFERROR(__xludf.DUMMYFUNCTION("""COMPUTED_VALUE"""),"ing electronica")</f>
        <v>ing electronica</v>
      </c>
      <c r="AL245" s="6" t="str">
        <f>IFERROR(__xludf.DUMMYFUNCTION("""COMPUTED_VALUE"""),"ATYSHOP SAS")</f>
        <v>ATYSHOP SAS</v>
      </c>
      <c r="AM245" s="12" t="str">
        <f>IFERROR(__xludf.DUMMYFUNCTION("""COMPUTED_VALUE"""),"1094881860")</f>
        <v>1094881860</v>
      </c>
      <c r="AN245" s="12" t="str">
        <f>IFERROR(__xludf.DUMMYFUNCTION("""COMPUTED_VALUE"""),"3127727942")</f>
        <v>3127727942</v>
      </c>
      <c r="AO245" s="6" t="str">
        <f>IFERROR(__xludf.DUMMYFUNCTION("""COMPUTED_VALUE"""),"Madre")</f>
        <v>Madre</v>
      </c>
      <c r="AP245" s="6" t="str">
        <f>IFERROR(__xludf.DUMMYFUNCTION("""COMPUTED_VALUE"""),"Estudiante(s): Rodríguez Arboleda")</f>
        <v>Estudiante(s): Rodríguez Arboleda</v>
      </c>
      <c r="AQ245" s="6" t="str">
        <f>IFERROR(__xludf.DUMMYFUNCTION("""COMPUTED_VALUE"""),"103118*Gi")</f>
        <v>103118*Gi</v>
      </c>
      <c r="AR245" s="6" t="str">
        <f>IFERROR(__xludf.DUMMYFUNCTION("""COMPUTED_VALUE"""),"Yoanny")</f>
        <v>Yoanny</v>
      </c>
      <c r="AS245" s="6"/>
      <c r="AT245" s="6" t="str">
        <f>IFERROR(__xludf.DUMMYFUNCTION("""COMPUTED_VALUE"""),"Rodríguez Jiménez")</f>
        <v>Rodríguez Jiménez</v>
      </c>
      <c r="AU245" s="6" t="str">
        <f>IFERROR(__xludf.DUMMYFUNCTION("""COMPUTED_VALUE"""),"yoannyrj@gmail.com")</f>
        <v>yoannyrj@gmail.com</v>
      </c>
      <c r="AV245" s="6" t="str">
        <f>IFERROR(__xludf.DUMMYFUNCTION("""COMPUTED_VALUE"""),"Adm. de Empresas")</f>
        <v>Adm. de Empresas</v>
      </c>
      <c r="AW245" s="6" t="str">
        <f>IFERROR(__xludf.DUMMYFUNCTION("""COMPUTED_VALUE"""),"innova arquitectura e inmobiliaria SAS")</f>
        <v>innova arquitectura e inmobiliaria SAS</v>
      </c>
      <c r="AX245" s="12" t="str">
        <f>IFERROR(__xludf.DUMMYFUNCTION("""COMPUTED_VALUE"""),"9726645")</f>
        <v>9726645</v>
      </c>
      <c r="AY245" s="12" t="str">
        <f>IFERROR(__xludf.DUMMYFUNCTION("""COMPUTED_VALUE"""),"3113344379")</f>
        <v>3113344379</v>
      </c>
      <c r="AZ245" s="6" t="str">
        <f>IFERROR(__xludf.DUMMYFUNCTION("""COMPUTED_VALUE"""),"Padre")</f>
        <v>Padre</v>
      </c>
      <c r="BA245" s="6"/>
      <c r="BB245" s="6"/>
      <c r="BC245" s="6"/>
      <c r="BD245" s="12" t="str">
        <f>IFERROR(__xludf.DUMMYFUNCTION("""COMPUTED_VALUE"""),"rod0011")</f>
        <v>rod0011</v>
      </c>
      <c r="BE245" s="6" t="str">
        <f>IFERROR(__xludf.DUMMYFUNCTION("""COMPUTED_VALUE"""),"FALTAN FIRMAS")</f>
        <v>FALTAN FIRMAS</v>
      </c>
      <c r="BF245" s="6"/>
      <c r="BG245" s="6">
        <f>IFERROR(__xludf.DUMMYFUNCTION("""COMPUTED_VALUE"""),2037.0)</f>
        <v>2037</v>
      </c>
      <c r="BH245" s="15">
        <f>IFERROR(__xludf.DUMMYFUNCTION("""COMPUTED_VALUE"""),46213.71648148148)</f>
        <v>46213.71648</v>
      </c>
      <c r="BI245" s="6">
        <f>IFERROR(__xludf.DUMMYFUNCTION("""COMPUTED_VALUE"""),244.0)</f>
        <v>244</v>
      </c>
      <c r="BJ245" s="6"/>
      <c r="BK245" s="6"/>
      <c r="BL245" s="6" t="str">
        <f>IFERROR(__xludf.DUMMYFUNCTION("""COMPUTED_VALUE"""),"GISROD0011")</f>
        <v>GISROD0011</v>
      </c>
      <c r="BM245" s="6"/>
      <c r="BN245" s="6"/>
      <c r="BO245" s="6"/>
      <c r="BP245" s="6"/>
      <c r="BQ245" s="6"/>
      <c r="BR245" s="6" t="str">
        <f>IFERROR(__xludf.DUMMYFUNCTION("""COMPUTED_VALUE"""),"XC_EL_DesaInstrumental")</f>
        <v>XC_EL_DesaInstrumental</v>
      </c>
      <c r="BS245" s="6"/>
      <c r="BT245" s="6"/>
      <c r="BU245" s="6" t="str">
        <f>IFERROR(__xludf.DUMMYFUNCTION("""COMPUTED_VALUE"""),"SI")</f>
        <v>SI</v>
      </c>
      <c r="BV245" s="6" t="str">
        <f>IFERROR(__xludf.DUMMYFUNCTION("""COMPUTED_VALUE"""),"jacobo.r2037")</f>
        <v>jacobo.r2037</v>
      </c>
      <c r="BW245" s="6"/>
      <c r="BX245" s="6"/>
      <c r="BY245" s="6"/>
      <c r="BZ245" s="6"/>
    </row>
    <row r="246">
      <c r="A246" s="12">
        <f>IFERROR(__xludf.DUMMYFUNCTION("""COMPUTED_VALUE"""),8024949.0)</f>
        <v>8024949</v>
      </c>
      <c r="B246" s="6">
        <f>IFERROR(__xludf.DUMMYFUNCTION("""COMPUTED_VALUE"""),13.0)</f>
        <v>13</v>
      </c>
      <c r="C246" s="6" t="str">
        <f>IFERROR(__xludf.DUMMYFUNCTION("""COMPUTED_VALUE"""),"Kira")</f>
        <v>Kira</v>
      </c>
      <c r="D246" s="6" t="str">
        <f>IFERROR(__xludf.DUMMYFUNCTION("""COMPUTED_VALUE"""),"Yulia")</f>
        <v>Yulia</v>
      </c>
      <c r="E246" s="6" t="str">
        <f>IFERROR(__xludf.DUMMYFUNCTION("""COMPUTED_VALUE"""),"Ryanovna Togiaheulu")</f>
        <v>Ryanovna Togiaheulu</v>
      </c>
      <c r="F246" s="6" t="str">
        <f>IFERROR(__xludf.DUMMYFUNCTION("""COMPUTED_VALUE"""),"Hacienda Cortijo Imperial Parque Residencial Los Cedros Torre 1 Apto 501 - Calle 49Nte No14 - 09")</f>
        <v>Hacienda Cortijo Imperial Parque Residencial Los Cedros Torre 1 Apto 501 - Calle 49Nte No14 - 09</v>
      </c>
      <c r="G246" s="12" t="str">
        <f>IFERROR(__xludf.DUMMYFUNCTION("""COMPUTED_VALUE"""),"2020")</f>
        <v>2020</v>
      </c>
      <c r="H246" s="6" t="str">
        <f>IFERROR(__xludf.DUMMYFUNCTION("""COMPUTED_VALUE"""),"Marzo")</f>
        <v>Marzo</v>
      </c>
      <c r="I246" s="12" t="str">
        <f>IFERROR(__xludf.DUMMYFUNCTION("""COMPUTED_VALUE"""),"4")</f>
        <v>4</v>
      </c>
      <c r="J246" s="6" t="str">
        <f>IFERROR(__xludf.DUMMYFUNCTION("""COMPUTED_VALUE"""),"Auckland")</f>
        <v>Auckland</v>
      </c>
      <c r="K246" s="6" t="str">
        <f>IFERROR(__xludf.DUMMYFUNCTION("""COMPUTED_VALUE"""),"kira.r2038@gi.edu.co")</f>
        <v>kira.r2038@gi.edu.co</v>
      </c>
      <c r="L246" s="6" t="str">
        <f>IFERROR(__xludf.DUMMYFUNCTION("""COMPUTED_VALUE"""),"CE")</f>
        <v>CE</v>
      </c>
      <c r="M246" s="6" t="str">
        <f>IFERROR(__xludf.DUMMYFUNCTION("""COMPUTED_VALUE"""),"Auckland")</f>
        <v>Auckland</v>
      </c>
      <c r="N246" s="6" t="str">
        <f>IFERROR(__xludf.DUMMYFUNCTION("""COMPUTED_VALUE"""),"F")</f>
        <v>F</v>
      </c>
      <c r="O246" s="6" t="str">
        <f>IFERROR(__xludf.DUMMYFUNCTION("""COMPUTED_VALUE"""),"INACTIVE")</f>
        <v>INACTIVE</v>
      </c>
      <c r="P246" s="6"/>
      <c r="Q246" s="6" t="str">
        <f>IFERROR(__xludf.DUMMYFUNCTION("""COMPUTED_VALUE"""),"Armenia")</f>
        <v>Armenia</v>
      </c>
      <c r="R246" s="12" t="str">
        <f>IFERROR(__xludf.DUMMYFUNCTION("""COMPUTED_VALUE"""),"Gir8bs42*")</f>
        <v>Gir8bs42*</v>
      </c>
      <c r="S246" s="6" t="str">
        <f>IFERROR(__xludf.DUMMYFUNCTION("""COMPUTED_VALUE"""),"Ryanovna Togiaheulu Kira Yulia")</f>
        <v>Ryanovna Togiaheulu Kira Yulia</v>
      </c>
      <c r="T246" s="6"/>
      <c r="U246" s="6"/>
      <c r="V246" s="6"/>
      <c r="W246" s="6"/>
      <c r="X246" s="12" t="str">
        <f>IFERROR(__xludf.DUMMYFUNCTION("""COMPUTED_VALUE"""),"B+")</f>
        <v>B+</v>
      </c>
      <c r="Y246" s="12" t="str">
        <f>IFERROR(__xludf.DUMMYFUNCTION("""COMPUTED_VALUE"""),"2")</f>
        <v>2</v>
      </c>
      <c r="Z246" s="12">
        <f>IFERROR(__xludf.DUMMYFUNCTION("""COMPUTED_VALUE"""),120467.0)</f>
        <v>120467</v>
      </c>
      <c r="AA246" s="6" t="str">
        <f>IFERROR(__xludf.DUMMYFUNCTION("""COMPUTED_VALUE"""),"SURA")</f>
        <v>SURA</v>
      </c>
      <c r="AB246" s="6"/>
      <c r="AC246" s="6"/>
      <c r="AD246" s="12" t="str">
        <f>IFERROR(__xludf.DUMMYFUNCTION("""COMPUTED_VALUE"""),"2A")</f>
        <v>2A</v>
      </c>
      <c r="AE246" s="12" t="str">
        <f>IFERROR(__xludf.DUMMYFUNCTION("""COMPUTED_VALUE"""),"1345282465")</f>
        <v>1345282465</v>
      </c>
      <c r="AF246" s="12" t="str">
        <f>IFERROR(__xludf.DUMMYFUNCTION("""COMPUTED_VALUE"""),"1345282465")</f>
        <v>1345282465</v>
      </c>
      <c r="AG246" s="12" t="str">
        <f>IFERROR(__xludf.DUMMYFUNCTION("""COMPUTED_VALUE"""),"Aleksandra")</f>
        <v>Aleksandra</v>
      </c>
      <c r="AH246" s="6"/>
      <c r="AI246" s="6" t="str">
        <f>IFERROR(__xludf.DUMMYFUNCTION("""COMPUTED_VALUE"""),"Manucharova")</f>
        <v>Manucharova</v>
      </c>
      <c r="AJ246" s="6" t="str">
        <f>IFERROR(__xludf.DUMMYFUNCTION("""COMPUTED_VALUE"""),"sasha.manucharova@gmail.com")</f>
        <v>sasha.manucharova@gmail.com</v>
      </c>
      <c r="AK246" s="6" t="str">
        <f>IFERROR(__xludf.DUMMYFUNCTION("""COMPUTED_VALUE"""),"Teacher")</f>
        <v>Teacher</v>
      </c>
      <c r="AL246" s="6" t="str">
        <f>IFERROR(__xludf.DUMMYFUNCTION("""COMPUTED_VALUE"""),"GI School")</f>
        <v>GI School</v>
      </c>
      <c r="AM246" s="12" t="str">
        <f>IFERROR(__xludf.DUMMYFUNCTION("""COMPUTED_VALUE"""),"586331")</f>
        <v>586331</v>
      </c>
      <c r="AN246" s="12" t="str">
        <f>IFERROR(__xludf.DUMMYFUNCTION("""COMPUTED_VALUE"""),"3044427738")</f>
        <v>3044427738</v>
      </c>
      <c r="AO246" s="6" t="str">
        <f>IFERROR(__xludf.DUMMYFUNCTION("""COMPUTED_VALUE"""),"Madre")</f>
        <v>Madre</v>
      </c>
      <c r="AP246" s="6" t="str">
        <f>IFERROR(__xludf.DUMMYFUNCTION("""COMPUTED_VALUE"""),"Estudiante(s): Ryanovna Togiaheulu")</f>
        <v>Estudiante(s): Ryanovna Togiaheulu</v>
      </c>
      <c r="AQ246" s="6" t="str">
        <f>IFERROR(__xludf.DUMMYFUNCTION("""COMPUTED_VALUE"""),"120467*Gi")</f>
        <v>120467*Gi</v>
      </c>
      <c r="AR246" s="6" t="str">
        <f>IFERROR(__xludf.DUMMYFUNCTION("""COMPUTED_VALUE"""),"Tugi")</f>
        <v>Tugi</v>
      </c>
      <c r="AS246" s="6" t="str">
        <f>IFERROR(__xludf.DUMMYFUNCTION("""COMPUTED_VALUE"""),"Ryan")</f>
        <v>Ryan</v>
      </c>
      <c r="AT246" s="6" t="str">
        <f>IFERROR(__xludf.DUMMYFUNCTION("""COMPUTED_VALUE"""),"Togiaheuluu")</f>
        <v>Togiaheuluu</v>
      </c>
      <c r="AU246" s="6" t="str">
        <f>IFERROR(__xludf.DUMMYFUNCTION("""COMPUTED_VALUE"""),"tugitogiaheulu@hotmail.com")</f>
        <v>tugitogiaheulu@hotmail.com</v>
      </c>
      <c r="AV246" s="6" t="str">
        <f>IFERROR(__xludf.DUMMYFUNCTION("""COMPUTED_VALUE"""),"Teacher")</f>
        <v>Teacher</v>
      </c>
      <c r="AW246" s="6" t="str">
        <f>IFERROR(__xludf.DUMMYFUNCTION("""COMPUTED_VALUE"""),"GI School")</f>
        <v>GI School</v>
      </c>
      <c r="AX246" s="12" t="str">
        <f>IFERROR(__xludf.DUMMYFUNCTION("""COMPUTED_VALUE"""),"548825")</f>
        <v>548825</v>
      </c>
      <c r="AY246" s="12" t="str">
        <f>IFERROR(__xludf.DUMMYFUNCTION("""COMPUTED_VALUE"""),"3225432465")</f>
        <v>3225432465</v>
      </c>
      <c r="AZ246" s="6" t="str">
        <f>IFERROR(__xludf.DUMMYFUNCTION("""COMPUTED_VALUE"""),"Padre")</f>
        <v>Padre</v>
      </c>
      <c r="BA246" s="6"/>
      <c r="BB246" s="6"/>
      <c r="BC246" s="6"/>
      <c r="BD246" s="12" t="str">
        <f>IFERROR(__xludf.DUMMYFUNCTION("""COMPUTED_VALUE"""),"rya0001")</f>
        <v>rya0001</v>
      </c>
      <c r="BE246" s="6" t="str">
        <f>IFERROR(__xludf.DUMMYFUNCTION("""COMPUTED_VALUE"""),"FALTAN FIRMAS")</f>
        <v>FALTAN FIRMAS</v>
      </c>
      <c r="BF246" s="6"/>
      <c r="BG246" s="6">
        <f>IFERROR(__xludf.DUMMYFUNCTION("""COMPUTED_VALUE"""),2037.0)</f>
        <v>2037</v>
      </c>
      <c r="BH246" s="15">
        <f>IFERROR(__xludf.DUMMYFUNCTION("""COMPUTED_VALUE"""),46252.38741898148)</f>
        <v>46252.38742</v>
      </c>
      <c r="BI246" s="6">
        <f>IFERROR(__xludf.DUMMYFUNCTION("""COMPUTED_VALUE"""),245.0)</f>
        <v>245</v>
      </c>
      <c r="BJ246" s="6"/>
      <c r="BK246" s="6"/>
      <c r="BL246" s="6" t="str">
        <f>IFERROR(__xludf.DUMMYFUNCTION("""COMPUTED_VALUE"""),"GISRYA0001")</f>
        <v>GISRYA0001</v>
      </c>
      <c r="BM246" s="6"/>
      <c r="BN246" s="6"/>
      <c r="BO246" s="6" t="str">
        <f>IFERROR(__xludf.DUMMYFUNCTION("""COMPUTED_VALUE"""),"XC_EL_ArtesPlasticas")</f>
        <v>XC_EL_ArtesPlasticas</v>
      </c>
      <c r="BP246" s="6" t="str">
        <f>IFERROR(__xludf.DUMMYFUNCTION("""COMPUTED_VALUE"""),"XC_EL_Porras")</f>
        <v>XC_EL_Porras</v>
      </c>
      <c r="BQ246" s="6" t="str">
        <f>IFERROR(__xludf.DUMMYFUNCTION("""COMPUTED_VALUE"""),"XC_EL_Porras")</f>
        <v>XC_EL_Porras</v>
      </c>
      <c r="BR246" s="6" t="str">
        <f>IFERROR(__xludf.DUMMYFUNCTION("""COMPUTED_VALUE"""),"XC_EL_PequenosCientificos")</f>
        <v>XC_EL_PequenosCientificos</v>
      </c>
      <c r="BS246" s="6" t="str">
        <f>IFERROR(__xludf.DUMMYFUNCTION("""COMPUTED_VALUE"""),"XC_EL_Porras")</f>
        <v>XC_EL_Porras</v>
      </c>
      <c r="BT246" s="6"/>
      <c r="BU246" s="6" t="str">
        <f>IFERROR(__xludf.DUMMYFUNCTION("""COMPUTED_VALUE"""),"SI")</f>
        <v>SI</v>
      </c>
      <c r="BV246" s="6" t="str">
        <f>IFERROR(__xludf.DUMMYFUNCTION("""COMPUTED_VALUE"""),"kira.r2038")</f>
        <v>kira.r2038</v>
      </c>
      <c r="BW246" s="6"/>
      <c r="BX246" s="6"/>
      <c r="BY246" s="6"/>
      <c r="BZ246" s="6"/>
    </row>
    <row r="247">
      <c r="A247" s="12">
        <f>IFERROR(__xludf.DUMMYFUNCTION("""COMPUTED_VALUE"""),1.092863277E9)</f>
        <v>1092863277</v>
      </c>
      <c r="B247" s="6">
        <f>IFERROR(__xludf.DUMMYFUNCTION("""COMPUTED_VALUE"""),14.0)</f>
        <v>14</v>
      </c>
      <c r="C247" s="6" t="str">
        <f>IFERROR(__xludf.DUMMYFUNCTION("""COMPUTED_VALUE"""),"Anahí")</f>
        <v>Anahí</v>
      </c>
      <c r="D247" s="6"/>
      <c r="E247" s="6" t="str">
        <f>IFERROR(__xludf.DUMMYFUNCTION("""COMPUTED_VALUE"""),"Suárez Suárez")</f>
        <v>Suárez Suárez</v>
      </c>
      <c r="F247" s="6" t="str">
        <f>IFERROR(__xludf.DUMMYFUNCTION("""COMPUTED_VALUE"""),"Condominio La Aldea - Km 8 Via Pereira")</f>
        <v>Condominio La Aldea - Km 8 Via Pereira</v>
      </c>
      <c r="G247" s="12" t="str">
        <f>IFERROR(__xludf.DUMMYFUNCTION("""COMPUTED_VALUE"""),"2019")</f>
        <v>2019</v>
      </c>
      <c r="H247" s="6" t="str">
        <f>IFERROR(__xludf.DUMMYFUNCTION("""COMPUTED_VALUE"""),"Agosto")</f>
        <v>Agosto</v>
      </c>
      <c r="I247" s="12" t="str">
        <f>IFERROR(__xludf.DUMMYFUNCTION("""COMPUTED_VALUE"""),"9")</f>
        <v>9</v>
      </c>
      <c r="J247" s="6" t="str">
        <f>IFERROR(__xludf.DUMMYFUNCTION("""COMPUTED_VALUE"""),"Armenia")</f>
        <v>Armenia</v>
      </c>
      <c r="K247" s="6" t="str">
        <f>IFERROR(__xludf.DUMMYFUNCTION("""COMPUTED_VALUE"""),"anahi.c2037@gi.edu.co")</f>
        <v>anahi.c2037@gi.edu.co</v>
      </c>
      <c r="L247" s="6" t="str">
        <f>IFERROR(__xludf.DUMMYFUNCTION("""COMPUTED_VALUE"""),"RC")</f>
        <v>RC</v>
      </c>
      <c r="M247" s="6" t="str">
        <f>IFERROR(__xludf.DUMMYFUNCTION("""COMPUTED_VALUE"""),"Armenia")</f>
        <v>Armenia</v>
      </c>
      <c r="N247" s="6" t="str">
        <f>IFERROR(__xludf.DUMMYFUNCTION("""COMPUTED_VALUE"""),"F")</f>
        <v>F</v>
      </c>
      <c r="O247" s="6" t="str">
        <f>IFERROR(__xludf.DUMMYFUNCTION("""COMPUTED_VALUE"""),"INACTIVE")</f>
        <v>INACTIVE</v>
      </c>
      <c r="P247" s="6"/>
      <c r="Q247" s="6" t="str">
        <f>IFERROR(__xludf.DUMMYFUNCTION("""COMPUTED_VALUE"""),"Armenia")</f>
        <v>Armenia</v>
      </c>
      <c r="R247" s="12" t="str">
        <f>IFERROR(__xludf.DUMMYFUNCTION("""COMPUTED_VALUE"""),"GiC6ttgw4*")</f>
        <v>GiC6ttgw4*</v>
      </c>
      <c r="S247" s="6" t="str">
        <f>IFERROR(__xludf.DUMMYFUNCTION("""COMPUTED_VALUE"""),"Suárez Suárez Anahí ")</f>
        <v>Suárez Suárez Anahí </v>
      </c>
      <c r="T247" s="6" t="str">
        <f>IFERROR(__xludf.DUMMYFUNCTION("""COMPUTED_VALUE"""),"CHRISTIAM SUAREZ GIRALDO")</f>
        <v>CHRISTIAM SUAREZ GIRALDO</v>
      </c>
      <c r="U247" s="12" t="str">
        <f>IFERROR(__xludf.DUMMYFUNCTION("""COMPUTED_VALUE"""),"14650142")</f>
        <v>14650142</v>
      </c>
      <c r="V247" s="6">
        <f>IFERROR(__xludf.DUMMYFUNCTION("""COMPUTED_VALUE"""),3.155513332E9)</f>
        <v>3155513332</v>
      </c>
      <c r="W247" s="6" t="str">
        <f>IFERROR(__xludf.DUMMYFUNCTION("""COMPUTED_VALUE"""),"christiamsuarez@yahoo.es")</f>
        <v>christiamsuarez@yahoo.es</v>
      </c>
      <c r="X247" s="12" t="str">
        <f>IFERROR(__xludf.DUMMYFUNCTION("""COMPUTED_VALUE"""),"O-")</f>
        <v>O-</v>
      </c>
      <c r="Y247" s="12" t="str">
        <f>IFERROR(__xludf.DUMMYFUNCTION("""COMPUTED_VALUE"""),"2")</f>
        <v>2</v>
      </c>
      <c r="Z247" s="12">
        <f>IFERROR(__xludf.DUMMYFUNCTION("""COMPUTED_VALUE"""),120185.0)</f>
        <v>120185</v>
      </c>
      <c r="AA247" s="6" t="str">
        <f>IFERROR(__xludf.DUMMYFUNCTION("""COMPUTED_VALUE"""),"SURA")</f>
        <v>SURA</v>
      </c>
      <c r="AB247" s="6"/>
      <c r="AC247" s="6"/>
      <c r="AD247" s="12" t="str">
        <f>IFERROR(__xludf.DUMMYFUNCTION("""COMPUTED_VALUE"""),"2A")</f>
        <v>2A</v>
      </c>
      <c r="AE247" s="12">
        <f>IFERROR(__xludf.DUMMYFUNCTION("""COMPUTED_VALUE"""),1.345282178E9)</f>
        <v>1345282178</v>
      </c>
      <c r="AF247" s="12" t="str">
        <f>IFERROR(__xludf.DUMMYFUNCTION("""COMPUTED_VALUE"""),"1345282178")</f>
        <v>1345282178</v>
      </c>
      <c r="AG247" s="12" t="str">
        <f>IFERROR(__xludf.DUMMYFUNCTION("""COMPUTED_VALUE"""),"Manuela")</f>
        <v>Manuela</v>
      </c>
      <c r="AH247" s="6"/>
      <c r="AI247" s="6" t="str">
        <f>IFERROR(__xludf.DUMMYFUNCTION("""COMPUTED_VALUE"""),"Suárez Pardo")</f>
        <v>Suárez Pardo</v>
      </c>
      <c r="AJ247" s="6" t="str">
        <f>IFERROR(__xludf.DUMMYFUNCTION("""COMPUTED_VALUE"""),"manu-0213@hotmail.com")</f>
        <v>manu-0213@hotmail.com</v>
      </c>
      <c r="AK247" s="6" t="str">
        <f>IFERROR(__xludf.DUMMYFUNCTION("""COMPUTED_VALUE"""),"abogada")</f>
        <v>abogada</v>
      </c>
      <c r="AL247" s="6" t="str">
        <f>IFERROR(__xludf.DUMMYFUNCTION("""COMPUTED_VALUE"""),"edificio loteria del quindio oficina 501")</f>
        <v>edificio loteria del quindio oficina 501</v>
      </c>
      <c r="AM247" s="12" t="str">
        <f>IFERROR(__xludf.DUMMYFUNCTION("""COMPUTED_VALUE"""),"1094957059")</f>
        <v>1094957059</v>
      </c>
      <c r="AN247" s="12" t="str">
        <f>IFERROR(__xludf.DUMMYFUNCTION("""COMPUTED_VALUE"""),"3187956593")</f>
        <v>3187956593</v>
      </c>
      <c r="AO247" s="6" t="str">
        <f>IFERROR(__xludf.DUMMYFUNCTION("""COMPUTED_VALUE"""),"Madre")</f>
        <v>Madre</v>
      </c>
      <c r="AP247" s="6" t="str">
        <f>IFERROR(__xludf.DUMMYFUNCTION("""COMPUTED_VALUE"""),"Estudiante(s): Suárez Suárez")</f>
        <v>Estudiante(s): Suárez Suárez</v>
      </c>
      <c r="AQ247" s="6" t="str">
        <f>IFERROR(__xludf.DUMMYFUNCTION("""COMPUTED_VALUE"""),"120035*Gi")</f>
        <v>120035*Gi</v>
      </c>
      <c r="AR247" s="6" t="str">
        <f>IFERROR(__xludf.DUMMYFUNCTION("""COMPUTED_VALUE"""),"Christiam")</f>
        <v>Christiam</v>
      </c>
      <c r="AS247" s="6"/>
      <c r="AT247" s="6" t="str">
        <f>IFERROR(__xludf.DUMMYFUNCTION("""COMPUTED_VALUE"""),"Suárez Giraldo")</f>
        <v>Suárez Giraldo</v>
      </c>
      <c r="AU247" s="6" t="str">
        <f>IFERROR(__xludf.DUMMYFUNCTION("""COMPUTED_VALUE"""),"christiamsuarez@yahoo.es")</f>
        <v>christiamsuarez@yahoo.es</v>
      </c>
      <c r="AV247" s="6" t="str">
        <f>IFERROR(__xludf.DUMMYFUNCTION("""COMPUTED_VALUE"""),"cirujano plastico")</f>
        <v>cirujano plastico</v>
      </c>
      <c r="AW247" s="6" t="str">
        <f>IFERROR(__xludf.DUMMYFUNCTION("""COMPUTED_VALUE"""),"clinica central")</f>
        <v>clinica central</v>
      </c>
      <c r="AX247" s="12" t="str">
        <f>IFERROR(__xludf.DUMMYFUNCTION("""COMPUTED_VALUE"""),"14650142")</f>
        <v>14650142</v>
      </c>
      <c r="AY247" s="12" t="str">
        <f>IFERROR(__xludf.DUMMYFUNCTION("""COMPUTED_VALUE"""),"3155513332")</f>
        <v>3155513332</v>
      </c>
      <c r="AZ247" s="6" t="str">
        <f>IFERROR(__xludf.DUMMYFUNCTION("""COMPUTED_VALUE"""),"Padre")</f>
        <v>Padre</v>
      </c>
      <c r="BA247" s="6"/>
      <c r="BB247" s="6"/>
      <c r="BC247" s="6"/>
      <c r="BD247" s="12" t="str">
        <f>IFERROR(__xludf.DUMMYFUNCTION("""COMPUTED_VALUE"""),"sua0002")</f>
        <v>sua0002</v>
      </c>
      <c r="BE247" s="6" t="str">
        <f>IFERROR(__xludf.DUMMYFUNCTION("""COMPUTED_VALUE"""),"FALTAN FIRMAS")</f>
        <v>FALTAN FIRMAS</v>
      </c>
      <c r="BF247" s="6"/>
      <c r="BG247" s="6">
        <f>IFERROR(__xludf.DUMMYFUNCTION("""COMPUTED_VALUE"""),2037.0)</f>
        <v>2037</v>
      </c>
      <c r="BH247" s="15">
        <f>IFERROR(__xludf.DUMMYFUNCTION("""COMPUTED_VALUE"""),46249.27724537037)</f>
        <v>46249.27725</v>
      </c>
      <c r="BI247" s="6">
        <f>IFERROR(__xludf.DUMMYFUNCTION("""COMPUTED_VALUE"""),246.0)</f>
        <v>246</v>
      </c>
      <c r="BJ247" s="6"/>
      <c r="BK247" s="6"/>
      <c r="BL247" s="6" t="str">
        <f>IFERROR(__xludf.DUMMYFUNCTION("""COMPUTED_VALUE"""),"GISSUA0002")</f>
        <v>GISSUA0002</v>
      </c>
      <c r="BM247" s="6"/>
      <c r="BN247" s="6"/>
      <c r="BO247" s="6" t="str">
        <f>IFERROR(__xludf.DUMMYFUNCTION("""COMPUTED_VALUE"""),"XC_EL_ArtesPlasticas")</f>
        <v>XC_EL_ArtesPlasticas</v>
      </c>
      <c r="BP247" s="6" t="str">
        <f>IFERROR(__xludf.DUMMYFUNCTION("""COMPUTED_VALUE"""),"XC_23_Voleibol")</f>
        <v>XC_23_Voleibol</v>
      </c>
      <c r="BQ247" s="6"/>
      <c r="BR247" s="6" t="str">
        <f>IFERROR(__xludf.DUMMYFUNCTION("""COMPUTED_VALUE"""),"XC_EL_PequenosCientificos")</f>
        <v>XC_EL_PequenosCientificos</v>
      </c>
      <c r="BS247" s="6" t="str">
        <f>IFERROR(__xludf.DUMMYFUNCTION("""COMPUTED_VALUE"""),"XC_23_Voleibol")</f>
        <v>XC_23_Voleibol</v>
      </c>
      <c r="BT247" s="6" t="str">
        <f>IFERROR(__xludf.DUMMYFUNCTION("""COMPUTED_VALUE"""),"XC_23_Voleibol")</f>
        <v>XC_23_Voleibol</v>
      </c>
      <c r="BU247" s="6" t="str">
        <f>IFERROR(__xludf.DUMMYFUNCTION("""COMPUTED_VALUE"""),"SI")</f>
        <v>SI</v>
      </c>
      <c r="BV247" s="6" t="str">
        <f>IFERROR(__xludf.DUMMYFUNCTION("""COMPUTED_VALUE"""),"anahi.c2037")</f>
        <v>anahi.c2037</v>
      </c>
      <c r="BW247" s="6"/>
      <c r="BX247" s="6"/>
      <c r="BY247" s="6"/>
      <c r="BZ247" s="6"/>
    </row>
    <row r="248">
      <c r="A248" s="12">
        <f>IFERROR(__xludf.DUMMYFUNCTION("""COMPUTED_VALUE"""),1.092862819E9)</f>
        <v>1092862819</v>
      </c>
      <c r="B248" s="6">
        <f>IFERROR(__xludf.DUMMYFUNCTION("""COMPUTED_VALUE"""),15.0)</f>
        <v>15</v>
      </c>
      <c r="C248" s="6" t="str">
        <f>IFERROR(__xludf.DUMMYFUNCTION("""COMPUTED_VALUE"""),"Nicolás")</f>
        <v>Nicolás</v>
      </c>
      <c r="D248" s="6"/>
      <c r="E248" s="6" t="str">
        <f>IFERROR(__xludf.DUMMYFUNCTION("""COMPUTED_VALUE"""),"Tisnés Correa")</f>
        <v>Tisnés Correa</v>
      </c>
      <c r="F248" s="6" t="str">
        <f>IFERROR(__xludf.DUMMYFUNCTION("""COMPUTED_VALUE"""),"Los Ocobos Parque Residencial D12 - Calle 31 Nte No20 - 10")</f>
        <v>Los Ocobos Parque Residencial D12 - Calle 31 Nte No20 - 10</v>
      </c>
      <c r="G248" s="12" t="str">
        <f>IFERROR(__xludf.DUMMYFUNCTION("""COMPUTED_VALUE"""),"2019")</f>
        <v>2019</v>
      </c>
      <c r="H248" s="6" t="str">
        <f>IFERROR(__xludf.DUMMYFUNCTION("""COMPUTED_VALUE"""),"Marzo")</f>
        <v>Marzo</v>
      </c>
      <c r="I248" s="12" t="str">
        <f>IFERROR(__xludf.DUMMYFUNCTION("""COMPUTED_VALUE"""),"4")</f>
        <v>4</v>
      </c>
      <c r="J248" s="6" t="str">
        <f>IFERROR(__xludf.DUMMYFUNCTION("""COMPUTED_VALUE"""),"Armenia")</f>
        <v>Armenia</v>
      </c>
      <c r="K248" s="6" t="str">
        <f>IFERROR(__xludf.DUMMYFUNCTION("""COMPUTED_VALUE"""),"nicolas.t2037@gi.edu.co")</f>
        <v>nicolas.t2037@gi.edu.co</v>
      </c>
      <c r="L248" s="6" t="str">
        <f>IFERROR(__xludf.DUMMYFUNCTION("""COMPUTED_VALUE"""),"NUIP")</f>
        <v>NUIP</v>
      </c>
      <c r="M248" s="6" t="str">
        <f>IFERROR(__xludf.DUMMYFUNCTION("""COMPUTED_VALUE"""),"Armenia")</f>
        <v>Armenia</v>
      </c>
      <c r="N248" s="6" t="str">
        <f>IFERROR(__xludf.DUMMYFUNCTION("""COMPUTED_VALUE"""),"M")</f>
        <v>M</v>
      </c>
      <c r="O248" s="6" t="str">
        <f>IFERROR(__xludf.DUMMYFUNCTION("""COMPUTED_VALUE"""),"ACTIVE")</f>
        <v>ACTIVE</v>
      </c>
      <c r="P248" s="6"/>
      <c r="Q248" s="6" t="str">
        <f>IFERROR(__xludf.DUMMYFUNCTION("""COMPUTED_VALUE"""),"Armenia")</f>
        <v>Armenia</v>
      </c>
      <c r="R248" s="12" t="str">
        <f>IFERROR(__xludf.DUMMYFUNCTION("""COMPUTED_VALUE"""),"GiQgm99J*")</f>
        <v>GiQgm99J*</v>
      </c>
      <c r="S248" s="6" t="str">
        <f>IFERROR(__xludf.DUMMYFUNCTION("""COMPUTED_VALUE"""),"Tisnés Correa Nicolás ")</f>
        <v>Tisnés Correa Nicolás </v>
      </c>
      <c r="T248" s="6" t="str">
        <f>IFERROR(__xludf.DUMMYFUNCTION("""COMPUTED_VALUE"""),"CLAUDIA LORENA CORREA RESTREPO")</f>
        <v>CLAUDIA LORENA CORREA RESTREPO</v>
      </c>
      <c r="U248" s="12" t="str">
        <f>IFERROR(__xludf.DUMMYFUNCTION("""COMPUTED_VALUE"""),"1075250924")</f>
        <v>1075250924</v>
      </c>
      <c r="V248" s="6">
        <f>IFERROR(__xludf.DUMMYFUNCTION("""COMPUTED_VALUE"""),3.113685876E9)</f>
        <v>3113685876</v>
      </c>
      <c r="W248" s="6" t="str">
        <f>IFERROR(__xludf.DUMMYFUNCTION("""COMPUTED_VALUE"""),"clau.correa22@gmail.com")</f>
        <v>clau.correa22@gmail.com</v>
      </c>
      <c r="X248" s="12" t="str">
        <f>IFERROR(__xludf.DUMMYFUNCTION("""COMPUTED_VALUE"""),"AB+")</f>
        <v>AB+</v>
      </c>
      <c r="Y248" s="12" t="str">
        <f>IFERROR(__xludf.DUMMYFUNCTION("""COMPUTED_VALUE"""),"2")</f>
        <v>2</v>
      </c>
      <c r="Z248" s="12">
        <f>IFERROR(__xludf.DUMMYFUNCTION("""COMPUTED_VALUE"""),120191.0)</f>
        <v>120191</v>
      </c>
      <c r="AA248" s="6" t="str">
        <f>IFERROR(__xludf.DUMMYFUNCTION("""COMPUTED_VALUE"""),"SURA")</f>
        <v>SURA</v>
      </c>
      <c r="AB248" s="6"/>
      <c r="AC248" s="12" t="str">
        <f>IFERROR(__xludf.DUMMYFUNCTION("""COMPUTED_VALUE"""),"Hormiga")</f>
        <v>Hormiga</v>
      </c>
      <c r="AD248" s="12" t="str">
        <f>IFERROR(__xludf.DUMMYFUNCTION("""COMPUTED_VALUE"""),"2A")</f>
        <v>2A</v>
      </c>
      <c r="AE248" s="12">
        <f>IFERROR(__xludf.DUMMYFUNCTION("""COMPUTED_VALUE"""),1.345282163E9)</f>
        <v>1345282163</v>
      </c>
      <c r="AF248" s="12" t="str">
        <f>IFERROR(__xludf.DUMMYFUNCTION("""COMPUTED_VALUE"""),"1345282163")</f>
        <v>1345282163</v>
      </c>
      <c r="AG248" s="12" t="str">
        <f>IFERROR(__xludf.DUMMYFUNCTION("""COMPUTED_VALUE"""),"Claudia")</f>
        <v>Claudia</v>
      </c>
      <c r="AH248" s="12" t="str">
        <f>IFERROR(__xludf.DUMMYFUNCTION("""COMPUTED_VALUE"""),"Lorena")</f>
        <v>Lorena</v>
      </c>
      <c r="AI248" s="6" t="str">
        <f>IFERROR(__xludf.DUMMYFUNCTION("""COMPUTED_VALUE"""),"Correa Restrepo")</f>
        <v>Correa Restrepo</v>
      </c>
      <c r="AJ248" s="6" t="str">
        <f>IFERROR(__xludf.DUMMYFUNCTION("""COMPUTED_VALUE"""),"clau.correa22@gmail.com")</f>
        <v>clau.correa22@gmail.com</v>
      </c>
      <c r="AK248" s="6" t="str">
        <f>IFERROR(__xludf.DUMMYFUNCTION("""COMPUTED_VALUE"""),"Ingeniera industrial")</f>
        <v>Ingeniera industrial</v>
      </c>
      <c r="AL248" s="6" t="str">
        <f>IFERROR(__xludf.DUMMYFUNCTION("""COMPUTED_VALUE"""),"BT SERVICES SAS")</f>
        <v>BT SERVICES SAS</v>
      </c>
      <c r="AM248" s="12" t="str">
        <f>IFERROR(__xludf.DUMMYFUNCTION("""COMPUTED_VALUE"""),"1075250924")</f>
        <v>1075250924</v>
      </c>
      <c r="AN248" s="12" t="str">
        <f>IFERROR(__xludf.DUMMYFUNCTION("""COMPUTED_VALUE"""),"3113685876")</f>
        <v>3113685876</v>
      </c>
      <c r="AO248" s="6" t="str">
        <f>IFERROR(__xludf.DUMMYFUNCTION("""COMPUTED_VALUE"""),"Madre")</f>
        <v>Madre</v>
      </c>
      <c r="AP248" s="6" t="str">
        <f>IFERROR(__xludf.DUMMYFUNCTION("""COMPUTED_VALUE"""),"Estudiante(s): Tisnés Correa")</f>
        <v>Estudiante(s): Tisnés Correa</v>
      </c>
      <c r="AQ248" s="6" t="str">
        <f>IFERROR(__xludf.DUMMYFUNCTION("""COMPUTED_VALUE"""),"120126*Gi")</f>
        <v>120126*Gi</v>
      </c>
      <c r="AR248" s="6" t="str">
        <f>IFERROR(__xludf.DUMMYFUNCTION("""COMPUTED_VALUE"""),"Juan")</f>
        <v>Juan</v>
      </c>
      <c r="AS248" s="6" t="str">
        <f>IFERROR(__xludf.DUMMYFUNCTION("""COMPUTED_VALUE"""),"Guillermo")</f>
        <v>Guillermo</v>
      </c>
      <c r="AT248" s="6" t="str">
        <f>IFERROR(__xludf.DUMMYFUNCTION("""COMPUTED_VALUE"""),"Tisnés Fernández")</f>
        <v>Tisnés Fernández</v>
      </c>
      <c r="AU248" s="6" t="str">
        <f>IFERROR(__xludf.DUMMYFUNCTION("""COMPUTED_VALUE"""),"juan.tisnes@gmail.com")</f>
        <v>juan.tisnes@gmail.com</v>
      </c>
      <c r="AV248" s="6" t="str">
        <f>IFERROR(__xludf.DUMMYFUNCTION("""COMPUTED_VALUE"""),"Ingeniero electronico")</f>
        <v>Ingeniero electronico</v>
      </c>
      <c r="AW248" s="6" t="str">
        <f>IFERROR(__xludf.DUMMYFUNCTION("""COMPUTED_VALUE"""),"BT SERVICES SAS")</f>
        <v>BT SERVICES SAS</v>
      </c>
      <c r="AX248" s="12" t="str">
        <f>IFERROR(__xludf.DUMMYFUNCTION("""COMPUTED_VALUE"""),"9772263")</f>
        <v>9772263</v>
      </c>
      <c r="AY248" s="12" t="str">
        <f>IFERROR(__xludf.DUMMYFUNCTION("""COMPUTED_VALUE"""),"3008680896")</f>
        <v>3008680896</v>
      </c>
      <c r="AZ248" s="6" t="str">
        <f>IFERROR(__xludf.DUMMYFUNCTION("""COMPUTED_VALUE"""),"Padre")</f>
        <v>Padre</v>
      </c>
      <c r="BA248" s="6"/>
      <c r="BB248" s="6"/>
      <c r="BC248" s="6"/>
      <c r="BD248" s="12" t="str">
        <f>IFERROR(__xludf.DUMMYFUNCTION("""COMPUTED_VALUE"""),"tis0002")</f>
        <v>tis0002</v>
      </c>
      <c r="BE248" s="6"/>
      <c r="BF248" s="6"/>
      <c r="BG248" s="6">
        <f>IFERROR(__xludf.DUMMYFUNCTION("""COMPUTED_VALUE"""),2037.0)</f>
        <v>2037</v>
      </c>
      <c r="BH248" s="15">
        <f>IFERROR(__xludf.DUMMYFUNCTION("""COMPUTED_VALUE"""),46205.410995370374)</f>
        <v>46205.411</v>
      </c>
      <c r="BI248" s="6">
        <f>IFERROR(__xludf.DUMMYFUNCTION("""COMPUTED_VALUE"""),247.0)</f>
        <v>247</v>
      </c>
      <c r="BJ248" s="6" t="str">
        <f>IFERROR(__xludf.DUMMYFUNCTION("""COMPUTED_VALUE"""),"SIMAT: trastorno por déficit de atención con o sin hiperactividad (Sept 22 2025)")</f>
        <v>SIMAT: trastorno por déficit de atención con o sin hiperactividad (Sept 22 2025)</v>
      </c>
      <c r="BK248" s="6"/>
      <c r="BL248" s="6" t="str">
        <f>IFERROR(__xludf.DUMMYFUNCTION("""COMPUTED_VALUE"""),"GISTIS0002")</f>
        <v>GISTIS0002</v>
      </c>
      <c r="BM248" s="6"/>
      <c r="BN248" s="6"/>
      <c r="BO248" s="6"/>
      <c r="BP248" s="6"/>
      <c r="BQ248" s="6"/>
      <c r="BR248" s="6"/>
      <c r="BS248" s="6"/>
      <c r="BT248" s="6"/>
      <c r="BU248" s="6" t="str">
        <f>IFERROR(__xludf.DUMMYFUNCTION("""COMPUTED_VALUE"""),"SI")</f>
        <v>SI</v>
      </c>
      <c r="BV248" s="6" t="str">
        <f>IFERROR(__xludf.DUMMYFUNCTION("""COMPUTED_VALUE"""),"nicolas.t2037")</f>
        <v>nicolas.t2037</v>
      </c>
      <c r="BW248" s="6"/>
      <c r="BX248" s="6"/>
      <c r="BY248" s="6"/>
      <c r="BZ248" s="6"/>
    </row>
    <row r="249">
      <c r="A249" s="12">
        <f>IFERROR(__xludf.DUMMYFUNCTION("""COMPUTED_VALUE"""),1.092466101E9)</f>
        <v>1092466101</v>
      </c>
      <c r="B249" s="6">
        <f>IFERROR(__xludf.DUMMYFUNCTION("""COMPUTED_VALUE"""),16.0)</f>
        <v>16</v>
      </c>
      <c r="C249" s="6" t="str">
        <f>IFERROR(__xludf.DUMMYFUNCTION("""COMPUTED_VALUE"""),"Rosario")</f>
        <v>Rosario</v>
      </c>
      <c r="D249" s="6"/>
      <c r="E249" s="6" t="str">
        <f>IFERROR(__xludf.DUMMYFUNCTION("""COMPUTED_VALUE"""),"Urrea Osorio")</f>
        <v>Urrea Osorio</v>
      </c>
      <c r="F249" s="6" t="str">
        <f>IFERROR(__xludf.DUMMYFUNCTION("""COMPUTED_VALUE"""),"Edificio Prive Apto 1401 - Cra 10 11Nte - 40 La Castellana")</f>
        <v>Edificio Prive Apto 1401 - Cra 10 11Nte - 40 La Castellana</v>
      </c>
      <c r="G249" s="12" t="str">
        <f>IFERROR(__xludf.DUMMYFUNCTION("""COMPUTED_VALUE"""),"2019")</f>
        <v>2019</v>
      </c>
      <c r="H249" s="6" t="str">
        <f>IFERROR(__xludf.DUMMYFUNCTION("""COMPUTED_VALUE"""),"Marzo")</f>
        <v>Marzo</v>
      </c>
      <c r="I249" s="12" t="str">
        <f>IFERROR(__xludf.DUMMYFUNCTION("""COMPUTED_VALUE"""),"28")</f>
        <v>28</v>
      </c>
      <c r="J249" s="6" t="str">
        <f>IFERROR(__xludf.DUMMYFUNCTION("""COMPUTED_VALUE"""),"Armenia")</f>
        <v>Armenia</v>
      </c>
      <c r="K249" s="6" t="str">
        <f>IFERROR(__xludf.DUMMYFUNCTION("""COMPUTED_VALUE"""),"rosario.u2037@gi.edu.co")</f>
        <v>rosario.u2037@gi.edu.co</v>
      </c>
      <c r="L249" s="6" t="str">
        <f>IFERROR(__xludf.DUMMYFUNCTION("""COMPUTED_VALUE"""),"RC")</f>
        <v>RC</v>
      </c>
      <c r="M249" s="6" t="str">
        <f>IFERROR(__xludf.DUMMYFUNCTION("""COMPUTED_VALUE"""),"Armenia")</f>
        <v>Armenia</v>
      </c>
      <c r="N249" s="6" t="str">
        <f>IFERROR(__xludf.DUMMYFUNCTION("""COMPUTED_VALUE"""),"F")</f>
        <v>F</v>
      </c>
      <c r="O249" s="6" t="str">
        <f>IFERROR(__xludf.DUMMYFUNCTION("""COMPUTED_VALUE"""),"ACTIVE")</f>
        <v>ACTIVE</v>
      </c>
      <c r="P249" s="6"/>
      <c r="Q249" s="6" t="str">
        <f>IFERROR(__xludf.DUMMYFUNCTION("""COMPUTED_VALUE"""),"Armenia")</f>
        <v>Armenia</v>
      </c>
      <c r="R249" s="12" t="str">
        <f>IFERROR(__xludf.DUMMYFUNCTION("""COMPUTED_VALUE"""),"Gi84aug7*")</f>
        <v>Gi84aug7*</v>
      </c>
      <c r="S249" s="6" t="str">
        <f>IFERROR(__xludf.DUMMYFUNCTION("""COMPUTED_VALUE"""),"Urrea Osorio Rosario ")</f>
        <v>Urrea Osorio Rosario </v>
      </c>
      <c r="T249" s="6" t="str">
        <f>IFERROR(__xludf.DUMMYFUNCTION("""COMPUTED_VALUE"""),"DAVID URREA ARBELÁEZ")</f>
        <v>DAVID URREA ARBELÁEZ</v>
      </c>
      <c r="U249" s="12" t="str">
        <f>IFERROR(__xludf.DUMMYFUNCTION("""COMPUTED_VALUE"""),"9729283")</f>
        <v>9729283</v>
      </c>
      <c r="V249" s="6">
        <f>IFERROR(__xludf.DUMMYFUNCTION("""COMPUTED_VALUE"""),3.148126115E9)</f>
        <v>3148126115</v>
      </c>
      <c r="W249" s="6" t="str">
        <f>IFERROR(__xludf.DUMMYFUNCTION("""COMPUTED_VALUE"""),"urreadavid1@gmail.com")</f>
        <v>urreadavid1@gmail.com</v>
      </c>
      <c r="X249" s="12" t="str">
        <f>IFERROR(__xludf.DUMMYFUNCTION("""COMPUTED_VALUE"""),"O+")</f>
        <v>O+</v>
      </c>
      <c r="Y249" s="12" t="str">
        <f>IFERROR(__xludf.DUMMYFUNCTION("""COMPUTED_VALUE"""),"2")</f>
        <v>2</v>
      </c>
      <c r="Z249" s="12">
        <f>IFERROR(__xludf.DUMMYFUNCTION("""COMPUTED_VALUE"""),120260.0)</f>
        <v>120260</v>
      </c>
      <c r="AA249" s="6" t="str">
        <f>IFERROR(__xludf.DUMMYFUNCTION("""COMPUTED_VALUE"""),"SURA")</f>
        <v>SURA</v>
      </c>
      <c r="AB249" s="6"/>
      <c r="AC249" s="6"/>
      <c r="AD249" s="12" t="str">
        <f>IFERROR(__xludf.DUMMYFUNCTION("""COMPUTED_VALUE"""),"2A")</f>
        <v>2A</v>
      </c>
      <c r="AE249" s="12">
        <f>IFERROR(__xludf.DUMMYFUNCTION("""COMPUTED_VALUE"""),1.345282147E9)</f>
        <v>1345282147</v>
      </c>
      <c r="AF249" s="12" t="str">
        <f>IFERROR(__xludf.DUMMYFUNCTION("""COMPUTED_VALUE"""),"1345282147")</f>
        <v>1345282147</v>
      </c>
      <c r="AG249" s="12" t="str">
        <f>IFERROR(__xludf.DUMMYFUNCTION("""COMPUTED_VALUE"""),"Alejandra")</f>
        <v>Alejandra</v>
      </c>
      <c r="AH249" s="6"/>
      <c r="AI249" s="6" t="str">
        <f>IFERROR(__xludf.DUMMYFUNCTION("""COMPUTED_VALUE"""),"Osorio Aristizábal")</f>
        <v>Osorio Aristizábal</v>
      </c>
      <c r="AJ249" s="6" t="str">
        <f>IFERROR(__xludf.DUMMYFUNCTION("""COMPUTED_VALUE"""),"aleoa70@hotmail.com")</f>
        <v>aleoa70@hotmail.com</v>
      </c>
      <c r="AK249" s="6" t="str">
        <f>IFERROR(__xludf.DUMMYFUNCTION("""COMPUTED_VALUE"""),"abogada")</f>
        <v>abogada</v>
      </c>
      <c r="AL249" s="6" t="str">
        <f>IFERROR(__xludf.DUMMYFUNCTION("""COMPUTED_VALUE"""),"Independiente")</f>
        <v>Independiente</v>
      </c>
      <c r="AM249" s="12" t="str">
        <f>IFERROR(__xludf.DUMMYFUNCTION("""COMPUTED_VALUE"""),"1094896299")</f>
        <v>1094896299</v>
      </c>
      <c r="AN249" s="12" t="str">
        <f>IFERROR(__xludf.DUMMYFUNCTION("""COMPUTED_VALUE"""),"3137481623")</f>
        <v>3137481623</v>
      </c>
      <c r="AO249" s="6" t="str">
        <f>IFERROR(__xludf.DUMMYFUNCTION("""COMPUTED_VALUE"""),"Madre")</f>
        <v>Madre</v>
      </c>
      <c r="AP249" s="6" t="str">
        <f>IFERROR(__xludf.DUMMYFUNCTION("""COMPUTED_VALUE"""),"Estudiante(s): Urrea Osorio")</f>
        <v>Estudiante(s): Urrea Osorio</v>
      </c>
      <c r="AQ249" s="6" t="str">
        <f>IFERROR(__xludf.DUMMYFUNCTION("""COMPUTED_VALUE"""),"102974*Gi")</f>
        <v>102974*Gi</v>
      </c>
      <c r="AR249" s="6" t="str">
        <f>IFERROR(__xludf.DUMMYFUNCTION("""COMPUTED_VALUE"""),"David")</f>
        <v>David</v>
      </c>
      <c r="AS249" s="6"/>
      <c r="AT249" s="6" t="str">
        <f>IFERROR(__xludf.DUMMYFUNCTION("""COMPUTED_VALUE"""),"Urrea Arbeláez")</f>
        <v>Urrea Arbeláez</v>
      </c>
      <c r="AU249" s="6" t="str">
        <f>IFERROR(__xludf.DUMMYFUNCTION("""COMPUTED_VALUE"""),"urreadavid1@gmail.com")</f>
        <v>urreadavid1@gmail.com</v>
      </c>
      <c r="AV249" s="6" t="str">
        <f>IFERROR(__xludf.DUMMYFUNCTION("""COMPUTED_VALUE"""),"ECONOMISTA")</f>
        <v>ECONOMISTA</v>
      </c>
      <c r="AW249" s="6"/>
      <c r="AX249" s="12" t="str">
        <f>IFERROR(__xludf.DUMMYFUNCTION("""COMPUTED_VALUE"""),"9729283")</f>
        <v>9729283</v>
      </c>
      <c r="AY249" s="12" t="str">
        <f>IFERROR(__xludf.DUMMYFUNCTION("""COMPUTED_VALUE"""),"3148126115")</f>
        <v>3148126115</v>
      </c>
      <c r="AZ249" s="6" t="str">
        <f>IFERROR(__xludf.DUMMYFUNCTION("""COMPUTED_VALUE"""),"Padre")</f>
        <v>Padre</v>
      </c>
      <c r="BA249" s="6"/>
      <c r="BB249" s="6"/>
      <c r="BC249" s="6"/>
      <c r="BD249" s="12" t="str">
        <f>IFERROR(__xludf.DUMMYFUNCTION("""COMPUTED_VALUE"""),"urr0003")</f>
        <v>urr0003</v>
      </c>
      <c r="BE249" s="6"/>
      <c r="BF249" s="6"/>
      <c r="BG249" s="6">
        <f>IFERROR(__xludf.DUMMYFUNCTION("""COMPUTED_VALUE"""),2037.0)</f>
        <v>2037</v>
      </c>
      <c r="BH249" s="15">
        <f>IFERROR(__xludf.DUMMYFUNCTION("""COMPUTED_VALUE"""),46210.45582175926)</f>
        <v>46210.45582</v>
      </c>
      <c r="BI249" s="6">
        <f>IFERROR(__xludf.DUMMYFUNCTION("""COMPUTED_VALUE"""),248.0)</f>
        <v>248</v>
      </c>
      <c r="BJ249" s="6"/>
      <c r="BK249" s="6" t="str">
        <f>IFERROR(__xludf.DUMMYFUNCTION("""COMPUTED_VALUE"""),"Si: SYMBYCORT")</f>
        <v>Si: SYMBYCORT</v>
      </c>
      <c r="BL249" s="6" t="str">
        <f>IFERROR(__xludf.DUMMYFUNCTION("""COMPUTED_VALUE"""),"GISURR0003")</f>
        <v>GISURR0003</v>
      </c>
      <c r="BM249" s="6"/>
      <c r="BN249" s="6"/>
      <c r="BO249" s="6"/>
      <c r="BP249" s="6" t="str">
        <f>IFERROR(__xludf.DUMMYFUNCTION("""COMPUTED_VALUE"""),"XC_EL_Porras")</f>
        <v>XC_EL_Porras</v>
      </c>
      <c r="BQ249" s="6" t="str">
        <f>IFERROR(__xludf.DUMMYFUNCTION("""COMPUTED_VALUE"""),"XC_EL_Porras")</f>
        <v>XC_EL_Porras</v>
      </c>
      <c r="BR249" s="6" t="str">
        <f>IFERROR(__xludf.DUMMYFUNCTION("""COMPUTED_VALUE"""),"XC_EL_DanzaModerna")</f>
        <v>XC_EL_DanzaModerna</v>
      </c>
      <c r="BS249" s="6" t="str">
        <f>IFERROR(__xludf.DUMMYFUNCTION("""COMPUTED_VALUE"""),"XC_EL_Porras")</f>
        <v>XC_EL_Porras</v>
      </c>
      <c r="BT249" s="6"/>
      <c r="BU249" s="6" t="str">
        <f>IFERROR(__xludf.DUMMYFUNCTION("""COMPUTED_VALUE"""),"SI")</f>
        <v>SI</v>
      </c>
      <c r="BV249" s="6" t="str">
        <f>IFERROR(__xludf.DUMMYFUNCTION("""COMPUTED_VALUE"""),"rosario.u2037")</f>
        <v>rosario.u2037</v>
      </c>
      <c r="BW249" s="6"/>
      <c r="BX249" s="6"/>
      <c r="BY249" s="6"/>
      <c r="BZ249" s="6"/>
    </row>
    <row r="250">
      <c r="A250" s="12">
        <f>IFERROR(__xludf.DUMMYFUNCTION("""COMPUTED_VALUE"""),1.014901108E9)</f>
        <v>1014901108</v>
      </c>
      <c r="B250" s="6">
        <f>IFERROR(__xludf.DUMMYFUNCTION("""COMPUTED_VALUE"""),17.0)</f>
        <v>17</v>
      </c>
      <c r="C250" s="6" t="str">
        <f>IFERROR(__xludf.DUMMYFUNCTION("""COMPUTED_VALUE"""),"Thiago")</f>
        <v>Thiago</v>
      </c>
      <c r="D250" s="6"/>
      <c r="E250" s="6" t="str">
        <f>IFERROR(__xludf.DUMMYFUNCTION("""COMPUTED_VALUE"""),"Zapata Aristizábal")</f>
        <v>Zapata Aristizábal</v>
      </c>
      <c r="F250" s="6" t="str">
        <f>IFERROR(__xludf.DUMMYFUNCTION("""COMPUTED_VALUE"""),"Km 11 Via El Eden Casa 26 San Antonio Diagonal Cond El Eden")</f>
        <v>Km 11 Via El Eden Casa 26 San Antonio Diagonal Cond El Eden</v>
      </c>
      <c r="G250" s="12" t="str">
        <f>IFERROR(__xludf.DUMMYFUNCTION("""COMPUTED_VALUE"""),"2019")</f>
        <v>2019</v>
      </c>
      <c r="H250" s="6" t="str">
        <f>IFERROR(__xludf.DUMMYFUNCTION("""COMPUTED_VALUE"""),"Junio")</f>
        <v>Junio</v>
      </c>
      <c r="I250" s="12" t="str">
        <f>IFERROR(__xludf.DUMMYFUNCTION("""COMPUTED_VALUE"""),"20")</f>
        <v>20</v>
      </c>
      <c r="J250" s="6" t="str">
        <f>IFERROR(__xludf.DUMMYFUNCTION("""COMPUTED_VALUE"""),"Bogotá D.C.")</f>
        <v>Bogotá D.C.</v>
      </c>
      <c r="K250" s="6" t="str">
        <f>IFERROR(__xludf.DUMMYFUNCTION("""COMPUTED_VALUE"""),"thiago.z2037@gi.edu.co")</f>
        <v>thiago.z2037@gi.edu.co</v>
      </c>
      <c r="L250" s="6" t="str">
        <f>IFERROR(__xludf.DUMMYFUNCTION("""COMPUTED_VALUE"""),"RC")</f>
        <v>RC</v>
      </c>
      <c r="M250" s="6" t="str">
        <f>IFERROR(__xludf.DUMMYFUNCTION("""COMPUTED_VALUE"""),"Bogotá D.C.")</f>
        <v>Bogotá D.C.</v>
      </c>
      <c r="N250" s="6" t="str">
        <f>IFERROR(__xludf.DUMMYFUNCTION("""COMPUTED_VALUE"""),"M")</f>
        <v>M</v>
      </c>
      <c r="O250" s="6" t="str">
        <f>IFERROR(__xludf.DUMMYFUNCTION("""COMPUTED_VALUE"""),"ACTIVE")</f>
        <v>ACTIVE</v>
      </c>
      <c r="P250" s="6"/>
      <c r="Q250" s="6" t="str">
        <f>IFERROR(__xludf.DUMMYFUNCTION("""COMPUTED_VALUE"""),"La Tebaida")</f>
        <v>La Tebaida</v>
      </c>
      <c r="R250" s="12" t="str">
        <f>IFERROR(__xludf.DUMMYFUNCTION("""COMPUTED_VALUE"""),"Gim3x4t*")</f>
        <v>Gim3x4t*</v>
      </c>
      <c r="S250" s="6" t="str">
        <f>IFERROR(__xludf.DUMMYFUNCTION("""COMPUTED_VALUE"""),"Zapata Aristizábal Thiago ")</f>
        <v>Zapata Aristizábal Thiago </v>
      </c>
      <c r="T250" s="6" t="str">
        <f>IFERROR(__xludf.DUMMYFUNCTION("""COMPUTED_VALUE"""),"DIEGO FERNANDO ZAPATA FRANCO")</f>
        <v>DIEGO FERNANDO ZAPATA FRANCO</v>
      </c>
      <c r="U250" s="12" t="str">
        <f>IFERROR(__xludf.DUMMYFUNCTION("""COMPUTED_VALUE"""),"9731856")</f>
        <v>9731856</v>
      </c>
      <c r="V250" s="6">
        <f>IFERROR(__xludf.DUMMYFUNCTION("""COMPUTED_VALUE"""),3.00616304E9)</f>
        <v>3006163040</v>
      </c>
      <c r="W250" s="6" t="str">
        <f>IFERROR(__xludf.DUMMYFUNCTION("""COMPUTED_VALUE"""),"diegoza7@hotmail.com")</f>
        <v>diegoza7@hotmail.com</v>
      </c>
      <c r="X250" s="12" t="str">
        <f>IFERROR(__xludf.DUMMYFUNCTION("""COMPUTED_VALUE"""),"A+")</f>
        <v>A+</v>
      </c>
      <c r="Y250" s="12" t="str">
        <f>IFERROR(__xludf.DUMMYFUNCTION("""COMPUTED_VALUE"""),"2")</f>
        <v>2</v>
      </c>
      <c r="Z250" s="12">
        <f>IFERROR(__xludf.DUMMYFUNCTION("""COMPUTED_VALUE"""),120328.0)</f>
        <v>120328</v>
      </c>
      <c r="AA250" s="6" t="str">
        <f>IFERROR(__xludf.DUMMYFUNCTION("""COMPUTED_VALUE"""),"SANITAS")</f>
        <v>SANITAS</v>
      </c>
      <c r="AB250" s="6"/>
      <c r="AC250" s="6"/>
      <c r="AD250" s="12" t="str">
        <f>IFERROR(__xludf.DUMMYFUNCTION("""COMPUTED_VALUE"""),"2A")</f>
        <v>2A</v>
      </c>
      <c r="AE250" s="12">
        <f>IFERROR(__xludf.DUMMYFUNCTION("""COMPUTED_VALUE"""),1.345282332E9)</f>
        <v>1345282332</v>
      </c>
      <c r="AF250" s="12" t="str">
        <f>IFERROR(__xludf.DUMMYFUNCTION("""COMPUTED_VALUE"""),"1345282332")</f>
        <v>1345282332</v>
      </c>
      <c r="AG250" s="12" t="str">
        <f>IFERROR(__xludf.DUMMYFUNCTION("""COMPUTED_VALUE"""),"Sara")</f>
        <v>Sara</v>
      </c>
      <c r="AH250" s="6"/>
      <c r="AI250" s="6" t="str">
        <f>IFERROR(__xludf.DUMMYFUNCTION("""COMPUTED_VALUE"""),"Aristizábal Ramírez")</f>
        <v>Aristizábal Ramírez</v>
      </c>
      <c r="AJ250" s="6" t="str">
        <f>IFERROR(__xludf.DUMMYFUNCTION("""COMPUTED_VALUE"""),"saraarist@hotmail.com")</f>
        <v>saraarist@hotmail.com</v>
      </c>
      <c r="AK250" s="6" t="str">
        <f>IFERROR(__xludf.DUMMYFUNCTION("""COMPUTED_VALUE"""),"Abogada Esp. en derecho administrativo")</f>
        <v>Abogada Esp. en derecho administrativo</v>
      </c>
      <c r="AL250" s="6" t="str">
        <f>IFERROR(__xludf.DUMMYFUNCTION("""COMPUTED_VALUE"""),"SPORTS &amp; SICENCE LAB SAS")</f>
        <v>SPORTS &amp; SICENCE LAB SAS</v>
      </c>
      <c r="AM250" s="12" t="str">
        <f>IFERROR(__xludf.DUMMYFUNCTION("""COMPUTED_VALUE"""),"41955537")</f>
        <v>41955537</v>
      </c>
      <c r="AN250" s="12" t="str">
        <f>IFERROR(__xludf.DUMMYFUNCTION("""COMPUTED_VALUE"""),"3007847406")</f>
        <v>3007847406</v>
      </c>
      <c r="AO250" s="6" t="str">
        <f>IFERROR(__xludf.DUMMYFUNCTION("""COMPUTED_VALUE"""),"Madre")</f>
        <v>Madre</v>
      </c>
      <c r="AP250" s="6" t="str">
        <f>IFERROR(__xludf.DUMMYFUNCTION("""COMPUTED_VALUE"""),"Estudiante(s): Zapata Aristizábal")</f>
        <v>Estudiante(s): Zapata Aristizábal</v>
      </c>
      <c r="AQ250" s="6" t="str">
        <f>IFERROR(__xludf.DUMMYFUNCTION("""COMPUTED_VALUE"""),"120328*Gi")</f>
        <v>120328*Gi</v>
      </c>
      <c r="AR250" s="6" t="str">
        <f>IFERROR(__xludf.DUMMYFUNCTION("""COMPUTED_VALUE"""),"Diego")</f>
        <v>Diego</v>
      </c>
      <c r="AS250" s="6" t="str">
        <f>IFERROR(__xludf.DUMMYFUNCTION("""COMPUTED_VALUE"""),"Fernando")</f>
        <v>Fernando</v>
      </c>
      <c r="AT250" s="6" t="str">
        <f>IFERROR(__xludf.DUMMYFUNCTION("""COMPUTED_VALUE"""),"Zapata Franco")</f>
        <v>Zapata Franco</v>
      </c>
      <c r="AU250" s="6" t="str">
        <f>IFERROR(__xludf.DUMMYFUNCTION("""COMPUTED_VALUE"""),"diegoza7@hotmail.com")</f>
        <v>diegoza7@hotmail.com</v>
      </c>
      <c r="AV250" s="6" t="str">
        <f>IFERROR(__xludf.DUMMYFUNCTION("""COMPUTED_VALUE"""),"Abogado Esp. en derecho administrativo")</f>
        <v>Abogado Esp. en derecho administrativo</v>
      </c>
      <c r="AW250" s="6"/>
      <c r="AX250" s="12" t="str">
        <f>IFERROR(__xludf.DUMMYFUNCTION("""COMPUTED_VALUE"""),"9731856")</f>
        <v>9731856</v>
      </c>
      <c r="AY250" s="12" t="str">
        <f>IFERROR(__xludf.DUMMYFUNCTION("""COMPUTED_VALUE"""),"3006163040")</f>
        <v>3006163040</v>
      </c>
      <c r="AZ250" s="6" t="str">
        <f>IFERROR(__xludf.DUMMYFUNCTION("""COMPUTED_VALUE"""),"Padre")</f>
        <v>Padre</v>
      </c>
      <c r="BA250" s="6"/>
      <c r="BB250" s="6"/>
      <c r="BC250" s="6"/>
      <c r="BD250" s="12" t="str">
        <f>IFERROR(__xludf.DUMMYFUNCTION("""COMPUTED_VALUE"""),"zap0002")</f>
        <v>zap0002</v>
      </c>
      <c r="BE250" s="6"/>
      <c r="BF250" s="6"/>
      <c r="BG250" s="6">
        <f>IFERROR(__xludf.DUMMYFUNCTION("""COMPUTED_VALUE"""),2037.0)</f>
        <v>2037</v>
      </c>
      <c r="BH250" s="15">
        <f>IFERROR(__xludf.DUMMYFUNCTION("""COMPUTED_VALUE"""),46210.49175925926)</f>
        <v>46210.49176</v>
      </c>
      <c r="BI250" s="6">
        <f>IFERROR(__xludf.DUMMYFUNCTION("""COMPUTED_VALUE"""),249.0)</f>
        <v>249</v>
      </c>
      <c r="BJ250" s="6"/>
      <c r="BK250" s="6"/>
      <c r="BL250" s="6" t="str">
        <f>IFERROR(__xludf.DUMMYFUNCTION("""COMPUTED_VALUE"""),"GISZAP0002")</f>
        <v>GISZAP0002</v>
      </c>
      <c r="BM250" s="6"/>
      <c r="BN250" s="6"/>
      <c r="BO250" s="6"/>
      <c r="BP250" s="6" t="str">
        <f>IFERROR(__xludf.DUMMYFUNCTION("""COMPUTED_VALUE"""),"XC_23_Futbol_M")</f>
        <v>XC_23_Futbol_M</v>
      </c>
      <c r="BQ250" s="6"/>
      <c r="BR250" s="6" t="str">
        <f>IFERROR(__xludf.DUMMYFUNCTION("""COMPUTED_VALUE"""),"XC_EL_PequenosCientificos")</f>
        <v>XC_EL_PequenosCientificos</v>
      </c>
      <c r="BS250" s="6" t="str">
        <f>IFERROR(__xludf.DUMMYFUNCTION("""COMPUTED_VALUE"""),"XC_23_Futbol_M")</f>
        <v>XC_23_Futbol_M</v>
      </c>
      <c r="BT250" s="6" t="str">
        <f>IFERROR(__xludf.DUMMYFUNCTION("""COMPUTED_VALUE"""),"XC_23_Futbol_M")</f>
        <v>XC_23_Futbol_M</v>
      </c>
      <c r="BU250" s="6" t="str">
        <f>IFERROR(__xludf.DUMMYFUNCTION("""COMPUTED_VALUE"""),"SI")</f>
        <v>SI</v>
      </c>
      <c r="BV250" s="6" t="str">
        <f>IFERROR(__xludf.DUMMYFUNCTION("""COMPUTED_VALUE"""),"thiago.z2037")</f>
        <v>thiago.z2037</v>
      </c>
      <c r="BW250" s="6"/>
      <c r="BX250" s="6"/>
      <c r="BY250" s="6"/>
      <c r="B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 t="str">
        <f>IFERROR(__xludf.DUMMYFUNCTION("""COMPUTED_VALUE"""),"Madre")</f>
        <v>Madre</v>
      </c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 t="str">
        <f>IFERROR(__xludf.DUMMYFUNCTION("""COMPUTED_VALUE"""),"Padre")</f>
        <v>Padre</v>
      </c>
      <c r="BA251" s="6"/>
      <c r="BB251" s="6"/>
      <c r="BC251" s="6"/>
      <c r="BD251" s="6"/>
      <c r="BE251" s="6"/>
      <c r="BF251" s="6"/>
      <c r="BG251" s="6"/>
      <c r="BH251" s="6"/>
      <c r="BI251" s="6">
        <f>IFERROR(__xludf.DUMMYFUNCTION("""COMPUTED_VALUE"""),250.0)</f>
        <v>250</v>
      </c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</row>
    <row r="252">
      <c r="A252" s="12">
        <f>IFERROR(__xludf.DUMMYFUNCTION("""COMPUTED_VALUE"""),1.091890558E9)</f>
        <v>1091890558</v>
      </c>
      <c r="B252" s="6">
        <f>IFERROR(__xludf.DUMMYFUNCTION("""COMPUTED_VALUE"""),1.0)</f>
        <v>1</v>
      </c>
      <c r="C252" s="6" t="str">
        <f>IFERROR(__xludf.DUMMYFUNCTION("""COMPUTED_VALUE"""),"Celeste")</f>
        <v>Celeste</v>
      </c>
      <c r="D252" s="6"/>
      <c r="E252" s="6" t="str">
        <f>IFERROR(__xludf.DUMMYFUNCTION("""COMPUTED_VALUE"""),"Arcila Rodríguez")</f>
        <v>Arcila Rodríguez</v>
      </c>
      <c r="F252" s="6" t="str">
        <f>IFERROR(__xludf.DUMMYFUNCTION("""COMPUTED_VALUE"""),"Condominio Hacienda Horizontes Casa 28 - Km 3 Via Circasia Vereda la Florida")</f>
        <v>Condominio Hacienda Horizontes Casa 28 - Km 3 Via Circasia Vereda la Florida</v>
      </c>
      <c r="G252" s="12" t="str">
        <f>IFERROR(__xludf.DUMMYFUNCTION("""COMPUTED_VALUE"""),"2019")</f>
        <v>2019</v>
      </c>
      <c r="H252" s="6" t="str">
        <f>IFERROR(__xludf.DUMMYFUNCTION("""COMPUTED_VALUE"""),"Abril")</f>
        <v>Abril</v>
      </c>
      <c r="I252" s="12" t="str">
        <f>IFERROR(__xludf.DUMMYFUNCTION("""COMPUTED_VALUE"""),"27")</f>
        <v>27</v>
      </c>
      <c r="J252" s="6" t="str">
        <f>IFERROR(__xludf.DUMMYFUNCTION("""COMPUTED_VALUE"""),"Sydney")</f>
        <v>Sydney</v>
      </c>
      <c r="K252" s="6" t="str">
        <f>IFERROR(__xludf.DUMMYFUNCTION("""COMPUTED_VALUE"""),"celeste.a2037@gi.edu.co")</f>
        <v>celeste.a2037@gi.edu.co</v>
      </c>
      <c r="L252" s="6" t="str">
        <f>IFERROR(__xludf.DUMMYFUNCTION("""COMPUTED_VALUE"""),"RC")</f>
        <v>RC</v>
      </c>
      <c r="M252" s="6" t="str">
        <f>IFERROR(__xludf.DUMMYFUNCTION("""COMPUTED_VALUE"""),"Sydney")</f>
        <v>Sydney</v>
      </c>
      <c r="N252" s="6" t="str">
        <f>IFERROR(__xludf.DUMMYFUNCTION("""COMPUTED_VALUE"""),"F")</f>
        <v>F</v>
      </c>
      <c r="O252" s="6" t="str">
        <f>IFERROR(__xludf.DUMMYFUNCTION("""COMPUTED_VALUE"""),"ACTIVE")</f>
        <v>ACTIVE</v>
      </c>
      <c r="P252" s="6"/>
      <c r="Q252" s="6" t="str">
        <f>IFERROR(__xludf.DUMMYFUNCTION("""COMPUTED_VALUE"""),"Armenia")</f>
        <v>Armenia</v>
      </c>
      <c r="R252" s="12" t="str">
        <f>IFERROR(__xludf.DUMMYFUNCTION("""COMPUTED_VALUE"""),"Gip3b9f2*")</f>
        <v>Gip3b9f2*</v>
      </c>
      <c r="S252" s="6" t="str">
        <f>IFERROR(__xludf.DUMMYFUNCTION("""COMPUTED_VALUE"""),"Arcila Rodríguez Celeste ")</f>
        <v>Arcila Rodríguez Celeste </v>
      </c>
      <c r="T252" s="6" t="str">
        <f>IFERROR(__xludf.DUMMYFUNCTION("""COMPUTED_VALUE"""),"CARLOS ANDRES ARCILA SALAZAR")</f>
        <v>CARLOS ANDRES ARCILA SALAZAR</v>
      </c>
      <c r="U252" s="12" t="str">
        <f>IFERROR(__xludf.DUMMYFUNCTION("""COMPUTED_VALUE"""),"9772354")</f>
        <v>9772354</v>
      </c>
      <c r="V252" s="6">
        <f>IFERROR(__xludf.DUMMYFUNCTION("""COMPUTED_VALUE"""),3.102338158E9)</f>
        <v>3102338158</v>
      </c>
      <c r="W252" s="6" t="str">
        <f>IFERROR(__xludf.DUMMYFUNCTION("""COMPUTED_VALUE"""),"c.arcila@cofinet.com.au")</f>
        <v>c.arcila@cofinet.com.au</v>
      </c>
      <c r="X252" s="12" t="str">
        <f>IFERROR(__xludf.DUMMYFUNCTION("""COMPUTED_VALUE"""),"O+")</f>
        <v>O+</v>
      </c>
      <c r="Y252" s="12" t="str">
        <f>IFERROR(__xludf.DUMMYFUNCTION("""COMPUTED_VALUE"""),"2")</f>
        <v>2</v>
      </c>
      <c r="Z252" s="12">
        <f>IFERROR(__xludf.DUMMYFUNCTION("""COMPUTED_VALUE"""),120404.0)</f>
        <v>120404</v>
      </c>
      <c r="AA252" s="6" t="str">
        <f>IFERROR(__xludf.DUMMYFUNCTION("""COMPUTED_VALUE"""),"SURA")</f>
        <v>SURA</v>
      </c>
      <c r="AB252" s="6"/>
      <c r="AC252" s="6"/>
      <c r="AD252" s="12" t="str">
        <f>IFERROR(__xludf.DUMMYFUNCTION("""COMPUTED_VALUE"""),"2B")</f>
        <v>2B</v>
      </c>
      <c r="AE252" s="12" t="str">
        <f>IFERROR(__xludf.DUMMYFUNCTION("""COMPUTED_VALUE"""),"1345282412")</f>
        <v>1345282412</v>
      </c>
      <c r="AF252" s="12" t="str">
        <f>IFERROR(__xludf.DUMMYFUNCTION("""COMPUTED_VALUE"""),"1345282412")</f>
        <v>1345282412</v>
      </c>
      <c r="AG252" s="12" t="str">
        <f>IFERROR(__xludf.DUMMYFUNCTION("""COMPUTED_VALUE"""),"María")</f>
        <v>María</v>
      </c>
      <c r="AH252" s="12" t="str">
        <f>IFERROR(__xludf.DUMMYFUNCTION("""COMPUTED_VALUE"""),"Paulina")</f>
        <v>Paulina</v>
      </c>
      <c r="AI252" s="6" t="str">
        <f>IFERROR(__xludf.DUMMYFUNCTION("""COMPUTED_VALUE"""),"Rodríguez Duque")</f>
        <v>Rodríguez Duque</v>
      </c>
      <c r="AJ252" s="6" t="str">
        <f>IFERROR(__xludf.DUMMYFUNCTION("""COMPUTED_VALUE"""),"paulinarodriguezduque@gmail.com")</f>
        <v>paulinarodriguezduque@gmail.com</v>
      </c>
      <c r="AK252" s="6" t="str">
        <f>IFERROR(__xludf.DUMMYFUNCTION("""COMPUTED_VALUE"""),"Comunicacion Social")</f>
        <v>Comunicacion Social</v>
      </c>
      <c r="AL252" s="6"/>
      <c r="AM252" s="12" t="str">
        <f>IFERROR(__xludf.DUMMYFUNCTION("""COMPUTED_VALUE"""),"1053778375")</f>
        <v>1053778375</v>
      </c>
      <c r="AN252" s="12" t="str">
        <f>IFERROR(__xludf.DUMMYFUNCTION("""COMPUTED_VALUE"""),"3182109696")</f>
        <v>3182109696</v>
      </c>
      <c r="AO252" s="6" t="str">
        <f>IFERROR(__xludf.DUMMYFUNCTION("""COMPUTED_VALUE"""),"Madre")</f>
        <v>Madre</v>
      </c>
      <c r="AP252" s="6" t="str">
        <f>IFERROR(__xludf.DUMMYFUNCTION("""COMPUTED_VALUE"""),"Estudiante(s): Arcila Rodríguez")</f>
        <v>Estudiante(s): Arcila Rodríguez</v>
      </c>
      <c r="AQ252" s="6" t="str">
        <f>IFERROR(__xludf.DUMMYFUNCTION("""COMPUTED_VALUE"""),"120403*Gi")</f>
        <v>120403*Gi</v>
      </c>
      <c r="AR252" s="6" t="str">
        <f>IFERROR(__xludf.DUMMYFUNCTION("""COMPUTED_VALUE"""),"Carlos")</f>
        <v>Carlos</v>
      </c>
      <c r="AS252" s="6" t="str">
        <f>IFERROR(__xludf.DUMMYFUNCTION("""COMPUTED_VALUE"""),"Andrés")</f>
        <v>Andrés</v>
      </c>
      <c r="AT252" s="6" t="str">
        <f>IFERROR(__xludf.DUMMYFUNCTION("""COMPUTED_VALUE"""),"Arcila Salazar")</f>
        <v>Arcila Salazar</v>
      </c>
      <c r="AU252" s="6" t="str">
        <f>IFERROR(__xludf.DUMMYFUNCTION("""COMPUTED_VALUE"""),"c.arcila@cofinet.com.au")</f>
        <v>c.arcila@cofinet.com.au</v>
      </c>
      <c r="AV252" s="6" t="str">
        <f>IFERROR(__xludf.DUMMYFUNCTION("""COMPUTED_VALUE"""),"ingeniero civil")</f>
        <v>ingeniero civil</v>
      </c>
      <c r="AW252" s="6" t="str">
        <f>IFERROR(__xludf.DUMMYFUNCTION("""COMPUTED_VALUE"""),"Cofinet")</f>
        <v>Cofinet</v>
      </c>
      <c r="AX252" s="12" t="str">
        <f>IFERROR(__xludf.DUMMYFUNCTION("""COMPUTED_VALUE"""),"9772354")</f>
        <v>9772354</v>
      </c>
      <c r="AY252" s="12">
        <f>IFERROR(__xludf.DUMMYFUNCTION("""COMPUTED_VALUE"""),3.102338158E9)</f>
        <v>3102338158</v>
      </c>
      <c r="AZ252" s="6" t="str">
        <f>IFERROR(__xludf.DUMMYFUNCTION("""COMPUTED_VALUE"""),"Padre")</f>
        <v>Padre</v>
      </c>
      <c r="BA252" s="6"/>
      <c r="BB252" s="6"/>
      <c r="BC252" s="6"/>
      <c r="BD252" s="12" t="str">
        <f>IFERROR(__xludf.DUMMYFUNCTION("""COMPUTED_VALUE"""),"arc0003")</f>
        <v>arc0003</v>
      </c>
      <c r="BE252" s="6"/>
      <c r="BF252" s="6"/>
      <c r="BG252" s="6">
        <f>IFERROR(__xludf.DUMMYFUNCTION("""COMPUTED_VALUE"""),2037.0)</f>
        <v>2037</v>
      </c>
      <c r="BH252" s="15">
        <f>IFERROR(__xludf.DUMMYFUNCTION("""COMPUTED_VALUE"""),46209.86591435185)</f>
        <v>46209.86591</v>
      </c>
      <c r="BI252" s="6">
        <f>IFERROR(__xludf.DUMMYFUNCTION("""COMPUTED_VALUE"""),251.0)</f>
        <v>251</v>
      </c>
      <c r="BJ252" s="6"/>
      <c r="BK252" s="6"/>
      <c r="BL252" s="6" t="str">
        <f>IFERROR(__xludf.DUMMYFUNCTION("""COMPUTED_VALUE"""),"GISARC0003")</f>
        <v>GISARC0003</v>
      </c>
      <c r="BM252" s="6"/>
      <c r="BN252" s="6"/>
      <c r="BO252" s="6"/>
      <c r="BP252" s="6" t="str">
        <f>IFERROR(__xludf.DUMMYFUNCTION("""COMPUTED_VALUE"""),"XC_23_Voleibol")</f>
        <v>XC_23_Voleibol</v>
      </c>
      <c r="BQ252" s="6"/>
      <c r="BR252" s="6"/>
      <c r="BS252" s="6" t="str">
        <f>IFERROR(__xludf.DUMMYFUNCTION("""COMPUTED_VALUE"""),"XC_23_Voleibol")</f>
        <v>XC_23_Voleibol</v>
      </c>
      <c r="BT252" s="6" t="str">
        <f>IFERROR(__xludf.DUMMYFUNCTION("""COMPUTED_VALUE"""),"XC_23_Voleibol")</f>
        <v>XC_23_Voleibol</v>
      </c>
      <c r="BU252" s="6" t="str">
        <f>IFERROR(__xludf.DUMMYFUNCTION("""COMPUTED_VALUE"""),"SI")</f>
        <v>SI</v>
      </c>
      <c r="BV252" s="6" t="str">
        <f>IFERROR(__xludf.DUMMYFUNCTION("""COMPUTED_VALUE"""),"celeste.a2037")</f>
        <v>celeste.a2037</v>
      </c>
      <c r="BW252" s="6"/>
      <c r="BX252" s="6"/>
      <c r="BY252" s="6"/>
      <c r="BZ252" s="6"/>
    </row>
    <row r="253">
      <c r="A253" s="12">
        <f>IFERROR(__xludf.DUMMYFUNCTION("""COMPUTED_VALUE"""),1.019847588E9)</f>
        <v>1019847588</v>
      </c>
      <c r="B253" s="6">
        <f>IFERROR(__xludf.DUMMYFUNCTION("""COMPUTED_VALUE"""),2.0)</f>
        <v>2</v>
      </c>
      <c r="C253" s="6" t="str">
        <f>IFERROR(__xludf.DUMMYFUNCTION("""COMPUTED_VALUE"""),"Nicolás")</f>
        <v>Nicolás</v>
      </c>
      <c r="D253" s="6"/>
      <c r="E253" s="6" t="str">
        <f>IFERROR(__xludf.DUMMYFUNCTION("""COMPUTED_VALUE"""),"Arias González")</f>
        <v>Arias González</v>
      </c>
      <c r="F253" s="6" t="str">
        <f>IFERROR(__xludf.DUMMYFUNCTION("""COMPUTED_VALUE"""),"Horeb Torre  Apto  - Cra 6 No13Nte - 27 - Av Centenario")</f>
        <v>Horeb Torre  Apto  - Cra 6 No13Nte - 27 - Av Centenario</v>
      </c>
      <c r="G253" s="12" t="str">
        <f>IFERROR(__xludf.DUMMYFUNCTION("""COMPUTED_VALUE"""),"2018")</f>
        <v>2018</v>
      </c>
      <c r="H253" s="6" t="str">
        <f>IFERROR(__xludf.DUMMYFUNCTION("""COMPUTED_VALUE"""),"Junio")</f>
        <v>Junio</v>
      </c>
      <c r="I253" s="12" t="str">
        <f>IFERROR(__xludf.DUMMYFUNCTION("""COMPUTED_VALUE"""),"12")</f>
        <v>12</v>
      </c>
      <c r="J253" s="6" t="str">
        <f>IFERROR(__xludf.DUMMYFUNCTION("""COMPUTED_VALUE"""),"Bogotá D.C.")</f>
        <v>Bogotá D.C.</v>
      </c>
      <c r="K253" s="6" t="str">
        <f>IFERROR(__xludf.DUMMYFUNCTION("""COMPUTED_VALUE"""),"nicolas.a2036@gi.edu.co")</f>
        <v>nicolas.a2036@gi.edu.co</v>
      </c>
      <c r="L253" s="6" t="str">
        <f>IFERROR(__xludf.DUMMYFUNCTION("""COMPUTED_VALUE"""),"TI")</f>
        <v>TI</v>
      </c>
      <c r="M253" s="6" t="str">
        <f>IFERROR(__xludf.DUMMYFUNCTION("""COMPUTED_VALUE"""),"Bogotá D.C.")</f>
        <v>Bogotá D.C.</v>
      </c>
      <c r="N253" s="6" t="str">
        <f>IFERROR(__xludf.DUMMYFUNCTION("""COMPUTED_VALUE"""),"M")</f>
        <v>M</v>
      </c>
      <c r="O253" s="6" t="str">
        <f>IFERROR(__xludf.DUMMYFUNCTION("""COMPUTED_VALUE"""),"ACTIVE")</f>
        <v>ACTIVE</v>
      </c>
      <c r="P253" s="6"/>
      <c r="Q253" s="6" t="str">
        <f>IFERROR(__xludf.DUMMYFUNCTION("""COMPUTED_VALUE"""),"Armenia")</f>
        <v>Armenia</v>
      </c>
      <c r="R253" s="12" t="str">
        <f>IFERROR(__xludf.DUMMYFUNCTION("""COMPUTED_VALUE"""),"Gi94gu7*")</f>
        <v>Gi94gu7*</v>
      </c>
      <c r="S253" s="6" t="str">
        <f>IFERROR(__xludf.DUMMYFUNCTION("""COMPUTED_VALUE"""),"Arias González Nicolás ")</f>
        <v>Arias González Nicolás </v>
      </c>
      <c r="T253" s="6" t="str">
        <f>IFERROR(__xludf.DUMMYFUNCTION("""COMPUTED_VALUE"""),"MAURICIO FERNANDO ARIAS MORENO")</f>
        <v>MAURICIO FERNANDO ARIAS MORENO</v>
      </c>
      <c r="U253" s="12" t="str">
        <f>IFERROR(__xludf.DUMMYFUNCTION("""COMPUTED_VALUE"""),"80236659")</f>
        <v>80236659</v>
      </c>
      <c r="V253" s="6">
        <f>IFERROR(__xludf.DUMMYFUNCTION("""COMPUTED_VALUE"""),3.112735589E9)</f>
        <v>3112735589</v>
      </c>
      <c r="W253" s="6" t="str">
        <f>IFERROR(__xludf.DUMMYFUNCTION("""COMPUTED_VALUE"""),"mauroariasmoreno@hotmail.com")</f>
        <v>mauroariasmoreno@hotmail.com</v>
      </c>
      <c r="X253" s="12" t="str">
        <f>IFERROR(__xludf.DUMMYFUNCTION("""COMPUTED_VALUE"""),"O+")</f>
        <v>O+</v>
      </c>
      <c r="Y253" s="12" t="str">
        <f>IFERROR(__xludf.DUMMYFUNCTION("""COMPUTED_VALUE"""),"2")</f>
        <v>2</v>
      </c>
      <c r="Z253" s="12">
        <f>IFERROR(__xludf.DUMMYFUNCTION("""COMPUTED_VALUE"""),120305.0)</f>
        <v>120305</v>
      </c>
      <c r="AA253" s="6" t="str">
        <f>IFERROR(__xludf.DUMMYFUNCTION("""COMPUTED_VALUE"""),"SANITAS")</f>
        <v>SANITAS</v>
      </c>
      <c r="AB253" s="6"/>
      <c r="AC253" s="6"/>
      <c r="AD253" s="12" t="str">
        <f>IFERROR(__xludf.DUMMYFUNCTION("""COMPUTED_VALUE"""),"2B")</f>
        <v>2B</v>
      </c>
      <c r="AE253" s="12">
        <f>IFERROR(__xludf.DUMMYFUNCTION("""COMPUTED_VALUE"""),1.345282299E9)</f>
        <v>1345282299</v>
      </c>
      <c r="AF253" s="12" t="str">
        <f>IFERROR(__xludf.DUMMYFUNCTION("""COMPUTED_VALUE"""),"0695247635")</f>
        <v>0695247635</v>
      </c>
      <c r="AG253" s="12" t="str">
        <f>IFERROR(__xludf.DUMMYFUNCTION("""COMPUTED_VALUE"""),"Kundry")</f>
        <v>Kundry</v>
      </c>
      <c r="AH253" s="12" t="str">
        <f>IFERROR(__xludf.DUMMYFUNCTION("""COMPUTED_VALUE"""),"Marsset")</f>
        <v>Marsset</v>
      </c>
      <c r="AI253" s="6" t="str">
        <f>IFERROR(__xludf.DUMMYFUNCTION("""COMPUTED_VALUE"""),"Gonzalez Serna")</f>
        <v>Gonzalez Serna</v>
      </c>
      <c r="AJ253" s="6" t="str">
        <f>IFERROR(__xludf.DUMMYFUNCTION("""COMPUTED_VALUE"""),"kundrymgs22@gmail.com")</f>
        <v>kundrymgs22@gmail.com</v>
      </c>
      <c r="AK253" s="6" t="str">
        <f>IFERROR(__xludf.DUMMYFUNCTION("""COMPUTED_VALUE"""),"Ingeniera de Sistemas")</f>
        <v>Ingeniera de Sistemas</v>
      </c>
      <c r="AL253" s="6" t="str">
        <f>IFERROR(__xludf.DUMMYFUNCTION("""COMPUTED_VALUE"""),"Microsoft")</f>
        <v>Microsoft</v>
      </c>
      <c r="AM253" s="12" t="str">
        <f>IFERROR(__xludf.DUMMYFUNCTION("""COMPUTED_VALUE"""),"1115182084")</f>
        <v>1115182084</v>
      </c>
      <c r="AN253" s="12" t="str">
        <f>IFERROR(__xludf.DUMMYFUNCTION("""COMPUTED_VALUE"""),"3143501809")</f>
        <v>3143501809</v>
      </c>
      <c r="AO253" s="6" t="str">
        <f>IFERROR(__xludf.DUMMYFUNCTION("""COMPUTED_VALUE"""),"Madre")</f>
        <v>Madre</v>
      </c>
      <c r="AP253" s="6" t="str">
        <f>IFERROR(__xludf.DUMMYFUNCTION("""COMPUTED_VALUE"""),"Estudiante(s): Arias González")</f>
        <v>Estudiante(s): Arias González</v>
      </c>
      <c r="AQ253" s="6" t="str">
        <f>IFERROR(__xludf.DUMMYFUNCTION("""COMPUTED_VALUE"""),"120305*Gi")</f>
        <v>120305*Gi</v>
      </c>
      <c r="AR253" s="6" t="str">
        <f>IFERROR(__xludf.DUMMYFUNCTION("""COMPUTED_VALUE"""),"Mauricio")</f>
        <v>Mauricio</v>
      </c>
      <c r="AS253" s="6" t="str">
        <f>IFERROR(__xludf.DUMMYFUNCTION("""COMPUTED_VALUE"""),"Fernando")</f>
        <v>Fernando</v>
      </c>
      <c r="AT253" s="6" t="str">
        <f>IFERROR(__xludf.DUMMYFUNCTION("""COMPUTED_VALUE"""),"Arias Moreno")</f>
        <v>Arias Moreno</v>
      </c>
      <c r="AU253" s="6" t="str">
        <f>IFERROR(__xludf.DUMMYFUNCTION("""COMPUTED_VALUE"""),"mauroariasmoreno@hotmail.com")</f>
        <v>mauroariasmoreno@hotmail.com</v>
      </c>
      <c r="AV253" s="6" t="str">
        <f>IFERROR(__xludf.DUMMYFUNCTION("""COMPUTED_VALUE"""),"Diseñador")</f>
        <v>Diseñador</v>
      </c>
      <c r="AW253" s="6"/>
      <c r="AX253" s="12" t="str">
        <f>IFERROR(__xludf.DUMMYFUNCTION("""COMPUTED_VALUE"""),"80236659")</f>
        <v>80236659</v>
      </c>
      <c r="AY253" s="12" t="str">
        <f>IFERROR(__xludf.DUMMYFUNCTION("""COMPUTED_VALUE"""),"3112735589")</f>
        <v>3112735589</v>
      </c>
      <c r="AZ253" s="6" t="str">
        <f>IFERROR(__xludf.DUMMYFUNCTION("""COMPUTED_VALUE"""),"Padre")</f>
        <v>Padre</v>
      </c>
      <c r="BA253" s="6"/>
      <c r="BB253" s="6"/>
      <c r="BC253" s="6"/>
      <c r="BD253" s="12" t="str">
        <f>IFERROR(__xludf.DUMMYFUNCTION("""COMPUTED_VALUE"""),"ari0011")</f>
        <v>ari0011</v>
      </c>
      <c r="BE253" s="6"/>
      <c r="BF253" s="6"/>
      <c r="BG253" s="6">
        <f>IFERROR(__xludf.DUMMYFUNCTION("""COMPUTED_VALUE"""),2037.0)</f>
        <v>2037</v>
      </c>
      <c r="BH253" s="15">
        <f>IFERROR(__xludf.DUMMYFUNCTION("""COMPUTED_VALUE"""),46209.521828703706)</f>
        <v>46209.52183</v>
      </c>
      <c r="BI253" s="6">
        <f>IFERROR(__xludf.DUMMYFUNCTION("""COMPUTED_VALUE"""),252.0)</f>
        <v>252</v>
      </c>
      <c r="BJ253" s="6" t="str">
        <f>IFERROR(__xludf.DUMMYFUNCTION("""COMPUTED_VALUE"""),"SIMAT: trastorno por déficit de atención con o sin hiperactividad (Sept 22 2025)")</f>
        <v>SIMAT: trastorno por déficit de atención con o sin hiperactividad (Sept 22 2025)</v>
      </c>
      <c r="BK253" s="6"/>
      <c r="BL253" s="6" t="str">
        <f>IFERROR(__xludf.DUMMYFUNCTION("""COMPUTED_VALUE"""),"GISARI0011")</f>
        <v>GISARI0011</v>
      </c>
      <c r="BM253" s="6"/>
      <c r="BN253" s="6"/>
      <c r="BO253" s="6"/>
      <c r="BP253" s="6" t="str">
        <f>IFERROR(__xludf.DUMMYFUNCTION("""COMPUTED_VALUE"""),"XC_EL_Taekwondo")</f>
        <v>XC_EL_Taekwondo</v>
      </c>
      <c r="BQ253" s="6" t="str">
        <f>IFERROR(__xludf.DUMMYFUNCTION("""COMPUTED_VALUE"""),"XC_EL_Taekwondo")</f>
        <v>XC_EL_Taekwondo</v>
      </c>
      <c r="BR253" s="6"/>
      <c r="BS253" s="6" t="str">
        <f>IFERROR(__xludf.DUMMYFUNCTION("""COMPUTED_VALUE"""),"XC_EL_Taekwondo")</f>
        <v>XC_EL_Taekwondo</v>
      </c>
      <c r="BT253" s="6"/>
      <c r="BU253" s="6" t="str">
        <f>IFERROR(__xludf.DUMMYFUNCTION("""COMPUTED_VALUE"""),"SI")</f>
        <v>SI</v>
      </c>
      <c r="BV253" s="6" t="str">
        <f>IFERROR(__xludf.DUMMYFUNCTION("""COMPUTED_VALUE"""),"nicolas.a2036")</f>
        <v>nicolas.a2036</v>
      </c>
      <c r="BW253" s="6"/>
      <c r="BX253" s="6"/>
      <c r="BY253" s="6"/>
      <c r="BZ253" s="6"/>
    </row>
    <row r="254">
      <c r="A254" s="12">
        <f>IFERROR(__xludf.DUMMYFUNCTION("""COMPUTED_VALUE"""),1.092862856E9)</f>
        <v>1092862856</v>
      </c>
      <c r="B254" s="6">
        <f>IFERROR(__xludf.DUMMYFUNCTION("""COMPUTED_VALUE"""),3.0)</f>
        <v>3</v>
      </c>
      <c r="C254" s="6" t="str">
        <f>IFERROR(__xludf.DUMMYFUNCTION("""COMPUTED_VALUE"""),"Amalia")</f>
        <v>Amalia</v>
      </c>
      <c r="D254" s="6"/>
      <c r="E254" s="6" t="str">
        <f>IFERROR(__xludf.DUMMYFUNCTION("""COMPUTED_VALUE"""),"Buraglia Tobón")</f>
        <v>Buraglia Tobón</v>
      </c>
      <c r="F254" s="6" t="str">
        <f>IFERROR(__xludf.DUMMYFUNCTION("""COMPUTED_VALUE"""),"Condominio Villa Rosita Casa 13 - Km 1 Via Circasia")</f>
        <v>Condominio Villa Rosita Casa 13 - Km 1 Via Circasia</v>
      </c>
      <c r="G254" s="12" t="str">
        <f>IFERROR(__xludf.DUMMYFUNCTION("""COMPUTED_VALUE"""),"2019")</f>
        <v>2019</v>
      </c>
      <c r="H254" s="6" t="str">
        <f>IFERROR(__xludf.DUMMYFUNCTION("""COMPUTED_VALUE"""),"Marzo")</f>
        <v>Marzo</v>
      </c>
      <c r="I254" s="12" t="str">
        <f>IFERROR(__xludf.DUMMYFUNCTION("""COMPUTED_VALUE"""),"27")</f>
        <v>27</v>
      </c>
      <c r="J254" s="6" t="str">
        <f>IFERROR(__xludf.DUMMYFUNCTION("""COMPUTED_VALUE"""),"Armenia")</f>
        <v>Armenia</v>
      </c>
      <c r="K254" s="6" t="str">
        <f>IFERROR(__xludf.DUMMYFUNCTION("""COMPUTED_VALUE"""),"amalia.b2037@gi.edu.co")</f>
        <v>amalia.b2037@gi.edu.co</v>
      </c>
      <c r="L254" s="6" t="str">
        <f>IFERROR(__xludf.DUMMYFUNCTION("""COMPUTED_VALUE"""),"RC")</f>
        <v>RC</v>
      </c>
      <c r="M254" s="6" t="str">
        <f>IFERROR(__xludf.DUMMYFUNCTION("""COMPUTED_VALUE"""),"Armenia")</f>
        <v>Armenia</v>
      </c>
      <c r="N254" s="6" t="str">
        <f>IFERROR(__xludf.DUMMYFUNCTION("""COMPUTED_VALUE"""),"F")</f>
        <v>F</v>
      </c>
      <c r="O254" s="6" t="str">
        <f>IFERROR(__xludf.DUMMYFUNCTION("""COMPUTED_VALUE"""),"ACTIVE")</f>
        <v>ACTIVE</v>
      </c>
      <c r="P254" s="6"/>
      <c r="Q254" s="6" t="str">
        <f>IFERROR(__xludf.DUMMYFUNCTION("""COMPUTED_VALUE"""),"Armenia")</f>
        <v>Armenia</v>
      </c>
      <c r="R254" s="12" t="str">
        <f>IFERROR(__xludf.DUMMYFUNCTION("""COMPUTED_VALUE"""),"GiWpCA3d*")</f>
        <v>GiWpCA3d*</v>
      </c>
      <c r="S254" s="6" t="str">
        <f>IFERROR(__xludf.DUMMYFUNCTION("""COMPUTED_VALUE"""),"Buraglia Tobón Amalia ")</f>
        <v>Buraglia Tobón Amalia </v>
      </c>
      <c r="T254" s="6" t="str">
        <f>IFERROR(__xludf.DUMMYFUNCTION("""COMPUTED_VALUE"""),"SEBASTIAN BURAGLIA GUZMAN")</f>
        <v>SEBASTIAN BURAGLIA GUZMAN</v>
      </c>
      <c r="U254" s="12" t="str">
        <f>IFERROR(__xludf.DUMMYFUNCTION("""COMPUTED_VALUE"""),"9772767")</f>
        <v>9772767</v>
      </c>
      <c r="V254" s="6">
        <f>IFERROR(__xludf.DUMMYFUNCTION("""COMPUTED_VALUE"""),3.113116967E9)</f>
        <v>3113116967</v>
      </c>
      <c r="W254" s="6" t="str">
        <f>IFERROR(__xludf.DUMMYFUNCTION("""COMPUTED_VALUE"""),"sburaglia@gmail.com")</f>
        <v>sburaglia@gmail.com</v>
      </c>
      <c r="X254" s="12" t="str">
        <f>IFERROR(__xludf.DUMMYFUNCTION("""COMPUTED_VALUE"""),"O-")</f>
        <v>O-</v>
      </c>
      <c r="Y254" s="12" t="str">
        <f>IFERROR(__xludf.DUMMYFUNCTION("""COMPUTED_VALUE"""),"2")</f>
        <v>2</v>
      </c>
      <c r="Z254" s="12">
        <f>IFERROR(__xludf.DUMMYFUNCTION("""COMPUTED_VALUE"""),120115.0)</f>
        <v>120115</v>
      </c>
      <c r="AA254" s="6" t="str">
        <f>IFERROR(__xludf.DUMMYFUNCTION("""COMPUTED_VALUE"""),"SURA")</f>
        <v>SURA</v>
      </c>
      <c r="AB254" s="6"/>
      <c r="AC254" s="6"/>
      <c r="AD254" s="12" t="str">
        <f>IFERROR(__xludf.DUMMYFUNCTION("""COMPUTED_VALUE"""),"2B")</f>
        <v>2B</v>
      </c>
      <c r="AE254" s="12">
        <f>IFERROR(__xludf.DUMMYFUNCTION("""COMPUTED_VALUE"""),1.345282158E9)</f>
        <v>1345282158</v>
      </c>
      <c r="AF254" s="12" t="str">
        <f>IFERROR(__xludf.DUMMYFUNCTION("""COMPUTED_VALUE"""),"2012545834")</f>
        <v>2012545834</v>
      </c>
      <c r="AG254" s="12" t="str">
        <f>IFERROR(__xludf.DUMMYFUNCTION("""COMPUTED_VALUE"""),"María")</f>
        <v>María</v>
      </c>
      <c r="AH254" s="12" t="str">
        <f>IFERROR(__xludf.DUMMYFUNCTION("""COMPUTED_VALUE"""),"José")</f>
        <v>José</v>
      </c>
      <c r="AI254" s="6" t="str">
        <f>IFERROR(__xludf.DUMMYFUNCTION("""COMPUTED_VALUE"""),"Tobón De Los Ríos")</f>
        <v>Tobón De Los Ríos</v>
      </c>
      <c r="AJ254" s="6" t="str">
        <f>IFERROR(__xludf.DUMMYFUNCTION("""COMPUTED_VALUE"""),"mariajo8727@hotmail.com")</f>
        <v>mariajo8727@hotmail.com</v>
      </c>
      <c r="AK254" s="6" t="str">
        <f>IFERROR(__xludf.DUMMYFUNCTION("""COMPUTED_VALUE"""),"Administradora de negocios")</f>
        <v>Administradora de negocios</v>
      </c>
      <c r="AL254" s="6" t="str">
        <f>IFERROR(__xludf.DUMMYFUNCTION("""COMPUTED_VALUE"""),"Tres Cimas y Camellando")</f>
        <v>Tres Cimas y Camellando</v>
      </c>
      <c r="AM254" s="12" t="str">
        <f>IFERROR(__xludf.DUMMYFUNCTION("""COMPUTED_VALUE"""),"1094889642")</f>
        <v>1094889642</v>
      </c>
      <c r="AN254" s="12" t="str">
        <f>IFERROR(__xludf.DUMMYFUNCTION("""COMPUTED_VALUE"""),"3147402891")</f>
        <v>3147402891</v>
      </c>
      <c r="AO254" s="6" t="str">
        <f>IFERROR(__xludf.DUMMYFUNCTION("""COMPUTED_VALUE"""),"Madre")</f>
        <v>Madre</v>
      </c>
      <c r="AP254" s="6" t="str">
        <f>IFERROR(__xludf.DUMMYFUNCTION("""COMPUTED_VALUE"""),"Estudiante(s): Buraglia Tobón")</f>
        <v>Estudiante(s): Buraglia Tobón</v>
      </c>
      <c r="AQ254" s="6" t="str">
        <f>IFERROR(__xludf.DUMMYFUNCTION("""COMPUTED_VALUE"""),"120115*Gi")</f>
        <v>120115*Gi</v>
      </c>
      <c r="AR254" s="6" t="str">
        <f>IFERROR(__xludf.DUMMYFUNCTION("""COMPUTED_VALUE"""),"Sebastián")</f>
        <v>Sebastián</v>
      </c>
      <c r="AS254" s="6"/>
      <c r="AT254" s="6" t="str">
        <f>IFERROR(__xludf.DUMMYFUNCTION("""COMPUTED_VALUE"""),"Buraglia Guzmán")</f>
        <v>Buraglia Guzmán</v>
      </c>
      <c r="AU254" s="6" t="str">
        <f>IFERROR(__xludf.DUMMYFUNCTION("""COMPUTED_VALUE"""),"sburaglia@gmail.com")</f>
        <v>sburaglia@gmail.com</v>
      </c>
      <c r="AV254" s="6" t="str">
        <f>IFERROR(__xludf.DUMMYFUNCTION("""COMPUTED_VALUE"""),"Arquitecto")</f>
        <v>Arquitecto</v>
      </c>
      <c r="AW254" s="6"/>
      <c r="AX254" s="12" t="str">
        <f>IFERROR(__xludf.DUMMYFUNCTION("""COMPUTED_VALUE"""),"9772767")</f>
        <v>9772767</v>
      </c>
      <c r="AY254" s="12" t="str">
        <f>IFERROR(__xludf.DUMMYFUNCTION("""COMPUTED_VALUE"""),"3113116967")</f>
        <v>3113116967</v>
      </c>
      <c r="AZ254" s="6" t="str">
        <f>IFERROR(__xludf.DUMMYFUNCTION("""COMPUTED_VALUE"""),"Padre")</f>
        <v>Padre</v>
      </c>
      <c r="BA254" s="6"/>
      <c r="BB254" s="6"/>
      <c r="BC254" s="6"/>
      <c r="BD254" s="12" t="str">
        <f>IFERROR(__xludf.DUMMYFUNCTION("""COMPUTED_VALUE"""),"bur0002")</f>
        <v>bur0002</v>
      </c>
      <c r="BE254" s="6"/>
      <c r="BF254" s="6"/>
      <c r="BG254" s="6">
        <f>IFERROR(__xludf.DUMMYFUNCTION("""COMPUTED_VALUE"""),2037.0)</f>
        <v>2037</v>
      </c>
      <c r="BH254" s="15">
        <f>IFERROR(__xludf.DUMMYFUNCTION("""COMPUTED_VALUE"""),46211.43699074074)</f>
        <v>46211.43699</v>
      </c>
      <c r="BI254" s="6">
        <f>IFERROR(__xludf.DUMMYFUNCTION("""COMPUTED_VALUE"""),253.0)</f>
        <v>253</v>
      </c>
      <c r="BJ254" s="6"/>
      <c r="BK254" s="6"/>
      <c r="BL254" s="6" t="str">
        <f>IFERROR(__xludf.DUMMYFUNCTION("""COMPUTED_VALUE"""),"GISBUR0002")</f>
        <v>GISBUR0002</v>
      </c>
      <c r="BM254" s="6"/>
      <c r="BN254" s="6"/>
      <c r="BO254" s="6" t="str">
        <f>IFERROR(__xludf.DUMMYFUNCTION("""COMPUTED_VALUE"""),"XC_EL_ArtesPlasticas")</f>
        <v>XC_EL_ArtesPlasticas</v>
      </c>
      <c r="BP254" s="6" t="str">
        <f>IFERROR(__xludf.DUMMYFUNCTION("""COMPUTED_VALUE"""),"XC_23_Voleibol")</f>
        <v>XC_23_Voleibol</v>
      </c>
      <c r="BQ254" s="6"/>
      <c r="BR254" s="6"/>
      <c r="BS254" s="6" t="str">
        <f>IFERROR(__xludf.DUMMYFUNCTION("""COMPUTED_VALUE"""),"XC_23_Voleibol")</f>
        <v>XC_23_Voleibol</v>
      </c>
      <c r="BT254" s="6" t="str">
        <f>IFERROR(__xludf.DUMMYFUNCTION("""COMPUTED_VALUE"""),"XC_23_Voleibol")</f>
        <v>XC_23_Voleibol</v>
      </c>
      <c r="BU254" s="6" t="str">
        <f>IFERROR(__xludf.DUMMYFUNCTION("""COMPUTED_VALUE"""),"SI")</f>
        <v>SI</v>
      </c>
      <c r="BV254" s="6" t="str">
        <f>IFERROR(__xludf.DUMMYFUNCTION("""COMPUTED_VALUE"""),"amalia.b2037")</f>
        <v>amalia.b2037</v>
      </c>
      <c r="BW254" s="6"/>
      <c r="BX254" s="6"/>
      <c r="BY254" s="6"/>
      <c r="BZ254" s="6"/>
    </row>
    <row r="255">
      <c r="A255" s="12">
        <f>IFERROR(__xludf.DUMMYFUNCTION("""COMPUTED_VALUE"""),1.092863493E9)</f>
        <v>1092863493</v>
      </c>
      <c r="B255" s="6">
        <f>IFERROR(__xludf.DUMMYFUNCTION("""COMPUTED_VALUE"""),4.0)</f>
        <v>4</v>
      </c>
      <c r="C255" s="6" t="str">
        <f>IFERROR(__xludf.DUMMYFUNCTION("""COMPUTED_VALUE"""),"Eduardo")</f>
        <v>Eduardo</v>
      </c>
      <c r="D255" s="6"/>
      <c r="E255" s="6" t="str">
        <f>IFERROR(__xludf.DUMMYFUNCTION("""COMPUTED_VALUE"""),"Cataño Velásquez")</f>
        <v>Cataño Velásquez</v>
      </c>
      <c r="F255" s="6" t="str">
        <f>IFERROR(__xludf.DUMMYFUNCTION("""COMPUTED_VALUE"""),"Edificio El Cacique Apto 503 - Cra 20 No41 - 26 Calarcá")</f>
        <v>Edificio El Cacique Apto 503 - Cra 20 No41 - 26 Calarcá</v>
      </c>
      <c r="G255" s="12" t="str">
        <f>IFERROR(__xludf.DUMMYFUNCTION("""COMPUTED_VALUE"""),"2019")</f>
        <v>2019</v>
      </c>
      <c r="H255" s="6" t="str">
        <f>IFERROR(__xludf.DUMMYFUNCTION("""COMPUTED_VALUE"""),"Octubre")</f>
        <v>Octubre</v>
      </c>
      <c r="I255" s="12" t="str">
        <f>IFERROR(__xludf.DUMMYFUNCTION("""COMPUTED_VALUE"""),"10")</f>
        <v>10</v>
      </c>
      <c r="J255" s="6" t="str">
        <f>IFERROR(__xludf.DUMMYFUNCTION("""COMPUTED_VALUE"""),"Armenia")</f>
        <v>Armenia</v>
      </c>
      <c r="K255" s="6" t="str">
        <f>IFERROR(__xludf.DUMMYFUNCTION("""COMPUTED_VALUE"""),"eduardo.c2037@gi.edu.co")</f>
        <v>eduardo.c2037@gi.edu.co</v>
      </c>
      <c r="L255" s="6" t="str">
        <f>IFERROR(__xludf.DUMMYFUNCTION("""COMPUTED_VALUE"""),"RC")</f>
        <v>RC</v>
      </c>
      <c r="M255" s="6" t="str">
        <f>IFERROR(__xludf.DUMMYFUNCTION("""COMPUTED_VALUE"""),"Armenia")</f>
        <v>Armenia</v>
      </c>
      <c r="N255" s="6" t="str">
        <f>IFERROR(__xludf.DUMMYFUNCTION("""COMPUTED_VALUE"""),"M")</f>
        <v>M</v>
      </c>
      <c r="O255" s="6" t="str">
        <f>IFERROR(__xludf.DUMMYFUNCTION("""COMPUTED_VALUE"""),"ACTIVE")</f>
        <v>ACTIVE</v>
      </c>
      <c r="P255" s="6"/>
      <c r="Q255" s="6" t="str">
        <f>IFERROR(__xludf.DUMMYFUNCTION("""COMPUTED_VALUE"""),"Armenia")</f>
        <v>Armenia</v>
      </c>
      <c r="R255" s="12" t="str">
        <f>IFERROR(__xludf.DUMMYFUNCTION("""COMPUTED_VALUE"""),"Giu65rt*")</f>
        <v>Giu65rt*</v>
      </c>
      <c r="S255" s="6" t="str">
        <f>IFERROR(__xludf.DUMMYFUNCTION("""COMPUTED_VALUE"""),"Cataño Velásquez Eduardo ")</f>
        <v>Cataño Velásquez Eduardo </v>
      </c>
      <c r="T255" s="6" t="str">
        <f>IFERROR(__xludf.DUMMYFUNCTION("""COMPUTED_VALUE"""),"ALBA ROCIO VELASQUEZ CASTRILLON")</f>
        <v>ALBA ROCIO VELASQUEZ CASTRILLON</v>
      </c>
      <c r="U255" s="12" t="str">
        <f>IFERROR(__xludf.DUMMYFUNCTION("""COMPUTED_VALUE"""),"41961929")</f>
        <v>41961929</v>
      </c>
      <c r="V255" s="6">
        <f>IFERROR(__xludf.DUMMYFUNCTION("""COMPUTED_VALUE"""),3.104540755E9)</f>
        <v>3104540755</v>
      </c>
      <c r="W255" s="6" t="str">
        <f>IFERROR(__xludf.DUMMYFUNCTION("""COMPUTED_VALUE"""),"rociovelasquezc10@gmail.com")</f>
        <v>rociovelasquezc10@gmail.com</v>
      </c>
      <c r="X255" s="12" t="str">
        <f>IFERROR(__xludf.DUMMYFUNCTION("""COMPUTED_VALUE"""),"B+")</f>
        <v>B+</v>
      </c>
      <c r="Y255" s="12" t="str">
        <f>IFERROR(__xludf.DUMMYFUNCTION("""COMPUTED_VALUE"""),"2")</f>
        <v>2</v>
      </c>
      <c r="Z255" s="12">
        <f>IFERROR(__xludf.DUMMYFUNCTION("""COMPUTED_VALUE"""),120273.0)</f>
        <v>120273</v>
      </c>
      <c r="AA255" s="6" t="str">
        <f>IFERROR(__xludf.DUMMYFUNCTION("""COMPUTED_VALUE"""),"SALUD TOTAL")</f>
        <v>SALUD TOTAL</v>
      </c>
      <c r="AB255" s="6"/>
      <c r="AC255" s="6"/>
      <c r="AD255" s="12" t="str">
        <f>IFERROR(__xludf.DUMMYFUNCTION("""COMPUTED_VALUE"""),"2B")</f>
        <v>2B</v>
      </c>
      <c r="AE255" s="12">
        <f>IFERROR(__xludf.DUMMYFUNCTION("""COMPUTED_VALUE"""),1.34528227E9)</f>
        <v>1345282270</v>
      </c>
      <c r="AF255" s="12" t="str">
        <f>IFERROR(__xludf.DUMMYFUNCTION("""COMPUTED_VALUE"""),"1345282270")</f>
        <v>1345282270</v>
      </c>
      <c r="AG255" s="12" t="str">
        <f>IFERROR(__xludf.DUMMYFUNCTION("""COMPUTED_VALUE"""),"Alba")</f>
        <v>Alba</v>
      </c>
      <c r="AH255" s="12" t="str">
        <f>IFERROR(__xludf.DUMMYFUNCTION("""COMPUTED_VALUE"""),"Rocío")</f>
        <v>Rocío</v>
      </c>
      <c r="AI255" s="6" t="str">
        <f>IFERROR(__xludf.DUMMYFUNCTION("""COMPUTED_VALUE"""),"Velásquez Castrillón")</f>
        <v>Velásquez Castrillón</v>
      </c>
      <c r="AJ255" s="6" t="str">
        <f>IFERROR(__xludf.DUMMYFUNCTION("""COMPUTED_VALUE"""),"rociovelasquezc10@gmail.com")</f>
        <v>rociovelasquezc10@gmail.com</v>
      </c>
      <c r="AK255" s="6" t="str">
        <f>IFERROR(__xludf.DUMMYFUNCTION("""COMPUTED_VALUE"""),"CONTADOR PUBLICO")</f>
        <v>CONTADOR PUBLICO</v>
      </c>
      <c r="AL255" s="6"/>
      <c r="AM255" s="12" t="str">
        <f>IFERROR(__xludf.DUMMYFUNCTION("""COMPUTED_VALUE"""),"41961929")</f>
        <v>41961929</v>
      </c>
      <c r="AN255" s="12" t="str">
        <f>IFERROR(__xludf.DUMMYFUNCTION("""COMPUTED_VALUE"""),"3104540755")</f>
        <v>3104540755</v>
      </c>
      <c r="AO255" s="6" t="str">
        <f>IFERROR(__xludf.DUMMYFUNCTION("""COMPUTED_VALUE"""),"Madre")</f>
        <v>Madre</v>
      </c>
      <c r="AP255" s="6" t="str">
        <f>IFERROR(__xludf.DUMMYFUNCTION("""COMPUTED_VALUE"""),"Estudiante(s): Cataño Velásquez")</f>
        <v>Estudiante(s): Cataño Velásquez</v>
      </c>
      <c r="AQ255" s="6" t="str">
        <f>IFERROR(__xludf.DUMMYFUNCTION("""COMPUTED_VALUE"""),"120273Gi*")</f>
        <v>120273Gi*</v>
      </c>
      <c r="AR255" s="6" t="str">
        <f>IFERROR(__xludf.DUMMYFUNCTION("""COMPUTED_VALUE"""),"Eduardo")</f>
        <v>Eduardo</v>
      </c>
      <c r="AS255" s="6"/>
      <c r="AT255" s="6" t="str">
        <f>IFERROR(__xludf.DUMMYFUNCTION("""COMPUTED_VALUE"""),"Cataño Sierra")</f>
        <v>Cataño Sierra</v>
      </c>
      <c r="AU255" s="6" t="str">
        <f>IFERROR(__xludf.DUMMYFUNCTION("""COMPUTED_VALUE"""),"educata88@gmail.com")</f>
        <v>educata88@gmail.com</v>
      </c>
      <c r="AV255" s="6" t="str">
        <f>IFERROR(__xludf.DUMMYFUNCTION("""COMPUTED_VALUE"""),"ABOGADO")</f>
        <v>ABOGADO</v>
      </c>
      <c r="AW255" s="6"/>
      <c r="AX255" s="12" t="str">
        <f>IFERROR(__xludf.DUMMYFUNCTION("""COMPUTED_VALUE"""),"10056938")</f>
        <v>10056938</v>
      </c>
      <c r="AY255" s="12" t="str">
        <f>IFERROR(__xludf.DUMMYFUNCTION("""COMPUTED_VALUE"""),"3155865859")</f>
        <v>3155865859</v>
      </c>
      <c r="AZ255" s="6" t="str">
        <f>IFERROR(__xludf.DUMMYFUNCTION("""COMPUTED_VALUE"""),"Padre")</f>
        <v>Padre</v>
      </c>
      <c r="BA255" s="6"/>
      <c r="BB255" s="6"/>
      <c r="BC255" s="6"/>
      <c r="BD255" s="12" t="str">
        <f>IFERROR(__xludf.DUMMYFUNCTION("""COMPUTED_VALUE"""),"cat0004")</f>
        <v>cat0004</v>
      </c>
      <c r="BE255" s="6"/>
      <c r="BF255" s="6"/>
      <c r="BG255" s="6">
        <f>IFERROR(__xludf.DUMMYFUNCTION("""COMPUTED_VALUE"""),2037.0)</f>
        <v>2037</v>
      </c>
      <c r="BH255" s="15">
        <f>IFERROR(__xludf.DUMMYFUNCTION("""COMPUTED_VALUE"""),46210.48269675926)</f>
        <v>46210.4827</v>
      </c>
      <c r="BI255" s="6">
        <f>IFERROR(__xludf.DUMMYFUNCTION("""COMPUTED_VALUE"""),254.0)</f>
        <v>254</v>
      </c>
      <c r="BJ255" s="6"/>
      <c r="BK255" s="6"/>
      <c r="BL255" s="6" t="str">
        <f>IFERROR(__xludf.DUMMYFUNCTION("""COMPUTED_VALUE"""),"GISCAT0004")</f>
        <v>GISCAT0004</v>
      </c>
      <c r="BM255" s="6"/>
      <c r="BN255" s="6"/>
      <c r="BO255" s="6"/>
      <c r="BP255" s="6" t="str">
        <f>IFERROR(__xludf.DUMMYFUNCTION("""COMPUTED_VALUE"""),"XC_EL_Taekwondo")</f>
        <v>XC_EL_Taekwondo</v>
      </c>
      <c r="BQ255" s="6" t="str">
        <f>IFERROR(__xludf.DUMMYFUNCTION("""COMPUTED_VALUE"""),"XC_EL_Taekwondo")</f>
        <v>XC_EL_Taekwondo</v>
      </c>
      <c r="BR255" s="6" t="str">
        <f>IFERROR(__xludf.DUMMYFUNCTION("""COMPUTED_VALUE"""),"XC_EL_DesaInstrumental")</f>
        <v>XC_EL_DesaInstrumental</v>
      </c>
      <c r="BS255" s="6" t="str">
        <f>IFERROR(__xludf.DUMMYFUNCTION("""COMPUTED_VALUE"""),"XC_EL_Taekwondo")</f>
        <v>XC_EL_Taekwondo</v>
      </c>
      <c r="BT255" s="6"/>
      <c r="BU255" s="6" t="str">
        <f>IFERROR(__xludf.DUMMYFUNCTION("""COMPUTED_VALUE"""),"SI")</f>
        <v>SI</v>
      </c>
      <c r="BV255" s="6" t="str">
        <f>IFERROR(__xludf.DUMMYFUNCTION("""COMPUTED_VALUE"""),"eduardo.c2037")</f>
        <v>eduardo.c2037</v>
      </c>
      <c r="BW255" s="6"/>
      <c r="BX255" s="6"/>
      <c r="BY255" s="6"/>
      <c r="BZ255" s="6"/>
    </row>
    <row r="256">
      <c r="A256" s="12">
        <f>IFERROR(__xludf.DUMMYFUNCTION("""COMPUTED_VALUE"""),1.092862504E9)</f>
        <v>1092862504</v>
      </c>
      <c r="B256" s="6">
        <f>IFERROR(__xludf.DUMMYFUNCTION("""COMPUTED_VALUE"""),5.0)</f>
        <v>5</v>
      </c>
      <c r="C256" s="6" t="str">
        <f>IFERROR(__xludf.DUMMYFUNCTION("""COMPUTED_VALUE"""),"Nicolás")</f>
        <v>Nicolás</v>
      </c>
      <c r="D256" s="6"/>
      <c r="E256" s="6" t="str">
        <f>IFERROR(__xludf.DUMMYFUNCTION("""COMPUTED_VALUE"""),"Cruz Suárez")</f>
        <v>Cruz Suárez</v>
      </c>
      <c r="F256" s="6" t="str">
        <f>IFERROR(__xludf.DUMMYFUNCTION("""COMPUTED_VALUE"""),"Jordan Casa 28 - Cra 4 No15Nte - 50")</f>
        <v>Jordan Casa 28 - Cra 4 No15Nte - 50</v>
      </c>
      <c r="G256" s="12">
        <f>IFERROR(__xludf.DUMMYFUNCTION("""COMPUTED_VALUE"""),2018.0)</f>
        <v>2018</v>
      </c>
      <c r="H256" s="6" t="str">
        <f>IFERROR(__xludf.DUMMYFUNCTION("""COMPUTED_VALUE"""),"Octubre")</f>
        <v>Octubre</v>
      </c>
      <c r="I256" s="12">
        <f>IFERROR(__xludf.DUMMYFUNCTION("""COMPUTED_VALUE"""),25.0)</f>
        <v>25</v>
      </c>
      <c r="J256" s="6" t="str">
        <f>IFERROR(__xludf.DUMMYFUNCTION("""COMPUTED_VALUE"""),"Armenia")</f>
        <v>Armenia</v>
      </c>
      <c r="K256" s="6" t="str">
        <f>IFERROR(__xludf.DUMMYFUNCTION("""COMPUTED_VALUE"""),"nicolas.c2037@gi.edu.co")</f>
        <v>nicolas.c2037@gi.edu.co</v>
      </c>
      <c r="L256" s="6" t="str">
        <f>IFERROR(__xludf.DUMMYFUNCTION("""COMPUTED_VALUE"""),"TI")</f>
        <v>TI</v>
      </c>
      <c r="M256" s="6" t="str">
        <f>IFERROR(__xludf.DUMMYFUNCTION("""COMPUTED_VALUE"""),"Armenia")</f>
        <v>Armenia</v>
      </c>
      <c r="N256" s="6" t="str">
        <f>IFERROR(__xludf.DUMMYFUNCTION("""COMPUTED_VALUE"""),"M")</f>
        <v>M</v>
      </c>
      <c r="O256" s="6" t="str">
        <f>IFERROR(__xludf.DUMMYFUNCTION("""COMPUTED_VALUE"""),"INACTIVE")</f>
        <v>INACTIVE</v>
      </c>
      <c r="P256" s="6"/>
      <c r="Q256" s="6" t="str">
        <f>IFERROR(__xludf.DUMMYFUNCTION("""COMPUTED_VALUE"""),"Armenia")</f>
        <v>Armenia</v>
      </c>
      <c r="R256" s="12" t="str">
        <f>IFERROR(__xludf.DUMMYFUNCTION("""COMPUTED_VALUE"""),"Gicx3jh7ks*")</f>
        <v>Gicx3jh7ks*</v>
      </c>
      <c r="S256" s="6" t="str">
        <f>IFERROR(__xludf.DUMMYFUNCTION("""COMPUTED_VALUE"""),"Cruz Suárez Nicolás ")</f>
        <v>Cruz Suárez Nicolás </v>
      </c>
      <c r="T256" s="6" t="str">
        <f>IFERROR(__xludf.DUMMYFUNCTION("""COMPUTED_VALUE"""),"CLAUDIA CONSTANZA SUAREZ TABARES")</f>
        <v>CLAUDIA CONSTANZA SUAREZ TABARES</v>
      </c>
      <c r="U256" s="12" t="str">
        <f>IFERROR(__xludf.DUMMYFUNCTION("""COMPUTED_VALUE"""),"41937967")</f>
        <v>41937967</v>
      </c>
      <c r="V256" s="6">
        <f>IFERROR(__xludf.DUMMYFUNCTION("""COMPUTED_VALUE"""),3.113679674E9)</f>
        <v>3113679674</v>
      </c>
      <c r="W256" s="6" t="str">
        <f>IFERROR(__xludf.DUMMYFUNCTION("""COMPUTED_VALUE"""),"gerentefinanciero@abbi.com.co")</f>
        <v>gerentefinanciero@abbi.com.co</v>
      </c>
      <c r="X256" s="12" t="str">
        <f>IFERROR(__xludf.DUMMYFUNCTION("""COMPUTED_VALUE"""),"A+")</f>
        <v>A+</v>
      </c>
      <c r="Y256" s="12" t="str">
        <f>IFERROR(__xludf.DUMMYFUNCTION("""COMPUTED_VALUE"""),"2")</f>
        <v>2</v>
      </c>
      <c r="Z256" s="12">
        <f>IFERROR(__xludf.DUMMYFUNCTION("""COMPUTED_VALUE"""),120460.0)</f>
        <v>120460</v>
      </c>
      <c r="AA256" s="6" t="str">
        <f>IFERROR(__xludf.DUMMYFUNCTION("""COMPUTED_VALUE"""),"SURA")</f>
        <v>SURA</v>
      </c>
      <c r="AB256" s="6"/>
      <c r="AC256" s="6"/>
      <c r="AD256" s="12" t="str">
        <f>IFERROR(__xludf.DUMMYFUNCTION("""COMPUTED_VALUE"""),"2B")</f>
        <v>2B</v>
      </c>
      <c r="AE256" s="12" t="str">
        <f>IFERROR(__xludf.DUMMYFUNCTION("""COMPUTED_VALUE"""),"1345282435")</f>
        <v>1345282435</v>
      </c>
      <c r="AF256" s="12" t="str">
        <f>IFERROR(__xludf.DUMMYFUNCTION("""COMPUTED_VALUE"""),"1345282435")</f>
        <v>1345282435</v>
      </c>
      <c r="AG256" s="12" t="str">
        <f>IFERROR(__xludf.DUMMYFUNCTION("""COMPUTED_VALUE"""),"Claudia")</f>
        <v>Claudia</v>
      </c>
      <c r="AH256" s="12" t="str">
        <f>IFERROR(__xludf.DUMMYFUNCTION("""COMPUTED_VALUE"""),"Constanza")</f>
        <v>Constanza</v>
      </c>
      <c r="AI256" s="6" t="str">
        <f>IFERROR(__xludf.DUMMYFUNCTION("""COMPUTED_VALUE"""),"Suárez Tabares")</f>
        <v>Suárez Tabares</v>
      </c>
      <c r="AJ256" s="6" t="str">
        <f>IFERROR(__xludf.DUMMYFUNCTION("""COMPUTED_VALUE"""),"gerentefinanciero@abbi.com.co")</f>
        <v>gerentefinanciero@abbi.com.co</v>
      </c>
      <c r="AK256" s="6" t="str">
        <f>IFERROR(__xludf.DUMMYFUNCTION("""COMPUTED_VALUE"""),"Contador Publico")</f>
        <v>Contador Publico</v>
      </c>
      <c r="AL256" s="6" t="str">
        <f>IFERROR(__xludf.DUMMYFUNCTION("""COMPUTED_VALUE"""),"abbi SAS")</f>
        <v>abbi SAS</v>
      </c>
      <c r="AM256" s="12" t="str">
        <f>IFERROR(__xludf.DUMMYFUNCTION("""COMPUTED_VALUE"""),"41937967")</f>
        <v>41937967</v>
      </c>
      <c r="AN256" s="12">
        <f>IFERROR(__xludf.DUMMYFUNCTION("""COMPUTED_VALUE"""),3.113679674E9)</f>
        <v>3113679674</v>
      </c>
      <c r="AO256" s="6" t="str">
        <f>IFERROR(__xludf.DUMMYFUNCTION("""COMPUTED_VALUE"""),"Madre")</f>
        <v>Madre</v>
      </c>
      <c r="AP256" s="6" t="str">
        <f>IFERROR(__xludf.DUMMYFUNCTION("""COMPUTED_VALUE"""),"Estudiante(s): Cruz Suárez")</f>
        <v>Estudiante(s): Cruz Suárez</v>
      </c>
      <c r="AQ256" s="6" t="str">
        <f>IFERROR(__xludf.DUMMYFUNCTION("""COMPUTED_VALUE"""),"120460*Gi")</f>
        <v>120460*Gi</v>
      </c>
      <c r="AR256" s="6" t="str">
        <f>IFERROR(__xludf.DUMMYFUNCTION("""COMPUTED_VALUE"""),"Johnny")</f>
        <v>Johnny</v>
      </c>
      <c r="AS256" s="6" t="str">
        <f>IFERROR(__xludf.DUMMYFUNCTION("""COMPUTED_VALUE"""),"Mauricio")</f>
        <v>Mauricio</v>
      </c>
      <c r="AT256" s="6" t="str">
        <f>IFERROR(__xludf.DUMMYFUNCTION("""COMPUTED_VALUE"""),"Cruz Sánchez")</f>
        <v>Cruz Sánchez</v>
      </c>
      <c r="AU256" s="6" t="str">
        <f>IFERROR(__xludf.DUMMYFUNCTION("""COMPUTED_VALUE"""),"maocruz89@hotmail.es")</f>
        <v>maocruz89@hotmail.es</v>
      </c>
      <c r="AV256" s="6" t="str">
        <f>IFERROR(__xludf.DUMMYFUNCTION("""COMPUTED_VALUE"""),"Abogado ")</f>
        <v>Abogado </v>
      </c>
      <c r="AW256" s="6" t="str">
        <f>IFERROR(__xludf.DUMMYFUNCTION("""COMPUTED_VALUE"""),"independiente y Docente de la Universidad Gran Colombia")</f>
        <v>independiente y Docente de la Universidad Gran Colombia</v>
      </c>
      <c r="AX256" s="12" t="str">
        <f>IFERROR(__xludf.DUMMYFUNCTION("""COMPUTED_VALUE"""),"1094905456")</f>
        <v>1094905456</v>
      </c>
      <c r="AY256" s="12" t="str">
        <f>IFERROR(__xludf.DUMMYFUNCTION("""COMPUTED_VALUE"""),"3207799023")</f>
        <v>3207799023</v>
      </c>
      <c r="AZ256" s="6" t="str">
        <f>IFERROR(__xludf.DUMMYFUNCTION("""COMPUTED_VALUE"""),"Padre")</f>
        <v>Padre</v>
      </c>
      <c r="BA256" s="6"/>
      <c r="BB256" s="6"/>
      <c r="BC256" s="6"/>
      <c r="BD256" s="12" t="str">
        <f>IFERROR(__xludf.DUMMYFUNCTION("""COMPUTED_VALUE"""),"cru0003")</f>
        <v>cru0003</v>
      </c>
      <c r="BE256" s="6" t="str">
        <f>IFERROR(__xludf.DUMMYFUNCTION("""COMPUTED_VALUE"""),"FALTAN FIRMAS")</f>
        <v>FALTAN FIRMAS</v>
      </c>
      <c r="BF256" s="6"/>
      <c r="BG256" s="6">
        <f>IFERROR(__xludf.DUMMYFUNCTION("""COMPUTED_VALUE"""),2037.0)</f>
        <v>2037</v>
      </c>
      <c r="BH256" s="15">
        <f>IFERROR(__xludf.DUMMYFUNCTION("""COMPUTED_VALUE"""),46211.48563657407)</f>
        <v>46211.48564</v>
      </c>
      <c r="BI256" s="6">
        <f>IFERROR(__xludf.DUMMYFUNCTION("""COMPUTED_VALUE"""),255.0)</f>
        <v>255</v>
      </c>
      <c r="BJ256" s="6"/>
      <c r="BK256" s="6"/>
      <c r="BL256" s="6" t="str">
        <f>IFERROR(__xludf.DUMMYFUNCTION("""COMPUTED_VALUE"""),"GISCRU0003")</f>
        <v>GISCRU0003</v>
      </c>
      <c r="BM256" s="6"/>
      <c r="BN256" s="6"/>
      <c r="BO256" s="6"/>
      <c r="BP256" s="6" t="str">
        <f>IFERROR(__xludf.DUMMYFUNCTION("""COMPUTED_VALUE"""),"XC_23_Futbol_M")</f>
        <v>XC_23_Futbol_M</v>
      </c>
      <c r="BQ256" s="6"/>
      <c r="BR256" s="6"/>
      <c r="BS256" s="6" t="str">
        <f>IFERROR(__xludf.DUMMYFUNCTION("""COMPUTED_VALUE"""),"XC_23_Futbol_M")</f>
        <v>XC_23_Futbol_M</v>
      </c>
      <c r="BT256" s="6" t="str">
        <f>IFERROR(__xludf.DUMMYFUNCTION("""COMPUTED_VALUE"""),"XC_23_Futbol_M")</f>
        <v>XC_23_Futbol_M</v>
      </c>
      <c r="BU256" s="6" t="str">
        <f>IFERROR(__xludf.DUMMYFUNCTION("""COMPUTED_VALUE"""),"SI")</f>
        <v>SI</v>
      </c>
      <c r="BV256" s="6" t="str">
        <f>IFERROR(__xludf.DUMMYFUNCTION("""COMPUTED_VALUE"""),"nicolas.c2037")</f>
        <v>nicolas.c2037</v>
      </c>
      <c r="BW256" s="6"/>
      <c r="BX256" s="6"/>
      <c r="BY256" s="6"/>
      <c r="BZ256" s="6"/>
    </row>
    <row r="257">
      <c r="A257" s="12">
        <f>IFERROR(__xludf.DUMMYFUNCTION("""COMPUTED_VALUE"""),1.095182992E9)</f>
        <v>1095182992</v>
      </c>
      <c r="B257" s="6">
        <f>IFERROR(__xludf.DUMMYFUNCTION("""COMPUTED_VALUE"""),6.0)</f>
        <v>6</v>
      </c>
      <c r="C257" s="6" t="str">
        <f>IFERROR(__xludf.DUMMYFUNCTION("""COMPUTED_VALUE"""),"Elías")</f>
        <v>Elías</v>
      </c>
      <c r="D257" s="6"/>
      <c r="E257" s="6" t="str">
        <f>IFERROR(__xludf.DUMMYFUNCTION("""COMPUTED_VALUE"""),"Del Olmo Galindo")</f>
        <v>Del Olmo Galindo</v>
      </c>
      <c r="F257" s="6" t="str">
        <f>IFERROR(__xludf.DUMMYFUNCTION("""COMPUTED_VALUE"""),"Parque Residencial Altos Del Rio Casa 46 - Calle 41 No36 - 110")</f>
        <v>Parque Residencial Altos Del Rio Casa 46 - Calle 41 No36 - 110</v>
      </c>
      <c r="G257" s="12" t="str">
        <f>IFERROR(__xludf.DUMMYFUNCTION("""COMPUTED_VALUE"""),"2018")</f>
        <v>2018</v>
      </c>
      <c r="H257" s="6" t="str">
        <f>IFERROR(__xludf.DUMMYFUNCTION("""COMPUTED_VALUE"""),"Octubre")</f>
        <v>Octubre</v>
      </c>
      <c r="I257" s="12" t="str">
        <f>IFERROR(__xludf.DUMMYFUNCTION("""COMPUTED_VALUE"""),"22")</f>
        <v>22</v>
      </c>
      <c r="J257" s="6" t="str">
        <f>IFERROR(__xludf.DUMMYFUNCTION("""COMPUTED_VALUE"""),"Armenia")</f>
        <v>Armenia</v>
      </c>
      <c r="K257" s="6" t="str">
        <f>IFERROR(__xludf.DUMMYFUNCTION("""COMPUTED_VALUE"""),"elias.d2037@gi.edu.co")</f>
        <v>elias.d2037@gi.edu.co</v>
      </c>
      <c r="L257" s="6" t="str">
        <f>IFERROR(__xludf.DUMMYFUNCTION("""COMPUTED_VALUE"""),"RC")</f>
        <v>RC</v>
      </c>
      <c r="M257" s="6" t="str">
        <f>IFERROR(__xludf.DUMMYFUNCTION("""COMPUTED_VALUE"""),"Calarcá")</f>
        <v>Calarcá</v>
      </c>
      <c r="N257" s="6" t="str">
        <f>IFERROR(__xludf.DUMMYFUNCTION("""COMPUTED_VALUE"""),"M")</f>
        <v>M</v>
      </c>
      <c r="O257" s="6" t="str">
        <f>IFERROR(__xludf.DUMMYFUNCTION("""COMPUTED_VALUE"""),"ACTIVE")</f>
        <v>ACTIVE</v>
      </c>
      <c r="P257" s="6"/>
      <c r="Q257" s="6" t="str">
        <f>IFERROR(__xludf.DUMMYFUNCTION("""COMPUTED_VALUE"""),"Calarcá")</f>
        <v>Calarcá</v>
      </c>
      <c r="R257" s="12" t="str">
        <f>IFERROR(__xludf.DUMMYFUNCTION("""COMPUTED_VALUE"""),"Giury67kfjv*")</f>
        <v>Giury67kfjv*</v>
      </c>
      <c r="S257" s="6" t="str">
        <f>IFERROR(__xludf.DUMMYFUNCTION("""COMPUTED_VALUE"""),"Del Olmo Galindo Elías ")</f>
        <v>Del Olmo Galindo Elías </v>
      </c>
      <c r="T257" s="6" t="str">
        <f>IFERROR(__xludf.DUMMYFUNCTION("""COMPUTED_VALUE"""),"MARIA PAULA GALINDO LOPEZ")</f>
        <v>MARIA PAULA GALINDO LOPEZ</v>
      </c>
      <c r="U257" s="12" t="str">
        <f>IFERROR(__xludf.DUMMYFUNCTION("""COMPUTED_VALUE"""),"24586568")</f>
        <v>24586568</v>
      </c>
      <c r="V257" s="6">
        <f>IFERROR(__xludf.DUMMYFUNCTION("""COMPUTED_VALUE"""),3.123878729E9)</f>
        <v>3123878729</v>
      </c>
      <c r="W257" s="6" t="str">
        <f>IFERROR(__xludf.DUMMYFUNCTION("""COMPUTED_VALUE"""),"mariapaulagalindolopez@gmail.com")</f>
        <v>mariapaulagalindolopez@gmail.com</v>
      </c>
      <c r="X257" s="12" t="str">
        <f>IFERROR(__xludf.DUMMYFUNCTION("""COMPUTED_VALUE"""),"B+")</f>
        <v>B+</v>
      </c>
      <c r="Y257" s="12" t="str">
        <f>IFERROR(__xludf.DUMMYFUNCTION("""COMPUTED_VALUE"""),"2")</f>
        <v>2</v>
      </c>
      <c r="Z257" s="12">
        <f>IFERROR(__xludf.DUMMYFUNCTION("""COMPUTED_VALUE"""),120037.0)</f>
        <v>120037</v>
      </c>
      <c r="AA257" s="6" t="str">
        <f>IFERROR(__xludf.DUMMYFUNCTION("""COMPUTED_VALUE"""),"SURA")</f>
        <v>SURA</v>
      </c>
      <c r="AB257" s="6"/>
      <c r="AC257" s="6" t="str">
        <f>IFERROR(__xludf.DUMMYFUNCTION("""COMPUTED_VALUE"""),"Papaya")</f>
        <v>Papaya</v>
      </c>
      <c r="AD257" s="12" t="str">
        <f>IFERROR(__xludf.DUMMYFUNCTION("""COMPUTED_VALUE"""),"2B")</f>
        <v>2B</v>
      </c>
      <c r="AE257" s="12">
        <f>IFERROR(__xludf.DUMMYFUNCTION("""COMPUTED_VALUE"""),1.345282052E9)</f>
        <v>1345282052</v>
      </c>
      <c r="AF257" s="12" t="str">
        <f>IFERROR(__xludf.DUMMYFUNCTION("""COMPUTED_VALUE"""),"2792718311")</f>
        <v>2792718311</v>
      </c>
      <c r="AG257" s="12" t="str">
        <f>IFERROR(__xludf.DUMMYFUNCTION("""COMPUTED_VALUE"""),"María")</f>
        <v>María</v>
      </c>
      <c r="AH257" s="12" t="str">
        <f>IFERROR(__xludf.DUMMYFUNCTION("""COMPUTED_VALUE"""),"Paula")</f>
        <v>Paula</v>
      </c>
      <c r="AI257" s="6" t="str">
        <f>IFERROR(__xludf.DUMMYFUNCTION("""COMPUTED_VALUE"""),"Galindo López")</f>
        <v>Galindo López</v>
      </c>
      <c r="AJ257" s="6" t="str">
        <f>IFERROR(__xludf.DUMMYFUNCTION("""COMPUTED_VALUE"""),"mariapaulagalindolopez@gmail.com")</f>
        <v>mariapaulagalindolopez@gmail.com</v>
      </c>
      <c r="AK257" s="6" t="str">
        <f>IFERROR(__xludf.DUMMYFUNCTION("""COMPUTED_VALUE"""),"Medico Especialista")</f>
        <v>Medico Especialista</v>
      </c>
      <c r="AL257" s="6" t="str">
        <f>IFERROR(__xludf.DUMMYFUNCTION("""COMPUTED_VALUE"""),"Oncologos Del Occidente")</f>
        <v>Oncologos Del Occidente</v>
      </c>
      <c r="AM257" s="12" t="str">
        <f>IFERROR(__xludf.DUMMYFUNCTION("""COMPUTED_VALUE"""),"24586568")</f>
        <v>24586568</v>
      </c>
      <c r="AN257" s="12" t="str">
        <f>IFERROR(__xludf.DUMMYFUNCTION("""COMPUTED_VALUE"""),"3123878729")</f>
        <v>3123878729</v>
      </c>
      <c r="AO257" s="6" t="str">
        <f>IFERROR(__xludf.DUMMYFUNCTION("""COMPUTED_VALUE"""),"Madre")</f>
        <v>Madre</v>
      </c>
      <c r="AP257" s="6" t="str">
        <f>IFERROR(__xludf.DUMMYFUNCTION("""COMPUTED_VALUE"""),"Estudiante(s): Del Olmo Galindo")</f>
        <v>Estudiante(s): Del Olmo Galindo</v>
      </c>
      <c r="AQ257" s="6" t="str">
        <f>IFERROR(__xludf.DUMMYFUNCTION("""COMPUTED_VALUE"""),"120037*Gi")</f>
        <v>120037*Gi</v>
      </c>
      <c r="AR257" s="6" t="str">
        <f>IFERROR(__xludf.DUMMYFUNCTION("""COMPUTED_VALUE"""),"Esteban")</f>
        <v>Esteban</v>
      </c>
      <c r="AS257" s="6"/>
      <c r="AT257" s="6" t="str">
        <f>IFERROR(__xludf.DUMMYFUNCTION("""COMPUTED_VALUE"""),"del Olmo Gil")</f>
        <v>del Olmo Gil</v>
      </c>
      <c r="AU257" s="6" t="str">
        <f>IFERROR(__xludf.DUMMYFUNCTION("""COMPUTED_VALUE"""),"delolmo1984@gmail.com")</f>
        <v>delolmo1984@gmail.com</v>
      </c>
      <c r="AV257" s="6" t="str">
        <f>IFERROR(__xludf.DUMMYFUNCTION("""COMPUTED_VALUE"""),"Medico Especialista")</f>
        <v>Medico Especialista</v>
      </c>
      <c r="AW257" s="6" t="str">
        <f>IFERROR(__xludf.DUMMYFUNCTION("""COMPUTED_VALUE"""),"Oncologos Del Occidente")</f>
        <v>Oncologos Del Occidente</v>
      </c>
      <c r="AX257" s="12" t="str">
        <f>IFERROR(__xludf.DUMMYFUNCTION("""COMPUTED_VALUE"""),"1153463449")</f>
        <v>1153463449</v>
      </c>
      <c r="AY257" s="12" t="str">
        <f>IFERROR(__xludf.DUMMYFUNCTION("""COMPUTED_VALUE"""),"3123887343")</f>
        <v>3123887343</v>
      </c>
      <c r="AZ257" s="6" t="str">
        <f>IFERROR(__xludf.DUMMYFUNCTION("""COMPUTED_VALUE"""),"Padre")</f>
        <v>Padre</v>
      </c>
      <c r="BA257" s="6"/>
      <c r="BB257" s="6"/>
      <c r="BC257" s="6"/>
      <c r="BD257" s="12" t="str">
        <f>IFERROR(__xludf.DUMMYFUNCTION("""COMPUTED_VALUE"""),"olm0001")</f>
        <v>olm0001</v>
      </c>
      <c r="BE257" s="6"/>
      <c r="BF257" s="6"/>
      <c r="BG257" s="6">
        <f>IFERROR(__xludf.DUMMYFUNCTION("""COMPUTED_VALUE"""),2037.0)</f>
        <v>2037</v>
      </c>
      <c r="BH257" s="15">
        <f>IFERROR(__xludf.DUMMYFUNCTION("""COMPUTED_VALUE"""),46211.73814814815)</f>
        <v>46211.73815</v>
      </c>
      <c r="BI257" s="6">
        <f>IFERROR(__xludf.DUMMYFUNCTION("""COMPUTED_VALUE"""),256.0)</f>
        <v>256</v>
      </c>
      <c r="BJ257" s="6"/>
      <c r="BK257" s="6"/>
      <c r="BL257" s="6" t="str">
        <f>IFERROR(__xludf.DUMMYFUNCTION("""COMPUTED_VALUE"""),"GISOLM0001")</f>
        <v>GISOLM0001</v>
      </c>
      <c r="BM257" s="6"/>
      <c r="BN257" s="6"/>
      <c r="BO257" s="6"/>
      <c r="BP257" s="6" t="str">
        <f>IFERROR(__xludf.DUMMYFUNCTION("""COMPUTED_VALUE"""),"XC_123_Basquetbol")</f>
        <v>XC_123_Basquetbol</v>
      </c>
      <c r="BQ257" s="6"/>
      <c r="BR257" s="6"/>
      <c r="BS257" s="6" t="str">
        <f>IFERROR(__xludf.DUMMYFUNCTION("""COMPUTED_VALUE"""),"XC_123_Basquetbol")</f>
        <v>XC_123_Basquetbol</v>
      </c>
      <c r="BT257" s="6" t="str">
        <f>IFERROR(__xludf.DUMMYFUNCTION("""COMPUTED_VALUE"""),"XC_123_Basquetbol")</f>
        <v>XC_123_Basquetbol</v>
      </c>
      <c r="BU257" s="6" t="str">
        <f>IFERROR(__xludf.DUMMYFUNCTION("""COMPUTED_VALUE"""),"SI")</f>
        <v>SI</v>
      </c>
      <c r="BV257" s="6" t="str">
        <f>IFERROR(__xludf.DUMMYFUNCTION("""COMPUTED_VALUE"""),"elias.d2037")</f>
        <v>elias.d2037</v>
      </c>
      <c r="BW257" s="6"/>
      <c r="BX257" s="6"/>
      <c r="BY257" s="6"/>
      <c r="BZ257" s="6"/>
    </row>
    <row r="258">
      <c r="A258" s="12">
        <f>IFERROR(__xludf.DUMMYFUNCTION("""COMPUTED_VALUE"""),1.094984583E9)</f>
        <v>1094984583</v>
      </c>
      <c r="B258" s="6">
        <f>IFERROR(__xludf.DUMMYFUNCTION("""COMPUTED_VALUE"""),7.0)</f>
        <v>7</v>
      </c>
      <c r="C258" s="6" t="str">
        <f>IFERROR(__xludf.DUMMYFUNCTION("""COMPUTED_VALUE"""),"Franco")</f>
        <v>Franco</v>
      </c>
      <c r="D258" s="6"/>
      <c r="E258" s="6" t="str">
        <f>IFERROR(__xludf.DUMMYFUNCTION("""COMPUTED_VALUE"""),"Espitia Mejía")</f>
        <v>Espitia Mejía</v>
      </c>
      <c r="F258" s="6" t="str">
        <f>IFERROR(__xludf.DUMMYFUNCTION("""COMPUTED_VALUE"""),"Quintas de la Castellana Mz A Casa 13 - Cra 6 No16Nte - 61")</f>
        <v>Quintas de la Castellana Mz A Casa 13 - Cra 6 No16Nte - 61</v>
      </c>
      <c r="G258" s="12" t="str">
        <f>IFERROR(__xludf.DUMMYFUNCTION("""COMPUTED_VALUE"""),"2018")</f>
        <v>2018</v>
      </c>
      <c r="H258" s="6" t="str">
        <f>IFERROR(__xludf.DUMMYFUNCTION("""COMPUTED_VALUE"""),"Septiembre")</f>
        <v>Septiembre</v>
      </c>
      <c r="I258" s="12" t="str">
        <f>IFERROR(__xludf.DUMMYFUNCTION("""COMPUTED_VALUE"""),"19")</f>
        <v>19</v>
      </c>
      <c r="J258" s="6" t="str">
        <f>IFERROR(__xludf.DUMMYFUNCTION("""COMPUTED_VALUE"""),"Arlington")</f>
        <v>Arlington</v>
      </c>
      <c r="K258" s="6" t="str">
        <f>IFERROR(__xludf.DUMMYFUNCTION("""COMPUTED_VALUE"""),"franco.e2037@gi.edu.co")</f>
        <v>franco.e2037@gi.edu.co</v>
      </c>
      <c r="L258" s="6" t="str">
        <f>IFERROR(__xludf.DUMMYFUNCTION("""COMPUTED_VALUE"""),"RC")</f>
        <v>RC</v>
      </c>
      <c r="M258" s="6" t="str">
        <f>IFERROR(__xludf.DUMMYFUNCTION("""COMPUTED_VALUE"""),"Armenia")</f>
        <v>Armenia</v>
      </c>
      <c r="N258" s="6" t="str">
        <f>IFERROR(__xludf.DUMMYFUNCTION("""COMPUTED_VALUE"""),"M")</f>
        <v>M</v>
      </c>
      <c r="O258" s="6" t="str">
        <f>IFERROR(__xludf.DUMMYFUNCTION("""COMPUTED_VALUE"""),"ACTIVE")</f>
        <v>ACTIVE</v>
      </c>
      <c r="P258" s="6"/>
      <c r="Q258" s="6" t="str">
        <f>IFERROR(__xludf.DUMMYFUNCTION("""COMPUTED_VALUE"""),"Armenia")</f>
        <v>Armenia</v>
      </c>
      <c r="R258" s="12" t="str">
        <f>IFERROR(__xludf.DUMMYFUNCTION("""COMPUTED_VALUE"""),"Gi8d32j*")</f>
        <v>Gi8d32j*</v>
      </c>
      <c r="S258" s="6" t="str">
        <f>IFERROR(__xludf.DUMMYFUNCTION("""COMPUTED_VALUE"""),"Espitia Mejía Franco ")</f>
        <v>Espitia Mejía Franco </v>
      </c>
      <c r="T258" s="6" t="str">
        <f>IFERROR(__xludf.DUMMYFUNCTION("""COMPUTED_VALUE"""),"WILLIAM ARIEL ESPITIA GUIO")</f>
        <v>WILLIAM ARIEL ESPITIA GUIO</v>
      </c>
      <c r="U258" s="12" t="str">
        <f>IFERROR(__xludf.DUMMYFUNCTION("""COMPUTED_VALUE"""),"79052137")</f>
        <v>79052137</v>
      </c>
      <c r="V258" s="6">
        <f>IFERROR(__xludf.DUMMYFUNCTION("""COMPUTED_VALUE"""),3.103648932E9)</f>
        <v>3103648932</v>
      </c>
      <c r="W258" s="6" t="str">
        <f>IFERROR(__xludf.DUMMYFUNCTION("""COMPUTED_VALUE"""),"espitiacleaning@yahoo.com")</f>
        <v>espitiacleaning@yahoo.com</v>
      </c>
      <c r="X258" s="12" t="str">
        <f>IFERROR(__xludf.DUMMYFUNCTION("""COMPUTED_VALUE"""),"O+")</f>
        <v>O+</v>
      </c>
      <c r="Y258" s="12" t="str">
        <f>IFERROR(__xludf.DUMMYFUNCTION("""COMPUTED_VALUE"""),"2")</f>
        <v>2</v>
      </c>
      <c r="Z258" s="12">
        <f>IFERROR(__xludf.DUMMYFUNCTION("""COMPUTED_VALUE"""),120315.0)</f>
        <v>120315</v>
      </c>
      <c r="AA258" s="6" t="str">
        <f>IFERROR(__xludf.DUMMYFUNCTION("""COMPUTED_VALUE"""),"SURA")</f>
        <v>SURA</v>
      </c>
      <c r="AB258" s="6"/>
      <c r="AC258" s="6"/>
      <c r="AD258" s="12" t="str">
        <f>IFERROR(__xludf.DUMMYFUNCTION("""COMPUTED_VALUE"""),"2B")</f>
        <v>2B</v>
      </c>
      <c r="AE258" s="12" t="str">
        <f>IFERROR(__xludf.DUMMYFUNCTION("""COMPUTED_VALUE"""),"1345282310")</f>
        <v>1345282310</v>
      </c>
      <c r="AF258" s="12" t="str">
        <f>IFERROR(__xludf.DUMMYFUNCTION("""COMPUTED_VALUE"""),"1345282310")</f>
        <v>1345282310</v>
      </c>
      <c r="AG258" s="12" t="str">
        <f>IFERROR(__xludf.DUMMYFUNCTION("""COMPUTED_VALUE"""),"Diana")</f>
        <v>Diana</v>
      </c>
      <c r="AH258" s="12" t="str">
        <f>IFERROR(__xludf.DUMMYFUNCTION("""COMPUTED_VALUE"""),"Catalina")</f>
        <v>Catalina</v>
      </c>
      <c r="AI258" s="6" t="str">
        <f>IFERROR(__xludf.DUMMYFUNCTION("""COMPUTED_VALUE"""),"Mejía Rojas")</f>
        <v>Mejía Rojas</v>
      </c>
      <c r="AJ258" s="6" t="str">
        <f>IFERROR(__xludf.DUMMYFUNCTION("""COMPUTED_VALUE"""),"dianacmr22@hotmail.com")</f>
        <v>dianacmr22@hotmail.com</v>
      </c>
      <c r="AK258" s="6" t="str">
        <f>IFERROR(__xludf.DUMMYFUNCTION("""COMPUTED_VALUE"""),"Publicista")</f>
        <v>Publicista</v>
      </c>
      <c r="AL258" s="6"/>
      <c r="AM258" s="12" t="str">
        <f>IFERROR(__xludf.DUMMYFUNCTION("""COMPUTED_VALUE"""),"43208608")</f>
        <v>43208608</v>
      </c>
      <c r="AN258" s="12" t="str">
        <f>IFERROR(__xludf.DUMMYFUNCTION("""COMPUTED_VALUE"""),"3001625057")</f>
        <v>3001625057</v>
      </c>
      <c r="AO258" s="6" t="str">
        <f>IFERROR(__xludf.DUMMYFUNCTION("""COMPUTED_VALUE"""),"Madre")</f>
        <v>Madre</v>
      </c>
      <c r="AP258" s="6" t="str">
        <f>IFERROR(__xludf.DUMMYFUNCTION("""COMPUTED_VALUE"""),"Estudiante(s): Espitia Mejía")</f>
        <v>Estudiante(s): Espitia Mejía</v>
      </c>
      <c r="AQ258" s="6" t="str">
        <f>IFERROR(__xludf.DUMMYFUNCTION("""COMPUTED_VALUE"""),"120315*Gi")</f>
        <v>120315*Gi</v>
      </c>
      <c r="AR258" s="6" t="str">
        <f>IFERROR(__xludf.DUMMYFUNCTION("""COMPUTED_VALUE"""),"William")</f>
        <v>William</v>
      </c>
      <c r="AS258" s="6" t="str">
        <f>IFERROR(__xludf.DUMMYFUNCTION("""COMPUTED_VALUE"""),"Ariel")</f>
        <v>Ariel</v>
      </c>
      <c r="AT258" s="6" t="str">
        <f>IFERROR(__xludf.DUMMYFUNCTION("""COMPUTED_VALUE"""),"Espitia Guio")</f>
        <v>Espitia Guio</v>
      </c>
      <c r="AU258" s="6" t="str">
        <f>IFERROR(__xludf.DUMMYFUNCTION("""COMPUTED_VALUE"""),"espitiacleaning@yahoo.com")</f>
        <v>espitiacleaning@yahoo.com</v>
      </c>
      <c r="AV258" s="6" t="str">
        <f>IFERROR(__xludf.DUMMYFUNCTION("""COMPUTED_VALUE"""),"Empresario")</f>
        <v>Empresario</v>
      </c>
      <c r="AW258" s="6" t="str">
        <f>IFERROR(__xludf.DUMMYFUNCTION("""COMPUTED_VALUE"""),"espitias cleaning service inc.")</f>
        <v>espitias cleaning service inc.</v>
      </c>
      <c r="AX258" s="12" t="str">
        <f>IFERROR(__xludf.DUMMYFUNCTION("""COMPUTED_VALUE"""),"79052137")</f>
        <v>79052137</v>
      </c>
      <c r="AY258" s="12" t="str">
        <f>IFERROR(__xludf.DUMMYFUNCTION("""COMPUTED_VALUE"""),"3103648932")</f>
        <v>3103648932</v>
      </c>
      <c r="AZ258" s="6" t="str">
        <f>IFERROR(__xludf.DUMMYFUNCTION("""COMPUTED_VALUE"""),"Padre")</f>
        <v>Padre</v>
      </c>
      <c r="BA258" s="6"/>
      <c r="BB258" s="6"/>
      <c r="BC258" s="6"/>
      <c r="BD258" s="12" t="str">
        <f>IFERROR(__xludf.DUMMYFUNCTION("""COMPUTED_VALUE"""),"esp0001")</f>
        <v>esp0001</v>
      </c>
      <c r="BE258" s="6"/>
      <c r="BF258" s="6"/>
      <c r="BG258" s="6">
        <f>IFERROR(__xludf.DUMMYFUNCTION("""COMPUTED_VALUE"""),2037.0)</f>
        <v>2037</v>
      </c>
      <c r="BH258" s="15">
        <f>IFERROR(__xludf.DUMMYFUNCTION("""COMPUTED_VALUE"""),46230.698287037034)</f>
        <v>46230.69829</v>
      </c>
      <c r="BI258" s="6">
        <f>IFERROR(__xludf.DUMMYFUNCTION("""COMPUTED_VALUE"""),257.0)</f>
        <v>257</v>
      </c>
      <c r="BJ258" s="6"/>
      <c r="BK258" s="6"/>
      <c r="BL258" s="6" t="str">
        <f>IFERROR(__xludf.DUMMYFUNCTION("""COMPUTED_VALUE"""),"GISESP0001")</f>
        <v>GISESP0001</v>
      </c>
      <c r="BM258" s="6"/>
      <c r="BN258" s="6"/>
      <c r="BO258" s="6"/>
      <c r="BP258" s="6"/>
      <c r="BQ258" s="6"/>
      <c r="BR258" s="6" t="str">
        <f>IFERROR(__xludf.DUMMYFUNCTION("""COMPUTED_VALUE"""),"XC_EL_DesaInstrumental")</f>
        <v>XC_EL_DesaInstrumental</v>
      </c>
      <c r="BS258" s="6"/>
      <c r="BT258" s="6"/>
      <c r="BU258" s="6" t="str">
        <f>IFERROR(__xludf.DUMMYFUNCTION("""COMPUTED_VALUE"""),"SI")</f>
        <v>SI</v>
      </c>
      <c r="BV258" s="6" t="str">
        <f>IFERROR(__xludf.DUMMYFUNCTION("""COMPUTED_VALUE"""),"franco.e2037")</f>
        <v>franco.e2037</v>
      </c>
      <c r="BW258" s="6"/>
      <c r="BX258" s="6"/>
      <c r="BY258" s="6"/>
      <c r="BZ258" s="6"/>
    </row>
    <row r="259">
      <c r="A259" s="12">
        <f>IFERROR(__xludf.DUMMYFUNCTION("""COMPUTED_VALUE"""),1.092862418E9)</f>
        <v>1092862418</v>
      </c>
      <c r="B259" s="6">
        <f>IFERROR(__xludf.DUMMYFUNCTION("""COMPUTED_VALUE"""),8.0)</f>
        <v>8</v>
      </c>
      <c r="C259" s="6" t="str">
        <f>IFERROR(__xludf.DUMMYFUNCTION("""COMPUTED_VALUE"""),"Salvador")</f>
        <v>Salvador</v>
      </c>
      <c r="D259" s="6"/>
      <c r="E259" s="6" t="str">
        <f>IFERROR(__xludf.DUMMYFUNCTION("""COMPUTED_VALUE"""),"Gómez Arbeláez")</f>
        <v>Gómez Arbeláez</v>
      </c>
      <c r="F259" s="6" t="str">
        <f>IFERROR(__xludf.DUMMYFUNCTION("""COMPUTED_VALUE"""),"Apartamentos Terra Torre 1 Apto 1501 - Cra 10 No11Nte - 05 La Castellana")</f>
        <v>Apartamentos Terra Torre 1 Apto 1501 - Cra 10 No11Nte - 05 La Castellana</v>
      </c>
      <c r="G259" s="12" t="str">
        <f>IFERROR(__xludf.DUMMYFUNCTION("""COMPUTED_VALUE"""),"2018")</f>
        <v>2018</v>
      </c>
      <c r="H259" s="6" t="str">
        <f>IFERROR(__xludf.DUMMYFUNCTION("""COMPUTED_VALUE"""),"Octubre")</f>
        <v>Octubre</v>
      </c>
      <c r="I259" s="12" t="str">
        <f>IFERROR(__xludf.DUMMYFUNCTION("""COMPUTED_VALUE"""),"14")</f>
        <v>14</v>
      </c>
      <c r="J259" s="6" t="str">
        <f>IFERROR(__xludf.DUMMYFUNCTION("""COMPUTED_VALUE"""),"Armenia")</f>
        <v>Armenia</v>
      </c>
      <c r="K259" s="6" t="str">
        <f>IFERROR(__xludf.DUMMYFUNCTION("""COMPUTED_VALUE"""),"salvador.g2037@gi.edu.co")</f>
        <v>salvador.g2037@gi.edu.co</v>
      </c>
      <c r="L259" s="6" t="str">
        <f>IFERROR(__xludf.DUMMYFUNCTION("""COMPUTED_VALUE"""),"RC")</f>
        <v>RC</v>
      </c>
      <c r="M259" s="6" t="str">
        <f>IFERROR(__xludf.DUMMYFUNCTION("""COMPUTED_VALUE"""),"Armenia")</f>
        <v>Armenia</v>
      </c>
      <c r="N259" s="6" t="str">
        <f>IFERROR(__xludf.DUMMYFUNCTION("""COMPUTED_VALUE"""),"M")</f>
        <v>M</v>
      </c>
      <c r="O259" s="6" t="str">
        <f>IFERROR(__xludf.DUMMYFUNCTION("""COMPUTED_VALUE"""),"ACTIVE")</f>
        <v>ACTIVE</v>
      </c>
      <c r="P259" s="6"/>
      <c r="Q259" s="6" t="str">
        <f>IFERROR(__xludf.DUMMYFUNCTION("""COMPUTED_VALUE"""),"Armenia")</f>
        <v>Armenia</v>
      </c>
      <c r="R259" s="12" t="str">
        <f>IFERROR(__xludf.DUMMYFUNCTION("""COMPUTED_VALUE"""),"Giu29se*")</f>
        <v>Giu29se*</v>
      </c>
      <c r="S259" s="6" t="str">
        <f>IFERROR(__xludf.DUMMYFUNCTION("""COMPUTED_VALUE"""),"Gómez Arbeláez Salvador ")</f>
        <v>Gómez Arbeláez Salvador </v>
      </c>
      <c r="T259" s="6" t="str">
        <f>IFERROR(__xludf.DUMMYFUNCTION("""COMPUTED_VALUE"""),"JUAN SEBASTIAN GÓMEZ CARRILLO")</f>
        <v>JUAN SEBASTIAN GÓMEZ CARRILLO</v>
      </c>
      <c r="U259" s="12" t="str">
        <f>IFERROR(__xludf.DUMMYFUNCTION("""COMPUTED_VALUE"""),"1094917237")</f>
        <v>1094917237</v>
      </c>
      <c r="V259" s="6">
        <f>IFERROR(__xludf.DUMMYFUNCTION("""COMPUTED_VALUE"""),3.125147868E9)</f>
        <v>3125147868</v>
      </c>
      <c r="W259" s="6" t="str">
        <f>IFERROR(__xludf.DUMMYFUNCTION("""COMPUTED_VALUE"""),"sebastiangomez010191@hotmail.com")</f>
        <v>sebastiangomez010191@hotmail.com</v>
      </c>
      <c r="X259" s="12" t="str">
        <f>IFERROR(__xludf.DUMMYFUNCTION("""COMPUTED_VALUE"""),"O+")</f>
        <v>O+</v>
      </c>
      <c r="Y259" s="12" t="str">
        <f>IFERROR(__xludf.DUMMYFUNCTION("""COMPUTED_VALUE"""),"2")</f>
        <v>2</v>
      </c>
      <c r="Z259" s="12">
        <f>IFERROR(__xludf.DUMMYFUNCTION("""COMPUTED_VALUE"""),120270.0)</f>
        <v>120270</v>
      </c>
      <c r="AA259" s="6" t="str">
        <f>IFERROR(__xludf.DUMMYFUNCTION("""COMPUTED_VALUE"""),"SANITAS")</f>
        <v>SANITAS</v>
      </c>
      <c r="AB259" s="6"/>
      <c r="AC259" s="12" t="str">
        <f>IFERROR(__xludf.DUMMYFUNCTION("""COMPUTED_VALUE"""),"acaros")</f>
        <v>acaros</v>
      </c>
      <c r="AD259" s="12" t="str">
        <f>IFERROR(__xludf.DUMMYFUNCTION("""COMPUTED_VALUE"""),"2B")</f>
        <v>2B</v>
      </c>
      <c r="AE259" s="12">
        <f>IFERROR(__xludf.DUMMYFUNCTION("""COMPUTED_VALUE"""),1.345282283E9)</f>
        <v>1345282283</v>
      </c>
      <c r="AF259" s="12" t="str">
        <f>IFERROR(__xludf.DUMMYFUNCTION("""COMPUTED_VALUE"""),"1345282283")</f>
        <v>1345282283</v>
      </c>
      <c r="AG259" s="12" t="str">
        <f>IFERROR(__xludf.DUMMYFUNCTION("""COMPUTED_VALUE"""),"Manuela")</f>
        <v>Manuela</v>
      </c>
      <c r="AH259" s="6"/>
      <c r="AI259" s="6" t="str">
        <f>IFERROR(__xludf.DUMMYFUNCTION("""COMPUTED_VALUE"""),"Arbeláez Cardona")</f>
        <v>Arbeláez Cardona</v>
      </c>
      <c r="AJ259" s="6" t="str">
        <f>IFERROR(__xludf.DUMMYFUNCTION("""COMPUTED_VALUE"""),"manuelaar.cardona@gmail.com")</f>
        <v>manuelaar.cardona@gmail.com</v>
      </c>
      <c r="AK259" s="6" t="str">
        <f>IFERROR(__xludf.DUMMYFUNCTION("""COMPUTED_VALUE"""),"ABOGADA")</f>
        <v>ABOGADA</v>
      </c>
      <c r="AL259" s="6" t="str">
        <f>IFERROR(__xludf.DUMMYFUNCTION("""COMPUTED_VALUE"""),"ER &amp; ED INVERSIONES S.A.S.")</f>
        <v>ER &amp; ED INVERSIONES S.A.S.</v>
      </c>
      <c r="AM259" s="12" t="str">
        <f>IFERROR(__xludf.DUMMYFUNCTION("""COMPUTED_VALUE"""),"1094949824")</f>
        <v>1094949824</v>
      </c>
      <c r="AN259" s="12" t="str">
        <f>IFERROR(__xludf.DUMMYFUNCTION("""COMPUTED_VALUE"""),"3113017300")</f>
        <v>3113017300</v>
      </c>
      <c r="AO259" s="6" t="str">
        <f>IFERROR(__xludf.DUMMYFUNCTION("""COMPUTED_VALUE"""),"Madre")</f>
        <v>Madre</v>
      </c>
      <c r="AP259" s="6" t="str">
        <f>IFERROR(__xludf.DUMMYFUNCTION("""COMPUTED_VALUE"""),"Estudiante(s): Gómez Arbeláez")</f>
        <v>Estudiante(s): Gómez Arbeláez</v>
      </c>
      <c r="AQ259" s="6" t="str">
        <f>IFERROR(__xludf.DUMMYFUNCTION("""COMPUTED_VALUE"""),"120270Gi*")</f>
        <v>120270Gi*</v>
      </c>
      <c r="AR259" s="6" t="str">
        <f>IFERROR(__xludf.DUMMYFUNCTION("""COMPUTED_VALUE"""),"Juan")</f>
        <v>Juan</v>
      </c>
      <c r="AS259" s="6" t="str">
        <f>IFERROR(__xludf.DUMMYFUNCTION("""COMPUTED_VALUE"""),"Sebastián")</f>
        <v>Sebastián</v>
      </c>
      <c r="AT259" s="6" t="str">
        <f>IFERROR(__xludf.DUMMYFUNCTION("""COMPUTED_VALUE"""),"Gómez Carrillo")</f>
        <v>Gómez Carrillo</v>
      </c>
      <c r="AU259" s="6" t="str">
        <f>IFERROR(__xludf.DUMMYFUNCTION("""COMPUTED_VALUE"""),"sebastiangomez010191@hotmail.com")</f>
        <v>sebastiangomez010191@hotmail.com</v>
      </c>
      <c r="AV259" s="6" t="str">
        <f>IFERROR(__xludf.DUMMYFUNCTION("""COMPUTED_VALUE"""),"COMERCIANTE")</f>
        <v>COMERCIANTE</v>
      </c>
      <c r="AW259" s="6" t="str">
        <f>IFERROR(__xludf.DUMMYFUNCTION("""COMPUTED_VALUE"""),"PROQUIM")</f>
        <v>PROQUIM</v>
      </c>
      <c r="AX259" s="12" t="str">
        <f>IFERROR(__xludf.DUMMYFUNCTION("""COMPUTED_VALUE"""),"1094917237")</f>
        <v>1094917237</v>
      </c>
      <c r="AY259" s="12" t="str">
        <f>IFERROR(__xludf.DUMMYFUNCTION("""COMPUTED_VALUE"""),"3125147868")</f>
        <v>3125147868</v>
      </c>
      <c r="AZ259" s="6" t="str">
        <f>IFERROR(__xludf.DUMMYFUNCTION("""COMPUTED_VALUE"""),"Padre")</f>
        <v>Padre</v>
      </c>
      <c r="BA259" s="6"/>
      <c r="BB259" s="6"/>
      <c r="BC259" s="6"/>
      <c r="BD259" s="12" t="str">
        <f>IFERROR(__xludf.DUMMYFUNCTION("""COMPUTED_VALUE"""),"gom0009")</f>
        <v>gom0009</v>
      </c>
      <c r="BE259" s="6"/>
      <c r="BF259" s="6"/>
      <c r="BG259" s="6">
        <f>IFERROR(__xludf.DUMMYFUNCTION("""COMPUTED_VALUE"""),2037.0)</f>
        <v>2037</v>
      </c>
      <c r="BH259" s="15">
        <f>IFERROR(__xludf.DUMMYFUNCTION("""COMPUTED_VALUE"""),46252.43582175926)</f>
        <v>46252.43582</v>
      </c>
      <c r="BI259" s="6">
        <f>IFERROR(__xludf.DUMMYFUNCTION("""COMPUTED_VALUE"""),258.0)</f>
        <v>258</v>
      </c>
      <c r="BJ259" s="6"/>
      <c r="BK259" s="6" t="str">
        <f>IFERROR(__xludf.DUMMYFUNCTION("""COMPUTED_VALUE"""),"Si: fexofenadina")</f>
        <v>Si: fexofenadina</v>
      </c>
      <c r="BL259" s="6" t="str">
        <f>IFERROR(__xludf.DUMMYFUNCTION("""COMPUTED_VALUE"""),"GISGOM0009")</f>
        <v>GISGOM0009</v>
      </c>
      <c r="BM259" s="6"/>
      <c r="BN259" s="6"/>
      <c r="BO259" s="6"/>
      <c r="BP259" s="6" t="str">
        <f>IFERROR(__xludf.DUMMYFUNCTION("""COMPUTED_VALUE"""),"XC_23_Futbol_M")</f>
        <v>XC_23_Futbol_M</v>
      </c>
      <c r="BQ259" s="6"/>
      <c r="BR259" s="6"/>
      <c r="BS259" s="6" t="str">
        <f>IFERROR(__xludf.DUMMYFUNCTION("""COMPUTED_VALUE"""),"XC_23_Futbol_M")</f>
        <v>XC_23_Futbol_M</v>
      </c>
      <c r="BT259" s="6" t="str">
        <f>IFERROR(__xludf.DUMMYFUNCTION("""COMPUTED_VALUE"""),"XC_23_Futbol_M")</f>
        <v>XC_23_Futbol_M</v>
      </c>
      <c r="BU259" s="6" t="str">
        <f>IFERROR(__xludf.DUMMYFUNCTION("""COMPUTED_VALUE"""),"SI")</f>
        <v>SI</v>
      </c>
      <c r="BV259" s="6" t="str">
        <f>IFERROR(__xludf.DUMMYFUNCTION("""COMPUTED_VALUE"""),"salvador.g2037")</f>
        <v>salvador.g2037</v>
      </c>
      <c r="BW259" s="6"/>
      <c r="BX259" s="6"/>
      <c r="BY259" s="6"/>
      <c r="BZ259" s="6"/>
    </row>
    <row r="260">
      <c r="A260" s="12">
        <f>IFERROR(__xludf.DUMMYFUNCTION("""COMPUTED_VALUE"""),1.014901427E9)</f>
        <v>1014901427</v>
      </c>
      <c r="B260" s="6">
        <f>IFERROR(__xludf.DUMMYFUNCTION("""COMPUTED_VALUE"""),9.0)</f>
        <v>9</v>
      </c>
      <c r="C260" s="6" t="str">
        <f>IFERROR(__xludf.DUMMYFUNCTION("""COMPUTED_VALUE"""),"Sofía")</f>
        <v>Sofía</v>
      </c>
      <c r="D260" s="6"/>
      <c r="E260" s="6" t="str">
        <f>IFERROR(__xludf.DUMMYFUNCTION("""COMPUTED_VALUE"""),"Hoyos Arrastía")</f>
        <v>Hoyos Arrastía</v>
      </c>
      <c r="F260" s="6" t="str">
        <f>IFERROR(__xludf.DUMMYFUNCTION("""COMPUTED_VALUE"""),"Lagos de Iraka Casa 140 - Km 7 Via Armenia - El Caimo")</f>
        <v>Lagos de Iraka Casa 140 - Km 7 Via Armenia - El Caimo</v>
      </c>
      <c r="G260" s="12" t="str">
        <f>IFERROR(__xludf.DUMMYFUNCTION("""COMPUTED_VALUE"""),"2019")</f>
        <v>2019</v>
      </c>
      <c r="H260" s="6" t="str">
        <f>IFERROR(__xludf.DUMMYFUNCTION("""COMPUTED_VALUE"""),"Agosto")</f>
        <v>Agosto</v>
      </c>
      <c r="I260" s="12" t="str">
        <f>IFERROR(__xludf.DUMMYFUNCTION("""COMPUTED_VALUE"""),"2")</f>
        <v>2</v>
      </c>
      <c r="J260" s="6" t="str">
        <f>IFERROR(__xludf.DUMMYFUNCTION("""COMPUTED_VALUE"""),"Armenia")</f>
        <v>Armenia</v>
      </c>
      <c r="K260" s="6" t="str">
        <f>IFERROR(__xludf.DUMMYFUNCTION("""COMPUTED_VALUE"""),"sofia.h2037@gi.edu.co")</f>
        <v>sofia.h2037@gi.edu.co</v>
      </c>
      <c r="L260" s="6" t="str">
        <f>IFERROR(__xludf.DUMMYFUNCTION("""COMPUTED_VALUE"""),"RC")</f>
        <v>RC</v>
      </c>
      <c r="M260" s="6" t="str">
        <f>IFERROR(__xludf.DUMMYFUNCTION("""COMPUTED_VALUE"""),"Bogotá D.C.")</f>
        <v>Bogotá D.C.</v>
      </c>
      <c r="N260" s="6" t="str">
        <f>IFERROR(__xludf.DUMMYFUNCTION("""COMPUTED_VALUE"""),"F")</f>
        <v>F</v>
      </c>
      <c r="O260" s="6" t="str">
        <f>IFERROR(__xludf.DUMMYFUNCTION("""COMPUTED_VALUE"""),"ACTIVE")</f>
        <v>ACTIVE</v>
      </c>
      <c r="P260" s="6"/>
      <c r="Q260" s="6" t="str">
        <f>IFERROR(__xludf.DUMMYFUNCTION("""COMPUTED_VALUE"""),"Armenia")</f>
        <v>Armenia</v>
      </c>
      <c r="R260" s="12" t="str">
        <f>IFERROR(__xludf.DUMMYFUNCTION("""COMPUTED_VALUE"""),"GixWQ9xf*")</f>
        <v>GixWQ9xf*</v>
      </c>
      <c r="S260" s="6" t="str">
        <f>IFERROR(__xludf.DUMMYFUNCTION("""COMPUTED_VALUE"""),"Hoyos Arrastía Sofía ")</f>
        <v>Hoyos Arrastía Sofía </v>
      </c>
      <c r="T260" s="6" t="str">
        <f>IFERROR(__xludf.DUMMYFUNCTION("""COMPUTED_VALUE"""),"DANIEL HOYOS ZULUAGA")</f>
        <v>DANIEL HOYOS ZULUAGA</v>
      </c>
      <c r="U260" s="12" t="str">
        <f>IFERROR(__xludf.DUMMYFUNCTION("""COMPUTED_VALUE"""),"80196506")</f>
        <v>80196506</v>
      </c>
      <c r="V260" s="6">
        <f>IFERROR(__xludf.DUMMYFUNCTION("""COMPUTED_VALUE"""),3.102529561E9)</f>
        <v>3102529561</v>
      </c>
      <c r="W260" s="6" t="str">
        <f>IFERROR(__xludf.DUMMYFUNCTION("""COMPUTED_VALUE"""),"hoyosdaniel5@gmail.com")</f>
        <v>hoyosdaniel5@gmail.com</v>
      </c>
      <c r="X260" s="12" t="str">
        <f>IFERROR(__xludf.DUMMYFUNCTION("""COMPUTED_VALUE"""),"A+")</f>
        <v>A+</v>
      </c>
      <c r="Y260" s="12" t="str">
        <f>IFERROR(__xludf.DUMMYFUNCTION("""COMPUTED_VALUE"""),"2")</f>
        <v>2</v>
      </c>
      <c r="Z260" s="12">
        <f>IFERROR(__xludf.DUMMYFUNCTION("""COMPUTED_VALUE"""),120119.0)</f>
        <v>120119</v>
      </c>
      <c r="AA260" s="6" t="str">
        <f>IFERROR(__xludf.DUMMYFUNCTION("""COMPUTED_VALUE"""),"COLMEDICA")</f>
        <v>COLMEDICA</v>
      </c>
      <c r="AB260" s="6"/>
      <c r="AC260" s="6"/>
      <c r="AD260" s="12" t="str">
        <f>IFERROR(__xludf.DUMMYFUNCTION("""COMPUTED_VALUE"""),"2B")</f>
        <v>2B</v>
      </c>
      <c r="AE260" s="12">
        <f>IFERROR(__xludf.DUMMYFUNCTION("""COMPUTED_VALUE"""),1.345282165E9)</f>
        <v>1345282165</v>
      </c>
      <c r="AF260" s="12" t="str">
        <f>IFERROR(__xludf.DUMMYFUNCTION("""COMPUTED_VALUE"""),"2818264167")</f>
        <v>2818264167</v>
      </c>
      <c r="AG260" s="12" t="str">
        <f>IFERROR(__xludf.DUMMYFUNCTION("""COMPUTED_VALUE"""),"Juana")</f>
        <v>Juana</v>
      </c>
      <c r="AH260" s="6"/>
      <c r="AI260" s="6" t="str">
        <f>IFERROR(__xludf.DUMMYFUNCTION("""COMPUTED_VALUE"""),"Arrastía Calderón")</f>
        <v>Arrastía Calderón</v>
      </c>
      <c r="AJ260" s="6" t="str">
        <f>IFERROR(__xludf.DUMMYFUNCTION("""COMPUTED_VALUE"""),"juana.arrastia@gmail.com")</f>
        <v>juana.arrastia@gmail.com</v>
      </c>
      <c r="AK260" s="6" t="str">
        <f>IFERROR(__xludf.DUMMYFUNCTION("""COMPUTED_VALUE"""),"Administradora")</f>
        <v>Administradora</v>
      </c>
      <c r="AL260" s="6"/>
      <c r="AM260" s="12" t="str">
        <f>IFERROR(__xludf.DUMMYFUNCTION("""COMPUTED_VALUE"""),"1020740958")</f>
        <v>1020740958</v>
      </c>
      <c r="AN260" s="12" t="str">
        <f>IFERROR(__xludf.DUMMYFUNCTION("""COMPUTED_VALUE"""),"3107906687")</f>
        <v>3107906687</v>
      </c>
      <c r="AO260" s="6" t="str">
        <f>IFERROR(__xludf.DUMMYFUNCTION("""COMPUTED_VALUE"""),"Madre")</f>
        <v>Madre</v>
      </c>
      <c r="AP260" s="6" t="str">
        <f>IFERROR(__xludf.DUMMYFUNCTION("""COMPUTED_VALUE"""),"Estudiante(s): Hoyos Arrastía")</f>
        <v>Estudiante(s): Hoyos Arrastía</v>
      </c>
      <c r="AQ260" s="6" t="str">
        <f>IFERROR(__xludf.DUMMYFUNCTION("""COMPUTED_VALUE"""),"120119*Gi")</f>
        <v>120119*Gi</v>
      </c>
      <c r="AR260" s="6" t="str">
        <f>IFERROR(__xludf.DUMMYFUNCTION("""COMPUTED_VALUE"""),"Daniel")</f>
        <v>Daniel</v>
      </c>
      <c r="AS260" s="6"/>
      <c r="AT260" s="6" t="str">
        <f>IFERROR(__xludf.DUMMYFUNCTION("""COMPUTED_VALUE"""),"Hoyos Zuluaga")</f>
        <v>Hoyos Zuluaga</v>
      </c>
      <c r="AU260" s="6" t="str">
        <f>IFERROR(__xludf.DUMMYFUNCTION("""COMPUTED_VALUE"""),"hoyosdaniel5@gmail.com")</f>
        <v>hoyosdaniel5@gmail.com</v>
      </c>
      <c r="AV260" s="6" t="str">
        <f>IFERROR(__xludf.DUMMYFUNCTION("""COMPUTED_VALUE"""),"Economista")</f>
        <v>Economista</v>
      </c>
      <c r="AW260" s="6"/>
      <c r="AX260" s="12" t="str">
        <f>IFERROR(__xludf.DUMMYFUNCTION("""COMPUTED_VALUE"""),"80196506")</f>
        <v>80196506</v>
      </c>
      <c r="AY260" s="12" t="str">
        <f>IFERROR(__xludf.DUMMYFUNCTION("""COMPUTED_VALUE"""),"3102529561")</f>
        <v>3102529561</v>
      </c>
      <c r="AZ260" s="6" t="str">
        <f>IFERROR(__xludf.DUMMYFUNCTION("""COMPUTED_VALUE"""),"Padre")</f>
        <v>Padre</v>
      </c>
      <c r="BA260" s="6"/>
      <c r="BB260" s="6"/>
      <c r="BC260" s="6"/>
      <c r="BD260" s="12" t="str">
        <f>IFERROR(__xludf.DUMMYFUNCTION("""COMPUTED_VALUE"""),"hoy0002")</f>
        <v>hoy0002</v>
      </c>
      <c r="BE260" s="6"/>
      <c r="BF260" s="6"/>
      <c r="BG260" s="6">
        <f>IFERROR(__xludf.DUMMYFUNCTION("""COMPUTED_VALUE"""),2037.0)</f>
        <v>2037</v>
      </c>
      <c r="BH260" s="15">
        <f>IFERROR(__xludf.DUMMYFUNCTION("""COMPUTED_VALUE"""),46211.682604166665)</f>
        <v>46211.6826</v>
      </c>
      <c r="BI260" s="6">
        <f>IFERROR(__xludf.DUMMYFUNCTION("""COMPUTED_VALUE"""),259.0)</f>
        <v>259</v>
      </c>
      <c r="BJ260" s="6"/>
      <c r="BK260" s="6"/>
      <c r="BL260" s="6" t="str">
        <f>IFERROR(__xludf.DUMMYFUNCTION("""COMPUTED_VALUE"""),"GISHOY0002")</f>
        <v>GISHOY0002</v>
      </c>
      <c r="BM260" s="6"/>
      <c r="BN260" s="6"/>
      <c r="BO260" s="6"/>
      <c r="BP260" s="6" t="str">
        <f>IFERROR(__xludf.DUMMYFUNCTION("""COMPUTED_VALUE"""),"XC_EL_Porras")</f>
        <v>XC_EL_Porras</v>
      </c>
      <c r="BQ260" s="6" t="str">
        <f>IFERROR(__xludf.DUMMYFUNCTION("""COMPUTED_VALUE"""),"XC_EL_Porras")</f>
        <v>XC_EL_Porras</v>
      </c>
      <c r="BR260" s="6"/>
      <c r="BS260" s="6" t="str">
        <f>IFERROR(__xludf.DUMMYFUNCTION("""COMPUTED_VALUE"""),"XC_EL_Porras")</f>
        <v>XC_EL_Porras</v>
      </c>
      <c r="BT260" s="6"/>
      <c r="BU260" s="6" t="str">
        <f>IFERROR(__xludf.DUMMYFUNCTION("""COMPUTED_VALUE"""),"SI")</f>
        <v>SI</v>
      </c>
      <c r="BV260" s="6" t="str">
        <f>IFERROR(__xludf.DUMMYFUNCTION("""COMPUTED_VALUE"""),"sofia.h2037")</f>
        <v>sofia.h2037</v>
      </c>
      <c r="BW260" s="6"/>
      <c r="BX260" s="6"/>
      <c r="BY260" s="6"/>
      <c r="BZ260" s="6"/>
    </row>
    <row r="261">
      <c r="A261" s="12">
        <f>IFERROR(__xludf.DUMMYFUNCTION("""COMPUTED_VALUE"""),1.019918218E9)</f>
        <v>1019918218</v>
      </c>
      <c r="B261" s="6">
        <f>IFERROR(__xludf.DUMMYFUNCTION("""COMPUTED_VALUE"""),10.0)</f>
        <v>10</v>
      </c>
      <c r="C261" s="6" t="str">
        <f>IFERROR(__xludf.DUMMYFUNCTION("""COMPUTED_VALUE"""),"María")</f>
        <v>María</v>
      </c>
      <c r="D261" s="6" t="str">
        <f>IFERROR(__xludf.DUMMYFUNCTION("""COMPUTED_VALUE"""),"Antonia")</f>
        <v>Antonia</v>
      </c>
      <c r="E261" s="6" t="str">
        <f>IFERROR(__xludf.DUMMYFUNCTION("""COMPUTED_VALUE"""),"Jiménez Montoya")</f>
        <v>Jiménez Montoya</v>
      </c>
      <c r="F261" s="6" t="str">
        <f>IFERROR(__xludf.DUMMYFUNCTION("""COMPUTED_VALUE"""),"Condominio Hacienda Horizontes Casa 49 - Km 3 Via Circasia Vereda la Florida")</f>
        <v>Condominio Hacienda Horizontes Casa 49 - Km 3 Via Circasia Vereda la Florida</v>
      </c>
      <c r="G261" s="12" t="str">
        <f>IFERROR(__xludf.DUMMYFUNCTION("""COMPUTED_VALUE"""),"2019")</f>
        <v>2019</v>
      </c>
      <c r="H261" s="6" t="str">
        <f>IFERROR(__xludf.DUMMYFUNCTION("""COMPUTED_VALUE"""),"Abril")</f>
        <v>Abril</v>
      </c>
      <c r="I261" s="12" t="str">
        <f>IFERROR(__xludf.DUMMYFUNCTION("""COMPUTED_VALUE"""),"15")</f>
        <v>15</v>
      </c>
      <c r="J261" s="6" t="str">
        <f>IFERROR(__xludf.DUMMYFUNCTION("""COMPUTED_VALUE"""),"Bogotá D.C.")</f>
        <v>Bogotá D.C.</v>
      </c>
      <c r="K261" s="6" t="str">
        <f>IFERROR(__xludf.DUMMYFUNCTION("""COMPUTED_VALUE"""),"maria.j2037@gi.edu.co")</f>
        <v>maria.j2037@gi.edu.co</v>
      </c>
      <c r="L261" s="6" t="str">
        <f>IFERROR(__xludf.DUMMYFUNCTION("""COMPUTED_VALUE"""),"TI")</f>
        <v>TI</v>
      </c>
      <c r="M261" s="6" t="str">
        <f>IFERROR(__xludf.DUMMYFUNCTION("""COMPUTED_VALUE"""),"Bogotá D.C.")</f>
        <v>Bogotá D.C.</v>
      </c>
      <c r="N261" s="6" t="str">
        <f>IFERROR(__xludf.DUMMYFUNCTION("""COMPUTED_VALUE"""),"F")</f>
        <v>F</v>
      </c>
      <c r="O261" s="6" t="str">
        <f>IFERROR(__xludf.DUMMYFUNCTION("""COMPUTED_VALUE"""),"ACTIVE")</f>
        <v>ACTIVE</v>
      </c>
      <c r="P261" s="6"/>
      <c r="Q261" s="6" t="str">
        <f>IFERROR(__xludf.DUMMYFUNCTION("""COMPUTED_VALUE"""),"Circasia")</f>
        <v>Circasia</v>
      </c>
      <c r="R261" s="12" t="str">
        <f>IFERROR(__xludf.DUMMYFUNCTION("""COMPUTED_VALUE"""),"Gid54NTf*")</f>
        <v>Gid54NTf*</v>
      </c>
      <c r="S261" s="6" t="str">
        <f>IFERROR(__xludf.DUMMYFUNCTION("""COMPUTED_VALUE"""),"Jiménez Montoya María Antonia")</f>
        <v>Jiménez Montoya María Antonia</v>
      </c>
      <c r="T261" s="6" t="str">
        <f>IFERROR(__xludf.DUMMYFUNCTION("""COMPUTED_VALUE"""),"LUIS FELIPE JIMÉNEZ CEBALLOS")</f>
        <v>LUIS FELIPE JIMÉNEZ CEBALLOS</v>
      </c>
      <c r="U261" s="12" t="str">
        <f>IFERROR(__xludf.DUMMYFUNCTION("""COMPUTED_VALUE"""),"1094891605")</f>
        <v>1094891605</v>
      </c>
      <c r="V261" s="6">
        <f>IFERROR(__xludf.DUMMYFUNCTION("""COMPUTED_VALUE"""),3.152008699E9)</f>
        <v>3152008699</v>
      </c>
      <c r="W261" s="6" t="str">
        <f>IFERROR(__xludf.DUMMYFUNCTION("""COMPUTED_VALUE"""),"familiajimenezmontoya@gmail.com")</f>
        <v>familiajimenezmontoya@gmail.com</v>
      </c>
      <c r="X261" s="12" t="str">
        <f>IFERROR(__xludf.DUMMYFUNCTION("""COMPUTED_VALUE"""),"O+")</f>
        <v>O+</v>
      </c>
      <c r="Y261" s="12" t="str">
        <f>IFERROR(__xludf.DUMMYFUNCTION("""COMPUTED_VALUE"""),"2")</f>
        <v>2</v>
      </c>
      <c r="Z261" s="12">
        <f>IFERROR(__xludf.DUMMYFUNCTION("""COMPUTED_VALUE"""),120120.0)</f>
        <v>120120</v>
      </c>
      <c r="AA261" s="6" t="str">
        <f>IFERROR(__xludf.DUMMYFUNCTION("""COMPUTED_VALUE"""),"SURA")</f>
        <v>SURA</v>
      </c>
      <c r="AB261" s="6"/>
      <c r="AC261" s="6"/>
      <c r="AD261" s="12" t="str">
        <f>IFERROR(__xludf.DUMMYFUNCTION("""COMPUTED_VALUE"""),"2B")</f>
        <v>2B</v>
      </c>
      <c r="AE261" s="12">
        <f>IFERROR(__xludf.DUMMYFUNCTION("""COMPUTED_VALUE"""),1.345282162E9)</f>
        <v>1345282162</v>
      </c>
      <c r="AF261" s="12" t="str">
        <f>IFERROR(__xludf.DUMMYFUNCTION("""COMPUTED_VALUE"""),"2003591578")</f>
        <v>2003591578</v>
      </c>
      <c r="AG261" s="12" t="str">
        <f>IFERROR(__xludf.DUMMYFUNCTION("""COMPUTED_VALUE"""),"Paula")</f>
        <v>Paula</v>
      </c>
      <c r="AH261" s="12" t="str">
        <f>IFERROR(__xludf.DUMMYFUNCTION("""COMPUTED_VALUE"""),"Andrea")</f>
        <v>Andrea</v>
      </c>
      <c r="AI261" s="6" t="str">
        <f>IFERROR(__xludf.DUMMYFUNCTION("""COMPUTED_VALUE"""),"Montoya Macias")</f>
        <v>Montoya Macias</v>
      </c>
      <c r="AJ261" s="6" t="str">
        <f>IFERROR(__xludf.DUMMYFUNCTION("""COMPUTED_VALUE"""),"familiajimenezmontoya@gmail.com")</f>
        <v>familiajimenezmontoya@gmail.com</v>
      </c>
      <c r="AK261" s="6" t="str">
        <f>IFERROR(__xludf.DUMMYFUNCTION("""COMPUTED_VALUE"""),"Ing. Ambiental")</f>
        <v>Ing. Ambiental</v>
      </c>
      <c r="AL261" s="6" t="str">
        <f>IFERROR(__xludf.DUMMYFUNCTION("""COMPUTED_VALUE"""),"INGETEC SAS")</f>
        <v>INGETEC SAS</v>
      </c>
      <c r="AM261" s="12" t="str">
        <f>IFERROR(__xludf.DUMMYFUNCTION("""COMPUTED_VALUE"""),"1020713836")</f>
        <v>1020713836</v>
      </c>
      <c r="AN261" s="12" t="str">
        <f>IFERROR(__xludf.DUMMYFUNCTION("""COMPUTED_VALUE"""),"3152009668")</f>
        <v>3152009668</v>
      </c>
      <c r="AO261" s="6" t="str">
        <f>IFERROR(__xludf.DUMMYFUNCTION("""COMPUTED_VALUE"""),"Madre")</f>
        <v>Madre</v>
      </c>
      <c r="AP261" s="6" t="str">
        <f>IFERROR(__xludf.DUMMYFUNCTION("""COMPUTED_VALUE"""),"Estudiante(s): Jiménez Montoya")</f>
        <v>Estudiante(s): Jiménez Montoya</v>
      </c>
      <c r="AQ261" s="6" t="str">
        <f>IFERROR(__xludf.DUMMYFUNCTION("""COMPUTED_VALUE"""),"120120*Gi")</f>
        <v>120120*Gi</v>
      </c>
      <c r="AR261" s="6" t="str">
        <f>IFERROR(__xludf.DUMMYFUNCTION("""COMPUTED_VALUE"""),"Luis")</f>
        <v>Luis</v>
      </c>
      <c r="AS261" s="6" t="str">
        <f>IFERROR(__xludf.DUMMYFUNCTION("""COMPUTED_VALUE"""),"Felipe")</f>
        <v>Felipe</v>
      </c>
      <c r="AT261" s="6" t="str">
        <f>IFERROR(__xludf.DUMMYFUNCTION("""COMPUTED_VALUE"""),"Jiménez Ceballos")</f>
        <v>Jiménez Ceballos</v>
      </c>
      <c r="AU261" s="6" t="str">
        <f>IFERROR(__xludf.DUMMYFUNCTION("""COMPUTED_VALUE"""),"familiajimenezmontoya@gmail.com")</f>
        <v>familiajimenezmontoya@gmail.com</v>
      </c>
      <c r="AV261" s="6" t="str">
        <f>IFERROR(__xludf.DUMMYFUNCTION("""COMPUTED_VALUE"""),"Ing. Civil")</f>
        <v>Ing. Civil</v>
      </c>
      <c r="AW261" s="6" t="str">
        <f>IFERROR(__xludf.DUMMYFUNCTION("""COMPUTED_VALUE"""),"Henkel")</f>
        <v>Henkel</v>
      </c>
      <c r="AX261" s="12" t="str">
        <f>IFERROR(__xludf.DUMMYFUNCTION("""COMPUTED_VALUE"""),"1094891605")</f>
        <v>1094891605</v>
      </c>
      <c r="AY261" s="12" t="str">
        <f>IFERROR(__xludf.DUMMYFUNCTION("""COMPUTED_VALUE"""),"3152008699")</f>
        <v>3152008699</v>
      </c>
      <c r="AZ261" s="6" t="str">
        <f>IFERROR(__xludf.DUMMYFUNCTION("""COMPUTED_VALUE"""),"Padre")</f>
        <v>Padre</v>
      </c>
      <c r="BA261" s="6"/>
      <c r="BB261" s="6"/>
      <c r="BC261" s="6"/>
      <c r="BD261" s="12" t="str">
        <f>IFERROR(__xludf.DUMMYFUNCTION("""COMPUTED_VALUE"""),"jim0007")</f>
        <v>jim0007</v>
      </c>
      <c r="BE261" s="6"/>
      <c r="BF261" s="6"/>
      <c r="BG261" s="6">
        <f>IFERROR(__xludf.DUMMYFUNCTION("""COMPUTED_VALUE"""),2037.0)</f>
        <v>2037</v>
      </c>
      <c r="BH261" s="15">
        <f>IFERROR(__xludf.DUMMYFUNCTION("""COMPUTED_VALUE"""),46209.42637731481)</f>
        <v>46209.42638</v>
      </c>
      <c r="BI261" s="6">
        <f>IFERROR(__xludf.DUMMYFUNCTION("""COMPUTED_VALUE"""),260.0)</f>
        <v>260</v>
      </c>
      <c r="BJ261" s="6"/>
      <c r="BK261" s="6"/>
      <c r="BL261" s="6" t="str">
        <f>IFERROR(__xludf.DUMMYFUNCTION("""COMPUTED_VALUE"""),"GISJIM0007")</f>
        <v>GISJIM0007</v>
      </c>
      <c r="BM261" s="6"/>
      <c r="BN261" s="6"/>
      <c r="BO261" s="6"/>
      <c r="BP261" s="6" t="str">
        <f>IFERROR(__xludf.DUMMYFUNCTION("""COMPUTED_VALUE"""),"XC_23_Voleibol")</f>
        <v>XC_23_Voleibol</v>
      </c>
      <c r="BQ261" s="6"/>
      <c r="BR261" s="6" t="str">
        <f>IFERROR(__xludf.DUMMYFUNCTION("""COMPUTED_VALUE"""),"XC_EL_DanzaModerna")</f>
        <v>XC_EL_DanzaModerna</v>
      </c>
      <c r="BS261" s="6" t="str">
        <f>IFERROR(__xludf.DUMMYFUNCTION("""COMPUTED_VALUE"""),"XC_23_Voleibol")</f>
        <v>XC_23_Voleibol</v>
      </c>
      <c r="BT261" s="6" t="str">
        <f>IFERROR(__xludf.DUMMYFUNCTION("""COMPUTED_VALUE"""),"XC_23_Voleibol")</f>
        <v>XC_23_Voleibol</v>
      </c>
      <c r="BU261" s="6" t="str">
        <f>IFERROR(__xludf.DUMMYFUNCTION("""COMPUTED_VALUE"""),"SI")</f>
        <v>SI</v>
      </c>
      <c r="BV261" s="6" t="str">
        <f>IFERROR(__xludf.DUMMYFUNCTION("""COMPUTED_VALUE"""),"maria.j2037")</f>
        <v>maria.j2037</v>
      </c>
      <c r="BW261" s="6"/>
      <c r="BX261" s="6"/>
      <c r="BY261" s="6"/>
      <c r="BZ261" s="6"/>
    </row>
    <row r="262">
      <c r="A262" s="12">
        <f>IFERROR(__xludf.DUMMYFUNCTION("""COMPUTED_VALUE"""),1.092862496E9)</f>
        <v>1092862496</v>
      </c>
      <c r="B262" s="6">
        <f>IFERROR(__xludf.DUMMYFUNCTION("""COMPUTED_VALUE"""),11.0)</f>
        <v>11</v>
      </c>
      <c r="C262" s="6" t="str">
        <f>IFERROR(__xludf.DUMMYFUNCTION("""COMPUTED_VALUE"""),"Amalia")</f>
        <v>Amalia</v>
      </c>
      <c r="D262" s="6"/>
      <c r="E262" s="6" t="str">
        <f>IFERROR(__xludf.DUMMYFUNCTION("""COMPUTED_VALUE"""),"Londoño Gómez")</f>
        <v>Londoño Gómez</v>
      </c>
      <c r="F262" s="6" t="str">
        <f>IFERROR(__xludf.DUMMYFUNCTION("""COMPUTED_VALUE"""),"Edificio La Candelaria Apto 403 - Calle 19ANte No14-44")</f>
        <v>Edificio La Candelaria Apto 403 - Calle 19ANte No14-44</v>
      </c>
      <c r="G262" s="12" t="str">
        <f>IFERROR(__xludf.DUMMYFUNCTION("""COMPUTED_VALUE"""),"2018")</f>
        <v>2018</v>
      </c>
      <c r="H262" s="6" t="str">
        <f>IFERROR(__xludf.DUMMYFUNCTION("""COMPUTED_VALUE"""),"Octubre")</f>
        <v>Octubre</v>
      </c>
      <c r="I262" s="12" t="str">
        <f>IFERROR(__xludf.DUMMYFUNCTION("""COMPUTED_VALUE"""),"14")</f>
        <v>14</v>
      </c>
      <c r="J262" s="6" t="str">
        <f>IFERROR(__xludf.DUMMYFUNCTION("""COMPUTED_VALUE"""),"Armenia")</f>
        <v>Armenia</v>
      </c>
      <c r="K262" s="6" t="str">
        <f>IFERROR(__xludf.DUMMYFUNCTION("""COMPUTED_VALUE"""),"amalia.l2037@gi.edu.co")</f>
        <v>amalia.l2037@gi.edu.co</v>
      </c>
      <c r="L262" s="6" t="str">
        <f>IFERROR(__xludf.DUMMYFUNCTION("""COMPUTED_VALUE"""),"TI")</f>
        <v>TI</v>
      </c>
      <c r="M262" s="6" t="str">
        <f>IFERROR(__xludf.DUMMYFUNCTION("""COMPUTED_VALUE"""),"Armenia")</f>
        <v>Armenia</v>
      </c>
      <c r="N262" s="6" t="str">
        <f>IFERROR(__xludf.DUMMYFUNCTION("""COMPUTED_VALUE"""),"F")</f>
        <v>F</v>
      </c>
      <c r="O262" s="6" t="str">
        <f>IFERROR(__xludf.DUMMYFUNCTION("""COMPUTED_VALUE"""),"INACTIVE")</f>
        <v>INACTIVE</v>
      </c>
      <c r="P262" s="6"/>
      <c r="Q262" s="6" t="str">
        <f>IFERROR(__xludf.DUMMYFUNCTION("""COMPUTED_VALUE"""),"Armenia")</f>
        <v>Armenia</v>
      </c>
      <c r="R262" s="12" t="str">
        <f>IFERROR(__xludf.DUMMYFUNCTION("""COMPUTED_VALUE"""),"Gi6nv2aj*")</f>
        <v>Gi6nv2aj*</v>
      </c>
      <c r="S262" s="6" t="str">
        <f>IFERROR(__xludf.DUMMYFUNCTION("""COMPUTED_VALUE"""),"Londoño Gómez Amalia ")</f>
        <v>Londoño Gómez Amalia </v>
      </c>
      <c r="T262" s="6" t="str">
        <f>IFERROR(__xludf.DUMMYFUNCTION("""COMPUTED_VALUE"""),"LONDONO BAENA JUAN CARLOS")</f>
        <v>LONDONO BAENA JUAN CARLOS</v>
      </c>
      <c r="U262" s="12" t="str">
        <f>IFERROR(__xludf.DUMMYFUNCTION("""COMPUTED_VALUE"""),"79589415")</f>
        <v>79589415</v>
      </c>
      <c r="V262" s="6">
        <f>IFERROR(__xludf.DUMMYFUNCTION("""COMPUTED_VALUE"""),3.12776606E9)</f>
        <v>3127766060</v>
      </c>
      <c r="W262" s="6" t="str">
        <f>IFERROR(__xludf.DUMMYFUNCTION("""COMPUTED_VALUE"""),"jclondonob@gmail.com")</f>
        <v>jclondonob@gmail.com</v>
      </c>
      <c r="X262" s="12" t="str">
        <f>IFERROR(__xludf.DUMMYFUNCTION("""COMPUTED_VALUE"""),"O+")</f>
        <v>O+</v>
      </c>
      <c r="Y262" s="12" t="str">
        <f>IFERROR(__xludf.DUMMYFUNCTION("""COMPUTED_VALUE"""),"2")</f>
        <v>2</v>
      </c>
      <c r="Z262" s="12">
        <f>IFERROR(__xludf.DUMMYFUNCTION("""COMPUTED_VALUE"""),120474.0)</f>
        <v>120474</v>
      </c>
      <c r="AA262" s="6" t="str">
        <f>IFERROR(__xludf.DUMMYFUNCTION("""COMPUTED_VALUE"""),"SURA")</f>
        <v>SURA</v>
      </c>
      <c r="AB262" s="6" t="str">
        <f>IFERROR(__xludf.DUMMYFUNCTION("""COMPUTED_VALUE"""),"EMI")</f>
        <v>EMI</v>
      </c>
      <c r="AC262" s="6"/>
      <c r="AD262" s="12" t="str">
        <f>IFERROR(__xludf.DUMMYFUNCTION("""COMPUTED_VALUE"""),"2B")</f>
        <v>2B</v>
      </c>
      <c r="AE262" s="12" t="str">
        <f>IFERROR(__xludf.DUMMYFUNCTION("""COMPUTED_VALUE"""),"1345282474")</f>
        <v>1345282474</v>
      </c>
      <c r="AF262" s="12" t="str">
        <f>IFERROR(__xludf.DUMMYFUNCTION("""COMPUTED_VALUE"""),"1345282474")</f>
        <v>1345282474</v>
      </c>
      <c r="AG262" s="12" t="str">
        <f>IFERROR(__xludf.DUMMYFUNCTION("""COMPUTED_VALUE"""),"Catalina")</f>
        <v>Catalina</v>
      </c>
      <c r="AH262" s="6"/>
      <c r="AI262" s="6" t="str">
        <f>IFERROR(__xludf.DUMMYFUNCTION("""COMPUTED_VALUE"""),"Gómez Bustamante")</f>
        <v>Gómez Bustamante</v>
      </c>
      <c r="AJ262" s="6" t="str">
        <f>IFERROR(__xludf.DUMMYFUNCTION("""COMPUTED_VALUE"""),"cata_gomez2006@hotmail.com")</f>
        <v>cata_gomez2006@hotmail.com</v>
      </c>
      <c r="AK262" s="6" t="str">
        <f>IFERROR(__xludf.DUMMYFUNCTION("""COMPUTED_VALUE"""),"Admón empresas")</f>
        <v>Admón empresas</v>
      </c>
      <c r="AL262" s="6" t="str">
        <f>IFERROR(__xludf.DUMMYFUNCTION("""COMPUTED_VALUE"""),"Hotel Brisas del Roble")</f>
        <v>Hotel Brisas del Roble</v>
      </c>
      <c r="AM262" s="12" t="str">
        <f>IFERROR(__xludf.DUMMYFUNCTION("""COMPUTED_VALUE"""),"41942358")</f>
        <v>41942358</v>
      </c>
      <c r="AN262" s="12" t="str">
        <f>IFERROR(__xludf.DUMMYFUNCTION("""COMPUTED_VALUE"""),"3218305390")</f>
        <v>3218305390</v>
      </c>
      <c r="AO262" s="6" t="str">
        <f>IFERROR(__xludf.DUMMYFUNCTION("""COMPUTED_VALUE"""),"Madre")</f>
        <v>Madre</v>
      </c>
      <c r="AP262" s="6" t="str">
        <f>IFERROR(__xludf.DUMMYFUNCTION("""COMPUTED_VALUE"""),"Estudiante(s): Londoño Gómez")</f>
        <v>Estudiante(s): Londoño Gómez</v>
      </c>
      <c r="AQ262" s="6" t="str">
        <f>IFERROR(__xludf.DUMMYFUNCTION("""COMPUTED_VALUE"""),"102538*Gi")</f>
        <v>102538*Gi</v>
      </c>
      <c r="AR262" s="6" t="str">
        <f>IFERROR(__xludf.DUMMYFUNCTION("""COMPUTED_VALUE"""),"Juan")</f>
        <v>Juan</v>
      </c>
      <c r="AS262" s="6" t="str">
        <f>IFERROR(__xludf.DUMMYFUNCTION("""COMPUTED_VALUE"""),"Carlos")</f>
        <v>Carlos</v>
      </c>
      <c r="AT262" s="6" t="str">
        <f>IFERROR(__xludf.DUMMYFUNCTION("""COMPUTED_VALUE"""),"Londoño Baena")</f>
        <v>Londoño Baena</v>
      </c>
      <c r="AU262" s="6" t="str">
        <f>IFERROR(__xludf.DUMMYFUNCTION("""COMPUTED_VALUE"""),"jclondonob@gmail.com")</f>
        <v>jclondonob@gmail.com</v>
      </c>
      <c r="AV262" s="6" t="str">
        <f>IFERROR(__xludf.DUMMYFUNCTION("""COMPUTED_VALUE"""),"Admón - contador")</f>
        <v>Admón - contador</v>
      </c>
      <c r="AW262" s="6" t="str">
        <f>IFERROR(__xludf.DUMMYFUNCTION("""COMPUTED_VALUE"""),"Agrícola brisas del Roble")</f>
        <v>Agrícola brisas del Roble</v>
      </c>
      <c r="AX262" s="12" t="str">
        <f>IFERROR(__xludf.DUMMYFUNCTION("""COMPUTED_VALUE"""),"79589415")</f>
        <v>79589415</v>
      </c>
      <c r="AY262" s="12" t="str">
        <f>IFERROR(__xludf.DUMMYFUNCTION("""COMPUTED_VALUE"""),"3127766060")</f>
        <v>3127766060</v>
      </c>
      <c r="AZ262" s="6" t="str">
        <f>IFERROR(__xludf.DUMMYFUNCTION("""COMPUTED_VALUE"""),"Padre")</f>
        <v>Padre</v>
      </c>
      <c r="BA262" s="6"/>
      <c r="BB262" s="6"/>
      <c r="BC262" s="6"/>
      <c r="BD262" s="12" t="str">
        <f>IFERROR(__xludf.DUMMYFUNCTION("""COMPUTED_VALUE"""),"lon0003")</f>
        <v>lon0003</v>
      </c>
      <c r="BE262" s="6" t="str">
        <f>IFERROR(__xludf.DUMMYFUNCTION("""COMPUTED_VALUE"""),"FALTAN FIRMAS")</f>
        <v>FALTAN FIRMAS</v>
      </c>
      <c r="BF262" s="6"/>
      <c r="BG262" s="6">
        <f>IFERROR(__xludf.DUMMYFUNCTION("""COMPUTED_VALUE"""),2037.0)</f>
        <v>2037</v>
      </c>
      <c r="BH262" s="15">
        <f>IFERROR(__xludf.DUMMYFUNCTION("""COMPUTED_VALUE"""),46239.740949074076)</f>
        <v>46239.74095</v>
      </c>
      <c r="BI262" s="6">
        <f>IFERROR(__xludf.DUMMYFUNCTION("""COMPUTED_VALUE"""),261.0)</f>
        <v>261</v>
      </c>
      <c r="BJ262" s="6"/>
      <c r="BK262" s="6"/>
      <c r="BL262" s="6" t="str">
        <f>IFERROR(__xludf.DUMMYFUNCTION("""COMPUTED_VALUE"""),"GISLON0003")</f>
        <v>GISLON0003</v>
      </c>
      <c r="BM262" s="6"/>
      <c r="BN262" s="6"/>
      <c r="BO262" s="6"/>
      <c r="BP262" s="6" t="str">
        <f>IFERROR(__xludf.DUMMYFUNCTION("""COMPUTED_VALUE"""),"XC_EL_Porras")</f>
        <v>XC_EL_Porras</v>
      </c>
      <c r="BQ262" s="6" t="str">
        <f>IFERROR(__xludf.DUMMYFUNCTION("""COMPUTED_VALUE"""),"XC_EL_Porras")</f>
        <v>XC_EL_Porras</v>
      </c>
      <c r="BR262" s="6"/>
      <c r="BS262" s="6" t="str">
        <f>IFERROR(__xludf.DUMMYFUNCTION("""COMPUTED_VALUE"""),"XC_EL_Porras")</f>
        <v>XC_EL_Porras</v>
      </c>
      <c r="BT262" s="6"/>
      <c r="BU262" s="6" t="str">
        <f>IFERROR(__xludf.DUMMYFUNCTION("""COMPUTED_VALUE"""),"SI")</f>
        <v>SI</v>
      </c>
      <c r="BV262" s="6" t="str">
        <f>IFERROR(__xludf.DUMMYFUNCTION("""COMPUTED_VALUE"""),"amalia.l2037")</f>
        <v>amalia.l2037</v>
      </c>
      <c r="BW262" s="6"/>
      <c r="BX262" s="6"/>
      <c r="BY262" s="6"/>
      <c r="BZ262" s="6"/>
    </row>
    <row r="263">
      <c r="A263" s="12" t="str">
        <f>IFERROR(__xludf.DUMMYFUNCTION("""COMPUTED_VALUE"""),"1094983006")</f>
        <v>1094983006</v>
      </c>
      <c r="B263" s="6">
        <f>IFERROR(__xludf.DUMMYFUNCTION("""COMPUTED_VALUE"""),12.0)</f>
        <v>12</v>
      </c>
      <c r="C263" s="6" t="str">
        <f>IFERROR(__xludf.DUMMYFUNCTION("""COMPUTED_VALUE"""),"Tomás")</f>
        <v>Tomás</v>
      </c>
      <c r="D263" s="6"/>
      <c r="E263" s="6" t="str">
        <f>IFERROR(__xludf.DUMMYFUNCTION("""COMPUTED_VALUE"""),"Mejía Marín")</f>
        <v>Mejía Marín</v>
      </c>
      <c r="F263" s="6"/>
      <c r="G263" s="12" t="str">
        <f>IFERROR(__xludf.DUMMYFUNCTION("""COMPUTED_VALUE"""),"2018")</f>
        <v>2018</v>
      </c>
      <c r="H263" s="6" t="str">
        <f>IFERROR(__xludf.DUMMYFUNCTION("""COMPUTED_VALUE"""),"Diciembre")</f>
        <v>Diciembre</v>
      </c>
      <c r="I263" s="12" t="str">
        <f>IFERROR(__xludf.DUMMYFUNCTION("""COMPUTED_VALUE"""),"11")</f>
        <v>11</v>
      </c>
      <c r="J263" s="6" t="str">
        <f>IFERROR(__xludf.DUMMYFUNCTION("""COMPUTED_VALUE"""),"Miami")</f>
        <v>Miami</v>
      </c>
      <c r="K263" s="6" t="str">
        <f>IFERROR(__xludf.DUMMYFUNCTION("""COMPUTED_VALUE"""),"tomas.m2037@gi.edu.co")</f>
        <v>tomas.m2037@gi.edu.co</v>
      </c>
      <c r="L263" s="6" t="str">
        <f>IFERROR(__xludf.DUMMYFUNCTION("""COMPUTED_VALUE"""),"TI")</f>
        <v>TI</v>
      </c>
      <c r="M263" s="6" t="str">
        <f>IFERROR(__xludf.DUMMYFUNCTION("""COMPUTED_VALUE"""),"Armenia")</f>
        <v>Armenia</v>
      </c>
      <c r="N263" s="6" t="str">
        <f>IFERROR(__xludf.DUMMYFUNCTION("""COMPUTED_VALUE"""),"M")</f>
        <v>M</v>
      </c>
      <c r="O263" s="6" t="str">
        <f>IFERROR(__xludf.DUMMYFUNCTION("""COMPUTED_VALUE"""),"INACTIVE")</f>
        <v>INACTIVE</v>
      </c>
      <c r="P263" s="6"/>
      <c r="Q263" s="6" t="str">
        <f>IFERROR(__xludf.DUMMYFUNCTION("""COMPUTED_VALUE"""),"Armenia")</f>
        <v>Armenia</v>
      </c>
      <c r="R263" s="12" t="str">
        <f>IFERROR(__xludf.DUMMYFUNCTION("""COMPUTED_VALUE"""),"Gik5TwjX*")</f>
        <v>Gik5TwjX*</v>
      </c>
      <c r="S263" s="6" t="str">
        <f>IFERROR(__xludf.DUMMYFUNCTION("""COMPUTED_VALUE"""),"Mejía Marín Tomás ")</f>
        <v>Mejía Marín Tomás </v>
      </c>
      <c r="T263" s="6" t="str">
        <f>IFERROR(__xludf.DUMMYFUNCTION("""COMPUTED_VALUE"""),"NATHALIA ANDREA MARIN SALAZAR")</f>
        <v>NATHALIA ANDREA MARIN SALAZAR</v>
      </c>
      <c r="U263" s="12" t="str">
        <f>IFERROR(__xludf.DUMMYFUNCTION("""COMPUTED_VALUE"""),"1020757715")</f>
        <v>1020757715</v>
      </c>
      <c r="V263" s="6">
        <f>IFERROR(__xludf.DUMMYFUNCTION("""COMPUTED_VALUE"""),3.116875545E9)</f>
        <v>3116875545</v>
      </c>
      <c r="W263" s="6" t="str">
        <f>IFERROR(__xludf.DUMMYFUNCTION("""COMPUTED_VALUE"""),"tomaguas326@gmail.com")</f>
        <v>tomaguas326@gmail.com</v>
      </c>
      <c r="X263" s="12" t="str">
        <f>IFERROR(__xludf.DUMMYFUNCTION("""COMPUTED_VALUE"""),"O+")</f>
        <v>O+</v>
      </c>
      <c r="Y263" s="6" t="str">
        <f>IFERROR(__xludf.DUMMYFUNCTION("""COMPUTED_VALUE"""),"2")</f>
        <v>2</v>
      </c>
      <c r="Z263" s="12">
        <f>IFERROR(__xludf.DUMMYFUNCTION("""COMPUTED_VALUE"""),120188.0)</f>
        <v>120188</v>
      </c>
      <c r="AA263" s="6" t="str">
        <f>IFERROR(__xludf.DUMMYFUNCTION("""COMPUTED_VALUE"""),"SURA")</f>
        <v>SURA</v>
      </c>
      <c r="AB263" s="6"/>
      <c r="AC263" s="6"/>
      <c r="AD263" s="12" t="str">
        <f>IFERROR(__xludf.DUMMYFUNCTION("""COMPUTED_VALUE"""),"2B")</f>
        <v>2B</v>
      </c>
      <c r="AE263" s="12">
        <f>IFERROR(__xludf.DUMMYFUNCTION("""COMPUTED_VALUE"""),1.345282161E9)</f>
        <v>1345282161</v>
      </c>
      <c r="AF263" s="6"/>
      <c r="AG263" s="12" t="str">
        <f>IFERROR(__xludf.DUMMYFUNCTION("""COMPUTED_VALUE"""),"Nathalia")</f>
        <v>Nathalia</v>
      </c>
      <c r="AH263" s="12" t="str">
        <f>IFERROR(__xludf.DUMMYFUNCTION("""COMPUTED_VALUE"""),"Andrea")</f>
        <v>Andrea</v>
      </c>
      <c r="AI263" s="6" t="str">
        <f>IFERROR(__xludf.DUMMYFUNCTION("""COMPUTED_VALUE"""),"Marín Salazar")</f>
        <v>Marín Salazar</v>
      </c>
      <c r="AJ263" s="6" t="str">
        <f>IFERROR(__xludf.DUMMYFUNCTION("""COMPUTED_VALUE"""),"nataliamarinsalazar@gmail.com")</f>
        <v>nataliamarinsalazar@gmail.com</v>
      </c>
      <c r="AK263" s="6" t="str">
        <f>IFERROR(__xludf.DUMMYFUNCTION("""COMPUTED_VALUE"""),"Diseñadora de moda")</f>
        <v>Diseñadora de moda</v>
      </c>
      <c r="AL263" s="6"/>
      <c r="AM263" s="12" t="str">
        <f>IFERROR(__xludf.DUMMYFUNCTION("""COMPUTED_VALUE"""),"1020757715")</f>
        <v>1020757715</v>
      </c>
      <c r="AN263" s="12" t="str">
        <f>IFERROR(__xludf.DUMMYFUNCTION("""COMPUTED_VALUE"""),"3116875545")</f>
        <v>3116875545</v>
      </c>
      <c r="AO263" s="6" t="str">
        <f>IFERROR(__xludf.DUMMYFUNCTION("""COMPUTED_VALUE"""),"Madre")</f>
        <v>Madre</v>
      </c>
      <c r="AP263" s="6" t="str">
        <f>IFERROR(__xludf.DUMMYFUNCTION("""COMPUTED_VALUE"""),"Estudiante(s): Mejía Marín")</f>
        <v>Estudiante(s): Mejía Marín</v>
      </c>
      <c r="AQ263" s="6" t="str">
        <f>IFERROR(__xludf.DUMMYFUNCTION("""COMPUTED_VALUE"""),"103969*Gi")</f>
        <v>103969*Gi</v>
      </c>
      <c r="AR263" s="6" t="str">
        <f>IFERROR(__xludf.DUMMYFUNCTION("""COMPUTED_VALUE"""),"Ronald")</f>
        <v>Ronald</v>
      </c>
      <c r="AS263" s="6" t="str">
        <f>IFERROR(__xludf.DUMMYFUNCTION("""COMPUTED_VALUE"""),"Jaime")</f>
        <v>Jaime</v>
      </c>
      <c r="AT263" s="6" t="str">
        <f>IFERROR(__xludf.DUMMYFUNCTION("""COMPUTED_VALUE"""),"Mejía")</f>
        <v>Mejía</v>
      </c>
      <c r="AU263" s="6" t="str">
        <f>IFERROR(__xludf.DUMMYFUNCTION("""COMPUTED_VALUE"""),"rm032603@gmail.com")</f>
        <v>rm032603@gmail.com</v>
      </c>
      <c r="AV263" s="6" t="str">
        <f>IFERROR(__xludf.DUMMYFUNCTION("""COMPUTED_VALUE"""),"Administrador de empresas")</f>
        <v>Administrador de empresas</v>
      </c>
      <c r="AW263" s="6" t="str">
        <f>IFERROR(__xludf.DUMMYFUNCTION("""COMPUTED_VALUE"""),"Top trucking")</f>
        <v>Top trucking</v>
      </c>
      <c r="AX263" s="12" t="str">
        <f>IFERROR(__xludf.DUMMYFUNCTION("""COMPUTED_VALUE"""),"1094885055")</f>
        <v>1094885055</v>
      </c>
      <c r="AY263" s="12" t="str">
        <f>IFERROR(__xludf.DUMMYFUNCTION("""COMPUTED_VALUE"""),"3108753452")</f>
        <v>3108753452</v>
      </c>
      <c r="AZ263" s="6" t="str">
        <f>IFERROR(__xludf.DUMMYFUNCTION("""COMPUTED_VALUE"""),"Padre")</f>
        <v>Padre</v>
      </c>
      <c r="BA263" s="6"/>
      <c r="BB263" s="6"/>
      <c r="BC263" s="6"/>
      <c r="BD263" s="12" t="str">
        <f>IFERROR(__xludf.DUMMYFUNCTION("""COMPUTED_VALUE"""),"mej0021")</f>
        <v>mej0021</v>
      </c>
      <c r="BE263" s="6" t="str">
        <f>IFERROR(__xludf.DUMMYFUNCTION("""COMPUTED_VALUE"""),"REINGRESO")</f>
        <v>REINGRESO</v>
      </c>
      <c r="BF263" s="6"/>
      <c r="BG263" s="6">
        <f>IFERROR(__xludf.DUMMYFUNCTION("""COMPUTED_VALUE"""),2037.0)</f>
        <v>2037</v>
      </c>
      <c r="BH263" s="15">
        <f>IFERROR(__xludf.DUMMYFUNCTION("""COMPUTED_VALUE"""),46255.48290509259)</f>
        <v>46255.48291</v>
      </c>
      <c r="BI263" s="6">
        <f>IFERROR(__xludf.DUMMYFUNCTION("""COMPUTED_VALUE"""),262.0)</f>
        <v>262</v>
      </c>
      <c r="BJ263" s="6"/>
      <c r="BK263" s="6"/>
      <c r="BL263" s="6" t="str">
        <f>IFERROR(__xludf.DUMMYFUNCTION("""COMPUTED_VALUE"""),"GISMEJ0021")</f>
        <v>GISMEJ0021</v>
      </c>
      <c r="BM263" s="6"/>
      <c r="BN263" s="6"/>
      <c r="BO263" s="6"/>
      <c r="BP263" s="6"/>
      <c r="BQ263" s="6"/>
      <c r="BR263" s="6"/>
      <c r="BS263" s="6"/>
      <c r="BT263" s="6"/>
      <c r="BU263" s="6" t="str">
        <f>IFERROR(__xludf.DUMMYFUNCTION("""COMPUTED_VALUE"""),"SI")</f>
        <v>SI</v>
      </c>
      <c r="BV263" s="6" t="str">
        <f>IFERROR(__xludf.DUMMYFUNCTION("""COMPUTED_VALUE"""),"tomas.m2037")</f>
        <v>tomas.m2037</v>
      </c>
      <c r="BW263" s="6"/>
      <c r="BX263" s="6"/>
      <c r="BY263" s="6"/>
      <c r="BZ263" s="6"/>
    </row>
    <row r="264">
      <c r="A264" s="12">
        <f>IFERROR(__xludf.DUMMYFUNCTION("""COMPUTED_VALUE"""),1.091888974E9)</f>
        <v>1091888974</v>
      </c>
      <c r="B264" s="6">
        <f>IFERROR(__xludf.DUMMYFUNCTION("""COMPUTED_VALUE"""),13.0)</f>
        <v>13</v>
      </c>
      <c r="C264" s="6" t="str">
        <f>IFERROR(__xludf.DUMMYFUNCTION("""COMPUTED_VALUE"""),"Alicia")</f>
        <v>Alicia</v>
      </c>
      <c r="D264" s="6"/>
      <c r="E264" s="6" t="str">
        <f>IFERROR(__xludf.DUMMYFUNCTION("""COMPUTED_VALUE"""),"Montoya Blandón")</f>
        <v>Montoya Blandón</v>
      </c>
      <c r="F264" s="6" t="str">
        <f>IFERROR(__xludf.DUMMYFUNCTION("""COMPUTED_VALUE"""),"Condominio Colina Campestre Casa 2 - La Pradera")</f>
        <v>Condominio Colina Campestre Casa 2 - La Pradera</v>
      </c>
      <c r="G264" s="12" t="str">
        <f>IFERROR(__xludf.DUMMYFUNCTION("""COMPUTED_VALUE"""),"2019")</f>
        <v>2019</v>
      </c>
      <c r="H264" s="6" t="str">
        <f>IFERROR(__xludf.DUMMYFUNCTION("""COMPUTED_VALUE"""),"Marzo")</f>
        <v>Marzo</v>
      </c>
      <c r="I264" s="12" t="str">
        <f>IFERROR(__xludf.DUMMYFUNCTION("""COMPUTED_VALUE"""),"11")</f>
        <v>11</v>
      </c>
      <c r="J264" s="6" t="str">
        <f>IFERROR(__xludf.DUMMYFUNCTION("""COMPUTED_VALUE"""),"Armenia")</f>
        <v>Armenia</v>
      </c>
      <c r="K264" s="6" t="str">
        <f>IFERROR(__xludf.DUMMYFUNCTION("""COMPUTED_VALUE"""),"alicia.m2037@gi.edu.co")</f>
        <v>alicia.m2037@gi.edu.co</v>
      </c>
      <c r="L264" s="6" t="str">
        <f>IFERROR(__xludf.DUMMYFUNCTION("""COMPUTED_VALUE"""),"TI")</f>
        <v>TI</v>
      </c>
      <c r="M264" s="6" t="str">
        <f>IFERROR(__xludf.DUMMYFUNCTION("""COMPUTED_VALUE"""),"Armenia")</f>
        <v>Armenia</v>
      </c>
      <c r="N264" s="6" t="str">
        <f>IFERROR(__xludf.DUMMYFUNCTION("""COMPUTED_VALUE"""),"F")</f>
        <v>F</v>
      </c>
      <c r="O264" s="6" t="str">
        <f>IFERROR(__xludf.DUMMYFUNCTION("""COMPUTED_VALUE"""),"ACTIVE")</f>
        <v>ACTIVE</v>
      </c>
      <c r="P264" s="6"/>
      <c r="Q264" s="6" t="str">
        <f>IFERROR(__xludf.DUMMYFUNCTION("""COMPUTED_VALUE"""),"Calarcá")</f>
        <v>Calarcá</v>
      </c>
      <c r="R264" s="12" t="str">
        <f>IFERROR(__xludf.DUMMYFUNCTION("""COMPUTED_VALUE"""),"Gijefeu8*")</f>
        <v>Gijefeu8*</v>
      </c>
      <c r="S264" s="6" t="str">
        <f>IFERROR(__xludf.DUMMYFUNCTION("""COMPUTED_VALUE"""),"Montoya Blandón Alicia ")</f>
        <v>Montoya Blandón Alicia </v>
      </c>
      <c r="T264" s="6" t="str">
        <f>IFERROR(__xludf.DUMMYFUNCTION("""COMPUTED_VALUE"""),"DANIELA BLANDON SOLANO")</f>
        <v>DANIELA BLANDON SOLANO</v>
      </c>
      <c r="U264" s="12" t="str">
        <f>IFERROR(__xludf.DUMMYFUNCTION("""COMPUTED_VALUE"""),"1094894040")</f>
        <v>1094894040</v>
      </c>
      <c r="V264" s="6">
        <f>IFERROR(__xludf.DUMMYFUNCTION("""COMPUTED_VALUE"""),3.013373856E9)</f>
        <v>3013373856</v>
      </c>
      <c r="W264" s="6" t="str">
        <f>IFERROR(__xludf.DUMMYFUNCTION("""COMPUTED_VALUE"""),"dani_blandon87@hotmail.com")</f>
        <v>dani_blandon87@hotmail.com</v>
      </c>
      <c r="X264" s="12" t="str">
        <f>IFERROR(__xludf.DUMMYFUNCTION("""COMPUTED_VALUE"""),"O+")</f>
        <v>O+</v>
      </c>
      <c r="Y264" s="12" t="str">
        <f>IFERROR(__xludf.DUMMYFUNCTION("""COMPUTED_VALUE"""),"2")</f>
        <v>2</v>
      </c>
      <c r="Z264" s="12">
        <f>IFERROR(__xludf.DUMMYFUNCTION("""COMPUTED_VALUE"""),120374.0)</f>
        <v>120374</v>
      </c>
      <c r="AA264" s="6" t="str">
        <f>IFERROR(__xludf.DUMMYFUNCTION("""COMPUTED_VALUE"""),"SURA")</f>
        <v>SURA</v>
      </c>
      <c r="AB264" s="6"/>
      <c r="AC264" s="6"/>
      <c r="AD264" s="12" t="str">
        <f>IFERROR(__xludf.DUMMYFUNCTION("""COMPUTED_VALUE"""),"2B")</f>
        <v>2B</v>
      </c>
      <c r="AE264" s="12">
        <f>IFERROR(__xludf.DUMMYFUNCTION("""COMPUTED_VALUE"""),1.345282368E9)</f>
        <v>1345282368</v>
      </c>
      <c r="AF264" s="12" t="str">
        <f>IFERROR(__xludf.DUMMYFUNCTION("""COMPUTED_VALUE"""),"1345282368")</f>
        <v>1345282368</v>
      </c>
      <c r="AG264" s="12" t="str">
        <f>IFERROR(__xludf.DUMMYFUNCTION("""COMPUTED_VALUE"""),"Daniela")</f>
        <v>Daniela</v>
      </c>
      <c r="AH264" s="6"/>
      <c r="AI264" s="6" t="str">
        <f>IFERROR(__xludf.DUMMYFUNCTION("""COMPUTED_VALUE"""),"Blandón Solano")</f>
        <v>Blandón Solano</v>
      </c>
      <c r="AJ264" s="6" t="str">
        <f>IFERROR(__xludf.DUMMYFUNCTION("""COMPUTED_VALUE"""),"dani_blandon87@hotmail.com")</f>
        <v>dani_blandon87@hotmail.com</v>
      </c>
      <c r="AK264" s="6" t="str">
        <f>IFERROR(__xludf.DUMMYFUNCTION("""COMPUTED_VALUE"""),"Administradora de Negocios")</f>
        <v>Administradora de Negocios</v>
      </c>
      <c r="AL264" s="6"/>
      <c r="AM264" s="12" t="str">
        <f>IFERROR(__xludf.DUMMYFUNCTION("""COMPUTED_VALUE"""),"1094894040")</f>
        <v>1094894040</v>
      </c>
      <c r="AN264" s="12" t="str">
        <f>IFERROR(__xludf.DUMMYFUNCTION("""COMPUTED_VALUE"""),"3013373856")</f>
        <v>3013373856</v>
      </c>
      <c r="AO264" s="6" t="str">
        <f>IFERROR(__xludf.DUMMYFUNCTION("""COMPUTED_VALUE"""),"Madre")</f>
        <v>Madre</v>
      </c>
      <c r="AP264" s="6" t="str">
        <f>IFERROR(__xludf.DUMMYFUNCTION("""COMPUTED_VALUE"""),"Estudiante(s): Montoya Blandon")</f>
        <v>Estudiante(s): Montoya Blandon</v>
      </c>
      <c r="AQ264" s="6" t="str">
        <f>IFERROR(__xludf.DUMMYFUNCTION("""COMPUTED_VALUE"""),"120374*Gi")</f>
        <v>120374*Gi</v>
      </c>
      <c r="AR264" s="6" t="str">
        <f>IFERROR(__xludf.DUMMYFUNCTION("""COMPUTED_VALUE"""),"Andrés")</f>
        <v>Andrés</v>
      </c>
      <c r="AS264" s="6" t="str">
        <f>IFERROR(__xludf.DUMMYFUNCTION("""COMPUTED_VALUE"""),"Mauricio")</f>
        <v>Mauricio</v>
      </c>
      <c r="AT264" s="6" t="str">
        <f>IFERROR(__xludf.DUMMYFUNCTION("""COMPUTED_VALUE"""),"Montoya Palacio")</f>
        <v>Montoya Palacio</v>
      </c>
      <c r="AU264" s="6" t="str">
        <f>IFERROR(__xludf.DUMMYFUNCTION("""COMPUTED_VALUE"""),"arq.mauriciomontoya@gmail.com")</f>
        <v>arq.mauriciomontoya@gmail.com</v>
      </c>
      <c r="AV264" s="6" t="str">
        <f>IFERROR(__xludf.DUMMYFUNCTION("""COMPUTED_VALUE"""),"Arquitecto")</f>
        <v>Arquitecto</v>
      </c>
      <c r="AW264" s="6" t="str">
        <f>IFERROR(__xludf.DUMMYFUNCTION("""COMPUTED_VALUE"""),"MAURICIO MONTOYA P.")</f>
        <v>MAURICIO MONTOYA P.</v>
      </c>
      <c r="AX264" s="12" t="str">
        <f>IFERROR(__xludf.DUMMYFUNCTION("""COMPUTED_VALUE"""),"1097392086")</f>
        <v>1097392086</v>
      </c>
      <c r="AY264" s="12">
        <f>IFERROR(__xludf.DUMMYFUNCTION("""COMPUTED_VALUE"""),3.013373859E9)</f>
        <v>3013373859</v>
      </c>
      <c r="AZ264" s="6" t="str">
        <f>IFERROR(__xludf.DUMMYFUNCTION("""COMPUTED_VALUE"""),"Padre")</f>
        <v>Padre</v>
      </c>
      <c r="BA264" s="6"/>
      <c r="BB264" s="6"/>
      <c r="BC264" s="6"/>
      <c r="BD264" s="12" t="str">
        <f>IFERROR(__xludf.DUMMYFUNCTION("""COMPUTED_VALUE"""),"mon0007")</f>
        <v>mon0007</v>
      </c>
      <c r="BE264" s="6"/>
      <c r="BF264" s="6"/>
      <c r="BG264" s="6">
        <f>IFERROR(__xludf.DUMMYFUNCTION("""COMPUTED_VALUE"""),2037.0)</f>
        <v>2037</v>
      </c>
      <c r="BH264" s="15">
        <f>IFERROR(__xludf.DUMMYFUNCTION("""COMPUTED_VALUE"""),46204.496875)</f>
        <v>46204.49688</v>
      </c>
      <c r="BI264" s="6">
        <f>IFERROR(__xludf.DUMMYFUNCTION("""COMPUTED_VALUE"""),263.0)</f>
        <v>263</v>
      </c>
      <c r="BJ264" s="6"/>
      <c r="BK264" s="6"/>
      <c r="BL264" s="6" t="str">
        <f>IFERROR(__xludf.DUMMYFUNCTION("""COMPUTED_VALUE"""),"GISMON0007")</f>
        <v>GISMON0007</v>
      </c>
      <c r="BM264" s="6"/>
      <c r="BN264" s="6"/>
      <c r="BO264" s="6"/>
      <c r="BP264" s="6" t="str">
        <f>IFERROR(__xludf.DUMMYFUNCTION("""COMPUTED_VALUE"""),"XC_23_Voleibol")</f>
        <v>XC_23_Voleibol</v>
      </c>
      <c r="BQ264" s="6"/>
      <c r="BR264" s="6" t="str">
        <f>IFERROR(__xludf.DUMMYFUNCTION("""COMPUTED_VALUE"""),"XC_EL_DanzaModerna")</f>
        <v>XC_EL_DanzaModerna</v>
      </c>
      <c r="BS264" s="6" t="str">
        <f>IFERROR(__xludf.DUMMYFUNCTION("""COMPUTED_VALUE"""),"XC_23_Voleibol")</f>
        <v>XC_23_Voleibol</v>
      </c>
      <c r="BT264" s="6" t="str">
        <f>IFERROR(__xludf.DUMMYFUNCTION("""COMPUTED_VALUE"""),"XC_23_Voleibol")</f>
        <v>XC_23_Voleibol</v>
      </c>
      <c r="BU264" s="6" t="str">
        <f>IFERROR(__xludf.DUMMYFUNCTION("""COMPUTED_VALUE"""),"SI")</f>
        <v>SI</v>
      </c>
      <c r="BV264" s="6" t="str">
        <f>IFERROR(__xludf.DUMMYFUNCTION("""COMPUTED_VALUE"""),"alicia.m2037")</f>
        <v>alicia.m2037</v>
      </c>
      <c r="BW264" s="6"/>
      <c r="BX264" s="6"/>
      <c r="BY264" s="6"/>
      <c r="BZ264" s="6"/>
    </row>
    <row r="265">
      <c r="A265" s="12">
        <f>IFERROR(__xludf.DUMMYFUNCTION("""COMPUTED_VALUE"""),1.220474976E9)</f>
        <v>1220474976</v>
      </c>
      <c r="B265" s="6">
        <f>IFERROR(__xludf.DUMMYFUNCTION("""COMPUTED_VALUE"""),14.0)</f>
        <v>14</v>
      </c>
      <c r="C265" s="6" t="str">
        <f>IFERROR(__xludf.DUMMYFUNCTION("""COMPUTED_VALUE"""),"Alana")</f>
        <v>Alana</v>
      </c>
      <c r="D265" s="6"/>
      <c r="E265" s="6" t="str">
        <f>IFERROR(__xludf.DUMMYFUNCTION("""COMPUTED_VALUE"""),"Montoya Molano")</f>
        <v>Montoya Molano</v>
      </c>
      <c r="F265" s="6" t="str">
        <f>IFERROR(__xludf.DUMMYFUNCTION("""COMPUTED_VALUE"""),"Condominio Campestre La Reserva Torre Malaga Apto 101 - Cra 5 No10Nte - 25 Av Centenario")</f>
        <v>Condominio Campestre La Reserva Torre Malaga Apto 101 - Cra 5 No10Nte - 25 Av Centenario</v>
      </c>
      <c r="G265" s="12" t="str">
        <f>IFERROR(__xludf.DUMMYFUNCTION("""COMPUTED_VALUE"""),"2019")</f>
        <v>2019</v>
      </c>
      <c r="H265" s="6" t="str">
        <f>IFERROR(__xludf.DUMMYFUNCTION("""COMPUTED_VALUE"""),"Junio")</f>
        <v>Junio</v>
      </c>
      <c r="I265" s="12" t="str">
        <f>IFERROR(__xludf.DUMMYFUNCTION("""COMPUTED_VALUE"""),"12")</f>
        <v>12</v>
      </c>
      <c r="J265" s="6" t="str">
        <f>IFERROR(__xludf.DUMMYFUNCTION("""COMPUTED_VALUE"""),"Miami")</f>
        <v>Miami</v>
      </c>
      <c r="K265" s="6" t="str">
        <f>IFERROR(__xludf.DUMMYFUNCTION("""COMPUTED_VALUE"""),"alana.m2037@gi.edu.co")</f>
        <v>alana.m2037@gi.edu.co</v>
      </c>
      <c r="L265" s="6" t="str">
        <f>IFERROR(__xludf.DUMMYFUNCTION("""COMPUTED_VALUE"""),"RC")</f>
        <v>RC</v>
      </c>
      <c r="M265" s="6" t="str">
        <f>IFERROR(__xludf.DUMMYFUNCTION("""COMPUTED_VALUE"""),"Bogotá D.C.")</f>
        <v>Bogotá D.C.</v>
      </c>
      <c r="N265" s="6" t="str">
        <f>IFERROR(__xludf.DUMMYFUNCTION("""COMPUTED_VALUE"""),"F")</f>
        <v>F</v>
      </c>
      <c r="O265" s="6" t="str">
        <f>IFERROR(__xludf.DUMMYFUNCTION("""COMPUTED_VALUE"""),"ACTIVE")</f>
        <v>ACTIVE</v>
      </c>
      <c r="P265" s="6"/>
      <c r="Q265" s="6" t="str">
        <f>IFERROR(__xludf.DUMMYFUNCTION("""COMPUTED_VALUE"""),"Armenia")</f>
        <v>Armenia</v>
      </c>
      <c r="R265" s="12" t="str">
        <f>IFERROR(__xludf.DUMMYFUNCTION("""COMPUTED_VALUE"""),"Gic336f*")</f>
        <v>Gic336f*</v>
      </c>
      <c r="S265" s="6" t="str">
        <f>IFERROR(__xludf.DUMMYFUNCTION("""COMPUTED_VALUE"""),"Montoya Molano Alana ")</f>
        <v>Montoya Molano Alana </v>
      </c>
      <c r="T265" s="6" t="str">
        <f>IFERROR(__xludf.DUMMYFUNCTION("""COMPUTED_VALUE"""),"LUISA FERNANDA MOLANO VEIRA")</f>
        <v>LUISA FERNANDA MOLANO VEIRA</v>
      </c>
      <c r="U265" s="12" t="str">
        <f>IFERROR(__xludf.DUMMYFUNCTION("""COMPUTED_VALUE"""),"1020783089")</f>
        <v>1020783089</v>
      </c>
      <c r="V265" s="6">
        <f>IFERROR(__xludf.DUMMYFUNCTION("""COMPUTED_VALUE"""),3.112223792E9)</f>
        <v>3112223792</v>
      </c>
      <c r="W265" s="6" t="str">
        <f>IFERROR(__xludf.DUMMYFUNCTION("""COMPUTED_VALUE"""),"luisamo_85@hotmail.com")</f>
        <v>luisamo_85@hotmail.com</v>
      </c>
      <c r="X265" s="12" t="str">
        <f>IFERROR(__xludf.DUMMYFUNCTION("""COMPUTED_VALUE"""),"B+")</f>
        <v>B+</v>
      </c>
      <c r="Y265" s="12" t="str">
        <f>IFERROR(__xludf.DUMMYFUNCTION("""COMPUTED_VALUE"""),"2")</f>
        <v>2</v>
      </c>
      <c r="Z265" s="12">
        <f>IFERROR(__xludf.DUMMYFUNCTION("""COMPUTED_VALUE"""),103691.0)</f>
        <v>103691</v>
      </c>
      <c r="AA265" s="6" t="str">
        <f>IFERROR(__xludf.DUMMYFUNCTION("""COMPUTED_VALUE"""),"SALUD TOTAL")</f>
        <v>SALUD TOTAL</v>
      </c>
      <c r="AB265" s="6"/>
      <c r="AC265" s="6"/>
      <c r="AD265" s="12" t="str">
        <f>IFERROR(__xludf.DUMMYFUNCTION("""COMPUTED_VALUE"""),"2B")</f>
        <v>2B</v>
      </c>
      <c r="AE265" s="12">
        <f>IFERROR(__xludf.DUMMYFUNCTION("""COMPUTED_VALUE"""),1.345282292E9)</f>
        <v>1345282292</v>
      </c>
      <c r="AF265" s="12" t="str">
        <f>IFERROR(__xludf.DUMMYFUNCTION("""COMPUTED_VALUE"""),"1345282292")</f>
        <v>1345282292</v>
      </c>
      <c r="AG265" s="12" t="str">
        <f>IFERROR(__xludf.DUMMYFUNCTION("""COMPUTED_VALUE"""),"Luisa ")</f>
        <v>Luisa </v>
      </c>
      <c r="AH265" s="12" t="str">
        <f>IFERROR(__xludf.DUMMYFUNCTION("""COMPUTED_VALUE"""),"Fernanda")</f>
        <v>Fernanda</v>
      </c>
      <c r="AI265" s="6" t="str">
        <f>IFERROR(__xludf.DUMMYFUNCTION("""COMPUTED_VALUE"""),"Molano Viera")</f>
        <v>Molano Viera</v>
      </c>
      <c r="AJ265" s="6" t="str">
        <f>IFERROR(__xludf.DUMMYFUNCTION("""COMPUTED_VALUE"""),"luisamo_85@hotmail.com")</f>
        <v>luisamo_85@hotmail.com</v>
      </c>
      <c r="AK265" s="6" t="str">
        <f>IFERROR(__xludf.DUMMYFUNCTION("""COMPUTED_VALUE"""),"Adm negocios internacionales")</f>
        <v>Adm negocios internacionales</v>
      </c>
      <c r="AL265" s="6" t="str">
        <f>IFERROR(__xludf.DUMMYFUNCTION("""COMPUTED_VALUE"""),"Criadero jyl")</f>
        <v>Criadero jyl</v>
      </c>
      <c r="AM265" s="12" t="str">
        <f>IFERROR(__xludf.DUMMYFUNCTION("""COMPUTED_VALUE"""),"1020783089")</f>
        <v>1020783089</v>
      </c>
      <c r="AN265" s="12" t="str">
        <f>IFERROR(__xludf.DUMMYFUNCTION("""COMPUTED_VALUE"""),"3112223792")</f>
        <v>3112223792</v>
      </c>
      <c r="AO265" s="6" t="str">
        <f>IFERROR(__xludf.DUMMYFUNCTION("""COMPUTED_VALUE"""),"Madre")</f>
        <v>Madre</v>
      </c>
      <c r="AP265" s="6" t="str">
        <f>IFERROR(__xludf.DUMMYFUNCTION("""COMPUTED_VALUE"""),"Estudiante(s): Montoya Molano")</f>
        <v>Estudiante(s): Montoya Molano</v>
      </c>
      <c r="AQ265" s="6" t="str">
        <f>IFERROR(__xludf.DUMMYFUNCTION("""COMPUTED_VALUE"""),"103691*Gi")</f>
        <v>103691*Gi</v>
      </c>
      <c r="AR265" s="6" t="str">
        <f>IFERROR(__xludf.DUMMYFUNCTION("""COMPUTED_VALUE"""),"Diego")</f>
        <v>Diego</v>
      </c>
      <c r="AS265" s="6"/>
      <c r="AT265" s="6" t="str">
        <f>IFERROR(__xludf.DUMMYFUNCTION("""COMPUTED_VALUE"""),"Montoya Pérez")</f>
        <v>Montoya Pérez</v>
      </c>
      <c r="AU265" s="6" t="str">
        <f>IFERROR(__xludf.DUMMYFUNCTION("""COMPUTED_VALUE"""),"diego_9027@hotmail.com")</f>
        <v>diego_9027@hotmail.com</v>
      </c>
      <c r="AV265" s="6" t="str">
        <f>IFERROR(__xludf.DUMMYFUNCTION("""COMPUTED_VALUE"""),"Med Veterinario")</f>
        <v>Med Veterinario</v>
      </c>
      <c r="AW265" s="6" t="str">
        <f>IFERROR(__xludf.DUMMYFUNCTION("""COMPUTED_VALUE"""),"Agen")</f>
        <v>Agen</v>
      </c>
      <c r="AX265" s="12" t="str">
        <f>IFERROR(__xludf.DUMMYFUNCTION("""COMPUTED_VALUE"""),"1020751688")</f>
        <v>1020751688</v>
      </c>
      <c r="AY265" s="12" t="str">
        <f>IFERROR(__xludf.DUMMYFUNCTION("""COMPUTED_VALUE"""),"3102348584")</f>
        <v>3102348584</v>
      </c>
      <c r="AZ265" s="6" t="str">
        <f>IFERROR(__xludf.DUMMYFUNCTION("""COMPUTED_VALUE"""),"Padre")</f>
        <v>Padre</v>
      </c>
      <c r="BA265" s="6"/>
      <c r="BB265" s="6"/>
      <c r="BC265" s="6"/>
      <c r="BD265" s="12" t="str">
        <f>IFERROR(__xludf.DUMMYFUNCTION("""COMPUTED_VALUE"""),"mon0014")</f>
        <v>mon0014</v>
      </c>
      <c r="BE265" s="6"/>
      <c r="BF265" s="6"/>
      <c r="BG265" s="6">
        <f>IFERROR(__xludf.DUMMYFUNCTION("""COMPUTED_VALUE"""),2037.0)</f>
        <v>2037</v>
      </c>
      <c r="BH265" s="15">
        <f>IFERROR(__xludf.DUMMYFUNCTION("""COMPUTED_VALUE"""),46253.66569444445)</f>
        <v>46253.66569</v>
      </c>
      <c r="BI265" s="6">
        <f>IFERROR(__xludf.DUMMYFUNCTION("""COMPUTED_VALUE"""),264.0)</f>
        <v>264</v>
      </c>
      <c r="BJ265" s="6"/>
      <c r="BK265" s="6"/>
      <c r="BL265" s="6" t="str">
        <f>IFERROR(__xludf.DUMMYFUNCTION("""COMPUTED_VALUE"""),"GISMON0014")</f>
        <v>GISMON0014</v>
      </c>
      <c r="BM265" s="6"/>
      <c r="BN265" s="6"/>
      <c r="BO265" s="6"/>
      <c r="BP265" s="6"/>
      <c r="BQ265" s="6"/>
      <c r="BR265" s="6"/>
      <c r="BS265" s="6"/>
      <c r="BT265" s="6"/>
      <c r="BU265" s="6" t="str">
        <f>IFERROR(__xludf.DUMMYFUNCTION("""COMPUTED_VALUE"""),"SI")</f>
        <v>SI</v>
      </c>
      <c r="BV265" s="6" t="str">
        <f>IFERROR(__xludf.DUMMYFUNCTION("""COMPUTED_VALUE"""),"alana.m2037")</f>
        <v>alana.m2037</v>
      </c>
      <c r="BW265" s="6"/>
      <c r="BX265" s="6"/>
      <c r="BY265" s="6"/>
      <c r="BZ265" s="6"/>
    </row>
    <row r="266">
      <c r="A266" s="12">
        <f>IFERROR(__xludf.DUMMYFUNCTION("""COMPUTED_VALUE"""),1.092465608E9)</f>
        <v>1092465608</v>
      </c>
      <c r="B266" s="6">
        <f>IFERROR(__xludf.DUMMYFUNCTION("""COMPUTED_VALUE"""),15.0)</f>
        <v>15</v>
      </c>
      <c r="C266" s="6" t="str">
        <f>IFERROR(__xludf.DUMMYFUNCTION("""COMPUTED_VALUE"""),"Simon")</f>
        <v>Simon</v>
      </c>
      <c r="D266" s="6"/>
      <c r="E266" s="6" t="str">
        <f>IFERROR(__xludf.DUMMYFUNCTION("""COMPUTED_VALUE"""),"Ospina Lezama")</f>
        <v>Ospina Lezama</v>
      </c>
      <c r="F266" s="6" t="str">
        <f>IFERROR(__xludf.DUMMYFUNCTION("""COMPUTED_VALUE"""),"Brisas del Guadual Chalet No 11 - Km 04 Via el Eden")</f>
        <v>Brisas del Guadual Chalet No 11 - Km 04 Via el Eden</v>
      </c>
      <c r="G266" s="12" t="str">
        <f>IFERROR(__xludf.DUMMYFUNCTION("""COMPUTED_VALUE"""),"2018")</f>
        <v>2018</v>
      </c>
      <c r="H266" s="6" t="str">
        <f>IFERROR(__xludf.DUMMYFUNCTION("""COMPUTED_VALUE"""),"Abril")</f>
        <v>Abril</v>
      </c>
      <c r="I266" s="12" t="str">
        <f>IFERROR(__xludf.DUMMYFUNCTION("""COMPUTED_VALUE"""),"8")</f>
        <v>8</v>
      </c>
      <c r="J266" s="6" t="str">
        <f>IFERROR(__xludf.DUMMYFUNCTION("""COMPUTED_VALUE"""),"Armenia")</f>
        <v>Armenia</v>
      </c>
      <c r="K266" s="6" t="str">
        <f>IFERROR(__xludf.DUMMYFUNCTION("""COMPUTED_VALUE"""),"simon.o2037@gi.edu.co")</f>
        <v>simon.o2037@gi.edu.co</v>
      </c>
      <c r="L266" s="6" t="str">
        <f>IFERROR(__xludf.DUMMYFUNCTION("""COMPUTED_VALUE"""),"TI")</f>
        <v>TI</v>
      </c>
      <c r="M266" s="6" t="str">
        <f>IFERROR(__xludf.DUMMYFUNCTION("""COMPUTED_VALUE"""),"Armenia")</f>
        <v>Armenia</v>
      </c>
      <c r="N266" s="6" t="str">
        <f>IFERROR(__xludf.DUMMYFUNCTION("""COMPUTED_VALUE"""),"M")</f>
        <v>M</v>
      </c>
      <c r="O266" s="6" t="str">
        <f>IFERROR(__xludf.DUMMYFUNCTION("""COMPUTED_VALUE"""),"ACTIVE")</f>
        <v>ACTIVE</v>
      </c>
      <c r="P266" s="6"/>
      <c r="Q266" s="6" t="str">
        <f>IFERROR(__xludf.DUMMYFUNCTION("""COMPUTED_VALUE"""),"Armenia")</f>
        <v>Armenia</v>
      </c>
      <c r="R266" s="12" t="str">
        <f>IFERROR(__xludf.DUMMYFUNCTION("""COMPUTED_VALUE"""),"Gix38k07pb*")</f>
        <v>Gix38k07pb*</v>
      </c>
      <c r="S266" s="6" t="str">
        <f>IFERROR(__xludf.DUMMYFUNCTION("""COMPUTED_VALUE"""),"Ospina Lezama Simon ")</f>
        <v>Ospina Lezama Simon </v>
      </c>
      <c r="T266" s="6" t="str">
        <f>IFERROR(__xludf.DUMMYFUNCTION("""COMPUTED_VALUE"""),"CATALINA LEZAMA VELASQUEZ")</f>
        <v>CATALINA LEZAMA VELASQUEZ</v>
      </c>
      <c r="U266" s="12" t="str">
        <f>IFERROR(__xludf.DUMMYFUNCTION("""COMPUTED_VALUE"""),"1094924858")</f>
        <v>1094924858</v>
      </c>
      <c r="V266" s="6">
        <f>IFERROR(__xludf.DUMMYFUNCTION("""COMPUTED_VALUE"""),3.113429331E9)</f>
        <v>3113429331</v>
      </c>
      <c r="W266" s="6" t="str">
        <f>IFERROR(__xludf.DUMMYFUNCTION("""COMPUTED_VALUE"""),"catalezama@gmail.com")</f>
        <v>catalezama@gmail.com</v>
      </c>
      <c r="X266" s="12" t="str">
        <f>IFERROR(__xludf.DUMMYFUNCTION("""COMPUTED_VALUE"""),"O+")</f>
        <v>O+</v>
      </c>
      <c r="Y266" s="12" t="str">
        <f>IFERROR(__xludf.DUMMYFUNCTION("""COMPUTED_VALUE"""),"2")</f>
        <v>2</v>
      </c>
      <c r="Z266" s="12">
        <f>IFERROR(__xludf.DUMMYFUNCTION("""COMPUTED_VALUE"""),120089.0)</f>
        <v>120089</v>
      </c>
      <c r="AA266" s="6" t="str">
        <f>IFERROR(__xludf.DUMMYFUNCTION("""COMPUTED_VALUE"""),"SURA")</f>
        <v>SURA</v>
      </c>
      <c r="AB266" s="6"/>
      <c r="AC266" s="6" t="str">
        <f>IFERROR(__xludf.DUMMYFUNCTION("""COMPUTED_VALUE"""),"No puede tomar mucha leche animal, ni comer muchos dulces, esta presentando dolores en la boca del estomago y creemos que es por eso, de todas formas estamos analizando el caso para determinar la causa del dolor. Leche Animal")</f>
        <v>No puede tomar mucha leche animal, ni comer muchos dulces, esta presentando dolores en la boca del estomago y creemos que es por eso, de todas formas estamos analizando el caso para determinar la causa del dolor. Leche Animal</v>
      </c>
      <c r="AD266" s="12" t="str">
        <f>IFERROR(__xludf.DUMMYFUNCTION("""COMPUTED_VALUE"""),"2B")</f>
        <v>2B</v>
      </c>
      <c r="AE266" s="12">
        <f>IFERROR(__xludf.DUMMYFUNCTION("""COMPUTED_VALUE"""),1.345282119E9)</f>
        <v>1345282119</v>
      </c>
      <c r="AF266" s="12" t="str">
        <f>IFERROR(__xludf.DUMMYFUNCTION("""COMPUTED_VALUE"""),"2812110999")</f>
        <v>2812110999</v>
      </c>
      <c r="AG266" s="12" t="str">
        <f>IFERROR(__xludf.DUMMYFUNCTION("""COMPUTED_VALUE"""),"Catalina")</f>
        <v>Catalina</v>
      </c>
      <c r="AH266" s="6"/>
      <c r="AI266" s="6" t="str">
        <f>IFERROR(__xludf.DUMMYFUNCTION("""COMPUTED_VALUE"""),"Lezama Velásquez")</f>
        <v>Lezama Velásquez</v>
      </c>
      <c r="AJ266" s="6" t="str">
        <f>IFERROR(__xludf.DUMMYFUNCTION("""COMPUTED_VALUE"""),"catalezama@gmail.com")</f>
        <v>catalezama@gmail.com</v>
      </c>
      <c r="AK266" s="6" t="str">
        <f>IFERROR(__xludf.DUMMYFUNCTION("""COMPUTED_VALUE"""),"Diseñador Industrial")</f>
        <v>Diseñador Industrial</v>
      </c>
      <c r="AL266" s="6" t="str">
        <f>IFERROR(__xludf.DUMMYFUNCTION("""COMPUTED_VALUE"""),"Catalina Lezama Diseño de Eventos")</f>
        <v>Catalina Lezama Diseño de Eventos</v>
      </c>
      <c r="AM266" s="12" t="str">
        <f>IFERROR(__xludf.DUMMYFUNCTION("""COMPUTED_VALUE"""),"1094924858")</f>
        <v>1094924858</v>
      </c>
      <c r="AN266" s="12" t="str">
        <f>IFERROR(__xludf.DUMMYFUNCTION("""COMPUTED_VALUE"""),"3113429331")</f>
        <v>3113429331</v>
      </c>
      <c r="AO266" s="6" t="str">
        <f>IFERROR(__xludf.DUMMYFUNCTION("""COMPUTED_VALUE"""),"Madre")</f>
        <v>Madre</v>
      </c>
      <c r="AP266" s="6" t="str">
        <f>IFERROR(__xludf.DUMMYFUNCTION("""COMPUTED_VALUE"""),"Estudiante(s): Ospina Lezama")</f>
        <v>Estudiante(s): Ospina Lezama</v>
      </c>
      <c r="AQ266" s="6" t="str">
        <f>IFERROR(__xludf.DUMMYFUNCTION("""COMPUTED_VALUE"""),"120089*Gi")</f>
        <v>120089*Gi</v>
      </c>
      <c r="AR266" s="6" t="str">
        <f>IFERROR(__xludf.DUMMYFUNCTION("""COMPUTED_VALUE"""),"Carlos")</f>
        <v>Carlos</v>
      </c>
      <c r="AS266" s="6" t="str">
        <f>IFERROR(__xludf.DUMMYFUNCTION("""COMPUTED_VALUE"""),"Alonso")</f>
        <v>Alonso</v>
      </c>
      <c r="AT266" s="6" t="str">
        <f>IFERROR(__xludf.DUMMYFUNCTION("""COMPUTED_VALUE"""),"Ospina Giraldo")</f>
        <v>Ospina Giraldo</v>
      </c>
      <c r="AU266" s="6" t="str">
        <f>IFERROR(__xludf.DUMMYFUNCTION("""COMPUTED_VALUE"""),"carlos.ospinagiraldo@gmail.com")</f>
        <v>carlos.ospinagiraldo@gmail.com</v>
      </c>
      <c r="AV266" s="6"/>
      <c r="AW266" s="6"/>
      <c r="AX266" s="12" t="str">
        <f>IFERROR(__xludf.DUMMYFUNCTION("""COMPUTED_VALUE"""),"1053791405")</f>
        <v>1053791405</v>
      </c>
      <c r="AY266" s="12" t="str">
        <f>IFERROR(__xludf.DUMMYFUNCTION("""COMPUTED_VALUE"""),"3137591370")</f>
        <v>3137591370</v>
      </c>
      <c r="AZ266" s="6" t="str">
        <f>IFERROR(__xludf.DUMMYFUNCTION("""COMPUTED_VALUE"""),"Padre")</f>
        <v>Padre</v>
      </c>
      <c r="BA266" s="6" t="str">
        <f>IFERROR(__xludf.DUMMYFUNCTION("""COMPUTED_VALUE"""),"BLANCA YANETH GIRALDO ZULUAGA")</f>
        <v>BLANCA YANETH GIRALDO ZULUAGA</v>
      </c>
      <c r="BB266" s="6">
        <f>IFERROR(__xludf.DUMMYFUNCTION("""COMPUTED_VALUE"""),3.10389073E9)</f>
        <v>3103890730</v>
      </c>
      <c r="BC266" s="6" t="str">
        <f>IFERROR(__xludf.DUMMYFUNCTION("""COMPUTED_VALUE"""),"Abuelo(a)")</f>
        <v>Abuelo(a)</v>
      </c>
      <c r="BD266" s="12" t="str">
        <f>IFERROR(__xludf.DUMMYFUNCTION("""COMPUTED_VALUE"""),"osp0002")</f>
        <v>osp0002</v>
      </c>
      <c r="BE266" s="6"/>
      <c r="BF266" s="6"/>
      <c r="BG266" s="6">
        <f>IFERROR(__xludf.DUMMYFUNCTION("""COMPUTED_VALUE"""),2037.0)</f>
        <v>2037</v>
      </c>
      <c r="BH266" s="15">
        <f>IFERROR(__xludf.DUMMYFUNCTION("""COMPUTED_VALUE"""),46216.952256944445)</f>
        <v>46216.95226</v>
      </c>
      <c r="BI266" s="6">
        <f>IFERROR(__xludf.DUMMYFUNCTION("""COMPUTED_VALUE"""),265.0)</f>
        <v>265</v>
      </c>
      <c r="BJ266" s="6"/>
      <c r="BK266" s="6"/>
      <c r="BL266" s="6" t="str">
        <f>IFERROR(__xludf.DUMMYFUNCTION("""COMPUTED_VALUE"""),"GISOSP0002")</f>
        <v>GISOSP0002</v>
      </c>
      <c r="BM266" s="6"/>
      <c r="BN266" s="6"/>
      <c r="BO266" s="6"/>
      <c r="BP266" s="6" t="str">
        <f>IFERROR(__xludf.DUMMYFUNCTION("""COMPUTED_VALUE"""),"XC_123_Basquetbol")</f>
        <v>XC_123_Basquetbol</v>
      </c>
      <c r="BQ266" s="6"/>
      <c r="BR266" s="6" t="str">
        <f>IFERROR(__xludf.DUMMYFUNCTION("""COMPUTED_VALUE"""),"XC_EL_DesaInstrumental")</f>
        <v>XC_EL_DesaInstrumental</v>
      </c>
      <c r="BS266" s="6" t="str">
        <f>IFERROR(__xludf.DUMMYFUNCTION("""COMPUTED_VALUE"""),"XC_123_Basquetbol")</f>
        <v>XC_123_Basquetbol</v>
      </c>
      <c r="BT266" s="6" t="str">
        <f>IFERROR(__xludf.DUMMYFUNCTION("""COMPUTED_VALUE"""),"XC_123_Basquetbol")</f>
        <v>XC_123_Basquetbol</v>
      </c>
      <c r="BU266" s="6" t="str">
        <f>IFERROR(__xludf.DUMMYFUNCTION("""COMPUTED_VALUE"""),"SI")</f>
        <v>SI</v>
      </c>
      <c r="BV266" s="6" t="str">
        <f>IFERROR(__xludf.DUMMYFUNCTION("""COMPUTED_VALUE"""),"simon.o2037")</f>
        <v>simon.o2037</v>
      </c>
      <c r="BW266" s="6"/>
      <c r="BX266" s="6"/>
      <c r="BY266" s="6"/>
      <c r="BZ266" s="6"/>
    </row>
    <row r="267">
      <c r="A267" s="12">
        <f>IFERROR(__xludf.DUMMYFUNCTION("""COMPUTED_VALUE"""),1.011257534E9)</f>
        <v>1011257534</v>
      </c>
      <c r="B267" s="6">
        <f>IFERROR(__xludf.DUMMYFUNCTION("""COMPUTED_VALUE"""),16.0)</f>
        <v>16</v>
      </c>
      <c r="C267" s="6" t="str">
        <f>IFERROR(__xludf.DUMMYFUNCTION("""COMPUTED_VALUE"""),"Emiliano")</f>
        <v>Emiliano</v>
      </c>
      <c r="D267" s="6"/>
      <c r="E267" s="6" t="str">
        <f>IFERROR(__xludf.DUMMYFUNCTION("""COMPUTED_VALUE"""),"Pinillo Chaparro")</f>
        <v>Pinillo Chaparro</v>
      </c>
      <c r="F267" s="6" t="str">
        <f>IFERROR(__xludf.DUMMYFUNCTION("""COMPUTED_VALUE"""),"Villas de Circasia Casa 10 - Km 5 Via Armenia Pereira")</f>
        <v>Villas de Circasia Casa 10 - Km 5 Via Armenia Pereira</v>
      </c>
      <c r="G267" s="12" t="str">
        <f>IFERROR(__xludf.DUMMYFUNCTION("""COMPUTED_VALUE"""),"2019")</f>
        <v>2019</v>
      </c>
      <c r="H267" s="6" t="str">
        <f>IFERROR(__xludf.DUMMYFUNCTION("""COMPUTED_VALUE"""),"Septiembre")</f>
        <v>Septiembre</v>
      </c>
      <c r="I267" s="12" t="str">
        <f>IFERROR(__xludf.DUMMYFUNCTION("""COMPUTED_VALUE"""),"23")</f>
        <v>23</v>
      </c>
      <c r="J267" s="6" t="str">
        <f>IFERROR(__xludf.DUMMYFUNCTION("""COMPUTED_VALUE"""),"Bogotá D.C.")</f>
        <v>Bogotá D.C.</v>
      </c>
      <c r="K267" s="6" t="str">
        <f>IFERROR(__xludf.DUMMYFUNCTION("""COMPUTED_VALUE"""),"emiliano.p2038@gi.edu.co")</f>
        <v>emiliano.p2038@gi.edu.co</v>
      </c>
      <c r="L267" s="6" t="str">
        <f>IFERROR(__xludf.DUMMYFUNCTION("""COMPUTED_VALUE"""),"RC")</f>
        <v>RC</v>
      </c>
      <c r="M267" s="6" t="str">
        <f>IFERROR(__xludf.DUMMYFUNCTION("""COMPUTED_VALUE"""),"Bogotá D.C.")</f>
        <v>Bogotá D.C.</v>
      </c>
      <c r="N267" s="6" t="str">
        <f>IFERROR(__xludf.DUMMYFUNCTION("""COMPUTED_VALUE"""),"M")</f>
        <v>M</v>
      </c>
      <c r="O267" s="6" t="str">
        <f>IFERROR(__xludf.DUMMYFUNCTION("""COMPUTED_VALUE"""),"ACTIVE")</f>
        <v>ACTIVE</v>
      </c>
      <c r="P267" s="6"/>
      <c r="Q267" s="6" t="str">
        <f>IFERROR(__xludf.DUMMYFUNCTION("""COMPUTED_VALUE"""),"Bogotá D.C.")</f>
        <v>Bogotá D.C.</v>
      </c>
      <c r="R267" s="12" t="str">
        <f>IFERROR(__xludf.DUMMYFUNCTION("""COMPUTED_VALUE"""),"Gislo93wx*")</f>
        <v>Gislo93wx*</v>
      </c>
      <c r="S267" s="6" t="str">
        <f>IFERROR(__xludf.DUMMYFUNCTION("""COMPUTED_VALUE"""),"Pinillo Chaparro Emiliano ")</f>
        <v>Pinillo Chaparro Emiliano </v>
      </c>
      <c r="T267" s="6"/>
      <c r="U267" s="6"/>
      <c r="V267" s="6"/>
      <c r="W267" s="6"/>
      <c r="X267" s="12" t="str">
        <f>IFERROR(__xludf.DUMMYFUNCTION("""COMPUTED_VALUE"""),"O-")</f>
        <v>O-</v>
      </c>
      <c r="Y267" s="12" t="str">
        <f>IFERROR(__xludf.DUMMYFUNCTION("""COMPUTED_VALUE"""),"2")</f>
        <v>2</v>
      </c>
      <c r="Z267" s="12">
        <f>IFERROR(__xludf.DUMMYFUNCTION("""COMPUTED_VALUE"""),120456.0)</f>
        <v>120456</v>
      </c>
      <c r="AA267" s="6" t="str">
        <f>IFERROR(__xludf.DUMMYFUNCTION("""COMPUTED_VALUE"""),"SURA")</f>
        <v>SURA</v>
      </c>
      <c r="AB267" s="6"/>
      <c r="AC267" s="6"/>
      <c r="AD267" s="12" t="str">
        <f>IFERROR(__xludf.DUMMYFUNCTION("""COMPUTED_VALUE"""),"2B")</f>
        <v>2B</v>
      </c>
      <c r="AE267" s="12" t="str">
        <f>IFERROR(__xludf.DUMMYFUNCTION("""COMPUTED_VALUE"""),"1345282464")</f>
        <v>1345282464</v>
      </c>
      <c r="AF267" s="12" t="str">
        <f>IFERROR(__xludf.DUMMYFUNCTION("""COMPUTED_VALUE"""),"1345282464")</f>
        <v>1345282464</v>
      </c>
      <c r="AG267" s="12" t="str">
        <f>IFERROR(__xludf.DUMMYFUNCTION("""COMPUTED_VALUE"""),"Anamaría")</f>
        <v>Anamaría</v>
      </c>
      <c r="AH267" s="6"/>
      <c r="AI267" s="6" t="str">
        <f>IFERROR(__xludf.DUMMYFUNCTION("""COMPUTED_VALUE"""),"Chaparro García")</f>
        <v>Chaparro García</v>
      </c>
      <c r="AJ267" s="6" t="str">
        <f>IFERROR(__xludf.DUMMYFUNCTION("""COMPUTED_VALUE"""),"anamaria.chaparrog92@gmail.com")</f>
        <v>anamaria.chaparrog92@gmail.com</v>
      </c>
      <c r="AK267" s="6" t="str">
        <f>IFERROR(__xludf.DUMMYFUNCTION("""COMPUTED_VALUE"""),"MICROBIOLOGA INDUSTRIAL")</f>
        <v>MICROBIOLOGA INDUSTRIAL</v>
      </c>
      <c r="AL267" s="6" t="str">
        <f>IFERROR(__xludf.DUMMYFUNCTION("""COMPUTED_VALUE"""),"BIMBO DE COLOMBIA S.A ")</f>
        <v>BIMBO DE COLOMBIA S.A </v>
      </c>
      <c r="AM267" s="12" t="str">
        <f>IFERROR(__xludf.DUMMYFUNCTION("""COMPUTED_VALUE"""),"1013636649")</f>
        <v>1013636649</v>
      </c>
      <c r="AN267" s="12" t="str">
        <f>IFERROR(__xludf.DUMMYFUNCTION("""COMPUTED_VALUE"""),"3006351608")</f>
        <v>3006351608</v>
      </c>
      <c r="AO267" s="6" t="str">
        <f>IFERROR(__xludf.DUMMYFUNCTION("""COMPUTED_VALUE"""),"Madre")</f>
        <v>Madre</v>
      </c>
      <c r="AP267" s="6" t="str">
        <f>IFERROR(__xludf.DUMMYFUNCTION("""COMPUTED_VALUE"""),"Estudiante(s): Pinillo Chaparro")</f>
        <v>Estudiante(s): Pinillo Chaparro</v>
      </c>
      <c r="AQ267" s="6" t="str">
        <f>IFERROR(__xludf.DUMMYFUNCTION("""COMPUTED_VALUE"""),"120456*Gi")</f>
        <v>120456*Gi</v>
      </c>
      <c r="AR267" s="6" t="str">
        <f>IFERROR(__xludf.DUMMYFUNCTION("""COMPUTED_VALUE"""),"Carlos")</f>
        <v>Carlos</v>
      </c>
      <c r="AS267" s="6" t="str">
        <f>IFERROR(__xludf.DUMMYFUNCTION("""COMPUTED_VALUE"""),"Andrés")</f>
        <v>Andrés</v>
      </c>
      <c r="AT267" s="6" t="str">
        <f>IFERROR(__xludf.DUMMYFUNCTION("""COMPUTED_VALUE"""),"Pinillo Quintero")</f>
        <v>Pinillo Quintero</v>
      </c>
      <c r="AU267" s="6" t="str">
        <f>IFERROR(__xludf.DUMMYFUNCTION("""COMPUTED_VALUE"""),"capiniq@gmail.com")</f>
        <v>capiniq@gmail.com</v>
      </c>
      <c r="AV267" s="6" t="str">
        <f>IFERROR(__xludf.DUMMYFUNCTION("""COMPUTED_VALUE"""),"Docente")</f>
        <v>Docente</v>
      </c>
      <c r="AW267" s="6" t="str">
        <f>IFERROR(__xludf.DUMMYFUNCTION("""COMPUTED_VALUE"""),"GI School")</f>
        <v>GI School</v>
      </c>
      <c r="AX267" s="12" t="str">
        <f>IFERROR(__xludf.DUMMYFUNCTION("""COMPUTED_VALUE"""),"79954141")</f>
        <v>79954141</v>
      </c>
      <c r="AY267" s="12" t="str">
        <f>IFERROR(__xludf.DUMMYFUNCTION("""COMPUTED_VALUE"""),"3044523105")</f>
        <v>3044523105</v>
      </c>
      <c r="AZ267" s="6" t="str">
        <f>IFERROR(__xludf.DUMMYFUNCTION("""COMPUTED_VALUE"""),"Padre")</f>
        <v>Padre</v>
      </c>
      <c r="BA267" s="6"/>
      <c r="BB267" s="6"/>
      <c r="BC267" s="6"/>
      <c r="BD267" s="12" t="str">
        <f>IFERROR(__xludf.DUMMYFUNCTION("""COMPUTED_VALUE"""),"pin0009")</f>
        <v>pin0009</v>
      </c>
      <c r="BE267" s="6"/>
      <c r="BF267" s="6"/>
      <c r="BG267" s="6">
        <f>IFERROR(__xludf.DUMMYFUNCTION("""COMPUTED_VALUE"""),2037.0)</f>
        <v>2037</v>
      </c>
      <c r="BH267" s="15">
        <f>IFERROR(__xludf.DUMMYFUNCTION("""COMPUTED_VALUE"""),46210.915613425925)</f>
        <v>46210.91561</v>
      </c>
      <c r="BI267" s="6">
        <f>IFERROR(__xludf.DUMMYFUNCTION("""COMPUTED_VALUE"""),266.0)</f>
        <v>266</v>
      </c>
      <c r="BJ267" s="6"/>
      <c r="BK267" s="6"/>
      <c r="BL267" s="6" t="str">
        <f>IFERROR(__xludf.DUMMYFUNCTION("""COMPUTED_VALUE"""),"GISPIN0009")</f>
        <v>GISPIN0009</v>
      </c>
      <c r="BM267" s="6"/>
      <c r="BN267" s="6"/>
      <c r="BO267" s="6" t="str">
        <f>IFERROR(__xludf.DUMMYFUNCTION("""COMPUTED_VALUE"""),"XC_EL_ArtesPlasticas")</f>
        <v>XC_EL_ArtesPlasticas</v>
      </c>
      <c r="BP267" s="6" t="str">
        <f>IFERROR(__xludf.DUMMYFUNCTION("""COMPUTED_VALUE"""),"XC_23_Futbol_M")</f>
        <v>XC_23_Futbol_M</v>
      </c>
      <c r="BQ267" s="6"/>
      <c r="BR267" s="6" t="str">
        <f>IFERROR(__xludf.DUMMYFUNCTION("""COMPUTED_VALUE"""),"XC_EL_PequenosCientificos")</f>
        <v>XC_EL_PequenosCientificos</v>
      </c>
      <c r="BS267" s="6" t="str">
        <f>IFERROR(__xludf.DUMMYFUNCTION("""COMPUTED_VALUE"""),"XC_23_Futbol_M")</f>
        <v>XC_23_Futbol_M</v>
      </c>
      <c r="BT267" s="6" t="str">
        <f>IFERROR(__xludf.DUMMYFUNCTION("""COMPUTED_VALUE"""),"XC_23_Futbol_M")</f>
        <v>XC_23_Futbol_M</v>
      </c>
      <c r="BU267" s="6" t="str">
        <f>IFERROR(__xludf.DUMMYFUNCTION("""COMPUTED_VALUE"""),"SI")</f>
        <v>SI</v>
      </c>
      <c r="BV267" s="6" t="str">
        <f>IFERROR(__xludf.DUMMYFUNCTION("""COMPUTED_VALUE"""),"emiliano.p2038")</f>
        <v>emiliano.p2038</v>
      </c>
      <c r="BW267" s="6"/>
      <c r="BX267" s="6"/>
      <c r="BY267" s="6"/>
      <c r="BZ267" s="6"/>
    </row>
    <row r="268">
      <c r="A268" s="12">
        <f>IFERROR(__xludf.DUMMYFUNCTION("""COMPUTED_VALUE"""),1.09286286E9)</f>
        <v>1092862860</v>
      </c>
      <c r="B268" s="6">
        <f>IFERROR(__xludf.DUMMYFUNCTION("""COMPUTED_VALUE"""),17.0)</f>
        <v>17</v>
      </c>
      <c r="C268" s="6" t="str">
        <f>IFERROR(__xludf.DUMMYFUNCTION("""COMPUTED_VALUE"""),"Guadalupe")</f>
        <v>Guadalupe</v>
      </c>
      <c r="D268" s="6"/>
      <c r="E268" s="6" t="str">
        <f>IFERROR(__xludf.DUMMYFUNCTION("""COMPUTED_VALUE"""),"Ramírez Rubiano")</f>
        <v>Ramírez Rubiano</v>
      </c>
      <c r="F268" s="6" t="str">
        <f>IFERROR(__xludf.DUMMYFUNCTION("""COMPUTED_VALUE"""),"Horeb Torre 1 Apto 306 - Cra 6 No13Nte - 27 - Av Centenario")</f>
        <v>Horeb Torre 1 Apto 306 - Cra 6 No13Nte - 27 - Av Centenario</v>
      </c>
      <c r="G268" s="12" t="str">
        <f>IFERROR(__xludf.DUMMYFUNCTION("""COMPUTED_VALUE"""),"2019")</f>
        <v>2019</v>
      </c>
      <c r="H268" s="6" t="str">
        <f>IFERROR(__xludf.DUMMYFUNCTION("""COMPUTED_VALUE"""),"Marzo")</f>
        <v>Marzo</v>
      </c>
      <c r="I268" s="12" t="str">
        <f>IFERROR(__xludf.DUMMYFUNCTION("""COMPUTED_VALUE"""),"30")</f>
        <v>30</v>
      </c>
      <c r="J268" s="6" t="str">
        <f>IFERROR(__xludf.DUMMYFUNCTION("""COMPUTED_VALUE"""),"Armenia")</f>
        <v>Armenia</v>
      </c>
      <c r="K268" s="6" t="str">
        <f>IFERROR(__xludf.DUMMYFUNCTION("""COMPUTED_VALUE"""),"guadalupe.r2037@gi.edu.co")</f>
        <v>guadalupe.r2037@gi.edu.co</v>
      </c>
      <c r="L268" s="6" t="str">
        <f>IFERROR(__xludf.DUMMYFUNCTION("""COMPUTED_VALUE"""),"RC")</f>
        <v>RC</v>
      </c>
      <c r="M268" s="6" t="str">
        <f>IFERROR(__xludf.DUMMYFUNCTION("""COMPUTED_VALUE"""),"Armenia")</f>
        <v>Armenia</v>
      </c>
      <c r="N268" s="6" t="str">
        <f>IFERROR(__xludf.DUMMYFUNCTION("""COMPUTED_VALUE"""),"F")</f>
        <v>F</v>
      </c>
      <c r="O268" s="6" t="str">
        <f>IFERROR(__xludf.DUMMYFUNCTION("""COMPUTED_VALUE"""),"ACTIVE")</f>
        <v>ACTIVE</v>
      </c>
      <c r="P268" s="6"/>
      <c r="Q268" s="6" t="str">
        <f>IFERROR(__xludf.DUMMYFUNCTION("""COMPUTED_VALUE"""),"Armenia")</f>
        <v>Armenia</v>
      </c>
      <c r="R268" s="12" t="str">
        <f>IFERROR(__xludf.DUMMYFUNCTION("""COMPUTED_VALUE"""),"Gindfd6*")</f>
        <v>Gindfd6*</v>
      </c>
      <c r="S268" s="6" t="str">
        <f>IFERROR(__xludf.DUMMYFUNCTION("""COMPUTED_VALUE"""),"Ramírez Rubiano Guadalupe ")</f>
        <v>Ramírez Rubiano Guadalupe </v>
      </c>
      <c r="T268" s="6" t="str">
        <f>IFERROR(__xludf.DUMMYFUNCTION("""COMPUTED_VALUE"""),"OSCAR HUMBERTO RAMIREZ GARCIA")</f>
        <v>OSCAR HUMBERTO RAMIREZ GARCIA</v>
      </c>
      <c r="U268" s="12" t="str">
        <f>IFERROR(__xludf.DUMMYFUNCTION("""COMPUTED_VALUE"""),"89009368")</f>
        <v>89009368</v>
      </c>
      <c r="V268" s="6">
        <f>IFERROR(__xludf.DUMMYFUNCTION("""COMPUTED_VALUE"""),3.14618151E9)</f>
        <v>3146181510</v>
      </c>
      <c r="W268" s="6" t="str">
        <f>IFERROR(__xludf.DUMMYFUNCTION("""COMPUTED_VALUE"""),"oscarcheton@hotmail.com")</f>
        <v>oscarcheton@hotmail.com</v>
      </c>
      <c r="X268" s="12" t="str">
        <f>IFERROR(__xludf.DUMMYFUNCTION("""COMPUTED_VALUE"""),"O+")</f>
        <v>O+</v>
      </c>
      <c r="Y268" s="12" t="str">
        <f>IFERROR(__xludf.DUMMYFUNCTION("""COMPUTED_VALUE"""),"2")</f>
        <v>2</v>
      </c>
      <c r="Z268" s="12">
        <f>IFERROR(__xludf.DUMMYFUNCTION("""COMPUTED_VALUE"""),120373.0)</f>
        <v>120373</v>
      </c>
      <c r="AA268" s="6" t="str">
        <f>IFERROR(__xludf.DUMMYFUNCTION("""COMPUTED_VALUE"""),"SURA")</f>
        <v>SURA</v>
      </c>
      <c r="AB268" s="6"/>
      <c r="AC268" s="6"/>
      <c r="AD268" s="12" t="str">
        <f>IFERROR(__xludf.DUMMYFUNCTION("""COMPUTED_VALUE"""),"2B")</f>
        <v>2B</v>
      </c>
      <c r="AE268" s="12" t="str">
        <f>IFERROR(__xludf.DUMMYFUNCTION("""COMPUTED_VALUE"""),"1345282367")</f>
        <v>1345282367</v>
      </c>
      <c r="AF268" s="12" t="str">
        <f>IFERROR(__xludf.DUMMYFUNCTION("""COMPUTED_VALUE"""),"1345282367")</f>
        <v>1345282367</v>
      </c>
      <c r="AG268" s="12" t="str">
        <f>IFERROR(__xludf.DUMMYFUNCTION("""COMPUTED_VALUE"""),"Daniela")</f>
        <v>Daniela</v>
      </c>
      <c r="AH268" s="6"/>
      <c r="AI268" s="6" t="str">
        <f>IFERROR(__xludf.DUMMYFUNCTION("""COMPUTED_VALUE"""),"Rubiano Rivera")</f>
        <v>Rubiano Rivera</v>
      </c>
      <c r="AJ268" s="6" t="str">
        <f>IFERROR(__xludf.DUMMYFUNCTION("""COMPUTED_VALUE"""),"danirubiano09@gmail.com")</f>
        <v>danirubiano09@gmail.com</v>
      </c>
      <c r="AK268" s="6" t="str">
        <f>IFERROR(__xludf.DUMMYFUNCTION("""COMPUTED_VALUE"""),"publicista")</f>
        <v>publicista</v>
      </c>
      <c r="AL268" s="6" t="str">
        <f>IFERROR(__xludf.DUMMYFUNCTION("""COMPUTED_VALUE"""),"Reedog")</f>
        <v>Reedog</v>
      </c>
      <c r="AM268" s="12" t="str">
        <f>IFERROR(__xludf.DUMMYFUNCTION("""COMPUTED_VALUE"""),"1094915881")</f>
        <v>1094915881</v>
      </c>
      <c r="AN268" s="12" t="str">
        <f>IFERROR(__xludf.DUMMYFUNCTION("""COMPUTED_VALUE"""),"3217678493")</f>
        <v>3217678493</v>
      </c>
      <c r="AO268" s="6" t="str">
        <f>IFERROR(__xludf.DUMMYFUNCTION("""COMPUTED_VALUE"""),"Madre")</f>
        <v>Madre</v>
      </c>
      <c r="AP268" s="6" t="str">
        <f>IFERROR(__xludf.DUMMYFUNCTION("""COMPUTED_VALUE"""),"Estudiante(s):  Ramirez Rubiano")</f>
        <v>Estudiante(s):  Ramirez Rubiano</v>
      </c>
      <c r="AQ268" s="6" t="str">
        <f>IFERROR(__xludf.DUMMYFUNCTION("""COMPUTED_VALUE"""),"120373*Gi")</f>
        <v>120373*Gi</v>
      </c>
      <c r="AR268" s="6" t="str">
        <f>IFERROR(__xludf.DUMMYFUNCTION("""COMPUTED_VALUE"""),"Óscar")</f>
        <v>Óscar</v>
      </c>
      <c r="AS268" s="6" t="str">
        <f>IFERROR(__xludf.DUMMYFUNCTION("""COMPUTED_VALUE"""),"Humberto")</f>
        <v>Humberto</v>
      </c>
      <c r="AT268" s="6" t="str">
        <f>IFERROR(__xludf.DUMMYFUNCTION("""COMPUTED_VALUE"""),"Ramírez García")</f>
        <v>Ramírez García</v>
      </c>
      <c r="AU268" s="6" t="str">
        <f>IFERROR(__xludf.DUMMYFUNCTION("""COMPUTED_VALUE"""),"oscarcheton@hotmail.com")</f>
        <v>oscarcheton@hotmail.com</v>
      </c>
      <c r="AV268" s="6" t="str">
        <f>IFERROR(__xludf.DUMMYFUNCTION("""COMPUTED_VALUE"""),"Comerciante")</f>
        <v>Comerciante</v>
      </c>
      <c r="AW268" s="6" t="str">
        <f>IFERROR(__xludf.DUMMYFUNCTION("""COMPUTED_VALUE"""),"Best pizza")</f>
        <v>Best pizza</v>
      </c>
      <c r="AX268" s="12" t="str">
        <f>IFERROR(__xludf.DUMMYFUNCTION("""COMPUTED_VALUE"""),"89009368")</f>
        <v>89009368</v>
      </c>
      <c r="AY268" s="12">
        <f>IFERROR(__xludf.DUMMYFUNCTION("""COMPUTED_VALUE"""),3.14618151E9)</f>
        <v>3146181510</v>
      </c>
      <c r="AZ268" s="6" t="str">
        <f>IFERROR(__xludf.DUMMYFUNCTION("""COMPUTED_VALUE"""),"Padre")</f>
        <v>Padre</v>
      </c>
      <c r="BA268" s="6"/>
      <c r="BB268" s="6"/>
      <c r="BC268" s="6"/>
      <c r="BD268" s="12" t="str">
        <f>IFERROR(__xludf.DUMMYFUNCTION("""COMPUTED_VALUE"""),"ram0006")</f>
        <v>ram0006</v>
      </c>
      <c r="BE268" s="6"/>
      <c r="BF268" s="6"/>
      <c r="BG268" s="6">
        <f>IFERROR(__xludf.DUMMYFUNCTION("""COMPUTED_VALUE"""),2037.0)</f>
        <v>2037</v>
      </c>
      <c r="BH268" s="15">
        <f>IFERROR(__xludf.DUMMYFUNCTION("""COMPUTED_VALUE"""),46213.44966435185)</f>
        <v>46213.44966</v>
      </c>
      <c r="BI268" s="6">
        <f>IFERROR(__xludf.DUMMYFUNCTION("""COMPUTED_VALUE"""),267.0)</f>
        <v>267</v>
      </c>
      <c r="BJ268" s="6"/>
      <c r="BK268" s="6"/>
      <c r="BL268" s="6" t="str">
        <f>IFERROR(__xludf.DUMMYFUNCTION("""COMPUTED_VALUE"""),"GISRAM0006")</f>
        <v>GISRAM0006</v>
      </c>
      <c r="BM268" s="6"/>
      <c r="BN268" s="6"/>
      <c r="BO268" s="6" t="str">
        <f>IFERROR(__xludf.DUMMYFUNCTION("""COMPUTED_VALUE"""),"XC_EL_TecVocal")</f>
        <v>XC_EL_TecVocal</v>
      </c>
      <c r="BP268" s="6" t="str">
        <f>IFERROR(__xludf.DUMMYFUNCTION("""COMPUTED_VALUE"""),"XC_EL_Porras")</f>
        <v>XC_EL_Porras</v>
      </c>
      <c r="BQ268" s="6" t="str">
        <f>IFERROR(__xludf.DUMMYFUNCTION("""COMPUTED_VALUE"""),"XC_EL_Porras")</f>
        <v>XC_EL_Porras</v>
      </c>
      <c r="BR268" s="6"/>
      <c r="BS268" s="6" t="str">
        <f>IFERROR(__xludf.DUMMYFUNCTION("""COMPUTED_VALUE"""),"XC_EL_Porras")</f>
        <v>XC_EL_Porras</v>
      </c>
      <c r="BT268" s="6"/>
      <c r="BU268" s="6" t="str">
        <f>IFERROR(__xludf.DUMMYFUNCTION("""COMPUTED_VALUE"""),"SI")</f>
        <v>SI</v>
      </c>
      <c r="BV268" s="6" t="str">
        <f>IFERROR(__xludf.DUMMYFUNCTION("""COMPUTED_VALUE"""),"guadalupe.r2037")</f>
        <v>guadalupe.r2037</v>
      </c>
      <c r="BW268" s="6"/>
      <c r="BX268" s="6"/>
      <c r="BY268" s="6"/>
      <c r="BZ268" s="6"/>
    </row>
    <row r="269">
      <c r="A269" s="12">
        <f>IFERROR(__xludf.DUMMYFUNCTION("""COMPUTED_VALUE"""),1.092862975E9)</f>
        <v>1092862975</v>
      </c>
      <c r="B269" s="6">
        <f>IFERROR(__xludf.DUMMYFUNCTION("""COMPUTED_VALUE"""),18.0)</f>
        <v>18</v>
      </c>
      <c r="C269" s="6" t="str">
        <f>IFERROR(__xludf.DUMMYFUNCTION("""COMPUTED_VALUE"""),"Joaquín")</f>
        <v>Joaquín</v>
      </c>
      <c r="D269" s="6"/>
      <c r="E269" s="6" t="str">
        <f>IFERROR(__xludf.DUMMYFUNCTION("""COMPUTED_VALUE"""),"Rodríguez Restrepo")</f>
        <v>Rodríguez Restrepo</v>
      </c>
      <c r="F269" s="6" t="str">
        <f>IFERROR(__xludf.DUMMYFUNCTION("""COMPUTED_VALUE"""),"Condominio Entre Maderos Casa 13 - Vereda El Congal Km 1.2 Via Circasia - Armenia")</f>
        <v>Condominio Entre Maderos Casa 13 - Vereda El Congal Km 1.2 Via Circasia - Armenia</v>
      </c>
      <c r="G269" s="12" t="str">
        <f>IFERROR(__xludf.DUMMYFUNCTION("""COMPUTED_VALUE"""),"2019")</f>
        <v>2019</v>
      </c>
      <c r="H269" s="6" t="str">
        <f>IFERROR(__xludf.DUMMYFUNCTION("""COMPUTED_VALUE"""),"Mayo")</f>
        <v>Mayo</v>
      </c>
      <c r="I269" s="12" t="str">
        <f>IFERROR(__xludf.DUMMYFUNCTION("""COMPUTED_VALUE"""),"15")</f>
        <v>15</v>
      </c>
      <c r="J269" s="6" t="str">
        <f>IFERROR(__xludf.DUMMYFUNCTION("""COMPUTED_VALUE"""),"Cali")</f>
        <v>Cali</v>
      </c>
      <c r="K269" s="6" t="str">
        <f>IFERROR(__xludf.DUMMYFUNCTION("""COMPUTED_VALUE"""),"joaquin.r2037@gi.edu.co")</f>
        <v>joaquin.r2037@gi.edu.co</v>
      </c>
      <c r="L269" s="6" t="str">
        <f>IFERROR(__xludf.DUMMYFUNCTION("""COMPUTED_VALUE"""),"RC")</f>
        <v>RC</v>
      </c>
      <c r="M269" s="6" t="str">
        <f>IFERROR(__xludf.DUMMYFUNCTION("""COMPUTED_VALUE"""),"Armenia")</f>
        <v>Armenia</v>
      </c>
      <c r="N269" s="6" t="str">
        <f>IFERROR(__xludf.DUMMYFUNCTION("""COMPUTED_VALUE"""),"M")</f>
        <v>M</v>
      </c>
      <c r="O269" s="6" t="str">
        <f>IFERROR(__xludf.DUMMYFUNCTION("""COMPUTED_VALUE"""),"ACTIVE")</f>
        <v>ACTIVE</v>
      </c>
      <c r="P269" s="6"/>
      <c r="Q269" s="6" t="str">
        <f>IFERROR(__xludf.DUMMYFUNCTION("""COMPUTED_VALUE"""),"Circasia")</f>
        <v>Circasia</v>
      </c>
      <c r="R269" s="12" t="str">
        <f>IFERROR(__xludf.DUMMYFUNCTION("""COMPUTED_VALUE"""),"GicR6t8u*")</f>
        <v>GicR6t8u*</v>
      </c>
      <c r="S269" s="6" t="str">
        <f>IFERROR(__xludf.DUMMYFUNCTION("""COMPUTED_VALUE"""),"Rodríguez Restrepo Joaquín ")</f>
        <v>Rodríguez Restrepo Joaquín </v>
      </c>
      <c r="T269" s="6" t="str">
        <f>IFERROR(__xludf.DUMMYFUNCTION("""COMPUTED_VALUE"""),"ALICIA MAYA BOTERO")</f>
        <v>ALICIA MAYA BOTERO</v>
      </c>
      <c r="U269" s="12" t="str">
        <f>IFERROR(__xludf.DUMMYFUNCTION("""COMPUTED_VALUE"""),"24475670")</f>
        <v>24475670</v>
      </c>
      <c r="V269" s="6">
        <f>IFERROR(__xludf.DUMMYFUNCTION("""COMPUTED_VALUE"""),3.164784021E9)</f>
        <v>3164784021</v>
      </c>
      <c r="W269" s="6" t="str">
        <f>IFERROR(__xludf.DUMMYFUNCTION("""COMPUTED_VALUE"""),"coyabra@gmail.com")</f>
        <v>coyabra@gmail.com</v>
      </c>
      <c r="X269" s="12" t="str">
        <f>IFERROR(__xludf.DUMMYFUNCTION("""COMPUTED_VALUE"""),"O-")</f>
        <v>O-</v>
      </c>
      <c r="Y269" s="12" t="str">
        <f>IFERROR(__xludf.DUMMYFUNCTION("""COMPUTED_VALUE"""),"2")</f>
        <v>2</v>
      </c>
      <c r="Z269" s="12">
        <f>IFERROR(__xludf.DUMMYFUNCTION("""COMPUTED_VALUE"""),102864.0)</f>
        <v>102864</v>
      </c>
      <c r="AA269" s="6" t="str">
        <f>IFERROR(__xludf.DUMMYFUNCTION("""COMPUTED_VALUE"""),"SURA")</f>
        <v>SURA</v>
      </c>
      <c r="AB269" s="6"/>
      <c r="AC269" s="6"/>
      <c r="AD269" s="12" t="str">
        <f>IFERROR(__xludf.DUMMYFUNCTION("""COMPUTED_VALUE"""),"2B")</f>
        <v>2B</v>
      </c>
      <c r="AE269" s="12">
        <f>IFERROR(__xludf.DUMMYFUNCTION("""COMPUTED_VALUE"""),1.345282318E9)</f>
        <v>1345282318</v>
      </c>
      <c r="AF269" s="12" t="str">
        <f>IFERROR(__xludf.DUMMYFUNCTION("""COMPUTED_VALUE"""),"1345282318")</f>
        <v>1345282318</v>
      </c>
      <c r="AG269" s="12" t="str">
        <f>IFERROR(__xludf.DUMMYFUNCTION("""COMPUTED_VALUE"""),"Maria")</f>
        <v>Maria</v>
      </c>
      <c r="AH269" s="12" t="str">
        <f>IFERROR(__xludf.DUMMYFUNCTION("""COMPUTED_VALUE"""),"Isabel")</f>
        <v>Isabel</v>
      </c>
      <c r="AI269" s="6" t="str">
        <f>IFERROR(__xludf.DUMMYFUNCTION("""COMPUTED_VALUE"""),"Restrepo Gaviria")</f>
        <v>Restrepo Gaviria</v>
      </c>
      <c r="AJ269" s="6" t="str">
        <f>IFERROR(__xludf.DUMMYFUNCTION("""COMPUTED_VALUE"""),"maisabelrg@gmail.com")</f>
        <v>maisabelrg@gmail.com</v>
      </c>
      <c r="AK269" s="6" t="str">
        <f>IFERROR(__xludf.DUMMYFUNCTION("""COMPUTED_VALUE"""),"PEDAGOGIA INFANTIL")</f>
        <v>PEDAGOGIA INFANTIL</v>
      </c>
      <c r="AL269" s="6"/>
      <c r="AM269" s="12" t="str">
        <f>IFERROR(__xludf.DUMMYFUNCTION("""COMPUTED_VALUE"""),"41961485")</f>
        <v>41961485</v>
      </c>
      <c r="AN269" s="12" t="str">
        <f>IFERROR(__xludf.DUMMYFUNCTION("""COMPUTED_VALUE"""),"3162276403")</f>
        <v>3162276403</v>
      </c>
      <c r="AO269" s="6" t="str">
        <f>IFERROR(__xludf.DUMMYFUNCTION("""COMPUTED_VALUE"""),"Madre")</f>
        <v>Madre</v>
      </c>
      <c r="AP269" s="6" t="str">
        <f>IFERROR(__xludf.DUMMYFUNCTION("""COMPUTED_VALUE"""),"Estudiante(s): Rodríguez Restrepo")</f>
        <v>Estudiante(s): Rodríguez Restrepo</v>
      </c>
      <c r="AQ269" s="6" t="str">
        <f>IFERROR(__xludf.DUMMYFUNCTION("""COMPUTED_VALUE"""),"102864*Gi")</f>
        <v>102864*Gi</v>
      </c>
      <c r="AR269" s="6" t="str">
        <f>IFERROR(__xludf.DUMMYFUNCTION("""COMPUTED_VALUE"""),"Andrés")</f>
        <v>Andrés</v>
      </c>
      <c r="AS269" s="6" t="str">
        <f>IFERROR(__xludf.DUMMYFUNCTION("""COMPUTED_VALUE"""),"Felipe")</f>
        <v>Felipe</v>
      </c>
      <c r="AT269" s="6" t="str">
        <f>IFERROR(__xludf.DUMMYFUNCTION("""COMPUTED_VALUE"""),"Rodríguez Maya")</f>
        <v>Rodríguez Maya</v>
      </c>
      <c r="AU269" s="6" t="str">
        <f>IFERROR(__xludf.DUMMYFUNCTION("""COMPUTED_VALUE"""),"pipemaya@gmail.com")</f>
        <v>pipemaya@gmail.com</v>
      </c>
      <c r="AV269" s="6" t="str">
        <f>IFERROR(__xludf.DUMMYFUNCTION("""COMPUTED_VALUE"""),"ING. CIVIL")</f>
        <v>ING. CIVIL</v>
      </c>
      <c r="AW269" s="6" t="str">
        <f>IFERROR(__xludf.DUMMYFUNCTION("""COMPUTED_VALUE"""),"ESTRUCTURAS COYABRA")</f>
        <v>ESTRUCTURAS COYABRA</v>
      </c>
      <c r="AX269" s="12" t="str">
        <f>IFERROR(__xludf.DUMMYFUNCTION("""COMPUTED_VALUE"""),"89009464")</f>
        <v>89009464</v>
      </c>
      <c r="AY269" s="12" t="str">
        <f>IFERROR(__xludf.DUMMYFUNCTION("""COMPUTED_VALUE"""),"3057976476")</f>
        <v>3057976476</v>
      </c>
      <c r="AZ269" s="6" t="str">
        <f>IFERROR(__xludf.DUMMYFUNCTION("""COMPUTED_VALUE"""),"Padre")</f>
        <v>Padre</v>
      </c>
      <c r="BA269" s="6" t="str">
        <f>IFERROR(__xludf.DUMMYFUNCTION("""COMPUTED_VALUE"""),"ALICIA MAYA BOTERO")</f>
        <v>ALICIA MAYA BOTERO</v>
      </c>
      <c r="BB269" s="6">
        <f>IFERROR(__xludf.DUMMYFUNCTION("""COMPUTED_VALUE"""),3.164784021E9)</f>
        <v>3164784021</v>
      </c>
      <c r="BC269" s="6" t="str">
        <f>IFERROR(__xludf.DUMMYFUNCTION("""COMPUTED_VALUE"""),"Abuelo(a)")</f>
        <v>Abuelo(a)</v>
      </c>
      <c r="BD269" s="12" t="str">
        <f>IFERROR(__xludf.DUMMYFUNCTION("""COMPUTED_VALUE"""),"rod0008")</f>
        <v>rod0008</v>
      </c>
      <c r="BE269" s="6"/>
      <c r="BF269" s="6"/>
      <c r="BG269" s="6">
        <f>IFERROR(__xludf.DUMMYFUNCTION("""COMPUTED_VALUE"""),2037.0)</f>
        <v>2037</v>
      </c>
      <c r="BH269" s="15">
        <f>IFERROR(__xludf.DUMMYFUNCTION("""COMPUTED_VALUE"""),46212.439247685186)</f>
        <v>46212.43925</v>
      </c>
      <c r="BI269" s="6">
        <f>IFERROR(__xludf.DUMMYFUNCTION("""COMPUTED_VALUE"""),268.0)</f>
        <v>268</v>
      </c>
      <c r="BJ269" s="6"/>
      <c r="BK269" s="6"/>
      <c r="BL269" s="6" t="str">
        <f>IFERROR(__xludf.DUMMYFUNCTION("""COMPUTED_VALUE"""),"GISROD0008")</f>
        <v>GISROD0008</v>
      </c>
      <c r="BM269" s="6"/>
      <c r="BN269" s="6"/>
      <c r="BO269" s="6"/>
      <c r="BP269" s="6"/>
      <c r="BQ269" s="6"/>
      <c r="BR269" s="6" t="str">
        <f>IFERROR(__xludf.DUMMYFUNCTION("""COMPUTED_VALUE"""),"XC_EL_PequenosCientificos")</f>
        <v>XC_EL_PequenosCientificos</v>
      </c>
      <c r="BS269" s="6"/>
      <c r="BT269" s="6"/>
      <c r="BU269" s="6" t="str">
        <f>IFERROR(__xludf.DUMMYFUNCTION("""COMPUTED_VALUE"""),"SI")</f>
        <v>SI</v>
      </c>
      <c r="BV269" s="6" t="str">
        <f>IFERROR(__xludf.DUMMYFUNCTION("""COMPUTED_VALUE"""),"joaquin.r2037")</f>
        <v>joaquin.r2037</v>
      </c>
      <c r="BW269" s="6"/>
      <c r="BX269" s="6"/>
      <c r="BY269" s="6"/>
      <c r="BZ269" s="6"/>
    </row>
    <row r="270">
      <c r="A270" s="12">
        <f>IFERROR(__xludf.DUMMYFUNCTION("""COMPUTED_VALUE"""),1.092465793E9)</f>
        <v>1092465793</v>
      </c>
      <c r="B270" s="6">
        <f>IFERROR(__xludf.DUMMYFUNCTION("""COMPUTED_VALUE"""),19.0)</f>
        <v>19</v>
      </c>
      <c r="C270" s="6" t="str">
        <f>IFERROR(__xludf.DUMMYFUNCTION("""COMPUTED_VALUE"""),"Rosario")</f>
        <v>Rosario</v>
      </c>
      <c r="D270" s="6"/>
      <c r="E270" s="6" t="str">
        <f>IFERROR(__xludf.DUMMYFUNCTION("""COMPUTED_VALUE"""),"Rojas Ortíz")</f>
        <v>Rojas Ortíz</v>
      </c>
      <c r="F270" s="6" t="str">
        <f>IFERROR(__xludf.DUMMYFUNCTION("""COMPUTED_VALUE"""),"Condominio Cedro Negro Casa 32 - Km 6 Via Circasia Vereda El Congal")</f>
        <v>Condominio Cedro Negro Casa 32 - Km 6 Via Circasia Vereda El Congal</v>
      </c>
      <c r="G270" s="12" t="str">
        <f>IFERROR(__xludf.DUMMYFUNCTION("""COMPUTED_VALUE"""),"2018")</f>
        <v>2018</v>
      </c>
      <c r="H270" s="6" t="str">
        <f>IFERROR(__xludf.DUMMYFUNCTION("""COMPUTED_VALUE"""),"Septiembre")</f>
        <v>Septiembre</v>
      </c>
      <c r="I270" s="12" t="str">
        <f>IFERROR(__xludf.DUMMYFUNCTION("""COMPUTED_VALUE"""),"10")</f>
        <v>10</v>
      </c>
      <c r="J270" s="6" t="str">
        <f>IFERROR(__xludf.DUMMYFUNCTION("""COMPUTED_VALUE"""),"Cali")</f>
        <v>Cali</v>
      </c>
      <c r="K270" s="6" t="str">
        <f>IFERROR(__xludf.DUMMYFUNCTION("""COMPUTED_VALUE"""),"rosario.r2037@gi.edu.co")</f>
        <v>rosario.r2037@gi.edu.co</v>
      </c>
      <c r="L270" s="6" t="str">
        <f>IFERROR(__xludf.DUMMYFUNCTION("""COMPUTED_VALUE"""),"TI")</f>
        <v>TI</v>
      </c>
      <c r="M270" s="6" t="str">
        <f>IFERROR(__xludf.DUMMYFUNCTION("""COMPUTED_VALUE"""),"Armenia")</f>
        <v>Armenia</v>
      </c>
      <c r="N270" s="6" t="str">
        <f>IFERROR(__xludf.DUMMYFUNCTION("""COMPUTED_VALUE"""),"F")</f>
        <v>F</v>
      </c>
      <c r="O270" s="6" t="str">
        <f>IFERROR(__xludf.DUMMYFUNCTION("""COMPUTED_VALUE"""),"ACTIVE")</f>
        <v>ACTIVE</v>
      </c>
      <c r="P270" s="6"/>
      <c r="Q270" s="6" t="str">
        <f>IFERROR(__xludf.DUMMYFUNCTION("""COMPUTED_VALUE"""),"Circasia")</f>
        <v>Circasia</v>
      </c>
      <c r="R270" s="12" t="str">
        <f>IFERROR(__xludf.DUMMYFUNCTION("""COMPUTED_VALUE"""),"Gimw3ne58u*")</f>
        <v>Gimw3ne58u*</v>
      </c>
      <c r="S270" s="6" t="str">
        <f>IFERROR(__xludf.DUMMYFUNCTION("""COMPUTED_VALUE"""),"Rojas Ortíz Rosario ")</f>
        <v>Rojas Ortíz Rosario </v>
      </c>
      <c r="T270" s="6" t="str">
        <f>IFERROR(__xludf.DUMMYFUNCTION("""COMPUTED_VALUE"""),"ÁNGEL HUGO ROJAS SANDOVAL")</f>
        <v>ÁNGEL HUGO ROJAS SANDOVAL</v>
      </c>
      <c r="U270" s="12" t="str">
        <f>IFERROR(__xludf.DUMMYFUNCTION("""COMPUTED_VALUE"""),"79051641")</f>
        <v>79051641</v>
      </c>
      <c r="V270" s="6">
        <f>IFERROR(__xludf.DUMMYFUNCTION("""COMPUTED_VALUE"""),3.102886308E9)</f>
        <v>3102886308</v>
      </c>
      <c r="W270" s="6" t="str">
        <f>IFERROR(__xludf.DUMMYFUNCTION("""COMPUTED_VALUE"""),"angel.rojas1641@gmail.com")</f>
        <v>angel.rojas1641@gmail.com</v>
      </c>
      <c r="X270" s="12" t="str">
        <f>IFERROR(__xludf.DUMMYFUNCTION("""COMPUTED_VALUE"""),"O+")</f>
        <v>O+</v>
      </c>
      <c r="Y270" s="12" t="str">
        <f>IFERROR(__xludf.DUMMYFUNCTION("""COMPUTED_VALUE"""),"2")</f>
        <v>2</v>
      </c>
      <c r="Z270" s="12">
        <f>IFERROR(__xludf.DUMMYFUNCTION("""COMPUTED_VALUE"""),120464.0)</f>
        <v>120464</v>
      </c>
      <c r="AA270" s="6" t="str">
        <f>IFERROR(__xludf.DUMMYFUNCTION("""COMPUTED_VALUE"""),"OTRA")</f>
        <v>OTRA</v>
      </c>
      <c r="AB270" s="6" t="str">
        <f>IFERROR(__xludf.DUMMYFUNCTION("""COMPUTED_VALUE"""),"Coomeva")</f>
        <v>Coomeva</v>
      </c>
      <c r="AC270" s="6"/>
      <c r="AD270" s="12" t="str">
        <f>IFERROR(__xludf.DUMMYFUNCTION("""COMPUTED_VALUE"""),"2B")</f>
        <v>2B</v>
      </c>
      <c r="AE270" s="12" t="str">
        <f>IFERROR(__xludf.DUMMYFUNCTION("""COMPUTED_VALUE"""),"1345282432")</f>
        <v>1345282432</v>
      </c>
      <c r="AF270" s="12" t="str">
        <f>IFERROR(__xludf.DUMMYFUNCTION("""COMPUTED_VALUE"""),"1345282432")</f>
        <v>1345282432</v>
      </c>
      <c r="AG270" s="12" t="str">
        <f>IFERROR(__xludf.DUMMYFUNCTION("""COMPUTED_VALUE"""),"Martha")</f>
        <v>Martha</v>
      </c>
      <c r="AH270" s="12" t="str">
        <f>IFERROR(__xludf.DUMMYFUNCTION("""COMPUTED_VALUE"""),"Isabel")</f>
        <v>Isabel</v>
      </c>
      <c r="AI270" s="6" t="str">
        <f>IFERROR(__xludf.DUMMYFUNCTION("""COMPUTED_VALUE"""),"Ortíz Ocampo")</f>
        <v>Ortíz Ocampo</v>
      </c>
      <c r="AJ270" s="6" t="str">
        <f>IFERROR(__xludf.DUMMYFUNCTION("""COMPUTED_VALUE"""),"marthaisabel26@hotmail.com")</f>
        <v>marthaisabel26@hotmail.com</v>
      </c>
      <c r="AK270" s="6" t="str">
        <f>IFERROR(__xludf.DUMMYFUNCTION("""COMPUTED_VALUE"""),"ABOGADA")</f>
        <v>ABOGADA</v>
      </c>
      <c r="AL270" s="6" t="str">
        <f>IFERROR(__xludf.DUMMYFUNCTION("""COMPUTED_VALUE"""),"CASA")</f>
        <v>CASA</v>
      </c>
      <c r="AM270" s="12" t="str">
        <f>IFERROR(__xludf.DUMMYFUNCTION("""COMPUTED_VALUE"""),"66921056")</f>
        <v>66921056</v>
      </c>
      <c r="AN270" s="12" t="str">
        <f>IFERROR(__xludf.DUMMYFUNCTION("""COMPUTED_VALUE"""),"3226035342")</f>
        <v>3226035342</v>
      </c>
      <c r="AO270" s="6" t="str">
        <f>IFERROR(__xludf.DUMMYFUNCTION("""COMPUTED_VALUE"""),"Madre")</f>
        <v>Madre</v>
      </c>
      <c r="AP270" s="6" t="str">
        <f>IFERROR(__xludf.DUMMYFUNCTION("""COMPUTED_VALUE"""),"Estudiante(s): Rojas Ortíz")</f>
        <v>Estudiante(s): Rojas Ortíz</v>
      </c>
      <c r="AQ270" s="6" t="str">
        <f>IFERROR(__xludf.DUMMYFUNCTION("""COMPUTED_VALUE"""),"102985*Gi")</f>
        <v>102985*Gi</v>
      </c>
      <c r="AR270" s="6" t="str">
        <f>IFERROR(__xludf.DUMMYFUNCTION("""COMPUTED_VALUE"""),"Ángel")</f>
        <v>Ángel</v>
      </c>
      <c r="AS270" s="6" t="str">
        <f>IFERROR(__xludf.DUMMYFUNCTION("""COMPUTED_VALUE"""),"Hugo")</f>
        <v>Hugo</v>
      </c>
      <c r="AT270" s="6" t="str">
        <f>IFERROR(__xludf.DUMMYFUNCTION("""COMPUTED_VALUE"""),"Rojas Sandoval")</f>
        <v>Rojas Sandoval</v>
      </c>
      <c r="AU270" s="6" t="str">
        <f>IFERROR(__xludf.DUMMYFUNCTION("""COMPUTED_VALUE"""),"angel.rojas1641@gmail.com")</f>
        <v>angel.rojas1641@gmail.com</v>
      </c>
      <c r="AV270" s="6" t="str">
        <f>IFERROR(__xludf.DUMMYFUNCTION("""COMPUTED_VALUE"""),"PENSIONADO")</f>
        <v>PENSIONADO</v>
      </c>
      <c r="AW270" s="6"/>
      <c r="AX270" s="12" t="str">
        <f>IFERROR(__xludf.DUMMYFUNCTION("""COMPUTED_VALUE"""),"79051641")</f>
        <v>79051641</v>
      </c>
      <c r="AY270" s="12" t="str">
        <f>IFERROR(__xludf.DUMMYFUNCTION("""COMPUTED_VALUE"""),"3102886308")</f>
        <v>3102886308</v>
      </c>
      <c r="AZ270" s="6" t="str">
        <f>IFERROR(__xludf.DUMMYFUNCTION("""COMPUTED_VALUE"""),"Padre")</f>
        <v>Padre</v>
      </c>
      <c r="BA270" s="6"/>
      <c r="BB270" s="6"/>
      <c r="BC270" s="6"/>
      <c r="BD270" s="12" t="str">
        <f>IFERROR(__xludf.DUMMYFUNCTION("""COMPUTED_VALUE"""),"gut0008")</f>
        <v>gut0008</v>
      </c>
      <c r="BE270" s="6"/>
      <c r="BF270" s="6"/>
      <c r="BG270" s="6">
        <f>IFERROR(__xludf.DUMMYFUNCTION("""COMPUTED_VALUE"""),2037.0)</f>
        <v>2037</v>
      </c>
      <c r="BH270" s="15">
        <f>IFERROR(__xludf.DUMMYFUNCTION("""COMPUTED_VALUE"""),46204.77952546296)</f>
        <v>46204.77953</v>
      </c>
      <c r="BI270" s="6">
        <f>IFERROR(__xludf.DUMMYFUNCTION("""COMPUTED_VALUE"""),269.0)</f>
        <v>269</v>
      </c>
      <c r="BJ270" s="6"/>
      <c r="BK270" s="6"/>
      <c r="BL270" s="6" t="str">
        <f>IFERROR(__xludf.DUMMYFUNCTION("""COMPUTED_VALUE"""),"GISGUT0008")</f>
        <v>GISGUT0008</v>
      </c>
      <c r="BM270" s="6"/>
      <c r="BN270" s="6"/>
      <c r="BO270" s="6"/>
      <c r="BP270" s="6"/>
      <c r="BQ270" s="6"/>
      <c r="BR270" s="6"/>
      <c r="BS270" s="6"/>
      <c r="BT270" s="6"/>
      <c r="BU270" s="6" t="str">
        <f>IFERROR(__xludf.DUMMYFUNCTION("""COMPUTED_VALUE"""),"SI")</f>
        <v>SI</v>
      </c>
      <c r="BV270" s="6" t="str">
        <f>IFERROR(__xludf.DUMMYFUNCTION("""COMPUTED_VALUE"""),"rosario.r2037")</f>
        <v>rosario.r2037</v>
      </c>
      <c r="BW270" s="6"/>
      <c r="BX270" s="6"/>
      <c r="BY270" s="6"/>
      <c r="B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 t="str">
        <f>IFERROR(__xludf.DUMMYFUNCTION("""COMPUTED_VALUE"""),"Madre")</f>
        <v>Madre</v>
      </c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 t="str">
        <f>IFERROR(__xludf.DUMMYFUNCTION("""COMPUTED_VALUE"""),"Padre")</f>
        <v>Padre</v>
      </c>
      <c r="BA271" s="6"/>
      <c r="BB271" s="6"/>
      <c r="BC271" s="6"/>
      <c r="BD271" s="6"/>
      <c r="BE271" s="6"/>
      <c r="BF271" s="6"/>
      <c r="BG271" s="6"/>
      <c r="BH271" s="6"/>
      <c r="BI271" s="6">
        <f>IFERROR(__xludf.DUMMYFUNCTION("""COMPUTED_VALUE"""),270.0)</f>
        <v>270</v>
      </c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</row>
    <row r="272">
      <c r="A272" s="12">
        <f>IFERROR(__xludf.DUMMYFUNCTION("""COMPUTED_VALUE"""),1.092863347E9)</f>
        <v>1092863347</v>
      </c>
      <c r="B272" s="6">
        <f>IFERROR(__xludf.DUMMYFUNCTION("""COMPUTED_VALUE"""),1.0)</f>
        <v>1</v>
      </c>
      <c r="C272" s="6" t="str">
        <f>IFERROR(__xludf.DUMMYFUNCTION("""COMPUTED_VALUE"""),"Tomás")</f>
        <v>Tomás</v>
      </c>
      <c r="D272" s="6"/>
      <c r="E272" s="6" t="str">
        <f>IFERROR(__xludf.DUMMYFUNCTION("""COMPUTED_VALUE"""),"Angarita Ospina")</f>
        <v>Angarita Ospina</v>
      </c>
      <c r="F272" s="6" t="str">
        <f>IFERROR(__xludf.DUMMYFUNCTION("""COMPUTED_VALUE"""),"Edificio Avenida Apto 201 - Calle 10 Nte No14 - 10 Providencia")</f>
        <v>Edificio Avenida Apto 201 - Calle 10 Nte No14 - 10 Providencia</v>
      </c>
      <c r="G272" s="12" t="str">
        <f>IFERROR(__xludf.DUMMYFUNCTION("""COMPUTED_VALUE"""),"2019")</f>
        <v>2019</v>
      </c>
      <c r="H272" s="6" t="str">
        <f>IFERROR(__xludf.DUMMYFUNCTION("""COMPUTED_VALUE"""),"Agosto")</f>
        <v>Agosto</v>
      </c>
      <c r="I272" s="12" t="str">
        <f>IFERROR(__xludf.DUMMYFUNCTION("""COMPUTED_VALUE"""),"24")</f>
        <v>24</v>
      </c>
      <c r="J272" s="6" t="str">
        <f>IFERROR(__xludf.DUMMYFUNCTION("""COMPUTED_VALUE"""),"Armenia")</f>
        <v>Armenia</v>
      </c>
      <c r="K272" s="6" t="str">
        <f>IFERROR(__xludf.DUMMYFUNCTION("""COMPUTED_VALUE"""),"tomas.ao2037@gi.edu.co")</f>
        <v>tomas.ao2037@gi.edu.co</v>
      </c>
      <c r="L272" s="6" t="str">
        <f>IFERROR(__xludf.DUMMYFUNCTION("""COMPUTED_VALUE"""),"RC")</f>
        <v>RC</v>
      </c>
      <c r="M272" s="6" t="str">
        <f>IFERROR(__xludf.DUMMYFUNCTION("""COMPUTED_VALUE"""),"Armenia")</f>
        <v>Armenia</v>
      </c>
      <c r="N272" s="6" t="str">
        <f>IFERROR(__xludf.DUMMYFUNCTION("""COMPUTED_VALUE"""),"M")</f>
        <v>M</v>
      </c>
      <c r="O272" s="6" t="str">
        <f>IFERROR(__xludf.DUMMYFUNCTION("""COMPUTED_VALUE"""),"ACTIVE")</f>
        <v>ACTIVE</v>
      </c>
      <c r="P272" s="6"/>
      <c r="Q272" s="6" t="str">
        <f>IFERROR(__xludf.DUMMYFUNCTION("""COMPUTED_VALUE"""),"Armenia")</f>
        <v>Armenia</v>
      </c>
      <c r="R272" s="12" t="str">
        <f>IFERROR(__xludf.DUMMYFUNCTION("""COMPUTED_VALUE"""),"Gike5L8*")</f>
        <v>Gike5L8*</v>
      </c>
      <c r="S272" s="6" t="str">
        <f>IFERROR(__xludf.DUMMYFUNCTION("""COMPUTED_VALUE"""),"Angarita Ospina Tomás ")</f>
        <v>Angarita Ospina Tomás </v>
      </c>
      <c r="T272" s="6" t="str">
        <f>IFERROR(__xludf.DUMMYFUNCTION("""COMPUTED_VALUE"""),"MARIA DANIELA OSPINA BOTERO")</f>
        <v>MARIA DANIELA OSPINA BOTERO</v>
      </c>
      <c r="U272" s="12" t="str">
        <f>IFERROR(__xludf.DUMMYFUNCTION("""COMPUTED_VALUE"""),"1094956840")</f>
        <v>1094956840</v>
      </c>
      <c r="V272" s="6">
        <f>IFERROR(__xludf.DUMMYFUNCTION("""COMPUTED_VALUE"""),3.1657568E9)</f>
        <v>3165756800</v>
      </c>
      <c r="W272" s="6" t="str">
        <f>IFERROR(__xludf.DUMMYFUNCTION("""COMPUTED_VALUE"""),"mospina4533@cue.edu.co")</f>
        <v>mospina4533@cue.edu.co</v>
      </c>
      <c r="X272" s="12" t="str">
        <f>IFERROR(__xludf.DUMMYFUNCTION("""COMPUTED_VALUE"""),"O+")</f>
        <v>O+</v>
      </c>
      <c r="Y272" s="12" t="str">
        <f>IFERROR(__xludf.DUMMYFUNCTION("""COMPUTED_VALUE"""),"2")</f>
        <v>2</v>
      </c>
      <c r="Z272" s="12">
        <f>IFERROR(__xludf.DUMMYFUNCTION("""COMPUTED_VALUE"""),120327.0)</f>
        <v>120327</v>
      </c>
      <c r="AA272" s="6" t="str">
        <f>IFERROR(__xludf.DUMMYFUNCTION("""COMPUTED_VALUE"""),"SURA")</f>
        <v>SURA</v>
      </c>
      <c r="AB272" s="6"/>
      <c r="AC272" s="6"/>
      <c r="AD272" s="12" t="str">
        <f>IFERROR(__xludf.DUMMYFUNCTION("""COMPUTED_VALUE"""),"2C")</f>
        <v>2C</v>
      </c>
      <c r="AE272" s="12">
        <f>IFERROR(__xludf.DUMMYFUNCTION("""COMPUTED_VALUE"""),1.345282349E9)</f>
        <v>1345282349</v>
      </c>
      <c r="AF272" s="12" t="str">
        <f>IFERROR(__xludf.DUMMYFUNCTION("""COMPUTED_VALUE"""),"1345282349")</f>
        <v>1345282349</v>
      </c>
      <c r="AG272" s="12" t="str">
        <f>IFERROR(__xludf.DUMMYFUNCTION("""COMPUTED_VALUE"""),"María")</f>
        <v>María</v>
      </c>
      <c r="AH272" s="12" t="str">
        <f>IFERROR(__xludf.DUMMYFUNCTION("""COMPUTED_VALUE"""),"Daniela")</f>
        <v>Daniela</v>
      </c>
      <c r="AI272" s="6" t="str">
        <f>IFERROR(__xludf.DUMMYFUNCTION("""COMPUTED_VALUE"""),"Ospina Botero")</f>
        <v>Ospina Botero</v>
      </c>
      <c r="AJ272" s="6" t="str">
        <f>IFERROR(__xludf.DUMMYFUNCTION("""COMPUTED_VALUE"""),"mospina4533@cue.edu.co")</f>
        <v>mospina4533@cue.edu.co</v>
      </c>
      <c r="AK272" s="6" t="str">
        <f>IFERROR(__xludf.DUMMYFUNCTION("""COMPUTED_VALUE"""),"Medico")</f>
        <v>Medico</v>
      </c>
      <c r="AL272" s="6" t="str">
        <f>IFERROR(__xludf.DUMMYFUNCTION("""COMPUTED_VALUE"""),"Red salud armenia")</f>
        <v>Red salud armenia</v>
      </c>
      <c r="AM272" s="12" t="str">
        <f>IFERROR(__xludf.DUMMYFUNCTION("""COMPUTED_VALUE"""),"1094956840")</f>
        <v>1094956840</v>
      </c>
      <c r="AN272" s="12" t="str">
        <f>IFERROR(__xludf.DUMMYFUNCTION("""COMPUTED_VALUE"""),"3165756800")</f>
        <v>3165756800</v>
      </c>
      <c r="AO272" s="6" t="str">
        <f>IFERROR(__xludf.DUMMYFUNCTION("""COMPUTED_VALUE"""),"Madre")</f>
        <v>Madre</v>
      </c>
      <c r="AP272" s="6" t="str">
        <f>IFERROR(__xludf.DUMMYFUNCTION("""COMPUTED_VALUE"""),"Estudiante(s): Angarita Ospina")</f>
        <v>Estudiante(s): Angarita Ospina</v>
      </c>
      <c r="AQ272" s="6" t="str">
        <f>IFERROR(__xludf.DUMMYFUNCTION("""COMPUTED_VALUE"""),"120327*Gi")</f>
        <v>120327*Gi</v>
      </c>
      <c r="AR272" s="6" t="str">
        <f>IFERROR(__xludf.DUMMYFUNCTION("""COMPUTED_VALUE"""),"David")</f>
        <v>David</v>
      </c>
      <c r="AS272" s="6"/>
      <c r="AT272" s="6" t="str">
        <f>IFERROR(__xludf.DUMMYFUNCTION("""COMPUTED_VALUE"""),"Angarita Beltrán")</f>
        <v>Angarita Beltrán</v>
      </c>
      <c r="AU272" s="6" t="str">
        <f>IFERROR(__xludf.DUMMYFUNCTION("""COMPUTED_VALUE"""),"david.angarita@hotmail.com")</f>
        <v>david.angarita@hotmail.com</v>
      </c>
      <c r="AV272" s="6" t="str">
        <f>IFERROR(__xludf.DUMMYFUNCTION("""COMPUTED_VALUE"""),"administrador de empresas")</f>
        <v>administrador de empresas</v>
      </c>
      <c r="AW272" s="6"/>
      <c r="AX272" s="12" t="str">
        <f>IFERROR(__xludf.DUMMYFUNCTION("""COMPUTED_VALUE"""),"1094903893")</f>
        <v>1094903893</v>
      </c>
      <c r="AY272" s="12" t="str">
        <f>IFERROR(__xludf.DUMMYFUNCTION("""COMPUTED_VALUE"""),"3165269919")</f>
        <v>3165269919</v>
      </c>
      <c r="AZ272" s="6" t="str">
        <f>IFERROR(__xludf.DUMMYFUNCTION("""COMPUTED_VALUE"""),"Padre")</f>
        <v>Padre</v>
      </c>
      <c r="BA272" s="6"/>
      <c r="BB272" s="6"/>
      <c r="BC272" s="6"/>
      <c r="BD272" s="12" t="str">
        <f>IFERROR(__xludf.DUMMYFUNCTION("""COMPUTED_VALUE"""),"ang0004")</f>
        <v>ang0004</v>
      </c>
      <c r="BE272" s="6"/>
      <c r="BF272" s="6"/>
      <c r="BG272" s="6">
        <f>IFERROR(__xludf.DUMMYFUNCTION("""COMPUTED_VALUE"""),2037.0)</f>
        <v>2037</v>
      </c>
      <c r="BH272" s="15">
        <f>IFERROR(__xludf.DUMMYFUNCTION("""COMPUTED_VALUE"""),46211.80734953703)</f>
        <v>46211.80735</v>
      </c>
      <c r="BI272" s="6">
        <f>IFERROR(__xludf.DUMMYFUNCTION("""COMPUTED_VALUE"""),271.0)</f>
        <v>271</v>
      </c>
      <c r="BJ272" s="6"/>
      <c r="BK272" s="6"/>
      <c r="BL272" s="6" t="str">
        <f>IFERROR(__xludf.DUMMYFUNCTION("""COMPUTED_VALUE"""),"GISANG0004")</f>
        <v>GISANG0004</v>
      </c>
      <c r="BM272" s="6"/>
      <c r="BN272" s="6"/>
      <c r="BO272" s="6"/>
      <c r="BP272" s="6"/>
      <c r="BQ272" s="6"/>
      <c r="BR272" s="6"/>
      <c r="BS272" s="6"/>
      <c r="BT272" s="6"/>
      <c r="BU272" s="6" t="str">
        <f>IFERROR(__xludf.DUMMYFUNCTION("""COMPUTED_VALUE"""),"SI")</f>
        <v>SI</v>
      </c>
      <c r="BV272" s="6" t="str">
        <f>IFERROR(__xludf.DUMMYFUNCTION("""COMPUTED_VALUE"""),"tomas.ao2037")</f>
        <v>tomas.ao2037</v>
      </c>
      <c r="BW272" s="6"/>
      <c r="BX272" s="6"/>
      <c r="BY272" s="6"/>
      <c r="BZ272" s="6"/>
    </row>
    <row r="273">
      <c r="A273" s="12">
        <f>IFERROR(__xludf.DUMMYFUNCTION("""COMPUTED_VALUE"""),1.091888961E9)</f>
        <v>1091888961</v>
      </c>
      <c r="B273" s="6">
        <f>IFERROR(__xludf.DUMMYFUNCTION("""COMPUTED_VALUE"""),2.0)</f>
        <v>2</v>
      </c>
      <c r="C273" s="6" t="str">
        <f>IFERROR(__xludf.DUMMYFUNCTION("""COMPUTED_VALUE"""),"Agustín")</f>
        <v>Agustín</v>
      </c>
      <c r="D273" s="6"/>
      <c r="E273" s="6" t="str">
        <f>IFERROR(__xludf.DUMMYFUNCTION("""COMPUTED_VALUE"""),"Aragón Jiménez")</f>
        <v>Aragón Jiménez</v>
      </c>
      <c r="F273" s="6" t="str">
        <f>IFERROR(__xludf.DUMMYFUNCTION("""COMPUTED_VALUE"""),"Parque Residencial La Grecia Casa 51 - Calle 45 Variante Nte No 30 - 120")</f>
        <v>Parque Residencial La Grecia Casa 51 - Calle 45 Variante Nte No 30 - 120</v>
      </c>
      <c r="G273" s="12" t="str">
        <f>IFERROR(__xludf.DUMMYFUNCTION("""COMPUTED_VALUE"""),"2019")</f>
        <v>2019</v>
      </c>
      <c r="H273" s="6" t="str">
        <f>IFERROR(__xludf.DUMMYFUNCTION("""COMPUTED_VALUE"""),"Febrero")</f>
        <v>Febrero</v>
      </c>
      <c r="I273" s="12" t="str">
        <f>IFERROR(__xludf.DUMMYFUNCTION("""COMPUTED_VALUE"""),"9")</f>
        <v>9</v>
      </c>
      <c r="J273" s="6" t="str">
        <f>IFERROR(__xludf.DUMMYFUNCTION("""COMPUTED_VALUE"""),"Armenia")</f>
        <v>Armenia</v>
      </c>
      <c r="K273" s="6" t="str">
        <f>IFERROR(__xludf.DUMMYFUNCTION("""COMPUTED_VALUE"""),"agustin.aj2037@gi.edu.co")</f>
        <v>agustin.aj2037@gi.edu.co</v>
      </c>
      <c r="L273" s="6" t="str">
        <f>IFERROR(__xludf.DUMMYFUNCTION("""COMPUTED_VALUE"""),"RC")</f>
        <v>RC</v>
      </c>
      <c r="M273" s="6" t="str">
        <f>IFERROR(__xludf.DUMMYFUNCTION("""COMPUTED_VALUE"""),"Armenia")</f>
        <v>Armenia</v>
      </c>
      <c r="N273" s="6" t="str">
        <f>IFERROR(__xludf.DUMMYFUNCTION("""COMPUTED_VALUE"""),"M")</f>
        <v>M</v>
      </c>
      <c r="O273" s="6" t="str">
        <f>IFERROR(__xludf.DUMMYFUNCTION("""COMPUTED_VALUE"""),"INACTIVE")</f>
        <v>INACTIVE</v>
      </c>
      <c r="P273" s="6"/>
      <c r="Q273" s="6" t="str">
        <f>IFERROR(__xludf.DUMMYFUNCTION("""COMPUTED_VALUE"""),"Armenia")</f>
        <v>Armenia</v>
      </c>
      <c r="R273" s="12" t="str">
        <f>IFERROR(__xludf.DUMMYFUNCTION("""COMPUTED_VALUE"""),"Gi22sjc*")</f>
        <v>Gi22sjc*</v>
      </c>
      <c r="S273" s="6" t="str">
        <f>IFERROR(__xludf.DUMMYFUNCTION("""COMPUTED_VALUE"""),"Aragón Jiménez Agustín ")</f>
        <v>Aragón Jiménez Agustín </v>
      </c>
      <c r="T273" s="6" t="str">
        <f>IFERROR(__xludf.DUMMYFUNCTION("""COMPUTED_VALUE"""),"JOSE LUIS ARAGON ECHEVERRY")</f>
        <v>JOSE LUIS ARAGON ECHEVERRY</v>
      </c>
      <c r="U273" s="12" t="str">
        <f>IFERROR(__xludf.DUMMYFUNCTION("""COMPUTED_VALUE"""),"94478300")</f>
        <v>94478300</v>
      </c>
      <c r="V273" s="6">
        <f>IFERROR(__xludf.DUMMYFUNCTION("""COMPUTED_VALUE"""),3.18340335E9)</f>
        <v>3183403350</v>
      </c>
      <c r="W273" s="6" t="str">
        <f>IFERROR(__xludf.DUMMYFUNCTION("""COMPUTED_VALUE"""),"aragonecheverry.contabilidad@hotmail.com")</f>
        <v>aragonecheverry.contabilidad@hotmail.com</v>
      </c>
      <c r="X273" s="12" t="str">
        <f>IFERROR(__xludf.DUMMYFUNCTION("""COMPUTED_VALUE"""),"O+")</f>
        <v>O+</v>
      </c>
      <c r="Y273" s="12" t="str">
        <f>IFERROR(__xludf.DUMMYFUNCTION("""COMPUTED_VALUE"""),"2")</f>
        <v>2</v>
      </c>
      <c r="Z273" s="12">
        <f>IFERROR(__xludf.DUMMYFUNCTION("""COMPUTED_VALUE"""),120271.0)</f>
        <v>120271</v>
      </c>
      <c r="AA273" s="6" t="str">
        <f>IFERROR(__xludf.DUMMYFUNCTION("""COMPUTED_VALUE"""),"SURA")</f>
        <v>SURA</v>
      </c>
      <c r="AB273" s="6"/>
      <c r="AC273" s="6"/>
      <c r="AD273" s="12" t="str">
        <f>IFERROR(__xludf.DUMMYFUNCTION("""COMPUTED_VALUE"""),"2C")</f>
        <v>2C</v>
      </c>
      <c r="AE273" s="12">
        <f>IFERROR(__xludf.DUMMYFUNCTION("""COMPUTED_VALUE"""),1.345282267E9)</f>
        <v>1345282267</v>
      </c>
      <c r="AF273" s="12" t="str">
        <f>IFERROR(__xludf.DUMMYFUNCTION("""COMPUTED_VALUE"""),"1345282267")</f>
        <v>1345282267</v>
      </c>
      <c r="AG273" s="12" t="str">
        <f>IFERROR(__xludf.DUMMYFUNCTION("""COMPUTED_VALUE"""),"Valentina")</f>
        <v>Valentina</v>
      </c>
      <c r="AH273" s="6"/>
      <c r="AI273" s="6" t="str">
        <f>IFERROR(__xludf.DUMMYFUNCTION("""COMPUTED_VALUE"""),"Jiménez Mesa")</f>
        <v>Jiménez Mesa</v>
      </c>
      <c r="AJ273" s="6" t="str">
        <f>IFERROR(__xludf.DUMMYFUNCTION("""COMPUTED_VALUE"""),"valenjimenez9@hotmail.com")</f>
        <v>valenjimenez9@hotmail.com</v>
      </c>
      <c r="AK273" s="6" t="str">
        <f>IFERROR(__xludf.DUMMYFUNCTION("""COMPUTED_VALUE"""),"Administrador de empresas")</f>
        <v>Administrador de empresas</v>
      </c>
      <c r="AL273" s="6"/>
      <c r="AM273" s="12" t="str">
        <f>IFERROR(__xludf.DUMMYFUNCTION("""COMPUTED_VALUE"""),"1094922667")</f>
        <v>1094922667</v>
      </c>
      <c r="AN273" s="12" t="str">
        <f>IFERROR(__xludf.DUMMYFUNCTION("""COMPUTED_VALUE"""),"3013322276")</f>
        <v>3013322276</v>
      </c>
      <c r="AO273" s="6" t="str">
        <f>IFERROR(__xludf.DUMMYFUNCTION("""COMPUTED_VALUE"""),"Madre")</f>
        <v>Madre</v>
      </c>
      <c r="AP273" s="6" t="str">
        <f>IFERROR(__xludf.DUMMYFUNCTION("""COMPUTED_VALUE"""),"Estudiante(s): Aragón Jiménez")</f>
        <v>Estudiante(s): Aragón Jiménez</v>
      </c>
      <c r="AQ273" s="6" t="str">
        <f>IFERROR(__xludf.DUMMYFUNCTION("""COMPUTED_VALUE"""),"120271Gi*")</f>
        <v>120271Gi*</v>
      </c>
      <c r="AR273" s="6" t="str">
        <f>IFERROR(__xludf.DUMMYFUNCTION("""COMPUTED_VALUE"""),"José")</f>
        <v>José</v>
      </c>
      <c r="AS273" s="6" t="str">
        <f>IFERROR(__xludf.DUMMYFUNCTION("""COMPUTED_VALUE"""),"Luis")</f>
        <v>Luis</v>
      </c>
      <c r="AT273" s="6" t="str">
        <f>IFERROR(__xludf.DUMMYFUNCTION("""COMPUTED_VALUE"""),"Aragón Echeverri")</f>
        <v>Aragón Echeverri</v>
      </c>
      <c r="AU273" s="6" t="str">
        <f>IFERROR(__xludf.DUMMYFUNCTION("""COMPUTED_VALUE"""),"joseluisaragon82@gmail.com")</f>
        <v>joseluisaragon82@gmail.com</v>
      </c>
      <c r="AV273" s="6" t="str">
        <f>IFERROR(__xludf.DUMMYFUNCTION("""COMPUTED_VALUE"""),"Ingeniero agroindustrial")</f>
        <v>Ingeniero agroindustrial</v>
      </c>
      <c r="AW273" s="6" t="str">
        <f>IFERROR(__xludf.DUMMYFUNCTION("""COMPUTED_VALUE"""),"Agricultor")</f>
        <v>Agricultor</v>
      </c>
      <c r="AX273" s="12" t="str">
        <f>IFERROR(__xludf.DUMMYFUNCTION("""COMPUTED_VALUE"""),"94478300")</f>
        <v>94478300</v>
      </c>
      <c r="AY273" s="12" t="str">
        <f>IFERROR(__xludf.DUMMYFUNCTION("""COMPUTED_VALUE"""),"3183403350")</f>
        <v>3183403350</v>
      </c>
      <c r="AZ273" s="6" t="str">
        <f>IFERROR(__xludf.DUMMYFUNCTION("""COMPUTED_VALUE"""),"Padre")</f>
        <v>Padre</v>
      </c>
      <c r="BA273" s="6"/>
      <c r="BB273" s="6"/>
      <c r="BC273" s="6"/>
      <c r="BD273" s="12" t="str">
        <f>IFERROR(__xludf.DUMMYFUNCTION("""COMPUTED_VALUE"""),"ara0004")</f>
        <v>ara0004</v>
      </c>
      <c r="BE273" s="6" t="str">
        <f>IFERROR(__xludf.DUMMYFUNCTION("""COMPUTED_VALUE"""),"FALTAN FIRMAS")</f>
        <v>FALTAN FIRMAS</v>
      </c>
      <c r="BF273" s="6"/>
      <c r="BG273" s="6">
        <f>IFERROR(__xludf.DUMMYFUNCTION("""COMPUTED_VALUE"""),2037.0)</f>
        <v>2037</v>
      </c>
      <c r="BH273" s="15">
        <f>IFERROR(__xludf.DUMMYFUNCTION("""COMPUTED_VALUE"""),46251.76509259259)</f>
        <v>46251.76509</v>
      </c>
      <c r="BI273" s="6">
        <f>IFERROR(__xludf.DUMMYFUNCTION("""COMPUTED_VALUE"""),272.0)</f>
        <v>272</v>
      </c>
      <c r="BJ273" s="6"/>
      <c r="BK273" s="6"/>
      <c r="BL273" s="6" t="str">
        <f>IFERROR(__xludf.DUMMYFUNCTION("""COMPUTED_VALUE"""),"GISARA0004")</f>
        <v>GISARA0004</v>
      </c>
      <c r="BM273" s="6"/>
      <c r="BN273" s="6"/>
      <c r="BO273" s="6"/>
      <c r="BP273" s="6"/>
      <c r="BQ273" s="6"/>
      <c r="BR273" s="6"/>
      <c r="BS273" s="6"/>
      <c r="BT273" s="6"/>
      <c r="BU273" s="6" t="str">
        <f>IFERROR(__xludf.DUMMYFUNCTION("""COMPUTED_VALUE"""),"NO")</f>
        <v>NO</v>
      </c>
      <c r="BV273" s="6" t="str">
        <f>IFERROR(__xludf.DUMMYFUNCTION("""COMPUTED_VALUE"""),"agustin.aj2037")</f>
        <v>agustin.aj2037</v>
      </c>
      <c r="BW273" s="6"/>
      <c r="BX273" s="6"/>
      <c r="BY273" s="6"/>
      <c r="BZ273" s="6"/>
    </row>
    <row r="274">
      <c r="A274" s="12">
        <f>IFERROR(__xludf.DUMMYFUNCTION("""COMPUTED_VALUE"""),1.092862305E9)</f>
        <v>1092862305</v>
      </c>
      <c r="B274" s="6">
        <f>IFERROR(__xludf.DUMMYFUNCTION("""COMPUTED_VALUE"""),3.0)</f>
        <v>3</v>
      </c>
      <c r="C274" s="6" t="str">
        <f>IFERROR(__xludf.DUMMYFUNCTION("""COMPUTED_VALUE"""),"Agustín")</f>
        <v>Agustín</v>
      </c>
      <c r="D274" s="6"/>
      <c r="E274" s="6" t="str">
        <f>IFERROR(__xludf.DUMMYFUNCTION("""COMPUTED_VALUE"""),"Arias Jaramillo")</f>
        <v>Arias Jaramillo</v>
      </c>
      <c r="F274" s="6" t="str">
        <f>IFERROR(__xludf.DUMMYFUNCTION("""COMPUTED_VALUE"""),"Portal de Alameda Manzana C Casa 6 - Cra 19 No 36Nte - 30")</f>
        <v>Portal de Alameda Manzana C Casa 6 - Cra 19 No 36Nte - 30</v>
      </c>
      <c r="G274" s="12" t="str">
        <f>IFERROR(__xludf.DUMMYFUNCTION("""COMPUTED_VALUE"""),"2018")</f>
        <v>2018</v>
      </c>
      <c r="H274" s="6" t="str">
        <f>IFERROR(__xludf.DUMMYFUNCTION("""COMPUTED_VALUE"""),"Agosto")</f>
        <v>Agosto</v>
      </c>
      <c r="I274" s="12" t="str">
        <f>IFERROR(__xludf.DUMMYFUNCTION("""COMPUTED_VALUE"""),"25")</f>
        <v>25</v>
      </c>
      <c r="J274" s="6" t="str">
        <f>IFERROR(__xludf.DUMMYFUNCTION("""COMPUTED_VALUE"""),"Armenia")</f>
        <v>Armenia</v>
      </c>
      <c r="K274" s="6" t="str">
        <f>IFERROR(__xludf.DUMMYFUNCTION("""COMPUTED_VALUE"""),"agustin.a2037@gi.edu.co")</f>
        <v>agustin.a2037@gi.edu.co</v>
      </c>
      <c r="L274" s="6" t="str">
        <f>IFERROR(__xludf.DUMMYFUNCTION("""COMPUTED_VALUE"""),"RC")</f>
        <v>RC</v>
      </c>
      <c r="M274" s="6" t="str">
        <f>IFERROR(__xludf.DUMMYFUNCTION("""COMPUTED_VALUE"""),"Armenia")</f>
        <v>Armenia</v>
      </c>
      <c r="N274" s="6" t="str">
        <f>IFERROR(__xludf.DUMMYFUNCTION("""COMPUTED_VALUE"""),"M")</f>
        <v>M</v>
      </c>
      <c r="O274" s="6" t="str">
        <f>IFERROR(__xludf.DUMMYFUNCTION("""COMPUTED_VALUE"""),"ACTIVE")</f>
        <v>ACTIVE</v>
      </c>
      <c r="P274" s="6"/>
      <c r="Q274" s="6" t="str">
        <f>IFERROR(__xludf.DUMMYFUNCTION("""COMPUTED_VALUE"""),"Armenia")</f>
        <v>Armenia</v>
      </c>
      <c r="R274" s="12" t="str">
        <f>IFERROR(__xludf.DUMMYFUNCTION("""COMPUTED_VALUE"""),"Giy7h5m5*")</f>
        <v>Giy7h5m5*</v>
      </c>
      <c r="S274" s="6" t="str">
        <f>IFERROR(__xludf.DUMMYFUNCTION("""COMPUTED_VALUE"""),"Arias Jaramillo Agustín ")</f>
        <v>Arias Jaramillo Agustín </v>
      </c>
      <c r="T274" s="6" t="str">
        <f>IFERROR(__xludf.DUMMYFUNCTION("""COMPUTED_VALUE"""),"SANTIAGO ARIAS BOTERO")</f>
        <v>SANTIAGO ARIAS BOTERO</v>
      </c>
      <c r="U274" s="12" t="str">
        <f>IFERROR(__xludf.DUMMYFUNCTION("""COMPUTED_VALUE"""),"9734993")</f>
        <v>9734993</v>
      </c>
      <c r="V274" s="6">
        <f>IFERROR(__xludf.DUMMYFUNCTION("""COMPUTED_VALUE"""),3.148905254E9)</f>
        <v>3148905254</v>
      </c>
      <c r="W274" s="6" t="str">
        <f>IFERROR(__xludf.DUMMYFUNCTION("""COMPUTED_VALUE"""),"santiago35@gmail.com")</f>
        <v>santiago35@gmail.com</v>
      </c>
      <c r="X274" s="12" t="str">
        <f>IFERROR(__xludf.DUMMYFUNCTION("""COMPUTED_VALUE"""),"O+")</f>
        <v>O+</v>
      </c>
      <c r="Y274" s="12" t="str">
        <f>IFERROR(__xludf.DUMMYFUNCTION("""COMPUTED_VALUE"""),"2")</f>
        <v>2</v>
      </c>
      <c r="Z274" s="12">
        <f>IFERROR(__xludf.DUMMYFUNCTION("""COMPUTED_VALUE"""),120209.0)</f>
        <v>120209</v>
      </c>
      <c r="AA274" s="6" t="str">
        <f>IFERROR(__xludf.DUMMYFUNCTION("""COMPUTED_VALUE"""),"SURA")</f>
        <v>SURA</v>
      </c>
      <c r="AB274" s="6"/>
      <c r="AC274" s="12" t="str">
        <f>IFERROR(__xludf.DUMMYFUNCTION("""COMPUTED_VALUE"""),"Medicamentos: (Aspirina, Advil, Motrin, diclofenaco, voltaren, piroxicam, faldene, stopen).")</f>
        <v>Medicamentos: (Aspirina, Advil, Motrin, diclofenaco, voltaren, piroxicam, faldene, stopen).</v>
      </c>
      <c r="AD274" s="12" t="str">
        <f>IFERROR(__xludf.DUMMYFUNCTION("""COMPUTED_VALUE"""),"2C")</f>
        <v>2C</v>
      </c>
      <c r="AE274" s="12">
        <f>IFERROR(__xludf.DUMMYFUNCTION("""COMPUTED_VALUE"""),1.345282191E9)</f>
        <v>1345282191</v>
      </c>
      <c r="AF274" s="12" t="str">
        <f>IFERROR(__xludf.DUMMYFUNCTION("""COMPUTED_VALUE"""),"1345282191")</f>
        <v>1345282191</v>
      </c>
      <c r="AG274" s="12" t="str">
        <f>IFERROR(__xludf.DUMMYFUNCTION("""COMPUTED_VALUE"""),"Manuela")</f>
        <v>Manuela</v>
      </c>
      <c r="AH274" s="6"/>
      <c r="AI274" s="6" t="str">
        <f>IFERROR(__xludf.DUMMYFUNCTION("""COMPUTED_VALUE"""),"Jaramillo Mejía")</f>
        <v>Jaramillo Mejía</v>
      </c>
      <c r="AJ274" s="6" t="str">
        <f>IFERROR(__xludf.DUMMYFUNCTION("""COMPUTED_VALUE"""),"manuelajmejia@hotmail.com")</f>
        <v>manuelajmejia@hotmail.com</v>
      </c>
      <c r="AK274" s="6" t="str">
        <f>IFERROR(__xludf.DUMMYFUNCTION("""COMPUTED_VALUE"""),"NEGOCIADORA INTERNACIONAL")</f>
        <v>NEGOCIADORA INTERNACIONAL</v>
      </c>
      <c r="AL274" s="6"/>
      <c r="AM274" s="12" t="str">
        <f>IFERROR(__xludf.DUMMYFUNCTION("""COMPUTED_VALUE"""),"41956642")</f>
        <v>41956642</v>
      </c>
      <c r="AN274" s="12" t="str">
        <f>IFERROR(__xludf.DUMMYFUNCTION("""COMPUTED_VALUE"""),"3203338053")</f>
        <v>3203338053</v>
      </c>
      <c r="AO274" s="6" t="str">
        <f>IFERROR(__xludf.DUMMYFUNCTION("""COMPUTED_VALUE"""),"Madre")</f>
        <v>Madre</v>
      </c>
      <c r="AP274" s="6" t="str">
        <f>IFERROR(__xludf.DUMMYFUNCTION("""COMPUTED_VALUE"""),"Estudiante(s): Arias Jaramillo")</f>
        <v>Estudiante(s): Arias Jaramillo</v>
      </c>
      <c r="AQ274" s="6" t="str">
        <f>IFERROR(__xludf.DUMMYFUNCTION("""COMPUTED_VALUE"""),"120209*Gi")</f>
        <v>120209*Gi</v>
      </c>
      <c r="AR274" s="6" t="str">
        <f>IFERROR(__xludf.DUMMYFUNCTION("""COMPUTED_VALUE"""),"Santiago")</f>
        <v>Santiago</v>
      </c>
      <c r="AS274" s="6"/>
      <c r="AT274" s="6" t="str">
        <f>IFERROR(__xludf.DUMMYFUNCTION("""COMPUTED_VALUE"""),"Arias Botero")</f>
        <v>Arias Botero</v>
      </c>
      <c r="AU274" s="6" t="str">
        <f>IFERROR(__xludf.DUMMYFUNCTION("""COMPUTED_VALUE"""),"santiago35@gmail.com")</f>
        <v>santiago35@gmail.com</v>
      </c>
      <c r="AV274" s="6" t="str">
        <f>IFERROR(__xludf.DUMMYFUNCTION("""COMPUTED_VALUE"""),"ADMINISTRADOR EMPRESAS")</f>
        <v>ADMINISTRADOR EMPRESAS</v>
      </c>
      <c r="AW274" s="6" t="str">
        <f>IFERROR(__xludf.DUMMYFUNCTION("""COMPUTED_VALUE"""),"QUINDICOLOR")</f>
        <v>QUINDICOLOR</v>
      </c>
      <c r="AX274" s="12" t="str">
        <f>IFERROR(__xludf.DUMMYFUNCTION("""COMPUTED_VALUE"""),"9734993")</f>
        <v>9734993</v>
      </c>
      <c r="AY274" s="12" t="str">
        <f>IFERROR(__xludf.DUMMYFUNCTION("""COMPUTED_VALUE"""),"3148905254")</f>
        <v>3148905254</v>
      </c>
      <c r="AZ274" s="6" t="str">
        <f>IFERROR(__xludf.DUMMYFUNCTION("""COMPUTED_VALUE"""),"Padre")</f>
        <v>Padre</v>
      </c>
      <c r="BA274" s="6"/>
      <c r="BB274" s="6"/>
      <c r="BC274" s="6"/>
      <c r="BD274" s="12" t="str">
        <f>IFERROR(__xludf.DUMMYFUNCTION("""COMPUTED_VALUE"""),"ari0028")</f>
        <v>ari0028</v>
      </c>
      <c r="BE274" s="6"/>
      <c r="BF274" s="6"/>
      <c r="BG274" s="6">
        <f>IFERROR(__xludf.DUMMYFUNCTION("""COMPUTED_VALUE"""),2037.0)</f>
        <v>2037</v>
      </c>
      <c r="BH274" s="15">
        <f>IFERROR(__xludf.DUMMYFUNCTION("""COMPUTED_VALUE"""),46205.29425925926)</f>
        <v>46205.29426</v>
      </c>
      <c r="BI274" s="6">
        <f>IFERROR(__xludf.DUMMYFUNCTION("""COMPUTED_VALUE"""),273.0)</f>
        <v>273</v>
      </c>
      <c r="BJ274" s="6"/>
      <c r="BK274" s="6"/>
      <c r="BL274" s="6" t="str">
        <f>IFERROR(__xludf.DUMMYFUNCTION("""COMPUTED_VALUE"""),"GISARI0028")</f>
        <v>GISARI0028</v>
      </c>
      <c r="BM274" s="6"/>
      <c r="BN274" s="6"/>
      <c r="BO274" s="6"/>
      <c r="BP274" s="6" t="str">
        <f>IFERROR(__xludf.DUMMYFUNCTION("""COMPUTED_VALUE"""),"XC_123_Basquetbol")</f>
        <v>XC_123_Basquetbol</v>
      </c>
      <c r="BQ274" s="6"/>
      <c r="BR274" s="6"/>
      <c r="BS274" s="6" t="str">
        <f>IFERROR(__xludf.DUMMYFUNCTION("""COMPUTED_VALUE"""),"XC_123_Basquetbol")</f>
        <v>XC_123_Basquetbol</v>
      </c>
      <c r="BT274" s="6" t="str">
        <f>IFERROR(__xludf.DUMMYFUNCTION("""COMPUTED_VALUE"""),"XC_123_Basquetbol")</f>
        <v>XC_123_Basquetbol</v>
      </c>
      <c r="BU274" s="6" t="str">
        <f>IFERROR(__xludf.DUMMYFUNCTION("""COMPUTED_VALUE"""),"SI")</f>
        <v>SI</v>
      </c>
      <c r="BV274" s="6" t="str">
        <f>IFERROR(__xludf.DUMMYFUNCTION("""COMPUTED_VALUE"""),"agustin.a2037")</f>
        <v>agustin.a2037</v>
      </c>
      <c r="BW274" s="6"/>
      <c r="BX274" s="6"/>
      <c r="BY274" s="6"/>
      <c r="BZ274" s="6"/>
    </row>
    <row r="275">
      <c r="A275" s="12">
        <f>IFERROR(__xludf.DUMMYFUNCTION("""COMPUTED_VALUE"""),1.019918673E9)</f>
        <v>1019918673</v>
      </c>
      <c r="B275" s="6">
        <f>IFERROR(__xludf.DUMMYFUNCTION("""COMPUTED_VALUE"""),4.0)</f>
        <v>4</v>
      </c>
      <c r="C275" s="6" t="str">
        <f>IFERROR(__xludf.DUMMYFUNCTION("""COMPUTED_VALUE"""),"Emilio")</f>
        <v>Emilio</v>
      </c>
      <c r="D275" s="6"/>
      <c r="E275" s="6" t="str">
        <f>IFERROR(__xludf.DUMMYFUNCTION("""COMPUTED_VALUE"""),"Giraldo Pinzón")</f>
        <v>Giraldo Pinzón</v>
      </c>
      <c r="F275" s="6" t="str">
        <f>IFERROR(__xludf.DUMMYFUNCTION("""COMPUTED_VALUE"""),"Lagos de Iraka Casa 53 - Km 7 Via Armenia - El Caimo")</f>
        <v>Lagos de Iraka Casa 53 - Km 7 Via Armenia - El Caimo</v>
      </c>
      <c r="G275" s="12" t="str">
        <f>IFERROR(__xludf.DUMMYFUNCTION("""COMPUTED_VALUE"""),"2019")</f>
        <v>2019</v>
      </c>
      <c r="H275" s="6" t="str">
        <f>IFERROR(__xludf.DUMMYFUNCTION("""COMPUTED_VALUE"""),"Julio")</f>
        <v>Julio</v>
      </c>
      <c r="I275" s="12" t="str">
        <f>IFERROR(__xludf.DUMMYFUNCTION("""COMPUTED_VALUE"""),"29")</f>
        <v>29</v>
      </c>
      <c r="J275" s="6" t="str">
        <f>IFERROR(__xludf.DUMMYFUNCTION("""COMPUTED_VALUE"""),"Bogotá D.C.")</f>
        <v>Bogotá D.C.</v>
      </c>
      <c r="K275" s="6" t="str">
        <f>IFERROR(__xludf.DUMMYFUNCTION("""COMPUTED_VALUE"""),"emilio.g2037@gi.edu.co")</f>
        <v>emilio.g2037@gi.edu.co</v>
      </c>
      <c r="L275" s="6" t="str">
        <f>IFERROR(__xludf.DUMMYFUNCTION("""COMPUTED_VALUE"""),"NUIP")</f>
        <v>NUIP</v>
      </c>
      <c r="M275" s="6" t="str">
        <f>IFERROR(__xludf.DUMMYFUNCTION("""COMPUTED_VALUE"""),"Bogotá D.C.")</f>
        <v>Bogotá D.C.</v>
      </c>
      <c r="N275" s="6" t="str">
        <f>IFERROR(__xludf.DUMMYFUNCTION("""COMPUTED_VALUE"""),"M")</f>
        <v>M</v>
      </c>
      <c r="O275" s="6" t="str">
        <f>IFERROR(__xludf.DUMMYFUNCTION("""COMPUTED_VALUE"""),"ACTIVE")</f>
        <v>ACTIVE</v>
      </c>
      <c r="P275" s="6"/>
      <c r="Q275" s="6" t="str">
        <f>IFERROR(__xludf.DUMMYFUNCTION("""COMPUTED_VALUE"""),"Armenia")</f>
        <v>Armenia</v>
      </c>
      <c r="R275" s="12" t="str">
        <f>IFERROR(__xludf.DUMMYFUNCTION("""COMPUTED_VALUE"""),"GipY9cBv*")</f>
        <v>GipY9cBv*</v>
      </c>
      <c r="S275" s="6" t="str">
        <f>IFERROR(__xludf.DUMMYFUNCTION("""COMPUTED_VALUE"""),"Giraldo Pinzón Emilio ")</f>
        <v>Giraldo Pinzón Emilio </v>
      </c>
      <c r="T275" s="6" t="str">
        <f>IFERROR(__xludf.DUMMYFUNCTION("""COMPUTED_VALUE"""),"GERMAN GIRALDO GOMEZ")</f>
        <v>GERMAN GIRALDO GOMEZ</v>
      </c>
      <c r="U275" s="12" t="str">
        <f>IFERROR(__xludf.DUMMYFUNCTION("""COMPUTED_VALUE"""),"79778690")</f>
        <v>79778690</v>
      </c>
      <c r="V275" s="6">
        <f>IFERROR(__xludf.DUMMYFUNCTION("""COMPUTED_VALUE"""),3.102799711E9)</f>
        <v>3102799711</v>
      </c>
      <c r="W275" s="6" t="str">
        <f>IFERROR(__xludf.DUMMYFUNCTION("""COMPUTED_VALUE"""),"german.giraldo08@gmail.com")</f>
        <v>german.giraldo08@gmail.com</v>
      </c>
      <c r="X275" s="12" t="str">
        <f>IFERROR(__xludf.DUMMYFUNCTION("""COMPUTED_VALUE"""),"A+")</f>
        <v>A+</v>
      </c>
      <c r="Y275" s="12" t="str">
        <f>IFERROR(__xludf.DUMMYFUNCTION("""COMPUTED_VALUE"""),"2")</f>
        <v>2</v>
      </c>
      <c r="Z275" s="12">
        <f>IFERROR(__xludf.DUMMYFUNCTION("""COMPUTED_VALUE"""),120118.0)</f>
        <v>120118</v>
      </c>
      <c r="AA275" s="6" t="str">
        <f>IFERROR(__xludf.DUMMYFUNCTION("""COMPUTED_VALUE"""),"SANITAS")</f>
        <v>SANITAS</v>
      </c>
      <c r="AB275" s="6"/>
      <c r="AC275" s="12" t="str">
        <f>IFERROR(__xludf.DUMMYFUNCTION("""COMPUTED_VALUE"""),"ATENCION! RESTRICCIONES en el documento: https://drive.google.com/file/d/1-9Ehfg5XOBMOddqqnCBtIB_8G9lTioXU/view?usp=drive_link IBUPROFENO- AINES")</f>
        <v>ATENCION! RESTRICCIONES en el documento: https://drive.google.com/file/d/1-9Ehfg5XOBMOddqqnCBtIB_8G9lTioXU/view?usp=drive_link IBUPROFENO- AINES</v>
      </c>
      <c r="AD275" s="12" t="str">
        <f>IFERROR(__xludf.DUMMYFUNCTION("""COMPUTED_VALUE"""),"2C")</f>
        <v>2C</v>
      </c>
      <c r="AE275" s="12">
        <f>IFERROR(__xludf.DUMMYFUNCTION("""COMPUTED_VALUE"""),1.345282142E9)</f>
        <v>1345282142</v>
      </c>
      <c r="AF275" s="12" t="str">
        <f>IFERROR(__xludf.DUMMYFUNCTION("""COMPUTED_VALUE"""),"1345282142")</f>
        <v>1345282142</v>
      </c>
      <c r="AG275" s="12" t="str">
        <f>IFERROR(__xludf.DUMMYFUNCTION("""COMPUTED_VALUE"""),"Catalina")</f>
        <v>Catalina</v>
      </c>
      <c r="AH275" s="6"/>
      <c r="AI275" s="6" t="str">
        <f>IFERROR(__xludf.DUMMYFUNCTION("""COMPUTED_VALUE"""),"Pinzón Vinazco")</f>
        <v>Pinzón Vinazco</v>
      </c>
      <c r="AJ275" s="6" t="str">
        <f>IFERROR(__xludf.DUMMYFUNCTION("""COMPUTED_VALUE"""),"catalinapinzon@hotmail.com")</f>
        <v>catalinapinzon@hotmail.com</v>
      </c>
      <c r="AK275" s="6" t="str">
        <f>IFERROR(__xludf.DUMMYFUNCTION("""COMPUTED_VALUE"""),"Arquitecta")</f>
        <v>Arquitecta</v>
      </c>
      <c r="AL275" s="6"/>
      <c r="AM275" s="12" t="str">
        <f>IFERROR(__xludf.DUMMYFUNCTION("""COMPUTED_VALUE"""),"52386620")</f>
        <v>52386620</v>
      </c>
      <c r="AN275" s="12" t="str">
        <f>IFERROR(__xludf.DUMMYFUNCTION("""COMPUTED_VALUE"""),"3102167946")</f>
        <v>3102167946</v>
      </c>
      <c r="AO275" s="6" t="str">
        <f>IFERROR(__xludf.DUMMYFUNCTION("""COMPUTED_VALUE"""),"Madre")</f>
        <v>Madre</v>
      </c>
      <c r="AP275" s="6" t="str">
        <f>IFERROR(__xludf.DUMMYFUNCTION("""COMPUTED_VALUE"""),"Estudiante(s): Giraldo Pinzón")</f>
        <v>Estudiante(s): Giraldo Pinzón</v>
      </c>
      <c r="AQ275" s="6" t="str">
        <f>IFERROR(__xludf.DUMMYFUNCTION("""COMPUTED_VALUE"""),"103784*Gi")</f>
        <v>103784*Gi</v>
      </c>
      <c r="AR275" s="6" t="str">
        <f>IFERROR(__xludf.DUMMYFUNCTION("""COMPUTED_VALUE"""),"Germán")</f>
        <v>Germán</v>
      </c>
      <c r="AS275" s="6"/>
      <c r="AT275" s="6" t="str">
        <f>IFERROR(__xludf.DUMMYFUNCTION("""COMPUTED_VALUE"""),"Giraldo Gómez")</f>
        <v>Giraldo Gómez</v>
      </c>
      <c r="AU275" s="6" t="str">
        <f>IFERROR(__xludf.DUMMYFUNCTION("""COMPUTED_VALUE"""),"german.giraldo08@gmail.com")</f>
        <v>german.giraldo08@gmail.com</v>
      </c>
      <c r="AV275" s="6" t="str">
        <f>IFERROR(__xludf.DUMMYFUNCTION("""COMPUTED_VALUE"""),"publicista")</f>
        <v>publicista</v>
      </c>
      <c r="AW275" s="6" t="str">
        <f>IFERROR(__xludf.DUMMYFUNCTION("""COMPUTED_VALUE"""),"APA INGENIEROS")</f>
        <v>APA INGENIEROS</v>
      </c>
      <c r="AX275" s="12" t="str">
        <f>IFERROR(__xludf.DUMMYFUNCTION("""COMPUTED_VALUE"""),"79778690")</f>
        <v>79778690</v>
      </c>
      <c r="AY275" s="12" t="str">
        <f>IFERROR(__xludf.DUMMYFUNCTION("""COMPUTED_VALUE"""),"3102799711")</f>
        <v>3102799711</v>
      </c>
      <c r="AZ275" s="6" t="str">
        <f>IFERROR(__xludf.DUMMYFUNCTION("""COMPUTED_VALUE"""),"Padre")</f>
        <v>Padre</v>
      </c>
      <c r="BA275" s="6"/>
      <c r="BB275" s="6"/>
      <c r="BC275" s="6"/>
      <c r="BD275" s="12" t="str">
        <f>IFERROR(__xludf.DUMMYFUNCTION("""COMPUTED_VALUE"""),"gir0012")</f>
        <v>gir0012</v>
      </c>
      <c r="BE275" s="6"/>
      <c r="BF275" s="6"/>
      <c r="BG275" s="6">
        <f>IFERROR(__xludf.DUMMYFUNCTION("""COMPUTED_VALUE"""),2037.0)</f>
        <v>2037</v>
      </c>
      <c r="BH275" s="15">
        <f>IFERROR(__xludf.DUMMYFUNCTION("""COMPUTED_VALUE"""),46230.519895833335)</f>
        <v>46230.5199</v>
      </c>
      <c r="BI275" s="6">
        <f>IFERROR(__xludf.DUMMYFUNCTION("""COMPUTED_VALUE"""),274.0)</f>
        <v>274</v>
      </c>
      <c r="BJ275" s="6"/>
      <c r="BK275" s="6" t="str">
        <f>IFERROR(__xludf.DUMMYFUNCTION("""COMPUTED_VALUE"""),"ATENCION! RESTRICCIONES en el documento: https://drive.google.com/file/d/1-9Ehfg5XOBMOddqqnCBtIB_8G9lTioXU/view?usp=drive_link")</f>
        <v>ATENCION! RESTRICCIONES en el documento: https://drive.google.com/file/d/1-9Ehfg5XOBMOddqqnCBtIB_8G9lTioXU/view?usp=drive_link</v>
      </c>
      <c r="BL275" s="6" t="str">
        <f>IFERROR(__xludf.DUMMYFUNCTION("""COMPUTED_VALUE"""),"GISGIR0012")</f>
        <v>GISGIR0012</v>
      </c>
      <c r="BM275" s="6"/>
      <c r="BN275" s="6"/>
      <c r="BO275" s="6"/>
      <c r="BP275" s="6" t="str">
        <f>IFERROR(__xludf.DUMMYFUNCTION("""COMPUTED_VALUE"""),"XC_EL_Taekwondo")</f>
        <v>XC_EL_Taekwondo</v>
      </c>
      <c r="BQ275" s="6" t="str">
        <f>IFERROR(__xludf.DUMMYFUNCTION("""COMPUTED_VALUE"""),"XC_EL_Taekwondo")</f>
        <v>XC_EL_Taekwondo</v>
      </c>
      <c r="BR275" s="6" t="str">
        <f>IFERROR(__xludf.DUMMYFUNCTION("""COMPUTED_VALUE"""),"XC_EL_PequenosCientificos")</f>
        <v>XC_EL_PequenosCientificos</v>
      </c>
      <c r="BS275" s="6" t="str">
        <f>IFERROR(__xludf.DUMMYFUNCTION("""COMPUTED_VALUE"""),"XC_EL_Taekwondo")</f>
        <v>XC_EL_Taekwondo</v>
      </c>
      <c r="BT275" s="6"/>
      <c r="BU275" s="6" t="str">
        <f>IFERROR(__xludf.DUMMYFUNCTION("""COMPUTED_VALUE"""),"SI")</f>
        <v>SI</v>
      </c>
      <c r="BV275" s="6" t="str">
        <f>IFERROR(__xludf.DUMMYFUNCTION("""COMPUTED_VALUE"""),"emilio.g2037")</f>
        <v>emilio.g2037</v>
      </c>
      <c r="BW275" s="6"/>
      <c r="BX275" s="6"/>
      <c r="BY275" s="6"/>
      <c r="BZ275" s="6"/>
    </row>
    <row r="276">
      <c r="A276" s="12">
        <f>IFERROR(__xludf.DUMMYFUNCTION("""COMPUTED_VALUE"""),1.092862787E9)</f>
        <v>1092862787</v>
      </c>
      <c r="B276" s="6">
        <f>IFERROR(__xludf.DUMMYFUNCTION("""COMPUTED_VALUE"""),5.0)</f>
        <v>5</v>
      </c>
      <c r="C276" s="6" t="str">
        <f>IFERROR(__xludf.DUMMYFUNCTION("""COMPUTED_VALUE"""),"Elena")</f>
        <v>Elena</v>
      </c>
      <c r="D276" s="6"/>
      <c r="E276" s="6" t="str">
        <f>IFERROR(__xludf.DUMMYFUNCTION("""COMPUTED_VALUE"""),"Gómez Garzón")</f>
        <v>Gómez Garzón</v>
      </c>
      <c r="F276" s="6" t="str">
        <f>IFERROR(__xludf.DUMMYFUNCTION("""COMPUTED_VALUE"""),"Rincón de la Castellana Apto 201 - Cra 11 12Nte - 25")</f>
        <v>Rincón de la Castellana Apto 201 - Cra 11 12Nte - 25</v>
      </c>
      <c r="G276" s="12" t="str">
        <f>IFERROR(__xludf.DUMMYFUNCTION("""COMPUTED_VALUE"""),"2019")</f>
        <v>2019</v>
      </c>
      <c r="H276" s="6" t="str">
        <f>IFERROR(__xludf.DUMMYFUNCTION("""COMPUTED_VALUE"""),"Febrero")</f>
        <v>Febrero</v>
      </c>
      <c r="I276" s="12" t="str">
        <f>IFERROR(__xludf.DUMMYFUNCTION("""COMPUTED_VALUE"""),"22")</f>
        <v>22</v>
      </c>
      <c r="J276" s="6" t="str">
        <f>IFERROR(__xludf.DUMMYFUNCTION("""COMPUTED_VALUE"""),"Armenia")</f>
        <v>Armenia</v>
      </c>
      <c r="K276" s="6" t="str">
        <f>IFERROR(__xludf.DUMMYFUNCTION("""COMPUTED_VALUE"""),"elena.g2037@gi.edu.co")</f>
        <v>elena.g2037@gi.edu.co</v>
      </c>
      <c r="L276" s="6" t="str">
        <f>IFERROR(__xludf.DUMMYFUNCTION("""COMPUTED_VALUE"""),"RC")</f>
        <v>RC</v>
      </c>
      <c r="M276" s="6" t="str">
        <f>IFERROR(__xludf.DUMMYFUNCTION("""COMPUTED_VALUE"""),"Armenia")</f>
        <v>Armenia</v>
      </c>
      <c r="N276" s="6" t="str">
        <f>IFERROR(__xludf.DUMMYFUNCTION("""COMPUTED_VALUE"""),"F")</f>
        <v>F</v>
      </c>
      <c r="O276" s="6" t="str">
        <f>IFERROR(__xludf.DUMMYFUNCTION("""COMPUTED_VALUE"""),"INACTIVE")</f>
        <v>INACTIVE</v>
      </c>
      <c r="P276" s="6"/>
      <c r="Q276" s="6" t="str">
        <f>IFERROR(__xludf.DUMMYFUNCTION("""COMPUTED_VALUE"""),"Armenia")</f>
        <v>Armenia</v>
      </c>
      <c r="R276" s="12" t="str">
        <f>IFERROR(__xludf.DUMMYFUNCTION("""COMPUTED_VALUE"""),"Gij5897*")</f>
        <v>Gij5897*</v>
      </c>
      <c r="S276" s="6" t="str">
        <f>IFERROR(__xludf.DUMMYFUNCTION("""COMPUTED_VALUE"""),"Gómez Garzón Elena ")</f>
        <v>Gómez Garzón Elena </v>
      </c>
      <c r="T276" s="6" t="str">
        <f>IFERROR(__xludf.DUMMYFUNCTION("""COMPUTED_VALUE"""),"EDUARDO GOMEZ HOYOS")</f>
        <v>EDUARDO GOMEZ HOYOS</v>
      </c>
      <c r="U276" s="12" t="str">
        <f>IFERROR(__xludf.DUMMYFUNCTION("""COMPUTED_VALUE"""),"1094929024")</f>
        <v>1094929024</v>
      </c>
      <c r="V276" s="6">
        <f>IFERROR(__xludf.DUMMYFUNCTION("""COMPUTED_VALUE"""),3.127947854E9)</f>
        <v>3127947854</v>
      </c>
      <c r="W276" s="6" t="str">
        <f>IFERROR(__xludf.DUMMYFUNCTION("""COMPUTED_VALUE"""),"edygomezh08@hotmail.com")</f>
        <v>edygomezh08@hotmail.com</v>
      </c>
      <c r="X276" s="12" t="str">
        <f>IFERROR(__xludf.DUMMYFUNCTION("""COMPUTED_VALUE"""),"O+")</f>
        <v>O+</v>
      </c>
      <c r="Y276" s="12" t="str">
        <f>IFERROR(__xludf.DUMMYFUNCTION("""COMPUTED_VALUE"""),"2")</f>
        <v>2</v>
      </c>
      <c r="Z276" s="12">
        <f>IFERROR(__xludf.DUMMYFUNCTION("""COMPUTED_VALUE"""),120217.0)</f>
        <v>120217</v>
      </c>
      <c r="AA276" s="6" t="str">
        <f>IFERROR(__xludf.DUMMYFUNCTION("""COMPUTED_VALUE"""),"SURA")</f>
        <v>SURA</v>
      </c>
      <c r="AB276" s="6"/>
      <c r="AC276" s="6"/>
      <c r="AD276" s="12" t="str">
        <f>IFERROR(__xludf.DUMMYFUNCTION("""COMPUTED_VALUE"""),"2C")</f>
        <v>2C</v>
      </c>
      <c r="AE276" s="12">
        <f>IFERROR(__xludf.DUMMYFUNCTION("""COMPUTED_VALUE"""),1.345282212E9)</f>
        <v>1345282212</v>
      </c>
      <c r="AF276" s="12" t="str">
        <f>IFERROR(__xludf.DUMMYFUNCTION("""COMPUTED_VALUE"""),"1345282212")</f>
        <v>1345282212</v>
      </c>
      <c r="AG276" s="12" t="str">
        <f>IFERROR(__xludf.DUMMYFUNCTION("""COMPUTED_VALUE"""),"Valentina ")</f>
        <v>Valentina </v>
      </c>
      <c r="AH276" s="12" t="str">
        <f>IFERROR(__xludf.DUMMYFUNCTION("""COMPUTED_VALUE"""),"Andrea")</f>
        <v>Andrea</v>
      </c>
      <c r="AI276" s="6" t="str">
        <f>IFERROR(__xludf.DUMMYFUNCTION("""COMPUTED_VALUE"""),"Garzón Osorio")</f>
        <v>Garzón Osorio</v>
      </c>
      <c r="AJ276" s="6" t="str">
        <f>IFERROR(__xludf.DUMMYFUNCTION("""COMPUTED_VALUE"""),"garzonosovalentina@miugca.edu.co")</f>
        <v>garzonosovalentina@miugca.edu.co</v>
      </c>
      <c r="AK276" s="6" t="str">
        <f>IFERROR(__xludf.DUMMYFUNCTION("""COMPUTED_VALUE"""),"arquitecta")</f>
        <v>arquitecta</v>
      </c>
      <c r="AL276" s="6" t="str">
        <f>IFERROR(__xludf.DUMMYFUNCTION("""COMPUTED_VALUE"""),"garzongomezgroup sas")</f>
        <v>garzongomezgroup sas</v>
      </c>
      <c r="AM276" s="12" t="str">
        <f>IFERROR(__xludf.DUMMYFUNCTION("""COMPUTED_VALUE"""),"1094923490")</f>
        <v>1094923490</v>
      </c>
      <c r="AN276" s="12" t="str">
        <f>IFERROR(__xludf.DUMMYFUNCTION("""COMPUTED_VALUE"""),"3147931540")</f>
        <v>3147931540</v>
      </c>
      <c r="AO276" s="6" t="str">
        <f>IFERROR(__xludf.DUMMYFUNCTION("""COMPUTED_VALUE"""),"Madre")</f>
        <v>Madre</v>
      </c>
      <c r="AP276" s="6" t="str">
        <f>IFERROR(__xludf.DUMMYFUNCTION("""COMPUTED_VALUE"""),"Estudiante(s): Gómez Garzón")</f>
        <v>Estudiante(s): Gómez Garzón</v>
      </c>
      <c r="AQ276" s="6" t="str">
        <f>IFERROR(__xludf.DUMMYFUNCTION("""COMPUTED_VALUE"""),"120217*Gi")</f>
        <v>120217*Gi</v>
      </c>
      <c r="AR276" s="6" t="str">
        <f>IFERROR(__xludf.DUMMYFUNCTION("""COMPUTED_VALUE"""),"Eduardo")</f>
        <v>Eduardo</v>
      </c>
      <c r="AS276" s="6"/>
      <c r="AT276" s="6" t="str">
        <f>IFERROR(__xludf.DUMMYFUNCTION("""COMPUTED_VALUE"""),"Gómez Hoyos")</f>
        <v>Gómez Hoyos</v>
      </c>
      <c r="AU276" s="6" t="str">
        <f>IFERROR(__xludf.DUMMYFUNCTION("""COMPUTED_VALUE"""),"edygomezh08@hotmail.com")</f>
        <v>edygomezh08@hotmail.com</v>
      </c>
      <c r="AV276" s="6" t="str">
        <f>IFERROR(__xludf.DUMMYFUNCTION("""COMPUTED_VALUE"""),"administrador de empresas agropecuarias")</f>
        <v>administrador de empresas agropecuarias</v>
      </c>
      <c r="AW276" s="6"/>
      <c r="AX276" s="12" t="str">
        <f>IFERROR(__xludf.DUMMYFUNCTION("""COMPUTED_VALUE"""),"1094929024")</f>
        <v>1094929024</v>
      </c>
      <c r="AY276" s="12" t="str">
        <f>IFERROR(__xludf.DUMMYFUNCTION("""COMPUTED_VALUE"""),"3127947854")</f>
        <v>3127947854</v>
      </c>
      <c r="AZ276" s="6" t="str">
        <f>IFERROR(__xludf.DUMMYFUNCTION("""COMPUTED_VALUE"""),"Padre")</f>
        <v>Padre</v>
      </c>
      <c r="BA276" s="6"/>
      <c r="BB276" s="6"/>
      <c r="BC276" s="6"/>
      <c r="BD276" s="12" t="str">
        <f>IFERROR(__xludf.DUMMYFUNCTION("""COMPUTED_VALUE"""),"gom0007")</f>
        <v>gom0007</v>
      </c>
      <c r="BE276" s="6" t="str">
        <f>IFERROR(__xludf.DUMMYFUNCTION("""COMPUTED_VALUE"""),"FALTAN FIRMAS")</f>
        <v>FALTAN FIRMAS</v>
      </c>
      <c r="BF276" s="12" t="str">
        <f>IFERROR(__xludf.DUMMYFUNCTION("""COMPUTED_VALUE"""),"PÓLIZA")</f>
        <v>PÓLIZA</v>
      </c>
      <c r="BG276" s="6">
        <f>IFERROR(__xludf.DUMMYFUNCTION("""COMPUTED_VALUE"""),2037.0)</f>
        <v>2037</v>
      </c>
      <c r="BH276" s="15">
        <f>IFERROR(__xludf.DUMMYFUNCTION("""COMPUTED_VALUE"""),46224.463321759256)</f>
        <v>46224.46332</v>
      </c>
      <c r="BI276" s="6">
        <f>IFERROR(__xludf.DUMMYFUNCTION("""COMPUTED_VALUE"""),275.0)</f>
        <v>275</v>
      </c>
      <c r="BJ276" s="6"/>
      <c r="BK276" s="6"/>
      <c r="BL276" s="6" t="str">
        <f>IFERROR(__xludf.DUMMYFUNCTION("""COMPUTED_VALUE"""),"GISGOM0007")</f>
        <v>GISGOM0007</v>
      </c>
      <c r="BM276" s="6"/>
      <c r="BN276" s="6"/>
      <c r="BO276" s="6" t="str">
        <f>IFERROR(__xludf.DUMMYFUNCTION("""COMPUTED_VALUE"""),"XC_EL_ArtesPlasticas")</f>
        <v>XC_EL_ArtesPlasticas</v>
      </c>
      <c r="BP276" s="6" t="str">
        <f>IFERROR(__xludf.DUMMYFUNCTION("""COMPUTED_VALUE"""),"XC_EL_Porras")</f>
        <v>XC_EL_Porras</v>
      </c>
      <c r="BQ276" s="6" t="str">
        <f>IFERROR(__xludf.DUMMYFUNCTION("""COMPUTED_VALUE"""),"XC_EL_Porras")</f>
        <v>XC_EL_Porras</v>
      </c>
      <c r="BR276" s="6"/>
      <c r="BS276" s="6" t="str">
        <f>IFERROR(__xludf.DUMMYFUNCTION("""COMPUTED_VALUE"""),"XC_EL_Porras")</f>
        <v>XC_EL_Porras</v>
      </c>
      <c r="BT276" s="6"/>
      <c r="BU276" s="6" t="str">
        <f>IFERROR(__xludf.DUMMYFUNCTION("""COMPUTED_VALUE"""),"SI")</f>
        <v>SI</v>
      </c>
      <c r="BV276" s="6" t="str">
        <f>IFERROR(__xludf.DUMMYFUNCTION("""COMPUTED_VALUE"""),"elena.g2037")</f>
        <v>elena.g2037</v>
      </c>
      <c r="BW276" s="6"/>
      <c r="BX276" s="6"/>
      <c r="BY276" s="6"/>
      <c r="BZ276" s="6"/>
    </row>
    <row r="277">
      <c r="A277" s="12">
        <f>IFERROR(__xludf.DUMMYFUNCTION("""COMPUTED_VALUE"""),1.092862411E9)</f>
        <v>1092862411</v>
      </c>
      <c r="B277" s="6">
        <f>IFERROR(__xludf.DUMMYFUNCTION("""COMPUTED_VALUE"""),6.0)</f>
        <v>6</v>
      </c>
      <c r="C277" s="6" t="str">
        <f>IFERROR(__xludf.DUMMYFUNCTION("""COMPUTED_VALUE"""),"María")</f>
        <v>María</v>
      </c>
      <c r="D277" s="6" t="str">
        <f>IFERROR(__xludf.DUMMYFUNCTION("""COMPUTED_VALUE"""),"Camila")</f>
        <v>Camila</v>
      </c>
      <c r="E277" s="6" t="str">
        <f>IFERROR(__xludf.DUMMYFUNCTION("""COMPUTED_VALUE"""),"Grisales Colonia")</f>
        <v>Grisales Colonia</v>
      </c>
      <c r="F277" s="6" t="str">
        <f>IFERROR(__xludf.DUMMYFUNCTION("""COMPUTED_VALUE"""),"Bosque Residencial La Pradera Casa 3 - Cra 6 No50Nte - 1 Av Centenario")</f>
        <v>Bosque Residencial La Pradera Casa 3 - Cra 6 No50Nte - 1 Av Centenario</v>
      </c>
      <c r="G277" s="12" t="str">
        <f>IFERROR(__xludf.DUMMYFUNCTION("""COMPUTED_VALUE"""),"2018")</f>
        <v>2018</v>
      </c>
      <c r="H277" s="6" t="str">
        <f>IFERROR(__xludf.DUMMYFUNCTION("""COMPUTED_VALUE"""),"Octubre")</f>
        <v>Octubre</v>
      </c>
      <c r="I277" s="12" t="str">
        <f>IFERROR(__xludf.DUMMYFUNCTION("""COMPUTED_VALUE"""),"13")</f>
        <v>13</v>
      </c>
      <c r="J277" s="6" t="str">
        <f>IFERROR(__xludf.DUMMYFUNCTION("""COMPUTED_VALUE"""),"Armenia")</f>
        <v>Armenia</v>
      </c>
      <c r="K277" s="6" t="str">
        <f>IFERROR(__xludf.DUMMYFUNCTION("""COMPUTED_VALUE"""),"mariac.g2037@gi.edu.co")</f>
        <v>mariac.g2037@gi.edu.co</v>
      </c>
      <c r="L277" s="6" t="str">
        <f>IFERROR(__xludf.DUMMYFUNCTION("""COMPUTED_VALUE"""),"RC")</f>
        <v>RC</v>
      </c>
      <c r="M277" s="6" t="str">
        <f>IFERROR(__xludf.DUMMYFUNCTION("""COMPUTED_VALUE"""),"Armenia")</f>
        <v>Armenia</v>
      </c>
      <c r="N277" s="6" t="str">
        <f>IFERROR(__xludf.DUMMYFUNCTION("""COMPUTED_VALUE"""),"F")</f>
        <v>F</v>
      </c>
      <c r="O277" s="6" t="str">
        <f>IFERROR(__xludf.DUMMYFUNCTION("""COMPUTED_VALUE"""),"ACTIVE")</f>
        <v>ACTIVE</v>
      </c>
      <c r="P277" s="6"/>
      <c r="Q277" s="6" t="str">
        <f>IFERROR(__xludf.DUMMYFUNCTION("""COMPUTED_VALUE"""),"Armenia")</f>
        <v>Armenia</v>
      </c>
      <c r="R277" s="12" t="str">
        <f>IFERROR(__xludf.DUMMYFUNCTION("""COMPUTED_VALUE"""),"Gis4b11l*")</f>
        <v>Gis4b11l*</v>
      </c>
      <c r="S277" s="6" t="str">
        <f>IFERROR(__xludf.DUMMYFUNCTION("""COMPUTED_VALUE"""),"Grisales Colonia María Camila")</f>
        <v>Grisales Colonia María Camila</v>
      </c>
      <c r="T277" s="6" t="str">
        <f>IFERROR(__xludf.DUMMYFUNCTION("""COMPUTED_VALUE"""),"CARLOS FERNANDO GRISALES ALVAREZ")</f>
        <v>CARLOS FERNANDO GRISALES ALVAREZ</v>
      </c>
      <c r="U277" s="12" t="str">
        <f>IFERROR(__xludf.DUMMYFUNCTION("""COMPUTED_VALUE"""),"18389000")</f>
        <v>18389000</v>
      </c>
      <c r="V277" s="6">
        <f>IFERROR(__xludf.DUMMYFUNCTION("""COMPUTED_VALUE"""),3.216438299E9)</f>
        <v>3216438299</v>
      </c>
      <c r="W277" s="6" t="str">
        <f>IFERROR(__xludf.DUMMYFUNCTION("""COMPUTED_VALUE"""),"cafegrial1966@gmail.com")</f>
        <v>cafegrial1966@gmail.com</v>
      </c>
      <c r="X277" s="12" t="str">
        <f>IFERROR(__xludf.DUMMYFUNCTION("""COMPUTED_VALUE"""),"O+")</f>
        <v>O+</v>
      </c>
      <c r="Y277" s="12" t="str">
        <f>IFERROR(__xludf.DUMMYFUNCTION("""COMPUTED_VALUE"""),"2")</f>
        <v>2</v>
      </c>
      <c r="Z277" s="12">
        <f>IFERROR(__xludf.DUMMYFUNCTION("""COMPUTED_VALUE"""),120256.0)</f>
        <v>120256</v>
      </c>
      <c r="AA277" s="6" t="str">
        <f>IFERROR(__xludf.DUMMYFUNCTION("""COMPUTED_VALUE"""),"SURA")</f>
        <v>SURA</v>
      </c>
      <c r="AB277" s="6"/>
      <c r="AC277" s="6"/>
      <c r="AD277" s="12" t="str">
        <f>IFERROR(__xludf.DUMMYFUNCTION("""COMPUTED_VALUE"""),"2C")</f>
        <v>2C</v>
      </c>
      <c r="AE277" s="12">
        <f>IFERROR(__xludf.DUMMYFUNCTION("""COMPUTED_VALUE"""),1.345282247E9)</f>
        <v>1345282247</v>
      </c>
      <c r="AF277" s="12" t="str">
        <f>IFERROR(__xludf.DUMMYFUNCTION("""COMPUTED_VALUE"""),"1345282247")</f>
        <v>1345282247</v>
      </c>
      <c r="AG277" s="12" t="str">
        <f>IFERROR(__xludf.DUMMYFUNCTION("""COMPUTED_VALUE"""),"Carolina")</f>
        <v>Carolina</v>
      </c>
      <c r="AH277" s="6"/>
      <c r="AI277" s="6" t="str">
        <f>IFERROR(__xludf.DUMMYFUNCTION("""COMPUTED_VALUE"""),"Colonia Sánchez")</f>
        <v>Colonia Sánchez</v>
      </c>
      <c r="AJ277" s="6" t="str">
        <f>IFERROR(__xludf.DUMMYFUNCTION("""COMPUTED_VALUE"""),"carolinacoloniadotaciones@hotmail.com")</f>
        <v>carolinacoloniadotaciones@hotmail.com</v>
      </c>
      <c r="AK277" s="6" t="str">
        <f>IFERROR(__xludf.DUMMYFUNCTION("""COMPUTED_VALUE"""),"Profesional en mercadeo y negocios")</f>
        <v>Profesional en mercadeo y negocios</v>
      </c>
      <c r="AL277" s="6" t="str">
        <f>IFERROR(__xludf.DUMMYFUNCTION("""COMPUTED_VALUE"""),"CAROLINA COLONIA EMPRESA SAS")</f>
        <v>CAROLINA COLONIA EMPRESA SAS</v>
      </c>
      <c r="AM277" s="12" t="str">
        <f>IFERROR(__xludf.DUMMYFUNCTION("""COMPUTED_VALUE"""),"29363698")</f>
        <v>29363698</v>
      </c>
      <c r="AN277" s="12" t="str">
        <f>IFERROR(__xludf.DUMMYFUNCTION("""COMPUTED_VALUE"""),"3145868944")</f>
        <v>3145868944</v>
      </c>
      <c r="AO277" s="6" t="str">
        <f>IFERROR(__xludf.DUMMYFUNCTION("""COMPUTED_VALUE"""),"Madre")</f>
        <v>Madre</v>
      </c>
      <c r="AP277" s="6" t="str">
        <f>IFERROR(__xludf.DUMMYFUNCTION("""COMPUTED_VALUE"""),"Estudiante(s): Grisales Colonia")</f>
        <v>Estudiante(s): Grisales Colonia</v>
      </c>
      <c r="AQ277" s="6" t="str">
        <f>IFERROR(__xludf.DUMMYFUNCTION("""COMPUTED_VALUE"""),"120256*Gi")</f>
        <v>120256*Gi</v>
      </c>
      <c r="AR277" s="6" t="str">
        <f>IFERROR(__xludf.DUMMYFUNCTION("""COMPUTED_VALUE"""),"Carlos")</f>
        <v>Carlos</v>
      </c>
      <c r="AS277" s="6" t="str">
        <f>IFERROR(__xludf.DUMMYFUNCTION("""COMPUTED_VALUE"""),"Fernando")</f>
        <v>Fernando</v>
      </c>
      <c r="AT277" s="6" t="str">
        <f>IFERROR(__xludf.DUMMYFUNCTION("""COMPUTED_VALUE"""),"Grisales Álvarez")</f>
        <v>Grisales Álvarez</v>
      </c>
      <c r="AU277" s="6" t="str">
        <f>IFERROR(__xludf.DUMMYFUNCTION("""COMPUTED_VALUE"""),"cafegrial1966@gmail.com")</f>
        <v>cafegrial1966@gmail.com</v>
      </c>
      <c r="AV277" s="6" t="str">
        <f>IFERROR(__xludf.DUMMYFUNCTION("""COMPUTED_VALUE"""),"Empresario")</f>
        <v>Empresario</v>
      </c>
      <c r="AW277" s="6"/>
      <c r="AX277" s="12" t="str">
        <f>IFERROR(__xludf.DUMMYFUNCTION("""COMPUTED_VALUE"""),"18389000")</f>
        <v>18389000</v>
      </c>
      <c r="AY277" s="12" t="str">
        <f>IFERROR(__xludf.DUMMYFUNCTION("""COMPUTED_VALUE"""),"3216438299")</f>
        <v>3216438299</v>
      </c>
      <c r="AZ277" s="6" t="str">
        <f>IFERROR(__xludf.DUMMYFUNCTION("""COMPUTED_VALUE"""),"Padre")</f>
        <v>Padre</v>
      </c>
      <c r="BA277" s="6" t="str">
        <f>IFERROR(__xludf.DUMMYFUNCTION("""COMPUTED_VALUE"""),"ADRIANA LUCIA GRISALES ALVAREZ")</f>
        <v>ADRIANA LUCIA GRISALES ALVAREZ</v>
      </c>
      <c r="BB277" s="6">
        <f>IFERROR(__xludf.DUMMYFUNCTION("""COMPUTED_VALUE"""),3.104231531E9)</f>
        <v>3104231531</v>
      </c>
      <c r="BC277" s="6" t="str">
        <f>IFERROR(__xludf.DUMMYFUNCTION("""COMPUTED_VALUE"""),"Madre")</f>
        <v>Madre</v>
      </c>
      <c r="BD277" s="12" t="str">
        <f>IFERROR(__xludf.DUMMYFUNCTION("""COMPUTED_VALUE"""),"gri0002")</f>
        <v>gri0002</v>
      </c>
      <c r="BE277" s="6"/>
      <c r="BF277" s="6"/>
      <c r="BG277" s="6">
        <f>IFERROR(__xludf.DUMMYFUNCTION("""COMPUTED_VALUE"""),2037.0)</f>
        <v>2037</v>
      </c>
      <c r="BH277" s="15">
        <f>IFERROR(__xludf.DUMMYFUNCTION("""COMPUTED_VALUE"""),46209.364340277774)</f>
        <v>46209.36434</v>
      </c>
      <c r="BI277" s="6">
        <f>IFERROR(__xludf.DUMMYFUNCTION("""COMPUTED_VALUE"""),276.0)</f>
        <v>276</v>
      </c>
      <c r="BJ277" s="6"/>
      <c r="BK277" s="6"/>
      <c r="BL277" s="6" t="str">
        <f>IFERROR(__xludf.DUMMYFUNCTION("""COMPUTED_VALUE"""),"GISGRI0002")</f>
        <v>GISGRI0002</v>
      </c>
      <c r="BM277" s="6"/>
      <c r="BN277" s="6"/>
      <c r="BO277" s="6"/>
      <c r="BP277" s="6"/>
      <c r="BQ277" s="6"/>
      <c r="BR277" s="6"/>
      <c r="BS277" s="6"/>
      <c r="BT277" s="6"/>
      <c r="BU277" s="6" t="str">
        <f>IFERROR(__xludf.DUMMYFUNCTION("""COMPUTED_VALUE"""),"SI")</f>
        <v>SI</v>
      </c>
      <c r="BV277" s="6" t="str">
        <f>IFERROR(__xludf.DUMMYFUNCTION("""COMPUTED_VALUE"""),"mariac.g2037")</f>
        <v>mariac.g2037</v>
      </c>
      <c r="BW277" s="6"/>
      <c r="BX277" s="6"/>
      <c r="BY277" s="6"/>
      <c r="BZ277" s="6"/>
    </row>
    <row r="278">
      <c r="A278" s="12">
        <f>IFERROR(__xludf.DUMMYFUNCTION("""COMPUTED_VALUE"""),1.092863083E9)</f>
        <v>1092863083</v>
      </c>
      <c r="B278" s="6">
        <f>IFERROR(__xludf.DUMMYFUNCTION("""COMPUTED_VALUE"""),7.0)</f>
        <v>7</v>
      </c>
      <c r="C278" s="6" t="str">
        <f>IFERROR(__xludf.DUMMYFUNCTION("""COMPUTED_VALUE"""),"Camila")</f>
        <v>Camila</v>
      </c>
      <c r="D278" s="6"/>
      <c r="E278" s="6" t="str">
        <f>IFERROR(__xludf.DUMMYFUNCTION("""COMPUTED_VALUE"""),"Hartrich Cruz")</f>
        <v>Hartrich Cruz</v>
      </c>
      <c r="F278" s="6" t="str">
        <f>IFERROR(__xludf.DUMMYFUNCTION("""COMPUTED_VALUE"""),"Bosques Del Eden Casa 20 - Km 1 Via Campestre Caimo")</f>
        <v>Bosques Del Eden Casa 20 - Km 1 Via Campestre Caimo</v>
      </c>
      <c r="G278" s="12">
        <f>IFERROR(__xludf.DUMMYFUNCTION("""COMPUTED_VALUE"""),2018.0)</f>
        <v>2018</v>
      </c>
      <c r="H278" s="6" t="str">
        <f>IFERROR(__xludf.DUMMYFUNCTION("""COMPUTED_VALUE"""),"Octubre")</f>
        <v>Octubre</v>
      </c>
      <c r="I278" s="12">
        <f>IFERROR(__xludf.DUMMYFUNCTION("""COMPUTED_VALUE"""),13.0)</f>
        <v>13</v>
      </c>
      <c r="J278" s="6" t="str">
        <f>IFERROR(__xludf.DUMMYFUNCTION("""COMPUTED_VALUE"""),"Oxnard")</f>
        <v>Oxnard</v>
      </c>
      <c r="K278" s="6" t="str">
        <f>IFERROR(__xludf.DUMMYFUNCTION("""COMPUTED_VALUE"""),"camila.h2037@gi.edu.co")</f>
        <v>camila.h2037@gi.edu.co</v>
      </c>
      <c r="L278" s="6" t="str">
        <f>IFERROR(__xludf.DUMMYFUNCTION("""COMPUTED_VALUE"""),"RC")</f>
        <v>RC</v>
      </c>
      <c r="M278" s="6" t="str">
        <f>IFERROR(__xludf.DUMMYFUNCTION("""COMPUTED_VALUE"""),"Armenia")</f>
        <v>Armenia</v>
      </c>
      <c r="N278" s="6" t="str">
        <f>IFERROR(__xludf.DUMMYFUNCTION("""COMPUTED_VALUE"""),"F")</f>
        <v>F</v>
      </c>
      <c r="O278" s="6" t="str">
        <f>IFERROR(__xludf.DUMMYFUNCTION("""COMPUTED_VALUE"""),"ACTIVE")</f>
        <v>ACTIVE</v>
      </c>
      <c r="P278" s="6"/>
      <c r="Q278" s="6" t="str">
        <f>IFERROR(__xludf.DUMMYFUNCTION("""COMPUTED_VALUE"""),"Armenia")</f>
        <v>Armenia</v>
      </c>
      <c r="R278" s="12" t="str">
        <f>IFERROR(__xludf.DUMMYFUNCTION("""COMPUTED_VALUE"""),"Giqp27zmfj*")</f>
        <v>Giqp27zmfj*</v>
      </c>
      <c r="S278" s="6" t="str">
        <f>IFERROR(__xludf.DUMMYFUNCTION("""COMPUTED_VALUE"""),"Hartrich Cruz Camila ")</f>
        <v>Hartrich Cruz Camila </v>
      </c>
      <c r="T278" s="6" t="str">
        <f>IFERROR(__xludf.DUMMYFUNCTION("""COMPUTED_VALUE"""),"COULTON HARTRICH")</f>
        <v>COULTON HARTRICH</v>
      </c>
      <c r="U278" s="12" t="str">
        <f>IFERROR(__xludf.DUMMYFUNCTION("""COMPUTED_VALUE"""),"433659")</f>
        <v>433659</v>
      </c>
      <c r="V278" s="6">
        <f>IFERROR(__xludf.DUMMYFUNCTION("""COMPUTED_VALUE"""),3.215062738E9)</f>
        <v>3215062738</v>
      </c>
      <c r="W278" s="6" t="str">
        <f>IFERROR(__xludf.DUMMYFUNCTION("""COMPUTED_VALUE"""),"coultonhartrich@gmail.com")</f>
        <v>coultonhartrich@gmail.com</v>
      </c>
      <c r="X278" s="12" t="str">
        <f>IFERROR(__xludf.DUMMYFUNCTION("""COMPUTED_VALUE"""),"O-")</f>
        <v>O-</v>
      </c>
      <c r="Y278" s="12" t="str">
        <f>IFERROR(__xludf.DUMMYFUNCTION("""COMPUTED_VALUE"""),"2")</f>
        <v>2</v>
      </c>
      <c r="Z278" s="12">
        <f>IFERROR(__xludf.DUMMYFUNCTION("""COMPUTED_VALUE"""),120462.0)</f>
        <v>120462</v>
      </c>
      <c r="AA278" s="6" t="str">
        <f>IFERROR(__xludf.DUMMYFUNCTION("""COMPUTED_VALUE"""),"SURA")</f>
        <v>SURA</v>
      </c>
      <c r="AB278" s="6"/>
      <c r="AC278" s="6"/>
      <c r="AD278" s="12" t="str">
        <f>IFERROR(__xludf.DUMMYFUNCTION("""COMPUTED_VALUE"""),"2C")</f>
        <v>2C</v>
      </c>
      <c r="AE278" s="12" t="str">
        <f>IFERROR(__xludf.DUMMYFUNCTION("""COMPUTED_VALUE"""),"1345282444")</f>
        <v>1345282444</v>
      </c>
      <c r="AF278" s="12" t="str">
        <f>IFERROR(__xludf.DUMMYFUNCTION("""COMPUTED_VALUE"""),"1345282444")</f>
        <v>1345282444</v>
      </c>
      <c r="AG278" s="12" t="str">
        <f>IFERROR(__xludf.DUMMYFUNCTION("""COMPUTED_VALUE"""),"Juliana")</f>
        <v>Juliana</v>
      </c>
      <c r="AH278" s="6"/>
      <c r="AI278" s="6" t="str">
        <f>IFERROR(__xludf.DUMMYFUNCTION("""COMPUTED_VALUE"""),"Cruz Mejía")</f>
        <v>Cruz Mejía</v>
      </c>
      <c r="AJ278" s="6" t="str">
        <f>IFERROR(__xludf.DUMMYFUNCTION("""COMPUTED_VALUE"""),"julianacruzmejia@gmail.com")</f>
        <v>julianacruzmejia@gmail.com</v>
      </c>
      <c r="AK278" s="6" t="str">
        <f>IFERROR(__xludf.DUMMYFUNCTION("""COMPUTED_VALUE"""),"HOGAR")</f>
        <v>HOGAR</v>
      </c>
      <c r="AL278" s="6" t="str">
        <f>IFERROR(__xludf.DUMMYFUNCTION("""COMPUTED_VALUE"""),"HOGAR")</f>
        <v>HOGAR</v>
      </c>
      <c r="AM278" s="12" t="str">
        <f>IFERROR(__xludf.DUMMYFUNCTION("""COMPUTED_VALUE"""),"1094880319")</f>
        <v>1094880319</v>
      </c>
      <c r="AN278" s="12" t="str">
        <f>IFERROR(__xludf.DUMMYFUNCTION("""COMPUTED_VALUE"""),"3215062771")</f>
        <v>3215062771</v>
      </c>
      <c r="AO278" s="6" t="str">
        <f>IFERROR(__xludf.DUMMYFUNCTION("""COMPUTED_VALUE"""),"Madre")</f>
        <v>Madre</v>
      </c>
      <c r="AP278" s="6" t="str">
        <f>IFERROR(__xludf.DUMMYFUNCTION("""COMPUTED_VALUE"""),"Estudiante(s): Hartrich Cruz")</f>
        <v>Estudiante(s): Hartrich Cruz</v>
      </c>
      <c r="AQ278" s="6" t="str">
        <f>IFERROR(__xludf.DUMMYFUNCTION("""COMPUTED_VALUE"""),"120462*Gi")</f>
        <v>120462*Gi</v>
      </c>
      <c r="AR278" s="6" t="str">
        <f>IFERROR(__xludf.DUMMYFUNCTION("""COMPUTED_VALUE"""),"Coulton")</f>
        <v>Coulton</v>
      </c>
      <c r="AS278" s="6"/>
      <c r="AT278" s="6" t="str">
        <f>IFERROR(__xludf.DUMMYFUNCTION("""COMPUTED_VALUE"""),"Hartrich")</f>
        <v>Hartrich</v>
      </c>
      <c r="AU278" s="6" t="str">
        <f>IFERROR(__xludf.DUMMYFUNCTION("""COMPUTED_VALUE"""),"coultonhartrich@gmail.com")</f>
        <v>coultonhartrich@gmail.com</v>
      </c>
      <c r="AV278" s="6" t="str">
        <f>IFERROR(__xludf.DUMMYFUNCTION("""COMPUTED_VALUE"""),"INVERSION")</f>
        <v>INVERSION</v>
      </c>
      <c r="AW278" s="6" t="str">
        <f>IFERROR(__xludf.DUMMYFUNCTION("""COMPUTED_VALUE"""),"INDEPENDIENTE")</f>
        <v>INDEPENDIENTE</v>
      </c>
      <c r="AX278" s="12" t="str">
        <f>IFERROR(__xludf.DUMMYFUNCTION("""COMPUTED_VALUE"""),"433659")</f>
        <v>433659</v>
      </c>
      <c r="AY278" s="12" t="str">
        <f>IFERROR(__xludf.DUMMYFUNCTION("""COMPUTED_VALUE"""),"3215062738")</f>
        <v>3215062738</v>
      </c>
      <c r="AZ278" s="6" t="str">
        <f>IFERROR(__xludf.DUMMYFUNCTION("""COMPUTED_VALUE"""),"Padre")</f>
        <v>Padre</v>
      </c>
      <c r="BA278" s="6"/>
      <c r="BB278" s="6"/>
      <c r="BC278" s="6"/>
      <c r="BD278" s="12" t="str">
        <f>IFERROR(__xludf.DUMMYFUNCTION("""COMPUTED_VALUE"""),"har0001")</f>
        <v>har0001</v>
      </c>
      <c r="BE278" s="6"/>
      <c r="BF278" s="6"/>
      <c r="BG278" s="6">
        <f>IFERROR(__xludf.DUMMYFUNCTION("""COMPUTED_VALUE"""),2037.0)</f>
        <v>2037</v>
      </c>
      <c r="BH278" s="15">
        <f>IFERROR(__xludf.DUMMYFUNCTION("""COMPUTED_VALUE"""),46209.41875)</f>
        <v>46209.41875</v>
      </c>
      <c r="BI278" s="6">
        <f>IFERROR(__xludf.DUMMYFUNCTION("""COMPUTED_VALUE"""),277.0)</f>
        <v>277</v>
      </c>
      <c r="BJ278" s="6"/>
      <c r="BK278" s="6"/>
      <c r="BL278" s="6" t="str">
        <f>IFERROR(__xludf.DUMMYFUNCTION("""COMPUTED_VALUE"""),"GISHAR0001")</f>
        <v>GISHAR0001</v>
      </c>
      <c r="BM278" s="6"/>
      <c r="BN278" s="6"/>
      <c r="BO278" s="6"/>
      <c r="BP278" s="6"/>
      <c r="BQ278" s="6"/>
      <c r="BR278" s="6"/>
      <c r="BS278" s="6"/>
      <c r="BT278" s="6"/>
      <c r="BU278" s="6" t="str">
        <f>IFERROR(__xludf.DUMMYFUNCTION("""COMPUTED_VALUE"""),"SI")</f>
        <v>SI</v>
      </c>
      <c r="BV278" s="6" t="str">
        <f>IFERROR(__xludf.DUMMYFUNCTION("""COMPUTED_VALUE"""),"camila.h2037")</f>
        <v>camila.h2037</v>
      </c>
      <c r="BW278" s="6"/>
      <c r="BX278" s="6"/>
      <c r="BY278" s="6"/>
      <c r="BZ278" s="6"/>
    </row>
    <row r="279">
      <c r="A279" s="12">
        <f>IFERROR(__xludf.DUMMYFUNCTION("""COMPUTED_VALUE"""),1.019918117E9)</f>
        <v>1019918117</v>
      </c>
      <c r="B279" s="6">
        <f>IFERROR(__xludf.DUMMYFUNCTION("""COMPUTED_VALUE"""),8.0)</f>
        <v>8</v>
      </c>
      <c r="C279" s="6" t="str">
        <f>IFERROR(__xludf.DUMMYFUNCTION("""COMPUTED_VALUE"""),"Martín")</f>
        <v>Martín</v>
      </c>
      <c r="D279" s="6"/>
      <c r="E279" s="6" t="str">
        <f>IFERROR(__xludf.DUMMYFUNCTION("""COMPUTED_VALUE"""),"Jaramillo Botero")</f>
        <v>Jaramillo Botero</v>
      </c>
      <c r="F279" s="6" t="str">
        <f>IFERROR(__xludf.DUMMYFUNCTION("""COMPUTED_VALUE"""),"Lagos de Iraka Homesuites 155A Km1 Via Glorieta Club Campestre al Caimo")</f>
        <v>Lagos de Iraka Homesuites 155A Km1 Via Glorieta Club Campestre al Caimo</v>
      </c>
      <c r="G279" s="12" t="str">
        <f>IFERROR(__xludf.DUMMYFUNCTION("""COMPUTED_VALUE"""),"2019")</f>
        <v>2019</v>
      </c>
      <c r="H279" s="6" t="str">
        <f>IFERROR(__xludf.DUMMYFUNCTION("""COMPUTED_VALUE"""),"Marzo")</f>
        <v>Marzo</v>
      </c>
      <c r="I279" s="12" t="str">
        <f>IFERROR(__xludf.DUMMYFUNCTION("""COMPUTED_VALUE"""),"28")</f>
        <v>28</v>
      </c>
      <c r="J279" s="6" t="str">
        <f>IFERROR(__xludf.DUMMYFUNCTION("""COMPUTED_VALUE"""),"Bogotá D.C.")</f>
        <v>Bogotá D.C.</v>
      </c>
      <c r="K279" s="6" t="str">
        <f>IFERROR(__xludf.DUMMYFUNCTION("""COMPUTED_VALUE"""),"martin.j2037@gi.edu.co")</f>
        <v>martin.j2037@gi.edu.co</v>
      </c>
      <c r="L279" s="6" t="str">
        <f>IFERROR(__xludf.DUMMYFUNCTION("""COMPUTED_VALUE"""),"RC")</f>
        <v>RC</v>
      </c>
      <c r="M279" s="6" t="str">
        <f>IFERROR(__xludf.DUMMYFUNCTION("""COMPUTED_VALUE"""),"Bogotá D.C.")</f>
        <v>Bogotá D.C.</v>
      </c>
      <c r="N279" s="6" t="str">
        <f>IFERROR(__xludf.DUMMYFUNCTION("""COMPUTED_VALUE"""),"M")</f>
        <v>M</v>
      </c>
      <c r="O279" s="6" t="str">
        <f>IFERROR(__xludf.DUMMYFUNCTION("""COMPUTED_VALUE"""),"ACTIVE")</f>
        <v>ACTIVE</v>
      </c>
      <c r="P279" s="6"/>
      <c r="Q279" s="6" t="str">
        <f>IFERROR(__xludf.DUMMYFUNCTION("""COMPUTED_VALUE"""),"Armenia")</f>
        <v>Armenia</v>
      </c>
      <c r="R279" s="12" t="str">
        <f>IFERROR(__xludf.DUMMYFUNCTION("""COMPUTED_VALUE"""),"Gir65yj9*")</f>
        <v>Gir65yj9*</v>
      </c>
      <c r="S279" s="6" t="str">
        <f>IFERROR(__xludf.DUMMYFUNCTION("""COMPUTED_VALUE"""),"Jaramillo Botero Martín ")</f>
        <v>Jaramillo Botero Martín </v>
      </c>
      <c r="T279" s="6" t="str">
        <f>IFERROR(__xludf.DUMMYFUNCTION("""COMPUTED_VALUE"""),"ALEJANDRO JARAMILLO CORDOBA")</f>
        <v>ALEJANDRO JARAMILLO CORDOBA</v>
      </c>
      <c r="U279" s="12" t="str">
        <f>IFERROR(__xludf.DUMMYFUNCTION("""COMPUTED_VALUE"""),"9736825")</f>
        <v>9736825</v>
      </c>
      <c r="V279" s="6">
        <f>IFERROR(__xludf.DUMMYFUNCTION("""COMPUTED_VALUE"""),3.204880512E9)</f>
        <v>3204880512</v>
      </c>
      <c r="W279" s="6" t="str">
        <f>IFERROR(__xludf.DUMMYFUNCTION("""COMPUTED_VALUE"""),"ajaramilloc@gmail.com")</f>
        <v>ajaramilloc@gmail.com</v>
      </c>
      <c r="X279" s="12" t="str">
        <f>IFERROR(__xludf.DUMMYFUNCTION("""COMPUTED_VALUE"""),"O+")</f>
        <v>O+</v>
      </c>
      <c r="Y279" s="12" t="str">
        <f>IFERROR(__xludf.DUMMYFUNCTION("""COMPUTED_VALUE"""),"2")</f>
        <v>2</v>
      </c>
      <c r="Z279" s="12">
        <f>IFERROR(__xludf.DUMMYFUNCTION("""COMPUTED_VALUE"""),120255.0)</f>
        <v>120255</v>
      </c>
      <c r="AA279" s="6" t="str">
        <f>IFERROR(__xludf.DUMMYFUNCTION("""COMPUTED_VALUE"""),"SANITAS")</f>
        <v>SANITAS</v>
      </c>
      <c r="AB279" s="6"/>
      <c r="AC279" s="6"/>
      <c r="AD279" s="12" t="str">
        <f>IFERROR(__xludf.DUMMYFUNCTION("""COMPUTED_VALUE"""),"2C")</f>
        <v>2C</v>
      </c>
      <c r="AE279" s="12">
        <f>IFERROR(__xludf.DUMMYFUNCTION("""COMPUTED_VALUE"""),1.345282246E9)</f>
        <v>1345282246</v>
      </c>
      <c r="AF279" s="12" t="str">
        <f>IFERROR(__xludf.DUMMYFUNCTION("""COMPUTED_VALUE"""),"1345282246")</f>
        <v>1345282246</v>
      </c>
      <c r="AG279" s="12" t="str">
        <f>IFERROR(__xludf.DUMMYFUNCTION("""COMPUTED_VALUE"""),"Daniela")</f>
        <v>Daniela</v>
      </c>
      <c r="AH279" s="6"/>
      <c r="AI279" s="6" t="str">
        <f>IFERROR(__xludf.DUMMYFUNCTION("""COMPUTED_VALUE"""),"Botero Gómez")</f>
        <v>Botero Gómez</v>
      </c>
      <c r="AJ279" s="6" t="str">
        <f>IFERROR(__xludf.DUMMYFUNCTION("""COMPUTED_VALUE"""),"boterogomezdaniela@gmail.com")</f>
        <v>boterogomezdaniela@gmail.com</v>
      </c>
      <c r="AK279" s="6" t="str">
        <f>IFERROR(__xludf.DUMMYFUNCTION("""COMPUTED_VALUE"""),"Diseñadora Industrial")</f>
        <v>Diseñadora Industrial</v>
      </c>
      <c r="AL279" s="6"/>
      <c r="AM279" s="12" t="str">
        <f>IFERROR(__xludf.DUMMYFUNCTION("""COMPUTED_VALUE"""),"1094897389")</f>
        <v>1094897389</v>
      </c>
      <c r="AN279" s="12" t="str">
        <f>IFERROR(__xludf.DUMMYFUNCTION("""COMPUTED_VALUE"""),"3207276501")</f>
        <v>3207276501</v>
      </c>
      <c r="AO279" s="6" t="str">
        <f>IFERROR(__xludf.DUMMYFUNCTION("""COMPUTED_VALUE"""),"Madre")</f>
        <v>Madre</v>
      </c>
      <c r="AP279" s="6" t="str">
        <f>IFERROR(__xludf.DUMMYFUNCTION("""COMPUTED_VALUE"""),"Estudiante(s): Jaramillo Botero")</f>
        <v>Estudiante(s): Jaramillo Botero</v>
      </c>
      <c r="AQ279" s="6" t="str">
        <f>IFERROR(__xludf.DUMMYFUNCTION("""COMPUTED_VALUE"""),"120255*Gi")</f>
        <v>120255*Gi</v>
      </c>
      <c r="AR279" s="6" t="str">
        <f>IFERROR(__xludf.DUMMYFUNCTION("""COMPUTED_VALUE"""),"Alejandro")</f>
        <v>Alejandro</v>
      </c>
      <c r="AS279" s="6"/>
      <c r="AT279" s="6" t="str">
        <f>IFERROR(__xludf.DUMMYFUNCTION("""COMPUTED_VALUE"""),"Jaramillo Córdoba")</f>
        <v>Jaramillo Córdoba</v>
      </c>
      <c r="AU279" s="6" t="str">
        <f>IFERROR(__xludf.DUMMYFUNCTION("""COMPUTED_VALUE"""),"ajaramilloc@gmail.com")</f>
        <v>ajaramilloc@gmail.com</v>
      </c>
      <c r="AV279" s="6" t="str">
        <f>IFERROR(__xludf.DUMMYFUNCTION("""COMPUTED_VALUE"""),"Ingeniero Electrónico")</f>
        <v>Ingeniero Electrónico</v>
      </c>
      <c r="AW279" s="6" t="str">
        <f>IFERROR(__xludf.DUMMYFUNCTION("""COMPUTED_VALUE"""),"Rohde &amp; Schwarz")</f>
        <v>Rohde &amp; Schwarz</v>
      </c>
      <c r="AX279" s="12" t="str">
        <f>IFERROR(__xludf.DUMMYFUNCTION("""COMPUTED_VALUE"""),"9736825")</f>
        <v>9736825</v>
      </c>
      <c r="AY279" s="12" t="str">
        <f>IFERROR(__xludf.DUMMYFUNCTION("""COMPUTED_VALUE"""),"3204880512")</f>
        <v>3204880512</v>
      </c>
      <c r="AZ279" s="6" t="str">
        <f>IFERROR(__xludf.DUMMYFUNCTION("""COMPUTED_VALUE"""),"Padre")</f>
        <v>Padre</v>
      </c>
      <c r="BA279" s="6"/>
      <c r="BB279" s="6"/>
      <c r="BC279" s="6"/>
      <c r="BD279" s="12" t="str">
        <f>IFERROR(__xludf.DUMMYFUNCTION("""COMPUTED_VALUE"""),"jar0011")</f>
        <v>jar0011</v>
      </c>
      <c r="BE279" s="6"/>
      <c r="BF279" s="6"/>
      <c r="BG279" s="6">
        <f>IFERROR(__xludf.DUMMYFUNCTION("""COMPUTED_VALUE"""),2037.0)</f>
        <v>2037</v>
      </c>
      <c r="BH279" s="15">
        <f>IFERROR(__xludf.DUMMYFUNCTION("""COMPUTED_VALUE"""),46211.43230324074)</f>
        <v>46211.4323</v>
      </c>
      <c r="BI279" s="6">
        <f>IFERROR(__xludf.DUMMYFUNCTION("""COMPUTED_VALUE"""),278.0)</f>
        <v>278</v>
      </c>
      <c r="BJ279" s="6"/>
      <c r="BK279" s="6"/>
      <c r="BL279" s="6" t="str">
        <f>IFERROR(__xludf.DUMMYFUNCTION("""COMPUTED_VALUE"""),"GISJAR0011")</f>
        <v>GISJAR0011</v>
      </c>
      <c r="BM279" s="6"/>
      <c r="BN279" s="6"/>
      <c r="BO279" s="6"/>
      <c r="BP279" s="6"/>
      <c r="BQ279" s="6"/>
      <c r="BR279" s="6"/>
      <c r="BS279" s="6"/>
      <c r="BT279" s="6"/>
      <c r="BU279" s="6" t="str">
        <f>IFERROR(__xludf.DUMMYFUNCTION("""COMPUTED_VALUE"""),"SI")</f>
        <v>SI</v>
      </c>
      <c r="BV279" s="6" t="str">
        <f>IFERROR(__xludf.DUMMYFUNCTION("""COMPUTED_VALUE"""),"martin.j2037")</f>
        <v>martin.j2037</v>
      </c>
      <c r="BW279" s="6"/>
      <c r="BX279" s="6"/>
      <c r="BY279" s="6"/>
      <c r="BZ279" s="6"/>
    </row>
    <row r="280">
      <c r="A280" s="12">
        <f>IFERROR(__xludf.DUMMYFUNCTION("""COMPUTED_VALUE"""),1.11037914E9)</f>
        <v>1110379140</v>
      </c>
      <c r="B280" s="6">
        <f>IFERROR(__xludf.DUMMYFUNCTION("""COMPUTED_VALUE"""),9.0)</f>
        <v>9</v>
      </c>
      <c r="C280" s="6" t="str">
        <f>IFERROR(__xludf.DUMMYFUNCTION("""COMPUTED_VALUE"""),"Mariana")</f>
        <v>Mariana</v>
      </c>
      <c r="D280" s="6"/>
      <c r="E280" s="6" t="str">
        <f>IFERROR(__xludf.DUMMYFUNCTION("""COMPUTED_VALUE"""),"Londoño Rojas")</f>
        <v>Londoño Rojas</v>
      </c>
      <c r="F280" s="6" t="str">
        <f>IFERROR(__xludf.DUMMYFUNCTION("""COMPUTED_VALUE"""),"Conjunto Bosques de San Juan Casa 16 - Cra 6 No43Nte - 50 Av Centenario")</f>
        <v>Conjunto Bosques de San Juan Casa 16 - Cra 6 No43Nte - 50 Av Centenario</v>
      </c>
      <c r="G280" s="12" t="str">
        <f>IFERROR(__xludf.DUMMYFUNCTION("""COMPUTED_VALUE"""),"2019")</f>
        <v>2019</v>
      </c>
      <c r="H280" s="6" t="str">
        <f>IFERROR(__xludf.DUMMYFUNCTION("""COMPUTED_VALUE"""),"Mayo")</f>
        <v>Mayo</v>
      </c>
      <c r="I280" s="12" t="str">
        <f>IFERROR(__xludf.DUMMYFUNCTION("""COMPUTED_VALUE"""),"6")</f>
        <v>6</v>
      </c>
      <c r="J280" s="6" t="str">
        <f>IFERROR(__xludf.DUMMYFUNCTION("""COMPUTED_VALUE"""),"Armenia")</f>
        <v>Armenia</v>
      </c>
      <c r="K280" s="6" t="str">
        <f>IFERROR(__xludf.DUMMYFUNCTION("""COMPUTED_VALUE"""),"mariana.l2037@gi.edu.co")</f>
        <v>mariana.l2037@gi.edu.co</v>
      </c>
      <c r="L280" s="6" t="str">
        <f>IFERROR(__xludf.DUMMYFUNCTION("""COMPUTED_VALUE"""),"RC")</f>
        <v>RC</v>
      </c>
      <c r="M280" s="6" t="str">
        <f>IFERROR(__xludf.DUMMYFUNCTION("""COMPUTED_VALUE"""),"Cali")</f>
        <v>Cali</v>
      </c>
      <c r="N280" s="6" t="str">
        <f>IFERROR(__xludf.DUMMYFUNCTION("""COMPUTED_VALUE"""),"F")</f>
        <v>F</v>
      </c>
      <c r="O280" s="6" t="str">
        <f>IFERROR(__xludf.DUMMYFUNCTION("""COMPUTED_VALUE"""),"INACTIVE")</f>
        <v>INACTIVE</v>
      </c>
      <c r="P280" s="6"/>
      <c r="Q280" s="6" t="str">
        <f>IFERROR(__xludf.DUMMYFUNCTION("""COMPUTED_VALUE"""),"Armenia")</f>
        <v>Armenia</v>
      </c>
      <c r="R280" s="12" t="str">
        <f>IFERROR(__xludf.DUMMYFUNCTION("""COMPUTED_VALUE"""),"GiQ2QuBg*")</f>
        <v>GiQ2QuBg*</v>
      </c>
      <c r="S280" s="6" t="str">
        <f>IFERROR(__xludf.DUMMYFUNCTION("""COMPUTED_VALUE"""),"Londoño Rojas Mariana ")</f>
        <v>Londoño Rojas Mariana </v>
      </c>
      <c r="T280" s="6" t="str">
        <f>IFERROR(__xludf.DUMMYFUNCTION("""COMPUTED_VALUE"""),"JHON FABER LONDOÑO QUICENO")</f>
        <v>JHON FABER LONDOÑO QUICENO</v>
      </c>
      <c r="U280" s="12" t="str">
        <f>IFERROR(__xludf.DUMMYFUNCTION("""COMPUTED_VALUE"""),"9730110")</f>
        <v>9730110</v>
      </c>
      <c r="V280" s="6">
        <f>IFERROR(__xludf.DUMMYFUNCTION("""COMPUTED_VALUE"""),3.226639173E9)</f>
        <v>3226639173</v>
      </c>
      <c r="W280" s="6" t="str">
        <f>IFERROR(__xludf.DUMMYFUNCTION("""COMPUTED_VALUE"""),"jhonfaberl78@gmail.com")</f>
        <v>jhonfaberl78@gmail.com</v>
      </c>
      <c r="X280" s="12" t="str">
        <f>IFERROR(__xludf.DUMMYFUNCTION("""COMPUTED_VALUE"""),"A+")</f>
        <v>A+</v>
      </c>
      <c r="Y280" s="12" t="str">
        <f>IFERROR(__xludf.DUMMYFUNCTION("""COMPUTED_VALUE"""),"2")</f>
        <v>2</v>
      </c>
      <c r="Z280" s="12">
        <f>IFERROR(__xludf.DUMMYFUNCTION("""COMPUTED_VALUE"""),120187.0)</f>
        <v>120187</v>
      </c>
      <c r="AA280" s="6" t="str">
        <f>IFERROR(__xludf.DUMMYFUNCTION("""COMPUTED_VALUE"""),"SANITAS")</f>
        <v>SANITAS</v>
      </c>
      <c r="AB280" s="6"/>
      <c r="AC280" s="6"/>
      <c r="AD280" s="12" t="str">
        <f>IFERROR(__xludf.DUMMYFUNCTION("""COMPUTED_VALUE"""),"2C")</f>
        <v>2C</v>
      </c>
      <c r="AE280" s="12">
        <f>IFERROR(__xludf.DUMMYFUNCTION("""COMPUTED_VALUE"""),1.34528214E9)</f>
        <v>1345282140</v>
      </c>
      <c r="AF280" s="12" t="str">
        <f>IFERROR(__xludf.DUMMYFUNCTION("""COMPUTED_VALUE"""),"1998024698")</f>
        <v>1998024698</v>
      </c>
      <c r="AG280" s="12" t="str">
        <f>IFERROR(__xludf.DUMMYFUNCTION("""COMPUTED_VALUE"""),"Blanca")</f>
        <v>Blanca</v>
      </c>
      <c r="AH280" s="12" t="str">
        <f>IFERROR(__xludf.DUMMYFUNCTION("""COMPUTED_VALUE"""),"Alexandra")</f>
        <v>Alexandra</v>
      </c>
      <c r="AI280" s="6" t="str">
        <f>IFERROR(__xludf.DUMMYFUNCTION("""COMPUTED_VALUE"""),"Rojas Montes")</f>
        <v>Rojas Montes</v>
      </c>
      <c r="AJ280" s="6" t="str">
        <f>IFERROR(__xludf.DUMMYFUNCTION("""COMPUTED_VALUE"""),"alexandrarojasm@hotmail.com")</f>
        <v>alexandrarojasm@hotmail.com</v>
      </c>
      <c r="AK280" s="6" t="str">
        <f>IFERROR(__xludf.DUMMYFUNCTION("""COMPUTED_VALUE"""),"ODONTOLOGA")</f>
        <v>ODONTOLOGA</v>
      </c>
      <c r="AL280" s="6"/>
      <c r="AM280" s="12" t="str">
        <f>IFERROR(__xludf.DUMMYFUNCTION("""COMPUTED_VALUE"""),"66872123")</f>
        <v>66872123</v>
      </c>
      <c r="AN280" s="12" t="str">
        <f>IFERROR(__xludf.DUMMYFUNCTION("""COMPUTED_VALUE"""),"3122588276")</f>
        <v>3122588276</v>
      </c>
      <c r="AO280" s="6" t="str">
        <f>IFERROR(__xludf.DUMMYFUNCTION("""COMPUTED_VALUE"""),"Madre")</f>
        <v>Madre</v>
      </c>
      <c r="AP280" s="6" t="str">
        <f>IFERROR(__xludf.DUMMYFUNCTION("""COMPUTED_VALUE"""),"Estudiante(s): Londoño Rojas")</f>
        <v>Estudiante(s): Londoño Rojas</v>
      </c>
      <c r="AQ280" s="6" t="str">
        <f>IFERROR(__xludf.DUMMYFUNCTION("""COMPUTED_VALUE"""),"102175#Gi")</f>
        <v>102175#Gi</v>
      </c>
      <c r="AR280" s="6" t="str">
        <f>IFERROR(__xludf.DUMMYFUNCTION("""COMPUTED_VALUE"""),"John")</f>
        <v>John</v>
      </c>
      <c r="AS280" s="6" t="str">
        <f>IFERROR(__xludf.DUMMYFUNCTION("""COMPUTED_VALUE"""),"Faber")</f>
        <v>Faber</v>
      </c>
      <c r="AT280" s="6" t="str">
        <f>IFERROR(__xludf.DUMMYFUNCTION("""COMPUTED_VALUE"""),"Londoño Quiceno")</f>
        <v>Londoño Quiceno</v>
      </c>
      <c r="AU280" s="6" t="str">
        <f>IFERROR(__xludf.DUMMYFUNCTION("""COMPUTED_VALUE"""),"jhonfaberl78@gmail.com")</f>
        <v>jhonfaberl78@gmail.com</v>
      </c>
      <c r="AV280" s="6" t="str">
        <f>IFERROR(__xludf.DUMMYFUNCTION("""COMPUTED_VALUE"""),"ODONTOLOGO")</f>
        <v>ODONTOLOGO</v>
      </c>
      <c r="AW280" s="6"/>
      <c r="AX280" s="12" t="str">
        <f>IFERROR(__xludf.DUMMYFUNCTION("""COMPUTED_VALUE"""),"9730110")</f>
        <v>9730110</v>
      </c>
      <c r="AY280" s="12" t="str">
        <f>IFERROR(__xludf.DUMMYFUNCTION("""COMPUTED_VALUE"""),"3226639173")</f>
        <v>3226639173</v>
      </c>
      <c r="AZ280" s="6" t="str">
        <f>IFERROR(__xludf.DUMMYFUNCTION("""COMPUTED_VALUE"""),"Padre")</f>
        <v>Padre</v>
      </c>
      <c r="BA280" s="6" t="str">
        <f>IFERROR(__xludf.DUMMYFUNCTION("""COMPUTED_VALUE"""),"ESTEFANIA VELEZ MONTES")</f>
        <v>ESTEFANIA VELEZ MONTES</v>
      </c>
      <c r="BB280" s="6">
        <f>IFERROR(__xludf.DUMMYFUNCTION("""COMPUTED_VALUE"""),3.157203552E9)</f>
        <v>3157203552</v>
      </c>
      <c r="BC280" s="6" t="str">
        <f>IFERROR(__xludf.DUMMYFUNCTION("""COMPUTED_VALUE"""),"Otro")</f>
        <v>Otro</v>
      </c>
      <c r="BD280" s="12" t="str">
        <f>IFERROR(__xludf.DUMMYFUNCTION("""COMPUTED_VALUE"""),"lon0007")</f>
        <v>lon0007</v>
      </c>
      <c r="BE280" s="6" t="str">
        <f>IFERROR(__xludf.DUMMYFUNCTION("""COMPUTED_VALUE"""),"FALTAN FIRMAS")</f>
        <v>FALTAN FIRMAS</v>
      </c>
      <c r="BF280" s="6"/>
      <c r="BG280" s="6">
        <f>IFERROR(__xludf.DUMMYFUNCTION("""COMPUTED_VALUE"""),2037.0)</f>
        <v>2037</v>
      </c>
      <c r="BH280" s="15">
        <f>IFERROR(__xludf.DUMMYFUNCTION("""COMPUTED_VALUE"""),46232.6271875)</f>
        <v>46232.62719</v>
      </c>
      <c r="BI280" s="6">
        <f>IFERROR(__xludf.DUMMYFUNCTION("""COMPUTED_VALUE"""),279.0)</f>
        <v>279</v>
      </c>
      <c r="BJ280" s="6"/>
      <c r="BK280" s="6"/>
      <c r="BL280" s="6" t="str">
        <f>IFERROR(__xludf.DUMMYFUNCTION("""COMPUTED_VALUE"""),"GISLON0007")</f>
        <v>GISLON0007</v>
      </c>
      <c r="BM280" s="6"/>
      <c r="BN280" s="6"/>
      <c r="BO280" s="6"/>
      <c r="BP280" s="6"/>
      <c r="BQ280" s="6"/>
      <c r="BR280" s="6"/>
      <c r="BS280" s="6"/>
      <c r="BT280" s="6"/>
      <c r="BU280" s="6" t="str">
        <f>IFERROR(__xludf.DUMMYFUNCTION("""COMPUTED_VALUE"""),"SI")</f>
        <v>SI</v>
      </c>
      <c r="BV280" s="6" t="str">
        <f>IFERROR(__xludf.DUMMYFUNCTION("""COMPUTED_VALUE"""),"mariana.l2037")</f>
        <v>mariana.l2037</v>
      </c>
      <c r="BW280" s="6"/>
      <c r="BX280" s="6"/>
      <c r="BY280" s="6"/>
      <c r="BZ280" s="6"/>
    </row>
    <row r="281">
      <c r="A281" s="12">
        <f>IFERROR(__xludf.DUMMYFUNCTION("""COMPUTED_VALUE"""),1.092863383E9)</f>
        <v>1092863383</v>
      </c>
      <c r="B281" s="6">
        <f>IFERROR(__xludf.DUMMYFUNCTION("""COMPUTED_VALUE"""),10.0)</f>
        <v>10</v>
      </c>
      <c r="C281" s="6" t="str">
        <f>IFERROR(__xludf.DUMMYFUNCTION("""COMPUTED_VALUE"""),"Gabriela")</f>
        <v>Gabriela</v>
      </c>
      <c r="D281" s="6"/>
      <c r="E281" s="6" t="str">
        <f>IFERROR(__xludf.DUMMYFUNCTION("""COMPUTED_VALUE"""),"Mejía Gómez")</f>
        <v>Mejía Gómez</v>
      </c>
      <c r="F281" s="6" t="str">
        <f>IFERROR(__xludf.DUMMYFUNCTION("""COMPUTED_VALUE"""),"Los Ocobos Parque Residencial Casa F9 - Calle 31 Nte No20 - 10")</f>
        <v>Los Ocobos Parque Residencial Casa F9 - Calle 31 Nte No20 - 10</v>
      </c>
      <c r="G281" s="12" t="str">
        <f>IFERROR(__xludf.DUMMYFUNCTION("""COMPUTED_VALUE"""),"2019")</f>
        <v>2019</v>
      </c>
      <c r="H281" s="6" t="str">
        <f>IFERROR(__xludf.DUMMYFUNCTION("""COMPUTED_VALUE"""),"Septiembre")</f>
        <v>Septiembre</v>
      </c>
      <c r="I281" s="12" t="str">
        <f>IFERROR(__xludf.DUMMYFUNCTION("""COMPUTED_VALUE"""),"7")</f>
        <v>7</v>
      </c>
      <c r="J281" s="6" t="str">
        <f>IFERROR(__xludf.DUMMYFUNCTION("""COMPUTED_VALUE"""),"Armenia")</f>
        <v>Armenia</v>
      </c>
      <c r="K281" s="6" t="str">
        <f>IFERROR(__xludf.DUMMYFUNCTION("""COMPUTED_VALUE"""),"gabriela.m2037@gi.edu.co")</f>
        <v>gabriela.m2037@gi.edu.co</v>
      </c>
      <c r="L281" s="6" t="str">
        <f>IFERROR(__xludf.DUMMYFUNCTION("""COMPUTED_VALUE"""),"RC")</f>
        <v>RC</v>
      </c>
      <c r="M281" s="6" t="str">
        <f>IFERROR(__xludf.DUMMYFUNCTION("""COMPUTED_VALUE"""),"Armenia")</f>
        <v>Armenia</v>
      </c>
      <c r="N281" s="6" t="str">
        <f>IFERROR(__xludf.DUMMYFUNCTION("""COMPUTED_VALUE"""),"F")</f>
        <v>F</v>
      </c>
      <c r="O281" s="6" t="str">
        <f>IFERROR(__xludf.DUMMYFUNCTION("""COMPUTED_VALUE"""),"ACTIVE")</f>
        <v>ACTIVE</v>
      </c>
      <c r="P281" s="6"/>
      <c r="Q281" s="6" t="str">
        <f>IFERROR(__xludf.DUMMYFUNCTION("""COMPUTED_VALUE"""),"Armenia")</f>
        <v>Armenia</v>
      </c>
      <c r="R281" s="12" t="str">
        <f>IFERROR(__xludf.DUMMYFUNCTION("""COMPUTED_VALUE"""),"Gi49dn75*")</f>
        <v>Gi49dn75*</v>
      </c>
      <c r="S281" s="6" t="str">
        <f>IFERROR(__xludf.DUMMYFUNCTION("""COMPUTED_VALUE"""),"Mejía Gómez Gabriela ")</f>
        <v>Mejía Gómez Gabriela </v>
      </c>
      <c r="T281" s="6" t="str">
        <f>IFERROR(__xludf.DUMMYFUNCTION("""COMPUTED_VALUE"""),"LUIS ALEJANDRO MEJÍA BEDOYA")</f>
        <v>LUIS ALEJANDRO MEJÍA BEDOYA</v>
      </c>
      <c r="U281" s="12" t="str">
        <f>IFERROR(__xludf.DUMMYFUNCTION("""COMPUTED_VALUE"""),"1094917077")</f>
        <v>1094917077</v>
      </c>
      <c r="V281" s="6">
        <f>IFERROR(__xludf.DUMMYFUNCTION("""COMPUTED_VALUE"""),3.216418182E9)</f>
        <v>3216418182</v>
      </c>
      <c r="W281" s="6" t="str">
        <f>IFERROR(__xludf.DUMMYFUNCTION("""COMPUTED_VALUE"""),"mejiabedoya@hotmail.com")</f>
        <v>mejiabedoya@hotmail.com</v>
      </c>
      <c r="X281" s="12" t="str">
        <f>IFERROR(__xludf.DUMMYFUNCTION("""COMPUTED_VALUE"""),"O+")</f>
        <v>O+</v>
      </c>
      <c r="Y281" s="12" t="str">
        <f>IFERROR(__xludf.DUMMYFUNCTION("""COMPUTED_VALUE"""),"2")</f>
        <v>2</v>
      </c>
      <c r="Z281" s="12">
        <f>IFERROR(__xludf.DUMMYFUNCTION("""COMPUTED_VALUE"""),120242.0)</f>
        <v>120242</v>
      </c>
      <c r="AA281" s="6" t="str">
        <f>IFERROR(__xludf.DUMMYFUNCTION("""COMPUTED_VALUE"""),"SURA")</f>
        <v>SURA</v>
      </c>
      <c r="AB281" s="6"/>
      <c r="AC281" s="6"/>
      <c r="AD281" s="12" t="str">
        <f>IFERROR(__xludf.DUMMYFUNCTION("""COMPUTED_VALUE"""),"2C")</f>
        <v>2C</v>
      </c>
      <c r="AE281" s="12">
        <f>IFERROR(__xludf.DUMMYFUNCTION("""COMPUTED_VALUE"""),1.345282233E9)</f>
        <v>1345282233</v>
      </c>
      <c r="AF281" s="12" t="str">
        <f>IFERROR(__xludf.DUMMYFUNCTION("""COMPUTED_VALUE"""),"1345282233")</f>
        <v>1345282233</v>
      </c>
      <c r="AG281" s="12" t="str">
        <f>IFERROR(__xludf.DUMMYFUNCTION("""COMPUTED_VALUE"""),"Juliana")</f>
        <v>Juliana</v>
      </c>
      <c r="AH281" s="6"/>
      <c r="AI281" s="6" t="str">
        <f>IFERROR(__xludf.DUMMYFUNCTION("""COMPUTED_VALUE"""),"Gómez Gutiérrez")</f>
        <v>Gómez Gutiérrez</v>
      </c>
      <c r="AJ281" s="6" t="str">
        <f>IFERROR(__xludf.DUMMYFUNCTION("""COMPUTED_VALUE"""),"julianagomez6@hotmail.com")</f>
        <v>julianagomez6@hotmail.com</v>
      </c>
      <c r="AK281" s="6" t="str">
        <f>IFERROR(__xludf.DUMMYFUNCTION("""COMPUTED_VALUE"""),"Publicista")</f>
        <v>Publicista</v>
      </c>
      <c r="AL281" s="6"/>
      <c r="AM281" s="12" t="str">
        <f>IFERROR(__xludf.DUMMYFUNCTION("""COMPUTED_VALUE"""),"1094907313")</f>
        <v>1094907313</v>
      </c>
      <c r="AN281" s="12" t="str">
        <f>IFERROR(__xludf.DUMMYFUNCTION("""COMPUTED_VALUE"""),"3113388948")</f>
        <v>3113388948</v>
      </c>
      <c r="AO281" s="6" t="str">
        <f>IFERROR(__xludf.DUMMYFUNCTION("""COMPUTED_VALUE"""),"Madre")</f>
        <v>Madre</v>
      </c>
      <c r="AP281" s="6" t="str">
        <f>IFERROR(__xludf.DUMMYFUNCTION("""COMPUTED_VALUE"""),"Estudiante(s): Mejía Gómez")</f>
        <v>Estudiante(s): Mejía Gómez</v>
      </c>
      <c r="AQ281" s="6" t="str">
        <f>IFERROR(__xludf.DUMMYFUNCTION("""COMPUTED_VALUE"""),"120242*Gi")</f>
        <v>120242*Gi</v>
      </c>
      <c r="AR281" s="6" t="str">
        <f>IFERROR(__xludf.DUMMYFUNCTION("""COMPUTED_VALUE"""),"Luis")</f>
        <v>Luis</v>
      </c>
      <c r="AS281" s="6" t="str">
        <f>IFERROR(__xludf.DUMMYFUNCTION("""COMPUTED_VALUE"""),"Alejandro")</f>
        <v>Alejandro</v>
      </c>
      <c r="AT281" s="6" t="str">
        <f>IFERROR(__xludf.DUMMYFUNCTION("""COMPUTED_VALUE"""),"Mejía Bedoya")</f>
        <v>Mejía Bedoya</v>
      </c>
      <c r="AU281" s="6" t="str">
        <f>IFERROR(__xludf.DUMMYFUNCTION("""COMPUTED_VALUE"""),"mejiabedoya@hotmail.com")</f>
        <v>mejiabedoya@hotmail.com</v>
      </c>
      <c r="AV281" s="6" t="str">
        <f>IFERROR(__xludf.DUMMYFUNCTION("""COMPUTED_VALUE"""),"Medivo Veterinario y Zootecnista")</f>
        <v>Medivo Veterinario y Zootecnista</v>
      </c>
      <c r="AW281" s="6"/>
      <c r="AX281" s="12" t="str">
        <f>IFERROR(__xludf.DUMMYFUNCTION("""COMPUTED_VALUE"""),"1094917077")</f>
        <v>1094917077</v>
      </c>
      <c r="AY281" s="12" t="str">
        <f>IFERROR(__xludf.DUMMYFUNCTION("""COMPUTED_VALUE"""),"3216418182")</f>
        <v>3216418182</v>
      </c>
      <c r="AZ281" s="6" t="str">
        <f>IFERROR(__xludf.DUMMYFUNCTION("""COMPUTED_VALUE"""),"Padre")</f>
        <v>Padre</v>
      </c>
      <c r="BA281" s="6" t="str">
        <f>IFERROR(__xludf.DUMMYFUNCTION("""COMPUTED_VALUE"""),"ANTONIA MEJÍA GÒMEZ")</f>
        <v>ANTONIA MEJÍA GÒMEZ</v>
      </c>
      <c r="BB281" s="6">
        <f>IFERROR(__xludf.DUMMYFUNCTION("""COMPUTED_VALUE"""),3.113388948E9)</f>
        <v>3113388948</v>
      </c>
      <c r="BC281" s="6" t="str">
        <f>IFERROR(__xludf.DUMMYFUNCTION("""COMPUTED_VALUE"""),"Otro")</f>
        <v>Otro</v>
      </c>
      <c r="BD281" s="12" t="str">
        <f>IFERROR(__xludf.DUMMYFUNCTION("""COMPUTED_VALUE"""),"mej0022")</f>
        <v>mej0022</v>
      </c>
      <c r="BE281" s="6"/>
      <c r="BF281" s="6"/>
      <c r="BG281" s="6">
        <f>IFERROR(__xludf.DUMMYFUNCTION("""COMPUTED_VALUE"""),2037.0)</f>
        <v>2037</v>
      </c>
      <c r="BH281" s="15">
        <f>IFERROR(__xludf.DUMMYFUNCTION("""COMPUTED_VALUE"""),46229.22263888889)</f>
        <v>46229.22264</v>
      </c>
      <c r="BI281" s="6">
        <f>IFERROR(__xludf.DUMMYFUNCTION("""COMPUTED_VALUE"""),280.0)</f>
        <v>280</v>
      </c>
      <c r="BJ281" s="6"/>
      <c r="BK281" s="6"/>
      <c r="BL281" s="6" t="str">
        <f>IFERROR(__xludf.DUMMYFUNCTION("""COMPUTED_VALUE"""),"GISMEJ0022")</f>
        <v>GISMEJ0022</v>
      </c>
      <c r="BM281" s="6"/>
      <c r="BN281" s="6"/>
      <c r="BO281" s="6"/>
      <c r="BP281" s="6" t="str">
        <f>IFERROR(__xludf.DUMMYFUNCTION("""COMPUTED_VALUE"""),"XC_23_Voleibol")</f>
        <v>XC_23_Voleibol</v>
      </c>
      <c r="BQ281" s="6"/>
      <c r="BR281" s="6" t="str">
        <f>IFERROR(__xludf.DUMMYFUNCTION("""COMPUTED_VALUE"""),"XC_EL_DanzaModerna")</f>
        <v>XC_EL_DanzaModerna</v>
      </c>
      <c r="BS281" s="6" t="str">
        <f>IFERROR(__xludf.DUMMYFUNCTION("""COMPUTED_VALUE"""),"XC_23_Voleibol")</f>
        <v>XC_23_Voleibol</v>
      </c>
      <c r="BT281" s="6" t="str">
        <f>IFERROR(__xludf.DUMMYFUNCTION("""COMPUTED_VALUE"""),"XC_23_Voleibol")</f>
        <v>XC_23_Voleibol</v>
      </c>
      <c r="BU281" s="6" t="str">
        <f>IFERROR(__xludf.DUMMYFUNCTION("""COMPUTED_VALUE"""),"SI")</f>
        <v>SI</v>
      </c>
      <c r="BV281" s="6" t="str">
        <f>IFERROR(__xludf.DUMMYFUNCTION("""COMPUTED_VALUE"""),"gabriela.m2037")</f>
        <v>gabriela.m2037</v>
      </c>
      <c r="BW281" s="6"/>
      <c r="BX281" s="6"/>
      <c r="BY281" s="6"/>
      <c r="BZ281" s="6"/>
    </row>
    <row r="282">
      <c r="A282" s="12">
        <f>IFERROR(__xludf.DUMMYFUNCTION("""COMPUTED_VALUE"""),1.092863273E9)</f>
        <v>1092863273</v>
      </c>
      <c r="B282" s="6">
        <f>IFERROR(__xludf.DUMMYFUNCTION("""COMPUTED_VALUE"""),11.0)</f>
        <v>11</v>
      </c>
      <c r="C282" s="6" t="str">
        <f>IFERROR(__xludf.DUMMYFUNCTION("""COMPUTED_VALUE"""),"Samuel")</f>
        <v>Samuel</v>
      </c>
      <c r="D282" s="6" t="str">
        <f>IFERROR(__xludf.DUMMYFUNCTION("""COMPUTED_VALUE"""),"David")</f>
        <v>David</v>
      </c>
      <c r="E282" s="6" t="str">
        <f>IFERROR(__xludf.DUMMYFUNCTION("""COMPUTED_VALUE"""),"Rivera Zambrano")</f>
        <v>Rivera Zambrano</v>
      </c>
      <c r="F282" s="6" t="str">
        <f>IFERROR(__xludf.DUMMYFUNCTION("""COMPUTED_VALUE"""),"Finca Hotel Mahanaim - Vereda Santa Rita Montenegro enseguida de Las Bailarinas")</f>
        <v>Finca Hotel Mahanaim - Vereda Santa Rita Montenegro enseguida de Las Bailarinas</v>
      </c>
      <c r="G282" s="12" t="str">
        <f>IFERROR(__xludf.DUMMYFUNCTION("""COMPUTED_VALUE"""),"2019")</f>
        <v>2019</v>
      </c>
      <c r="H282" s="6" t="str">
        <f>IFERROR(__xludf.DUMMYFUNCTION("""COMPUTED_VALUE"""),"Agosto")</f>
        <v>Agosto</v>
      </c>
      <c r="I282" s="12" t="str">
        <f>IFERROR(__xludf.DUMMYFUNCTION("""COMPUTED_VALUE"""),"9")</f>
        <v>9</v>
      </c>
      <c r="J282" s="6" t="str">
        <f>IFERROR(__xludf.DUMMYFUNCTION("""COMPUTED_VALUE"""),"Armenia")</f>
        <v>Armenia</v>
      </c>
      <c r="K282" s="6" t="str">
        <f>IFERROR(__xludf.DUMMYFUNCTION("""COMPUTED_VALUE"""),"samuel.r2037@gi.edu.co")</f>
        <v>samuel.r2037@gi.edu.co</v>
      </c>
      <c r="L282" s="6" t="str">
        <f>IFERROR(__xludf.DUMMYFUNCTION("""COMPUTED_VALUE"""),"RC")</f>
        <v>RC</v>
      </c>
      <c r="M282" s="6" t="str">
        <f>IFERROR(__xludf.DUMMYFUNCTION("""COMPUTED_VALUE"""),"Armenia")</f>
        <v>Armenia</v>
      </c>
      <c r="N282" s="6" t="str">
        <f>IFERROR(__xludf.DUMMYFUNCTION("""COMPUTED_VALUE"""),"M")</f>
        <v>M</v>
      </c>
      <c r="O282" s="6" t="str">
        <f>IFERROR(__xludf.DUMMYFUNCTION("""COMPUTED_VALUE"""),"INACTIVE")</f>
        <v>INACTIVE</v>
      </c>
      <c r="P282" s="6"/>
      <c r="Q282" s="6" t="str">
        <f>IFERROR(__xludf.DUMMYFUNCTION("""COMPUTED_VALUE"""),"Montenegro")</f>
        <v>Montenegro</v>
      </c>
      <c r="R282" s="12" t="str">
        <f>IFERROR(__xludf.DUMMYFUNCTION("""COMPUTED_VALUE"""),"Giw34rb*")</f>
        <v>Giw34rb*</v>
      </c>
      <c r="S282" s="6" t="str">
        <f>IFERROR(__xludf.DUMMYFUNCTION("""COMPUTED_VALUE"""),"Rivera Zambrano Samuel David")</f>
        <v>Rivera Zambrano Samuel David</v>
      </c>
      <c r="T282" s="6" t="str">
        <f>IFERROR(__xludf.DUMMYFUNCTION("""COMPUTED_VALUE"""),"SAMUEL ANDRES RIVERA GARCIA")</f>
        <v>SAMUEL ANDRES RIVERA GARCIA</v>
      </c>
      <c r="U282" s="12" t="str">
        <f>IFERROR(__xludf.DUMMYFUNCTION("""COMPUTED_VALUE"""),"1127073929")</f>
        <v>1127073929</v>
      </c>
      <c r="V282" s="6">
        <f>IFERROR(__xludf.DUMMYFUNCTION("""COMPUTED_VALUE"""),3.209023404E9)</f>
        <v>3209023404</v>
      </c>
      <c r="W282" s="6" t="str">
        <f>IFERROR(__xludf.DUMMYFUNCTION("""COMPUTED_VALUE"""),"autoserviciosuperbarato@hotmail.com")</f>
        <v>autoserviciosuperbarato@hotmail.com</v>
      </c>
      <c r="X282" s="12" t="str">
        <f>IFERROR(__xludf.DUMMYFUNCTION("""COMPUTED_VALUE"""),"O+")</f>
        <v>O+</v>
      </c>
      <c r="Y282" s="12" t="str">
        <f>IFERROR(__xludf.DUMMYFUNCTION("""COMPUTED_VALUE"""),"2")</f>
        <v>2</v>
      </c>
      <c r="Z282" s="12">
        <f>IFERROR(__xludf.DUMMYFUNCTION("""COMPUTED_VALUE"""),120287.0)</f>
        <v>120287</v>
      </c>
      <c r="AA282" s="6" t="str">
        <f>IFERROR(__xludf.DUMMYFUNCTION("""COMPUTED_VALUE"""),"NUEVA EPS")</f>
        <v>NUEVA EPS</v>
      </c>
      <c r="AB282" s="6"/>
      <c r="AC282" s="12" t="str">
        <f>IFERROR(__xludf.DUMMYFUNCTION("""COMPUTED_VALUE"""),"A ALGUNOS ACAROS")</f>
        <v>A ALGUNOS ACAROS</v>
      </c>
      <c r="AD282" s="12" t="str">
        <f>IFERROR(__xludf.DUMMYFUNCTION("""COMPUTED_VALUE"""),"2C")</f>
        <v>2C</v>
      </c>
      <c r="AE282" s="12">
        <f>IFERROR(__xludf.DUMMYFUNCTION("""COMPUTED_VALUE"""),1.345282293E9)</f>
        <v>1345282293</v>
      </c>
      <c r="AF282" s="12" t="str">
        <f>IFERROR(__xludf.DUMMYFUNCTION("""COMPUTED_VALUE"""),"1345282293")</f>
        <v>1345282293</v>
      </c>
      <c r="AG282" s="12" t="str">
        <f>IFERROR(__xludf.DUMMYFUNCTION("""COMPUTED_VALUE"""),"Angie")</f>
        <v>Angie</v>
      </c>
      <c r="AH282" s="12" t="str">
        <f>IFERROR(__xludf.DUMMYFUNCTION("""COMPUTED_VALUE"""),"Paola")</f>
        <v>Paola</v>
      </c>
      <c r="AI282" s="6" t="str">
        <f>IFERROR(__xludf.DUMMYFUNCTION("""COMPUTED_VALUE"""),"Zambrano Burgos")</f>
        <v>Zambrano Burgos</v>
      </c>
      <c r="AJ282" s="6" t="str">
        <f>IFERROR(__xludf.DUMMYFUNCTION("""COMPUTED_VALUE"""),"angiie_zambrano@hotmail.es")</f>
        <v>angiie_zambrano@hotmail.es</v>
      </c>
      <c r="AK282" s="6" t="str">
        <f>IFERROR(__xludf.DUMMYFUNCTION("""COMPUTED_VALUE"""),"comerciante")</f>
        <v>comerciante</v>
      </c>
      <c r="AL282" s="6" t="str">
        <f>IFERROR(__xludf.DUMMYFUNCTION("""COMPUTED_VALUE"""),"Finca Hotel Mahanaim")</f>
        <v>Finca Hotel Mahanaim</v>
      </c>
      <c r="AM282" s="12" t="str">
        <f>IFERROR(__xludf.DUMMYFUNCTION("""COMPUTED_VALUE"""),"1127074435")</f>
        <v>1127074435</v>
      </c>
      <c r="AN282" s="12" t="str">
        <f>IFERROR(__xludf.DUMMYFUNCTION("""COMPUTED_VALUE"""),"3102906722")</f>
        <v>3102906722</v>
      </c>
      <c r="AO282" s="6" t="str">
        <f>IFERROR(__xludf.DUMMYFUNCTION("""COMPUTED_VALUE"""),"Madre")</f>
        <v>Madre</v>
      </c>
      <c r="AP282" s="6" t="str">
        <f>IFERROR(__xludf.DUMMYFUNCTION("""COMPUTED_VALUE"""),"Estudiante(s): Rivera Zambrano")</f>
        <v>Estudiante(s): Rivera Zambrano</v>
      </c>
      <c r="AQ282" s="6" t="str">
        <f>IFERROR(__xludf.DUMMYFUNCTION("""COMPUTED_VALUE"""),"120287*Gi")</f>
        <v>120287*Gi</v>
      </c>
      <c r="AR282" s="6" t="str">
        <f>IFERROR(__xludf.DUMMYFUNCTION("""COMPUTED_VALUE"""),"Samuel")</f>
        <v>Samuel</v>
      </c>
      <c r="AS282" s="6" t="str">
        <f>IFERROR(__xludf.DUMMYFUNCTION("""COMPUTED_VALUE"""),"Andrés")</f>
        <v>Andrés</v>
      </c>
      <c r="AT282" s="6" t="str">
        <f>IFERROR(__xludf.DUMMYFUNCTION("""COMPUTED_VALUE"""),"Rivera García")</f>
        <v>Rivera García</v>
      </c>
      <c r="AU282" s="6" t="str">
        <f>IFERROR(__xludf.DUMMYFUNCTION("""COMPUTED_VALUE"""),"saanrigar@hotmail.es")</f>
        <v>saanrigar@hotmail.es</v>
      </c>
      <c r="AV282" s="6" t="str">
        <f>IFERROR(__xludf.DUMMYFUNCTION("""COMPUTED_VALUE"""),"comerciante")</f>
        <v>comerciante</v>
      </c>
      <c r="AW282" s="6" t="str">
        <f>IFERROR(__xludf.DUMMYFUNCTION("""COMPUTED_VALUE"""),"HOTEL SAN FRANCISCO REAL")</f>
        <v>HOTEL SAN FRANCISCO REAL</v>
      </c>
      <c r="AX282" s="12" t="str">
        <f>IFERROR(__xludf.DUMMYFUNCTION("""COMPUTED_VALUE"""),"1127073929")</f>
        <v>1127073929</v>
      </c>
      <c r="AY282" s="12" t="str">
        <f>IFERROR(__xludf.DUMMYFUNCTION("""COMPUTED_VALUE"""),"3209023404")</f>
        <v>3209023404</v>
      </c>
      <c r="AZ282" s="6" t="str">
        <f>IFERROR(__xludf.DUMMYFUNCTION("""COMPUTED_VALUE"""),"Padre")</f>
        <v>Padre</v>
      </c>
      <c r="BA282" s="6"/>
      <c r="BB282" s="6"/>
      <c r="BC282" s="6"/>
      <c r="BD282" s="12" t="str">
        <f>IFERROR(__xludf.DUMMYFUNCTION("""COMPUTED_VALUE"""),"riv0004")</f>
        <v>riv0004</v>
      </c>
      <c r="BE282" s="6" t="str">
        <f>IFERROR(__xludf.DUMMYFUNCTION("""COMPUTED_VALUE"""),"FALTAN FIRMAS")</f>
        <v>FALTAN FIRMAS</v>
      </c>
      <c r="BF282" s="6"/>
      <c r="BG282" s="6">
        <f>IFERROR(__xludf.DUMMYFUNCTION("""COMPUTED_VALUE"""),2037.0)</f>
        <v>2037</v>
      </c>
      <c r="BH282" s="15">
        <f>IFERROR(__xludf.DUMMYFUNCTION("""COMPUTED_VALUE"""),46212.44603009259)</f>
        <v>46212.44603</v>
      </c>
      <c r="BI282" s="6">
        <f>IFERROR(__xludf.DUMMYFUNCTION("""COMPUTED_VALUE"""),281.0)</f>
        <v>281</v>
      </c>
      <c r="BJ282" s="6"/>
      <c r="BK282" s="6"/>
      <c r="BL282" s="6" t="str">
        <f>IFERROR(__xludf.DUMMYFUNCTION("""COMPUTED_VALUE"""),"GISRIV0004")</f>
        <v>GISRIV0004</v>
      </c>
      <c r="BM282" s="6"/>
      <c r="BN282" s="6"/>
      <c r="BO282" s="6"/>
      <c r="BP282" s="6" t="str">
        <f>IFERROR(__xludf.DUMMYFUNCTION("""COMPUTED_VALUE"""),"XC_23_Futbol_M")</f>
        <v>XC_23_Futbol_M</v>
      </c>
      <c r="BQ282" s="6"/>
      <c r="BR282" s="6"/>
      <c r="BS282" s="6" t="str">
        <f>IFERROR(__xludf.DUMMYFUNCTION("""COMPUTED_VALUE"""),"XC_23_Futbol_M")</f>
        <v>XC_23_Futbol_M</v>
      </c>
      <c r="BT282" s="6" t="str">
        <f>IFERROR(__xludf.DUMMYFUNCTION("""COMPUTED_VALUE"""),"XC_23_Futbol_M")</f>
        <v>XC_23_Futbol_M</v>
      </c>
      <c r="BU282" s="6" t="str">
        <f>IFERROR(__xludf.DUMMYFUNCTION("""COMPUTED_VALUE"""),"SI")</f>
        <v>SI</v>
      </c>
      <c r="BV282" s="6" t="str">
        <f>IFERROR(__xludf.DUMMYFUNCTION("""COMPUTED_VALUE"""),"samuel.r2037")</f>
        <v>samuel.r2037</v>
      </c>
      <c r="BW282" s="6"/>
      <c r="BX282" s="6"/>
      <c r="BY282" s="6"/>
      <c r="BZ282" s="6"/>
    </row>
    <row r="283">
      <c r="A283" s="12">
        <f>IFERROR(__xludf.DUMMYFUNCTION("""COMPUTED_VALUE"""),1.019917986E9)</f>
        <v>1019917986</v>
      </c>
      <c r="B283" s="6">
        <f>IFERROR(__xludf.DUMMYFUNCTION("""COMPUTED_VALUE"""),12.0)</f>
        <v>12</v>
      </c>
      <c r="C283" s="6" t="str">
        <f>IFERROR(__xludf.DUMMYFUNCTION("""COMPUTED_VALUE"""),"Luciano")</f>
        <v>Luciano</v>
      </c>
      <c r="D283" s="6"/>
      <c r="E283" s="6" t="str">
        <f>IFERROR(__xludf.DUMMYFUNCTION("""COMPUTED_VALUE"""),"Rodríguez Osorio")</f>
        <v>Rodríguez Osorio</v>
      </c>
      <c r="F283" s="6" t="str">
        <f>IFERROR(__xludf.DUMMYFUNCTION("""COMPUTED_VALUE"""),"Entrada Bonanza Condominio Portachuelo Casa1 - Vda Padilla")</f>
        <v>Entrada Bonanza Condominio Portachuelo Casa1 - Vda Padilla</v>
      </c>
      <c r="G283" s="12" t="str">
        <f>IFERROR(__xludf.DUMMYFUNCTION("""COMPUTED_VALUE"""),"2019")</f>
        <v>2019</v>
      </c>
      <c r="H283" s="6" t="str">
        <f>IFERROR(__xludf.DUMMYFUNCTION("""COMPUTED_VALUE"""),"Febrero")</f>
        <v>Febrero</v>
      </c>
      <c r="I283" s="12" t="str">
        <f>IFERROR(__xludf.DUMMYFUNCTION("""COMPUTED_VALUE"""),"25")</f>
        <v>25</v>
      </c>
      <c r="J283" s="6" t="str">
        <f>IFERROR(__xludf.DUMMYFUNCTION("""COMPUTED_VALUE"""),"Bogotá D.C.")</f>
        <v>Bogotá D.C.</v>
      </c>
      <c r="K283" s="6" t="str">
        <f>IFERROR(__xludf.DUMMYFUNCTION("""COMPUTED_VALUE"""),"luciano.r2037@gi.edu.co")</f>
        <v>luciano.r2037@gi.edu.co</v>
      </c>
      <c r="L283" s="6" t="str">
        <f>IFERROR(__xludf.DUMMYFUNCTION("""COMPUTED_VALUE"""),"RC")</f>
        <v>RC</v>
      </c>
      <c r="M283" s="6" t="str">
        <f>IFERROR(__xludf.DUMMYFUNCTION("""COMPUTED_VALUE"""),"Bogotá D.C.")</f>
        <v>Bogotá D.C.</v>
      </c>
      <c r="N283" s="6" t="str">
        <f>IFERROR(__xludf.DUMMYFUNCTION("""COMPUTED_VALUE"""),"M")</f>
        <v>M</v>
      </c>
      <c r="O283" s="6" t="str">
        <f>IFERROR(__xludf.DUMMYFUNCTION("""COMPUTED_VALUE"""),"INACTIVE")</f>
        <v>INACTIVE</v>
      </c>
      <c r="P283" s="6"/>
      <c r="Q283" s="6" t="str">
        <f>IFERROR(__xludf.DUMMYFUNCTION("""COMPUTED_VALUE"""),"Armenia")</f>
        <v>Armenia</v>
      </c>
      <c r="R283" s="12" t="str">
        <f>IFERROR(__xludf.DUMMYFUNCTION("""COMPUTED_VALUE"""),"Gi4d5htu*")</f>
        <v>Gi4d5htu*</v>
      </c>
      <c r="S283" s="6" t="str">
        <f>IFERROR(__xludf.DUMMYFUNCTION("""COMPUTED_VALUE"""),"Rodríguez Osorio Luciano ")</f>
        <v>Rodríguez Osorio Luciano </v>
      </c>
      <c r="T283" s="6" t="str">
        <f>IFERROR(__xludf.DUMMYFUNCTION("""COMPUTED_VALUE"""),"JORGE HERNAN RODRIGUEZ QUIÑONEZ")</f>
        <v>JORGE HERNAN RODRIGUEZ QUIÑONEZ</v>
      </c>
      <c r="U283" s="12" t="str">
        <f>IFERROR(__xludf.DUMMYFUNCTION("""COMPUTED_VALUE"""),"75096693")</f>
        <v>75096693</v>
      </c>
      <c r="V283" s="6">
        <f>IFERROR(__xludf.DUMMYFUNCTION("""COMPUTED_VALUE"""),3.112049568E9)</f>
        <v>3112049568</v>
      </c>
      <c r="W283" s="6" t="str">
        <f>IFERROR(__xludf.DUMMYFUNCTION("""COMPUTED_VALUE"""),"hrodjorge@gmail.com")</f>
        <v>hrodjorge@gmail.com</v>
      </c>
      <c r="X283" s="12" t="str">
        <f>IFERROR(__xludf.DUMMYFUNCTION("""COMPUTED_VALUE"""),"O+")</f>
        <v>O+</v>
      </c>
      <c r="Y283" s="12" t="str">
        <f>IFERROR(__xludf.DUMMYFUNCTION("""COMPUTED_VALUE"""),"2")</f>
        <v>2</v>
      </c>
      <c r="Z283" s="12">
        <f>IFERROR(__xludf.DUMMYFUNCTION("""COMPUTED_VALUE"""),120174.0)</f>
        <v>120174</v>
      </c>
      <c r="AA283" s="6" t="str">
        <f>IFERROR(__xludf.DUMMYFUNCTION("""COMPUTED_VALUE"""),"SURA")</f>
        <v>SURA</v>
      </c>
      <c r="AB283" s="6"/>
      <c r="AC283" s="6"/>
      <c r="AD283" s="12" t="str">
        <f>IFERROR(__xludf.DUMMYFUNCTION("""COMPUTED_VALUE"""),"2C")</f>
        <v>2C</v>
      </c>
      <c r="AE283" s="12">
        <f>IFERROR(__xludf.DUMMYFUNCTION("""COMPUTED_VALUE"""),1.345282182E9)</f>
        <v>1345282182</v>
      </c>
      <c r="AF283" s="12" t="str">
        <f>IFERROR(__xludf.DUMMYFUNCTION("""COMPUTED_VALUE"""),"1345282182")</f>
        <v>1345282182</v>
      </c>
      <c r="AG283" s="12" t="str">
        <f>IFERROR(__xludf.DUMMYFUNCTION("""COMPUTED_VALUE"""),"Mónica")</f>
        <v>Mónica</v>
      </c>
      <c r="AH283" s="6"/>
      <c r="AI283" s="6" t="str">
        <f>IFERROR(__xludf.DUMMYFUNCTION("""COMPUTED_VALUE"""),"Osorio Duque")</f>
        <v>Osorio Duque</v>
      </c>
      <c r="AJ283" s="6" t="str">
        <f>IFERROR(__xludf.DUMMYFUNCTION("""COMPUTED_VALUE"""),"monicaosorioduque@gmail.com")</f>
        <v>monicaosorioduque@gmail.com</v>
      </c>
      <c r="AK283" s="6" t="str">
        <f>IFERROR(__xludf.DUMMYFUNCTION("""COMPUTED_VALUE"""),"Politóloga")</f>
        <v>Politóloga</v>
      </c>
      <c r="AL283" s="6" t="str">
        <f>IFERROR(__xludf.DUMMYFUNCTION("""COMPUTED_VALUE"""),"Solutron SAS")</f>
        <v>Solutron SAS</v>
      </c>
      <c r="AM283" s="12" t="str">
        <f>IFERROR(__xludf.DUMMYFUNCTION("""COMPUTED_VALUE"""),"1112460169")</f>
        <v>1112460169</v>
      </c>
      <c r="AN283" s="12" t="str">
        <f>IFERROR(__xludf.DUMMYFUNCTION("""COMPUTED_VALUE"""),"3042120461")</f>
        <v>3042120461</v>
      </c>
      <c r="AO283" s="6" t="str">
        <f>IFERROR(__xludf.DUMMYFUNCTION("""COMPUTED_VALUE"""),"Madre")</f>
        <v>Madre</v>
      </c>
      <c r="AP283" s="6" t="str">
        <f>IFERROR(__xludf.DUMMYFUNCTION("""COMPUTED_VALUE"""),"Estudiante(s): Luciano Rodríguez Osorio &amp; Alana Giraldo Osorio")</f>
        <v>Estudiante(s): Luciano Rodríguez Osorio &amp; Alana Giraldo Osorio</v>
      </c>
      <c r="AQ283" s="6" t="str">
        <f>IFERROR(__xludf.DUMMYFUNCTION("""COMPUTED_VALUE"""),"120063*Gi")</f>
        <v>120063*Gi</v>
      </c>
      <c r="AR283" s="6" t="str">
        <f>IFERROR(__xludf.DUMMYFUNCTION("""COMPUTED_VALUE"""),"Jorge")</f>
        <v>Jorge</v>
      </c>
      <c r="AS283" s="6" t="str">
        <f>IFERROR(__xludf.DUMMYFUNCTION("""COMPUTED_VALUE"""),"Hernán")</f>
        <v>Hernán</v>
      </c>
      <c r="AT283" s="6" t="str">
        <f>IFERROR(__xludf.DUMMYFUNCTION("""COMPUTED_VALUE"""),"Rodríguez Quiñonez")</f>
        <v>Rodríguez Quiñonez</v>
      </c>
      <c r="AU283" s="6" t="str">
        <f>IFERROR(__xludf.DUMMYFUNCTION("""COMPUTED_VALUE"""),"hrodjorge@gmail.com")</f>
        <v>hrodjorge@gmail.com</v>
      </c>
      <c r="AV283" s="6" t="str">
        <f>IFERROR(__xludf.DUMMYFUNCTION("""COMPUTED_VALUE"""),"Ing. Electrónico")</f>
        <v>Ing. Electrónico</v>
      </c>
      <c r="AW283" s="6" t="str">
        <f>IFERROR(__xludf.DUMMYFUNCTION("""COMPUTED_VALUE"""),"Sitectys SAS")</f>
        <v>Sitectys SAS</v>
      </c>
      <c r="AX283" s="12" t="str">
        <f>IFERROR(__xludf.DUMMYFUNCTION("""COMPUTED_VALUE"""),"75096693")</f>
        <v>75096693</v>
      </c>
      <c r="AY283" s="12" t="str">
        <f>IFERROR(__xludf.DUMMYFUNCTION("""COMPUTED_VALUE"""),"3112049568")</f>
        <v>3112049568</v>
      </c>
      <c r="AZ283" s="6" t="str">
        <f>IFERROR(__xludf.DUMMYFUNCTION("""COMPUTED_VALUE"""),"Padre")</f>
        <v>Padre</v>
      </c>
      <c r="BA283" s="6"/>
      <c r="BB283" s="6"/>
      <c r="BC283" s="6"/>
      <c r="BD283" s="12" t="str">
        <f>IFERROR(__xludf.DUMMYFUNCTION("""COMPUTED_VALUE"""),"gir0006")</f>
        <v>gir0006</v>
      </c>
      <c r="BE283" s="6" t="str">
        <f>IFERROR(__xludf.DUMMYFUNCTION("""COMPUTED_VALUE"""),"FALTAN FIRMAS")</f>
        <v>FALTAN FIRMAS</v>
      </c>
      <c r="BF283" s="6"/>
      <c r="BG283" s="6">
        <f>IFERROR(__xludf.DUMMYFUNCTION("""COMPUTED_VALUE"""),2037.0)</f>
        <v>2037</v>
      </c>
      <c r="BH283" s="15">
        <f>IFERROR(__xludf.DUMMYFUNCTION("""COMPUTED_VALUE"""),46212.47954861111)</f>
        <v>46212.47955</v>
      </c>
      <c r="BI283" s="6">
        <f>IFERROR(__xludf.DUMMYFUNCTION("""COMPUTED_VALUE"""),282.0)</f>
        <v>282</v>
      </c>
      <c r="BJ283" s="6"/>
      <c r="BK283" s="6"/>
      <c r="BL283" s="6" t="str">
        <f>IFERROR(__xludf.DUMMYFUNCTION("""COMPUTED_VALUE"""),"GISGIR0006")</f>
        <v>GISGIR0006</v>
      </c>
      <c r="BM283" s="6"/>
      <c r="BN283" s="6"/>
      <c r="BO283" s="6"/>
      <c r="BP283" s="6"/>
      <c r="BQ283" s="6"/>
      <c r="BR283" s="6"/>
      <c r="BS283" s="6"/>
      <c r="BT283" s="6"/>
      <c r="BU283" s="6" t="str">
        <f>IFERROR(__xludf.DUMMYFUNCTION("""COMPUTED_VALUE"""),"SI")</f>
        <v>SI</v>
      </c>
      <c r="BV283" s="6" t="str">
        <f>IFERROR(__xludf.DUMMYFUNCTION("""COMPUTED_VALUE"""),"luciano.r2037")</f>
        <v>luciano.r2037</v>
      </c>
      <c r="BW283" s="6"/>
      <c r="BX283" s="6"/>
      <c r="BY283" s="6"/>
      <c r="BZ283" s="6"/>
    </row>
    <row r="284">
      <c r="A284" s="12">
        <f>IFERROR(__xludf.DUMMYFUNCTION("""COMPUTED_VALUE"""),1.092861826E9)</f>
        <v>1092861826</v>
      </c>
      <c r="B284" s="6">
        <f>IFERROR(__xludf.DUMMYFUNCTION("""COMPUTED_VALUE"""),13.0)</f>
        <v>13</v>
      </c>
      <c r="C284" s="6" t="str">
        <f>IFERROR(__xludf.DUMMYFUNCTION("""COMPUTED_VALUE"""),"Magdalena")</f>
        <v>Magdalena</v>
      </c>
      <c r="D284" s="6"/>
      <c r="E284" s="6" t="str">
        <f>IFERROR(__xludf.DUMMYFUNCTION("""COMPUTED_VALUE"""),"Romero Franco")</f>
        <v>Romero Franco</v>
      </c>
      <c r="F284" s="6" t="str">
        <f>IFERROR(__xludf.DUMMYFUNCTION("""COMPUTED_VALUE"""),"Conjunto Residencial Pontevedra Casa 25 - Km 8 Vía El Caimo El Campestre Via Panamericana")</f>
        <v>Conjunto Residencial Pontevedra Casa 25 - Km 8 Vía El Caimo El Campestre Via Panamericana</v>
      </c>
      <c r="G284" s="12" t="str">
        <f>IFERROR(__xludf.DUMMYFUNCTION("""COMPUTED_VALUE"""),"2018")</f>
        <v>2018</v>
      </c>
      <c r="H284" s="6" t="str">
        <f>IFERROR(__xludf.DUMMYFUNCTION("""COMPUTED_VALUE"""),"Febrero")</f>
        <v>Febrero</v>
      </c>
      <c r="I284" s="12" t="str">
        <f>IFERROR(__xludf.DUMMYFUNCTION("""COMPUTED_VALUE"""),"20")</f>
        <v>20</v>
      </c>
      <c r="J284" s="6" t="str">
        <f>IFERROR(__xludf.DUMMYFUNCTION("""COMPUTED_VALUE"""),"Armenia")</f>
        <v>Armenia</v>
      </c>
      <c r="K284" s="6" t="str">
        <f>IFERROR(__xludf.DUMMYFUNCTION("""COMPUTED_VALUE"""),"magdalena.r2036@gi.edu.co")</f>
        <v>magdalena.r2036@gi.edu.co</v>
      </c>
      <c r="L284" s="6" t="str">
        <f>IFERROR(__xludf.DUMMYFUNCTION("""COMPUTED_VALUE"""),"TI")</f>
        <v>TI</v>
      </c>
      <c r="M284" s="6" t="str">
        <f>IFERROR(__xludf.DUMMYFUNCTION("""COMPUTED_VALUE"""),"Armenia")</f>
        <v>Armenia</v>
      </c>
      <c r="N284" s="6" t="str">
        <f>IFERROR(__xludf.DUMMYFUNCTION("""COMPUTED_VALUE"""),"F")</f>
        <v>F</v>
      </c>
      <c r="O284" s="6" t="str">
        <f>IFERROR(__xludf.DUMMYFUNCTION("""COMPUTED_VALUE"""),"ACTIVE")</f>
        <v>ACTIVE</v>
      </c>
      <c r="P284" s="6"/>
      <c r="Q284" s="6" t="str">
        <f>IFERROR(__xludf.DUMMYFUNCTION("""COMPUTED_VALUE"""),"Armenia")</f>
        <v>Armenia</v>
      </c>
      <c r="R284" s="12" t="str">
        <f>IFERROR(__xludf.DUMMYFUNCTION("""COMPUTED_VALUE"""),"Gi259dfr5*")</f>
        <v>Gi259dfr5*</v>
      </c>
      <c r="S284" s="6" t="str">
        <f>IFERROR(__xludf.DUMMYFUNCTION("""COMPUTED_VALUE"""),"Romero Franco Magdalena ")</f>
        <v>Romero Franco Magdalena </v>
      </c>
      <c r="T284" s="6" t="str">
        <f>IFERROR(__xludf.DUMMYFUNCTION("""COMPUTED_VALUE"""),"MARILYN FRANCO ARIZA")</f>
        <v>MARILYN FRANCO ARIZA</v>
      </c>
      <c r="U284" s="12" t="str">
        <f>IFERROR(__xludf.DUMMYFUNCTION("""COMPUTED_VALUE"""),"52409311")</f>
        <v>52409311</v>
      </c>
      <c r="V284" s="6">
        <f>IFERROR(__xludf.DUMMYFUNCTION("""COMPUTED_VALUE"""),3.005415271E9)</f>
        <v>3005415271</v>
      </c>
      <c r="W284" s="6" t="str">
        <f>IFERROR(__xludf.DUMMYFUNCTION("""COMPUTED_VALUE"""),"famarilyn@gmail.com")</f>
        <v>famarilyn@gmail.com</v>
      </c>
      <c r="X284" s="12" t="str">
        <f>IFERROR(__xludf.DUMMYFUNCTION("""COMPUTED_VALUE"""),"O+")</f>
        <v>O+</v>
      </c>
      <c r="Y284" s="12" t="str">
        <f>IFERROR(__xludf.DUMMYFUNCTION("""COMPUTED_VALUE"""),"2")</f>
        <v>2</v>
      </c>
      <c r="Z284" s="12" t="str">
        <f>IFERROR(__xludf.DUMMYFUNCTION("""COMPUTED_VALUE"""),"120033")</f>
        <v>120033</v>
      </c>
      <c r="AA284" s="6" t="str">
        <f>IFERROR(__xludf.DUMMYFUNCTION("""COMPUTED_VALUE"""),"SURA")</f>
        <v>SURA</v>
      </c>
      <c r="AB284" s="6" t="str">
        <f>IFERROR(__xludf.DUMMYFUNCTION("""COMPUTED_VALUE"""),"EMI")</f>
        <v>EMI</v>
      </c>
      <c r="AC284" s="6" t="str">
        <f>IFERROR(__xludf.DUMMYFUNCTION("""COMPUTED_VALUE"""),"Cerdo")</f>
        <v>Cerdo</v>
      </c>
      <c r="AD284" s="12" t="str">
        <f>IFERROR(__xludf.DUMMYFUNCTION("""COMPUTED_VALUE"""),"2C")</f>
        <v>2C</v>
      </c>
      <c r="AE284" s="12">
        <f>IFERROR(__xludf.DUMMYFUNCTION("""COMPUTED_VALUE"""),1.345282045E9)</f>
        <v>1345282045</v>
      </c>
      <c r="AF284" s="12" t="str">
        <f>IFERROR(__xludf.DUMMYFUNCTION("""COMPUTED_VALUE"""),"0687258835")</f>
        <v>0687258835</v>
      </c>
      <c r="AG284" s="12" t="str">
        <f>IFERROR(__xludf.DUMMYFUNCTION("""COMPUTED_VALUE"""),"Marilyn")</f>
        <v>Marilyn</v>
      </c>
      <c r="AH284" s="6"/>
      <c r="AI284" s="6" t="str">
        <f>IFERROR(__xludf.DUMMYFUNCTION("""COMPUTED_VALUE"""),"Franco Ariza")</f>
        <v>Franco Ariza</v>
      </c>
      <c r="AJ284" s="6" t="str">
        <f>IFERROR(__xludf.DUMMYFUNCTION("""COMPUTED_VALUE"""),"famarilyn@gmail.com")</f>
        <v>famarilyn@gmail.com</v>
      </c>
      <c r="AK284" s="6" t="str">
        <f>IFERROR(__xludf.DUMMYFUNCTION("""COMPUTED_VALUE"""),"Ingeniero de sistemas")</f>
        <v>Ingeniero de sistemas</v>
      </c>
      <c r="AL284" s="6" t="str">
        <f>IFERROR(__xludf.DUMMYFUNCTION("""COMPUTED_VALUE"""),"SPA PALO SANTO")</f>
        <v>SPA PALO SANTO</v>
      </c>
      <c r="AM284" s="12" t="str">
        <f>IFERROR(__xludf.DUMMYFUNCTION("""COMPUTED_VALUE"""),"52409311")</f>
        <v>52409311</v>
      </c>
      <c r="AN284" s="12" t="str">
        <f>IFERROR(__xludf.DUMMYFUNCTION("""COMPUTED_VALUE"""),"3005415271")</f>
        <v>3005415271</v>
      </c>
      <c r="AO284" s="6" t="str">
        <f>IFERROR(__xludf.DUMMYFUNCTION("""COMPUTED_VALUE"""),"Madre")</f>
        <v>Madre</v>
      </c>
      <c r="AP284" s="6" t="str">
        <f>IFERROR(__xludf.DUMMYFUNCTION("""COMPUTED_VALUE"""),"Estudiante(s): Romero Franco")</f>
        <v>Estudiante(s): Romero Franco</v>
      </c>
      <c r="AQ284" s="6" t="str">
        <f>IFERROR(__xludf.DUMMYFUNCTION("""COMPUTED_VALUE"""),"120033*Gi")</f>
        <v>120033*Gi</v>
      </c>
      <c r="AR284" s="6" t="str">
        <f>IFERROR(__xludf.DUMMYFUNCTION("""COMPUTED_VALUE"""),"Elmer")</f>
        <v>Elmer</v>
      </c>
      <c r="AS284" s="6" t="str">
        <f>IFERROR(__xludf.DUMMYFUNCTION("""COMPUTED_VALUE"""),"Javier")</f>
        <v>Javier</v>
      </c>
      <c r="AT284" s="6" t="str">
        <f>IFERROR(__xludf.DUMMYFUNCTION("""COMPUTED_VALUE"""),"Romero Vergara")</f>
        <v>Romero Vergara</v>
      </c>
      <c r="AU284" s="6" t="str">
        <f>IFERROR(__xludf.DUMMYFUNCTION("""COMPUTED_VALUE"""),"ejavierromero@hotmail.com")</f>
        <v>ejavierromero@hotmail.com</v>
      </c>
      <c r="AV284" s="6" t="str">
        <f>IFERROR(__xludf.DUMMYFUNCTION("""COMPUTED_VALUE"""),"Project Manager")</f>
        <v>Project Manager</v>
      </c>
      <c r="AW284" s="6" t="str">
        <f>IFERROR(__xludf.DUMMYFUNCTION("""COMPUTED_VALUE"""),"EPCON")</f>
        <v>EPCON</v>
      </c>
      <c r="AX284" s="12" t="str">
        <f>IFERROR(__xludf.DUMMYFUNCTION("""COMPUTED_VALUE"""),"79735652")</f>
        <v>79735652</v>
      </c>
      <c r="AY284" s="12" t="str">
        <f>IFERROR(__xludf.DUMMYFUNCTION("""COMPUTED_VALUE"""),"3023560531")</f>
        <v>3023560531</v>
      </c>
      <c r="AZ284" s="6" t="str">
        <f>IFERROR(__xludf.DUMMYFUNCTION("""COMPUTED_VALUE"""),"Padre")</f>
        <v>Padre</v>
      </c>
      <c r="BA284" s="6"/>
      <c r="BB284" s="6"/>
      <c r="BC284" s="6"/>
      <c r="BD284" s="12" t="str">
        <f>IFERROR(__xludf.DUMMYFUNCTION("""COMPUTED_VALUE"""),"rom0002")</f>
        <v>rom0002</v>
      </c>
      <c r="BE284" s="6"/>
      <c r="BF284" s="6"/>
      <c r="BG284" s="6">
        <f>IFERROR(__xludf.DUMMYFUNCTION("""COMPUTED_VALUE"""),2037.0)</f>
        <v>2037</v>
      </c>
      <c r="BH284" s="15">
        <f>IFERROR(__xludf.DUMMYFUNCTION("""COMPUTED_VALUE"""),46209.657175925924)</f>
        <v>46209.65718</v>
      </c>
      <c r="BI284" s="6">
        <f>IFERROR(__xludf.DUMMYFUNCTION("""COMPUTED_VALUE"""),283.0)</f>
        <v>283</v>
      </c>
      <c r="BJ284" s="6"/>
      <c r="BK284" s="6"/>
      <c r="BL284" s="6" t="str">
        <f>IFERROR(__xludf.DUMMYFUNCTION("""COMPUTED_VALUE"""),"GISROM0002")</f>
        <v>GISROM0002</v>
      </c>
      <c r="BM284" s="6"/>
      <c r="BN284" s="6"/>
      <c r="BO284" s="6" t="str">
        <f>IFERROR(__xludf.DUMMYFUNCTION("""COMPUTED_VALUE"""),"XC_EL_ArtesPlasticas")</f>
        <v>XC_EL_ArtesPlasticas</v>
      </c>
      <c r="BP284" s="6" t="str">
        <f>IFERROR(__xludf.DUMMYFUNCTION("""COMPUTED_VALUE"""),"XC_EL_Porras")</f>
        <v>XC_EL_Porras</v>
      </c>
      <c r="BQ284" s="6" t="str">
        <f>IFERROR(__xludf.DUMMYFUNCTION("""COMPUTED_VALUE"""),"XC_EL_Porras")</f>
        <v>XC_EL_Porras</v>
      </c>
      <c r="BR284" s="6"/>
      <c r="BS284" s="6" t="str">
        <f>IFERROR(__xludf.DUMMYFUNCTION("""COMPUTED_VALUE"""),"XC_EL_Porras")</f>
        <v>XC_EL_Porras</v>
      </c>
      <c r="BT284" s="6"/>
      <c r="BU284" s="6" t="str">
        <f>IFERROR(__xludf.DUMMYFUNCTION("""COMPUTED_VALUE"""),"SI")</f>
        <v>SI</v>
      </c>
      <c r="BV284" s="6" t="str">
        <f>IFERROR(__xludf.DUMMYFUNCTION("""COMPUTED_VALUE"""),"magdalena.r2036")</f>
        <v>magdalena.r2036</v>
      </c>
      <c r="BW284" s="6"/>
      <c r="BX284" s="6"/>
      <c r="BY284" s="6"/>
      <c r="BZ284" s="6"/>
    </row>
    <row r="285">
      <c r="A285" s="12">
        <f>IFERROR(__xludf.DUMMYFUNCTION("""COMPUTED_VALUE"""),1.092466154E9)</f>
        <v>1092466154</v>
      </c>
      <c r="B285" s="6">
        <f>IFERROR(__xludf.DUMMYFUNCTION("""COMPUTED_VALUE"""),14.0)</f>
        <v>14</v>
      </c>
      <c r="C285" s="6" t="str">
        <f>IFERROR(__xludf.DUMMYFUNCTION("""COMPUTED_VALUE"""),"Vicente")</f>
        <v>Vicente</v>
      </c>
      <c r="D285" s="6"/>
      <c r="E285" s="6" t="str">
        <f>IFERROR(__xludf.DUMMYFUNCTION("""COMPUTED_VALUE"""),"Urrea Acosta")</f>
        <v>Urrea Acosta</v>
      </c>
      <c r="F285" s="6" t="str">
        <f>IFERROR(__xludf.DUMMYFUNCTION("""COMPUTED_VALUE"""),"Condominio Entre Maderos Casa 66 - Vereda El Congal Km 1.2 Via Circasia - Armenia")</f>
        <v>Condominio Entre Maderos Casa 66 - Vereda El Congal Km 1.2 Via Circasia - Armenia</v>
      </c>
      <c r="G285" s="12" t="str">
        <f>IFERROR(__xludf.DUMMYFUNCTION("""COMPUTED_VALUE"""),"2019")</f>
        <v>2019</v>
      </c>
      <c r="H285" s="6" t="str">
        <f>IFERROR(__xludf.DUMMYFUNCTION("""COMPUTED_VALUE"""),"Mayo")</f>
        <v>Mayo</v>
      </c>
      <c r="I285" s="12" t="str">
        <f>IFERROR(__xludf.DUMMYFUNCTION("""COMPUTED_VALUE"""),"17")</f>
        <v>17</v>
      </c>
      <c r="J285" s="6" t="str">
        <f>IFERROR(__xludf.DUMMYFUNCTION("""COMPUTED_VALUE"""),"Armenia")</f>
        <v>Armenia</v>
      </c>
      <c r="K285" s="6" t="str">
        <f>IFERROR(__xludf.DUMMYFUNCTION("""COMPUTED_VALUE"""),"vicente.u2037@gi.edu.co")</f>
        <v>vicente.u2037@gi.edu.co</v>
      </c>
      <c r="L285" s="6" t="str">
        <f>IFERROR(__xludf.DUMMYFUNCTION("""COMPUTED_VALUE"""),"NUIP")</f>
        <v>NUIP</v>
      </c>
      <c r="M285" s="6" t="str">
        <f>IFERROR(__xludf.DUMMYFUNCTION("""COMPUTED_VALUE"""),"Armenia")</f>
        <v>Armenia</v>
      </c>
      <c r="N285" s="6" t="str">
        <f>IFERROR(__xludf.DUMMYFUNCTION("""COMPUTED_VALUE"""),"M")</f>
        <v>M</v>
      </c>
      <c r="O285" s="6" t="str">
        <f>IFERROR(__xludf.DUMMYFUNCTION("""COMPUTED_VALUE"""),"ACTIVE")</f>
        <v>ACTIVE</v>
      </c>
      <c r="P285" s="6"/>
      <c r="Q285" s="6" t="str">
        <f>IFERROR(__xludf.DUMMYFUNCTION("""COMPUTED_VALUE"""),"Armenia")</f>
        <v>Armenia</v>
      </c>
      <c r="R285" s="12" t="str">
        <f>IFERROR(__xludf.DUMMYFUNCTION("""COMPUTED_VALUE"""),"GiEy5WWw*")</f>
        <v>GiEy5WWw*</v>
      </c>
      <c r="S285" s="6" t="str">
        <f>IFERROR(__xludf.DUMMYFUNCTION("""COMPUTED_VALUE"""),"Urrea Acosta Vicente ")</f>
        <v>Urrea Acosta Vicente </v>
      </c>
      <c r="T285" s="6" t="str">
        <f>IFERROR(__xludf.DUMMYFUNCTION("""COMPUTED_VALUE"""),"JUAN GUILLERMO URREA CANO")</f>
        <v>JUAN GUILLERMO URREA CANO</v>
      </c>
      <c r="U285" s="12" t="str">
        <f>IFERROR(__xludf.DUMMYFUNCTION("""COMPUTED_VALUE"""),"9772884")</f>
        <v>9772884</v>
      </c>
      <c r="V285" s="6">
        <f>IFERROR(__xludf.DUMMYFUNCTION("""COMPUTED_VALUE"""),3.158703211E9)</f>
        <v>3158703211</v>
      </c>
      <c r="W285" s="6" t="str">
        <f>IFERROR(__xludf.DUMMYFUNCTION("""COMPUTED_VALUE"""),"juanguillermourreacano@gmail.com")</f>
        <v>juanguillermourreacano@gmail.com</v>
      </c>
      <c r="X285" s="12" t="str">
        <f>IFERROR(__xludf.DUMMYFUNCTION("""COMPUTED_VALUE"""),"AB+")</f>
        <v>AB+</v>
      </c>
      <c r="Y285" s="12" t="str">
        <f>IFERROR(__xludf.DUMMYFUNCTION("""COMPUTED_VALUE"""),"2")</f>
        <v>2</v>
      </c>
      <c r="Z285" s="12">
        <f>IFERROR(__xludf.DUMMYFUNCTION("""COMPUTED_VALUE"""),120192.0)</f>
        <v>120192</v>
      </c>
      <c r="AA285" s="6" t="str">
        <f>IFERROR(__xludf.DUMMYFUNCTION("""COMPUTED_VALUE"""),"SURA")</f>
        <v>SURA</v>
      </c>
      <c r="AB285" s="6"/>
      <c r="AC285" s="12" t="str">
        <f>IFERROR(__xludf.DUMMYFUNCTION("""COMPUTED_VALUE"""),"A cambios bruscos de temperatura - A la leche de vaca y harinas refinadas")</f>
        <v>A cambios bruscos de temperatura - A la leche de vaca y harinas refinadas</v>
      </c>
      <c r="AD285" s="12" t="str">
        <f>IFERROR(__xludf.DUMMYFUNCTION("""COMPUTED_VALUE"""),"2C")</f>
        <v>2C</v>
      </c>
      <c r="AE285" s="12">
        <f>IFERROR(__xludf.DUMMYFUNCTION("""COMPUTED_VALUE"""),1.345282153E9)</f>
        <v>1345282153</v>
      </c>
      <c r="AF285" s="12" t="str">
        <f>IFERROR(__xludf.DUMMYFUNCTION("""COMPUTED_VALUE"""),"1345282153")</f>
        <v>1345282153</v>
      </c>
      <c r="AG285" s="12" t="str">
        <f>IFERROR(__xludf.DUMMYFUNCTION("""COMPUTED_VALUE"""),"María")</f>
        <v>María</v>
      </c>
      <c r="AH285" s="12" t="str">
        <f>IFERROR(__xludf.DUMMYFUNCTION("""COMPUTED_VALUE"""),"Paulina")</f>
        <v>Paulina</v>
      </c>
      <c r="AI285" s="6" t="str">
        <f>IFERROR(__xludf.DUMMYFUNCTION("""COMPUTED_VALUE"""),"Acosta Castaño")</f>
        <v>Acosta Castaño</v>
      </c>
      <c r="AJ285" s="6" t="str">
        <f>IFERROR(__xludf.DUMMYFUNCTION("""COMPUTED_VALUE"""),"mariapaulinaacosta@gmail.com")</f>
        <v>mariapaulinaacosta@gmail.com</v>
      </c>
      <c r="AK285" s="6" t="str">
        <f>IFERROR(__xludf.DUMMYFUNCTION("""COMPUTED_VALUE"""),"ADMINISTRADORA DE EMPRESAS")</f>
        <v>ADMINISTRADORA DE EMPRESAS</v>
      </c>
      <c r="AL285" s="6" t="str">
        <f>IFERROR(__xludf.DUMMYFUNCTION("""COMPUTED_VALUE"""),"INGENIA CONSTRUCCIONES S.A.S.")</f>
        <v>INGENIA CONSTRUCCIONES S.A.S.</v>
      </c>
      <c r="AM285" s="12" t="str">
        <f>IFERROR(__xludf.DUMMYFUNCTION("""COMPUTED_VALUE"""),"1020745288")</f>
        <v>1020745288</v>
      </c>
      <c r="AN285" s="12" t="str">
        <f>IFERROR(__xludf.DUMMYFUNCTION("""COMPUTED_VALUE"""),"3178953766")</f>
        <v>3178953766</v>
      </c>
      <c r="AO285" s="6" t="str">
        <f>IFERROR(__xludf.DUMMYFUNCTION("""COMPUTED_VALUE"""),"Madre")</f>
        <v>Madre</v>
      </c>
      <c r="AP285" s="6" t="str">
        <f>IFERROR(__xludf.DUMMYFUNCTION("""COMPUTED_VALUE"""),"Estudiante(s): Urrea Acosta")</f>
        <v>Estudiante(s): Urrea Acosta</v>
      </c>
      <c r="AQ285" s="6" t="str">
        <f>IFERROR(__xludf.DUMMYFUNCTION("""COMPUTED_VALUE"""),"120127*Gi")</f>
        <v>120127*Gi</v>
      </c>
      <c r="AR285" s="6" t="str">
        <f>IFERROR(__xludf.DUMMYFUNCTION("""COMPUTED_VALUE"""),"Juan")</f>
        <v>Juan</v>
      </c>
      <c r="AS285" s="6" t="str">
        <f>IFERROR(__xludf.DUMMYFUNCTION("""COMPUTED_VALUE"""),"Guillermo")</f>
        <v>Guillermo</v>
      </c>
      <c r="AT285" s="6" t="str">
        <f>IFERROR(__xludf.DUMMYFUNCTION("""COMPUTED_VALUE"""),"Urrea Cano")</f>
        <v>Urrea Cano</v>
      </c>
      <c r="AU285" s="6" t="str">
        <f>IFERROR(__xludf.DUMMYFUNCTION("""COMPUTED_VALUE"""),"juanguillermourreacano@gmail.com")</f>
        <v>juanguillermourreacano@gmail.com</v>
      </c>
      <c r="AV285" s="6" t="str">
        <f>IFERROR(__xludf.DUMMYFUNCTION("""COMPUTED_VALUE"""),"INGENIERO CIVIL")</f>
        <v>INGENIERO CIVIL</v>
      </c>
      <c r="AW285" s="6" t="str">
        <f>IFERROR(__xludf.DUMMYFUNCTION("""COMPUTED_VALUE"""),"Ingenia Construcciones S.A.S.")</f>
        <v>Ingenia Construcciones S.A.S.</v>
      </c>
      <c r="AX285" s="12" t="str">
        <f>IFERROR(__xludf.DUMMYFUNCTION("""COMPUTED_VALUE"""),"9772884")</f>
        <v>9772884</v>
      </c>
      <c r="AY285" s="12" t="str">
        <f>IFERROR(__xludf.DUMMYFUNCTION("""COMPUTED_VALUE"""),"3158703211")</f>
        <v>3158703211</v>
      </c>
      <c r="AZ285" s="6" t="str">
        <f>IFERROR(__xludf.DUMMYFUNCTION("""COMPUTED_VALUE"""),"Padre")</f>
        <v>Padre</v>
      </c>
      <c r="BA285" s="6"/>
      <c r="BB285" s="6"/>
      <c r="BC285" s="6"/>
      <c r="BD285" s="12" t="str">
        <f>IFERROR(__xludf.DUMMYFUNCTION("""COMPUTED_VALUE"""),"urr0002")</f>
        <v>urr0002</v>
      </c>
      <c r="BE285" s="6"/>
      <c r="BF285" s="6"/>
      <c r="BG285" s="6">
        <f>IFERROR(__xludf.DUMMYFUNCTION("""COMPUTED_VALUE"""),2037.0)</f>
        <v>2037</v>
      </c>
      <c r="BH285" s="15">
        <f>IFERROR(__xludf.DUMMYFUNCTION("""COMPUTED_VALUE"""),46212.54429398148)</f>
        <v>46212.54429</v>
      </c>
      <c r="BI285" s="6">
        <f>IFERROR(__xludf.DUMMYFUNCTION("""COMPUTED_VALUE"""),284.0)</f>
        <v>284</v>
      </c>
      <c r="BJ285" s="6"/>
      <c r="BK285" s="6"/>
      <c r="BL285" s="6" t="str">
        <f>IFERROR(__xludf.DUMMYFUNCTION("""COMPUTED_VALUE"""),"GISURR0002")</f>
        <v>GISURR0002</v>
      </c>
      <c r="BM285" s="6"/>
      <c r="BN285" s="6"/>
      <c r="BO285" s="6"/>
      <c r="BP285" s="6" t="str">
        <f>IFERROR(__xludf.DUMMYFUNCTION("""COMPUTED_VALUE"""),"XC_23_Futbol_M")</f>
        <v>XC_23_Futbol_M</v>
      </c>
      <c r="BQ285" s="6"/>
      <c r="BR285" s="6"/>
      <c r="BS285" s="6" t="str">
        <f>IFERROR(__xludf.DUMMYFUNCTION("""COMPUTED_VALUE"""),"XC_23_Futbol_M")</f>
        <v>XC_23_Futbol_M</v>
      </c>
      <c r="BT285" s="6" t="str">
        <f>IFERROR(__xludf.DUMMYFUNCTION("""COMPUTED_VALUE"""),"XC_23_Futbol_M")</f>
        <v>XC_23_Futbol_M</v>
      </c>
      <c r="BU285" s="6" t="str">
        <f>IFERROR(__xludf.DUMMYFUNCTION("""COMPUTED_VALUE"""),"SI")</f>
        <v>SI</v>
      </c>
      <c r="BV285" s="6" t="str">
        <f>IFERROR(__xludf.DUMMYFUNCTION("""COMPUTED_VALUE"""),"vicente.u2037")</f>
        <v>vicente.u2037</v>
      </c>
      <c r="BW285" s="6"/>
      <c r="BX285" s="6"/>
      <c r="BY285" s="6"/>
      <c r="BZ285" s="6"/>
    </row>
    <row r="286">
      <c r="A286" s="12">
        <f>IFERROR(__xludf.DUMMYFUNCTION("""COMPUTED_VALUE"""),1.092862735E9)</f>
        <v>1092862735</v>
      </c>
      <c r="B286" s="6">
        <f>IFERROR(__xludf.DUMMYFUNCTION("""COMPUTED_VALUE"""),15.0)</f>
        <v>15</v>
      </c>
      <c r="C286" s="6" t="str">
        <f>IFERROR(__xludf.DUMMYFUNCTION("""COMPUTED_VALUE"""),"Daniel")</f>
        <v>Daniel</v>
      </c>
      <c r="D286" s="6"/>
      <c r="E286" s="6" t="str">
        <f>IFERROR(__xludf.DUMMYFUNCTION("""COMPUTED_VALUE"""),"Valderrama Barón")</f>
        <v>Valderrama Barón</v>
      </c>
      <c r="F286" s="6" t="str">
        <f>IFERROR(__xludf.DUMMYFUNCTION("""COMPUTED_VALUE"""),"Edificio Palma de Cera - Cra 12 No12Nte - 36 La Castellana")</f>
        <v>Edificio Palma de Cera - Cra 12 No12Nte - 36 La Castellana</v>
      </c>
      <c r="G286" s="12" t="str">
        <f>IFERROR(__xludf.DUMMYFUNCTION("""COMPUTED_VALUE"""),"2019")</f>
        <v>2019</v>
      </c>
      <c r="H286" s="6" t="str">
        <f>IFERROR(__xludf.DUMMYFUNCTION("""COMPUTED_VALUE"""),"Enero")</f>
        <v>Enero</v>
      </c>
      <c r="I286" s="12" t="str">
        <f>IFERROR(__xludf.DUMMYFUNCTION("""COMPUTED_VALUE"""),"29")</f>
        <v>29</v>
      </c>
      <c r="J286" s="6" t="str">
        <f>IFERROR(__xludf.DUMMYFUNCTION("""COMPUTED_VALUE"""),"Armenia")</f>
        <v>Armenia</v>
      </c>
      <c r="K286" s="6" t="str">
        <f>IFERROR(__xludf.DUMMYFUNCTION("""COMPUTED_VALUE"""),"daniel.v2037@gi.edu.co")</f>
        <v>daniel.v2037@gi.edu.co</v>
      </c>
      <c r="L286" s="6" t="str">
        <f>IFERROR(__xludf.DUMMYFUNCTION("""COMPUTED_VALUE"""),"TI")</f>
        <v>TI</v>
      </c>
      <c r="M286" s="6" t="str">
        <f>IFERROR(__xludf.DUMMYFUNCTION("""COMPUTED_VALUE"""),"Armenia")</f>
        <v>Armenia</v>
      </c>
      <c r="N286" s="6" t="str">
        <f>IFERROR(__xludf.DUMMYFUNCTION("""COMPUTED_VALUE"""),"M")</f>
        <v>M</v>
      </c>
      <c r="O286" s="6" t="str">
        <f>IFERROR(__xludf.DUMMYFUNCTION("""COMPUTED_VALUE"""),"ACTIVE")</f>
        <v>ACTIVE</v>
      </c>
      <c r="P286" s="6"/>
      <c r="Q286" s="6" t="str">
        <f>IFERROR(__xludf.DUMMYFUNCTION("""COMPUTED_VALUE"""),"Armenia")</f>
        <v>Armenia</v>
      </c>
      <c r="R286" s="12" t="str">
        <f>IFERROR(__xludf.DUMMYFUNCTION("""COMPUTED_VALUE"""),"Gi36sj2*")</f>
        <v>Gi36sj2*</v>
      </c>
      <c r="S286" s="6" t="str">
        <f>IFERROR(__xludf.DUMMYFUNCTION("""COMPUTED_VALUE"""),"Valderrama Barón Daniel ")</f>
        <v>Valderrama Barón Daniel </v>
      </c>
      <c r="T286" s="6" t="str">
        <f>IFERROR(__xludf.DUMMYFUNCTION("""COMPUTED_VALUE"""),"JOHAN FERNANDO VALDERRAMA HENAO")</f>
        <v>JOHAN FERNANDO VALDERRAMA HENAO</v>
      </c>
      <c r="U286" s="12" t="str">
        <f>IFERROR(__xludf.DUMMYFUNCTION("""COMPUTED_VALUE"""),"16917868")</f>
        <v>16917868</v>
      </c>
      <c r="V286" s="6">
        <f>IFERROR(__xludf.DUMMYFUNCTION("""COMPUTED_VALUE"""),3.182917135E9)</f>
        <v>3182917135</v>
      </c>
      <c r="W286" s="6" t="str">
        <f>IFERROR(__xludf.DUMMYFUNCTION("""COMPUTED_VALUE"""),"johantomas@hotmail.com
")</f>
        <v>johantomas@hotmail.com
</v>
      </c>
      <c r="X286" s="12" t="str">
        <f>IFERROR(__xludf.DUMMYFUNCTION("""COMPUTED_VALUE"""),"A+")</f>
        <v>A+</v>
      </c>
      <c r="Y286" s="12" t="str">
        <f>IFERROR(__xludf.DUMMYFUNCTION("""COMPUTED_VALUE"""),"2")</f>
        <v>2</v>
      </c>
      <c r="Z286" s="12" t="str">
        <f>IFERROR(__xludf.DUMMYFUNCTION("""COMPUTED_VALUE"""),"120396")</f>
        <v>120396</v>
      </c>
      <c r="AA286" s="6" t="str">
        <f>IFERROR(__xludf.DUMMYFUNCTION("""COMPUTED_VALUE"""),"SURA")</f>
        <v>SURA</v>
      </c>
      <c r="AB286" s="6" t="str">
        <f>IFERROR(__xludf.DUMMYFUNCTION("""COMPUTED_VALUE"""),"COLSANITAS")</f>
        <v>COLSANITAS</v>
      </c>
      <c r="AC286" s="6"/>
      <c r="AD286" s="12" t="str">
        <f>IFERROR(__xludf.DUMMYFUNCTION("""COMPUTED_VALUE"""),"2C")</f>
        <v>2C</v>
      </c>
      <c r="AE286" s="12" t="str">
        <f>IFERROR(__xludf.DUMMYFUNCTION("""COMPUTED_VALUE"""),"1345282398")</f>
        <v>1345282398</v>
      </c>
      <c r="AF286" s="12" t="str">
        <f>IFERROR(__xludf.DUMMYFUNCTION("""COMPUTED_VALUE"""),"1345282398")</f>
        <v>1345282398</v>
      </c>
      <c r="AG286" s="12" t="str">
        <f>IFERROR(__xludf.DUMMYFUNCTION("""COMPUTED_VALUE"""),"Diana")</f>
        <v>Diana</v>
      </c>
      <c r="AH286" s="12" t="str">
        <f>IFERROR(__xludf.DUMMYFUNCTION("""COMPUTED_VALUE"""),"Katerin")</f>
        <v>Katerin</v>
      </c>
      <c r="AI286" s="6" t="str">
        <f>IFERROR(__xludf.DUMMYFUNCTION("""COMPUTED_VALUE"""),"Barón Sánchez")</f>
        <v>Barón Sánchez</v>
      </c>
      <c r="AJ286" s="6" t="str">
        <f>IFERROR(__xludf.DUMMYFUNCTION("""COMPUTED_VALUE"""),"dianabarons@gmail.com")</f>
        <v>dianabarons@gmail.com</v>
      </c>
      <c r="AK286" s="6" t="str">
        <f>IFERROR(__xludf.DUMMYFUNCTION("""COMPUTED_VALUE"""),"ODONTOLOGA")</f>
        <v>ODONTOLOGA</v>
      </c>
      <c r="AL286" s="6" t="str">
        <f>IFERROR(__xludf.DUMMYFUNCTION("""COMPUTED_VALUE"""),"CONSULTORIO PRIVADO")</f>
        <v>CONSULTORIO PRIVADO</v>
      </c>
      <c r="AM286" s="12" t="str">
        <f>IFERROR(__xludf.DUMMYFUNCTION("""COMPUTED_VALUE"""),"1022348715")</f>
        <v>1022348715</v>
      </c>
      <c r="AN286" s="12" t="str">
        <f>IFERROR(__xludf.DUMMYFUNCTION("""COMPUTED_VALUE"""),"3168295116")</f>
        <v>3168295116</v>
      </c>
      <c r="AO286" s="6" t="str">
        <f>IFERROR(__xludf.DUMMYFUNCTION("""COMPUTED_VALUE"""),"Madre")</f>
        <v>Madre</v>
      </c>
      <c r="AP286" s="6" t="str">
        <f>IFERROR(__xludf.DUMMYFUNCTION("""COMPUTED_VALUE"""),"Estudiante(s): Valderrama Baron")</f>
        <v>Estudiante(s): Valderrama Baron</v>
      </c>
      <c r="AQ286" s="6" t="str">
        <f>IFERROR(__xludf.DUMMYFUNCTION("""COMPUTED_VALUE"""),"120396*Gi")</f>
        <v>120396*Gi</v>
      </c>
      <c r="AR286" s="6" t="str">
        <f>IFERROR(__xludf.DUMMYFUNCTION("""COMPUTED_VALUE"""),"Johan")</f>
        <v>Johan</v>
      </c>
      <c r="AS286" s="6" t="str">
        <f>IFERROR(__xludf.DUMMYFUNCTION("""COMPUTED_VALUE"""),"Fernando")</f>
        <v>Fernando</v>
      </c>
      <c r="AT286" s="6" t="str">
        <f>IFERROR(__xludf.DUMMYFUNCTION("""COMPUTED_VALUE"""),"Valderrama HENAO")</f>
        <v>Valderrama HENAO</v>
      </c>
      <c r="AU286" s="6" t="str">
        <f>IFERROR(__xludf.DUMMYFUNCTION("""COMPUTED_VALUE"""),"johantomas@hotmail.com")</f>
        <v>johantomas@hotmail.com</v>
      </c>
      <c r="AV286" s="6" t="str">
        <f>IFERROR(__xludf.DUMMYFUNCTION("""COMPUTED_VALUE"""),"MEDICO")</f>
        <v>MEDICO</v>
      </c>
      <c r="AW286" s="6" t="str">
        <f>IFERROR(__xludf.DUMMYFUNCTION("""COMPUTED_VALUE"""),"INDEPENDIENTE")</f>
        <v>INDEPENDIENTE</v>
      </c>
      <c r="AX286" s="12" t="str">
        <f>IFERROR(__xludf.DUMMYFUNCTION("""COMPUTED_VALUE"""),"16917868")</f>
        <v>16917868</v>
      </c>
      <c r="AY286" s="12">
        <f>IFERROR(__xludf.DUMMYFUNCTION("""COMPUTED_VALUE"""),3.182917135E9)</f>
        <v>3182917135</v>
      </c>
      <c r="AZ286" s="6" t="str">
        <f>IFERROR(__xludf.DUMMYFUNCTION("""COMPUTED_VALUE"""),"Padre")</f>
        <v>Padre</v>
      </c>
      <c r="BA286" s="6"/>
      <c r="BB286" s="6"/>
      <c r="BC286" s="6"/>
      <c r="BD286" s="12" t="str">
        <f>IFERROR(__xludf.DUMMYFUNCTION("""COMPUTED_VALUE"""),"val0014")</f>
        <v>val0014</v>
      </c>
      <c r="BE286" s="6"/>
      <c r="BF286" s="6"/>
      <c r="BG286" s="6">
        <f>IFERROR(__xludf.DUMMYFUNCTION("""COMPUTED_VALUE"""),2037.0)</f>
        <v>2037</v>
      </c>
      <c r="BH286" s="15">
        <f>IFERROR(__xludf.DUMMYFUNCTION("""COMPUTED_VALUE"""),46210.769224537034)</f>
        <v>46210.76922</v>
      </c>
      <c r="BI286" s="6">
        <f>IFERROR(__xludf.DUMMYFUNCTION("""COMPUTED_VALUE"""),285.0)</f>
        <v>285</v>
      </c>
      <c r="BJ286" s="6"/>
      <c r="BK286" s="6"/>
      <c r="BL286" s="6" t="str">
        <f>IFERROR(__xludf.DUMMYFUNCTION("""COMPUTED_VALUE"""),"GISVAL0014")</f>
        <v>GISVAL0014</v>
      </c>
      <c r="BM286" s="6"/>
      <c r="BN286" s="6"/>
      <c r="BO286" s="6"/>
      <c r="BP286" s="6"/>
      <c r="BQ286" s="6"/>
      <c r="BR286" s="6"/>
      <c r="BS286" s="6"/>
      <c r="BT286" s="6"/>
      <c r="BU286" s="6" t="str">
        <f>IFERROR(__xludf.DUMMYFUNCTION("""COMPUTED_VALUE"""),"SI")</f>
        <v>SI</v>
      </c>
      <c r="BV286" s="6" t="str">
        <f>IFERROR(__xludf.DUMMYFUNCTION("""COMPUTED_VALUE"""),"daniel.v2037")</f>
        <v>daniel.v2037</v>
      </c>
      <c r="BW286" s="6"/>
      <c r="BX286" s="6"/>
      <c r="BY286" s="6"/>
      <c r="BZ286" s="6"/>
    </row>
    <row r="287">
      <c r="A287" s="12">
        <f>IFERROR(__xludf.DUMMYFUNCTION("""COMPUTED_VALUE"""),1.092863229E9)</f>
        <v>1092863229</v>
      </c>
      <c r="B287" s="6">
        <f>IFERROR(__xludf.DUMMYFUNCTION("""COMPUTED_VALUE"""),16.0)</f>
        <v>16</v>
      </c>
      <c r="C287" s="6" t="str">
        <f>IFERROR(__xludf.DUMMYFUNCTION("""COMPUTED_VALUE"""),"Susana")</f>
        <v>Susana</v>
      </c>
      <c r="D287" s="6"/>
      <c r="E287" s="6" t="str">
        <f>IFERROR(__xludf.DUMMYFUNCTION("""COMPUTED_VALUE"""),"Valencia Valencia")</f>
        <v>Valencia Valencia</v>
      </c>
      <c r="F287" s="6" t="str">
        <f>IFERROR(__xludf.DUMMYFUNCTION("""COMPUTED_VALUE"""),"Cra 11 No12Nte - 60 Apto 201 - La Castellana")</f>
        <v>Cra 11 No12Nte - 60 Apto 201 - La Castellana</v>
      </c>
      <c r="G287" s="12" t="str">
        <f>IFERROR(__xludf.DUMMYFUNCTION("""COMPUTED_VALUE"""),"2019")</f>
        <v>2019</v>
      </c>
      <c r="H287" s="6" t="str">
        <f>IFERROR(__xludf.DUMMYFUNCTION("""COMPUTED_VALUE"""),"Julio")</f>
        <v>Julio</v>
      </c>
      <c r="I287" s="12" t="str">
        <f>IFERROR(__xludf.DUMMYFUNCTION("""COMPUTED_VALUE"""),"27")</f>
        <v>27</v>
      </c>
      <c r="J287" s="6" t="str">
        <f>IFERROR(__xludf.DUMMYFUNCTION("""COMPUTED_VALUE"""),"Cali")</f>
        <v>Cali</v>
      </c>
      <c r="K287" s="6" t="str">
        <f>IFERROR(__xludf.DUMMYFUNCTION("""COMPUTED_VALUE"""),"susana.v2037@gi.edu.co")</f>
        <v>susana.v2037@gi.edu.co</v>
      </c>
      <c r="L287" s="6" t="str">
        <f>IFERROR(__xludf.DUMMYFUNCTION("""COMPUTED_VALUE"""),"RC")</f>
        <v>RC</v>
      </c>
      <c r="M287" s="6" t="str">
        <f>IFERROR(__xludf.DUMMYFUNCTION("""COMPUTED_VALUE"""),"Armenia")</f>
        <v>Armenia</v>
      </c>
      <c r="N287" s="6" t="str">
        <f>IFERROR(__xludf.DUMMYFUNCTION("""COMPUTED_VALUE"""),"F")</f>
        <v>F</v>
      </c>
      <c r="O287" s="6" t="str">
        <f>IFERROR(__xludf.DUMMYFUNCTION("""COMPUTED_VALUE"""),"ACTIVE")</f>
        <v>ACTIVE</v>
      </c>
      <c r="P287" s="6"/>
      <c r="Q287" s="6" t="str">
        <f>IFERROR(__xludf.DUMMYFUNCTION("""COMPUTED_VALUE"""),"Armenia")</f>
        <v>Armenia</v>
      </c>
      <c r="R287" s="12" t="str">
        <f>IFERROR(__xludf.DUMMYFUNCTION("""COMPUTED_VALUE"""),"GiD6DYd3*")</f>
        <v>GiD6DYd3*</v>
      </c>
      <c r="S287" s="6" t="str">
        <f>IFERROR(__xludf.DUMMYFUNCTION("""COMPUTED_VALUE"""),"Valencia Valencia Susana ")</f>
        <v>Valencia Valencia Susana </v>
      </c>
      <c r="T287" s="6" t="str">
        <f>IFERROR(__xludf.DUMMYFUNCTION("""COMPUTED_VALUE"""),"HUGO ALEJANDRO VALENCIA MOLINA")</f>
        <v>HUGO ALEJANDRO VALENCIA MOLINA</v>
      </c>
      <c r="U287" s="12" t="str">
        <f>IFERROR(__xludf.DUMMYFUNCTION("""COMPUTED_VALUE"""),"9770318")</f>
        <v>9770318</v>
      </c>
      <c r="V287" s="6">
        <f>IFERROR(__xludf.DUMMYFUNCTION("""COMPUTED_VALUE"""),3.167593986E9)</f>
        <v>3167593986</v>
      </c>
      <c r="W287" s="6" t="str">
        <f>IFERROR(__xludf.DUMMYFUNCTION("""COMPUTED_VALUE"""),"hugoav2@gmail.com")</f>
        <v>hugoav2@gmail.com</v>
      </c>
      <c r="X287" s="12" t="str">
        <f>IFERROR(__xludf.DUMMYFUNCTION("""COMPUTED_VALUE"""),"O+")</f>
        <v>O+</v>
      </c>
      <c r="Y287" s="12" t="str">
        <f>IFERROR(__xludf.DUMMYFUNCTION("""COMPUTED_VALUE"""),"2")</f>
        <v>2</v>
      </c>
      <c r="Z287" s="12">
        <f>IFERROR(__xludf.DUMMYFUNCTION("""COMPUTED_VALUE"""),120130.0)</f>
        <v>120130</v>
      </c>
      <c r="AA287" s="6" t="str">
        <f>IFERROR(__xludf.DUMMYFUNCTION("""COMPUTED_VALUE"""),"SANITAS")</f>
        <v>SANITAS</v>
      </c>
      <c r="AB287" s="6"/>
      <c r="AC287" s="12" t="str">
        <f>IFERROR(__xludf.DUMMYFUNCTION("""COMPUTED_VALUE"""),"Picaduras")</f>
        <v>Picaduras</v>
      </c>
      <c r="AD287" s="12" t="str">
        <f>IFERROR(__xludf.DUMMYFUNCTION("""COMPUTED_VALUE"""),"2C")</f>
        <v>2C</v>
      </c>
      <c r="AE287" s="12">
        <f>IFERROR(__xludf.DUMMYFUNCTION("""COMPUTED_VALUE"""),1.34528213E9)</f>
        <v>1345282130</v>
      </c>
      <c r="AF287" s="12" t="str">
        <f>IFERROR(__xludf.DUMMYFUNCTION("""COMPUTED_VALUE"""),"1345282130")</f>
        <v>1345282130</v>
      </c>
      <c r="AG287" s="12" t="str">
        <f>IFERROR(__xludf.DUMMYFUNCTION("""COMPUTED_VALUE"""),"Leidy")</f>
        <v>Leidy</v>
      </c>
      <c r="AH287" s="12" t="str">
        <f>IFERROR(__xludf.DUMMYFUNCTION("""COMPUTED_VALUE"""),"Cecilia")</f>
        <v>Cecilia</v>
      </c>
      <c r="AI287" s="6" t="str">
        <f>IFERROR(__xludf.DUMMYFUNCTION("""COMPUTED_VALUE"""),"Valencia Camargo")</f>
        <v>Valencia Camargo</v>
      </c>
      <c r="AJ287" s="6" t="str">
        <f>IFERROR(__xludf.DUMMYFUNCTION("""COMPUTED_VALUE"""),"leidyabogada61@gmail.com")</f>
        <v>leidyabogada61@gmail.com</v>
      </c>
      <c r="AK287" s="6" t="str">
        <f>IFERROR(__xludf.DUMMYFUNCTION("""COMPUTED_VALUE"""),"Abogada")</f>
        <v>Abogada</v>
      </c>
      <c r="AL287" s="6" t="str">
        <f>IFERROR(__xludf.DUMMYFUNCTION("""COMPUTED_VALUE"""),"Gestión jurídica Efectiva SAS")</f>
        <v>Gestión jurídica Efectiva SAS</v>
      </c>
      <c r="AM287" s="12" t="str">
        <f>IFERROR(__xludf.DUMMYFUNCTION("""COMPUTED_VALUE"""),"41962432")</f>
        <v>41962432</v>
      </c>
      <c r="AN287" s="12" t="str">
        <f>IFERROR(__xludf.DUMMYFUNCTION("""COMPUTED_VALUE"""),"3185714425")</f>
        <v>3185714425</v>
      </c>
      <c r="AO287" s="6" t="str">
        <f>IFERROR(__xludf.DUMMYFUNCTION("""COMPUTED_VALUE"""),"Madre")</f>
        <v>Madre</v>
      </c>
      <c r="AP287" s="6" t="str">
        <f>IFERROR(__xludf.DUMMYFUNCTION("""COMPUTED_VALUE"""),"Estudiante(s): Valencia Valencia")</f>
        <v>Estudiante(s): Valencia Valencia</v>
      </c>
      <c r="AQ287" s="6" t="str">
        <f>IFERROR(__xludf.DUMMYFUNCTION("""COMPUTED_VALUE"""),"120130*Gi")</f>
        <v>120130*Gi</v>
      </c>
      <c r="AR287" s="6" t="str">
        <f>IFERROR(__xludf.DUMMYFUNCTION("""COMPUTED_VALUE"""),"Hugo")</f>
        <v>Hugo</v>
      </c>
      <c r="AS287" s="6" t="str">
        <f>IFERROR(__xludf.DUMMYFUNCTION("""COMPUTED_VALUE"""),"Alejandro")</f>
        <v>Alejandro</v>
      </c>
      <c r="AT287" s="6" t="str">
        <f>IFERROR(__xludf.DUMMYFUNCTION("""COMPUTED_VALUE"""),"Valencia Molina")</f>
        <v>Valencia Molina</v>
      </c>
      <c r="AU287" s="6" t="str">
        <f>IFERROR(__xludf.DUMMYFUNCTION("""COMPUTED_VALUE"""),"hugoav2@gmail.com")</f>
        <v>hugoav2@gmail.com</v>
      </c>
      <c r="AV287" s="6" t="str">
        <f>IFERROR(__xludf.DUMMYFUNCTION("""COMPUTED_VALUE"""),"Ingeniero Civil")</f>
        <v>Ingeniero Civil</v>
      </c>
      <c r="AW287" s="6"/>
      <c r="AX287" s="12" t="str">
        <f>IFERROR(__xludf.DUMMYFUNCTION("""COMPUTED_VALUE"""),"9770318")</f>
        <v>9770318</v>
      </c>
      <c r="AY287" s="12" t="str">
        <f>IFERROR(__xludf.DUMMYFUNCTION("""COMPUTED_VALUE"""),"3167593986")</f>
        <v>3167593986</v>
      </c>
      <c r="AZ287" s="6" t="str">
        <f>IFERROR(__xludf.DUMMYFUNCTION("""COMPUTED_VALUE"""),"Padre")</f>
        <v>Padre</v>
      </c>
      <c r="BA287" s="6"/>
      <c r="BB287" s="6"/>
      <c r="BC287" s="6"/>
      <c r="BD287" s="12" t="str">
        <f>IFERROR(__xludf.DUMMYFUNCTION("""COMPUTED_VALUE"""),"val0010")</f>
        <v>val0010</v>
      </c>
      <c r="BE287" s="6"/>
      <c r="BF287" s="6"/>
      <c r="BG287" s="6">
        <f>IFERROR(__xludf.DUMMYFUNCTION("""COMPUTED_VALUE"""),2037.0)</f>
        <v>2037</v>
      </c>
      <c r="BH287" s="15">
        <f>IFERROR(__xludf.DUMMYFUNCTION("""COMPUTED_VALUE"""),46205.69094907407)</f>
        <v>46205.69095</v>
      </c>
      <c r="BI287" s="6">
        <f>IFERROR(__xludf.DUMMYFUNCTION("""COMPUTED_VALUE"""),286.0)</f>
        <v>286</v>
      </c>
      <c r="BJ287" s="6"/>
      <c r="BK287" s="6"/>
      <c r="BL287" s="6" t="str">
        <f>IFERROR(__xludf.DUMMYFUNCTION("""COMPUTED_VALUE"""),"GISVAL0010")</f>
        <v>GISVAL0010</v>
      </c>
      <c r="BM287" s="6"/>
      <c r="BN287" s="6"/>
      <c r="BO287" s="6" t="str">
        <f>IFERROR(__xludf.DUMMYFUNCTION("""COMPUTED_VALUE"""),"XC_EL_ArtesPlasticas")</f>
        <v>XC_EL_ArtesPlasticas</v>
      </c>
      <c r="BP287" s="6" t="str">
        <f>IFERROR(__xludf.DUMMYFUNCTION("""COMPUTED_VALUE"""),"XC_23_Voleibol")</f>
        <v>XC_23_Voleibol</v>
      </c>
      <c r="BQ287" s="6"/>
      <c r="BR287" s="6" t="str">
        <f>IFERROR(__xludf.DUMMYFUNCTION("""COMPUTED_VALUE"""),"XC_EL_DesaInstrumental")</f>
        <v>XC_EL_DesaInstrumental</v>
      </c>
      <c r="BS287" s="6" t="str">
        <f>IFERROR(__xludf.DUMMYFUNCTION("""COMPUTED_VALUE"""),"XC_23_Voleibol")</f>
        <v>XC_23_Voleibol</v>
      </c>
      <c r="BT287" s="6" t="str">
        <f>IFERROR(__xludf.DUMMYFUNCTION("""COMPUTED_VALUE"""),"XC_23_Voleibol")</f>
        <v>XC_23_Voleibol</v>
      </c>
      <c r="BU287" s="6" t="str">
        <f>IFERROR(__xludf.DUMMYFUNCTION("""COMPUTED_VALUE"""),"SI")</f>
        <v>SI</v>
      </c>
      <c r="BV287" s="6" t="str">
        <f>IFERROR(__xludf.DUMMYFUNCTION("""COMPUTED_VALUE"""),"susana.v2037")</f>
        <v>susana.v2037</v>
      </c>
      <c r="BW287" s="6"/>
      <c r="BX287" s="6"/>
      <c r="BY287" s="6"/>
      <c r="BZ287" s="6"/>
    </row>
    <row r="288">
      <c r="A288" s="12">
        <f>IFERROR(__xludf.DUMMYFUNCTION("""COMPUTED_VALUE"""),1.092466298E9)</f>
        <v>1092466298</v>
      </c>
      <c r="B288" s="6">
        <f>IFERROR(__xludf.DUMMYFUNCTION("""COMPUTED_VALUE"""),17.0)</f>
        <v>17</v>
      </c>
      <c r="C288" s="6" t="str">
        <f>IFERROR(__xludf.DUMMYFUNCTION("""COMPUTED_VALUE"""),"Benjamín")</f>
        <v>Benjamín</v>
      </c>
      <c r="D288" s="6"/>
      <c r="E288" s="6" t="str">
        <f>IFERROR(__xludf.DUMMYFUNCTION("""COMPUTED_VALUE"""),"Velásquez Mejía")</f>
        <v>Velásquez Mejía</v>
      </c>
      <c r="F288" s="6" t="str">
        <f>IFERROR(__xludf.DUMMYFUNCTION("""COMPUTED_VALUE"""),"Apartamentos Terra Torre 3 Apto 1403 - Cra 10 No11Nte - 05 La Castellana")</f>
        <v>Apartamentos Terra Torre 3 Apto 1403 - Cra 10 No11Nte - 05 La Castellana</v>
      </c>
      <c r="G288" s="12" t="str">
        <f>IFERROR(__xludf.DUMMYFUNCTION("""COMPUTED_VALUE"""),"2019")</f>
        <v>2019</v>
      </c>
      <c r="H288" s="6" t="str">
        <f>IFERROR(__xludf.DUMMYFUNCTION("""COMPUTED_VALUE"""),"Agosto")</f>
        <v>Agosto</v>
      </c>
      <c r="I288" s="12" t="str">
        <f>IFERROR(__xludf.DUMMYFUNCTION("""COMPUTED_VALUE"""),"12")</f>
        <v>12</v>
      </c>
      <c r="J288" s="6" t="str">
        <f>IFERROR(__xludf.DUMMYFUNCTION("""COMPUTED_VALUE"""),"Armenia")</f>
        <v>Armenia</v>
      </c>
      <c r="K288" s="6" t="str">
        <f>IFERROR(__xludf.DUMMYFUNCTION("""COMPUTED_VALUE"""),"benjamin.v2037@gi.edu.co")</f>
        <v>benjamin.v2037@gi.edu.co</v>
      </c>
      <c r="L288" s="6" t="str">
        <f>IFERROR(__xludf.DUMMYFUNCTION("""COMPUTED_VALUE"""),"RC")</f>
        <v>RC</v>
      </c>
      <c r="M288" s="6" t="str">
        <f>IFERROR(__xludf.DUMMYFUNCTION("""COMPUTED_VALUE"""),"Armenia")</f>
        <v>Armenia</v>
      </c>
      <c r="N288" s="6" t="str">
        <f>IFERROR(__xludf.DUMMYFUNCTION("""COMPUTED_VALUE"""),"M")</f>
        <v>M</v>
      </c>
      <c r="O288" s="6" t="str">
        <f>IFERROR(__xludf.DUMMYFUNCTION("""COMPUTED_VALUE"""),"INACTIVE")</f>
        <v>INACTIVE</v>
      </c>
      <c r="P288" s="6"/>
      <c r="Q288" s="6" t="str">
        <f>IFERROR(__xludf.DUMMYFUNCTION("""COMPUTED_VALUE"""),"Armenia")</f>
        <v>Armenia</v>
      </c>
      <c r="R288" s="12" t="str">
        <f>IFERROR(__xludf.DUMMYFUNCTION("""COMPUTED_VALUE"""),"GiC9yKq4*")</f>
        <v>GiC9yKq4*</v>
      </c>
      <c r="S288" s="6" t="str">
        <f>IFERROR(__xludf.DUMMYFUNCTION("""COMPUTED_VALUE"""),"Velásquez Mejía Benjamín ")</f>
        <v>Velásquez Mejía Benjamín </v>
      </c>
      <c r="T288" s="6" t="str">
        <f>IFERROR(__xludf.DUMMYFUNCTION("""COMPUTED_VALUE"""),"NICOLÁS VELÁSQUEZ MEJÍA")</f>
        <v>NICOLÁS VELÁSQUEZ MEJÍA</v>
      </c>
      <c r="U288" s="12" t="str">
        <f>IFERROR(__xludf.DUMMYFUNCTION("""COMPUTED_VALUE"""),"9772980")</f>
        <v>9772980</v>
      </c>
      <c r="V288" s="6">
        <f>IFERROR(__xludf.DUMMYFUNCTION("""COMPUTED_VALUE"""),3.18238025E9)</f>
        <v>3182380250</v>
      </c>
      <c r="W288" s="6" t="str">
        <f>IFERROR(__xludf.DUMMYFUNCTION("""COMPUTED_VALUE"""),"mvelasqueznicolas@yahoo.com")</f>
        <v>mvelasqueznicolas@yahoo.com</v>
      </c>
      <c r="X288" s="12" t="str">
        <f>IFERROR(__xludf.DUMMYFUNCTION("""COMPUTED_VALUE"""),"O-")</f>
        <v>O-</v>
      </c>
      <c r="Y288" s="12" t="str">
        <f>IFERROR(__xludf.DUMMYFUNCTION("""COMPUTED_VALUE"""),"2")</f>
        <v>2</v>
      </c>
      <c r="Z288" s="12">
        <f>IFERROR(__xludf.DUMMYFUNCTION("""COMPUTED_VALUE"""),120131.0)</f>
        <v>120131</v>
      </c>
      <c r="AA288" s="6" t="str">
        <f>IFERROR(__xludf.DUMMYFUNCTION("""COMPUTED_VALUE"""),"SURA")</f>
        <v>SURA</v>
      </c>
      <c r="AB288" s="6"/>
      <c r="AC288" s="6"/>
      <c r="AD288" s="12" t="str">
        <f>IFERROR(__xludf.DUMMYFUNCTION("""COMPUTED_VALUE"""),"2C")</f>
        <v>2C</v>
      </c>
      <c r="AE288" s="12">
        <f>IFERROR(__xludf.DUMMYFUNCTION("""COMPUTED_VALUE"""),1.345282094E9)</f>
        <v>1345282094</v>
      </c>
      <c r="AF288" s="12" t="str">
        <f>IFERROR(__xludf.DUMMYFUNCTION("""COMPUTED_VALUE"""),"2801136295")</f>
        <v>2801136295</v>
      </c>
      <c r="AG288" s="12" t="str">
        <f>IFERROR(__xludf.DUMMYFUNCTION("""COMPUTED_VALUE"""),"Marcela")</f>
        <v>Marcela</v>
      </c>
      <c r="AH288" s="6"/>
      <c r="AI288" s="6" t="str">
        <f>IFERROR(__xludf.DUMMYFUNCTION("""COMPUTED_VALUE"""),"Mejía Gutiérrez")</f>
        <v>Mejía Gutiérrez</v>
      </c>
      <c r="AJ288" s="6" t="str">
        <f>IFERROR(__xludf.DUMMYFUNCTION("""COMPUTED_VALUE"""),"marchmejia@gmail.com")</f>
        <v>marchmejia@gmail.com</v>
      </c>
      <c r="AK288" s="6" t="str">
        <f>IFERROR(__xludf.DUMMYFUNCTION("""COMPUTED_VALUE"""),"Publicidad y Mercadeo")</f>
        <v>Publicidad y Mercadeo</v>
      </c>
      <c r="AL288" s="6"/>
      <c r="AM288" s="12" t="str">
        <f>IFERROR(__xludf.DUMMYFUNCTION("""COMPUTED_VALUE"""),"41963193")</f>
        <v>41963193</v>
      </c>
      <c r="AN288" s="12" t="str">
        <f>IFERROR(__xludf.DUMMYFUNCTION("""COMPUTED_VALUE"""),"3173725353")</f>
        <v>3173725353</v>
      </c>
      <c r="AO288" s="6" t="str">
        <f>IFERROR(__xludf.DUMMYFUNCTION("""COMPUTED_VALUE"""),"Madre")</f>
        <v>Madre</v>
      </c>
      <c r="AP288" s="6" t="str">
        <f>IFERROR(__xludf.DUMMYFUNCTION("""COMPUTED_VALUE"""),"Estudiante(s): Velásquez Mejía")</f>
        <v>Estudiante(s): Velásquez Mejía</v>
      </c>
      <c r="AQ288" s="6" t="str">
        <f>IFERROR(__xludf.DUMMYFUNCTION("""COMPUTED_VALUE"""),"103781*Gi")</f>
        <v>103781*Gi</v>
      </c>
      <c r="AR288" s="6" t="str">
        <f>IFERROR(__xludf.DUMMYFUNCTION("""COMPUTED_VALUE"""),"Nicolás")</f>
        <v>Nicolás</v>
      </c>
      <c r="AS288" s="6"/>
      <c r="AT288" s="6" t="str">
        <f>IFERROR(__xludf.DUMMYFUNCTION("""COMPUTED_VALUE"""),"Velásquez Mejía")</f>
        <v>Velásquez Mejía</v>
      </c>
      <c r="AU288" s="6" t="str">
        <f>IFERROR(__xludf.DUMMYFUNCTION("""COMPUTED_VALUE"""),"mvelasqueznicolas@yahoo.com")</f>
        <v>mvelasqueznicolas@yahoo.com</v>
      </c>
      <c r="AV288" s="6" t="str">
        <f>IFERROR(__xludf.DUMMYFUNCTION("""COMPUTED_VALUE"""),"Ingeniero Agrónomo")</f>
        <v>Ingeniero Agrónomo</v>
      </c>
      <c r="AW288" s="6" t="str">
        <f>IFERROR(__xludf.DUMMYFUNCTION("""COMPUTED_VALUE"""),"Finca")</f>
        <v>Finca</v>
      </c>
      <c r="AX288" s="12" t="str">
        <f>IFERROR(__xludf.DUMMYFUNCTION("""COMPUTED_VALUE"""),"9772980")</f>
        <v>9772980</v>
      </c>
      <c r="AY288" s="12" t="str">
        <f>IFERROR(__xludf.DUMMYFUNCTION("""COMPUTED_VALUE"""),"3182380250")</f>
        <v>3182380250</v>
      </c>
      <c r="AZ288" s="6" t="str">
        <f>IFERROR(__xludf.DUMMYFUNCTION("""COMPUTED_VALUE"""),"Padre")</f>
        <v>Padre</v>
      </c>
      <c r="BA288" s="6"/>
      <c r="BB288" s="6"/>
      <c r="BC288" s="6"/>
      <c r="BD288" s="12" t="str">
        <f>IFERROR(__xludf.DUMMYFUNCTION("""COMPUTED_VALUE"""),"vel0011")</f>
        <v>vel0011</v>
      </c>
      <c r="BE288" s="6" t="str">
        <f>IFERROR(__xludf.DUMMYFUNCTION("""COMPUTED_VALUE"""),"FALTAN FIRMAS")</f>
        <v>FALTAN FIRMAS</v>
      </c>
      <c r="BF288" s="12" t="str">
        <f>IFERROR(__xludf.DUMMYFUNCTION("""COMPUTED_VALUE"""),"PÓLIZA")</f>
        <v>PÓLIZA</v>
      </c>
      <c r="BG288" s="6">
        <f>IFERROR(__xludf.DUMMYFUNCTION("""COMPUTED_VALUE"""),2037.0)</f>
        <v>2037</v>
      </c>
      <c r="BH288" s="15">
        <f>IFERROR(__xludf.DUMMYFUNCTION("""COMPUTED_VALUE"""),46212.319560185184)</f>
        <v>46212.31956</v>
      </c>
      <c r="BI288" s="6">
        <f>IFERROR(__xludf.DUMMYFUNCTION("""COMPUTED_VALUE"""),287.0)</f>
        <v>287</v>
      </c>
      <c r="BJ288" s="6"/>
      <c r="BK288" s="6"/>
      <c r="BL288" s="6" t="str">
        <f>IFERROR(__xludf.DUMMYFUNCTION("""COMPUTED_VALUE"""),"GISVEL0011")</f>
        <v>GISVEL0011</v>
      </c>
      <c r="BM288" s="6"/>
      <c r="BN288" s="6"/>
      <c r="BO288" s="6"/>
      <c r="BP288" s="6" t="str">
        <f>IFERROR(__xludf.DUMMYFUNCTION("""COMPUTED_VALUE"""),"XC_23_Futbol_M")</f>
        <v>XC_23_Futbol_M</v>
      </c>
      <c r="BQ288" s="6"/>
      <c r="BR288" s="6"/>
      <c r="BS288" s="6" t="str">
        <f>IFERROR(__xludf.DUMMYFUNCTION("""COMPUTED_VALUE"""),"XC_23_Futbol_M")</f>
        <v>XC_23_Futbol_M</v>
      </c>
      <c r="BT288" s="6" t="str">
        <f>IFERROR(__xludf.DUMMYFUNCTION("""COMPUTED_VALUE"""),"XC_23_Futbol_M")</f>
        <v>XC_23_Futbol_M</v>
      </c>
      <c r="BU288" s="6" t="str">
        <f>IFERROR(__xludf.DUMMYFUNCTION("""COMPUTED_VALUE"""),"SI")</f>
        <v>SI</v>
      </c>
      <c r="BV288" s="6" t="str">
        <f>IFERROR(__xludf.DUMMYFUNCTION("""COMPUTED_VALUE"""),"benjamin.v2037")</f>
        <v>benjamin.v2037</v>
      </c>
      <c r="BW288" s="6"/>
      <c r="BX288" s="6"/>
      <c r="BY288" s="6"/>
      <c r="BZ288" s="6"/>
    </row>
    <row r="289">
      <c r="A289" s="12">
        <f>IFERROR(__xludf.DUMMYFUNCTION("""COMPUTED_VALUE"""),1.014901109E9)</f>
        <v>1014901109</v>
      </c>
      <c r="B289" s="6">
        <f>IFERROR(__xludf.DUMMYFUNCTION("""COMPUTED_VALUE"""),18.0)</f>
        <v>18</v>
      </c>
      <c r="C289" s="6" t="str">
        <f>IFERROR(__xludf.DUMMYFUNCTION("""COMPUTED_VALUE"""),"Alanna")</f>
        <v>Alanna</v>
      </c>
      <c r="D289" s="6"/>
      <c r="E289" s="6" t="str">
        <f>IFERROR(__xludf.DUMMYFUNCTION("""COMPUTED_VALUE"""),"Zapata Aristizábal")</f>
        <v>Zapata Aristizábal</v>
      </c>
      <c r="F289" s="6" t="str">
        <f>IFERROR(__xludf.DUMMYFUNCTION("""COMPUTED_VALUE"""),"Km 11 Via El Eden Casa 26 San Antonio Diagonal Cond El Eden")</f>
        <v>Km 11 Via El Eden Casa 26 San Antonio Diagonal Cond El Eden</v>
      </c>
      <c r="G289" s="12" t="str">
        <f>IFERROR(__xludf.DUMMYFUNCTION("""COMPUTED_VALUE"""),"2019")</f>
        <v>2019</v>
      </c>
      <c r="H289" s="6" t="str">
        <f>IFERROR(__xludf.DUMMYFUNCTION("""COMPUTED_VALUE"""),"Junio")</f>
        <v>Junio</v>
      </c>
      <c r="I289" s="12" t="str">
        <f>IFERROR(__xludf.DUMMYFUNCTION("""COMPUTED_VALUE"""),"20")</f>
        <v>20</v>
      </c>
      <c r="J289" s="6" t="str">
        <f>IFERROR(__xludf.DUMMYFUNCTION("""COMPUTED_VALUE"""),"La Tebaida")</f>
        <v>La Tebaida</v>
      </c>
      <c r="K289" s="6" t="str">
        <f>IFERROR(__xludf.DUMMYFUNCTION("""COMPUTED_VALUE"""),"alanna.z2037@gi.edu.co")</f>
        <v>alanna.z2037@gi.edu.co</v>
      </c>
      <c r="L289" s="6" t="str">
        <f>IFERROR(__xludf.DUMMYFUNCTION("""COMPUTED_VALUE"""),"RC")</f>
        <v>RC</v>
      </c>
      <c r="M289" s="6" t="str">
        <f>IFERROR(__xludf.DUMMYFUNCTION("""COMPUTED_VALUE"""),"Bogotá D.C.")</f>
        <v>Bogotá D.C.</v>
      </c>
      <c r="N289" s="6" t="str">
        <f>IFERROR(__xludf.DUMMYFUNCTION("""COMPUTED_VALUE"""),"F")</f>
        <v>F</v>
      </c>
      <c r="O289" s="6" t="str">
        <f>IFERROR(__xludf.DUMMYFUNCTION("""COMPUTED_VALUE"""),"ACTIVE")</f>
        <v>ACTIVE</v>
      </c>
      <c r="P289" s="6"/>
      <c r="Q289" s="6" t="str">
        <f>IFERROR(__xludf.DUMMYFUNCTION("""COMPUTED_VALUE"""),"La Tebaida")</f>
        <v>La Tebaida</v>
      </c>
      <c r="R289" s="12" t="str">
        <f>IFERROR(__xludf.DUMMYFUNCTION("""COMPUTED_VALUE"""),"Gi2rv5b6*")</f>
        <v>Gi2rv5b6*</v>
      </c>
      <c r="S289" s="6" t="str">
        <f>IFERROR(__xludf.DUMMYFUNCTION("""COMPUTED_VALUE"""),"Zapata Aristizábal Alanna ")</f>
        <v>Zapata Aristizábal Alanna </v>
      </c>
      <c r="T289" s="6" t="str">
        <f>IFERROR(__xludf.DUMMYFUNCTION("""COMPUTED_VALUE"""),"DIEGO FERNANDO ZAPATA FRANCO")</f>
        <v>DIEGO FERNANDO ZAPATA FRANCO</v>
      </c>
      <c r="U289" s="12" t="str">
        <f>IFERROR(__xludf.DUMMYFUNCTION("""COMPUTED_VALUE"""),"9731856")</f>
        <v>9731856</v>
      </c>
      <c r="V289" s="6">
        <f>IFERROR(__xludf.DUMMYFUNCTION("""COMPUTED_VALUE"""),3.00616304E9)</f>
        <v>3006163040</v>
      </c>
      <c r="W289" s="6" t="str">
        <f>IFERROR(__xludf.DUMMYFUNCTION("""COMPUTED_VALUE"""),"diegoza7@hotmail.com")</f>
        <v>diegoza7@hotmail.com</v>
      </c>
      <c r="X289" s="12" t="str">
        <f>IFERROR(__xludf.DUMMYFUNCTION("""COMPUTED_VALUE"""),"A+")</f>
        <v>A+</v>
      </c>
      <c r="Y289" s="12" t="str">
        <f>IFERROR(__xludf.DUMMYFUNCTION("""COMPUTED_VALUE"""),"2")</f>
        <v>2</v>
      </c>
      <c r="Z289" s="12">
        <f>IFERROR(__xludf.DUMMYFUNCTION("""COMPUTED_VALUE"""),120328.0)</f>
        <v>120328</v>
      </c>
      <c r="AA289" s="6" t="str">
        <f>IFERROR(__xludf.DUMMYFUNCTION("""COMPUTED_VALUE"""),"SANITAS")</f>
        <v>SANITAS</v>
      </c>
      <c r="AB289" s="6"/>
      <c r="AC289" s="6"/>
      <c r="AD289" s="12" t="str">
        <f>IFERROR(__xludf.DUMMYFUNCTION("""COMPUTED_VALUE"""),"2C")</f>
        <v>2C</v>
      </c>
      <c r="AE289" s="12">
        <f>IFERROR(__xludf.DUMMYFUNCTION("""COMPUTED_VALUE"""),1.345282331E9)</f>
        <v>1345282331</v>
      </c>
      <c r="AF289" s="12" t="str">
        <f>IFERROR(__xludf.DUMMYFUNCTION("""COMPUTED_VALUE"""),"1345282331")</f>
        <v>1345282331</v>
      </c>
      <c r="AG289" s="12" t="str">
        <f>IFERROR(__xludf.DUMMYFUNCTION("""COMPUTED_VALUE"""),"Sara")</f>
        <v>Sara</v>
      </c>
      <c r="AH289" s="6"/>
      <c r="AI289" s="6" t="str">
        <f>IFERROR(__xludf.DUMMYFUNCTION("""COMPUTED_VALUE"""),"Aristizábal Ramírez")</f>
        <v>Aristizábal Ramírez</v>
      </c>
      <c r="AJ289" s="6" t="str">
        <f>IFERROR(__xludf.DUMMYFUNCTION("""COMPUTED_VALUE"""),"saraarist@hotmail.com")</f>
        <v>saraarist@hotmail.com</v>
      </c>
      <c r="AK289" s="6" t="str">
        <f>IFERROR(__xludf.DUMMYFUNCTION("""COMPUTED_VALUE"""),"Abogada Esp. en derecho administrativo")</f>
        <v>Abogada Esp. en derecho administrativo</v>
      </c>
      <c r="AL289" s="6" t="str">
        <f>IFERROR(__xludf.DUMMYFUNCTION("""COMPUTED_VALUE"""),"SPORTS &amp; SICENCE LAB SAS")</f>
        <v>SPORTS &amp; SICENCE LAB SAS</v>
      </c>
      <c r="AM289" s="12" t="str">
        <f>IFERROR(__xludf.DUMMYFUNCTION("""COMPUTED_VALUE"""),"41955537")</f>
        <v>41955537</v>
      </c>
      <c r="AN289" s="12" t="str">
        <f>IFERROR(__xludf.DUMMYFUNCTION("""COMPUTED_VALUE"""),"3007847406")</f>
        <v>3007847406</v>
      </c>
      <c r="AO289" s="6" t="str">
        <f>IFERROR(__xludf.DUMMYFUNCTION("""COMPUTED_VALUE"""),"Madre")</f>
        <v>Madre</v>
      </c>
      <c r="AP289" s="6" t="str">
        <f>IFERROR(__xludf.DUMMYFUNCTION("""COMPUTED_VALUE"""),"Estudiante(s): Zapata Aristizábal")</f>
        <v>Estudiante(s): Zapata Aristizábal</v>
      </c>
      <c r="AQ289" s="6" t="str">
        <f>IFERROR(__xludf.DUMMYFUNCTION("""COMPUTED_VALUE"""),"120328*Gi")</f>
        <v>120328*Gi</v>
      </c>
      <c r="AR289" s="6" t="str">
        <f>IFERROR(__xludf.DUMMYFUNCTION("""COMPUTED_VALUE"""),"Diego")</f>
        <v>Diego</v>
      </c>
      <c r="AS289" s="6" t="str">
        <f>IFERROR(__xludf.DUMMYFUNCTION("""COMPUTED_VALUE"""),"Fernando")</f>
        <v>Fernando</v>
      </c>
      <c r="AT289" s="6" t="str">
        <f>IFERROR(__xludf.DUMMYFUNCTION("""COMPUTED_VALUE"""),"Zapata Franco")</f>
        <v>Zapata Franco</v>
      </c>
      <c r="AU289" s="6" t="str">
        <f>IFERROR(__xludf.DUMMYFUNCTION("""COMPUTED_VALUE"""),"diegoza7@hotmail.com")</f>
        <v>diegoza7@hotmail.com</v>
      </c>
      <c r="AV289" s="6" t="str">
        <f>IFERROR(__xludf.DUMMYFUNCTION("""COMPUTED_VALUE"""),"Abogado Esp. en derecho administrativo")</f>
        <v>Abogado Esp. en derecho administrativo</v>
      </c>
      <c r="AW289" s="6"/>
      <c r="AX289" s="12" t="str">
        <f>IFERROR(__xludf.DUMMYFUNCTION("""COMPUTED_VALUE"""),"9731856")</f>
        <v>9731856</v>
      </c>
      <c r="AY289" s="12" t="str">
        <f>IFERROR(__xludf.DUMMYFUNCTION("""COMPUTED_VALUE"""),"3006163040")</f>
        <v>3006163040</v>
      </c>
      <c r="AZ289" s="6" t="str">
        <f>IFERROR(__xludf.DUMMYFUNCTION("""COMPUTED_VALUE"""),"Padre")</f>
        <v>Padre</v>
      </c>
      <c r="BA289" s="6"/>
      <c r="BB289" s="6"/>
      <c r="BC289" s="6"/>
      <c r="BD289" s="12" t="str">
        <f>IFERROR(__xludf.DUMMYFUNCTION("""COMPUTED_VALUE"""),"zap0002")</f>
        <v>zap0002</v>
      </c>
      <c r="BE289" s="6"/>
      <c r="BF289" s="6"/>
      <c r="BG289" s="6">
        <f>IFERROR(__xludf.DUMMYFUNCTION("""COMPUTED_VALUE"""),2037.0)</f>
        <v>2037</v>
      </c>
      <c r="BH289" s="15">
        <f>IFERROR(__xludf.DUMMYFUNCTION("""COMPUTED_VALUE"""),46210.49901620371)</f>
        <v>46210.49902</v>
      </c>
      <c r="BI289" s="6">
        <f>IFERROR(__xludf.DUMMYFUNCTION("""COMPUTED_VALUE"""),288.0)</f>
        <v>288</v>
      </c>
      <c r="BJ289" s="6"/>
      <c r="BK289" s="6"/>
      <c r="BL289" s="6" t="str">
        <f>IFERROR(__xludf.DUMMYFUNCTION("""COMPUTED_VALUE"""),"GISZAP0002")</f>
        <v>GISZAP0002</v>
      </c>
      <c r="BM289" s="6"/>
      <c r="BN289" s="6"/>
      <c r="BO289" s="6"/>
      <c r="BP289" s="6" t="str">
        <f>IFERROR(__xludf.DUMMYFUNCTION("""COMPUTED_VALUE"""),"XC_EL_Porras")</f>
        <v>XC_EL_Porras</v>
      </c>
      <c r="BQ289" s="6" t="str">
        <f>IFERROR(__xludf.DUMMYFUNCTION("""COMPUTED_VALUE"""),"XC_EL_Porras")</f>
        <v>XC_EL_Porras</v>
      </c>
      <c r="BR289" s="6" t="str">
        <f>IFERROR(__xludf.DUMMYFUNCTION("""COMPUTED_VALUE"""),"XC_EL_PequenosCientificos")</f>
        <v>XC_EL_PequenosCientificos</v>
      </c>
      <c r="BS289" s="6" t="str">
        <f>IFERROR(__xludf.DUMMYFUNCTION("""COMPUTED_VALUE"""),"XC_EL_Porras")</f>
        <v>XC_EL_Porras</v>
      </c>
      <c r="BT289" s="6"/>
      <c r="BU289" s="6" t="str">
        <f>IFERROR(__xludf.DUMMYFUNCTION("""COMPUTED_VALUE"""),"SI")</f>
        <v>SI</v>
      </c>
      <c r="BV289" s="6" t="str">
        <f>IFERROR(__xludf.DUMMYFUNCTION("""COMPUTED_VALUE"""),"alanna.z2037")</f>
        <v>alanna.z2037</v>
      </c>
      <c r="BW289" s="6"/>
      <c r="BX289" s="6"/>
      <c r="BY289" s="6"/>
      <c r="B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 t="str">
        <f>IFERROR(__xludf.DUMMYFUNCTION("""COMPUTED_VALUE"""),"Madre")</f>
        <v>Madre</v>
      </c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 t="str">
        <f>IFERROR(__xludf.DUMMYFUNCTION("""COMPUTED_VALUE"""),"Padre")</f>
        <v>Padre</v>
      </c>
      <c r="BA290" s="6"/>
      <c r="BB290" s="6"/>
      <c r="BC290" s="6"/>
      <c r="BD290" s="6"/>
      <c r="BE290" s="6"/>
      <c r="BF290" s="6"/>
      <c r="BG290" s="6"/>
      <c r="BH290" s="6"/>
      <c r="BI290" s="6">
        <f>IFERROR(__xludf.DUMMYFUNCTION("""COMPUTED_VALUE"""),290.0)</f>
        <v>290</v>
      </c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6"/>
      <c r="BZ290" s="6"/>
    </row>
    <row r="291">
      <c r="A291" s="6">
        <f>IFERROR(__xludf.DUMMYFUNCTION("""COMPUTED_VALUE"""),1.035011754E9)</f>
        <v>1035011754</v>
      </c>
      <c r="B291" s="6">
        <f>IFERROR(__xludf.DUMMYFUNCTION("""COMPUTED_VALUE"""),1.0)</f>
        <v>1</v>
      </c>
      <c r="C291" s="6" t="str">
        <f>IFERROR(__xludf.DUMMYFUNCTION("""COMPUTED_VALUE"""),"Matilde")</f>
        <v>Matilde</v>
      </c>
      <c r="D291" s="6"/>
      <c r="E291" s="6" t="str">
        <f>IFERROR(__xludf.DUMMYFUNCTION("""COMPUTED_VALUE"""),"Arango Osorio")</f>
        <v>Arango Osorio</v>
      </c>
      <c r="F291" s="6" t="str">
        <f>IFERROR(__xludf.DUMMYFUNCTION("""COMPUTED_VALUE"""),"Condominio Entre Maderos Casa 30 - Vereda El Congal Km 1.2 Via Circasia - Armenia")</f>
        <v>Condominio Entre Maderos Casa 30 - Vereda El Congal Km 1.2 Via Circasia - Armenia</v>
      </c>
      <c r="G291" s="12" t="str">
        <f>IFERROR(__xludf.DUMMYFUNCTION("""COMPUTED_VALUE"""),"2017")</f>
        <v>2017</v>
      </c>
      <c r="H291" s="6" t="str">
        <f>IFERROR(__xludf.DUMMYFUNCTION("""COMPUTED_VALUE"""),"Diciembre")</f>
        <v>Diciembre</v>
      </c>
      <c r="I291" s="12" t="str">
        <f>IFERROR(__xludf.DUMMYFUNCTION("""COMPUTED_VALUE"""),"15")</f>
        <v>15</v>
      </c>
      <c r="J291" s="6" t="str">
        <f>IFERROR(__xludf.DUMMYFUNCTION("""COMPUTED_VALUE"""),"Medellín")</f>
        <v>Medellín</v>
      </c>
      <c r="K291" s="6" t="str">
        <f>IFERROR(__xludf.DUMMYFUNCTION("""COMPUTED_VALUE"""),"matilde.a2036@gi.edu.co")</f>
        <v>matilde.a2036@gi.edu.co</v>
      </c>
      <c r="L291" s="6" t="str">
        <f>IFERROR(__xludf.DUMMYFUNCTION("""COMPUTED_VALUE"""),"RC")</f>
        <v>RC</v>
      </c>
      <c r="M291" s="6" t="str">
        <f>IFERROR(__xludf.DUMMYFUNCTION("""COMPUTED_VALUE"""),"Medellín")</f>
        <v>Medellín</v>
      </c>
      <c r="N291" s="6" t="str">
        <f>IFERROR(__xludf.DUMMYFUNCTION("""COMPUTED_VALUE"""),"F")</f>
        <v>F</v>
      </c>
      <c r="O291" s="6" t="str">
        <f>IFERROR(__xludf.DUMMYFUNCTION("""COMPUTED_VALUE"""),"ACTIVE")</f>
        <v>ACTIVE</v>
      </c>
      <c r="P291" s="6"/>
      <c r="Q291" s="6" t="str">
        <f>IFERROR(__xludf.DUMMYFUNCTION("""COMPUTED_VALUE"""),"Circasia")</f>
        <v>Circasia</v>
      </c>
      <c r="R291" s="12" t="str">
        <f>IFERROR(__xludf.DUMMYFUNCTION("""COMPUTED_VALUE"""),"GixvMX7G*")</f>
        <v>GixvMX7G*</v>
      </c>
      <c r="S291" s="6" t="str">
        <f>IFERROR(__xludf.DUMMYFUNCTION("""COMPUTED_VALUE"""),"Arango Osorio Matilde ")</f>
        <v>Arango Osorio Matilde </v>
      </c>
      <c r="T291" s="6" t="str">
        <f>IFERROR(__xludf.DUMMYFUNCTION("""COMPUTED_VALUE"""),"OSCAR ANDRÉS ARANGO RABITZ")</f>
        <v>OSCAR ANDRÉS ARANGO RABITZ</v>
      </c>
      <c r="U291" s="12" t="str">
        <f>IFERROR(__xludf.DUMMYFUNCTION("""COMPUTED_VALUE"""),"81715598")</f>
        <v>81715598</v>
      </c>
      <c r="V291" s="6">
        <f>IFERROR(__xludf.DUMMYFUNCTION("""COMPUTED_VALUE"""),3.142002278E9)</f>
        <v>3142002278</v>
      </c>
      <c r="W291" s="6" t="str">
        <f>IFERROR(__xludf.DUMMYFUNCTION("""COMPUTED_VALUE"""),"oscandres_@hotmail.com")</f>
        <v>oscandres_@hotmail.com</v>
      </c>
      <c r="X291" s="12" t="str">
        <f>IFERROR(__xludf.DUMMYFUNCTION("""COMPUTED_VALUE"""),"O+")</f>
        <v>O+</v>
      </c>
      <c r="Y291" s="12" t="str">
        <f>IFERROR(__xludf.DUMMYFUNCTION("""COMPUTED_VALUE"""),"3")</f>
        <v>3</v>
      </c>
      <c r="Z291" s="12">
        <f>IFERROR(__xludf.DUMMYFUNCTION("""COMPUTED_VALUE"""),120195.0)</f>
        <v>120195</v>
      </c>
      <c r="AA291" s="6" t="str">
        <f>IFERROR(__xludf.DUMMYFUNCTION("""COMPUTED_VALUE"""),"SURA")</f>
        <v>SURA</v>
      </c>
      <c r="AB291" s="6"/>
      <c r="AC291" s="12" t="str">
        <f>IFERROR(__xludf.DUMMYFUNCTION("""COMPUTED_VALUE"""),"Maní")</f>
        <v>Maní</v>
      </c>
      <c r="AD291" s="6" t="str">
        <f>IFERROR(__xludf.DUMMYFUNCTION("""COMPUTED_VALUE"""),"3A")</f>
        <v>3A</v>
      </c>
      <c r="AE291" s="12">
        <f>IFERROR(__xludf.DUMMYFUNCTION("""COMPUTED_VALUE"""),1.345282131E9)</f>
        <v>1345282131</v>
      </c>
      <c r="AF291" s="12" t="str">
        <f>IFERROR(__xludf.DUMMYFUNCTION("""COMPUTED_VALUE"""),"0672862675")</f>
        <v>0672862675</v>
      </c>
      <c r="AG291" s="12" t="str">
        <f>IFERROR(__xludf.DUMMYFUNCTION("""COMPUTED_VALUE"""),"Laura")</f>
        <v>Laura</v>
      </c>
      <c r="AH291" s="6"/>
      <c r="AI291" s="6" t="str">
        <f>IFERROR(__xludf.DUMMYFUNCTION("""COMPUTED_VALUE"""),"Osorio González")</f>
        <v>Osorio González</v>
      </c>
      <c r="AJ291" s="6" t="str">
        <f>IFERROR(__xludf.DUMMYFUNCTION("""COMPUTED_VALUE"""),"laura.osoriog@hotmail.com")</f>
        <v>laura.osoriog@hotmail.com</v>
      </c>
      <c r="AK291" s="6" t="str">
        <f>IFERROR(__xludf.DUMMYFUNCTION("""COMPUTED_VALUE"""),"Comunicadora social")</f>
        <v>Comunicadora social</v>
      </c>
      <c r="AL291" s="6" t="str">
        <f>IFERROR(__xludf.DUMMYFUNCTION("""COMPUTED_VALUE"""),"independiente")</f>
        <v>independiente</v>
      </c>
      <c r="AM291" s="12" t="str">
        <f>IFERROR(__xludf.DUMMYFUNCTION("""COMPUTED_VALUE"""),"53911751")</f>
        <v>53911751</v>
      </c>
      <c r="AN291" s="12" t="str">
        <f>IFERROR(__xludf.DUMMYFUNCTION("""COMPUTED_VALUE"""),"3142002278")</f>
        <v>3142002278</v>
      </c>
      <c r="AO291" s="6" t="str">
        <f>IFERROR(__xludf.DUMMYFUNCTION("""COMPUTED_VALUE"""),"Madre")</f>
        <v>Madre</v>
      </c>
      <c r="AP291" s="6" t="str">
        <f>IFERROR(__xludf.DUMMYFUNCTION("""COMPUTED_VALUE"""),"Estudiante(s): Arango Osorio")</f>
        <v>Estudiante(s): Arango Osorio</v>
      </c>
      <c r="AQ291" s="6" t="str">
        <f>IFERROR(__xludf.DUMMYFUNCTION("""COMPUTED_VALUE"""),"120114*Gi")</f>
        <v>120114*Gi</v>
      </c>
      <c r="AR291" s="6" t="str">
        <f>IFERROR(__xludf.DUMMYFUNCTION("""COMPUTED_VALUE"""),"Oscar")</f>
        <v>Oscar</v>
      </c>
      <c r="AS291" s="6" t="str">
        <f>IFERROR(__xludf.DUMMYFUNCTION("""COMPUTED_VALUE"""),"Andrés")</f>
        <v>Andrés</v>
      </c>
      <c r="AT291" s="6" t="str">
        <f>IFERROR(__xludf.DUMMYFUNCTION("""COMPUTED_VALUE"""),"Arango Rabitz")</f>
        <v>Arango Rabitz</v>
      </c>
      <c r="AU291" s="6" t="str">
        <f>IFERROR(__xludf.DUMMYFUNCTION("""COMPUTED_VALUE"""),"oscandres_@hotmail.com")</f>
        <v>oscandres_@hotmail.com</v>
      </c>
      <c r="AV291" s="6" t="str">
        <f>IFERROR(__xludf.DUMMYFUNCTION("""COMPUTED_VALUE"""),"Ingeniero de sistemas")</f>
        <v>Ingeniero de sistemas</v>
      </c>
      <c r="AW291" s="6" t="str">
        <f>IFERROR(__xludf.DUMMYFUNCTION("""COMPUTED_VALUE"""),"Promotora Senior S.A.S.")</f>
        <v>Promotora Senior S.A.S.</v>
      </c>
      <c r="AX291" s="12" t="str">
        <f>IFERROR(__xludf.DUMMYFUNCTION("""COMPUTED_VALUE"""),"81715598")</f>
        <v>81715598</v>
      </c>
      <c r="AY291" s="12" t="str">
        <f>IFERROR(__xludf.DUMMYFUNCTION("""COMPUTED_VALUE"""),"3142002278")</f>
        <v>3142002278</v>
      </c>
      <c r="AZ291" s="6" t="str">
        <f>IFERROR(__xludf.DUMMYFUNCTION("""COMPUTED_VALUE"""),"Padre")</f>
        <v>Padre</v>
      </c>
      <c r="BA291" s="6"/>
      <c r="BB291" s="6"/>
      <c r="BC291" s="6"/>
      <c r="BD291" s="12" t="str">
        <f>IFERROR(__xludf.DUMMYFUNCTION("""COMPUTED_VALUE"""),"ara0002")</f>
        <v>ara0002</v>
      </c>
      <c r="BE291" s="6"/>
      <c r="BF291" s="6"/>
      <c r="BG291" s="6">
        <f>IFERROR(__xludf.DUMMYFUNCTION("""COMPUTED_VALUE"""),2036.0)</f>
        <v>2036</v>
      </c>
      <c r="BH291" s="15">
        <f>IFERROR(__xludf.DUMMYFUNCTION("""COMPUTED_VALUE"""),46211.4965625)</f>
        <v>46211.49656</v>
      </c>
      <c r="BI291" s="6">
        <f>IFERROR(__xludf.DUMMYFUNCTION("""COMPUTED_VALUE"""),291.0)</f>
        <v>291</v>
      </c>
      <c r="BJ291" s="6"/>
      <c r="BK291" s="6"/>
      <c r="BL291" s="6" t="str">
        <f>IFERROR(__xludf.DUMMYFUNCTION("""COMPUTED_VALUE"""),"GISARA0002")</f>
        <v>GISARA0002</v>
      </c>
      <c r="BM291" s="6"/>
      <c r="BN291" s="6"/>
      <c r="BO291" s="6"/>
      <c r="BP291" s="6" t="str">
        <f>IFERROR(__xludf.DUMMYFUNCTION("""COMPUTED_VALUE"""),"XC_23_Voleibol")</f>
        <v>XC_23_Voleibol</v>
      </c>
      <c r="BQ291" s="6"/>
      <c r="BR291" s="6" t="str">
        <f>IFERROR(__xludf.DUMMYFUNCTION("""COMPUTED_VALUE"""),"XC_EL_PequenosCientificos")</f>
        <v>XC_EL_PequenosCientificos</v>
      </c>
      <c r="BS291" s="6" t="str">
        <f>IFERROR(__xludf.DUMMYFUNCTION("""COMPUTED_VALUE"""),"XC_23_Voleibol")</f>
        <v>XC_23_Voleibol</v>
      </c>
      <c r="BT291" s="6" t="str">
        <f>IFERROR(__xludf.DUMMYFUNCTION("""COMPUTED_VALUE"""),"XC_23_Voleibol")</f>
        <v>XC_23_Voleibol</v>
      </c>
      <c r="BU291" s="6" t="str">
        <f>IFERROR(__xludf.DUMMYFUNCTION("""COMPUTED_VALUE"""),"SI")</f>
        <v>SI</v>
      </c>
      <c r="BV291" s="6" t="str">
        <f>IFERROR(__xludf.DUMMYFUNCTION("""COMPUTED_VALUE"""),"matilde.a2036")</f>
        <v>matilde.a2036</v>
      </c>
      <c r="BW291" s="6"/>
      <c r="BX291" s="6"/>
      <c r="BY291" s="6"/>
      <c r="BZ291" s="6"/>
    </row>
    <row r="292">
      <c r="A292" s="12">
        <f>IFERROR(__xludf.DUMMYFUNCTION("""COMPUTED_VALUE"""),1.016916416E9)</f>
        <v>1016916416</v>
      </c>
      <c r="B292" s="6">
        <f>IFERROR(__xludf.DUMMYFUNCTION("""COMPUTED_VALUE"""),2.0)</f>
        <v>2</v>
      </c>
      <c r="C292" s="6" t="str">
        <f>IFERROR(__xludf.DUMMYFUNCTION("""COMPUTED_VALUE"""),"Emiliano")</f>
        <v>Emiliano</v>
      </c>
      <c r="D292" s="6"/>
      <c r="E292" s="6" t="str">
        <f>IFERROR(__xludf.DUMMYFUNCTION("""COMPUTED_VALUE"""),"Cardona Valderrama")</f>
        <v>Cardona Valderrama</v>
      </c>
      <c r="F292" s="6" t="str">
        <f>IFERROR(__xludf.DUMMYFUNCTION("""COMPUTED_VALUE"""),"Colina Del Parque Casa A6 - Cra 11 9Nte - 01 La Castellana")</f>
        <v>Colina Del Parque Casa A6 - Cra 11 9Nte - 01 La Castellana</v>
      </c>
      <c r="G292" s="12" t="str">
        <f>IFERROR(__xludf.DUMMYFUNCTION("""COMPUTED_VALUE"""),"2018")</f>
        <v>2018</v>
      </c>
      <c r="H292" s="6" t="str">
        <f>IFERROR(__xludf.DUMMYFUNCTION("""COMPUTED_VALUE"""),"Marzo")</f>
        <v>Marzo</v>
      </c>
      <c r="I292" s="12" t="str">
        <f>IFERROR(__xludf.DUMMYFUNCTION("""COMPUTED_VALUE"""),"23")</f>
        <v>23</v>
      </c>
      <c r="J292" s="6" t="str">
        <f>IFERROR(__xludf.DUMMYFUNCTION("""COMPUTED_VALUE"""),"Bogotá D.C.")</f>
        <v>Bogotá D.C.</v>
      </c>
      <c r="K292" s="6" t="str">
        <f>IFERROR(__xludf.DUMMYFUNCTION("""COMPUTED_VALUE"""),"emiliano.c2036@gi.edu.co")</f>
        <v>emiliano.c2036@gi.edu.co</v>
      </c>
      <c r="L292" s="6" t="str">
        <f>IFERROR(__xludf.DUMMYFUNCTION("""COMPUTED_VALUE"""),"RC")</f>
        <v>RC</v>
      </c>
      <c r="M292" s="6" t="str">
        <f>IFERROR(__xludf.DUMMYFUNCTION("""COMPUTED_VALUE"""),"Bogotá D.C.")</f>
        <v>Bogotá D.C.</v>
      </c>
      <c r="N292" s="6" t="str">
        <f>IFERROR(__xludf.DUMMYFUNCTION("""COMPUTED_VALUE"""),"M")</f>
        <v>M</v>
      </c>
      <c r="O292" s="6" t="str">
        <f>IFERROR(__xludf.DUMMYFUNCTION("""COMPUTED_VALUE"""),"INACTIVE")</f>
        <v>INACTIVE</v>
      </c>
      <c r="P292" s="6"/>
      <c r="Q292" s="6" t="str">
        <f>IFERROR(__xludf.DUMMYFUNCTION("""COMPUTED_VALUE"""),"Armenia")</f>
        <v>Armenia</v>
      </c>
      <c r="R292" s="12" t="str">
        <f>IFERROR(__xludf.DUMMYFUNCTION("""COMPUTED_VALUE"""),"Giz6kVUy*")</f>
        <v>Giz6kVUy*</v>
      </c>
      <c r="S292" s="6" t="str">
        <f>IFERROR(__xludf.DUMMYFUNCTION("""COMPUTED_VALUE"""),"Cardona Valderrama Emiliano ")</f>
        <v>Cardona Valderrama Emiliano </v>
      </c>
      <c r="T292" s="6" t="str">
        <f>IFERROR(__xludf.DUMMYFUNCTION("""COMPUTED_VALUE"""),"SARA VALDERRAMA CARDONA")</f>
        <v>SARA VALDERRAMA CARDONA</v>
      </c>
      <c r="U292" s="12" t="str">
        <f>IFERROR(__xludf.DUMMYFUNCTION("""COMPUTED_VALUE"""),"1017164127")</f>
        <v>1017164127</v>
      </c>
      <c r="V292" s="6">
        <f>IFERROR(__xludf.DUMMYFUNCTION("""COMPUTED_VALUE"""),3.163091317E9)</f>
        <v>3163091317</v>
      </c>
      <c r="W292" s="6" t="str">
        <f>IFERROR(__xludf.DUMMYFUNCTION("""COMPUTED_VALUE"""),"saravalderramacardona@gmail.com")</f>
        <v>saravalderramacardona@gmail.com</v>
      </c>
      <c r="X292" s="12" t="str">
        <f>IFERROR(__xludf.DUMMYFUNCTION("""COMPUTED_VALUE"""),"A+")</f>
        <v>A+</v>
      </c>
      <c r="Y292" s="12" t="str">
        <f>IFERROR(__xludf.DUMMYFUNCTION("""COMPUTED_VALUE"""),"3")</f>
        <v>3</v>
      </c>
      <c r="Z292" s="12">
        <f>IFERROR(__xludf.DUMMYFUNCTION("""COMPUTED_VALUE"""),120196.0)</f>
        <v>120196</v>
      </c>
      <c r="AA292" s="6" t="str">
        <f>IFERROR(__xludf.DUMMYFUNCTION("""COMPUTED_VALUE"""),"SANITAS")</f>
        <v>SANITAS</v>
      </c>
      <c r="AB292" s="6"/>
      <c r="AC292" s="6"/>
      <c r="AD292" s="6" t="str">
        <f>IFERROR(__xludf.DUMMYFUNCTION("""COMPUTED_VALUE"""),"3A")</f>
        <v>3A</v>
      </c>
      <c r="AE292" s="12">
        <f>IFERROR(__xludf.DUMMYFUNCTION("""COMPUTED_VALUE"""),1.345282101E9)</f>
        <v>1345282101</v>
      </c>
      <c r="AF292" s="12" t="str">
        <f>IFERROR(__xludf.DUMMYFUNCTION("""COMPUTED_VALUE"""),"0671881107")</f>
        <v>0671881107</v>
      </c>
      <c r="AG292" s="12" t="str">
        <f>IFERROR(__xludf.DUMMYFUNCTION("""COMPUTED_VALUE"""),"Sara")</f>
        <v>Sara</v>
      </c>
      <c r="AH292" s="6"/>
      <c r="AI292" s="6" t="str">
        <f>IFERROR(__xludf.DUMMYFUNCTION("""COMPUTED_VALUE"""),"Valderrama Cardona")</f>
        <v>Valderrama Cardona</v>
      </c>
      <c r="AJ292" s="6" t="str">
        <f>IFERROR(__xludf.DUMMYFUNCTION("""COMPUTED_VALUE"""),"saravalderramacardona@gmail.com")</f>
        <v>saravalderramacardona@gmail.com</v>
      </c>
      <c r="AK292" s="6" t="str">
        <f>IFERROR(__xludf.DUMMYFUNCTION("""COMPUTED_VALUE"""),"Creadora de contenido digital")</f>
        <v>Creadora de contenido digital</v>
      </c>
      <c r="AL292" s="6" t="str">
        <f>IFERROR(__xludf.DUMMYFUNCTION("""COMPUTED_VALUE"""),"INVERTIMOS CS SAS")</f>
        <v>INVERTIMOS CS SAS</v>
      </c>
      <c r="AM292" s="12" t="str">
        <f>IFERROR(__xludf.DUMMYFUNCTION("""COMPUTED_VALUE"""),"1017164127")</f>
        <v>1017164127</v>
      </c>
      <c r="AN292" s="12" t="str">
        <f>IFERROR(__xludf.DUMMYFUNCTION("""COMPUTED_VALUE"""),"3163091317")</f>
        <v>3163091317</v>
      </c>
      <c r="AO292" s="6" t="str">
        <f>IFERROR(__xludf.DUMMYFUNCTION("""COMPUTED_VALUE"""),"Madre")</f>
        <v>Madre</v>
      </c>
      <c r="AP292" s="6" t="str">
        <f>IFERROR(__xludf.DUMMYFUNCTION("""COMPUTED_VALUE"""),"Estudiante(s): Cardona Valderrama")</f>
        <v>Estudiante(s): Cardona Valderrama</v>
      </c>
      <c r="AQ292" s="6" t="str">
        <f>IFERROR(__xludf.DUMMYFUNCTION("""COMPUTED_VALUE"""),"120132*Gi")</f>
        <v>120132*Gi</v>
      </c>
      <c r="AR292" s="6" t="str">
        <f>IFERROR(__xludf.DUMMYFUNCTION("""COMPUTED_VALUE"""),"Felipe")</f>
        <v>Felipe</v>
      </c>
      <c r="AS292" s="6"/>
      <c r="AT292" s="6" t="str">
        <f>IFERROR(__xludf.DUMMYFUNCTION("""COMPUTED_VALUE"""),"Cardona Salazar")</f>
        <v>Cardona Salazar</v>
      </c>
      <c r="AU292" s="6" t="str">
        <f>IFERROR(__xludf.DUMMYFUNCTION("""COMPUTED_VALUE"""),"cardona175@gmail.com")</f>
        <v>cardona175@gmail.com</v>
      </c>
      <c r="AV292" s="6" t="str">
        <f>IFERROR(__xludf.DUMMYFUNCTION("""COMPUTED_VALUE"""),"Administrador de empresas")</f>
        <v>Administrador de empresas</v>
      </c>
      <c r="AW292" s="6" t="str">
        <f>IFERROR(__xludf.DUMMYFUNCTION("""COMPUTED_VALUE"""),"INVERTIMOS CS SAS")</f>
        <v>INVERTIMOS CS SAS</v>
      </c>
      <c r="AX292" s="12" t="str">
        <f>IFERROR(__xludf.DUMMYFUNCTION("""COMPUTED_VALUE"""),"1094912693")</f>
        <v>1094912693</v>
      </c>
      <c r="AY292" s="12" t="str">
        <f>IFERROR(__xludf.DUMMYFUNCTION("""COMPUTED_VALUE"""),"3164823914")</f>
        <v>3164823914</v>
      </c>
      <c r="AZ292" s="6" t="str">
        <f>IFERROR(__xludf.DUMMYFUNCTION("""COMPUTED_VALUE"""),"Padre")</f>
        <v>Padre</v>
      </c>
      <c r="BA292" s="6"/>
      <c r="BB292" s="6"/>
      <c r="BC292" s="6"/>
      <c r="BD292" s="12" t="str">
        <f>IFERROR(__xludf.DUMMYFUNCTION("""COMPUTED_VALUE"""),"car0002")</f>
        <v>car0002</v>
      </c>
      <c r="BE292" s="6" t="str">
        <f>IFERROR(__xludf.DUMMYFUNCTION("""COMPUTED_VALUE"""),"FALTAN FIRMAS")</f>
        <v>FALTAN FIRMAS</v>
      </c>
      <c r="BF292" s="6"/>
      <c r="BG292" s="6">
        <f>IFERROR(__xludf.DUMMYFUNCTION("""COMPUTED_VALUE"""),2036.0)</f>
        <v>2036</v>
      </c>
      <c r="BH292" s="15">
        <f>IFERROR(__xludf.DUMMYFUNCTION("""COMPUTED_VALUE"""),46218.44447916667)</f>
        <v>46218.44448</v>
      </c>
      <c r="BI292" s="6">
        <f>IFERROR(__xludf.DUMMYFUNCTION("""COMPUTED_VALUE"""),292.0)</f>
        <v>292</v>
      </c>
      <c r="BJ292" s="6"/>
      <c r="BK292" s="6"/>
      <c r="BL292" s="6" t="str">
        <f>IFERROR(__xludf.DUMMYFUNCTION("""COMPUTED_VALUE"""),"GISCAR0002")</f>
        <v>GISCAR0002</v>
      </c>
      <c r="BM292" s="6"/>
      <c r="BN292" s="6"/>
      <c r="BO292" s="6"/>
      <c r="BP292" s="6" t="str">
        <f>IFERROR(__xludf.DUMMYFUNCTION("""COMPUTED_VALUE"""),"XC_23_Futbol_M")</f>
        <v>XC_23_Futbol_M</v>
      </c>
      <c r="BQ292" s="6"/>
      <c r="BR292" s="6" t="str">
        <f>IFERROR(__xludf.DUMMYFUNCTION("""COMPUTED_VALUE"""),"XC_EL_PequenosCientificos")</f>
        <v>XC_EL_PequenosCientificos</v>
      </c>
      <c r="BS292" s="6" t="str">
        <f>IFERROR(__xludf.DUMMYFUNCTION("""COMPUTED_VALUE"""),"XC_23_Futbol_M")</f>
        <v>XC_23_Futbol_M</v>
      </c>
      <c r="BT292" s="6" t="str">
        <f>IFERROR(__xludf.DUMMYFUNCTION("""COMPUTED_VALUE"""),"XC_23_Futbol_M")</f>
        <v>XC_23_Futbol_M</v>
      </c>
      <c r="BU292" s="6" t="str">
        <f>IFERROR(__xludf.DUMMYFUNCTION("""COMPUTED_VALUE"""),"SI")</f>
        <v>SI</v>
      </c>
      <c r="BV292" s="6" t="str">
        <f>IFERROR(__xludf.DUMMYFUNCTION("""COMPUTED_VALUE"""),"emiliano.c2036")</f>
        <v>emiliano.c2036</v>
      </c>
      <c r="BW292" s="6"/>
      <c r="BX292" s="6"/>
      <c r="BY292" s="6"/>
      <c r="BZ292" s="6"/>
    </row>
    <row r="293">
      <c r="A293" s="12">
        <f>IFERROR(__xludf.DUMMYFUNCTION("""COMPUTED_VALUE"""),1.09286134E9)</f>
        <v>1092861340</v>
      </c>
      <c r="B293" s="6">
        <f>IFERROR(__xludf.DUMMYFUNCTION("""COMPUTED_VALUE"""),3.0)</f>
        <v>3</v>
      </c>
      <c r="C293" s="6" t="str">
        <f>IFERROR(__xludf.DUMMYFUNCTION("""COMPUTED_VALUE"""),"Juan")</f>
        <v>Juan</v>
      </c>
      <c r="D293" s="6" t="str">
        <f>IFERROR(__xludf.DUMMYFUNCTION("""COMPUTED_VALUE"""),"Pablo")</f>
        <v>Pablo</v>
      </c>
      <c r="E293" s="6" t="str">
        <f>IFERROR(__xludf.DUMMYFUNCTION("""COMPUTED_VALUE"""),"Cardona Varela")</f>
        <v>Cardona Varela</v>
      </c>
      <c r="F293" s="6" t="str">
        <f>IFERROR(__xludf.DUMMYFUNCTION("""COMPUTED_VALUE"""),"Conjunto Santa Clara Casa 24 - Cra 19 No25Nte - 50")</f>
        <v>Conjunto Santa Clara Casa 24 - Cra 19 No25Nte - 50</v>
      </c>
      <c r="G293" s="12" t="str">
        <f>IFERROR(__xludf.DUMMYFUNCTION("""COMPUTED_VALUE"""),"2017")</f>
        <v>2017</v>
      </c>
      <c r="H293" s="6" t="str">
        <f>IFERROR(__xludf.DUMMYFUNCTION("""COMPUTED_VALUE"""),"Agosto")</f>
        <v>Agosto</v>
      </c>
      <c r="I293" s="12" t="str">
        <f>IFERROR(__xludf.DUMMYFUNCTION("""COMPUTED_VALUE"""),"15")</f>
        <v>15</v>
      </c>
      <c r="J293" s="6" t="str">
        <f>IFERROR(__xludf.DUMMYFUNCTION("""COMPUTED_VALUE"""),"Pereira")</f>
        <v>Pereira</v>
      </c>
      <c r="K293" s="6" t="str">
        <f>IFERROR(__xludf.DUMMYFUNCTION("""COMPUTED_VALUE"""),"juan.c2036@gi.edu.co")</f>
        <v>juan.c2036@gi.edu.co</v>
      </c>
      <c r="L293" s="6" t="str">
        <f>IFERROR(__xludf.DUMMYFUNCTION("""COMPUTED_VALUE"""),"RC")</f>
        <v>RC</v>
      </c>
      <c r="M293" s="6" t="str">
        <f>IFERROR(__xludf.DUMMYFUNCTION("""COMPUTED_VALUE"""),"Armenia")</f>
        <v>Armenia</v>
      </c>
      <c r="N293" s="6" t="str">
        <f>IFERROR(__xludf.DUMMYFUNCTION("""COMPUTED_VALUE"""),"M")</f>
        <v>M</v>
      </c>
      <c r="O293" s="6" t="str">
        <f>IFERROR(__xludf.DUMMYFUNCTION("""COMPUTED_VALUE"""),"ACTIVE")</f>
        <v>ACTIVE</v>
      </c>
      <c r="P293" s="6"/>
      <c r="Q293" s="6" t="str">
        <f>IFERROR(__xludf.DUMMYFUNCTION("""COMPUTED_VALUE"""),"Armenia")</f>
        <v>Armenia</v>
      </c>
      <c r="R293" s="12" t="str">
        <f>IFERROR(__xludf.DUMMYFUNCTION("""COMPUTED_VALUE"""),"Gi36zv29*")</f>
        <v>Gi36zv29*</v>
      </c>
      <c r="S293" s="6" t="str">
        <f>IFERROR(__xludf.DUMMYFUNCTION("""COMPUTED_VALUE"""),"Cardona Varela Juan Pablo")</f>
        <v>Cardona Varela Juan Pablo</v>
      </c>
      <c r="T293" s="6" t="str">
        <f>IFERROR(__xludf.DUMMYFUNCTION("""COMPUTED_VALUE"""),"SEBASTIAN CARDONA LEE")</f>
        <v>SEBASTIAN CARDONA LEE</v>
      </c>
      <c r="U293" s="12" t="str">
        <f>IFERROR(__xludf.DUMMYFUNCTION("""COMPUTED_VALUE"""),"1094913820")</f>
        <v>1094913820</v>
      </c>
      <c r="V293" s="6">
        <f>IFERROR(__xludf.DUMMYFUNCTION("""COMPUTED_VALUE"""),3.186345312E9)</f>
        <v>3186345312</v>
      </c>
      <c r="W293" s="6" t="str">
        <f>IFERROR(__xludf.DUMMYFUNCTION("""COMPUTED_VALUE"""),"sebaslee90@hotmail.com")</f>
        <v>sebaslee90@hotmail.com</v>
      </c>
      <c r="X293" s="12" t="str">
        <f>IFERROR(__xludf.DUMMYFUNCTION("""COMPUTED_VALUE"""),"B+")</f>
        <v>B+</v>
      </c>
      <c r="Y293" s="12" t="str">
        <f>IFERROR(__xludf.DUMMYFUNCTION("""COMPUTED_VALUE"""),"3")</f>
        <v>3</v>
      </c>
      <c r="Z293" s="12">
        <f>IFERROR(__xludf.DUMMYFUNCTION("""COMPUTED_VALUE"""),120346.0)</f>
        <v>120346</v>
      </c>
      <c r="AA293" s="6" t="str">
        <f>IFERROR(__xludf.DUMMYFUNCTION("""COMPUTED_VALUE"""),"SANITAS")</f>
        <v>SANITAS</v>
      </c>
      <c r="AB293" s="6"/>
      <c r="AC293" s="6"/>
      <c r="AD293" s="6" t="str">
        <f>IFERROR(__xludf.DUMMYFUNCTION("""COMPUTED_VALUE"""),"3A")</f>
        <v>3A</v>
      </c>
      <c r="AE293" s="12" t="str">
        <f>IFERROR(__xludf.DUMMYFUNCTION("""COMPUTED_VALUE"""),"1345282354")</f>
        <v>1345282354</v>
      </c>
      <c r="AF293" s="12" t="str">
        <f>IFERROR(__xludf.DUMMYFUNCTION("""COMPUTED_VALUE"""),"0650755827")</f>
        <v>0650755827</v>
      </c>
      <c r="AG293" s="12" t="str">
        <f>IFERROR(__xludf.DUMMYFUNCTION("""COMPUTED_VALUE"""),"Alejandra")</f>
        <v>Alejandra</v>
      </c>
      <c r="AH293" s="6"/>
      <c r="AI293" s="6" t="str">
        <f>IFERROR(__xludf.DUMMYFUNCTION("""COMPUTED_VALUE"""),"Varela Salazar")</f>
        <v>Varela Salazar</v>
      </c>
      <c r="AJ293" s="6" t="str">
        <f>IFERROR(__xludf.DUMMYFUNCTION("""COMPUTED_VALUE"""),"alejavarelasalazar@gmail.com")</f>
        <v>alejavarelasalazar@gmail.com</v>
      </c>
      <c r="AK293" s="6" t="str">
        <f>IFERROR(__xludf.DUMMYFUNCTION("""COMPUTED_VALUE"""),"comerciante")</f>
        <v>comerciante</v>
      </c>
      <c r="AL293" s="6"/>
      <c r="AM293" s="12" t="str">
        <f>IFERROR(__xludf.DUMMYFUNCTION("""COMPUTED_VALUE"""),"1094919401")</f>
        <v>1094919401</v>
      </c>
      <c r="AN293" s="12" t="str">
        <f>IFERROR(__xludf.DUMMYFUNCTION("""COMPUTED_VALUE"""),"3164913897")</f>
        <v>3164913897</v>
      </c>
      <c r="AO293" s="6" t="str">
        <f>IFERROR(__xludf.DUMMYFUNCTION("""COMPUTED_VALUE"""),"Madre")</f>
        <v>Madre</v>
      </c>
      <c r="AP293" s="6" t="str">
        <f>IFERROR(__xludf.DUMMYFUNCTION("""COMPUTED_VALUE"""),"Estudiante(s): Cardona Varela")</f>
        <v>Estudiante(s): Cardona Varela</v>
      </c>
      <c r="AQ293" s="6" t="str">
        <f>IFERROR(__xludf.DUMMYFUNCTION("""COMPUTED_VALUE"""),"120346#Gi")</f>
        <v>120346#Gi</v>
      </c>
      <c r="AR293" s="6" t="str">
        <f>IFERROR(__xludf.DUMMYFUNCTION("""COMPUTED_VALUE"""),"Sebastian")</f>
        <v>Sebastian</v>
      </c>
      <c r="AS293" s="6"/>
      <c r="AT293" s="6" t="str">
        <f>IFERROR(__xludf.DUMMYFUNCTION("""COMPUTED_VALUE"""),"Cardona Lee")</f>
        <v>Cardona Lee</v>
      </c>
      <c r="AU293" s="6" t="str">
        <f>IFERROR(__xludf.DUMMYFUNCTION("""COMPUTED_VALUE"""),"sebaslee90@hotmail.com")</f>
        <v>sebaslee90@hotmail.com</v>
      </c>
      <c r="AV293" s="6" t="str">
        <f>IFERROR(__xludf.DUMMYFUNCTION("""COMPUTED_VALUE"""),"comerciante")</f>
        <v>comerciante</v>
      </c>
      <c r="AW293" s="6"/>
      <c r="AX293" s="12" t="str">
        <f>IFERROR(__xludf.DUMMYFUNCTION("""COMPUTED_VALUE"""),"1094913820")</f>
        <v>1094913820</v>
      </c>
      <c r="AY293" s="12" t="str">
        <f>IFERROR(__xludf.DUMMYFUNCTION("""COMPUTED_VALUE"""),"3186345312")</f>
        <v>3186345312</v>
      </c>
      <c r="AZ293" s="6" t="str">
        <f>IFERROR(__xludf.DUMMYFUNCTION("""COMPUTED_VALUE"""),"Padre")</f>
        <v>Padre</v>
      </c>
      <c r="BA293" s="6"/>
      <c r="BB293" s="6"/>
      <c r="BC293" s="6"/>
      <c r="BD293" s="12" t="str">
        <f>IFERROR(__xludf.DUMMYFUNCTION("""COMPUTED_VALUE"""),"car0020")</f>
        <v>car0020</v>
      </c>
      <c r="BE293" s="6"/>
      <c r="BF293" s="6"/>
      <c r="BG293" s="6">
        <f>IFERROR(__xludf.DUMMYFUNCTION("""COMPUTED_VALUE"""),2036.0)</f>
        <v>2036</v>
      </c>
      <c r="BH293" s="15">
        <f>IFERROR(__xludf.DUMMYFUNCTION("""COMPUTED_VALUE"""),46209.67486111111)</f>
        <v>46209.67486</v>
      </c>
      <c r="BI293" s="6">
        <f>IFERROR(__xludf.DUMMYFUNCTION("""COMPUTED_VALUE"""),293.0)</f>
        <v>293</v>
      </c>
      <c r="BJ293" s="6"/>
      <c r="BK293" s="6"/>
      <c r="BL293" s="6" t="str">
        <f>IFERROR(__xludf.DUMMYFUNCTION("""COMPUTED_VALUE"""),"GISCAR0020")</f>
        <v>GISCAR0020</v>
      </c>
      <c r="BM293" s="6"/>
      <c r="BN293" s="6"/>
      <c r="BO293" s="6"/>
      <c r="BP293" s="6" t="str">
        <f>IFERROR(__xludf.DUMMYFUNCTION("""COMPUTED_VALUE"""),"XC_123_Basquetbol")</f>
        <v>XC_123_Basquetbol</v>
      </c>
      <c r="BQ293" s="6"/>
      <c r="BR293" s="6"/>
      <c r="BS293" s="6" t="str">
        <f>IFERROR(__xludf.DUMMYFUNCTION("""COMPUTED_VALUE"""),"XC_123_Basquetbol")</f>
        <v>XC_123_Basquetbol</v>
      </c>
      <c r="BT293" s="6" t="str">
        <f>IFERROR(__xludf.DUMMYFUNCTION("""COMPUTED_VALUE"""),"XC_123_Basquetbol")</f>
        <v>XC_123_Basquetbol</v>
      </c>
      <c r="BU293" s="6" t="str">
        <f>IFERROR(__xludf.DUMMYFUNCTION("""COMPUTED_VALUE"""),"SI")</f>
        <v>SI</v>
      </c>
      <c r="BV293" s="6" t="str">
        <f>IFERROR(__xludf.DUMMYFUNCTION("""COMPUTED_VALUE"""),"juan.c2036")</f>
        <v>juan.c2036</v>
      </c>
      <c r="BW293" s="6"/>
      <c r="BX293" s="6"/>
      <c r="BY293" s="6"/>
      <c r="BZ293" s="6"/>
    </row>
    <row r="294">
      <c r="A294" s="12">
        <f>IFERROR(__xludf.DUMMYFUNCTION("""COMPUTED_VALUE"""),1.035012502E9)</f>
        <v>1035012502</v>
      </c>
      <c r="B294" s="6">
        <f>IFERROR(__xludf.DUMMYFUNCTION("""COMPUTED_VALUE"""),4.0)</f>
        <v>4</v>
      </c>
      <c r="C294" s="6" t="str">
        <f>IFERROR(__xludf.DUMMYFUNCTION("""COMPUTED_VALUE"""),"Felipe")</f>
        <v>Felipe</v>
      </c>
      <c r="D294" s="6"/>
      <c r="E294" s="6" t="str">
        <f>IFERROR(__xludf.DUMMYFUNCTION("""COMPUTED_VALUE"""),"Correa Álvarez")</f>
        <v>Correa Álvarez</v>
      </c>
      <c r="F294" s="6" t="str">
        <f>IFERROR(__xludf.DUMMYFUNCTION("""COMPUTED_VALUE"""),"Conjunto Hacienda El Cabrero Casa 30 - Km 9 Via Armenia-La Tebaida")</f>
        <v>Conjunto Hacienda El Cabrero Casa 30 - Km 9 Via Armenia-La Tebaida</v>
      </c>
      <c r="G294" s="12" t="str">
        <f>IFERROR(__xludf.DUMMYFUNCTION("""COMPUTED_VALUE"""),"2018")</f>
        <v>2018</v>
      </c>
      <c r="H294" s="6" t="str">
        <f>IFERROR(__xludf.DUMMYFUNCTION("""COMPUTED_VALUE"""),"Abril")</f>
        <v>Abril</v>
      </c>
      <c r="I294" s="12" t="str">
        <f>IFERROR(__xludf.DUMMYFUNCTION("""COMPUTED_VALUE"""),"23")</f>
        <v>23</v>
      </c>
      <c r="J294" s="6" t="str">
        <f>IFERROR(__xludf.DUMMYFUNCTION("""COMPUTED_VALUE"""),"Medellín")</f>
        <v>Medellín</v>
      </c>
      <c r="K294" s="6" t="str">
        <f>IFERROR(__xludf.DUMMYFUNCTION("""COMPUTED_VALUE"""),"felipe.c2036@gi.edu.co")</f>
        <v>felipe.c2036@gi.edu.co</v>
      </c>
      <c r="L294" s="6" t="str">
        <f>IFERROR(__xludf.DUMMYFUNCTION("""COMPUTED_VALUE"""),"TI")</f>
        <v>TI</v>
      </c>
      <c r="M294" s="6" t="str">
        <f>IFERROR(__xludf.DUMMYFUNCTION("""COMPUTED_VALUE"""),"Medellín")</f>
        <v>Medellín</v>
      </c>
      <c r="N294" s="6" t="str">
        <f>IFERROR(__xludf.DUMMYFUNCTION("""COMPUTED_VALUE"""),"M")</f>
        <v>M</v>
      </c>
      <c r="O294" s="6" t="str">
        <f>IFERROR(__xludf.DUMMYFUNCTION("""COMPUTED_VALUE"""),"ACTIVE")</f>
        <v>ACTIVE</v>
      </c>
      <c r="P294" s="6"/>
      <c r="Q294" s="6" t="str">
        <f>IFERROR(__xludf.DUMMYFUNCTION("""COMPUTED_VALUE"""),"Armenia")</f>
        <v>Armenia</v>
      </c>
      <c r="R294" s="12" t="str">
        <f>IFERROR(__xludf.DUMMYFUNCTION("""COMPUTED_VALUE"""),"Gihy765mj*")</f>
        <v>Gihy765mj*</v>
      </c>
      <c r="S294" s="6" t="str">
        <f>IFERROR(__xludf.DUMMYFUNCTION("""COMPUTED_VALUE"""),"Correa Álvarez Felipe ")</f>
        <v>Correa Álvarez Felipe </v>
      </c>
      <c r="T294" s="6" t="str">
        <f>IFERROR(__xludf.DUMMYFUNCTION("""COMPUTED_VALUE"""),"JUAN PABLO CORREA OSPINA")</f>
        <v>JUAN PABLO CORREA OSPINA</v>
      </c>
      <c r="U294" s="12" t="str">
        <f>IFERROR(__xludf.DUMMYFUNCTION("""COMPUTED_VALUE"""),"71380835")</f>
        <v>71380835</v>
      </c>
      <c r="V294" s="6">
        <f>IFERROR(__xludf.DUMMYFUNCTION("""COMPUTED_VALUE"""),3.127825494E9)</f>
        <v>3127825494</v>
      </c>
      <c r="W294" s="6" t="str">
        <f>IFERROR(__xludf.DUMMYFUNCTION("""COMPUTED_VALUE"""),"juanpablo.correa@yahoo.com")</f>
        <v>juanpablo.correa@yahoo.com</v>
      </c>
      <c r="X294" s="12" t="str">
        <f>IFERROR(__xludf.DUMMYFUNCTION("""COMPUTED_VALUE"""),"O+")</f>
        <v>O+</v>
      </c>
      <c r="Y294" s="12" t="str">
        <f>IFERROR(__xludf.DUMMYFUNCTION("""COMPUTED_VALUE"""),"3")</f>
        <v>3</v>
      </c>
      <c r="Z294" s="12">
        <f>IFERROR(__xludf.DUMMYFUNCTION("""COMPUTED_VALUE"""),120197.0)</f>
        <v>120197</v>
      </c>
      <c r="AA294" s="6" t="str">
        <f>IFERROR(__xludf.DUMMYFUNCTION("""COMPUTED_VALUE"""),"SURA")</f>
        <v>SURA</v>
      </c>
      <c r="AB294" s="6"/>
      <c r="AC294" s="12" t="str">
        <f>IFERROR(__xludf.DUMMYFUNCTION("""COMPUTED_VALUE"""),"Picadura de avispa y abeja")</f>
        <v>Picadura de avispa y abeja</v>
      </c>
      <c r="AD294" s="6" t="str">
        <f>IFERROR(__xludf.DUMMYFUNCTION("""COMPUTED_VALUE"""),"3A")</f>
        <v>3A</v>
      </c>
      <c r="AE294" s="12">
        <f>IFERROR(__xludf.DUMMYFUNCTION("""COMPUTED_VALUE"""),1.345282059E9)</f>
        <v>1345282059</v>
      </c>
      <c r="AF294" s="12" t="str">
        <f>IFERROR(__xludf.DUMMYFUNCTION("""COMPUTED_VALUE"""),"0658030915")</f>
        <v>0658030915</v>
      </c>
      <c r="AG294" s="12" t="str">
        <f>IFERROR(__xludf.DUMMYFUNCTION("""COMPUTED_VALUE"""),"Ana")</f>
        <v>Ana</v>
      </c>
      <c r="AH294" s="12" t="str">
        <f>IFERROR(__xludf.DUMMYFUNCTION("""COMPUTED_VALUE"""),"María")</f>
        <v>María</v>
      </c>
      <c r="AI294" s="6" t="str">
        <f>IFERROR(__xludf.DUMMYFUNCTION("""COMPUTED_VALUE"""),"Álvarez Jaramillo")</f>
        <v>Álvarez Jaramillo</v>
      </c>
      <c r="AJ294" s="6" t="str">
        <f>IFERROR(__xludf.DUMMYFUNCTION("""COMPUTED_VALUE"""),"ana.alvarezj@hotmail.com")</f>
        <v>ana.alvarezj@hotmail.com</v>
      </c>
      <c r="AK294" s="6" t="str">
        <f>IFERROR(__xludf.DUMMYFUNCTION("""COMPUTED_VALUE"""),"ADMINISTRADORA DE NEGOCIOS")</f>
        <v>ADMINISTRADORA DE NEGOCIOS</v>
      </c>
      <c r="AL294" s="6" t="str">
        <f>IFERROR(__xludf.DUMMYFUNCTION("""COMPUTED_VALUE"""),"O4GT SUDAMERICA S.A.S")</f>
        <v>O4GT SUDAMERICA S.A.S</v>
      </c>
      <c r="AM294" s="12" t="str">
        <f>IFERROR(__xludf.DUMMYFUNCTION("""COMPUTED_VALUE"""),"41958935")</f>
        <v>41958935</v>
      </c>
      <c r="AN294" s="12" t="str">
        <f>IFERROR(__xludf.DUMMYFUNCTION("""COMPUTED_VALUE"""),"3148967118")</f>
        <v>3148967118</v>
      </c>
      <c r="AO294" s="6" t="str">
        <f>IFERROR(__xludf.DUMMYFUNCTION("""COMPUTED_VALUE"""),"Madre")</f>
        <v>Madre</v>
      </c>
      <c r="AP294" s="6" t="str">
        <f>IFERROR(__xludf.DUMMYFUNCTION("""COMPUTED_VALUE"""),"Estudiante(s): Correa Álvarez")</f>
        <v>Estudiante(s): Correa Álvarez</v>
      </c>
      <c r="AQ294" s="6" t="str">
        <f>IFERROR(__xludf.DUMMYFUNCTION("""COMPUTED_VALUE"""),"103390*Gi")</f>
        <v>103390*Gi</v>
      </c>
      <c r="AR294" s="6" t="str">
        <f>IFERROR(__xludf.DUMMYFUNCTION("""COMPUTED_VALUE"""),"Juan")</f>
        <v>Juan</v>
      </c>
      <c r="AS294" s="6" t="str">
        <f>IFERROR(__xludf.DUMMYFUNCTION("""COMPUTED_VALUE"""),"Pablo")</f>
        <v>Pablo</v>
      </c>
      <c r="AT294" s="6" t="str">
        <f>IFERROR(__xludf.DUMMYFUNCTION("""COMPUTED_VALUE"""),"Correa Ospina")</f>
        <v>Correa Ospina</v>
      </c>
      <c r="AU294" s="6" t="str">
        <f>IFERROR(__xludf.DUMMYFUNCTION("""COMPUTED_VALUE"""),"juanpablo.correa@yahoo.com")</f>
        <v>juanpablo.correa@yahoo.com</v>
      </c>
      <c r="AV294" s="6" t="str">
        <f>IFERROR(__xludf.DUMMYFUNCTION("""COMPUTED_VALUE"""),"ADMINISTRADOR DE NEGOCIOS")</f>
        <v>ADMINISTRADOR DE NEGOCIOS</v>
      </c>
      <c r="AW294" s="6" t="str">
        <f>IFERROR(__xludf.DUMMYFUNCTION("""COMPUTED_VALUE"""),"WMI SAS")</f>
        <v>WMI SAS</v>
      </c>
      <c r="AX294" s="12" t="str">
        <f>IFERROR(__xludf.DUMMYFUNCTION("""COMPUTED_VALUE"""),"71380835")</f>
        <v>71380835</v>
      </c>
      <c r="AY294" s="12" t="str">
        <f>IFERROR(__xludf.DUMMYFUNCTION("""COMPUTED_VALUE"""),"3127825494")</f>
        <v>3127825494</v>
      </c>
      <c r="AZ294" s="6" t="str">
        <f>IFERROR(__xludf.DUMMYFUNCTION("""COMPUTED_VALUE"""),"Padre")</f>
        <v>Padre</v>
      </c>
      <c r="BA294" s="6"/>
      <c r="BB294" s="6"/>
      <c r="BC294" s="6"/>
      <c r="BD294" s="12" t="str">
        <f>IFERROR(__xludf.DUMMYFUNCTION("""COMPUTED_VALUE"""),"cor0013")</f>
        <v>cor0013</v>
      </c>
      <c r="BE294" s="6"/>
      <c r="BF294" s="6"/>
      <c r="BG294" s="6">
        <f>IFERROR(__xludf.DUMMYFUNCTION("""COMPUTED_VALUE"""),2036.0)</f>
        <v>2036</v>
      </c>
      <c r="BH294" s="15">
        <f>IFERROR(__xludf.DUMMYFUNCTION("""COMPUTED_VALUE"""),46233.84230324074)</f>
        <v>46233.8423</v>
      </c>
      <c r="BI294" s="6">
        <f>IFERROR(__xludf.DUMMYFUNCTION("""COMPUTED_VALUE"""),294.0)</f>
        <v>294</v>
      </c>
      <c r="BJ294" s="6"/>
      <c r="BK294" s="6"/>
      <c r="BL294" s="6" t="str">
        <f>IFERROR(__xludf.DUMMYFUNCTION("""COMPUTED_VALUE"""),"GISCOR0013")</f>
        <v>GISCOR0013</v>
      </c>
      <c r="BM294" s="6"/>
      <c r="BN294" s="6"/>
      <c r="BO294" s="6"/>
      <c r="BP294" s="6"/>
      <c r="BQ294" s="6"/>
      <c r="BR294" s="6"/>
      <c r="BS294" s="6"/>
      <c r="BT294" s="6"/>
      <c r="BU294" s="6" t="str">
        <f>IFERROR(__xludf.DUMMYFUNCTION("""COMPUTED_VALUE"""),"SI")</f>
        <v>SI</v>
      </c>
      <c r="BV294" s="6" t="str">
        <f>IFERROR(__xludf.DUMMYFUNCTION("""COMPUTED_VALUE"""),"felipe.c2036")</f>
        <v>felipe.c2036</v>
      </c>
      <c r="BW294" s="6"/>
      <c r="BX294" s="6"/>
      <c r="BY294" s="6"/>
      <c r="BZ294" s="6"/>
    </row>
    <row r="295">
      <c r="A295" s="12">
        <f>IFERROR(__xludf.DUMMYFUNCTION("""COMPUTED_VALUE"""),1.092861723E9)</f>
        <v>1092861723</v>
      </c>
      <c r="B295" s="6">
        <f>IFERROR(__xludf.DUMMYFUNCTION("""COMPUTED_VALUE"""),5.0)</f>
        <v>5</v>
      </c>
      <c r="C295" s="6" t="str">
        <f>IFERROR(__xludf.DUMMYFUNCTION("""COMPUTED_VALUE"""),"Julieta")</f>
        <v>Julieta</v>
      </c>
      <c r="D295" s="6"/>
      <c r="E295" s="6" t="str">
        <f>IFERROR(__xludf.DUMMYFUNCTION("""COMPUTED_VALUE"""),"Correal Narváez")</f>
        <v>Correal Narváez</v>
      </c>
      <c r="F295" s="6" t="str">
        <f>IFERROR(__xludf.DUMMYFUNCTION("""COMPUTED_VALUE"""),"Conjunto Bosques de San Juan Casa 3 - Cra 6 No43Nte - 50 Av Centenario")</f>
        <v>Conjunto Bosques de San Juan Casa 3 - Cra 6 No43Nte - 50 Av Centenario</v>
      </c>
      <c r="G295" s="12" t="str">
        <f>IFERROR(__xludf.DUMMYFUNCTION("""COMPUTED_VALUE"""),"2018")</f>
        <v>2018</v>
      </c>
      <c r="H295" s="6" t="str">
        <f>IFERROR(__xludf.DUMMYFUNCTION("""COMPUTED_VALUE"""),"Enero")</f>
        <v>Enero</v>
      </c>
      <c r="I295" s="12" t="str">
        <f>IFERROR(__xludf.DUMMYFUNCTION("""COMPUTED_VALUE"""),"12")</f>
        <v>12</v>
      </c>
      <c r="J295" s="6" t="str">
        <f>IFERROR(__xludf.DUMMYFUNCTION("""COMPUTED_VALUE"""),"Armenia")</f>
        <v>Armenia</v>
      </c>
      <c r="K295" s="6" t="str">
        <f>IFERROR(__xludf.DUMMYFUNCTION("""COMPUTED_VALUE"""),"julieta.c2036@gi.edu.co")</f>
        <v>julieta.c2036@gi.edu.co</v>
      </c>
      <c r="L295" s="6" t="str">
        <f>IFERROR(__xludf.DUMMYFUNCTION("""COMPUTED_VALUE"""),"TI")</f>
        <v>TI</v>
      </c>
      <c r="M295" s="6" t="str">
        <f>IFERROR(__xludf.DUMMYFUNCTION("""COMPUTED_VALUE"""),"Armenia")</f>
        <v>Armenia</v>
      </c>
      <c r="N295" s="6" t="str">
        <f>IFERROR(__xludf.DUMMYFUNCTION("""COMPUTED_VALUE"""),"F")</f>
        <v>F</v>
      </c>
      <c r="O295" s="6" t="str">
        <f>IFERROR(__xludf.DUMMYFUNCTION("""COMPUTED_VALUE"""),"ACTIVE")</f>
        <v>ACTIVE</v>
      </c>
      <c r="P295" s="6"/>
      <c r="Q295" s="6" t="str">
        <f>IFERROR(__xludf.DUMMYFUNCTION("""COMPUTED_VALUE"""),"Armenia")</f>
        <v>Armenia</v>
      </c>
      <c r="R295" s="12" t="str">
        <f>IFERROR(__xludf.DUMMYFUNCTION("""COMPUTED_VALUE"""),"Gis2HdRX*")</f>
        <v>Gis2HdRX*</v>
      </c>
      <c r="S295" s="6" t="str">
        <f>IFERROR(__xludf.DUMMYFUNCTION("""COMPUTED_VALUE"""),"Correal Narváez Julieta ")</f>
        <v>Correal Narváez Julieta </v>
      </c>
      <c r="T295" s="6" t="str">
        <f>IFERROR(__xludf.DUMMYFUNCTION("""COMPUTED_VALUE"""),"DANIEL ADONIRAN CORREAL GENTRY")</f>
        <v>DANIEL ADONIRAN CORREAL GENTRY</v>
      </c>
      <c r="U295" s="12" t="str">
        <f>IFERROR(__xludf.DUMMYFUNCTION("""COMPUTED_VALUE"""),"9735213")</f>
        <v>9735213</v>
      </c>
      <c r="V295" s="6">
        <f>IFERROR(__xludf.DUMMYFUNCTION("""COMPUTED_VALUE"""),3.104223653E9)</f>
        <v>3104223653</v>
      </c>
      <c r="W295" s="6" t="str">
        <f>IFERROR(__xludf.DUMMYFUNCTION("""COMPUTED_VALUE"""),"daniel.correal@hotmail.com")</f>
        <v>daniel.correal@hotmail.com</v>
      </c>
      <c r="X295" s="12" t="str">
        <f>IFERROR(__xludf.DUMMYFUNCTION("""COMPUTED_VALUE"""),"O+")</f>
        <v>O+</v>
      </c>
      <c r="Y295" s="12" t="str">
        <f>IFERROR(__xludf.DUMMYFUNCTION("""COMPUTED_VALUE"""),"3")</f>
        <v>3</v>
      </c>
      <c r="Z295" s="12">
        <f>IFERROR(__xludf.DUMMYFUNCTION("""COMPUTED_VALUE"""),120198.0)</f>
        <v>120198</v>
      </c>
      <c r="AA295" s="6" t="str">
        <f>IFERROR(__xludf.DUMMYFUNCTION("""COMPUTED_VALUE"""),"SURA")</f>
        <v>SURA</v>
      </c>
      <c r="AB295" s="6"/>
      <c r="AC295" s="6" t="str">
        <f>IFERROR(__xludf.DUMMYFUNCTION("""COMPUTED_VALUE"""),"AJO")</f>
        <v>AJO</v>
      </c>
      <c r="AD295" s="6" t="str">
        <f>IFERROR(__xludf.DUMMYFUNCTION("""COMPUTED_VALUE"""),"3A")</f>
        <v>3A</v>
      </c>
      <c r="AE295" s="12">
        <f>IFERROR(__xludf.DUMMYFUNCTION("""COMPUTED_VALUE"""),1.345282136E9)</f>
        <v>1345282136</v>
      </c>
      <c r="AF295" s="12" t="str">
        <f>IFERROR(__xludf.DUMMYFUNCTION("""COMPUTED_VALUE"""),"0651882755")</f>
        <v>0651882755</v>
      </c>
      <c r="AG295" s="12" t="str">
        <f>IFERROR(__xludf.DUMMYFUNCTION("""COMPUTED_VALUE"""),"Catalina")</f>
        <v>Catalina</v>
      </c>
      <c r="AH295" s="6"/>
      <c r="AI295" s="6" t="str">
        <f>IFERROR(__xludf.DUMMYFUNCTION("""COMPUTED_VALUE"""),"Narváez Grisales")</f>
        <v>Narváez Grisales</v>
      </c>
      <c r="AJ295" s="6" t="str">
        <f>IFERROR(__xludf.DUMMYFUNCTION("""COMPUTED_VALUE"""),"catanagri13@icloud.com")</f>
        <v>catanagri13@icloud.com</v>
      </c>
      <c r="AK295" s="6" t="str">
        <f>IFERROR(__xludf.DUMMYFUNCTION("""COMPUTED_VALUE"""),"Médica")</f>
        <v>Médica</v>
      </c>
      <c r="AL295" s="6" t="str">
        <f>IFERROR(__xludf.DUMMYFUNCTION("""COMPUTED_VALUE"""),"Clínica Alcazar")</f>
        <v>Clínica Alcazar</v>
      </c>
      <c r="AM295" s="12" t="str">
        <f>IFERROR(__xludf.DUMMYFUNCTION("""COMPUTED_VALUE"""),"30237411")</f>
        <v>30237411</v>
      </c>
      <c r="AN295" s="12" t="str">
        <f>IFERROR(__xludf.DUMMYFUNCTION("""COMPUTED_VALUE"""),"3136158150")</f>
        <v>3136158150</v>
      </c>
      <c r="AO295" s="6" t="str">
        <f>IFERROR(__xludf.DUMMYFUNCTION("""COMPUTED_VALUE"""),"Madre")</f>
        <v>Madre</v>
      </c>
      <c r="AP295" s="6" t="str">
        <f>IFERROR(__xludf.DUMMYFUNCTION("""COMPUTED_VALUE"""),"Estudiante(s): Correal Narváez")</f>
        <v>Estudiante(s): Correal Narváez</v>
      </c>
      <c r="AQ295" s="6" t="str">
        <f>IFERROR(__xludf.DUMMYFUNCTION("""COMPUTED_VALUE"""),"103626*Gi")</f>
        <v>103626*Gi</v>
      </c>
      <c r="AR295" s="6" t="str">
        <f>IFERROR(__xludf.DUMMYFUNCTION("""COMPUTED_VALUE"""),"Daniel")</f>
        <v>Daniel</v>
      </c>
      <c r="AS295" s="6" t="str">
        <f>IFERROR(__xludf.DUMMYFUNCTION("""COMPUTED_VALUE"""),"Adonirán")</f>
        <v>Adonirán</v>
      </c>
      <c r="AT295" s="6" t="str">
        <f>IFERROR(__xludf.DUMMYFUNCTION("""COMPUTED_VALUE"""),"Correal Gentry")</f>
        <v>Correal Gentry</v>
      </c>
      <c r="AU295" s="6" t="str">
        <f>IFERROR(__xludf.DUMMYFUNCTION("""COMPUTED_VALUE"""),"daniel.correal@hotmail.com")</f>
        <v>daniel.correal@hotmail.com</v>
      </c>
      <c r="AV295" s="6" t="str">
        <f>IFERROR(__xludf.DUMMYFUNCTION("""COMPUTED_VALUE"""),"Cirujano plástico facial y otorrinolaringologo")</f>
        <v>Cirujano plástico facial y otorrinolaringologo</v>
      </c>
      <c r="AW295" s="6" t="str">
        <f>IFERROR(__xludf.DUMMYFUNCTION("""COMPUTED_VALUE"""),"Clínica Alcazar")</f>
        <v>Clínica Alcazar</v>
      </c>
      <c r="AX295" s="12" t="str">
        <f>IFERROR(__xludf.DUMMYFUNCTION("""COMPUTED_VALUE"""),"9735213")</f>
        <v>9735213</v>
      </c>
      <c r="AY295" s="12" t="str">
        <f>IFERROR(__xludf.DUMMYFUNCTION("""COMPUTED_VALUE"""),"3104223653")</f>
        <v>3104223653</v>
      </c>
      <c r="AZ295" s="6" t="str">
        <f>IFERROR(__xludf.DUMMYFUNCTION("""COMPUTED_VALUE"""),"Padre")</f>
        <v>Padre</v>
      </c>
      <c r="BA295" s="6" t="str">
        <f>IFERROR(__xludf.DUMMYFUNCTION("""COMPUTED_VALUE"""),"GILBERTO NARVAEZ GONZALEZ")</f>
        <v>GILBERTO NARVAEZ GONZALEZ</v>
      </c>
      <c r="BB295" s="6">
        <f>IFERROR(__xludf.DUMMYFUNCTION("""COMPUTED_VALUE"""),3.103906362E9)</f>
        <v>3103906362</v>
      </c>
      <c r="BC295" s="6" t="str">
        <f>IFERROR(__xludf.DUMMYFUNCTION("""COMPUTED_VALUE"""),"Abuelo(a)")</f>
        <v>Abuelo(a)</v>
      </c>
      <c r="BD295" s="12" t="str">
        <f>IFERROR(__xludf.DUMMYFUNCTION("""COMPUTED_VALUE"""),"cor0011")</f>
        <v>cor0011</v>
      </c>
      <c r="BE295" s="6"/>
      <c r="BF295" s="6"/>
      <c r="BG295" s="6">
        <f>IFERROR(__xludf.DUMMYFUNCTION("""COMPUTED_VALUE"""),2036.0)</f>
        <v>2036</v>
      </c>
      <c r="BH295" s="15">
        <f>IFERROR(__xludf.DUMMYFUNCTION("""COMPUTED_VALUE"""),46204.88197916667)</f>
        <v>46204.88198</v>
      </c>
      <c r="BI295" s="6">
        <f>IFERROR(__xludf.DUMMYFUNCTION("""COMPUTED_VALUE"""),295.0)</f>
        <v>295</v>
      </c>
      <c r="BJ295" s="6"/>
      <c r="BK295" s="6"/>
      <c r="BL295" s="6" t="str">
        <f>IFERROR(__xludf.DUMMYFUNCTION("""COMPUTED_VALUE"""),"GISCOR0011")</f>
        <v>GISCOR0011</v>
      </c>
      <c r="BM295" s="6"/>
      <c r="BN295" s="6"/>
      <c r="BO295" s="6" t="str">
        <f>IFERROR(__xludf.DUMMYFUNCTION("""COMPUTED_VALUE"""),"XC_EL_ArtesPlasticas")</f>
        <v>XC_EL_ArtesPlasticas</v>
      </c>
      <c r="BP295" s="6" t="str">
        <f>IFERROR(__xludf.DUMMYFUNCTION("""COMPUTED_VALUE"""),"XC_EL_Porras")</f>
        <v>XC_EL_Porras</v>
      </c>
      <c r="BQ295" s="6" t="str">
        <f>IFERROR(__xludf.DUMMYFUNCTION("""COMPUTED_VALUE"""),"XC_EL_Porras")</f>
        <v>XC_EL_Porras</v>
      </c>
      <c r="BR295" s="6" t="str">
        <f>IFERROR(__xludf.DUMMYFUNCTION("""COMPUTED_VALUE"""),"XC_EL_PequenosCientificos")</f>
        <v>XC_EL_PequenosCientificos</v>
      </c>
      <c r="BS295" s="6" t="str">
        <f>IFERROR(__xludf.DUMMYFUNCTION("""COMPUTED_VALUE"""),"XC_EL_Porras")</f>
        <v>XC_EL_Porras</v>
      </c>
      <c r="BT295" s="6"/>
      <c r="BU295" s="6" t="str">
        <f>IFERROR(__xludf.DUMMYFUNCTION("""COMPUTED_VALUE"""),"SI")</f>
        <v>SI</v>
      </c>
      <c r="BV295" s="6" t="str">
        <f>IFERROR(__xludf.DUMMYFUNCTION("""COMPUTED_VALUE"""),"julieta.c2036")</f>
        <v>julieta.c2036</v>
      </c>
      <c r="BW295" s="6"/>
      <c r="BX295" s="6"/>
      <c r="BY295" s="6"/>
      <c r="BZ295" s="6"/>
    </row>
    <row r="296">
      <c r="A296" s="6">
        <f>IFERROR(__xludf.DUMMYFUNCTION("""COMPUTED_VALUE"""),1.03501074E9)</f>
        <v>1035010740</v>
      </c>
      <c r="B296" s="6">
        <f>IFERROR(__xludf.DUMMYFUNCTION("""COMPUTED_VALUE"""),6.0)</f>
        <v>6</v>
      </c>
      <c r="C296" s="6" t="str">
        <f>IFERROR(__xludf.DUMMYFUNCTION("""COMPUTED_VALUE"""),"Emilio")</f>
        <v>Emilio</v>
      </c>
      <c r="D296" s="6"/>
      <c r="E296" s="6" t="str">
        <f>IFERROR(__xludf.DUMMYFUNCTION("""COMPUTED_VALUE"""),"Cruz Agudelo")</f>
        <v>Cruz Agudelo</v>
      </c>
      <c r="F296" s="6" t="str">
        <f>IFERROR(__xludf.DUMMYFUNCTION("""COMPUTED_VALUE"""),"
Condominio Monterrey Casa 26 - Km 1 Via Armenia Circasia Vereda Riobamba")</f>
        <v>
Condominio Monterrey Casa 26 - Km 1 Via Armenia Circasia Vereda Riobamba</v>
      </c>
      <c r="G296" s="12" t="str">
        <f>IFERROR(__xludf.DUMMYFUNCTION("""COMPUTED_VALUE"""),"2017")</f>
        <v>2017</v>
      </c>
      <c r="H296" s="6" t="str">
        <f>IFERROR(__xludf.DUMMYFUNCTION("""COMPUTED_VALUE"""),"Julio")</f>
        <v>Julio</v>
      </c>
      <c r="I296" s="12" t="str">
        <f>IFERROR(__xludf.DUMMYFUNCTION("""COMPUTED_VALUE"""),"1")</f>
        <v>1</v>
      </c>
      <c r="J296" s="6" t="str">
        <f>IFERROR(__xludf.DUMMYFUNCTION("""COMPUTED_VALUE"""),"Medellín")</f>
        <v>Medellín</v>
      </c>
      <c r="K296" s="6" t="str">
        <f>IFERROR(__xludf.DUMMYFUNCTION("""COMPUTED_VALUE"""),"emilio.c2036@gi.edu.co")</f>
        <v>emilio.c2036@gi.edu.co</v>
      </c>
      <c r="L296" s="6" t="str">
        <f>IFERROR(__xludf.DUMMYFUNCTION("""COMPUTED_VALUE"""),"TI")</f>
        <v>TI</v>
      </c>
      <c r="M296" s="6" t="str">
        <f>IFERROR(__xludf.DUMMYFUNCTION("""COMPUTED_VALUE"""),"Medellín")</f>
        <v>Medellín</v>
      </c>
      <c r="N296" s="6" t="str">
        <f>IFERROR(__xludf.DUMMYFUNCTION("""COMPUTED_VALUE"""),"M")</f>
        <v>M</v>
      </c>
      <c r="O296" s="6" t="str">
        <f>IFERROR(__xludf.DUMMYFUNCTION("""COMPUTED_VALUE"""),"INACTIVE")</f>
        <v>INACTIVE</v>
      </c>
      <c r="P296" s="6"/>
      <c r="Q296" s="6" t="str">
        <f>IFERROR(__xludf.DUMMYFUNCTION("""COMPUTED_VALUE"""),"Armenia")</f>
        <v>Armenia</v>
      </c>
      <c r="R296" s="12" t="str">
        <f>IFERROR(__xludf.DUMMYFUNCTION("""COMPUTED_VALUE"""),"Giw472j*")</f>
        <v>Giw472j*</v>
      </c>
      <c r="S296" s="6" t="str">
        <f>IFERROR(__xludf.DUMMYFUNCTION("""COMPUTED_VALUE"""),"Cruz Agudelo Emilio ")</f>
        <v>Cruz Agudelo Emilio </v>
      </c>
      <c r="T296" s="6" t="str">
        <f>IFERROR(__xludf.DUMMYFUNCTION("""COMPUTED_VALUE"""),"ANA MARIA AGUDELO ARIAS")</f>
        <v>ANA MARIA AGUDELO ARIAS</v>
      </c>
      <c r="U296" s="12" t="str">
        <f>IFERROR(__xludf.DUMMYFUNCTION("""COMPUTED_VALUE"""),"1094878882")</f>
        <v>1094878882</v>
      </c>
      <c r="V296" s="6">
        <f>IFERROR(__xludf.DUMMYFUNCTION("""COMPUTED_VALUE"""),3.14284729E9)</f>
        <v>3142847290</v>
      </c>
      <c r="W296" s="6" t="str">
        <f>IFERROR(__xludf.DUMMYFUNCTION("""COMPUTED_VALUE"""),"avemariapublicista@gmail.com
")</f>
        <v>avemariapublicista@gmail.com
</v>
      </c>
      <c r="X296" s="12" t="str">
        <f>IFERROR(__xludf.DUMMYFUNCTION("""COMPUTED_VALUE"""),"O+")</f>
        <v>O+</v>
      </c>
      <c r="Y296" s="12" t="str">
        <f>IFERROR(__xludf.DUMMYFUNCTION("""COMPUTED_VALUE"""),"3")</f>
        <v>3</v>
      </c>
      <c r="Z296" s="12" t="str">
        <f>IFERROR(__xludf.DUMMYFUNCTION("""COMPUTED_VALUE"""),"120382")</f>
        <v>120382</v>
      </c>
      <c r="AA296" s="6" t="str">
        <f>IFERROR(__xludf.DUMMYFUNCTION("""COMPUTED_VALUE"""),"SURA")</f>
        <v>SURA</v>
      </c>
      <c r="AB296" s="6"/>
      <c r="AC296" s="12" t="str">
        <f>IFERROR(__xludf.DUMMYFUNCTION("""COMPUTED_VALUE"""),"Rinitis")</f>
        <v>Rinitis</v>
      </c>
      <c r="AD296" s="6" t="str">
        <f>IFERROR(__xludf.DUMMYFUNCTION("""COMPUTED_VALUE"""),"3A")</f>
        <v>3A</v>
      </c>
      <c r="AE296" s="12" t="str">
        <f>IFERROR(__xludf.DUMMYFUNCTION("""COMPUTED_VALUE"""),"1345282401")</f>
        <v>1345282401</v>
      </c>
      <c r="AF296" s="12" t="str">
        <f>IFERROR(__xludf.DUMMYFUNCTION("""COMPUTED_VALUE"""),"0677757843")</f>
        <v>0677757843</v>
      </c>
      <c r="AG296" s="12" t="str">
        <f>IFERROR(__xludf.DUMMYFUNCTION("""COMPUTED_VALUE"""),"Ana")</f>
        <v>Ana</v>
      </c>
      <c r="AH296" s="12" t="str">
        <f>IFERROR(__xludf.DUMMYFUNCTION("""COMPUTED_VALUE"""),"María")</f>
        <v>María</v>
      </c>
      <c r="AI296" s="6" t="str">
        <f>IFERROR(__xludf.DUMMYFUNCTION("""COMPUTED_VALUE"""),"Agudelo Arias")</f>
        <v>Agudelo Arias</v>
      </c>
      <c r="AJ296" s="6" t="str">
        <f>IFERROR(__xludf.DUMMYFUNCTION("""COMPUTED_VALUE"""),"avemariapublicista@gmail.com")</f>
        <v>avemariapublicista@gmail.com</v>
      </c>
      <c r="AK296" s="6" t="str">
        <f>IFERROR(__xludf.DUMMYFUNCTION("""COMPUTED_VALUE"""),"Publicista")</f>
        <v>Publicista</v>
      </c>
      <c r="AL296" s="6" t="str">
        <f>IFERROR(__xludf.DUMMYFUNCTION("""COMPUTED_VALUE"""),"Avemaría Publicidad")</f>
        <v>Avemaría Publicidad</v>
      </c>
      <c r="AM296" s="12" t="str">
        <f>IFERROR(__xludf.DUMMYFUNCTION("""COMPUTED_VALUE"""),"1094878882")</f>
        <v>1094878882</v>
      </c>
      <c r="AN296" s="12" t="str">
        <f>IFERROR(__xludf.DUMMYFUNCTION("""COMPUTED_VALUE"""),"3142847290")</f>
        <v>3142847290</v>
      </c>
      <c r="AO296" s="6" t="str">
        <f>IFERROR(__xludf.DUMMYFUNCTION("""COMPUTED_VALUE"""),"Madre")</f>
        <v>Madre</v>
      </c>
      <c r="AP296" s="6" t="str">
        <f>IFERROR(__xludf.DUMMYFUNCTION("""COMPUTED_VALUE"""),"Estudiante(s): Cruz Agudelo")</f>
        <v>Estudiante(s): Cruz Agudelo</v>
      </c>
      <c r="AQ296" s="6" t="str">
        <f>IFERROR(__xludf.DUMMYFUNCTION("""COMPUTED_VALUE"""),"120382*Gi")</f>
        <v>120382*Gi</v>
      </c>
      <c r="AR296" s="6" t="str">
        <f>IFERROR(__xludf.DUMMYFUNCTION("""COMPUTED_VALUE"""),"Mario")</f>
        <v>Mario</v>
      </c>
      <c r="AS296" s="6" t="str">
        <f>IFERROR(__xludf.DUMMYFUNCTION("""COMPUTED_VALUE"""),"Germán")</f>
        <v>Germán</v>
      </c>
      <c r="AT296" s="6" t="str">
        <f>IFERROR(__xludf.DUMMYFUNCTION("""COMPUTED_VALUE"""),"Cruz Ángel")</f>
        <v>Cruz Ángel</v>
      </c>
      <c r="AU296" s="6" t="str">
        <f>IFERROR(__xludf.DUMMYFUNCTION("""COMPUTED_VALUE"""),"mgcruzangel@gmail.com")</f>
        <v>mgcruzangel@gmail.com</v>
      </c>
      <c r="AV296" s="6" t="str">
        <f>IFERROR(__xludf.DUMMYFUNCTION("""COMPUTED_VALUE"""),"Ingeniero Ambiental")</f>
        <v>Ingeniero Ambiental</v>
      </c>
      <c r="AW296" s="6" t="str">
        <f>IFERROR(__xludf.DUMMYFUNCTION("""COMPUTED_VALUE"""),"VCR Ingeniería Ambiental")</f>
        <v>VCR Ingeniería Ambiental</v>
      </c>
      <c r="AX296" s="12" t="str">
        <f>IFERROR(__xludf.DUMMYFUNCTION("""COMPUTED_VALUE"""),"89007633")</f>
        <v>89007633</v>
      </c>
      <c r="AY296" s="12">
        <f>IFERROR(__xludf.DUMMYFUNCTION("""COMPUTED_VALUE"""),3.137461256E9)</f>
        <v>3137461256</v>
      </c>
      <c r="AZ296" s="6" t="str">
        <f>IFERROR(__xludf.DUMMYFUNCTION("""COMPUTED_VALUE"""),"Padre")</f>
        <v>Padre</v>
      </c>
      <c r="BA296" s="6"/>
      <c r="BB296" s="6"/>
      <c r="BC296" s="6"/>
      <c r="BD296" s="12" t="str">
        <f>IFERROR(__xludf.DUMMYFUNCTION("""COMPUTED_VALUE"""),"cru0001")</f>
        <v>cru0001</v>
      </c>
      <c r="BE296" s="6" t="str">
        <f>IFERROR(__xludf.DUMMYFUNCTION("""COMPUTED_VALUE"""),"FALTAN FIRMAS")</f>
        <v>FALTAN FIRMAS</v>
      </c>
      <c r="BF296" s="6"/>
      <c r="BG296" s="6">
        <f>IFERROR(__xludf.DUMMYFUNCTION("""COMPUTED_VALUE"""),2036.0)</f>
        <v>2036</v>
      </c>
      <c r="BH296" s="15">
        <f>IFERROR(__xludf.DUMMYFUNCTION("""COMPUTED_VALUE"""),46212.630590277775)</f>
        <v>46212.63059</v>
      </c>
      <c r="BI296" s="6">
        <f>IFERROR(__xludf.DUMMYFUNCTION("""COMPUTED_VALUE"""),296.0)</f>
        <v>296</v>
      </c>
      <c r="BJ296" s="6"/>
      <c r="BK296" s="6"/>
      <c r="BL296" s="6" t="str">
        <f>IFERROR(__xludf.DUMMYFUNCTION("""COMPUTED_VALUE"""),"GISCRU0001")</f>
        <v>GISCRU0001</v>
      </c>
      <c r="BM296" s="6"/>
      <c r="BN296" s="6"/>
      <c r="BO296" s="6" t="str">
        <f>IFERROR(__xludf.DUMMYFUNCTION("""COMPUTED_VALUE"""),"XC_EL_ArtesPlasticas")</f>
        <v>XC_EL_ArtesPlasticas</v>
      </c>
      <c r="BP296" s="6" t="str">
        <f>IFERROR(__xludf.DUMMYFUNCTION("""COMPUTED_VALUE"""),"XC_123_Basquetbol")</f>
        <v>XC_123_Basquetbol</v>
      </c>
      <c r="BQ296" s="6"/>
      <c r="BR296" s="6" t="str">
        <f>IFERROR(__xludf.DUMMYFUNCTION("""COMPUTED_VALUE"""),"XC_EL_PequenosCientificos")</f>
        <v>XC_EL_PequenosCientificos</v>
      </c>
      <c r="BS296" s="6" t="str">
        <f>IFERROR(__xludf.DUMMYFUNCTION("""COMPUTED_VALUE"""),"XC_123_Basquetbol")</f>
        <v>XC_123_Basquetbol</v>
      </c>
      <c r="BT296" s="6" t="str">
        <f>IFERROR(__xludf.DUMMYFUNCTION("""COMPUTED_VALUE"""),"XC_123_Basquetbol")</f>
        <v>XC_123_Basquetbol</v>
      </c>
      <c r="BU296" s="6" t="str">
        <f>IFERROR(__xludf.DUMMYFUNCTION("""COMPUTED_VALUE"""),"SI")</f>
        <v>SI</v>
      </c>
      <c r="BV296" s="6" t="str">
        <f>IFERROR(__xludf.DUMMYFUNCTION("""COMPUTED_VALUE"""),"emilio.c2036")</f>
        <v>emilio.c2036</v>
      </c>
      <c r="BW296" s="6"/>
      <c r="BX296" s="6"/>
      <c r="BY296" s="6"/>
      <c r="BZ296" s="6"/>
    </row>
    <row r="297">
      <c r="A297" s="12">
        <f>IFERROR(__xludf.DUMMYFUNCTION("""COMPUTED_VALUE"""),1.014895677E9)</f>
        <v>1014895677</v>
      </c>
      <c r="B297" s="6">
        <f>IFERROR(__xludf.DUMMYFUNCTION("""COMPUTED_VALUE"""),7.0)</f>
        <v>7</v>
      </c>
      <c r="C297" s="6" t="str">
        <f>IFERROR(__xludf.DUMMYFUNCTION("""COMPUTED_VALUE"""),"Isabella")</f>
        <v>Isabella</v>
      </c>
      <c r="D297" s="6"/>
      <c r="E297" s="6" t="str">
        <f>IFERROR(__xludf.DUMMYFUNCTION("""COMPUTED_VALUE"""),"Jaramillo Cortés")</f>
        <v>Jaramillo Cortés</v>
      </c>
      <c r="F297" s="6" t="str">
        <f>IFERROR(__xludf.DUMMYFUNCTION("""COMPUTED_VALUE"""),"Botanika Torre 1 - Calle 3 No7 - 51")</f>
        <v>Botanika Torre 1 - Calle 3 No7 - 51</v>
      </c>
      <c r="G297" s="12" t="str">
        <f>IFERROR(__xludf.DUMMYFUNCTION("""COMPUTED_VALUE"""),"2017")</f>
        <v>2017</v>
      </c>
      <c r="H297" s="6" t="str">
        <f>IFERROR(__xludf.DUMMYFUNCTION("""COMPUTED_VALUE"""),"Agosto")</f>
        <v>Agosto</v>
      </c>
      <c r="I297" s="12" t="str">
        <f>IFERROR(__xludf.DUMMYFUNCTION("""COMPUTED_VALUE"""),"17")</f>
        <v>17</v>
      </c>
      <c r="J297" s="6" t="str">
        <f>IFERROR(__xludf.DUMMYFUNCTION("""COMPUTED_VALUE"""),"Bogotá D.C.")</f>
        <v>Bogotá D.C.</v>
      </c>
      <c r="K297" s="6" t="str">
        <f>IFERROR(__xludf.DUMMYFUNCTION("""COMPUTED_VALUE"""),"isabella.j2036@gi.edu.co")</f>
        <v>isabella.j2036@gi.edu.co</v>
      </c>
      <c r="L297" s="6" t="str">
        <f>IFERROR(__xludf.DUMMYFUNCTION("""COMPUTED_VALUE"""),"TI")</f>
        <v>TI</v>
      </c>
      <c r="M297" s="6" t="str">
        <f>IFERROR(__xludf.DUMMYFUNCTION("""COMPUTED_VALUE"""),"Bogotá D.C.")</f>
        <v>Bogotá D.C.</v>
      </c>
      <c r="N297" s="6" t="str">
        <f>IFERROR(__xludf.DUMMYFUNCTION("""COMPUTED_VALUE"""),"F")</f>
        <v>F</v>
      </c>
      <c r="O297" s="6" t="str">
        <f>IFERROR(__xludf.DUMMYFUNCTION("""COMPUTED_VALUE"""),"ACTIVE")</f>
        <v>ACTIVE</v>
      </c>
      <c r="P297" s="6"/>
      <c r="Q297" s="6" t="str">
        <f>IFERROR(__xludf.DUMMYFUNCTION("""COMPUTED_VALUE"""),"Armenia")</f>
        <v>Armenia</v>
      </c>
      <c r="R297" s="12" t="str">
        <f>IFERROR(__xludf.DUMMYFUNCTION("""COMPUTED_VALUE"""),"Giyy4cds*")</f>
        <v>Giyy4cds*</v>
      </c>
      <c r="S297" s="6" t="str">
        <f>IFERROR(__xludf.DUMMYFUNCTION("""COMPUTED_VALUE"""),"Jaramillo Cortés Isabella ")</f>
        <v>Jaramillo Cortés Isabella </v>
      </c>
      <c r="T297" s="6" t="str">
        <f>IFERROR(__xludf.DUMMYFUNCTION("""COMPUTED_VALUE"""),"MAS QUE DISENO S.A.S.")</f>
        <v>MAS QUE DISENO S.A.S.</v>
      </c>
      <c r="U297" s="12" t="str">
        <f>IFERROR(__xludf.DUMMYFUNCTION("""COMPUTED_VALUE"""),"900569940")</f>
        <v>900569940</v>
      </c>
      <c r="V297" s="6">
        <f>IFERROR(__xludf.DUMMYFUNCTION("""COMPUTED_VALUE"""),3.007262969E9)</f>
        <v>3007262969</v>
      </c>
      <c r="W297" s="6" t="str">
        <f>IFERROR(__xludf.DUMMYFUNCTION("""COMPUTED_VALUE"""),"contabilidad@masquediseno.com.co")</f>
        <v>contabilidad@masquediseno.com.co</v>
      </c>
      <c r="X297" s="12" t="str">
        <f>IFERROR(__xludf.DUMMYFUNCTION("""COMPUTED_VALUE"""),"O+")</f>
        <v>O+</v>
      </c>
      <c r="Y297" s="12" t="str">
        <f>IFERROR(__xludf.DUMMYFUNCTION("""COMPUTED_VALUE"""),"3")</f>
        <v>3</v>
      </c>
      <c r="Z297" s="12">
        <f>IFERROR(__xludf.DUMMYFUNCTION("""COMPUTED_VALUE"""),120519.0)</f>
        <v>120519</v>
      </c>
      <c r="AA297" s="6" t="str">
        <f>IFERROR(__xludf.DUMMYFUNCTION("""COMPUTED_VALUE"""),"SURA")</f>
        <v>SURA</v>
      </c>
      <c r="AB297" s="6"/>
      <c r="AC297" s="6"/>
      <c r="AD297" s="6" t="str">
        <f>IFERROR(__xludf.DUMMYFUNCTION("""COMPUTED_VALUE"""),"3A")</f>
        <v>3A</v>
      </c>
      <c r="AE297" s="12" t="str">
        <f>IFERROR(__xludf.DUMMYFUNCTION("""COMPUTED_VALUE"""),"1345282518")</f>
        <v>1345282518</v>
      </c>
      <c r="AF297" s="6"/>
      <c r="AG297" s="12" t="str">
        <f>IFERROR(__xludf.DUMMYFUNCTION("""COMPUTED_VALUE"""),"Nathaly")</f>
        <v>Nathaly</v>
      </c>
      <c r="AH297" s="6"/>
      <c r="AI297" s="6" t="str">
        <f>IFERROR(__xludf.DUMMYFUNCTION("""COMPUTED_VALUE"""),"Cortés García")</f>
        <v>Cortés García</v>
      </c>
      <c r="AJ297" s="6" t="str">
        <f>IFERROR(__xludf.DUMMYFUNCTION("""COMPUTED_VALUE"""),"ncortes@masquediseno.com.co")</f>
        <v>ncortes@masquediseno.com.co</v>
      </c>
      <c r="AK297" s="6" t="str">
        <f>IFERROR(__xludf.DUMMYFUNCTION("""COMPUTED_VALUE"""),"DISEÑADORA GRÁFICA")</f>
        <v>DISEÑADORA GRÁFICA</v>
      </c>
      <c r="AL297" s="6" t="str">
        <f>IFERROR(__xludf.DUMMYFUNCTION("""COMPUTED_VALUE"""),"MÁS QUE DISEÑO SAS")</f>
        <v>MÁS QUE DISEÑO SAS</v>
      </c>
      <c r="AM297" s="12" t="str">
        <f>IFERROR(__xludf.DUMMYFUNCTION("""COMPUTED_VALUE"""),"53062530")</f>
        <v>53062530</v>
      </c>
      <c r="AN297" s="12" t="str">
        <f>IFERROR(__xludf.DUMMYFUNCTION("""COMPUTED_VALUE"""),"3005558719")</f>
        <v>3005558719</v>
      </c>
      <c r="AO297" s="6" t="str">
        <f>IFERROR(__xludf.DUMMYFUNCTION("""COMPUTED_VALUE"""),"Madre")</f>
        <v>Madre</v>
      </c>
      <c r="AP297" s="6" t="str">
        <f>IFERROR(__xludf.DUMMYFUNCTION("""COMPUTED_VALUE"""),"Estudiante(s): Jaramillo Cortés")</f>
        <v>Estudiante(s): Jaramillo Cortés</v>
      </c>
      <c r="AQ297" s="6" t="str">
        <f>IFERROR(__xludf.DUMMYFUNCTION("""COMPUTED_VALUE"""),"120520*Gi")</f>
        <v>120520*Gi</v>
      </c>
      <c r="AR297" s="6" t="str">
        <f>IFERROR(__xludf.DUMMYFUNCTION("""COMPUTED_VALUE"""),"Nicolás")</f>
        <v>Nicolás</v>
      </c>
      <c r="AS297" s="6"/>
      <c r="AT297" s="6" t="str">
        <f>IFERROR(__xludf.DUMMYFUNCTION("""COMPUTED_VALUE"""),"Jaramillo Ricaurte")</f>
        <v>Jaramillo Ricaurte</v>
      </c>
      <c r="AU297" s="6" t="str">
        <f>IFERROR(__xludf.DUMMYFUNCTION("""COMPUTED_VALUE"""),"njaramillo@masquediseno.com.co")</f>
        <v>njaramillo@masquediseno.com.co</v>
      </c>
      <c r="AV297" s="6" t="str">
        <f>IFERROR(__xludf.DUMMYFUNCTION("""COMPUTED_VALUE"""),"DISEÑADOR INDUSTRIAL")</f>
        <v>DISEÑADOR INDUSTRIAL</v>
      </c>
      <c r="AW297" s="6" t="str">
        <f>IFERROR(__xludf.DUMMYFUNCTION("""COMPUTED_VALUE"""),"MÁS QUE DISEÑO SAS")</f>
        <v>MÁS QUE DISEÑO SAS</v>
      </c>
      <c r="AX297" s="12" t="str">
        <f>IFERROR(__xludf.DUMMYFUNCTION("""COMPUTED_VALUE"""),"1018403851")</f>
        <v>1018403851</v>
      </c>
      <c r="AY297" s="12" t="str">
        <f>IFERROR(__xludf.DUMMYFUNCTION("""COMPUTED_VALUE"""),"3007262969")</f>
        <v>3007262969</v>
      </c>
      <c r="AZ297" s="6" t="str">
        <f>IFERROR(__xludf.DUMMYFUNCTION("""COMPUTED_VALUE"""),"Padre")</f>
        <v>Padre</v>
      </c>
      <c r="BA297" s="6"/>
      <c r="BB297" s="6"/>
      <c r="BC297" s="6"/>
      <c r="BD297" s="12" t="str">
        <f>IFERROR(__xludf.DUMMYFUNCTION("""COMPUTED_VALUE"""),"jar0028")</f>
        <v>jar0028</v>
      </c>
      <c r="BE297" s="6"/>
      <c r="BF297" s="6"/>
      <c r="BG297" s="6">
        <f>IFERROR(__xludf.DUMMYFUNCTION("""COMPUTED_VALUE"""),2036.0)</f>
        <v>2036</v>
      </c>
      <c r="BH297" s="15">
        <f>IFERROR(__xludf.DUMMYFUNCTION("""COMPUTED_VALUE"""),46205.49935185185)</f>
        <v>46205.49935</v>
      </c>
      <c r="BI297" s="6">
        <f>IFERROR(__xludf.DUMMYFUNCTION("""COMPUTED_VALUE"""),297.0)</f>
        <v>297</v>
      </c>
      <c r="BJ297" s="6"/>
      <c r="BK297" s="6"/>
      <c r="BL297" s="6" t="str">
        <f>IFERROR(__xludf.DUMMYFUNCTION("""COMPUTED_VALUE"""),"GISJAR0028")</f>
        <v>GISJAR0028</v>
      </c>
      <c r="BM297" s="6"/>
      <c r="BN297" s="6"/>
      <c r="BO297" s="6"/>
      <c r="BP297" s="6"/>
      <c r="BQ297" s="6"/>
      <c r="BR297" s="6"/>
      <c r="BS297" s="6"/>
      <c r="BT297" s="6"/>
      <c r="BU297" s="6" t="str">
        <f>IFERROR(__xludf.DUMMYFUNCTION("""COMPUTED_VALUE"""),"SI")</f>
        <v>SI</v>
      </c>
      <c r="BV297" s="6" t="str">
        <f>IFERROR(__xludf.DUMMYFUNCTION("""COMPUTED_VALUE"""),"isabella.j2036")</f>
        <v>isabella.j2036</v>
      </c>
      <c r="BW297" s="6"/>
      <c r="BX297" s="6"/>
      <c r="BY297" s="6"/>
      <c r="BZ297" s="6"/>
    </row>
    <row r="298">
      <c r="A298" s="12" t="str">
        <f>IFERROR(__xludf.DUMMYFUNCTION("""COMPUTED_VALUE"""),"1010968950")</f>
        <v>1010968950</v>
      </c>
      <c r="B298" s="6">
        <f>IFERROR(__xludf.DUMMYFUNCTION("""COMPUTED_VALUE"""),8.0)</f>
        <v>8</v>
      </c>
      <c r="C298" s="6" t="str">
        <f>IFERROR(__xludf.DUMMYFUNCTION("""COMPUTED_VALUE"""),"Federico")</f>
        <v>Federico</v>
      </c>
      <c r="D298" s="6" t="str">
        <f>IFERROR(__xludf.DUMMYFUNCTION("""COMPUTED_VALUE"""),"Gerd")</f>
        <v>Gerd</v>
      </c>
      <c r="E298" s="6" t="str">
        <f>IFERROR(__xludf.DUMMYFUNCTION("""COMPUTED_VALUE"""),"Lederer")</f>
        <v>Lederer</v>
      </c>
      <c r="F298" s="6" t="str">
        <f>IFERROR(__xludf.DUMMYFUNCTION("""COMPUTED_VALUE"""),"Pontevedra casa 18 - EL CABRERO")</f>
        <v>Pontevedra casa 18 - EL CABRERO</v>
      </c>
      <c r="G298" s="12" t="str">
        <f>IFERROR(__xludf.DUMMYFUNCTION("""COMPUTED_VALUE"""),"2017")</f>
        <v>2017</v>
      </c>
      <c r="H298" s="6" t="str">
        <f>IFERROR(__xludf.DUMMYFUNCTION("""COMPUTED_VALUE"""),"Diciembre")</f>
        <v>Diciembre</v>
      </c>
      <c r="I298" s="12" t="str">
        <f>IFERROR(__xludf.DUMMYFUNCTION("""COMPUTED_VALUE"""),"20")</f>
        <v>20</v>
      </c>
      <c r="J298" s="6" t="str">
        <f>IFERROR(__xludf.DUMMYFUNCTION("""COMPUTED_VALUE"""),"Bogotá D.C.")</f>
        <v>Bogotá D.C.</v>
      </c>
      <c r="K298" s="6" t="str">
        <f>IFERROR(__xludf.DUMMYFUNCTION("""COMPUTED_VALUE"""),"federico.l2036@gi.edu.co")</f>
        <v>federico.l2036@gi.edu.co</v>
      </c>
      <c r="L298" s="6" t="str">
        <f>IFERROR(__xludf.DUMMYFUNCTION("""COMPUTED_VALUE"""),"TI")</f>
        <v>TI</v>
      </c>
      <c r="M298" s="6" t="str">
        <f>IFERROR(__xludf.DUMMYFUNCTION("""COMPUTED_VALUE"""),"Bogotá D.C.")</f>
        <v>Bogotá D.C.</v>
      </c>
      <c r="N298" s="6" t="str">
        <f>IFERROR(__xludf.DUMMYFUNCTION("""COMPUTED_VALUE"""),"M")</f>
        <v>M</v>
      </c>
      <c r="O298" s="6" t="str">
        <f>IFERROR(__xludf.DUMMYFUNCTION("""COMPUTED_VALUE"""),"ACTIVE")</f>
        <v>ACTIVE</v>
      </c>
      <c r="P298" s="6"/>
      <c r="Q298" s="6" t="str">
        <f>IFERROR(__xludf.DUMMYFUNCTION("""COMPUTED_VALUE"""),"Armenia")</f>
        <v>Armenia</v>
      </c>
      <c r="R298" s="12" t="str">
        <f>IFERROR(__xludf.DUMMYFUNCTION("""COMPUTED_VALUE"""),"Gicydisa98*")</f>
        <v>Gicydisa98*</v>
      </c>
      <c r="S298" s="6" t="str">
        <f>IFERROR(__xludf.DUMMYFUNCTION("""COMPUTED_VALUE"""),"Lederer Federico Gerd")</f>
        <v>Lederer Federico Gerd</v>
      </c>
      <c r="T298" s="6" t="str">
        <f>IFERROR(__xludf.DUMMYFUNCTION("""COMPUTED_VALUE"""),"CAROLINA LEDERER")</f>
        <v>CAROLINA LEDERER</v>
      </c>
      <c r="U298" s="12" t="str">
        <f>IFERROR(__xludf.DUMMYFUNCTION("""COMPUTED_VALUE"""),"1094885125")</f>
        <v>1094885125</v>
      </c>
      <c r="V298" s="6">
        <f>IFERROR(__xludf.DUMMYFUNCTION("""COMPUTED_VALUE"""),3.202047426E9)</f>
        <v>3202047426</v>
      </c>
      <c r="W298" s="6" t="str">
        <f>IFERROR(__xludf.DUMMYFUNCTION("""COMPUTED_VALUE"""),"carolinalederer@gmail.com")</f>
        <v>carolinalederer@gmail.com</v>
      </c>
      <c r="X298" s="12" t="str">
        <f>IFERROR(__xludf.DUMMYFUNCTION("""COMPUTED_VALUE"""),"O+")</f>
        <v>O+</v>
      </c>
      <c r="Y298" s="12" t="str">
        <f>IFERROR(__xludf.DUMMYFUNCTION("""COMPUTED_VALUE"""),"3")</f>
        <v>3</v>
      </c>
      <c r="Z298" s="12">
        <f>IFERROR(__xludf.DUMMYFUNCTION("""COMPUTED_VALUE"""),120202.0)</f>
        <v>120202</v>
      </c>
      <c r="AA298" s="6" t="str">
        <f>IFERROR(__xludf.DUMMYFUNCTION("""COMPUTED_VALUE"""),"NUEVA EPS")</f>
        <v>NUEVA EPS</v>
      </c>
      <c r="AB298" s="6"/>
      <c r="AC298" s="6"/>
      <c r="AD298" s="6" t="str">
        <f>IFERROR(__xludf.DUMMYFUNCTION("""COMPUTED_VALUE"""),"3A")</f>
        <v>3A</v>
      </c>
      <c r="AE298" s="12">
        <f>IFERROR(__xludf.DUMMYFUNCTION("""COMPUTED_VALUE"""),1.345282047E9)</f>
        <v>1345282047</v>
      </c>
      <c r="AF298" s="6"/>
      <c r="AG298" s="12" t="str">
        <f>IFERROR(__xludf.DUMMYFUNCTION("""COMPUTED_VALUE"""),"Carolina")</f>
        <v>Carolina</v>
      </c>
      <c r="AH298" s="6"/>
      <c r="AI298" s="6" t="str">
        <f>IFERROR(__xludf.DUMMYFUNCTION("""COMPUTED_VALUE"""),"Lederer")</f>
        <v>Lederer</v>
      </c>
      <c r="AJ298" s="6" t="str">
        <f>IFERROR(__xludf.DUMMYFUNCTION("""COMPUTED_VALUE"""),"carolinalederer@gmail.com")</f>
        <v>carolinalederer@gmail.com</v>
      </c>
      <c r="AK298" s="6" t="str">
        <f>IFERROR(__xludf.DUMMYFUNCTION("""COMPUTED_VALUE"""),"Abogada")</f>
        <v>Abogada</v>
      </c>
      <c r="AL298" s="6" t="str">
        <f>IFERROR(__xludf.DUMMYFUNCTION("""COMPUTED_VALUE"""),"Lederer Group SAS")</f>
        <v>Lederer Group SAS</v>
      </c>
      <c r="AM298" s="12" t="str">
        <f>IFERROR(__xludf.DUMMYFUNCTION("""COMPUTED_VALUE"""),"1094885125")</f>
        <v>1094885125</v>
      </c>
      <c r="AN298" s="6">
        <f>IFERROR(__xludf.DUMMYFUNCTION("""COMPUTED_VALUE"""),3.202047426E9)</f>
        <v>3202047426</v>
      </c>
      <c r="AO298" s="6" t="str">
        <f>IFERROR(__xludf.DUMMYFUNCTION("""COMPUTED_VALUE"""),"Madre")</f>
        <v>Madre</v>
      </c>
      <c r="AP298" s="6" t="str">
        <f>IFERROR(__xludf.DUMMYFUNCTION("""COMPUTED_VALUE"""),"Estudiante(s): Lederer")</f>
        <v>Estudiante(s): Lederer</v>
      </c>
      <c r="AQ298" s="6" t="str">
        <f>IFERROR(__xludf.DUMMYFUNCTION("""COMPUTED_VALUE"""),"120036*Gi")</f>
        <v>120036*Gi</v>
      </c>
      <c r="AR298" s="6" t="str">
        <f>IFERROR(__xludf.DUMMYFUNCTION("""COMPUTED_VALUE"""),"Klaus")</f>
        <v>Klaus</v>
      </c>
      <c r="AS298" s="6" t="str">
        <f>IFERROR(__xludf.DUMMYFUNCTION("""COMPUTED_VALUE"""),"Alexander")</f>
        <v>Alexander</v>
      </c>
      <c r="AT298" s="6" t="str">
        <f>IFERROR(__xludf.DUMMYFUNCTION("""COMPUTED_VALUE"""),"Lederer")</f>
        <v>Lederer</v>
      </c>
      <c r="AU298" s="6" t="str">
        <f>IFERROR(__xludf.DUMMYFUNCTION("""COMPUTED_VALUE"""),"k.a.j.lederer@gmail.com")</f>
        <v>k.a.j.lederer@gmail.com</v>
      </c>
      <c r="AV298" s="6" t="str">
        <f>IFERROR(__xludf.DUMMYFUNCTION("""COMPUTED_VALUE"""),"Economista/Financiero/Abogado")</f>
        <v>Economista/Financiero/Abogado</v>
      </c>
      <c r="AW298" s="6" t="str">
        <f>IFERROR(__xludf.DUMMYFUNCTION("""COMPUTED_VALUE"""),"Lenus Capital Partners")</f>
        <v>Lenus Capital Partners</v>
      </c>
      <c r="AX298" s="12" t="str">
        <f>IFERROR(__xludf.DUMMYFUNCTION("""COMPUTED_VALUE"""),"423560")</f>
        <v>423560</v>
      </c>
      <c r="AY298" s="12" t="str">
        <f>IFERROR(__xludf.DUMMYFUNCTION("""COMPUTED_VALUE"""),"3202047426")</f>
        <v>3202047426</v>
      </c>
      <c r="AZ298" s="6" t="str">
        <f>IFERROR(__xludf.DUMMYFUNCTION("""COMPUTED_VALUE"""),"Padre")</f>
        <v>Padre</v>
      </c>
      <c r="BA298" s="6"/>
      <c r="BB298" s="6"/>
      <c r="BC298" s="6"/>
      <c r="BD298" s="12" t="str">
        <f>IFERROR(__xludf.DUMMYFUNCTION("""COMPUTED_VALUE"""),"led0001")</f>
        <v>led0001</v>
      </c>
      <c r="BE298" s="6" t="str">
        <f>IFERROR(__xludf.DUMMYFUNCTION("""COMPUTED_VALUE"""),"REINGRESO")</f>
        <v>REINGRESO</v>
      </c>
      <c r="BF298" s="6"/>
      <c r="BG298" s="6">
        <f>IFERROR(__xludf.DUMMYFUNCTION("""COMPUTED_VALUE"""),2036.0)</f>
        <v>2036</v>
      </c>
      <c r="BH298" s="15">
        <f>IFERROR(__xludf.DUMMYFUNCTION("""COMPUTED_VALUE"""),46197.60903935185)</f>
        <v>46197.60904</v>
      </c>
      <c r="BI298" s="6">
        <f>IFERROR(__xludf.DUMMYFUNCTION("""COMPUTED_VALUE"""),298.0)</f>
        <v>298</v>
      </c>
      <c r="BJ298" s="6" t="str">
        <f>IFERROR(__xludf.DUMMYFUNCTION("""COMPUTED_VALUE"""),"SIMAT: trastorno por déficit de atención con o sin hiperactividad (Nov 13 2024)")</f>
        <v>SIMAT: trastorno por déficit de atención con o sin hiperactividad (Nov 13 2024)</v>
      </c>
      <c r="BK298" s="6"/>
      <c r="BL298" s="6" t="str">
        <f>IFERROR(__xludf.DUMMYFUNCTION("""COMPUTED_VALUE"""),"GISLED0001")</f>
        <v>GISLED0001</v>
      </c>
      <c r="BM298" s="6"/>
      <c r="BN298" s="6"/>
      <c r="BO298" s="6" t="str">
        <f>IFERROR(__xludf.DUMMYFUNCTION("""COMPUTED_VALUE"""),"XC_EL_ArtesPlasticas")</f>
        <v>XC_EL_ArtesPlasticas</v>
      </c>
      <c r="BP298" s="6"/>
      <c r="BQ298" s="6"/>
      <c r="BR298" s="6" t="str">
        <f>IFERROR(__xludf.DUMMYFUNCTION("""COMPUTED_VALUE"""),"XC_EL_PequenosCientificos")</f>
        <v>XC_EL_PequenosCientificos</v>
      </c>
      <c r="BS298" s="6"/>
      <c r="BT298" s="6"/>
      <c r="BU298" s="6" t="str">
        <f>IFERROR(__xludf.DUMMYFUNCTION("""COMPUTED_VALUE"""),"SI")</f>
        <v>SI</v>
      </c>
      <c r="BV298" s="6" t="str">
        <f>IFERROR(__xludf.DUMMYFUNCTION("""COMPUTED_VALUE"""),"emilio.l2038")</f>
        <v>emilio.l2038</v>
      </c>
      <c r="BW298" s="6"/>
      <c r="BX298" s="6"/>
      <c r="BY298" s="6"/>
      <c r="BZ298" s="6"/>
    </row>
    <row r="299">
      <c r="A299" s="12">
        <f>IFERROR(__xludf.DUMMYFUNCTION("""COMPUTED_VALUE"""),1.092862115E9)</f>
        <v>1092862115</v>
      </c>
      <c r="B299" s="6">
        <f>IFERROR(__xludf.DUMMYFUNCTION("""COMPUTED_VALUE"""),9.0)</f>
        <v>9</v>
      </c>
      <c r="C299" s="6" t="str">
        <f>IFERROR(__xludf.DUMMYFUNCTION("""COMPUTED_VALUE"""),"Paulina")</f>
        <v>Paulina</v>
      </c>
      <c r="D299" s="6"/>
      <c r="E299" s="6" t="str">
        <f>IFERROR(__xludf.DUMMYFUNCTION("""COMPUTED_VALUE"""),"Londoño Gallo")</f>
        <v>Londoño Gallo</v>
      </c>
      <c r="F299" s="6" t="str">
        <f>IFERROR(__xludf.DUMMYFUNCTION("""COMPUTED_VALUE"""),"Condominio Samarkanda Campestre Casa 6 - Km. 2 Via Pereira")</f>
        <v>Condominio Samarkanda Campestre Casa 6 - Km. 2 Via Pereira</v>
      </c>
      <c r="G299" s="12" t="str">
        <f>IFERROR(__xludf.DUMMYFUNCTION("""COMPUTED_VALUE"""),"2018")</f>
        <v>2018</v>
      </c>
      <c r="H299" s="6" t="str">
        <f>IFERROR(__xludf.DUMMYFUNCTION("""COMPUTED_VALUE"""),"Junio")</f>
        <v>Junio</v>
      </c>
      <c r="I299" s="12" t="str">
        <f>IFERROR(__xludf.DUMMYFUNCTION("""COMPUTED_VALUE"""),"5")</f>
        <v>5</v>
      </c>
      <c r="J299" s="6" t="str">
        <f>IFERROR(__xludf.DUMMYFUNCTION("""COMPUTED_VALUE"""),"Armenia")</f>
        <v>Armenia</v>
      </c>
      <c r="K299" s="6" t="str">
        <f>IFERROR(__xludf.DUMMYFUNCTION("""COMPUTED_VALUE"""),"paulina.l2036@gi.edu.co")</f>
        <v>paulina.l2036@gi.edu.co</v>
      </c>
      <c r="L299" s="6" t="str">
        <f>IFERROR(__xludf.DUMMYFUNCTION("""COMPUTED_VALUE"""),"RC")</f>
        <v>RC</v>
      </c>
      <c r="M299" s="6" t="str">
        <f>IFERROR(__xludf.DUMMYFUNCTION("""COMPUTED_VALUE"""),"Armenia")</f>
        <v>Armenia</v>
      </c>
      <c r="N299" s="6" t="str">
        <f>IFERROR(__xludf.DUMMYFUNCTION("""COMPUTED_VALUE"""),"F")</f>
        <v>F</v>
      </c>
      <c r="O299" s="6" t="str">
        <f>IFERROR(__xludf.DUMMYFUNCTION("""COMPUTED_VALUE"""),"ACTIVE")</f>
        <v>ACTIVE</v>
      </c>
      <c r="P299" s="6"/>
      <c r="Q299" s="6" t="str">
        <f>IFERROR(__xludf.DUMMYFUNCTION("""COMPUTED_VALUE"""),"Armenia")</f>
        <v>Armenia</v>
      </c>
      <c r="R299" s="12" t="str">
        <f>IFERROR(__xludf.DUMMYFUNCTION("""COMPUTED_VALUE"""),"GiqDXa2H*")</f>
        <v>GiqDXa2H*</v>
      </c>
      <c r="S299" s="6" t="str">
        <f>IFERROR(__xludf.DUMMYFUNCTION("""COMPUTED_VALUE"""),"Londoño Gallo Paulina ")</f>
        <v>Londoño Gallo Paulina </v>
      </c>
      <c r="T299" s="6" t="str">
        <f>IFERROR(__xludf.DUMMYFUNCTION("""COMPUTED_VALUE"""),"ANDREA GALLO JARAMILLO")</f>
        <v>ANDREA GALLO JARAMILLO</v>
      </c>
      <c r="U299" s="12" t="str">
        <f>IFERROR(__xludf.DUMMYFUNCTION("""COMPUTED_VALUE"""),"41952983")</f>
        <v>41952983</v>
      </c>
      <c r="V299" s="6">
        <f>IFERROR(__xludf.DUMMYFUNCTION("""COMPUTED_VALUE"""),3.165251652E9)</f>
        <v>3165251652</v>
      </c>
      <c r="W299" s="6" t="str">
        <f>IFERROR(__xludf.DUMMYFUNCTION("""COMPUTED_VALUE"""),"agallo.sub@gmail.com")</f>
        <v>agallo.sub@gmail.com</v>
      </c>
      <c r="X299" s="12" t="str">
        <f>IFERROR(__xludf.DUMMYFUNCTION("""COMPUTED_VALUE"""),"O+")</f>
        <v>O+</v>
      </c>
      <c r="Y299" s="12" t="str">
        <f>IFERROR(__xludf.DUMMYFUNCTION("""COMPUTED_VALUE"""),"3")</f>
        <v>3</v>
      </c>
      <c r="Z299" s="12">
        <f>IFERROR(__xludf.DUMMYFUNCTION("""COMPUTED_VALUE"""),120146.0)</f>
        <v>120146</v>
      </c>
      <c r="AA299" s="6" t="str">
        <f>IFERROR(__xludf.DUMMYFUNCTION("""COMPUTED_VALUE"""),"SURA")</f>
        <v>SURA</v>
      </c>
      <c r="AB299" s="6"/>
      <c r="AC299" s="6"/>
      <c r="AD299" s="6" t="str">
        <f>IFERROR(__xludf.DUMMYFUNCTION("""COMPUTED_VALUE"""),"3A")</f>
        <v>3A</v>
      </c>
      <c r="AE299" s="12">
        <f>IFERROR(__xludf.DUMMYFUNCTION("""COMPUTED_VALUE"""),1.345282129E9)</f>
        <v>1345282129</v>
      </c>
      <c r="AF299" s="12" t="str">
        <f>IFERROR(__xludf.DUMMYFUNCTION("""COMPUTED_VALUE"""),"0673326707")</f>
        <v>0673326707</v>
      </c>
      <c r="AG299" s="12" t="str">
        <f>IFERROR(__xludf.DUMMYFUNCTION("""COMPUTED_VALUE"""),"Andrea")</f>
        <v>Andrea</v>
      </c>
      <c r="AH299" s="6"/>
      <c r="AI299" s="6" t="str">
        <f>IFERROR(__xludf.DUMMYFUNCTION("""COMPUTED_VALUE"""),"Gallo Jaramillo")</f>
        <v>Gallo Jaramillo</v>
      </c>
      <c r="AJ299" s="6" t="str">
        <f>IFERROR(__xludf.DUMMYFUNCTION("""COMPUTED_VALUE"""),"agallo.sub@gmail.com")</f>
        <v>agallo.sub@gmail.com</v>
      </c>
      <c r="AK299" s="6" t="str">
        <f>IFERROR(__xludf.DUMMYFUNCTION("""COMPUTED_VALUE"""),"Administradora de empresas")</f>
        <v>Administradora de empresas</v>
      </c>
      <c r="AL299" s="6"/>
      <c r="AM299" s="12" t="str">
        <f>IFERROR(__xludf.DUMMYFUNCTION("""COMPUTED_VALUE"""),"41952983")</f>
        <v>41952983</v>
      </c>
      <c r="AN299" s="12" t="str">
        <f>IFERROR(__xludf.DUMMYFUNCTION("""COMPUTED_VALUE"""),"3165251652")</f>
        <v>3165251652</v>
      </c>
      <c r="AO299" s="6" t="str">
        <f>IFERROR(__xludf.DUMMYFUNCTION("""COMPUTED_VALUE"""),"Madre")</f>
        <v>Madre</v>
      </c>
      <c r="AP299" s="6" t="str">
        <f>IFERROR(__xludf.DUMMYFUNCTION("""COMPUTED_VALUE"""),"Estudiante(s): Londoño Gallo")</f>
        <v>Estudiante(s): Londoño Gallo</v>
      </c>
      <c r="AQ299" s="6" t="str">
        <f>IFERROR(__xludf.DUMMYFUNCTION("""COMPUTED_VALUE"""),"103405*Gi")</f>
        <v>103405*Gi</v>
      </c>
      <c r="AR299" s="6" t="str">
        <f>IFERROR(__xludf.DUMMYFUNCTION("""COMPUTED_VALUE"""),"Juan")</f>
        <v>Juan</v>
      </c>
      <c r="AS299" s="6" t="str">
        <f>IFERROR(__xludf.DUMMYFUNCTION("""COMPUTED_VALUE"""),"Camilo")</f>
        <v>Camilo</v>
      </c>
      <c r="AT299" s="6" t="str">
        <f>IFERROR(__xludf.DUMMYFUNCTION("""COMPUTED_VALUE"""),"Londoño Arango")</f>
        <v>Londoño Arango</v>
      </c>
      <c r="AU299" s="6" t="str">
        <f>IFERROR(__xludf.DUMMYFUNCTION("""COMPUTED_VALUE"""),"jclondar@hotmail.com")</f>
        <v>jclondar@hotmail.com</v>
      </c>
      <c r="AV299" s="6" t="str">
        <f>IFERROR(__xludf.DUMMYFUNCTION("""COMPUTED_VALUE"""),"Administrador")</f>
        <v>Administrador</v>
      </c>
      <c r="AW299" s="6" t="str">
        <f>IFERROR(__xludf.DUMMYFUNCTION("""COMPUTED_VALUE"""),"Independiente")</f>
        <v>Independiente</v>
      </c>
      <c r="AX299" s="12" t="str">
        <f>IFERROR(__xludf.DUMMYFUNCTION("""COMPUTED_VALUE"""),"79938828")</f>
        <v>79938828</v>
      </c>
      <c r="AY299" s="12" t="str">
        <f>IFERROR(__xludf.DUMMYFUNCTION("""COMPUTED_VALUE"""),"3153625290")</f>
        <v>3153625290</v>
      </c>
      <c r="AZ299" s="6" t="str">
        <f>IFERROR(__xludf.DUMMYFUNCTION("""COMPUTED_VALUE"""),"Padre")</f>
        <v>Padre</v>
      </c>
      <c r="BA299" s="6"/>
      <c r="BB299" s="6"/>
      <c r="BC299" s="6"/>
      <c r="BD299" s="12" t="str">
        <f>IFERROR(__xludf.DUMMYFUNCTION("""COMPUTED_VALUE"""),"lon0002")</f>
        <v>lon0002</v>
      </c>
      <c r="BE299" s="6"/>
      <c r="BF299" s="6"/>
      <c r="BG299" s="6">
        <f>IFERROR(__xludf.DUMMYFUNCTION("""COMPUTED_VALUE"""),2036.0)</f>
        <v>2036</v>
      </c>
      <c r="BH299" s="15">
        <f>IFERROR(__xludf.DUMMYFUNCTION("""COMPUTED_VALUE"""),46209.69559027778)</f>
        <v>46209.69559</v>
      </c>
      <c r="BI299" s="6">
        <f>IFERROR(__xludf.DUMMYFUNCTION("""COMPUTED_VALUE"""),299.0)</f>
        <v>299</v>
      </c>
      <c r="BJ299" s="6"/>
      <c r="BK299" s="6"/>
      <c r="BL299" s="6" t="str">
        <f>IFERROR(__xludf.DUMMYFUNCTION("""COMPUTED_VALUE"""),"GISLON0002")</f>
        <v>GISLON0002</v>
      </c>
      <c r="BM299" s="6"/>
      <c r="BN299" s="6"/>
      <c r="BO299" s="6"/>
      <c r="BP299" s="6" t="str">
        <f>IFERROR(__xludf.DUMMYFUNCTION("""COMPUTED_VALUE"""),"XC_23_Voleibol")</f>
        <v>XC_23_Voleibol</v>
      </c>
      <c r="BQ299" s="6"/>
      <c r="BR299" s="6" t="str">
        <f>IFERROR(__xludf.DUMMYFUNCTION("""COMPUTED_VALUE"""),"XC_EL_DanzaModerna")</f>
        <v>XC_EL_DanzaModerna</v>
      </c>
      <c r="BS299" s="6" t="str">
        <f>IFERROR(__xludf.DUMMYFUNCTION("""COMPUTED_VALUE"""),"XC_23_Voleibol")</f>
        <v>XC_23_Voleibol</v>
      </c>
      <c r="BT299" s="6" t="str">
        <f>IFERROR(__xludf.DUMMYFUNCTION("""COMPUTED_VALUE"""),"XC_23_Voleibol")</f>
        <v>XC_23_Voleibol</v>
      </c>
      <c r="BU299" s="6" t="str">
        <f>IFERROR(__xludf.DUMMYFUNCTION("""COMPUTED_VALUE"""),"SI")</f>
        <v>SI</v>
      </c>
      <c r="BV299" s="6" t="str">
        <f>IFERROR(__xludf.DUMMYFUNCTION("""COMPUTED_VALUE"""),"paulina.l2036")</f>
        <v>paulina.l2036</v>
      </c>
      <c r="BW299" s="6"/>
      <c r="BX299" s="6"/>
      <c r="BY299" s="6"/>
      <c r="BZ299" s="6"/>
    </row>
    <row r="300">
      <c r="A300" s="12">
        <f>IFERROR(__xludf.DUMMYFUNCTION("""COMPUTED_VALUE"""),1.108259866E9)</f>
        <v>1108259866</v>
      </c>
      <c r="B300" s="6">
        <f>IFERROR(__xludf.DUMMYFUNCTION("""COMPUTED_VALUE"""),10.0)</f>
        <v>10</v>
      </c>
      <c r="C300" s="6" t="str">
        <f>IFERROR(__xludf.DUMMYFUNCTION("""COMPUTED_VALUE"""),"Martina")</f>
        <v>Martina</v>
      </c>
      <c r="D300" s="6"/>
      <c r="E300" s="6" t="str">
        <f>IFERROR(__xludf.DUMMYFUNCTION("""COMPUTED_VALUE"""),"Manzanera Suárez")</f>
        <v>Manzanera Suárez</v>
      </c>
      <c r="F300" s="6" t="str">
        <f>IFERROR(__xludf.DUMMYFUNCTION("""COMPUTED_VALUE"""),"Condominio Pradera Boreal Casa 29 - Km. 5 Via Armenia Pereira")</f>
        <v>Condominio Pradera Boreal Casa 29 - Km. 5 Via Armenia Pereira</v>
      </c>
      <c r="G300" s="12" t="str">
        <f>IFERROR(__xludf.DUMMYFUNCTION("""COMPUTED_VALUE"""),"2018")</f>
        <v>2018</v>
      </c>
      <c r="H300" s="6" t="str">
        <f>IFERROR(__xludf.DUMMYFUNCTION("""COMPUTED_VALUE"""),"Octubre")</f>
        <v>Octubre</v>
      </c>
      <c r="I300" s="12" t="str">
        <f>IFERROR(__xludf.DUMMYFUNCTION("""COMPUTED_VALUE"""),"15")</f>
        <v>15</v>
      </c>
      <c r="J300" s="6" t="str">
        <f>IFERROR(__xludf.DUMMYFUNCTION("""COMPUTED_VALUE"""),"Cali")</f>
        <v>Cali</v>
      </c>
      <c r="K300" s="6" t="str">
        <f>IFERROR(__xludf.DUMMYFUNCTION("""COMPUTED_VALUE"""),"martina.m2036@gi.edu.co")</f>
        <v>martina.m2036@gi.edu.co</v>
      </c>
      <c r="L300" s="6" t="str">
        <f>IFERROR(__xludf.DUMMYFUNCTION("""COMPUTED_VALUE"""),"RC")</f>
        <v>RC</v>
      </c>
      <c r="M300" s="6" t="str">
        <f>IFERROR(__xludf.DUMMYFUNCTION("""COMPUTED_VALUE"""),"Cali")</f>
        <v>Cali</v>
      </c>
      <c r="N300" s="6" t="str">
        <f>IFERROR(__xludf.DUMMYFUNCTION("""COMPUTED_VALUE"""),"F")</f>
        <v>F</v>
      </c>
      <c r="O300" s="6" t="str">
        <f>IFERROR(__xludf.DUMMYFUNCTION("""COMPUTED_VALUE"""),"ACTIVE")</f>
        <v>ACTIVE</v>
      </c>
      <c r="P300" s="6"/>
      <c r="Q300" s="6" t="str">
        <f>IFERROR(__xludf.DUMMYFUNCTION("""COMPUTED_VALUE"""),"Armenia")</f>
        <v>Armenia</v>
      </c>
      <c r="R300" s="12" t="str">
        <f>IFERROR(__xludf.DUMMYFUNCTION("""COMPUTED_VALUE"""),"Ginh54jh6*")</f>
        <v>Ginh54jh6*</v>
      </c>
      <c r="S300" s="6" t="str">
        <f>IFERROR(__xludf.DUMMYFUNCTION("""COMPUTED_VALUE"""),"Manzanera Suárez Martina ")</f>
        <v>Manzanera Suárez Martina </v>
      </c>
      <c r="T300" s="6" t="str">
        <f>IFERROR(__xludf.DUMMYFUNCTION("""COMPUTED_VALUE"""),"RICARDO MANZANERA BLEL")</f>
        <v>RICARDO MANZANERA BLEL</v>
      </c>
      <c r="U300" s="12" t="str">
        <f>IFERROR(__xludf.DUMMYFUNCTION("""COMPUTED_VALUE"""),"72357262")</f>
        <v>72357262</v>
      </c>
      <c r="V300" s="6">
        <f>IFERROR(__xludf.DUMMYFUNCTION("""COMPUTED_VALUE"""),3.124737507E9)</f>
        <v>3124737507</v>
      </c>
      <c r="W300" s="6" t="str">
        <f>IFERROR(__xludf.DUMMYFUNCTION("""COMPUTED_VALUE"""),"rmanzablel@hotmail.com")</f>
        <v>rmanzablel@hotmail.com</v>
      </c>
      <c r="X300" s="12" t="str">
        <f>IFERROR(__xludf.DUMMYFUNCTION("""COMPUTED_VALUE"""),"O+")</f>
        <v>O+</v>
      </c>
      <c r="Y300" s="12" t="str">
        <f>IFERROR(__xludf.DUMMYFUNCTION("""COMPUTED_VALUE"""),"3")</f>
        <v>3</v>
      </c>
      <c r="Z300" s="12">
        <f>IFERROR(__xludf.DUMMYFUNCTION("""COMPUTED_VALUE"""),120238.0)</f>
        <v>120238</v>
      </c>
      <c r="AA300" s="6" t="str">
        <f>IFERROR(__xludf.DUMMYFUNCTION("""COMPUTED_VALUE"""),"SURA")</f>
        <v>SURA</v>
      </c>
      <c r="AB300" s="6"/>
      <c r="AC300" s="6"/>
      <c r="AD300" s="6" t="str">
        <f>IFERROR(__xludf.DUMMYFUNCTION("""COMPUTED_VALUE"""),"3A")</f>
        <v>3A</v>
      </c>
      <c r="AE300" s="12">
        <f>IFERROR(__xludf.DUMMYFUNCTION("""COMPUTED_VALUE"""),1.345282229E9)</f>
        <v>1345282229</v>
      </c>
      <c r="AF300" s="12" t="str">
        <f>IFERROR(__xludf.DUMMYFUNCTION("""COMPUTED_VALUE"""),"0688534563")</f>
        <v>0688534563</v>
      </c>
      <c r="AG300" s="12" t="str">
        <f>IFERROR(__xludf.DUMMYFUNCTION("""COMPUTED_VALUE"""),"María")</f>
        <v>María</v>
      </c>
      <c r="AH300" s="12" t="str">
        <f>IFERROR(__xludf.DUMMYFUNCTION("""COMPUTED_VALUE"""),"Camila")</f>
        <v>Camila</v>
      </c>
      <c r="AI300" s="6" t="str">
        <f>IFERROR(__xludf.DUMMYFUNCTION("""COMPUTED_VALUE"""),"Suárez Mejía")</f>
        <v>Suárez Mejía</v>
      </c>
      <c r="AJ300" s="6" t="str">
        <f>IFERROR(__xludf.DUMMYFUNCTION("""COMPUTED_VALUE"""),"mila_suarez@hotmail.com")</f>
        <v>mila_suarez@hotmail.com</v>
      </c>
      <c r="AK300" s="6" t="str">
        <f>IFERROR(__xludf.DUMMYFUNCTION("""COMPUTED_VALUE"""),"Psicologa")</f>
        <v>Psicologa</v>
      </c>
      <c r="AL300" s="6"/>
      <c r="AM300" s="12" t="str">
        <f>IFERROR(__xludf.DUMMYFUNCTION("""COMPUTED_VALUE"""),"41963061")</f>
        <v>41963061</v>
      </c>
      <c r="AN300" s="12" t="str">
        <f>IFERROR(__xludf.DUMMYFUNCTION("""COMPUTED_VALUE"""),"3148949388")</f>
        <v>3148949388</v>
      </c>
      <c r="AO300" s="6" t="str">
        <f>IFERROR(__xludf.DUMMYFUNCTION("""COMPUTED_VALUE"""),"Madre")</f>
        <v>Madre</v>
      </c>
      <c r="AP300" s="6" t="str">
        <f>IFERROR(__xludf.DUMMYFUNCTION("""COMPUTED_VALUE"""),"Estudiante(s): Manzanera Suárez")</f>
        <v>Estudiante(s): Manzanera Suárez</v>
      </c>
      <c r="AQ300" s="6" t="str">
        <f>IFERROR(__xludf.DUMMYFUNCTION("""COMPUTED_VALUE"""),"120238*Gi")</f>
        <v>120238*Gi</v>
      </c>
      <c r="AR300" s="6" t="str">
        <f>IFERROR(__xludf.DUMMYFUNCTION("""COMPUTED_VALUE"""),"Ricardo")</f>
        <v>Ricardo</v>
      </c>
      <c r="AS300" s="6"/>
      <c r="AT300" s="6" t="str">
        <f>IFERROR(__xludf.DUMMYFUNCTION("""COMPUTED_VALUE"""),"Manzanera Blel")</f>
        <v>Manzanera Blel</v>
      </c>
      <c r="AU300" s="6" t="str">
        <f>IFERROR(__xludf.DUMMYFUNCTION("""COMPUTED_VALUE"""),"rmanzablel@hotmail.com")</f>
        <v>rmanzablel@hotmail.com</v>
      </c>
      <c r="AV300" s="6" t="str">
        <f>IFERROR(__xludf.DUMMYFUNCTION("""COMPUTED_VALUE"""),"Piloto")</f>
        <v>Piloto</v>
      </c>
      <c r="AW300" s="6" t="str">
        <f>IFERROR(__xludf.DUMMYFUNCTION("""COMPUTED_VALUE"""),"Avianca")</f>
        <v>Avianca</v>
      </c>
      <c r="AX300" s="12" t="str">
        <f>IFERROR(__xludf.DUMMYFUNCTION("""COMPUTED_VALUE"""),"72357262")</f>
        <v>72357262</v>
      </c>
      <c r="AY300" s="12" t="str">
        <f>IFERROR(__xludf.DUMMYFUNCTION("""COMPUTED_VALUE"""),"3124737507")</f>
        <v>3124737507</v>
      </c>
      <c r="AZ300" s="6" t="str">
        <f>IFERROR(__xludf.DUMMYFUNCTION("""COMPUTED_VALUE"""),"Padre")</f>
        <v>Padre</v>
      </c>
      <c r="BA300" s="6"/>
      <c r="BB300" s="6"/>
      <c r="BC300" s="6"/>
      <c r="BD300" s="12" t="str">
        <f>IFERROR(__xludf.DUMMYFUNCTION("""COMPUTED_VALUE"""),"man0004")</f>
        <v>man0004</v>
      </c>
      <c r="BE300" s="6"/>
      <c r="BF300" s="6"/>
      <c r="BG300" s="6">
        <f>IFERROR(__xludf.DUMMYFUNCTION("""COMPUTED_VALUE"""),2036.0)</f>
        <v>2036</v>
      </c>
      <c r="BH300" s="15">
        <f>IFERROR(__xludf.DUMMYFUNCTION("""COMPUTED_VALUE"""),46211.518217592595)</f>
        <v>46211.51822</v>
      </c>
      <c r="BI300" s="6">
        <f>IFERROR(__xludf.DUMMYFUNCTION("""COMPUTED_VALUE"""),300.0)</f>
        <v>300</v>
      </c>
      <c r="BJ300" s="6"/>
      <c r="BK300" s="6"/>
      <c r="BL300" s="6" t="str">
        <f>IFERROR(__xludf.DUMMYFUNCTION("""COMPUTED_VALUE"""),"GISMAN0004")</f>
        <v>GISMAN0004</v>
      </c>
      <c r="BM300" s="6"/>
      <c r="BN300" s="6"/>
      <c r="BO300" s="6"/>
      <c r="BP300" s="6" t="str">
        <f>IFERROR(__xludf.DUMMYFUNCTION("""COMPUTED_VALUE"""),"XC_23_Voleibol")</f>
        <v>XC_23_Voleibol</v>
      </c>
      <c r="BQ300" s="6"/>
      <c r="BR300" s="6"/>
      <c r="BS300" s="6" t="str">
        <f>IFERROR(__xludf.DUMMYFUNCTION("""COMPUTED_VALUE"""),"XC_23_Voleibol")</f>
        <v>XC_23_Voleibol</v>
      </c>
      <c r="BT300" s="6" t="str">
        <f>IFERROR(__xludf.DUMMYFUNCTION("""COMPUTED_VALUE"""),"XC_23_Voleibol")</f>
        <v>XC_23_Voleibol</v>
      </c>
      <c r="BU300" s="6" t="str">
        <f>IFERROR(__xludf.DUMMYFUNCTION("""COMPUTED_VALUE"""),"SI")</f>
        <v>SI</v>
      </c>
      <c r="BV300" s="6" t="str">
        <f>IFERROR(__xludf.DUMMYFUNCTION("""COMPUTED_VALUE"""),"martina.m2036")</f>
        <v>martina.m2036</v>
      </c>
      <c r="BW300" s="6"/>
      <c r="BX300" s="6"/>
      <c r="BY300" s="6"/>
      <c r="BZ300" s="6"/>
    </row>
    <row r="301">
      <c r="A301" s="6">
        <f>IFERROR(__xludf.DUMMYFUNCTION("""COMPUTED_VALUE"""),1.092861768E9)</f>
        <v>1092861768</v>
      </c>
      <c r="B301" s="6">
        <f>IFERROR(__xludf.DUMMYFUNCTION("""COMPUTED_VALUE"""),11.0)</f>
        <v>11</v>
      </c>
      <c r="C301" s="6" t="str">
        <f>IFERROR(__xludf.DUMMYFUNCTION("""COMPUTED_VALUE"""),"Matías")</f>
        <v>Matías</v>
      </c>
      <c r="D301" s="6"/>
      <c r="E301" s="6" t="str">
        <f>IFERROR(__xludf.DUMMYFUNCTION("""COMPUTED_VALUE"""),"Martínez Cárdenas")</f>
        <v>Martínez Cárdenas</v>
      </c>
      <c r="F301" s="6" t="str">
        <f>IFERROR(__xludf.DUMMYFUNCTION("""COMPUTED_VALUE"""),"Calle 21Nte No15 - 16 Apto 902 - Laureles")</f>
        <v>Calle 21Nte No15 - 16 Apto 902 - Laureles</v>
      </c>
      <c r="G301" s="12" t="str">
        <f>IFERROR(__xludf.DUMMYFUNCTION("""COMPUTED_VALUE"""),"2018")</f>
        <v>2018</v>
      </c>
      <c r="H301" s="6" t="str">
        <f>IFERROR(__xludf.DUMMYFUNCTION("""COMPUTED_VALUE"""),"Enero")</f>
        <v>Enero</v>
      </c>
      <c r="I301" s="12" t="str">
        <f>IFERROR(__xludf.DUMMYFUNCTION("""COMPUTED_VALUE"""),"24")</f>
        <v>24</v>
      </c>
      <c r="J301" s="6" t="str">
        <f>IFERROR(__xludf.DUMMYFUNCTION("""COMPUTED_VALUE"""),"Armenia")</f>
        <v>Armenia</v>
      </c>
      <c r="K301" s="6" t="str">
        <f>IFERROR(__xludf.DUMMYFUNCTION("""COMPUTED_VALUE"""),"matias.m2036@gi.edu.co")</f>
        <v>matias.m2036@gi.edu.co</v>
      </c>
      <c r="L301" s="6" t="str">
        <f>IFERROR(__xludf.DUMMYFUNCTION("""COMPUTED_VALUE"""),"RC")</f>
        <v>RC</v>
      </c>
      <c r="M301" s="6" t="str">
        <f>IFERROR(__xludf.DUMMYFUNCTION("""COMPUTED_VALUE"""),"Armenia")</f>
        <v>Armenia</v>
      </c>
      <c r="N301" s="6" t="str">
        <f>IFERROR(__xludf.DUMMYFUNCTION("""COMPUTED_VALUE"""),"M")</f>
        <v>M</v>
      </c>
      <c r="O301" s="6" t="str">
        <f>IFERROR(__xludf.DUMMYFUNCTION("""COMPUTED_VALUE"""),"INACTIVE")</f>
        <v>INACTIVE</v>
      </c>
      <c r="P301" s="6"/>
      <c r="Q301" s="6" t="str">
        <f>IFERROR(__xludf.DUMMYFUNCTION("""COMPUTED_VALUE"""),"Armenia")</f>
        <v>Armenia</v>
      </c>
      <c r="R301" s="12" t="str">
        <f>IFERROR(__xludf.DUMMYFUNCTION("""COMPUTED_VALUE"""),"Gicr35p4*")</f>
        <v>Gicr35p4*</v>
      </c>
      <c r="S301" s="6" t="str">
        <f>IFERROR(__xludf.DUMMYFUNCTION("""COMPUTED_VALUE"""),"Martínez Cárdenas Matías ")</f>
        <v>Martínez Cárdenas Matías </v>
      </c>
      <c r="T301" s="6" t="str">
        <f>IFERROR(__xludf.DUMMYFUNCTION("""COMPUTED_VALUE"""),"ALEXANDER MARTINEZ CASTRO")</f>
        <v>ALEXANDER MARTINEZ CASTRO</v>
      </c>
      <c r="U301" s="12" t="str">
        <f>IFERROR(__xludf.DUMMYFUNCTION("""COMPUTED_VALUE"""),"4376808")</f>
        <v>4376808</v>
      </c>
      <c r="V301" s="6">
        <f>IFERROR(__xludf.DUMMYFUNCTION("""COMPUTED_VALUE"""),3.103726122E9)</f>
        <v>3103726122</v>
      </c>
      <c r="W301" s="6" t="str">
        <f>IFERROR(__xludf.DUMMYFUNCTION("""COMPUTED_VALUE"""),"gerencia@sacingenieria.com.co")</f>
        <v>gerencia@sacingenieria.com.co</v>
      </c>
      <c r="X301" s="12" t="str">
        <f>IFERROR(__xludf.DUMMYFUNCTION("""COMPUTED_VALUE"""),"A+")</f>
        <v>A+</v>
      </c>
      <c r="Y301" s="12" t="str">
        <f>IFERROR(__xludf.DUMMYFUNCTION("""COMPUTED_VALUE"""),"3")</f>
        <v>3</v>
      </c>
      <c r="Z301" s="12">
        <f>IFERROR(__xludf.DUMMYFUNCTION("""COMPUTED_VALUE"""),120413.0)</f>
        <v>120413</v>
      </c>
      <c r="AA301" s="6" t="str">
        <f>IFERROR(__xludf.DUMMYFUNCTION("""COMPUTED_VALUE"""),"SALUD TOTAL")</f>
        <v>SALUD TOTAL</v>
      </c>
      <c r="AB301" s="6"/>
      <c r="AC301" s="6"/>
      <c r="AD301" s="6" t="str">
        <f>IFERROR(__xludf.DUMMYFUNCTION("""COMPUTED_VALUE"""),"3A")</f>
        <v>3A</v>
      </c>
      <c r="AE301" s="12" t="str">
        <f>IFERROR(__xludf.DUMMYFUNCTION("""COMPUTED_VALUE"""),"1345282415")</f>
        <v>1345282415</v>
      </c>
      <c r="AF301" s="12" t="str">
        <f>IFERROR(__xludf.DUMMYFUNCTION("""COMPUTED_VALUE"""),"0672544323")</f>
        <v>0672544323</v>
      </c>
      <c r="AG301" s="12" t="str">
        <f>IFERROR(__xludf.DUMMYFUNCTION("""COMPUTED_VALUE"""),"Sandra")</f>
        <v>Sandra</v>
      </c>
      <c r="AH301" s="12" t="str">
        <f>IFERROR(__xludf.DUMMYFUNCTION("""COMPUTED_VALUE"""),"Marcela")</f>
        <v>Marcela</v>
      </c>
      <c r="AI301" s="6" t="str">
        <f>IFERROR(__xludf.DUMMYFUNCTION("""COMPUTED_VALUE"""),"Cárdenas Sánchez")</f>
        <v>Cárdenas Sánchez</v>
      </c>
      <c r="AJ301" s="6" t="str">
        <f>IFERROR(__xludf.DUMMYFUNCTION("""COMPUTED_VALUE"""),"smarcelac2@gmail.com")</f>
        <v>smarcelac2@gmail.com</v>
      </c>
      <c r="AK301" s="6" t="str">
        <f>IFERROR(__xludf.DUMMYFUNCTION("""COMPUTED_VALUE"""),"LICENCIADA EN LENGUA CASTELLANA")</f>
        <v>LICENCIADA EN LENGUA CASTELLANA</v>
      </c>
      <c r="AL301" s="6" t="str">
        <f>IFERROR(__xludf.DUMMYFUNCTION("""COMPUTED_VALUE"""),"MAS ELECTRICOS DEL EJE SAS")</f>
        <v>MAS ELECTRICOS DEL EJE SAS</v>
      </c>
      <c r="AM301" s="12" t="str">
        <f>IFERROR(__xludf.DUMMYFUNCTION("""COMPUTED_VALUE"""),"1037544947")</f>
        <v>1037544947</v>
      </c>
      <c r="AN301" s="12" t="str">
        <f>IFERROR(__xludf.DUMMYFUNCTION("""COMPUTED_VALUE"""),"3144438856")</f>
        <v>3144438856</v>
      </c>
      <c r="AO301" s="6" t="str">
        <f>IFERROR(__xludf.DUMMYFUNCTION("""COMPUTED_VALUE"""),"Madre")</f>
        <v>Madre</v>
      </c>
      <c r="AP301" s="6" t="str">
        <f>IFERROR(__xludf.DUMMYFUNCTION("""COMPUTED_VALUE"""),"Estudiante(s): Martínez Cárdenas")</f>
        <v>Estudiante(s): Martínez Cárdenas</v>
      </c>
      <c r="AQ301" s="6" t="str">
        <f>IFERROR(__xludf.DUMMYFUNCTION("""COMPUTED_VALUE"""),"120413*Gi")</f>
        <v>120413*Gi</v>
      </c>
      <c r="AR301" s="6" t="str">
        <f>IFERROR(__xludf.DUMMYFUNCTION("""COMPUTED_VALUE"""),"Alexander")</f>
        <v>Alexander</v>
      </c>
      <c r="AS301" s="6"/>
      <c r="AT301" s="6" t="str">
        <f>IFERROR(__xludf.DUMMYFUNCTION("""COMPUTED_VALUE"""),"Martínez Castro")</f>
        <v>Martínez Castro</v>
      </c>
      <c r="AU301" s="6" t="str">
        <f>IFERROR(__xludf.DUMMYFUNCTION("""COMPUTED_VALUE"""),"gerencia@sacingenieria.com.co")</f>
        <v>gerencia@sacingenieria.com.co</v>
      </c>
      <c r="AV301" s="6" t="str">
        <f>IFERROR(__xludf.DUMMYFUNCTION("""COMPUTED_VALUE"""),"INGENIERO CIVIL")</f>
        <v>INGENIERO CIVIL</v>
      </c>
      <c r="AW301" s="6" t="str">
        <f>IFERROR(__xludf.DUMMYFUNCTION("""COMPUTED_VALUE"""),"SAC INGENIERIA E INVESIONES SAS")</f>
        <v>SAC INGENIERIA E INVESIONES SAS</v>
      </c>
      <c r="AX301" s="12" t="str">
        <f>IFERROR(__xludf.DUMMYFUNCTION("""COMPUTED_VALUE"""),"4376808")</f>
        <v>4376808</v>
      </c>
      <c r="AY301" s="12">
        <f>IFERROR(__xludf.DUMMYFUNCTION("""COMPUTED_VALUE"""),3.103726122E9)</f>
        <v>3103726122</v>
      </c>
      <c r="AZ301" s="6" t="str">
        <f>IFERROR(__xludf.DUMMYFUNCTION("""COMPUTED_VALUE"""),"Padre")</f>
        <v>Padre</v>
      </c>
      <c r="BA301" s="6"/>
      <c r="BB301" s="6"/>
      <c r="BC301" s="6"/>
      <c r="BD301" s="12" t="str">
        <f>IFERROR(__xludf.DUMMYFUNCTION("""COMPUTED_VALUE"""),"mar0018")</f>
        <v>mar0018</v>
      </c>
      <c r="BE301" s="6" t="str">
        <f>IFERROR(__xludf.DUMMYFUNCTION("""COMPUTED_VALUE"""),"FALTAN FIRMAS")</f>
        <v>FALTAN FIRMAS</v>
      </c>
      <c r="BF301" s="6"/>
      <c r="BG301" s="6">
        <f>IFERROR(__xludf.DUMMYFUNCTION("""COMPUTED_VALUE"""),2036.0)</f>
        <v>2036</v>
      </c>
      <c r="BH301" s="15">
        <f>IFERROR(__xludf.DUMMYFUNCTION("""COMPUTED_VALUE"""),46239.01346064815)</f>
        <v>46239.01346</v>
      </c>
      <c r="BI301" s="6">
        <f>IFERROR(__xludf.DUMMYFUNCTION("""COMPUTED_VALUE"""),301.0)</f>
        <v>301</v>
      </c>
      <c r="BJ301" s="6"/>
      <c r="BK301" s="6"/>
      <c r="BL301" s="6" t="str">
        <f>IFERROR(__xludf.DUMMYFUNCTION("""COMPUTED_VALUE"""),"GISMAR0018")</f>
        <v>GISMAR0018</v>
      </c>
      <c r="BM301" s="6"/>
      <c r="BN301" s="6"/>
      <c r="BO301" s="6"/>
      <c r="BP301" s="6" t="str">
        <f>IFERROR(__xludf.DUMMYFUNCTION("""COMPUTED_VALUE"""),"XC_23_Futbol_M")</f>
        <v>XC_23_Futbol_M</v>
      </c>
      <c r="BQ301" s="6"/>
      <c r="BR301" s="6"/>
      <c r="BS301" s="6" t="str">
        <f>IFERROR(__xludf.DUMMYFUNCTION("""COMPUTED_VALUE"""),"XC_23_Futbol_M")</f>
        <v>XC_23_Futbol_M</v>
      </c>
      <c r="BT301" s="6" t="str">
        <f>IFERROR(__xludf.DUMMYFUNCTION("""COMPUTED_VALUE"""),"XC_23_Futbol_M")</f>
        <v>XC_23_Futbol_M</v>
      </c>
      <c r="BU301" s="6" t="str">
        <f>IFERROR(__xludf.DUMMYFUNCTION("""COMPUTED_VALUE"""),"SI")</f>
        <v>SI</v>
      </c>
      <c r="BV301" s="6" t="str">
        <f>IFERROR(__xludf.DUMMYFUNCTION("""COMPUTED_VALUE"""),"matias.m2036")</f>
        <v>matias.m2036</v>
      </c>
      <c r="BW301" s="6"/>
      <c r="BX301" s="6"/>
      <c r="BY301" s="6"/>
      <c r="BZ301" s="6"/>
    </row>
    <row r="302">
      <c r="A302" s="12">
        <f>IFERROR(__xludf.DUMMYFUNCTION("""COMPUTED_VALUE"""),1.092862165E9)</f>
        <v>1092862165</v>
      </c>
      <c r="B302" s="6">
        <f>IFERROR(__xludf.DUMMYFUNCTION("""COMPUTED_VALUE"""),12.0)</f>
        <v>12</v>
      </c>
      <c r="C302" s="6" t="str">
        <f>IFERROR(__xludf.DUMMYFUNCTION("""COMPUTED_VALUE"""),"Jerónimo")</f>
        <v>Jerónimo</v>
      </c>
      <c r="D302" s="6"/>
      <c r="E302" s="6" t="str">
        <f>IFERROR(__xludf.DUMMYFUNCTION("""COMPUTED_VALUE"""),"Medina Castellanos")</f>
        <v>Medina Castellanos</v>
      </c>
      <c r="F302" s="6" t="str">
        <f>IFERROR(__xludf.DUMMYFUNCTION("""COMPUTED_VALUE"""),"Mediterraneo Torre 4 Apto 907 - Cra 19 No22Nte - 104")</f>
        <v>Mediterraneo Torre 4 Apto 907 - Cra 19 No22Nte - 104</v>
      </c>
      <c r="G302" s="12" t="str">
        <f>IFERROR(__xludf.DUMMYFUNCTION("""COMPUTED_VALUE"""),"2018")</f>
        <v>2018</v>
      </c>
      <c r="H302" s="6" t="str">
        <f>IFERROR(__xludf.DUMMYFUNCTION("""COMPUTED_VALUE"""),"Junio")</f>
        <v>Junio</v>
      </c>
      <c r="I302" s="12" t="str">
        <f>IFERROR(__xludf.DUMMYFUNCTION("""COMPUTED_VALUE"""),"23")</f>
        <v>23</v>
      </c>
      <c r="J302" s="6" t="str">
        <f>IFERROR(__xludf.DUMMYFUNCTION("""COMPUTED_VALUE"""),"Armenia")</f>
        <v>Armenia</v>
      </c>
      <c r="K302" s="6" t="str">
        <f>IFERROR(__xludf.DUMMYFUNCTION("""COMPUTED_VALUE"""),"jeronimo.m2036@gi.edu.co")</f>
        <v>jeronimo.m2036@gi.edu.co</v>
      </c>
      <c r="L302" s="6" t="str">
        <f>IFERROR(__xludf.DUMMYFUNCTION("""COMPUTED_VALUE"""),"RC")</f>
        <v>RC</v>
      </c>
      <c r="M302" s="6" t="str">
        <f>IFERROR(__xludf.DUMMYFUNCTION("""COMPUTED_VALUE"""),"Armenia")</f>
        <v>Armenia</v>
      </c>
      <c r="N302" s="6" t="str">
        <f>IFERROR(__xludf.DUMMYFUNCTION("""COMPUTED_VALUE"""),"M")</f>
        <v>M</v>
      </c>
      <c r="O302" s="6" t="str">
        <f>IFERROR(__xludf.DUMMYFUNCTION("""COMPUTED_VALUE"""),"ACTIVE")</f>
        <v>ACTIVE</v>
      </c>
      <c r="P302" s="6"/>
      <c r="Q302" s="6" t="str">
        <f>IFERROR(__xludf.DUMMYFUNCTION("""COMPUTED_VALUE"""),"Armenia")</f>
        <v>Armenia</v>
      </c>
      <c r="R302" s="12" t="str">
        <f>IFERROR(__xludf.DUMMYFUNCTION("""COMPUTED_VALUE"""),"Gi4568m*")</f>
        <v>Gi4568m*</v>
      </c>
      <c r="S302" s="6" t="str">
        <f>IFERROR(__xludf.DUMMYFUNCTION("""COMPUTED_VALUE"""),"Medina Castellanos Jerónimo ")</f>
        <v>Medina Castellanos Jerónimo </v>
      </c>
      <c r="T302" s="6" t="str">
        <f>IFERROR(__xludf.DUMMYFUNCTION("""COMPUTED_VALUE"""),"VANESSA CASTELLANOS LOAIZA")</f>
        <v>VANESSA CASTELLANOS LOAIZA</v>
      </c>
      <c r="U302" s="12" t="str">
        <f>IFERROR(__xludf.DUMMYFUNCTION("""COMPUTED_VALUE"""),"1094928308")</f>
        <v>1094928308</v>
      </c>
      <c r="V302" s="6">
        <f>IFERROR(__xludf.DUMMYFUNCTION("""COMPUTED_VALUE"""),3.206179409E9)</f>
        <v>3206179409</v>
      </c>
      <c r="W302" s="6" t="str">
        <f>IFERROR(__xludf.DUMMYFUNCTION("""COMPUTED_VALUE"""),"vanee625@hotmail.com")</f>
        <v>vanee625@hotmail.com</v>
      </c>
      <c r="X302" s="12" t="str">
        <f>IFERROR(__xludf.DUMMYFUNCTION("""COMPUTED_VALUE"""),"O-")</f>
        <v>O-</v>
      </c>
      <c r="Y302" s="12" t="str">
        <f>IFERROR(__xludf.DUMMYFUNCTION("""COMPUTED_VALUE"""),"3")</f>
        <v>3</v>
      </c>
      <c r="Z302" s="12">
        <f>IFERROR(__xludf.DUMMYFUNCTION("""COMPUTED_VALUE"""),120220.0)</f>
        <v>120220</v>
      </c>
      <c r="AA302" s="6" t="str">
        <f>IFERROR(__xludf.DUMMYFUNCTION("""COMPUTED_VALUE"""),"SURA")</f>
        <v>SURA</v>
      </c>
      <c r="AB302" s="6"/>
      <c r="AC302" s="12" t="str">
        <f>IFERROR(__xludf.DUMMYFUNCTION("""COMPUTED_VALUE"""),"asitromisina")</f>
        <v>asitromisina</v>
      </c>
      <c r="AD302" s="6" t="str">
        <f>IFERROR(__xludf.DUMMYFUNCTION("""COMPUTED_VALUE"""),"3A")</f>
        <v>3A</v>
      </c>
      <c r="AE302" s="12">
        <f>IFERROR(__xludf.DUMMYFUNCTION("""COMPUTED_VALUE"""),1.345282223E9)</f>
        <v>1345282223</v>
      </c>
      <c r="AF302" s="12" t="str">
        <f>IFERROR(__xludf.DUMMYFUNCTION("""COMPUTED_VALUE"""),"0687295139")</f>
        <v>0687295139</v>
      </c>
      <c r="AG302" s="12" t="str">
        <f>IFERROR(__xludf.DUMMYFUNCTION("""COMPUTED_VALUE"""),"Vanessa")</f>
        <v>Vanessa</v>
      </c>
      <c r="AH302" s="6"/>
      <c r="AI302" s="6" t="str">
        <f>IFERROR(__xludf.DUMMYFUNCTION("""COMPUTED_VALUE"""),"Castellanos Loaiza")</f>
        <v>Castellanos Loaiza</v>
      </c>
      <c r="AJ302" s="6" t="str">
        <f>IFERROR(__xludf.DUMMYFUNCTION("""COMPUTED_VALUE"""),"vanee625@hotmail.com")</f>
        <v>vanee625@hotmail.com</v>
      </c>
      <c r="AK302" s="6" t="str">
        <f>IFERROR(__xludf.DUMMYFUNCTION("""COMPUTED_VALUE"""),"Docente")</f>
        <v>Docente</v>
      </c>
      <c r="AL302" s="6" t="str">
        <f>IFERROR(__xludf.DUMMYFUNCTION("""COMPUTED_VALUE"""),"Fundación GI")</f>
        <v>Fundación GI</v>
      </c>
      <c r="AM302" s="12" t="str">
        <f>IFERROR(__xludf.DUMMYFUNCTION("""COMPUTED_VALUE"""),"1094928308")</f>
        <v>1094928308</v>
      </c>
      <c r="AN302" s="12" t="str">
        <f>IFERROR(__xludf.DUMMYFUNCTION("""COMPUTED_VALUE"""),"3206179409")</f>
        <v>3206179409</v>
      </c>
      <c r="AO302" s="6" t="str">
        <f>IFERROR(__xludf.DUMMYFUNCTION("""COMPUTED_VALUE"""),"Madre")</f>
        <v>Madre</v>
      </c>
      <c r="AP302" s="6" t="str">
        <f>IFERROR(__xludf.DUMMYFUNCTION("""COMPUTED_VALUE"""),"Estudiante(s): Medina Castellanos")</f>
        <v>Estudiante(s): Medina Castellanos</v>
      </c>
      <c r="AQ302" s="6" t="str">
        <f>IFERROR(__xludf.DUMMYFUNCTION("""COMPUTED_VALUE"""),"120220*Gi")</f>
        <v>120220*Gi</v>
      </c>
      <c r="AR302" s="6" t="str">
        <f>IFERROR(__xludf.DUMMYFUNCTION("""COMPUTED_VALUE"""),"Víctor")</f>
        <v>Víctor</v>
      </c>
      <c r="AS302" s="6" t="str">
        <f>IFERROR(__xludf.DUMMYFUNCTION("""COMPUTED_VALUE"""),"Hugo")</f>
        <v>Hugo</v>
      </c>
      <c r="AT302" s="6" t="str">
        <f>IFERROR(__xludf.DUMMYFUNCTION("""COMPUTED_VALUE"""),"Medina Loaiza")</f>
        <v>Medina Loaiza</v>
      </c>
      <c r="AU302" s="6" t="str">
        <f>IFERROR(__xludf.DUMMYFUNCTION("""COMPUTED_VALUE"""),"victorucsmedina@hotmail.com")</f>
        <v>victorucsmedina@hotmail.com</v>
      </c>
      <c r="AV302" s="6" t="str">
        <f>IFERROR(__xludf.DUMMYFUNCTION("""COMPUTED_VALUE"""),"docente")</f>
        <v>docente</v>
      </c>
      <c r="AW302" s="6" t="str">
        <f>IFERROR(__xludf.DUMMYFUNCTION("""COMPUTED_VALUE"""),"SENA")</f>
        <v>SENA</v>
      </c>
      <c r="AX302" s="12" t="str">
        <f>IFERROR(__xludf.DUMMYFUNCTION("""COMPUTED_VALUE"""),"9774544")</f>
        <v>9774544</v>
      </c>
      <c r="AY302" s="12" t="str">
        <f>IFERROR(__xludf.DUMMYFUNCTION("""COMPUTED_VALUE"""),"3177029653")</f>
        <v>3177029653</v>
      </c>
      <c r="AZ302" s="6" t="str">
        <f>IFERROR(__xludf.DUMMYFUNCTION("""COMPUTED_VALUE"""),"Padre")</f>
        <v>Padre</v>
      </c>
      <c r="BA302" s="6"/>
      <c r="BB302" s="6"/>
      <c r="BC302" s="6"/>
      <c r="BD302" s="12" t="str">
        <f>IFERROR(__xludf.DUMMYFUNCTION("""COMPUTED_VALUE"""),"med0001")</f>
        <v>med0001</v>
      </c>
      <c r="BE302" s="6"/>
      <c r="BF302" s="6"/>
      <c r="BG302" s="6">
        <f>IFERROR(__xludf.DUMMYFUNCTION("""COMPUTED_VALUE"""),2036.0)</f>
        <v>2036</v>
      </c>
      <c r="BH302" s="15">
        <f>IFERROR(__xludf.DUMMYFUNCTION("""COMPUTED_VALUE"""),46205.798796296294)</f>
        <v>46205.7988</v>
      </c>
      <c r="BI302" s="6">
        <f>IFERROR(__xludf.DUMMYFUNCTION("""COMPUTED_VALUE"""),302.0)</f>
        <v>302</v>
      </c>
      <c r="BJ302" s="6"/>
      <c r="BK302" s="6"/>
      <c r="BL302" s="6" t="str">
        <f>IFERROR(__xludf.DUMMYFUNCTION("""COMPUTED_VALUE"""),"GISMED0001")</f>
        <v>GISMED0001</v>
      </c>
      <c r="BM302" s="6"/>
      <c r="BN302" s="6"/>
      <c r="BO302" s="6"/>
      <c r="BP302" s="6"/>
      <c r="BQ302" s="6"/>
      <c r="BR302" s="6"/>
      <c r="BS302" s="6"/>
      <c r="BT302" s="6"/>
      <c r="BU302" s="6" t="str">
        <f>IFERROR(__xludf.DUMMYFUNCTION("""COMPUTED_VALUE"""),"SI")</f>
        <v>SI</v>
      </c>
      <c r="BV302" s="6" t="str">
        <f>IFERROR(__xludf.DUMMYFUNCTION("""COMPUTED_VALUE"""),"jeronimo.m2036")</f>
        <v>jeronimo.m2036</v>
      </c>
      <c r="BW302" s="6"/>
      <c r="BX302" s="6"/>
      <c r="BY302" s="6"/>
      <c r="BZ302" s="6"/>
    </row>
    <row r="303">
      <c r="A303" s="12">
        <f>IFERROR(__xludf.DUMMYFUNCTION("""COMPUTED_VALUE"""),1.094979606E9)</f>
        <v>1094979606</v>
      </c>
      <c r="B303" s="6">
        <f>IFERROR(__xludf.DUMMYFUNCTION("""COMPUTED_VALUE"""),13.0)</f>
        <v>13</v>
      </c>
      <c r="C303" s="6" t="str">
        <f>IFERROR(__xludf.DUMMYFUNCTION("""COMPUTED_VALUE"""),"Isaías")</f>
        <v>Isaías</v>
      </c>
      <c r="D303" s="6"/>
      <c r="E303" s="6" t="str">
        <f>IFERROR(__xludf.DUMMYFUNCTION("""COMPUTED_VALUE"""),"Melchor Urrego")</f>
        <v>Melchor Urrego</v>
      </c>
      <c r="F303" s="6" t="str">
        <f>IFERROR(__xludf.DUMMYFUNCTION("""COMPUTED_VALUE"""),"Edificio Quimbaya Apto 704 - Cra 12 No14Nte - 41 La Castellana")</f>
        <v>Edificio Quimbaya Apto 704 - Cra 12 No14Nte - 41 La Castellana</v>
      </c>
      <c r="G303" s="12" t="str">
        <f>IFERROR(__xludf.DUMMYFUNCTION("""COMPUTED_VALUE"""),"2018")</f>
        <v>2018</v>
      </c>
      <c r="H303" s="6" t="str">
        <f>IFERROR(__xludf.DUMMYFUNCTION("""COMPUTED_VALUE"""),"Junio")</f>
        <v>Junio</v>
      </c>
      <c r="I303" s="12" t="str">
        <f>IFERROR(__xludf.DUMMYFUNCTION("""COMPUTED_VALUE"""),"23")</f>
        <v>23</v>
      </c>
      <c r="J303" s="6" t="str">
        <f>IFERROR(__xludf.DUMMYFUNCTION("""COMPUTED_VALUE"""),"Armenia")</f>
        <v>Armenia</v>
      </c>
      <c r="K303" s="6" t="str">
        <f>IFERROR(__xludf.DUMMYFUNCTION("""COMPUTED_VALUE"""),"isaias.m2036@gi.edu.co")</f>
        <v>isaias.m2036@gi.edu.co</v>
      </c>
      <c r="L303" s="6" t="str">
        <f>IFERROR(__xludf.DUMMYFUNCTION("""COMPUTED_VALUE"""),"RC")</f>
        <v>RC</v>
      </c>
      <c r="M303" s="6" t="str">
        <f>IFERROR(__xludf.DUMMYFUNCTION("""COMPUTED_VALUE"""),"Armenia")</f>
        <v>Armenia</v>
      </c>
      <c r="N303" s="6" t="str">
        <f>IFERROR(__xludf.DUMMYFUNCTION("""COMPUTED_VALUE"""),"M")</f>
        <v>M</v>
      </c>
      <c r="O303" s="6" t="str">
        <f>IFERROR(__xludf.DUMMYFUNCTION("""COMPUTED_VALUE"""),"INACTIVE")</f>
        <v>INACTIVE</v>
      </c>
      <c r="P303" s="6"/>
      <c r="Q303" s="6" t="str">
        <f>IFERROR(__xludf.DUMMYFUNCTION("""COMPUTED_VALUE"""),"Armenia")</f>
        <v>Armenia</v>
      </c>
      <c r="R303" s="12" t="str">
        <f>IFERROR(__xludf.DUMMYFUNCTION("""COMPUTED_VALUE"""),"Gij53cc9*")</f>
        <v>Gij53cc9*</v>
      </c>
      <c r="S303" s="6" t="str">
        <f>IFERROR(__xludf.DUMMYFUNCTION("""COMPUTED_VALUE"""),"Melchor Urrego Isaías ")</f>
        <v>Melchor Urrego Isaías </v>
      </c>
      <c r="T303" s="6" t="str">
        <f>IFERROR(__xludf.DUMMYFUNCTION("""COMPUTED_VALUE"""),"CRISTIAN ALEJANDRO MELCHOR AGUDELO")</f>
        <v>CRISTIAN ALEJANDRO MELCHOR AGUDELO</v>
      </c>
      <c r="U303" s="12" t="str">
        <f>IFERROR(__xludf.DUMMYFUNCTION("""COMPUTED_VALUE"""),"1094913953")</f>
        <v>1094913953</v>
      </c>
      <c r="V303" s="6">
        <f>IFERROR(__xludf.DUMMYFUNCTION("""COMPUTED_VALUE"""),3.13668732E9)</f>
        <v>3136687320</v>
      </c>
      <c r="W303" s="6" t="str">
        <f>IFERROR(__xludf.DUMMYFUNCTION("""COMPUTED_VALUE"""),"cristianmelchor1@outlook.com")</f>
        <v>cristianmelchor1@outlook.com</v>
      </c>
      <c r="X303" s="12" t="str">
        <f>IFERROR(__xludf.DUMMYFUNCTION("""COMPUTED_VALUE"""),"O+")</f>
        <v>O+</v>
      </c>
      <c r="Y303" s="12" t="str">
        <f>IFERROR(__xludf.DUMMYFUNCTION("""COMPUTED_VALUE"""),"3")</f>
        <v>3</v>
      </c>
      <c r="Z303" s="12">
        <f>IFERROR(__xludf.DUMMYFUNCTION("""COMPUTED_VALUE"""),120527.0)</f>
        <v>120527</v>
      </c>
      <c r="AA303" s="6" t="str">
        <f>IFERROR(__xludf.DUMMYFUNCTION("""COMPUTED_VALUE"""),"NUEVA EPS")</f>
        <v>NUEVA EPS</v>
      </c>
      <c r="AB303" s="6"/>
      <c r="AC303" s="6"/>
      <c r="AD303" s="6" t="str">
        <f>IFERROR(__xludf.DUMMYFUNCTION("""COMPUTED_VALUE"""),"3A")</f>
        <v>3A</v>
      </c>
      <c r="AE303" s="12" t="str">
        <f>IFERROR(__xludf.DUMMYFUNCTION("""COMPUTED_VALUE"""),"1345282526")</f>
        <v>1345282526</v>
      </c>
      <c r="AF303" s="6"/>
      <c r="AG303" s="12" t="str">
        <f>IFERROR(__xludf.DUMMYFUNCTION("""COMPUTED_VALUE"""),"Karen")</f>
        <v>Karen</v>
      </c>
      <c r="AH303" s="12" t="str">
        <f>IFERROR(__xludf.DUMMYFUNCTION("""COMPUTED_VALUE"""),"Tatiana")</f>
        <v>Tatiana</v>
      </c>
      <c r="AI303" s="6" t="str">
        <f>IFERROR(__xludf.DUMMYFUNCTION("""COMPUTED_VALUE"""),"Urrego Gómez")</f>
        <v>Urrego Gómez</v>
      </c>
      <c r="AJ303" s="6" t="str">
        <f>IFERROR(__xludf.DUMMYFUNCTION("""COMPUTED_VALUE"""),"tatianau2293@gmail.com")</f>
        <v>tatianau2293@gmail.com</v>
      </c>
      <c r="AK303" s="6" t="str">
        <f>IFERROR(__xludf.DUMMYFUNCTION("""COMPUTED_VALUE"""),"ECONOMISTA")</f>
        <v>ECONOMISTA</v>
      </c>
      <c r="AL303" s="6" t="str">
        <f>IFERROR(__xludf.DUMMYFUNCTION("""COMPUTED_VALUE"""),"ASESORIAS")</f>
        <v>ASESORIAS</v>
      </c>
      <c r="AM303" s="12" t="str">
        <f>IFERROR(__xludf.DUMMYFUNCTION("""COMPUTED_VALUE"""),"1094939534")</f>
        <v>1094939534</v>
      </c>
      <c r="AN303" s="12" t="str">
        <f>IFERROR(__xludf.DUMMYFUNCTION("""COMPUTED_VALUE"""),"3127487609")</f>
        <v>3127487609</v>
      </c>
      <c r="AO303" s="6" t="str">
        <f>IFERROR(__xludf.DUMMYFUNCTION("""COMPUTED_VALUE"""),"Madre")</f>
        <v>Madre</v>
      </c>
      <c r="AP303" s="6" t="str">
        <f>IFERROR(__xludf.DUMMYFUNCTION("""COMPUTED_VALUE"""),"Estudiante(s): Melchor Urrego")</f>
        <v>Estudiante(s): Melchor Urrego</v>
      </c>
      <c r="AQ303" s="6" t="str">
        <f>IFERROR(__xludf.DUMMYFUNCTION("""COMPUTED_VALUE"""),"120526*Gi")</f>
        <v>120526*Gi</v>
      </c>
      <c r="AR303" s="6" t="str">
        <f>IFERROR(__xludf.DUMMYFUNCTION("""COMPUTED_VALUE"""),"Cristian")</f>
        <v>Cristian</v>
      </c>
      <c r="AS303" s="6" t="str">
        <f>IFERROR(__xludf.DUMMYFUNCTION("""COMPUTED_VALUE"""),"Alejandro")</f>
        <v>Alejandro</v>
      </c>
      <c r="AT303" s="6" t="str">
        <f>IFERROR(__xludf.DUMMYFUNCTION("""COMPUTED_VALUE"""),"Melchor Agudelo")</f>
        <v>Melchor Agudelo</v>
      </c>
      <c r="AU303" s="6" t="str">
        <f>IFERROR(__xludf.DUMMYFUNCTION("""COMPUTED_VALUE"""),"cristianmelchor1@outlook.com")</f>
        <v>cristianmelchor1@outlook.com</v>
      </c>
      <c r="AV303" s="6" t="str">
        <f>IFERROR(__xludf.DUMMYFUNCTION("""COMPUTED_VALUE"""),"ADMINISTRADOR FINANCIERO")</f>
        <v>ADMINISTRADOR FINANCIERO</v>
      </c>
      <c r="AW303" s="6" t="str">
        <f>IFERROR(__xludf.DUMMYFUNCTION("""COMPUTED_VALUE"""),"UNIVERSIDAD JAVERIANA, MINISTERIO ")</f>
        <v>UNIVERSIDAD JAVERIANA, MINISTERIO </v>
      </c>
      <c r="AX303" s="12" t="str">
        <f>IFERROR(__xludf.DUMMYFUNCTION("""COMPUTED_VALUE"""),"1094913953")</f>
        <v>1094913953</v>
      </c>
      <c r="AY303" s="12" t="str">
        <f>IFERROR(__xludf.DUMMYFUNCTION("""COMPUTED_VALUE"""),"3136887320")</f>
        <v>3136887320</v>
      </c>
      <c r="AZ303" s="6" t="str">
        <f>IFERROR(__xludf.DUMMYFUNCTION("""COMPUTED_VALUE"""),"Padre")</f>
        <v>Padre</v>
      </c>
      <c r="BA303" s="6"/>
      <c r="BB303" s="6"/>
      <c r="BC303" s="6"/>
      <c r="BD303" s="12" t="str">
        <f>IFERROR(__xludf.DUMMYFUNCTION("""COMPUTED_VALUE"""),"mel0001")</f>
        <v>mel0001</v>
      </c>
      <c r="BE303" s="6" t="str">
        <f>IFERROR(__xludf.DUMMYFUNCTION("""COMPUTED_VALUE"""),"FALTAN FIRMAS")</f>
        <v>FALTAN FIRMAS</v>
      </c>
      <c r="BF303" s="6"/>
      <c r="BG303" s="6">
        <f>IFERROR(__xludf.DUMMYFUNCTION("""COMPUTED_VALUE"""),2036.0)</f>
        <v>2036</v>
      </c>
      <c r="BH303" s="15">
        <f>IFERROR(__xludf.DUMMYFUNCTION("""COMPUTED_VALUE"""),46209.821967592594)</f>
        <v>46209.82197</v>
      </c>
      <c r="BI303" s="6">
        <f>IFERROR(__xludf.DUMMYFUNCTION("""COMPUTED_VALUE"""),303.0)</f>
        <v>303</v>
      </c>
      <c r="BJ303" s="6"/>
      <c r="BK303" s="6"/>
      <c r="BL303" s="6" t="str">
        <f>IFERROR(__xludf.DUMMYFUNCTION("""COMPUTED_VALUE"""),"GISMEL0001")</f>
        <v>GISMEL0001</v>
      </c>
      <c r="BM303" s="6"/>
      <c r="BN303" s="6"/>
      <c r="BO303" s="6"/>
      <c r="BP303" s="6" t="str">
        <f>IFERROR(__xludf.DUMMYFUNCTION("""COMPUTED_VALUE"""),"XC_23_Futbol_M")</f>
        <v>XC_23_Futbol_M</v>
      </c>
      <c r="BQ303" s="6"/>
      <c r="BR303" s="6" t="str">
        <f>IFERROR(__xludf.DUMMYFUNCTION("""COMPUTED_VALUE"""),"XC_EL_PequenosCientificos")</f>
        <v>XC_EL_PequenosCientificos</v>
      </c>
      <c r="BS303" s="6" t="str">
        <f>IFERROR(__xludf.DUMMYFUNCTION("""COMPUTED_VALUE"""),"XC_23_Futbol_M")</f>
        <v>XC_23_Futbol_M</v>
      </c>
      <c r="BT303" s="6" t="str">
        <f>IFERROR(__xludf.DUMMYFUNCTION("""COMPUTED_VALUE"""),"XC_23_Futbol_M")</f>
        <v>XC_23_Futbol_M</v>
      </c>
      <c r="BU303" s="6" t="str">
        <f>IFERROR(__xludf.DUMMYFUNCTION("""COMPUTED_VALUE"""),"SI")</f>
        <v>SI</v>
      </c>
      <c r="BV303" s="6" t="str">
        <f>IFERROR(__xludf.DUMMYFUNCTION("""COMPUTED_VALUE"""),"isaias.m2036")</f>
        <v>isaias.m2036</v>
      </c>
      <c r="BW303" s="6"/>
      <c r="BX303" s="6"/>
      <c r="BY303" s="6"/>
      <c r="BZ303" s="6"/>
    </row>
    <row r="304">
      <c r="A304" s="6">
        <f>IFERROR(__xludf.DUMMYFUNCTION("""COMPUTED_VALUE"""),1.092861701E9)</f>
        <v>1092861701</v>
      </c>
      <c r="B304" s="6">
        <f>IFERROR(__xludf.DUMMYFUNCTION("""COMPUTED_VALUE"""),14.0)</f>
        <v>14</v>
      </c>
      <c r="C304" s="6" t="str">
        <f>IFERROR(__xludf.DUMMYFUNCTION("""COMPUTED_VALUE"""),"Zara")</f>
        <v>Zara</v>
      </c>
      <c r="D304" s="6" t="str">
        <f>IFERROR(__xludf.DUMMYFUNCTION("""COMPUTED_VALUE"""),"Keren")</f>
        <v>Keren</v>
      </c>
      <c r="E304" s="6" t="str">
        <f>IFERROR(__xludf.DUMMYFUNCTION("""COMPUTED_VALUE"""),"Montero Connabeer")</f>
        <v>Montero Connabeer</v>
      </c>
      <c r="F304" s="6" t="str">
        <f>IFERROR(__xludf.DUMMYFUNCTION("""COMPUTED_VALUE"""),"Finca El Sueño Palo Grande - Alto Via Juan Bosco")</f>
        <v>Finca El Sueño Palo Grande - Alto Via Juan Bosco</v>
      </c>
      <c r="G304" s="12" t="str">
        <f>IFERROR(__xludf.DUMMYFUNCTION("""COMPUTED_VALUE"""),"2017")</f>
        <v>2017</v>
      </c>
      <c r="H304" s="6" t="str">
        <f>IFERROR(__xludf.DUMMYFUNCTION("""COMPUTED_VALUE"""),"Diciembre")</f>
        <v>Diciembre</v>
      </c>
      <c r="I304" s="12" t="str">
        <f>IFERROR(__xludf.DUMMYFUNCTION("""COMPUTED_VALUE"""),"21")</f>
        <v>21</v>
      </c>
      <c r="J304" s="6" t="str">
        <f>IFERROR(__xludf.DUMMYFUNCTION("""COMPUTED_VALUE"""),"Armenia")</f>
        <v>Armenia</v>
      </c>
      <c r="K304" s="6" t="str">
        <f>IFERROR(__xludf.DUMMYFUNCTION("""COMPUTED_VALUE"""),"zara.m2036@gi.edu.co")</f>
        <v>zara.m2036@gi.edu.co</v>
      </c>
      <c r="L304" s="6" t="str">
        <f>IFERROR(__xludf.DUMMYFUNCTION("""COMPUTED_VALUE"""),"RC")</f>
        <v>RC</v>
      </c>
      <c r="M304" s="6" t="str">
        <f>IFERROR(__xludf.DUMMYFUNCTION("""COMPUTED_VALUE"""),"Armenia")</f>
        <v>Armenia</v>
      </c>
      <c r="N304" s="6" t="str">
        <f>IFERROR(__xludf.DUMMYFUNCTION("""COMPUTED_VALUE"""),"F")</f>
        <v>F</v>
      </c>
      <c r="O304" s="6" t="str">
        <f>IFERROR(__xludf.DUMMYFUNCTION("""COMPUTED_VALUE"""),"INACTIVE")</f>
        <v>INACTIVE</v>
      </c>
      <c r="P304" s="6"/>
      <c r="Q304" s="6" t="str">
        <f>IFERROR(__xludf.DUMMYFUNCTION("""COMPUTED_VALUE"""),"Armenia")</f>
        <v>Armenia</v>
      </c>
      <c r="R304" s="12" t="str">
        <f>IFERROR(__xludf.DUMMYFUNCTION("""COMPUTED_VALUE"""),"Gicfrr583*")</f>
        <v>Gicfrr583*</v>
      </c>
      <c r="S304" s="6" t="str">
        <f>IFERROR(__xludf.DUMMYFUNCTION("""COMPUTED_VALUE"""),"Montero Connabeer Zara Keren")</f>
        <v>Montero Connabeer Zara Keren</v>
      </c>
      <c r="T304" s="6" t="str">
        <f>IFERROR(__xludf.DUMMYFUNCTION("""COMPUTED_VALUE"""),"CHARLOTTE ELIZABETH CONNABEER")</f>
        <v>CHARLOTTE ELIZABETH CONNABEER</v>
      </c>
      <c r="U304" s="12" t="str">
        <f>IFERROR(__xludf.DUMMYFUNCTION("""COMPUTED_VALUE"""),"409145")</f>
        <v>409145</v>
      </c>
      <c r="V304" s="6">
        <f>IFERROR(__xludf.DUMMYFUNCTION("""COMPUTED_VALUE"""),3.145967305E9)</f>
        <v>3145967305</v>
      </c>
      <c r="W304" s="6" t="str">
        <f>IFERROR(__xludf.DUMMYFUNCTION("""COMPUTED_VALUE"""),"charlottec@gi.edu.co")</f>
        <v>charlottec@gi.edu.co</v>
      </c>
      <c r="X304" s="12" t="str">
        <f>IFERROR(__xludf.DUMMYFUNCTION("""COMPUTED_VALUE"""),"O+")</f>
        <v>O+</v>
      </c>
      <c r="Y304" s="12" t="str">
        <f>IFERROR(__xludf.DUMMYFUNCTION("""COMPUTED_VALUE"""),"3")</f>
        <v>3</v>
      </c>
      <c r="Z304" s="12">
        <f>IFERROR(__xludf.DUMMYFUNCTION("""COMPUTED_VALUE"""),120103.0)</f>
        <v>120103</v>
      </c>
      <c r="AA304" s="6" t="str">
        <f>IFERROR(__xludf.DUMMYFUNCTION("""COMPUTED_VALUE"""),"SURA")</f>
        <v>SURA</v>
      </c>
      <c r="AB304" s="6" t="str">
        <f>IFERROR(__xludf.DUMMYFUNCTION("""COMPUTED_VALUE"""),"EMI")</f>
        <v>EMI</v>
      </c>
      <c r="AC304" s="6"/>
      <c r="AD304" s="6" t="str">
        <f>IFERROR(__xludf.DUMMYFUNCTION("""COMPUTED_VALUE"""),"3A")</f>
        <v>3A</v>
      </c>
      <c r="AE304" s="12">
        <f>IFERROR(__xludf.DUMMYFUNCTION("""COMPUTED_VALUE"""),1.345282009E9)</f>
        <v>1345282009</v>
      </c>
      <c r="AF304" s="12" t="str">
        <f>IFERROR(__xludf.DUMMYFUNCTION("""COMPUTED_VALUE"""),"0686766355")</f>
        <v>0686766355</v>
      </c>
      <c r="AG304" s="12" t="str">
        <f>IFERROR(__xludf.DUMMYFUNCTION("""COMPUTED_VALUE"""),"Charlotte")</f>
        <v>Charlotte</v>
      </c>
      <c r="AH304" s="12" t="str">
        <f>IFERROR(__xludf.DUMMYFUNCTION("""COMPUTED_VALUE"""),"Elizabeth")</f>
        <v>Elizabeth</v>
      </c>
      <c r="AI304" s="6" t="str">
        <f>IFERROR(__xludf.DUMMYFUNCTION("""COMPUTED_VALUE"""),"Connabeer")</f>
        <v>Connabeer</v>
      </c>
      <c r="AJ304" s="6" t="str">
        <f>IFERROR(__xludf.DUMMYFUNCTION("""COMPUTED_VALUE"""),"ceconnabeer89@gmail.com")</f>
        <v>ceconnabeer89@gmail.com</v>
      </c>
      <c r="AK304" s="6" t="str">
        <f>IFERROR(__xludf.DUMMYFUNCTION("""COMPUTED_VALUE"""),"docente")</f>
        <v>docente</v>
      </c>
      <c r="AL304" s="6" t="str">
        <f>IFERROR(__xludf.DUMMYFUNCTION("""COMPUTED_VALUE"""),"GI School")</f>
        <v>GI School</v>
      </c>
      <c r="AM304" s="12" t="str">
        <f>IFERROR(__xludf.DUMMYFUNCTION("""COMPUTED_VALUE"""),"409145")</f>
        <v>409145</v>
      </c>
      <c r="AN304" s="12" t="str">
        <f>IFERROR(__xludf.DUMMYFUNCTION("""COMPUTED_VALUE"""),"3145967305")</f>
        <v>3145967305</v>
      </c>
      <c r="AO304" s="6" t="str">
        <f>IFERROR(__xludf.DUMMYFUNCTION("""COMPUTED_VALUE"""),"Madre")</f>
        <v>Madre</v>
      </c>
      <c r="AP304" s="6" t="str">
        <f>IFERROR(__xludf.DUMMYFUNCTION("""COMPUTED_VALUE"""),"Estudiante(s): Montero Connabeer")</f>
        <v>Estudiante(s): Montero Connabeer</v>
      </c>
      <c r="AQ304" s="6" t="str">
        <f>IFERROR(__xludf.DUMMYFUNCTION("""COMPUTED_VALUE"""),"103875*Gi")</f>
        <v>103875*Gi</v>
      </c>
      <c r="AR304" s="6" t="str">
        <f>IFERROR(__xludf.DUMMYFUNCTION("""COMPUTED_VALUE"""),"Nicolas")</f>
        <v>Nicolas</v>
      </c>
      <c r="AS304" s="6"/>
      <c r="AT304" s="6" t="str">
        <f>IFERROR(__xludf.DUMMYFUNCTION("""COMPUTED_VALUE"""),"Montero Palacio")</f>
        <v>Montero Palacio</v>
      </c>
      <c r="AU304" s="6" t="str">
        <f>IFERROR(__xludf.DUMMYFUNCTION("""COMPUTED_VALUE"""),"cafe360grados@gmail.com")</f>
        <v>cafe360grados@gmail.com</v>
      </c>
      <c r="AV304" s="6" t="str">
        <f>IFERROR(__xludf.DUMMYFUNCTION("""COMPUTED_VALUE"""),"Administrador de Empresas")</f>
        <v>Administrador de Empresas</v>
      </c>
      <c r="AW304" s="6" t="str">
        <f>IFERROR(__xludf.DUMMYFUNCTION("""COMPUTED_VALUE"""),"Cafe 360 Grados")</f>
        <v>Cafe 360 Grados</v>
      </c>
      <c r="AX304" s="12" t="str">
        <f>IFERROR(__xludf.DUMMYFUNCTION("""COMPUTED_VALUE"""),"9772919")</f>
        <v>9772919</v>
      </c>
      <c r="AY304" s="12" t="str">
        <f>IFERROR(__xludf.DUMMYFUNCTION("""COMPUTED_VALUE"""),"3103984199")</f>
        <v>3103984199</v>
      </c>
      <c r="AZ304" s="6" t="str">
        <f>IFERROR(__xludf.DUMMYFUNCTION("""COMPUTED_VALUE"""),"Padre")</f>
        <v>Padre</v>
      </c>
      <c r="BA304" s="6"/>
      <c r="BB304" s="6"/>
      <c r="BC304" s="6"/>
      <c r="BD304" s="12" t="str">
        <f>IFERROR(__xludf.DUMMYFUNCTION("""COMPUTED_VALUE"""),"mon0015")</f>
        <v>mon0015</v>
      </c>
      <c r="BE304" s="6" t="str">
        <f>IFERROR(__xludf.DUMMYFUNCTION("""COMPUTED_VALUE"""),"FALTAN FIRMAS")</f>
        <v>FALTAN FIRMAS</v>
      </c>
      <c r="BF304" s="6"/>
      <c r="BG304" s="6">
        <f>IFERROR(__xludf.DUMMYFUNCTION("""COMPUTED_VALUE"""),2036.0)</f>
        <v>2036</v>
      </c>
      <c r="BH304" s="15">
        <f>IFERROR(__xludf.DUMMYFUNCTION("""COMPUTED_VALUE"""),46237.55818287037)</f>
        <v>46237.55818</v>
      </c>
      <c r="BI304" s="6">
        <f>IFERROR(__xludf.DUMMYFUNCTION("""COMPUTED_VALUE"""),304.0)</f>
        <v>304</v>
      </c>
      <c r="BJ304" s="6"/>
      <c r="BK304" s="6"/>
      <c r="BL304" s="6" t="str">
        <f>IFERROR(__xludf.DUMMYFUNCTION("""COMPUTED_VALUE"""),"GISMON0015")</f>
        <v>GISMON0015</v>
      </c>
      <c r="BM304" s="6"/>
      <c r="BN304" s="6"/>
      <c r="BO304" s="6" t="str">
        <f>IFERROR(__xludf.DUMMYFUNCTION("""COMPUTED_VALUE"""),"XC_EL_ArtesPlasticas")</f>
        <v>XC_EL_ArtesPlasticas</v>
      </c>
      <c r="BP304" s="6" t="str">
        <f>IFERROR(__xludf.DUMMYFUNCTION("""COMPUTED_VALUE"""),"XC_EL_Porras")</f>
        <v>XC_EL_Porras</v>
      </c>
      <c r="BQ304" s="6" t="str">
        <f>IFERROR(__xludf.DUMMYFUNCTION("""COMPUTED_VALUE"""),"XC_EL_Porras")</f>
        <v>XC_EL_Porras</v>
      </c>
      <c r="BR304" s="6" t="str">
        <f>IFERROR(__xludf.DUMMYFUNCTION("""COMPUTED_VALUE"""),"XC_EL_PequenosCientificos")</f>
        <v>XC_EL_PequenosCientificos</v>
      </c>
      <c r="BS304" s="6" t="str">
        <f>IFERROR(__xludf.DUMMYFUNCTION("""COMPUTED_VALUE"""),"XC_EL_Porras")</f>
        <v>XC_EL_Porras</v>
      </c>
      <c r="BT304" s="6"/>
      <c r="BU304" s="6" t="str">
        <f>IFERROR(__xludf.DUMMYFUNCTION("""COMPUTED_VALUE"""),"SI")</f>
        <v>SI</v>
      </c>
      <c r="BV304" s="6" t="str">
        <f>IFERROR(__xludf.DUMMYFUNCTION("""COMPUTED_VALUE"""),"zara.m2036")</f>
        <v>zara.m2036</v>
      </c>
      <c r="BW304" s="6"/>
      <c r="BX304" s="6"/>
      <c r="BY304" s="6"/>
      <c r="BZ304" s="6"/>
    </row>
    <row r="305">
      <c r="A305" s="12">
        <f>IFERROR(__xludf.DUMMYFUNCTION("""COMPUTED_VALUE"""),1.092862073E9)</f>
        <v>1092862073</v>
      </c>
      <c r="B305" s="6">
        <f>IFERROR(__xludf.DUMMYFUNCTION("""COMPUTED_VALUE"""),15.0)</f>
        <v>15</v>
      </c>
      <c r="C305" s="6" t="str">
        <f>IFERROR(__xludf.DUMMYFUNCTION("""COMPUTED_VALUE"""),"Zoe")</f>
        <v>Zoe</v>
      </c>
      <c r="D305" s="6"/>
      <c r="E305" s="6" t="str">
        <f>IFERROR(__xludf.DUMMYFUNCTION("""COMPUTED_VALUE"""),"Padilla Valencia")</f>
        <v>Padilla Valencia</v>
      </c>
      <c r="F305" s="6" t="str">
        <f>IFERROR(__xludf.DUMMYFUNCTION("""COMPUTED_VALUE"""),"Conjunto Campestre Portugal Casa 16 - Via Pueblo Tapao")</f>
        <v>Conjunto Campestre Portugal Casa 16 - Via Pueblo Tapao</v>
      </c>
      <c r="G305" s="12" t="str">
        <f>IFERROR(__xludf.DUMMYFUNCTION("""COMPUTED_VALUE"""),"2018")</f>
        <v>2018</v>
      </c>
      <c r="H305" s="6" t="str">
        <f>IFERROR(__xludf.DUMMYFUNCTION("""COMPUTED_VALUE"""),"Abril")</f>
        <v>Abril</v>
      </c>
      <c r="I305" s="12" t="str">
        <f>IFERROR(__xludf.DUMMYFUNCTION("""COMPUTED_VALUE"""),"29")</f>
        <v>29</v>
      </c>
      <c r="J305" s="6" t="str">
        <f>IFERROR(__xludf.DUMMYFUNCTION("""COMPUTED_VALUE"""),"Las Vegas")</f>
        <v>Las Vegas</v>
      </c>
      <c r="K305" s="6" t="str">
        <f>IFERROR(__xludf.DUMMYFUNCTION("""COMPUTED_VALUE"""),"zoe.p2036@gi.edu.co")</f>
        <v>zoe.p2036@gi.edu.co</v>
      </c>
      <c r="L305" s="6" t="str">
        <f>IFERROR(__xludf.DUMMYFUNCTION("""COMPUTED_VALUE"""),"RC")</f>
        <v>RC</v>
      </c>
      <c r="M305" s="6" t="str">
        <f>IFERROR(__xludf.DUMMYFUNCTION("""COMPUTED_VALUE"""),"Armenia")</f>
        <v>Armenia</v>
      </c>
      <c r="N305" s="6" t="str">
        <f>IFERROR(__xludf.DUMMYFUNCTION("""COMPUTED_VALUE"""),"F")</f>
        <v>F</v>
      </c>
      <c r="O305" s="6" t="str">
        <f>IFERROR(__xludf.DUMMYFUNCTION("""COMPUTED_VALUE"""),"ACTIVE")</f>
        <v>ACTIVE</v>
      </c>
      <c r="P305" s="6"/>
      <c r="Q305" s="6" t="str">
        <f>IFERROR(__xludf.DUMMYFUNCTION("""COMPUTED_VALUE"""),"Armenia")</f>
        <v>Armenia</v>
      </c>
      <c r="R305" s="12" t="str">
        <f>IFERROR(__xludf.DUMMYFUNCTION("""COMPUTED_VALUE"""),"Gi9nh6t5*")</f>
        <v>Gi9nh6t5*</v>
      </c>
      <c r="S305" s="6" t="str">
        <f>IFERROR(__xludf.DUMMYFUNCTION("""COMPUTED_VALUE"""),"Padilla Valencia Zoe ")</f>
        <v>Padilla Valencia Zoe </v>
      </c>
      <c r="T305" s="6" t="str">
        <f>IFERROR(__xludf.DUMMYFUNCTION("""COMPUTED_VALUE"""),"DIEGO ALEJANDRO PADILLA GAITAN")</f>
        <v>DIEGO ALEJANDRO PADILLA GAITAN</v>
      </c>
      <c r="U305" s="12" t="str">
        <f>IFERROR(__xludf.DUMMYFUNCTION("""COMPUTED_VALUE"""),"1094880857")</f>
        <v>1094880857</v>
      </c>
      <c r="V305" s="6">
        <f>IFERROR(__xludf.DUMMYFUNCTION("""COMPUTED_VALUE"""),3.176361667E9)</f>
        <v>3176361667</v>
      </c>
      <c r="W305" s="6" t="str">
        <f>IFERROR(__xludf.DUMMYFUNCTION("""COMPUTED_VALUE"""),"padilla341@hotmail.com")</f>
        <v>padilla341@hotmail.com</v>
      </c>
      <c r="X305" s="12" t="str">
        <f>IFERROR(__xludf.DUMMYFUNCTION("""COMPUTED_VALUE"""),"O+")</f>
        <v>O+</v>
      </c>
      <c r="Y305" s="12" t="str">
        <f>IFERROR(__xludf.DUMMYFUNCTION("""COMPUTED_VALUE"""),"3")</f>
        <v>3</v>
      </c>
      <c r="Z305" s="12">
        <f>IFERROR(__xludf.DUMMYFUNCTION("""COMPUTED_VALUE"""),120243.0)</f>
        <v>120243</v>
      </c>
      <c r="AA305" s="6" t="str">
        <f>IFERROR(__xludf.DUMMYFUNCTION("""COMPUTED_VALUE"""),"SURA")</f>
        <v>SURA</v>
      </c>
      <c r="AB305" s="6"/>
      <c r="AC305" s="6"/>
      <c r="AD305" s="6" t="str">
        <f>IFERROR(__xludf.DUMMYFUNCTION("""COMPUTED_VALUE"""),"3A")</f>
        <v>3A</v>
      </c>
      <c r="AE305" s="12">
        <f>IFERROR(__xludf.DUMMYFUNCTION("""COMPUTED_VALUE"""),1.34528223E9)</f>
        <v>1345282230</v>
      </c>
      <c r="AF305" s="12" t="str">
        <f>IFERROR(__xludf.DUMMYFUNCTION("""COMPUTED_VALUE"""),"0690910771")</f>
        <v>0690910771</v>
      </c>
      <c r="AG305" s="12" t="str">
        <f>IFERROR(__xludf.DUMMYFUNCTION("""COMPUTED_VALUE"""),"Lina")</f>
        <v>Lina</v>
      </c>
      <c r="AH305" s="12" t="str">
        <f>IFERROR(__xludf.DUMMYFUNCTION("""COMPUTED_VALUE"""),"Marcela")</f>
        <v>Marcela</v>
      </c>
      <c r="AI305" s="6" t="str">
        <f>IFERROR(__xludf.DUMMYFUNCTION("""COMPUTED_VALUE"""),"Valencia Montealegre")</f>
        <v>Valencia Montealegre</v>
      </c>
      <c r="AJ305" s="6" t="str">
        <f>IFERROR(__xludf.DUMMYFUNCTION("""COMPUTED_VALUE"""),"livalmo@hotmail.com")</f>
        <v>livalmo@hotmail.com</v>
      </c>
      <c r="AK305" s="6" t="str">
        <f>IFERROR(__xludf.DUMMYFUNCTION("""COMPUTED_VALUE"""),"ADMINISTRADORA DE MEPRESAS")</f>
        <v>ADMINISTRADORA DE MEPRESAS</v>
      </c>
      <c r="AL305" s="6" t="str">
        <f>IFERROR(__xludf.DUMMYFUNCTION("""COMPUTED_VALUE"""),"AGENCIA DE VIAJES UN SOLO MUNDO")</f>
        <v>AGENCIA DE VIAJES UN SOLO MUNDO</v>
      </c>
      <c r="AM305" s="12" t="str">
        <f>IFERROR(__xludf.DUMMYFUNCTION("""COMPUTED_VALUE"""),"1094883933")</f>
        <v>1094883933</v>
      </c>
      <c r="AN305" s="12" t="str">
        <f>IFERROR(__xludf.DUMMYFUNCTION("""COMPUTED_VALUE"""),"3103937091")</f>
        <v>3103937091</v>
      </c>
      <c r="AO305" s="6" t="str">
        <f>IFERROR(__xludf.DUMMYFUNCTION("""COMPUTED_VALUE"""),"Madre")</f>
        <v>Madre</v>
      </c>
      <c r="AP305" s="6" t="str">
        <f>IFERROR(__xludf.DUMMYFUNCTION("""COMPUTED_VALUE"""),"Estudiante(s): Padilla Valencia")</f>
        <v>Estudiante(s): Padilla Valencia</v>
      </c>
      <c r="AQ305" s="6" t="str">
        <f>IFERROR(__xludf.DUMMYFUNCTION("""COMPUTED_VALUE"""),"120243*Gi")</f>
        <v>120243*Gi</v>
      </c>
      <c r="AR305" s="6" t="str">
        <f>IFERROR(__xludf.DUMMYFUNCTION("""COMPUTED_VALUE"""),"Diego")</f>
        <v>Diego</v>
      </c>
      <c r="AS305" s="6" t="str">
        <f>IFERROR(__xludf.DUMMYFUNCTION("""COMPUTED_VALUE"""),"Alejandro")</f>
        <v>Alejandro</v>
      </c>
      <c r="AT305" s="6" t="str">
        <f>IFERROR(__xludf.DUMMYFUNCTION("""COMPUTED_VALUE"""),"Padilla Gaitán")</f>
        <v>Padilla Gaitán</v>
      </c>
      <c r="AU305" s="6" t="str">
        <f>IFERROR(__xludf.DUMMYFUNCTION("""COMPUTED_VALUE"""),"padilla341@hotmail.com")</f>
        <v>padilla341@hotmail.com</v>
      </c>
      <c r="AV305" s="6" t="str">
        <f>IFERROR(__xludf.DUMMYFUNCTION("""COMPUTED_VALUE"""),"ADMINISTRADOR DE EMPRESAS")</f>
        <v>ADMINISTRADOR DE EMPRESAS</v>
      </c>
      <c r="AW305" s="6"/>
      <c r="AX305" s="12" t="str">
        <f>IFERROR(__xludf.DUMMYFUNCTION("""COMPUTED_VALUE"""),"1094880857")</f>
        <v>1094880857</v>
      </c>
      <c r="AY305" s="12" t="str">
        <f>IFERROR(__xludf.DUMMYFUNCTION("""COMPUTED_VALUE"""),"3176361667")</f>
        <v>3176361667</v>
      </c>
      <c r="AZ305" s="6" t="str">
        <f>IFERROR(__xludf.DUMMYFUNCTION("""COMPUTED_VALUE"""),"Padre")</f>
        <v>Padre</v>
      </c>
      <c r="BA305" s="6"/>
      <c r="BB305" s="6"/>
      <c r="BC305" s="6"/>
      <c r="BD305" s="12" t="str">
        <f>IFERROR(__xludf.DUMMYFUNCTION("""COMPUTED_VALUE"""),"pad0001")</f>
        <v>pad0001</v>
      </c>
      <c r="BE305" s="6"/>
      <c r="BF305" s="6"/>
      <c r="BG305" s="6">
        <f>IFERROR(__xludf.DUMMYFUNCTION("""COMPUTED_VALUE"""),2036.0)</f>
        <v>2036</v>
      </c>
      <c r="BH305" s="15">
        <f>IFERROR(__xludf.DUMMYFUNCTION("""COMPUTED_VALUE"""),46205.35953703704)</f>
        <v>46205.35954</v>
      </c>
      <c r="BI305" s="6">
        <f>IFERROR(__xludf.DUMMYFUNCTION("""COMPUTED_VALUE"""),305.0)</f>
        <v>305</v>
      </c>
      <c r="BJ305" s="6"/>
      <c r="BK305" s="6"/>
      <c r="BL305" s="6" t="str">
        <f>IFERROR(__xludf.DUMMYFUNCTION("""COMPUTED_VALUE"""),"GISPAD0001")</f>
        <v>GISPAD0001</v>
      </c>
      <c r="BM305" s="6"/>
      <c r="BN305" s="6"/>
      <c r="BO305" s="6"/>
      <c r="BP305" s="6" t="str">
        <f>IFERROR(__xludf.DUMMYFUNCTION("""COMPUTED_VALUE"""),"XC_EL_Porras")</f>
        <v>XC_EL_Porras</v>
      </c>
      <c r="BQ305" s="6" t="str">
        <f>IFERROR(__xludf.DUMMYFUNCTION("""COMPUTED_VALUE"""),"XC_EL_Porras")</f>
        <v>XC_EL_Porras</v>
      </c>
      <c r="BR305" s="6"/>
      <c r="BS305" s="6" t="str">
        <f>IFERROR(__xludf.DUMMYFUNCTION("""COMPUTED_VALUE"""),"XC_EL_Porras")</f>
        <v>XC_EL_Porras</v>
      </c>
      <c r="BT305" s="6"/>
      <c r="BU305" s="6" t="str">
        <f>IFERROR(__xludf.DUMMYFUNCTION("""COMPUTED_VALUE"""),"SI")</f>
        <v>SI</v>
      </c>
      <c r="BV305" s="6" t="str">
        <f>IFERROR(__xludf.DUMMYFUNCTION("""COMPUTED_VALUE"""),"zoe.p2036")</f>
        <v>zoe.p2036</v>
      </c>
      <c r="BW305" s="6"/>
      <c r="BX305" s="6"/>
      <c r="BY305" s="6"/>
      <c r="BZ305" s="6"/>
    </row>
    <row r="306">
      <c r="A306" s="12">
        <f>IFERROR(__xludf.DUMMYFUNCTION("""COMPUTED_VALUE"""),1.09286163E9)</f>
        <v>1092861630</v>
      </c>
      <c r="B306" s="6">
        <f>IFERROR(__xludf.DUMMYFUNCTION("""COMPUTED_VALUE"""),16.0)</f>
        <v>16</v>
      </c>
      <c r="C306" s="6" t="str">
        <f>IFERROR(__xludf.DUMMYFUNCTION("""COMPUTED_VALUE"""),"Dahiana")</f>
        <v>Dahiana</v>
      </c>
      <c r="D306" s="6" t="str">
        <f>IFERROR(__xludf.DUMMYFUNCTION("""COMPUTED_VALUE"""),"Catalina")</f>
        <v>Catalina</v>
      </c>
      <c r="E306" s="6" t="str">
        <f>IFERROR(__xludf.DUMMYFUNCTION("""COMPUTED_VALUE"""),"Ramos Jaramillo")</f>
        <v>Ramos Jaramillo</v>
      </c>
      <c r="F306" s="6" t="str">
        <f>IFERROR(__xludf.DUMMYFUNCTION("""COMPUTED_VALUE"""),"Proviteq Unidad 2 Bloque 15 Apto 2B - Cra 19 No13Nte - 34")</f>
        <v>Proviteq Unidad 2 Bloque 15 Apto 2B - Cra 19 No13Nte - 34</v>
      </c>
      <c r="G306" s="12" t="str">
        <f>IFERROR(__xludf.DUMMYFUNCTION("""COMPUTED_VALUE"""),"2017")</f>
        <v>2017</v>
      </c>
      <c r="H306" s="6" t="str">
        <f>IFERROR(__xludf.DUMMYFUNCTION("""COMPUTED_VALUE"""),"Diciembre")</f>
        <v>Diciembre</v>
      </c>
      <c r="I306" s="12" t="str">
        <f>IFERROR(__xludf.DUMMYFUNCTION("""COMPUTED_VALUE"""),"13")</f>
        <v>13</v>
      </c>
      <c r="J306" s="6" t="str">
        <f>IFERROR(__xludf.DUMMYFUNCTION("""COMPUTED_VALUE"""),"Armenia")</f>
        <v>Armenia</v>
      </c>
      <c r="K306" s="6" t="str">
        <f>IFERROR(__xludf.DUMMYFUNCTION("""COMPUTED_VALUE"""),"dahiana.r2036@gi.edu.co")</f>
        <v>dahiana.r2036@gi.edu.co</v>
      </c>
      <c r="L306" s="6" t="str">
        <f>IFERROR(__xludf.DUMMYFUNCTION("""COMPUTED_VALUE"""),"TI")</f>
        <v>TI</v>
      </c>
      <c r="M306" s="6" t="str">
        <f>IFERROR(__xludf.DUMMYFUNCTION("""COMPUTED_VALUE"""),"Armenia")</f>
        <v>Armenia</v>
      </c>
      <c r="N306" s="6" t="str">
        <f>IFERROR(__xludf.DUMMYFUNCTION("""COMPUTED_VALUE"""),"F")</f>
        <v>F</v>
      </c>
      <c r="O306" s="6" t="str">
        <f>IFERROR(__xludf.DUMMYFUNCTION("""COMPUTED_VALUE"""),"ACTIVE")</f>
        <v>ACTIVE</v>
      </c>
      <c r="P306" s="6"/>
      <c r="Q306" s="6" t="str">
        <f>IFERROR(__xludf.DUMMYFUNCTION("""COMPUTED_VALUE"""),"Armenia")</f>
        <v>Armenia</v>
      </c>
      <c r="R306" s="12" t="str">
        <f>IFERROR(__xludf.DUMMYFUNCTION("""COMPUTED_VALUE"""),"GitqyZj2g*")</f>
        <v>GitqyZj2g*</v>
      </c>
      <c r="S306" s="6" t="str">
        <f>IFERROR(__xludf.DUMMYFUNCTION("""COMPUTED_VALUE"""),"Ramos Jaramillo Dahiana Catalina")</f>
        <v>Ramos Jaramillo Dahiana Catalina</v>
      </c>
      <c r="T306" s="6" t="str">
        <f>IFERROR(__xludf.DUMMYFUNCTION("""COMPUTED_VALUE"""),"WILLIAM DOMINGO RAMOS TOVAR")</f>
        <v>WILLIAM DOMINGO RAMOS TOVAR</v>
      </c>
      <c r="U306" s="12" t="str">
        <f>IFERROR(__xludf.DUMMYFUNCTION("""COMPUTED_VALUE"""),"85467112")</f>
        <v>85467112</v>
      </c>
      <c r="V306" s="6">
        <f>IFERROR(__xludf.DUMMYFUNCTION("""COMPUTED_VALUE"""),3.044792305E9)</f>
        <v>3044792305</v>
      </c>
      <c r="W306" s="6" t="str">
        <f>IFERROR(__xludf.DUMMYFUNCTION("""COMPUTED_VALUE"""),"william.ramostovar1973@gmail.com")</f>
        <v>william.ramostovar1973@gmail.com</v>
      </c>
      <c r="X306" s="12" t="str">
        <f>IFERROR(__xludf.DUMMYFUNCTION("""COMPUTED_VALUE"""),"A-")</f>
        <v>A-</v>
      </c>
      <c r="Y306" s="12" t="str">
        <f>IFERROR(__xludf.DUMMYFUNCTION("""COMPUTED_VALUE"""),"3")</f>
        <v>3</v>
      </c>
      <c r="Z306" s="12">
        <f>IFERROR(__xludf.DUMMYFUNCTION("""COMPUTED_VALUE"""),120138.0)</f>
        <v>120138</v>
      </c>
      <c r="AA306" s="6" t="str">
        <f>IFERROR(__xludf.DUMMYFUNCTION("""COMPUTED_VALUE"""),"SURA")</f>
        <v>SURA</v>
      </c>
      <c r="AB306" s="6"/>
      <c r="AC306" s="6"/>
      <c r="AD306" s="6" t="str">
        <f>IFERROR(__xludf.DUMMYFUNCTION("""COMPUTED_VALUE"""),"3A")</f>
        <v>3A</v>
      </c>
      <c r="AE306" s="12">
        <f>IFERROR(__xludf.DUMMYFUNCTION("""COMPUTED_VALUE"""),1.345282144E9)</f>
        <v>1345282144</v>
      </c>
      <c r="AF306" s="12" t="str">
        <f>IFERROR(__xludf.DUMMYFUNCTION("""COMPUTED_VALUE"""),"0673284899")</f>
        <v>0673284899</v>
      </c>
      <c r="AG306" s="12" t="str">
        <f>IFERROR(__xludf.DUMMYFUNCTION("""COMPUTED_VALUE"""),"Sandra")</f>
        <v>Sandra</v>
      </c>
      <c r="AH306" s="12" t="str">
        <f>IFERROR(__xludf.DUMMYFUNCTION("""COMPUTED_VALUE"""),"Milena")</f>
        <v>Milena</v>
      </c>
      <c r="AI306" s="6" t="str">
        <f>IFERROR(__xludf.DUMMYFUNCTION("""COMPUTED_VALUE"""),"Jaramillo Mendoza")</f>
        <v>Jaramillo Mendoza</v>
      </c>
      <c r="AJ306" s="6" t="str">
        <f>IFERROR(__xludf.DUMMYFUNCTION("""COMPUTED_VALUE"""),"samijara@gmail.com")</f>
        <v>samijara@gmail.com</v>
      </c>
      <c r="AK306" s="6" t="str">
        <f>IFERROR(__xludf.DUMMYFUNCTION("""COMPUTED_VALUE"""),"MÉDICO GENERAL")</f>
        <v>MÉDICO GENERAL</v>
      </c>
      <c r="AL306" s="6" t="str">
        <f>IFERROR(__xludf.DUMMYFUNCTION("""COMPUTED_VALUE"""),"ONCOLOGOS DEL OCCIDENTE")</f>
        <v>ONCOLOGOS DEL OCCIDENTE</v>
      </c>
      <c r="AM306" s="12" t="str">
        <f>IFERROR(__xludf.DUMMYFUNCTION("""COMPUTED_VALUE"""),"1094909621")</f>
        <v>1094909621</v>
      </c>
      <c r="AN306" s="12" t="str">
        <f>IFERROR(__xludf.DUMMYFUNCTION("""COMPUTED_VALUE"""),"3246864094")</f>
        <v>3246864094</v>
      </c>
      <c r="AO306" s="6" t="str">
        <f>IFERROR(__xludf.DUMMYFUNCTION("""COMPUTED_VALUE"""),"Madre")</f>
        <v>Madre</v>
      </c>
      <c r="AP306" s="6" t="str">
        <f>IFERROR(__xludf.DUMMYFUNCTION("""COMPUTED_VALUE"""),"Estudiante(s): Ramos Jaramillo")</f>
        <v>Estudiante(s): Ramos Jaramillo</v>
      </c>
      <c r="AQ306" s="6" t="str">
        <f>IFERROR(__xludf.DUMMYFUNCTION("""COMPUTED_VALUE"""),"120138*Gi")</f>
        <v>120138*Gi</v>
      </c>
      <c r="AR306" s="6" t="str">
        <f>IFERROR(__xludf.DUMMYFUNCTION("""COMPUTED_VALUE"""),"Willam")</f>
        <v>Willam</v>
      </c>
      <c r="AS306" s="6" t="str">
        <f>IFERROR(__xludf.DUMMYFUNCTION("""COMPUTED_VALUE"""),"Domingo")</f>
        <v>Domingo</v>
      </c>
      <c r="AT306" s="6" t="str">
        <f>IFERROR(__xludf.DUMMYFUNCTION("""COMPUTED_VALUE"""),"Ramos  Tovar")</f>
        <v>Ramos  Tovar</v>
      </c>
      <c r="AU306" s="6" t="str">
        <f>IFERROR(__xludf.DUMMYFUNCTION("""COMPUTED_VALUE"""),"william.ramostovar1973@gmail.com")</f>
        <v>william.ramostovar1973@gmail.com</v>
      </c>
      <c r="AV306" s="6" t="str">
        <f>IFERROR(__xludf.DUMMYFUNCTION("""COMPUTED_VALUE"""),"MÉDICO ESPECIALISTA")</f>
        <v>MÉDICO ESPECIALISTA</v>
      </c>
      <c r="AW306" s="6"/>
      <c r="AX306" s="12" t="str">
        <f>IFERROR(__xludf.DUMMYFUNCTION("""COMPUTED_VALUE"""),"85467112")</f>
        <v>85467112</v>
      </c>
      <c r="AY306" s="12" t="str">
        <f>IFERROR(__xludf.DUMMYFUNCTION("""COMPUTED_VALUE"""),"3044792305")</f>
        <v>3044792305</v>
      </c>
      <c r="AZ306" s="6" t="str">
        <f>IFERROR(__xludf.DUMMYFUNCTION("""COMPUTED_VALUE"""),"Padre")</f>
        <v>Padre</v>
      </c>
      <c r="BA306" s="6"/>
      <c r="BB306" s="6"/>
      <c r="BC306" s="6"/>
      <c r="BD306" s="12" t="str">
        <f>IFERROR(__xludf.DUMMYFUNCTION("""COMPUTED_VALUE"""),"ram0017")</f>
        <v>ram0017</v>
      </c>
      <c r="BE306" s="6"/>
      <c r="BF306" s="6"/>
      <c r="BG306" s="6">
        <f>IFERROR(__xludf.DUMMYFUNCTION("""COMPUTED_VALUE"""),2036.0)</f>
        <v>2036</v>
      </c>
      <c r="BH306" s="15">
        <f>IFERROR(__xludf.DUMMYFUNCTION("""COMPUTED_VALUE"""),46208.956192129626)</f>
        <v>46208.95619</v>
      </c>
      <c r="BI306" s="6">
        <f>IFERROR(__xludf.DUMMYFUNCTION("""COMPUTED_VALUE"""),306.0)</f>
        <v>306</v>
      </c>
      <c r="BJ306" s="6"/>
      <c r="BK306" s="6"/>
      <c r="BL306" s="6" t="str">
        <f>IFERROR(__xludf.DUMMYFUNCTION("""COMPUTED_VALUE"""),"GISRAM0017")</f>
        <v>GISRAM0017</v>
      </c>
      <c r="BM306" s="6"/>
      <c r="BN306" s="6"/>
      <c r="BO306" s="6" t="str">
        <f>IFERROR(__xludf.DUMMYFUNCTION("""COMPUTED_VALUE"""),"XC_EL_TecVocal")</f>
        <v>XC_EL_TecVocal</v>
      </c>
      <c r="BP306" s="6" t="str">
        <f>IFERROR(__xludf.DUMMYFUNCTION("""COMPUTED_VALUE"""),"XC_23_Voleibol")</f>
        <v>XC_23_Voleibol</v>
      </c>
      <c r="BQ306" s="6"/>
      <c r="BR306" s="6" t="str">
        <f>IFERROR(__xludf.DUMMYFUNCTION("""COMPUTED_VALUE"""),"XC_EL_PequenosCientificos")</f>
        <v>XC_EL_PequenosCientificos</v>
      </c>
      <c r="BS306" s="6" t="str">
        <f>IFERROR(__xludf.DUMMYFUNCTION("""COMPUTED_VALUE"""),"XC_23_Voleibol")</f>
        <v>XC_23_Voleibol</v>
      </c>
      <c r="BT306" s="6" t="str">
        <f>IFERROR(__xludf.DUMMYFUNCTION("""COMPUTED_VALUE"""),"XC_23_Voleibol")</f>
        <v>XC_23_Voleibol</v>
      </c>
      <c r="BU306" s="6" t="str">
        <f>IFERROR(__xludf.DUMMYFUNCTION("""COMPUTED_VALUE"""),"SI")</f>
        <v>SI</v>
      </c>
      <c r="BV306" s="6" t="str">
        <f>IFERROR(__xludf.DUMMYFUNCTION("""COMPUTED_VALUE"""),"dahiana.r2036")</f>
        <v>dahiana.r2036</v>
      </c>
      <c r="BW306" s="6"/>
      <c r="BX306" s="6"/>
      <c r="BY306" s="6"/>
      <c r="BZ306" s="6"/>
    </row>
    <row r="307">
      <c r="A307" s="6">
        <f>IFERROR(__xludf.DUMMYFUNCTION("""COMPUTED_VALUE"""),1.092861899E9)</f>
        <v>1092861899</v>
      </c>
      <c r="B307" s="6">
        <f>IFERROR(__xludf.DUMMYFUNCTION("""COMPUTED_VALUE"""),17.0)</f>
        <v>17</v>
      </c>
      <c r="C307" s="6" t="str">
        <f>IFERROR(__xludf.DUMMYFUNCTION("""COMPUTED_VALUE"""),"Silvia")</f>
        <v>Silvia</v>
      </c>
      <c r="D307" s="6"/>
      <c r="E307" s="6" t="str">
        <f>IFERROR(__xludf.DUMMYFUNCTION("""COMPUTED_VALUE"""),"Restrepo Mejía")</f>
        <v>Restrepo Mejía</v>
      </c>
      <c r="F307" s="6" t="str">
        <f>IFERROR(__xludf.DUMMYFUNCTION("""COMPUTED_VALUE"""),"Condominio Jordan Campestre Casa 36 - Cra 6 13Nte - 30 Av Centenario")</f>
        <v>Condominio Jordan Campestre Casa 36 - Cra 6 13Nte - 30 Av Centenario</v>
      </c>
      <c r="G307" s="12" t="str">
        <f>IFERROR(__xludf.DUMMYFUNCTION("""COMPUTED_VALUE"""),"2018")</f>
        <v>2018</v>
      </c>
      <c r="H307" s="6" t="str">
        <f>IFERROR(__xludf.DUMMYFUNCTION("""COMPUTED_VALUE"""),"Marzo")</f>
        <v>Marzo</v>
      </c>
      <c r="I307" s="12" t="str">
        <f>IFERROR(__xludf.DUMMYFUNCTION("""COMPUTED_VALUE"""),"22")</f>
        <v>22</v>
      </c>
      <c r="J307" s="6" t="str">
        <f>IFERROR(__xludf.DUMMYFUNCTION("""COMPUTED_VALUE"""),"Armenia")</f>
        <v>Armenia</v>
      </c>
      <c r="K307" s="6" t="str">
        <f>IFERROR(__xludf.DUMMYFUNCTION("""COMPUTED_VALUE"""),"silvia.r2036@gi.edu.co")</f>
        <v>silvia.r2036@gi.edu.co</v>
      </c>
      <c r="L307" s="6" t="str">
        <f>IFERROR(__xludf.DUMMYFUNCTION("""COMPUTED_VALUE"""),"TI")</f>
        <v>TI</v>
      </c>
      <c r="M307" s="6" t="str">
        <f>IFERROR(__xludf.DUMMYFUNCTION("""COMPUTED_VALUE"""),"Armenia")</f>
        <v>Armenia</v>
      </c>
      <c r="N307" s="6" t="str">
        <f>IFERROR(__xludf.DUMMYFUNCTION("""COMPUTED_VALUE"""),"F")</f>
        <v>F</v>
      </c>
      <c r="O307" s="6" t="str">
        <f>IFERROR(__xludf.DUMMYFUNCTION("""COMPUTED_VALUE"""),"ACTIVE")</f>
        <v>ACTIVE</v>
      </c>
      <c r="P307" s="6"/>
      <c r="Q307" s="6" t="str">
        <f>IFERROR(__xludf.DUMMYFUNCTION("""COMPUTED_VALUE"""),"Armenia")</f>
        <v>Armenia</v>
      </c>
      <c r="R307" s="12" t="str">
        <f>IFERROR(__xludf.DUMMYFUNCTION("""COMPUTED_VALUE"""),"Gial47ub*")</f>
        <v>Gial47ub*</v>
      </c>
      <c r="S307" s="6" t="str">
        <f>IFERROR(__xludf.DUMMYFUNCTION("""COMPUTED_VALUE"""),"Restrepo Mejía Silvia ")</f>
        <v>Restrepo Mejía Silvia </v>
      </c>
      <c r="T307" s="6" t="str">
        <f>IFERROR(__xludf.DUMMYFUNCTION("""COMPUTED_VALUE"""),"EDUARDO RESTREPO SAENZ")</f>
        <v>EDUARDO RESTREPO SAENZ</v>
      </c>
      <c r="U307" s="12" t="str">
        <f>IFERROR(__xludf.DUMMYFUNCTION("""COMPUTED_VALUE"""),"89009102")</f>
        <v>89009102</v>
      </c>
      <c r="V307" s="6">
        <f>IFERROR(__xludf.DUMMYFUNCTION("""COMPUTED_VALUE"""),3.155774855E9)</f>
        <v>3155774855</v>
      </c>
      <c r="W307" s="6" t="str">
        <f>IFERROR(__xludf.DUMMYFUNCTION("""COMPUTED_VALUE"""),"edorestrepo@gmail.com")</f>
        <v>edorestrepo@gmail.com</v>
      </c>
      <c r="X307" s="12" t="str">
        <f>IFERROR(__xludf.DUMMYFUNCTION("""COMPUTED_VALUE"""),"A+")</f>
        <v>A+</v>
      </c>
      <c r="Y307" s="12" t="str">
        <f>IFERROR(__xludf.DUMMYFUNCTION("""COMPUTED_VALUE"""),"3")</f>
        <v>3</v>
      </c>
      <c r="Z307" s="12">
        <f>IFERROR(__xludf.DUMMYFUNCTION("""COMPUTED_VALUE"""),120414.0)</f>
        <v>120414</v>
      </c>
      <c r="AA307" s="6" t="str">
        <f>IFERROR(__xludf.DUMMYFUNCTION("""COMPUTED_VALUE"""),"SANITAS")</f>
        <v>SANITAS</v>
      </c>
      <c r="AB307" s="6"/>
      <c r="AC307" s="6"/>
      <c r="AD307" s="6" t="str">
        <f>IFERROR(__xludf.DUMMYFUNCTION("""COMPUTED_VALUE"""),"3A")</f>
        <v>3A</v>
      </c>
      <c r="AE307" s="12" t="str">
        <f>IFERROR(__xludf.DUMMYFUNCTION("""COMPUTED_VALUE"""),"1345282416")</f>
        <v>1345282416</v>
      </c>
      <c r="AF307" s="12" t="str">
        <f>IFERROR(__xludf.DUMMYFUNCTION("""COMPUTED_VALUE"""),"0680343491")</f>
        <v>0680343491</v>
      </c>
      <c r="AG307" s="12" t="str">
        <f>IFERROR(__xludf.DUMMYFUNCTION("""COMPUTED_VALUE"""),"Catalina")</f>
        <v>Catalina</v>
      </c>
      <c r="AH307" s="6"/>
      <c r="AI307" s="6" t="str">
        <f>IFERROR(__xludf.DUMMYFUNCTION("""COMPUTED_VALUE"""),"Mejía Mejía")</f>
        <v>Mejía Mejía</v>
      </c>
      <c r="AJ307" s="6" t="str">
        <f>IFERROR(__xludf.DUMMYFUNCTION("""COMPUTED_VALUE"""),"catamejiamejia@gmail.com")</f>
        <v>catamejiamejia@gmail.com</v>
      </c>
      <c r="AK307" s="6" t="str">
        <f>IFERROR(__xludf.DUMMYFUNCTION("""COMPUTED_VALUE"""),"AMA DE CASA")</f>
        <v>AMA DE CASA</v>
      </c>
      <c r="AL307" s="6"/>
      <c r="AM307" s="12" t="str">
        <f>IFERROR(__xludf.DUMMYFUNCTION("""COMPUTED_VALUE"""),"41948311")</f>
        <v>41948311</v>
      </c>
      <c r="AN307" s="12" t="str">
        <f>IFERROR(__xludf.DUMMYFUNCTION("""COMPUTED_VALUE"""),"3164703383")</f>
        <v>3164703383</v>
      </c>
      <c r="AO307" s="6" t="str">
        <f>IFERROR(__xludf.DUMMYFUNCTION("""COMPUTED_VALUE"""),"Madre")</f>
        <v>Madre</v>
      </c>
      <c r="AP307" s="6" t="str">
        <f>IFERROR(__xludf.DUMMYFUNCTION("""COMPUTED_VALUE"""),"Estudiante(s): Restrepo Mejía")</f>
        <v>Estudiante(s): Restrepo Mejía</v>
      </c>
      <c r="AQ307" s="6" t="str">
        <f>IFERROR(__xludf.DUMMYFUNCTION("""COMPUTED_VALUE"""),"103908*Gi")</f>
        <v>103908*Gi</v>
      </c>
      <c r="AR307" s="6" t="str">
        <f>IFERROR(__xludf.DUMMYFUNCTION("""COMPUTED_VALUE"""),"Eduardo")</f>
        <v>Eduardo</v>
      </c>
      <c r="AS307" s="6"/>
      <c r="AT307" s="6" t="str">
        <f>IFERROR(__xludf.DUMMYFUNCTION("""COMPUTED_VALUE"""),"Restrepo Saenz")</f>
        <v>Restrepo Saenz</v>
      </c>
      <c r="AU307" s="6" t="str">
        <f>IFERROR(__xludf.DUMMYFUNCTION("""COMPUTED_VALUE"""),"edorestrepo@gmail.com")</f>
        <v>edorestrepo@gmail.com</v>
      </c>
      <c r="AV307" s="6" t="str">
        <f>IFERROR(__xludf.DUMMYFUNCTION("""COMPUTED_VALUE"""),"INGENIERO AGROINDUSTRIAL")</f>
        <v>INGENIERO AGROINDUSTRIAL</v>
      </c>
      <c r="AW307" s="6" t="str">
        <f>IFERROR(__xludf.DUMMYFUNCTION("""COMPUTED_VALUE"""),"TRILLADORA ARENALES")</f>
        <v>TRILLADORA ARENALES</v>
      </c>
      <c r="AX307" s="12" t="str">
        <f>IFERROR(__xludf.DUMMYFUNCTION("""COMPUTED_VALUE"""),"89009102")</f>
        <v>89009102</v>
      </c>
      <c r="AY307" s="12">
        <f>IFERROR(__xludf.DUMMYFUNCTION("""COMPUTED_VALUE"""),3.155774855E9)</f>
        <v>3155774855</v>
      </c>
      <c r="AZ307" s="6" t="str">
        <f>IFERROR(__xludf.DUMMYFUNCTION("""COMPUTED_VALUE"""),"Padre")</f>
        <v>Padre</v>
      </c>
      <c r="BA307" s="6"/>
      <c r="BB307" s="6"/>
      <c r="BC307" s="6"/>
      <c r="BD307" s="12" t="str">
        <f>IFERROR(__xludf.DUMMYFUNCTION("""COMPUTED_VALUE"""),"res0008")</f>
        <v>res0008</v>
      </c>
      <c r="BE307" s="6"/>
      <c r="BF307" s="6"/>
      <c r="BG307" s="6">
        <f>IFERROR(__xludf.DUMMYFUNCTION("""COMPUTED_VALUE"""),2036.0)</f>
        <v>2036</v>
      </c>
      <c r="BH307" s="15">
        <f>IFERROR(__xludf.DUMMYFUNCTION("""COMPUTED_VALUE"""),46206.72431712963)</f>
        <v>46206.72432</v>
      </c>
      <c r="BI307" s="6">
        <f>IFERROR(__xludf.DUMMYFUNCTION("""COMPUTED_VALUE"""),307.0)</f>
        <v>307</v>
      </c>
      <c r="BJ307" s="6"/>
      <c r="BK307" s="6"/>
      <c r="BL307" s="6" t="str">
        <f>IFERROR(__xludf.DUMMYFUNCTION("""COMPUTED_VALUE"""),"GISRES0008")</f>
        <v>GISRES0008</v>
      </c>
      <c r="BM307" s="6"/>
      <c r="BN307" s="6"/>
      <c r="BO307" s="6"/>
      <c r="BP307" s="6" t="str">
        <f>IFERROR(__xludf.DUMMYFUNCTION("""COMPUTED_VALUE"""),"XC_23_Voleibol")</f>
        <v>XC_23_Voleibol</v>
      </c>
      <c r="BQ307" s="6"/>
      <c r="BR307" s="6"/>
      <c r="BS307" s="6" t="str">
        <f>IFERROR(__xludf.DUMMYFUNCTION("""COMPUTED_VALUE"""),"XC_23_Voleibol")</f>
        <v>XC_23_Voleibol</v>
      </c>
      <c r="BT307" s="6" t="str">
        <f>IFERROR(__xludf.DUMMYFUNCTION("""COMPUTED_VALUE"""),"XC_23_Voleibol")</f>
        <v>XC_23_Voleibol</v>
      </c>
      <c r="BU307" s="6" t="str">
        <f>IFERROR(__xludf.DUMMYFUNCTION("""COMPUTED_VALUE"""),"SI")</f>
        <v>SI</v>
      </c>
      <c r="BV307" s="6" t="str">
        <f>IFERROR(__xludf.DUMMYFUNCTION("""COMPUTED_VALUE"""),"silvia.r2036")</f>
        <v>silvia.r2036</v>
      </c>
      <c r="BW307" s="6"/>
      <c r="BX307" s="6"/>
      <c r="BY307" s="6"/>
      <c r="BZ307" s="6"/>
    </row>
    <row r="308">
      <c r="A308" s="6">
        <f>IFERROR(__xludf.DUMMYFUNCTION("""COMPUTED_VALUE"""),1.089634156E9)</f>
        <v>1089634156</v>
      </c>
      <c r="B308" s="6">
        <f>IFERROR(__xludf.DUMMYFUNCTION("""COMPUTED_VALUE"""),18.0)</f>
        <v>18</v>
      </c>
      <c r="C308" s="6" t="str">
        <f>IFERROR(__xludf.DUMMYFUNCTION("""COMPUTED_VALUE"""),"Gabriela")</f>
        <v>Gabriela</v>
      </c>
      <c r="D308" s="6"/>
      <c r="E308" s="6" t="str">
        <f>IFERROR(__xludf.DUMMYFUNCTION("""COMPUTED_VALUE"""),"Salazar Ramírez")</f>
        <v>Salazar Ramírez</v>
      </c>
      <c r="F308" s="6" t="str">
        <f>IFERROR(__xludf.DUMMYFUNCTION("""COMPUTED_VALUE"""),"Urbanizacion Quintas del Bosque  Casa 18 - Km 3 Via Armenia - Circasia")</f>
        <v>Urbanizacion Quintas del Bosque  Casa 18 - Km 3 Via Armenia - Circasia</v>
      </c>
      <c r="G308" s="12" t="str">
        <f>IFERROR(__xludf.DUMMYFUNCTION("""COMPUTED_VALUE"""),"2017")</f>
        <v>2017</v>
      </c>
      <c r="H308" s="6" t="str">
        <f>IFERROR(__xludf.DUMMYFUNCTION("""COMPUTED_VALUE"""),"Diciembre")</f>
        <v>Diciembre</v>
      </c>
      <c r="I308" s="12" t="str">
        <f>IFERROR(__xludf.DUMMYFUNCTION("""COMPUTED_VALUE"""),"22")</f>
        <v>22</v>
      </c>
      <c r="J308" s="6" t="str">
        <f>IFERROR(__xludf.DUMMYFUNCTION("""COMPUTED_VALUE"""),"Pereira")</f>
        <v>Pereira</v>
      </c>
      <c r="K308" s="6" t="str">
        <f>IFERROR(__xludf.DUMMYFUNCTION("""COMPUTED_VALUE"""),"gabriela.s2036@gi.edu.co")</f>
        <v>gabriela.s2036@gi.edu.co</v>
      </c>
      <c r="L308" s="6" t="str">
        <f>IFERROR(__xludf.DUMMYFUNCTION("""COMPUTED_VALUE"""),"TI")</f>
        <v>TI</v>
      </c>
      <c r="M308" s="6" t="str">
        <f>IFERROR(__xludf.DUMMYFUNCTION("""COMPUTED_VALUE"""),"Armenia")</f>
        <v>Armenia</v>
      </c>
      <c r="N308" s="6" t="str">
        <f>IFERROR(__xludf.DUMMYFUNCTION("""COMPUTED_VALUE"""),"F")</f>
        <v>F</v>
      </c>
      <c r="O308" s="6" t="str">
        <f>IFERROR(__xludf.DUMMYFUNCTION("""COMPUTED_VALUE"""),"ACTIVE")</f>
        <v>ACTIVE</v>
      </c>
      <c r="P308" s="6"/>
      <c r="Q308" s="6" t="str">
        <f>IFERROR(__xludf.DUMMYFUNCTION("""COMPUTED_VALUE"""),"Armenia")</f>
        <v>Armenia</v>
      </c>
      <c r="R308" s="12" t="str">
        <f>IFERROR(__xludf.DUMMYFUNCTION("""COMPUTED_VALUE"""),"Gieu692dh*")</f>
        <v>Gieu692dh*</v>
      </c>
      <c r="S308" s="6" t="str">
        <f>IFERROR(__xludf.DUMMYFUNCTION("""COMPUTED_VALUE"""),"Salazar Ramírez Gabriela ")</f>
        <v>Salazar Ramírez Gabriela </v>
      </c>
      <c r="T308" s="6" t="str">
        <f>IFERROR(__xludf.DUMMYFUNCTION("""COMPUTED_VALUE"""),"LADY JESSENIA RAMÍREZ CASTAÑO")</f>
        <v>LADY JESSENIA RAMÍREZ CASTAÑO</v>
      </c>
      <c r="U308" s="12" t="str">
        <f>IFERROR(__xludf.DUMMYFUNCTION("""COMPUTED_VALUE"""),"1094889141")</f>
        <v>1094889141</v>
      </c>
      <c r="V308" s="6">
        <f>IFERROR(__xludf.DUMMYFUNCTION("""COMPUTED_VALUE"""),3.147689337E9)</f>
        <v>3147689337</v>
      </c>
      <c r="W308" s="6" t="str">
        <f>IFERROR(__xludf.DUMMYFUNCTION("""COMPUTED_VALUE"""),"ladyjr@gi.edu.co")</f>
        <v>ladyjr@gi.edu.co</v>
      </c>
      <c r="X308" s="12" t="str">
        <f>IFERROR(__xludf.DUMMYFUNCTION("""COMPUTED_VALUE"""),"O+")</f>
        <v>O+</v>
      </c>
      <c r="Y308" s="12" t="str">
        <f>IFERROR(__xludf.DUMMYFUNCTION("""COMPUTED_VALUE"""),"3")</f>
        <v>3</v>
      </c>
      <c r="Z308" s="12">
        <f>IFERROR(__xludf.DUMMYFUNCTION("""COMPUTED_VALUE"""),120019.0)</f>
        <v>120019</v>
      </c>
      <c r="AA308" s="6" t="str">
        <f>IFERROR(__xludf.DUMMYFUNCTION("""COMPUTED_VALUE"""),"SURA")</f>
        <v>SURA</v>
      </c>
      <c r="AB308" s="6"/>
      <c r="AC308" s="12" t="str">
        <f>IFERROR(__xludf.DUMMYFUNCTION("""COMPUTED_VALUE"""),"al frío")</f>
        <v>al frío</v>
      </c>
      <c r="AD308" s="6" t="str">
        <f>IFERROR(__xludf.DUMMYFUNCTION("""COMPUTED_VALUE"""),"3A")</f>
        <v>3A</v>
      </c>
      <c r="AE308" s="12">
        <f>IFERROR(__xludf.DUMMYFUNCTION("""COMPUTED_VALUE"""),1.345282027E9)</f>
        <v>1345282027</v>
      </c>
      <c r="AF308" s="12" t="str">
        <f>IFERROR(__xludf.DUMMYFUNCTION("""COMPUTED_VALUE"""),"0676638755")</f>
        <v>0676638755</v>
      </c>
      <c r="AG308" s="12" t="str">
        <f>IFERROR(__xludf.DUMMYFUNCTION("""COMPUTED_VALUE"""),"Lady")</f>
        <v>Lady</v>
      </c>
      <c r="AH308" s="12" t="str">
        <f>IFERROR(__xludf.DUMMYFUNCTION("""COMPUTED_VALUE"""),"Jessenia")</f>
        <v>Jessenia</v>
      </c>
      <c r="AI308" s="6" t="str">
        <f>IFERROR(__xludf.DUMMYFUNCTION("""COMPUTED_VALUE"""),"Ramírez Castaño")</f>
        <v>Ramírez Castaño</v>
      </c>
      <c r="AJ308" s="6" t="str">
        <f>IFERROR(__xludf.DUMMYFUNCTION("""COMPUTED_VALUE"""),"ladyjr@gi.edu.co")</f>
        <v>ladyjr@gi.edu.co</v>
      </c>
      <c r="AK308" s="6" t="str">
        <f>IFERROR(__xludf.DUMMYFUNCTION("""COMPUTED_VALUE"""),"Docente")</f>
        <v>Docente</v>
      </c>
      <c r="AL308" s="6" t="str">
        <f>IFERROR(__xludf.DUMMYFUNCTION("""COMPUTED_VALUE"""),"GI School")</f>
        <v>GI School</v>
      </c>
      <c r="AM308" s="12" t="str">
        <f>IFERROR(__xludf.DUMMYFUNCTION("""COMPUTED_VALUE"""),"1094889141")</f>
        <v>1094889141</v>
      </c>
      <c r="AN308" s="12" t="str">
        <f>IFERROR(__xludf.DUMMYFUNCTION("""COMPUTED_VALUE"""),"3147689337")</f>
        <v>3147689337</v>
      </c>
      <c r="AO308" s="6" t="str">
        <f>IFERROR(__xludf.DUMMYFUNCTION("""COMPUTED_VALUE"""),"Madre")</f>
        <v>Madre</v>
      </c>
      <c r="AP308" s="6" t="str">
        <f>IFERROR(__xludf.DUMMYFUNCTION("""COMPUTED_VALUE"""),"Estudiante(s): Salazar Ramírez")</f>
        <v>Estudiante(s): Salazar Ramírez</v>
      </c>
      <c r="AQ308" s="6" t="str">
        <f>IFERROR(__xludf.DUMMYFUNCTION("""COMPUTED_VALUE"""),"103636*Gi")</f>
        <v>103636*Gi</v>
      </c>
      <c r="AR308" s="6" t="str">
        <f>IFERROR(__xludf.DUMMYFUNCTION("""COMPUTED_VALUE"""),"Marlon")</f>
        <v>Marlon</v>
      </c>
      <c r="AS308" s="6"/>
      <c r="AT308" s="6" t="str">
        <f>IFERROR(__xludf.DUMMYFUNCTION("""COMPUTED_VALUE"""),"Salazar Arboleda")</f>
        <v>Salazar Arboleda</v>
      </c>
      <c r="AU308" s="6" t="str">
        <f>IFERROR(__xludf.DUMMYFUNCTION("""COMPUTED_VALUE"""),"marlonsa74@gmail.com")</f>
        <v>marlonsa74@gmail.com</v>
      </c>
      <c r="AV308" s="6" t="str">
        <f>IFERROR(__xludf.DUMMYFUNCTION("""COMPUTED_VALUE"""),"Ingeniero Civil")</f>
        <v>Ingeniero Civil</v>
      </c>
      <c r="AW308" s="6" t="str">
        <f>IFERROR(__xludf.DUMMYFUNCTION("""COMPUTED_VALUE"""),"Inavanti Ingeniería Especializada")</f>
        <v>Inavanti Ingeniería Especializada</v>
      </c>
      <c r="AX308" s="12" t="str">
        <f>IFERROR(__xludf.DUMMYFUNCTION("""COMPUTED_VALUE"""),"1094879939")</f>
        <v>1094879939</v>
      </c>
      <c r="AY308" s="12" t="str">
        <f>IFERROR(__xludf.DUMMYFUNCTION("""COMPUTED_VALUE"""),"3113721103")</f>
        <v>3113721103</v>
      </c>
      <c r="AZ308" s="6" t="str">
        <f>IFERROR(__xludf.DUMMYFUNCTION("""COMPUTED_VALUE"""),"Padre")</f>
        <v>Padre</v>
      </c>
      <c r="BA308" s="6"/>
      <c r="BB308" s="6"/>
      <c r="BC308" s="6"/>
      <c r="BD308" s="12" t="str">
        <f>IFERROR(__xludf.DUMMYFUNCTION("""COMPUTED_VALUE"""),"sal0018")</f>
        <v>sal0018</v>
      </c>
      <c r="BE308" s="6"/>
      <c r="BF308" s="6"/>
      <c r="BG308" s="6">
        <f>IFERROR(__xludf.DUMMYFUNCTION("""COMPUTED_VALUE"""),2036.0)</f>
        <v>2036</v>
      </c>
      <c r="BH308" s="15">
        <f>IFERROR(__xludf.DUMMYFUNCTION("""COMPUTED_VALUE"""),46251.92060185185)</f>
        <v>46251.9206</v>
      </c>
      <c r="BI308" s="6">
        <f>IFERROR(__xludf.DUMMYFUNCTION("""COMPUTED_VALUE"""),308.0)</f>
        <v>308</v>
      </c>
      <c r="BJ308" s="6"/>
      <c r="BK308" s="6"/>
      <c r="BL308" s="6" t="str">
        <f>IFERROR(__xludf.DUMMYFUNCTION("""COMPUTED_VALUE"""),"GISSAL0018")</f>
        <v>GISSAL0018</v>
      </c>
      <c r="BM308" s="6"/>
      <c r="BN308" s="6"/>
      <c r="BO308" s="6"/>
      <c r="BP308" s="6"/>
      <c r="BQ308" s="6"/>
      <c r="BR308" s="6"/>
      <c r="BS308" s="6"/>
      <c r="BT308" s="6"/>
      <c r="BU308" s="6" t="str">
        <f>IFERROR(__xludf.DUMMYFUNCTION("""COMPUTED_VALUE"""),"SI")</f>
        <v>SI</v>
      </c>
      <c r="BV308" s="6" t="str">
        <f>IFERROR(__xludf.DUMMYFUNCTION("""COMPUTED_VALUE"""),"gabriela.s2036")</f>
        <v>gabriela.s2036</v>
      </c>
      <c r="BW308" s="6"/>
      <c r="BX308" s="6"/>
      <c r="BY308" s="6"/>
      <c r="BZ308" s="6"/>
    </row>
    <row r="309">
      <c r="A309" s="12">
        <f>IFERROR(__xludf.DUMMYFUNCTION("""COMPUTED_VALUE"""),1.095554668E9)</f>
        <v>1095554668</v>
      </c>
      <c r="B309" s="6">
        <f>IFERROR(__xludf.DUMMYFUNCTION("""COMPUTED_VALUE"""),19.0)</f>
        <v>19</v>
      </c>
      <c r="C309" s="6" t="str">
        <f>IFERROR(__xludf.DUMMYFUNCTION("""COMPUTED_VALUE"""),"Joaquín")</f>
        <v>Joaquín</v>
      </c>
      <c r="D309" s="6"/>
      <c r="E309" s="6" t="str">
        <f>IFERROR(__xludf.DUMMYFUNCTION("""COMPUTED_VALUE"""),"Sánchez Ramírez")</f>
        <v>Sánchez Ramírez</v>
      </c>
      <c r="F309" s="6" t="str">
        <f>IFERROR(__xludf.DUMMYFUNCTION("""COMPUTED_VALUE"""),"Parque Residencial La Grecia Casa 46 - Calle 45 Variante Nte No 30 - 120")</f>
        <v>Parque Residencial La Grecia Casa 46 - Calle 45 Variante Nte No 30 - 120</v>
      </c>
      <c r="G309" s="12" t="str">
        <f>IFERROR(__xludf.DUMMYFUNCTION("""COMPUTED_VALUE"""),"2018")</f>
        <v>2018</v>
      </c>
      <c r="H309" s="6" t="str">
        <f>IFERROR(__xludf.DUMMYFUNCTION("""COMPUTED_VALUE"""),"Mayo")</f>
        <v>Mayo</v>
      </c>
      <c r="I309" s="12" t="str">
        <f>IFERROR(__xludf.DUMMYFUNCTION("""COMPUTED_VALUE"""),"25")</f>
        <v>25</v>
      </c>
      <c r="J309" s="6" t="str">
        <f>IFERROR(__xludf.DUMMYFUNCTION("""COMPUTED_VALUE"""),"Armenia")</f>
        <v>Armenia</v>
      </c>
      <c r="K309" s="6" t="str">
        <f>IFERROR(__xludf.DUMMYFUNCTION("""COMPUTED_VALUE"""),"joaquin.s2036@gi.edu.co")</f>
        <v>joaquin.s2036@gi.edu.co</v>
      </c>
      <c r="L309" s="6" t="str">
        <f>IFERROR(__xludf.DUMMYFUNCTION("""COMPUTED_VALUE"""),"TI")</f>
        <v>TI</v>
      </c>
      <c r="M309" s="6" t="str">
        <f>IFERROR(__xludf.DUMMYFUNCTION("""COMPUTED_VALUE"""),"Calarcá")</f>
        <v>Calarcá</v>
      </c>
      <c r="N309" s="6" t="str">
        <f>IFERROR(__xludf.DUMMYFUNCTION("""COMPUTED_VALUE"""),"M")</f>
        <v>M</v>
      </c>
      <c r="O309" s="6" t="str">
        <f>IFERROR(__xludf.DUMMYFUNCTION("""COMPUTED_VALUE"""),"ACTIVE")</f>
        <v>ACTIVE</v>
      </c>
      <c r="P309" s="6"/>
      <c r="Q309" s="6" t="str">
        <f>IFERROR(__xludf.DUMMYFUNCTION("""COMPUTED_VALUE"""),"Calarcá")</f>
        <v>Calarcá</v>
      </c>
      <c r="R309" s="12" t="str">
        <f>IFERROR(__xludf.DUMMYFUNCTION("""COMPUTED_VALUE"""),"Gicgu739*")</f>
        <v>Gicgu739*</v>
      </c>
      <c r="S309" s="6" t="str">
        <f>IFERROR(__xludf.DUMMYFUNCTION("""COMPUTED_VALUE"""),"Sánchez Ramírez Joaquín ")</f>
        <v>Sánchez Ramírez Joaquín </v>
      </c>
      <c r="T309" s="6" t="str">
        <f>IFERROR(__xludf.DUMMYFUNCTION("""COMPUTED_VALUE"""),"SARA CECILIA RAMÍREZ DUQUE")</f>
        <v>SARA CECILIA RAMÍREZ DUQUE</v>
      </c>
      <c r="U309" s="12" t="str">
        <f>IFERROR(__xludf.DUMMYFUNCTION("""COMPUTED_VALUE"""),"53068822")</f>
        <v>53068822</v>
      </c>
      <c r="V309" s="6">
        <f>IFERROR(__xludf.DUMMYFUNCTION("""COMPUTED_VALUE"""),3.003220179E9)</f>
        <v>3003220179</v>
      </c>
      <c r="W309" s="6" t="str">
        <f>IFERROR(__xludf.DUMMYFUNCTION("""COMPUTED_VALUE"""),"ramirezduquesara@gmail.com")</f>
        <v>ramirezduquesara@gmail.com</v>
      </c>
      <c r="X309" s="12" t="str">
        <f>IFERROR(__xludf.DUMMYFUNCTION("""COMPUTED_VALUE"""),"A+")</f>
        <v>A+</v>
      </c>
      <c r="Y309" s="12" t="str">
        <f>IFERROR(__xludf.DUMMYFUNCTION("""COMPUTED_VALUE"""),"3")</f>
        <v>3</v>
      </c>
      <c r="Z309" s="12">
        <f>IFERROR(__xludf.DUMMYFUNCTION("""COMPUTED_VALUE"""),120331.0)</f>
        <v>120331</v>
      </c>
      <c r="AA309" s="6" t="str">
        <f>IFERROR(__xludf.DUMMYFUNCTION("""COMPUTED_VALUE"""),"SURA")</f>
        <v>SURA</v>
      </c>
      <c r="AB309" s="6"/>
      <c r="AC309" s="6" t="str">
        <f>IFERROR(__xludf.DUMMYFUNCTION("""COMPUTED_VALUE"""),"polvo casero, acaros, pasto bermuda, pelo de perro, plumas polvo casero, acaros, pasto bermuda, pelo de perro, plumas tomate, soya pero ya puede consumirlos porque está en inmunoterapia")</f>
        <v>polvo casero, acaros, pasto bermuda, pelo de perro, plumas polvo casero, acaros, pasto bermuda, pelo de perro, plumas tomate, soya pero ya puede consumirlos porque está en inmunoterapia</v>
      </c>
      <c r="AD309" s="6" t="str">
        <f>IFERROR(__xludf.DUMMYFUNCTION("""COMPUTED_VALUE"""),"3A")</f>
        <v>3A</v>
      </c>
      <c r="AE309" s="12">
        <f>IFERROR(__xludf.DUMMYFUNCTION("""COMPUTED_VALUE"""),1.345282333E9)</f>
        <v>1345282333</v>
      </c>
      <c r="AF309" s="12" t="str">
        <f>IFERROR(__xludf.DUMMYFUNCTION("""COMPUTED_VALUE"""),"0687381523")</f>
        <v>0687381523</v>
      </c>
      <c r="AG309" s="12" t="str">
        <f>IFERROR(__xludf.DUMMYFUNCTION("""COMPUTED_VALUE"""),"Sara")</f>
        <v>Sara</v>
      </c>
      <c r="AH309" s="12" t="str">
        <f>IFERROR(__xludf.DUMMYFUNCTION("""COMPUTED_VALUE"""),"Cecilia")</f>
        <v>Cecilia</v>
      </c>
      <c r="AI309" s="6" t="str">
        <f>IFERROR(__xludf.DUMMYFUNCTION("""COMPUTED_VALUE"""),"Ramírez Duque")</f>
        <v>Ramírez Duque</v>
      </c>
      <c r="AJ309" s="6" t="str">
        <f>IFERROR(__xludf.DUMMYFUNCTION("""COMPUTED_VALUE"""),"ramirezduquesara@gmail.com")</f>
        <v>ramirezduquesara@gmail.com</v>
      </c>
      <c r="AK309" s="6" t="str">
        <f>IFERROR(__xludf.DUMMYFUNCTION("""COMPUTED_VALUE"""),"Ingeniera Industrial")</f>
        <v>Ingeniera Industrial</v>
      </c>
      <c r="AL309" s="6" t="str">
        <f>IFERROR(__xludf.DUMMYFUNCTION("""COMPUTED_VALUE"""),"Ernesto Sanchez y cia Agencia de seguros")</f>
        <v>Ernesto Sanchez y cia Agencia de seguros</v>
      </c>
      <c r="AM309" s="12" t="str">
        <f>IFERROR(__xludf.DUMMYFUNCTION("""COMPUTED_VALUE"""),"53068822")</f>
        <v>53068822</v>
      </c>
      <c r="AN309" s="12" t="str">
        <f>IFERROR(__xludf.DUMMYFUNCTION("""COMPUTED_VALUE"""),"3003220179")</f>
        <v>3003220179</v>
      </c>
      <c r="AO309" s="6" t="str">
        <f>IFERROR(__xludf.DUMMYFUNCTION("""COMPUTED_VALUE"""),"Madre")</f>
        <v>Madre</v>
      </c>
      <c r="AP309" s="6" t="str">
        <f>IFERROR(__xludf.DUMMYFUNCTION("""COMPUTED_VALUE"""),"Estudiante(s): Sánchez Ramírez")</f>
        <v>Estudiante(s): Sánchez Ramírez</v>
      </c>
      <c r="AQ309" s="6" t="str">
        <f>IFERROR(__xludf.DUMMYFUNCTION("""COMPUTED_VALUE"""),"120331*Gi")</f>
        <v>120331*Gi</v>
      </c>
      <c r="AR309" s="6" t="str">
        <f>IFERROR(__xludf.DUMMYFUNCTION("""COMPUTED_VALUE"""),"Pablo")</f>
        <v>Pablo</v>
      </c>
      <c r="AS309" s="6"/>
      <c r="AT309" s="6" t="str">
        <f>IFERROR(__xludf.DUMMYFUNCTION("""COMPUTED_VALUE"""),"Sánchez Posada")</f>
        <v>Sánchez Posada</v>
      </c>
      <c r="AU309" s="6" t="str">
        <f>IFERROR(__xludf.DUMMYFUNCTION("""COMPUTED_VALUE"""),"imecpablo@gmail.com")</f>
        <v>imecpablo@gmail.com</v>
      </c>
      <c r="AV309" s="6" t="str">
        <f>IFERROR(__xludf.DUMMYFUNCTION("""COMPUTED_VALUE"""),"Ingeniero Mecatrónico")</f>
        <v>Ingeniero Mecatrónico</v>
      </c>
      <c r="AW309" s="6" t="str">
        <f>IFERROR(__xludf.DUMMYFUNCTION("""COMPUTED_VALUE"""),"Ernesto Sánchez y cía Agencia de seguros")</f>
        <v>Ernesto Sánchez y cía Agencia de seguros</v>
      </c>
      <c r="AX309" s="12" t="str">
        <f>IFERROR(__xludf.DUMMYFUNCTION("""COMPUTED_VALUE"""),"1097389680")</f>
        <v>1097389680</v>
      </c>
      <c r="AY309" s="12" t="str">
        <f>IFERROR(__xludf.DUMMYFUNCTION("""COMPUTED_VALUE"""),"3006114199")</f>
        <v>3006114199</v>
      </c>
      <c r="AZ309" s="6" t="str">
        <f>IFERROR(__xludf.DUMMYFUNCTION("""COMPUTED_VALUE"""),"Padre")</f>
        <v>Padre</v>
      </c>
      <c r="BA309" s="6"/>
      <c r="BB309" s="6"/>
      <c r="BC309" s="6"/>
      <c r="BD309" s="12" t="str">
        <f>IFERROR(__xludf.DUMMYFUNCTION("""COMPUTED_VALUE"""),"san0007")</f>
        <v>san0007</v>
      </c>
      <c r="BE309" s="6"/>
      <c r="BF309" s="6"/>
      <c r="BG309" s="6">
        <f>IFERROR(__xludf.DUMMYFUNCTION("""COMPUTED_VALUE"""),2036.0)</f>
        <v>2036</v>
      </c>
      <c r="BH309" s="15">
        <f>IFERROR(__xludf.DUMMYFUNCTION("""COMPUTED_VALUE"""),46210.7253587963)</f>
        <v>46210.72536</v>
      </c>
      <c r="BI309" s="6">
        <f>IFERROR(__xludf.DUMMYFUNCTION("""COMPUTED_VALUE"""),309.0)</f>
        <v>309</v>
      </c>
      <c r="BJ309" s="6"/>
      <c r="BK309" s="6"/>
      <c r="BL309" s="6" t="str">
        <f>IFERROR(__xludf.DUMMYFUNCTION("""COMPUTED_VALUE"""),"GISSAN0007")</f>
        <v>GISSAN0007</v>
      </c>
      <c r="BM309" s="6"/>
      <c r="BN309" s="6"/>
      <c r="BO309" s="6"/>
      <c r="BP309" s="6" t="str">
        <f>IFERROR(__xludf.DUMMYFUNCTION("""COMPUTED_VALUE"""),"XC_123_Basquetbol")</f>
        <v>XC_123_Basquetbol</v>
      </c>
      <c r="BQ309" s="6"/>
      <c r="BR309" s="6" t="str">
        <f>IFERROR(__xludf.DUMMYFUNCTION("""COMPUTED_VALUE"""),"XC_EL_PequenosCientificos")</f>
        <v>XC_EL_PequenosCientificos</v>
      </c>
      <c r="BS309" s="6" t="str">
        <f>IFERROR(__xludf.DUMMYFUNCTION("""COMPUTED_VALUE"""),"XC_123_Basquetbol")</f>
        <v>XC_123_Basquetbol</v>
      </c>
      <c r="BT309" s="6" t="str">
        <f>IFERROR(__xludf.DUMMYFUNCTION("""COMPUTED_VALUE"""),"XC_123_Basquetbol")</f>
        <v>XC_123_Basquetbol</v>
      </c>
      <c r="BU309" s="6" t="str">
        <f>IFERROR(__xludf.DUMMYFUNCTION("""COMPUTED_VALUE"""),"SI")</f>
        <v>SI</v>
      </c>
      <c r="BV309" s="6" t="str">
        <f>IFERROR(__xludf.DUMMYFUNCTION("""COMPUTED_VALUE"""),"joaquin.s2036")</f>
        <v>joaquin.s2036</v>
      </c>
      <c r="BW309" s="6"/>
      <c r="BX309" s="6"/>
      <c r="BY309" s="6"/>
      <c r="BZ309" s="6"/>
    </row>
    <row r="310">
      <c r="A310" s="12">
        <f>IFERROR(__xludf.DUMMYFUNCTION("""COMPUTED_VALUE"""),1.092465809E9)</f>
        <v>1092465809</v>
      </c>
      <c r="B310" s="6">
        <f>IFERROR(__xludf.DUMMYFUNCTION("""COMPUTED_VALUE"""),20.0)</f>
        <v>20</v>
      </c>
      <c r="C310" s="6" t="str">
        <f>IFERROR(__xludf.DUMMYFUNCTION("""COMPUTED_VALUE"""),"Emma")</f>
        <v>Emma</v>
      </c>
      <c r="D310" s="6"/>
      <c r="E310" s="6" t="str">
        <f>IFERROR(__xludf.DUMMYFUNCTION("""COMPUTED_VALUE"""),"Tafur Valencia")</f>
        <v>Tafur Valencia</v>
      </c>
      <c r="F310" s="6" t="str">
        <f>IFERROR(__xludf.DUMMYFUNCTION("""COMPUTED_VALUE"""),"Condominio Reserva de la Sabana Casa 80 - Calle 24Nte No5 - 07 Av Centenario")</f>
        <v>Condominio Reserva de la Sabana Casa 80 - Calle 24Nte No5 - 07 Av Centenario</v>
      </c>
      <c r="G310" s="12" t="str">
        <f>IFERROR(__xludf.DUMMYFUNCTION("""COMPUTED_VALUE"""),"2018")</f>
        <v>2018</v>
      </c>
      <c r="H310" s="6" t="str">
        <f>IFERROR(__xludf.DUMMYFUNCTION("""COMPUTED_VALUE"""),"Septiembre")</f>
        <v>Septiembre</v>
      </c>
      <c r="I310" s="12" t="str">
        <f>IFERROR(__xludf.DUMMYFUNCTION("""COMPUTED_VALUE"""),"15")</f>
        <v>15</v>
      </c>
      <c r="J310" s="6" t="str">
        <f>IFERROR(__xludf.DUMMYFUNCTION("""COMPUTED_VALUE"""),"Cali")</f>
        <v>Cali</v>
      </c>
      <c r="K310" s="6" t="str">
        <f>IFERROR(__xludf.DUMMYFUNCTION("""COMPUTED_VALUE"""),"emma.t2036@gi.edu.co")</f>
        <v>emma.t2036@gi.edu.co</v>
      </c>
      <c r="L310" s="6" t="str">
        <f>IFERROR(__xludf.DUMMYFUNCTION("""COMPUTED_VALUE"""),"RC")</f>
        <v>RC</v>
      </c>
      <c r="M310" s="6" t="str">
        <f>IFERROR(__xludf.DUMMYFUNCTION("""COMPUTED_VALUE"""),"Armenia")</f>
        <v>Armenia</v>
      </c>
      <c r="N310" s="6" t="str">
        <f>IFERROR(__xludf.DUMMYFUNCTION("""COMPUTED_VALUE"""),"F")</f>
        <v>F</v>
      </c>
      <c r="O310" s="6" t="str">
        <f>IFERROR(__xludf.DUMMYFUNCTION("""COMPUTED_VALUE"""),"INACTIVE")</f>
        <v>INACTIVE</v>
      </c>
      <c r="P310" s="6"/>
      <c r="Q310" s="6" t="str">
        <f>IFERROR(__xludf.DUMMYFUNCTION("""COMPUTED_VALUE"""),"Armenia")</f>
        <v>Armenia</v>
      </c>
      <c r="R310" s="12" t="str">
        <f>IFERROR(__xludf.DUMMYFUNCTION("""COMPUTED_VALUE"""),"Gi4s7nu*")</f>
        <v>Gi4s7nu*</v>
      </c>
      <c r="S310" s="6" t="str">
        <f>IFERROR(__xludf.DUMMYFUNCTION("""COMPUTED_VALUE"""),"Tafur Valencia Emma ")</f>
        <v>Tafur Valencia Emma </v>
      </c>
      <c r="T310" s="6" t="str">
        <f>IFERROR(__xludf.DUMMYFUNCTION("""COMPUTED_VALUE"""),"LUZ ADRIANA VALENCIA")</f>
        <v>LUZ ADRIANA VALENCIA</v>
      </c>
      <c r="U310" s="12" t="str">
        <f>IFERROR(__xludf.DUMMYFUNCTION("""COMPUTED_VALUE"""),"38790094")</f>
        <v>38790094</v>
      </c>
      <c r="V310" s="6">
        <f>IFERROR(__xludf.DUMMYFUNCTION("""COMPUTED_VALUE"""),3.15623303E9)</f>
        <v>3156233030</v>
      </c>
      <c r="W310" s="6" t="str">
        <f>IFERROR(__xludf.DUMMYFUNCTION("""COMPUTED_VALUE"""),"adrianavalenciaem@gmail.com")</f>
        <v>adrianavalenciaem@gmail.com</v>
      </c>
      <c r="X310" s="12" t="str">
        <f>IFERROR(__xludf.DUMMYFUNCTION("""COMPUTED_VALUE"""),"A+")</f>
        <v>A+</v>
      </c>
      <c r="Y310" s="12" t="str">
        <f>IFERROR(__xludf.DUMMYFUNCTION("""COMPUTED_VALUE"""),"3")</f>
        <v>3</v>
      </c>
      <c r="Z310" s="12">
        <f>IFERROR(__xludf.DUMMYFUNCTION("""COMPUTED_VALUE"""),120306.0)</f>
        <v>120306</v>
      </c>
      <c r="AA310" s="6" t="str">
        <f>IFERROR(__xludf.DUMMYFUNCTION("""COMPUTED_VALUE"""),"SURA")</f>
        <v>SURA</v>
      </c>
      <c r="AB310" s="6"/>
      <c r="AC310" s="6"/>
      <c r="AD310" s="6" t="str">
        <f>IFERROR(__xludf.DUMMYFUNCTION("""COMPUTED_VALUE"""),"3A")</f>
        <v>3A</v>
      </c>
      <c r="AE310" s="12">
        <f>IFERROR(__xludf.DUMMYFUNCTION("""COMPUTED_VALUE"""),1.345282301E9)</f>
        <v>1345282301</v>
      </c>
      <c r="AF310" s="12" t="str">
        <f>IFERROR(__xludf.DUMMYFUNCTION("""COMPUTED_VALUE"""),"1345282301")</f>
        <v>1345282301</v>
      </c>
      <c r="AG310" s="12" t="str">
        <f>IFERROR(__xludf.DUMMYFUNCTION("""COMPUTED_VALUE"""),"Luz")</f>
        <v>Luz</v>
      </c>
      <c r="AH310" s="12" t="str">
        <f>IFERROR(__xludf.DUMMYFUNCTION("""COMPUTED_VALUE"""),"Adriana")</f>
        <v>Adriana</v>
      </c>
      <c r="AI310" s="6" t="str">
        <f>IFERROR(__xludf.DUMMYFUNCTION("""COMPUTED_VALUE"""),"Valencia ")</f>
        <v>Valencia </v>
      </c>
      <c r="AJ310" s="6" t="str">
        <f>IFERROR(__xludf.DUMMYFUNCTION("""COMPUTED_VALUE"""),"adrianavalenciaem@gmail.com")</f>
        <v>adrianavalenciaem@gmail.com</v>
      </c>
      <c r="AK310" s="6" t="str">
        <f>IFERROR(__xludf.DUMMYFUNCTION("""COMPUTED_VALUE"""),"Administración de Empresas")</f>
        <v>Administración de Empresas</v>
      </c>
      <c r="AL310" s="6" t="str">
        <f>IFERROR(__xludf.DUMMYFUNCTION("""COMPUTED_VALUE"""),"independiente")</f>
        <v>independiente</v>
      </c>
      <c r="AM310" s="12" t="str">
        <f>IFERROR(__xludf.DUMMYFUNCTION("""COMPUTED_VALUE"""),"38790094")</f>
        <v>38790094</v>
      </c>
      <c r="AN310" s="12" t="str">
        <f>IFERROR(__xludf.DUMMYFUNCTION("""COMPUTED_VALUE"""),"3156233030")</f>
        <v>3156233030</v>
      </c>
      <c r="AO310" s="6" t="str">
        <f>IFERROR(__xludf.DUMMYFUNCTION("""COMPUTED_VALUE"""),"Madre")</f>
        <v>Madre</v>
      </c>
      <c r="AP310" s="6" t="str">
        <f>IFERROR(__xludf.DUMMYFUNCTION("""COMPUTED_VALUE"""),"Estudiante(s): Tafur Valencia")</f>
        <v>Estudiante(s): Tafur Valencia</v>
      </c>
      <c r="AQ310" s="6" t="str">
        <f>IFERROR(__xludf.DUMMYFUNCTION("""COMPUTED_VALUE"""),"103713*Gi")</f>
        <v>103713*Gi</v>
      </c>
      <c r="AR310" s="6" t="str">
        <f>IFERROR(__xludf.DUMMYFUNCTION("""COMPUTED_VALUE"""),"Joaquin")</f>
        <v>Joaquin</v>
      </c>
      <c r="AS310" s="6"/>
      <c r="AT310" s="6" t="str">
        <f>IFERROR(__xludf.DUMMYFUNCTION("""COMPUTED_VALUE"""),"Tafur Marín")</f>
        <v>Tafur Marín</v>
      </c>
      <c r="AU310" s="6" t="str">
        <f>IFERROR(__xludf.DUMMYFUNCTION("""COMPUTED_VALUE"""),"joaquintafur@hotmail.com")</f>
        <v>joaquintafur@hotmail.com</v>
      </c>
      <c r="AV310" s="6"/>
      <c r="AW310" s="6"/>
      <c r="AX310" s="12" t="str">
        <f>IFERROR(__xludf.DUMMYFUNCTION("""COMPUTED_VALUE"""),"94389444")</f>
        <v>94389444</v>
      </c>
      <c r="AY310" s="12" t="str">
        <f>IFERROR(__xludf.DUMMYFUNCTION("""COMPUTED_VALUE"""),"3174925043")</f>
        <v>3174925043</v>
      </c>
      <c r="AZ310" s="6" t="str">
        <f>IFERROR(__xludf.DUMMYFUNCTION("""COMPUTED_VALUE"""),"Padre")</f>
        <v>Padre</v>
      </c>
      <c r="BA310" s="6"/>
      <c r="BB310" s="6"/>
      <c r="BC310" s="6"/>
      <c r="BD310" s="12" t="str">
        <f>IFERROR(__xludf.DUMMYFUNCTION("""COMPUTED_VALUE"""),"taf0001")</f>
        <v>taf0001</v>
      </c>
      <c r="BE310" s="6" t="str">
        <f>IFERROR(__xludf.DUMMYFUNCTION("""COMPUTED_VALUE"""),"FALTAN FIRMAS")</f>
        <v>FALTAN FIRMAS</v>
      </c>
      <c r="BF310" s="6"/>
      <c r="BG310" s="6">
        <f>IFERROR(__xludf.DUMMYFUNCTION("""COMPUTED_VALUE"""),2036.0)</f>
        <v>2036</v>
      </c>
      <c r="BH310" s="15">
        <f>IFERROR(__xludf.DUMMYFUNCTION("""COMPUTED_VALUE"""),46228.694814814815)</f>
        <v>46228.69481</v>
      </c>
      <c r="BI310" s="6">
        <f>IFERROR(__xludf.DUMMYFUNCTION("""COMPUTED_VALUE"""),310.0)</f>
        <v>310</v>
      </c>
      <c r="BJ310" s="6"/>
      <c r="BK310" s="6"/>
      <c r="BL310" s="6" t="str">
        <f>IFERROR(__xludf.DUMMYFUNCTION("""COMPUTED_VALUE"""),"GISTAF0001")</f>
        <v>GISTAF0001</v>
      </c>
      <c r="BM310" s="6"/>
      <c r="BN310" s="6"/>
      <c r="BO310" s="6"/>
      <c r="BP310" s="6"/>
      <c r="BQ310" s="6"/>
      <c r="BR310" s="6"/>
      <c r="BS310" s="6"/>
      <c r="BT310" s="6"/>
      <c r="BU310" s="6" t="str">
        <f>IFERROR(__xludf.DUMMYFUNCTION("""COMPUTED_VALUE"""),"SI")</f>
        <v>SI</v>
      </c>
      <c r="BV310" s="6" t="str">
        <f>IFERROR(__xludf.DUMMYFUNCTION("""COMPUTED_VALUE"""),"emma.t2036")</f>
        <v>emma.t2036</v>
      </c>
      <c r="BW310" s="6"/>
      <c r="BX310" s="6"/>
      <c r="BY310" s="6"/>
      <c r="BZ310" s="6"/>
    </row>
    <row r="311">
      <c r="A311" s="12">
        <f>IFERROR(__xludf.DUMMYFUNCTION("""COMPUTED_VALUE"""),1.113872183E9)</f>
        <v>1113872183</v>
      </c>
      <c r="B311" s="6">
        <f>IFERROR(__xludf.DUMMYFUNCTION("""COMPUTED_VALUE"""),21.0)</f>
        <v>21</v>
      </c>
      <c r="C311" s="6" t="str">
        <f>IFERROR(__xludf.DUMMYFUNCTION("""COMPUTED_VALUE"""),"Sarah")</f>
        <v>Sarah</v>
      </c>
      <c r="D311" s="6"/>
      <c r="E311" s="6" t="str">
        <f>IFERROR(__xludf.DUMMYFUNCTION("""COMPUTED_VALUE"""),"Valderrama Osorio")</f>
        <v>Valderrama Osorio</v>
      </c>
      <c r="F311" s="6" t="str">
        <f>IFERROR(__xludf.DUMMYFUNCTION("""COMPUTED_VALUE"""),"Condominio Entre Maderos Casa 25 - Vereda El Congal Km 1.2 Via Circasia - Armenia")</f>
        <v>Condominio Entre Maderos Casa 25 - Vereda El Congal Km 1.2 Via Circasia - Armenia</v>
      </c>
      <c r="G311" s="12" t="str">
        <f>IFERROR(__xludf.DUMMYFUNCTION("""COMPUTED_VALUE"""),"2018")</f>
        <v>2018</v>
      </c>
      <c r="H311" s="6" t="str">
        <f>IFERROR(__xludf.DUMMYFUNCTION("""COMPUTED_VALUE"""),"Agosto")</f>
        <v>Agosto</v>
      </c>
      <c r="I311" s="12" t="str">
        <f>IFERROR(__xludf.DUMMYFUNCTION("""COMPUTED_VALUE"""),"27")</f>
        <v>27</v>
      </c>
      <c r="J311" s="6" t="str">
        <f>IFERROR(__xludf.DUMMYFUNCTION("""COMPUTED_VALUE"""),"Ocoee")</f>
        <v>Ocoee</v>
      </c>
      <c r="K311" s="6" t="str">
        <f>IFERROR(__xludf.DUMMYFUNCTION("""COMPUTED_VALUE"""),"sarah.v2036@gi.edu.co")</f>
        <v>sarah.v2036@gi.edu.co</v>
      </c>
      <c r="L311" s="6" t="str">
        <f>IFERROR(__xludf.DUMMYFUNCTION("""COMPUTED_VALUE"""),"RC")</f>
        <v>RC</v>
      </c>
      <c r="M311" s="6" t="str">
        <f>IFERROR(__xludf.DUMMYFUNCTION("""COMPUTED_VALUE"""),"Cartago")</f>
        <v>Cartago</v>
      </c>
      <c r="N311" s="6" t="str">
        <f>IFERROR(__xludf.DUMMYFUNCTION("""COMPUTED_VALUE"""),"F")</f>
        <v>F</v>
      </c>
      <c r="O311" s="6" t="str">
        <f>IFERROR(__xludf.DUMMYFUNCTION("""COMPUTED_VALUE"""),"INACTIVE")</f>
        <v>INACTIVE</v>
      </c>
      <c r="P311" s="6"/>
      <c r="Q311" s="6" t="str">
        <f>IFERROR(__xludf.DUMMYFUNCTION("""COMPUTED_VALUE"""),"Armenia")</f>
        <v>Armenia</v>
      </c>
      <c r="R311" s="12" t="str">
        <f>IFERROR(__xludf.DUMMYFUNCTION("""COMPUTED_VALUE"""),"Gi683gh*")</f>
        <v>Gi683gh*</v>
      </c>
      <c r="S311" s="6" t="str">
        <f>IFERROR(__xludf.DUMMYFUNCTION("""COMPUTED_VALUE"""),"Valderrama Osorio Sarah ")</f>
        <v>Valderrama Osorio Sarah </v>
      </c>
      <c r="T311" s="6" t="str">
        <f>IFERROR(__xludf.DUMMYFUNCTION("""COMPUTED_VALUE"""),"CAROLINA OSORIO TOLEDO")</f>
        <v>CAROLINA OSORIO TOLEDO</v>
      </c>
      <c r="U311" s="12" t="str">
        <f>IFERROR(__xludf.DUMMYFUNCTION("""COMPUTED_VALUE"""),"31580630")</f>
        <v>31580630</v>
      </c>
      <c r="V311" s="6">
        <f>IFERROR(__xludf.DUMMYFUNCTION("""COMPUTED_VALUE"""),1.786395726E10)</f>
        <v>17863957260</v>
      </c>
      <c r="W311" s="6" t="str">
        <f>IFERROR(__xludf.DUMMYFUNCTION("""COMPUTED_VALUE"""),"caroso1981@hotmail.com")</f>
        <v>caroso1981@hotmail.com</v>
      </c>
      <c r="X311" s="12" t="str">
        <f>IFERROR(__xludf.DUMMYFUNCTION("""COMPUTED_VALUE"""),"A+")</f>
        <v>A+</v>
      </c>
      <c r="Y311" s="12" t="str">
        <f>IFERROR(__xludf.DUMMYFUNCTION("""COMPUTED_VALUE"""),"3")</f>
        <v>3</v>
      </c>
      <c r="Z311" s="12">
        <f>IFERROR(__xludf.DUMMYFUNCTION("""COMPUTED_VALUE"""),120363.0)</f>
        <v>120363</v>
      </c>
      <c r="AA311" s="6" t="str">
        <f>IFERROR(__xludf.DUMMYFUNCTION("""COMPUTED_VALUE"""),"SURA")</f>
        <v>SURA</v>
      </c>
      <c r="AB311" s="6"/>
      <c r="AC311" s="6"/>
      <c r="AD311" s="6" t="str">
        <f>IFERROR(__xludf.DUMMYFUNCTION("""COMPUTED_VALUE"""),"3A")</f>
        <v>3A</v>
      </c>
      <c r="AE311" s="12" t="str">
        <f>IFERROR(__xludf.DUMMYFUNCTION("""COMPUTED_VALUE"""),"1345282375")</f>
        <v>1345282375</v>
      </c>
      <c r="AF311" s="12" t="str">
        <f>IFERROR(__xludf.DUMMYFUNCTION("""COMPUTED_VALUE"""),"0687054499")</f>
        <v>0687054499</v>
      </c>
      <c r="AG311" s="12" t="str">
        <f>IFERROR(__xludf.DUMMYFUNCTION("""COMPUTED_VALUE"""),"Carolina ")</f>
        <v>Carolina </v>
      </c>
      <c r="AH311" s="6"/>
      <c r="AI311" s="6" t="str">
        <f>IFERROR(__xludf.DUMMYFUNCTION("""COMPUTED_VALUE"""),"Osorio Toledo")</f>
        <v>Osorio Toledo</v>
      </c>
      <c r="AJ311" s="6" t="str">
        <f>IFERROR(__xludf.DUMMYFUNCTION("""COMPUTED_VALUE"""),"caroso1981@hotmail.com")</f>
        <v>caroso1981@hotmail.com</v>
      </c>
      <c r="AK311" s="6" t="str">
        <f>IFERROR(__xludf.DUMMYFUNCTION("""COMPUTED_VALUE"""),"Consultora financiera")</f>
        <v>Consultora financiera</v>
      </c>
      <c r="AL311" s="6" t="str">
        <f>IFERROR(__xludf.DUMMYFUNCTION("""COMPUTED_VALUE"""),"MV &amp; CO COMPANY LLC")</f>
        <v>MV &amp; CO COMPANY LLC</v>
      </c>
      <c r="AM311" s="12" t="str">
        <f>IFERROR(__xludf.DUMMYFUNCTION("""COMPUTED_VALUE"""),"31580630")</f>
        <v>31580630</v>
      </c>
      <c r="AN311" s="12" t="str">
        <f>IFERROR(__xludf.DUMMYFUNCTION("""COMPUTED_VALUE"""),"17863957260")</f>
        <v>17863957260</v>
      </c>
      <c r="AO311" s="6" t="str">
        <f>IFERROR(__xludf.DUMMYFUNCTION("""COMPUTED_VALUE"""),"Madre")</f>
        <v>Madre</v>
      </c>
      <c r="AP311" s="6" t="str">
        <f>IFERROR(__xludf.DUMMYFUNCTION("""COMPUTED_VALUE"""),"Estudiante(s): Valderrama Osorio")</f>
        <v>Estudiante(s): Valderrama Osorio</v>
      </c>
      <c r="AQ311" s="6" t="str">
        <f>IFERROR(__xludf.DUMMYFUNCTION("""COMPUTED_VALUE"""),"120359*Gi")</f>
        <v>120359*Gi</v>
      </c>
      <c r="AR311" s="6" t="str">
        <f>IFERROR(__xludf.DUMMYFUNCTION("""COMPUTED_VALUE"""),"Milton")</f>
        <v>Milton</v>
      </c>
      <c r="AS311" s="6" t="str">
        <f>IFERROR(__xludf.DUMMYFUNCTION("""COMPUTED_VALUE"""),"Andres")</f>
        <v>Andres</v>
      </c>
      <c r="AT311" s="6" t="str">
        <f>IFERROR(__xludf.DUMMYFUNCTION("""COMPUTED_VALUE"""),"Valderrama Serna")</f>
        <v>Valderrama Serna</v>
      </c>
      <c r="AU311" s="6" t="str">
        <f>IFERROR(__xludf.DUMMYFUNCTION("""COMPUTED_VALUE"""),"miltonvalderrama77@gmail.com")</f>
        <v>miltonvalderrama77@gmail.com</v>
      </c>
      <c r="AV311" s="6" t="str">
        <f>IFERROR(__xludf.DUMMYFUNCTION("""COMPUTED_VALUE"""),"Consultor de Negocios")</f>
        <v>Consultor de Negocios</v>
      </c>
      <c r="AW311" s="6" t="str">
        <f>IFERROR(__xludf.DUMMYFUNCTION("""COMPUTED_VALUE"""),"Mv &amp; Co Company LLC")</f>
        <v>Mv &amp; Co Company LLC</v>
      </c>
      <c r="AX311" s="12" t="str">
        <f>IFERROR(__xludf.DUMMYFUNCTION("""COMPUTED_VALUE"""),"16232091")</f>
        <v>16232091</v>
      </c>
      <c r="AY311" s="12">
        <f>IFERROR(__xludf.DUMMYFUNCTION("""COMPUTED_VALUE"""),1.4079629623E10)</f>
        <v>14079629623</v>
      </c>
      <c r="AZ311" s="6" t="str">
        <f>IFERROR(__xludf.DUMMYFUNCTION("""COMPUTED_VALUE"""),"Padre")</f>
        <v>Padre</v>
      </c>
      <c r="BA311" s="6"/>
      <c r="BB311" s="6"/>
      <c r="BC311" s="6"/>
      <c r="BD311" s="12" t="str">
        <f>IFERROR(__xludf.DUMMYFUNCTION("""COMPUTED_VALUE"""),"val0012")</f>
        <v>val0012</v>
      </c>
      <c r="BE311" s="6" t="str">
        <f>IFERROR(__xludf.DUMMYFUNCTION("""COMPUTED_VALUE"""),"FALTAN FIRMAS")</f>
        <v>FALTAN FIRMAS</v>
      </c>
      <c r="BF311" s="6"/>
      <c r="BG311" s="6">
        <f>IFERROR(__xludf.DUMMYFUNCTION("""COMPUTED_VALUE"""),2036.0)</f>
        <v>2036</v>
      </c>
      <c r="BH311" s="15">
        <f>IFERROR(__xludf.DUMMYFUNCTION("""COMPUTED_VALUE"""),46212.84465277778)</f>
        <v>46212.84465</v>
      </c>
      <c r="BI311" s="6">
        <f>IFERROR(__xludf.DUMMYFUNCTION("""COMPUTED_VALUE"""),311.0)</f>
        <v>311</v>
      </c>
      <c r="BJ311" s="6"/>
      <c r="BK311" s="6"/>
      <c r="BL311" s="6" t="str">
        <f>IFERROR(__xludf.DUMMYFUNCTION("""COMPUTED_VALUE"""),"GISVAL0012")</f>
        <v>GISVAL0012</v>
      </c>
      <c r="BM311" s="6"/>
      <c r="BN311" s="6"/>
      <c r="BO311" s="6"/>
      <c r="BP311" s="6" t="str">
        <f>IFERROR(__xludf.DUMMYFUNCTION("""COMPUTED_VALUE"""),"XC_EL_Porras")</f>
        <v>XC_EL_Porras</v>
      </c>
      <c r="BQ311" s="6" t="str">
        <f>IFERROR(__xludf.DUMMYFUNCTION("""COMPUTED_VALUE"""),"XC_EL_Porras")</f>
        <v>XC_EL_Porras</v>
      </c>
      <c r="BR311" s="6"/>
      <c r="BS311" s="6" t="str">
        <f>IFERROR(__xludf.DUMMYFUNCTION("""COMPUTED_VALUE"""),"XC_EL_Porras")</f>
        <v>XC_EL_Porras</v>
      </c>
      <c r="BT311" s="6"/>
      <c r="BU311" s="6" t="str">
        <f>IFERROR(__xludf.DUMMYFUNCTION("""COMPUTED_VALUE"""),"SI")</f>
        <v>SI</v>
      </c>
      <c r="BV311" s="6" t="str">
        <f>IFERROR(__xludf.DUMMYFUNCTION("""COMPUTED_VALUE"""),"sarah.v2036")</f>
        <v>sarah.v2036</v>
      </c>
      <c r="BW311" s="6"/>
      <c r="BX311" s="6"/>
      <c r="BY311" s="6"/>
      <c r="BZ311" s="6"/>
    </row>
    <row r="312">
      <c r="A312" s="12">
        <f>IFERROR(__xludf.DUMMYFUNCTION("""COMPUTED_VALUE"""),1.035011254E9)</f>
        <v>1035011254</v>
      </c>
      <c r="B312" s="6">
        <f>IFERROR(__xludf.DUMMYFUNCTION("""COMPUTED_VALUE"""),22.0)</f>
        <v>22</v>
      </c>
      <c r="C312" s="6" t="str">
        <f>IFERROR(__xludf.DUMMYFUNCTION("""COMPUTED_VALUE"""),"Benjamín")</f>
        <v>Benjamín</v>
      </c>
      <c r="D312" s="6"/>
      <c r="E312" s="6" t="str">
        <f>IFERROR(__xludf.DUMMYFUNCTION("""COMPUTED_VALUE"""),"Vanegas Agredo")</f>
        <v>Vanegas Agredo</v>
      </c>
      <c r="F312" s="6" t="str">
        <f>IFERROR(__xludf.DUMMYFUNCTION("""COMPUTED_VALUE"""),"Conjunto Residencial Castellon Manzana D Casa 2 -Calle 19Nte No10 - 41")</f>
        <v>Conjunto Residencial Castellon Manzana D Casa 2 -Calle 19Nte No10 - 41</v>
      </c>
      <c r="G312" s="12" t="str">
        <f>IFERROR(__xludf.DUMMYFUNCTION("""COMPUTED_VALUE"""),"2017")</f>
        <v>2017</v>
      </c>
      <c r="H312" s="6" t="str">
        <f>IFERROR(__xludf.DUMMYFUNCTION("""COMPUTED_VALUE"""),"Septiembre")</f>
        <v>Septiembre</v>
      </c>
      <c r="I312" s="12" t="str">
        <f>IFERROR(__xludf.DUMMYFUNCTION("""COMPUTED_VALUE"""),"26")</f>
        <v>26</v>
      </c>
      <c r="J312" s="6" t="str">
        <f>IFERROR(__xludf.DUMMYFUNCTION("""COMPUTED_VALUE"""),"Medellín")</f>
        <v>Medellín</v>
      </c>
      <c r="K312" s="6" t="str">
        <f>IFERROR(__xludf.DUMMYFUNCTION("""COMPUTED_VALUE"""),"benjamin.v2036@gi.edu.co")</f>
        <v>benjamin.v2036@gi.edu.co</v>
      </c>
      <c r="L312" s="6" t="str">
        <f>IFERROR(__xludf.DUMMYFUNCTION("""COMPUTED_VALUE"""),"TI")</f>
        <v>TI</v>
      </c>
      <c r="M312" s="6" t="str">
        <f>IFERROR(__xludf.DUMMYFUNCTION("""COMPUTED_VALUE"""),"Medellín")</f>
        <v>Medellín</v>
      </c>
      <c r="N312" s="6" t="str">
        <f>IFERROR(__xludf.DUMMYFUNCTION("""COMPUTED_VALUE"""),"M")</f>
        <v>M</v>
      </c>
      <c r="O312" s="6" t="str">
        <f>IFERROR(__xludf.DUMMYFUNCTION("""COMPUTED_VALUE"""),"INACTIVE")</f>
        <v>INACTIVE</v>
      </c>
      <c r="P312" s="6"/>
      <c r="Q312" s="6" t="str">
        <f>IFERROR(__xludf.DUMMYFUNCTION("""COMPUTED_VALUE"""),"Armenia")</f>
        <v>Armenia</v>
      </c>
      <c r="R312" s="12" t="str">
        <f>IFERROR(__xludf.DUMMYFUNCTION("""COMPUTED_VALUE"""),"Gisl49vg*")</f>
        <v>Gisl49vg*</v>
      </c>
      <c r="S312" s="6" t="str">
        <f>IFERROR(__xludf.DUMMYFUNCTION("""COMPUTED_VALUE"""),"Vanegas Agredo Benjamín ")</f>
        <v>Vanegas Agredo Benjamín </v>
      </c>
      <c r="T312" s="6" t="str">
        <f>IFERROR(__xludf.DUMMYFUNCTION("""COMPUTED_VALUE"""),"MARIA EUGENIA AGREDO CALVACHE")</f>
        <v>MARIA EUGENIA AGREDO CALVACHE</v>
      </c>
      <c r="U312" s="12" t="str">
        <f>IFERROR(__xludf.DUMMYFUNCTION("""COMPUTED_VALUE"""),"1084250469")</f>
        <v>1084250469</v>
      </c>
      <c r="V312" s="6">
        <f>IFERROR(__xludf.DUMMYFUNCTION("""COMPUTED_VALUE"""),3.117091355E9)</f>
        <v>3117091355</v>
      </c>
      <c r="W312" s="6" t="str">
        <f>IFERROR(__xludf.DUMMYFUNCTION("""COMPUTED_VALUE"""),"eugeniaag85@hotmail.com")</f>
        <v>eugeniaag85@hotmail.com</v>
      </c>
      <c r="X312" s="12" t="str">
        <f>IFERROR(__xludf.DUMMYFUNCTION("""COMPUTED_VALUE"""),"O+")</f>
        <v>O+</v>
      </c>
      <c r="Y312" s="12" t="str">
        <f>IFERROR(__xludf.DUMMYFUNCTION("""COMPUTED_VALUE"""),"3")</f>
        <v>3</v>
      </c>
      <c r="Z312" s="12">
        <f>IFERROR(__xludf.DUMMYFUNCTION("""COMPUTED_VALUE"""),120330.0)</f>
        <v>120330</v>
      </c>
      <c r="AA312" s="6" t="str">
        <f>IFERROR(__xludf.DUMMYFUNCTION("""COMPUTED_VALUE"""),"SURA")</f>
        <v>SURA</v>
      </c>
      <c r="AB312" s="6"/>
      <c r="AC312" s="6"/>
      <c r="AD312" s="6" t="str">
        <f>IFERROR(__xludf.DUMMYFUNCTION("""COMPUTED_VALUE"""),"3A")</f>
        <v>3A</v>
      </c>
      <c r="AE312" s="12">
        <f>IFERROR(__xludf.DUMMYFUNCTION("""COMPUTED_VALUE"""),1.345282325E9)</f>
        <v>1345282325</v>
      </c>
      <c r="AF312" s="12" t="str">
        <f>IFERROR(__xludf.DUMMYFUNCTION("""COMPUTED_VALUE"""),"0687174947")</f>
        <v>0687174947</v>
      </c>
      <c r="AG312" s="12" t="str">
        <f>IFERROR(__xludf.DUMMYFUNCTION("""COMPUTED_VALUE"""),"María")</f>
        <v>María</v>
      </c>
      <c r="AH312" s="12" t="str">
        <f>IFERROR(__xludf.DUMMYFUNCTION("""COMPUTED_VALUE"""),"Eugenia")</f>
        <v>Eugenia</v>
      </c>
      <c r="AI312" s="6" t="str">
        <f>IFERROR(__xludf.DUMMYFUNCTION("""COMPUTED_VALUE"""),"Agredo Calvache")</f>
        <v>Agredo Calvache</v>
      </c>
      <c r="AJ312" s="6" t="str">
        <f>IFERROR(__xludf.DUMMYFUNCTION("""COMPUTED_VALUE"""),"eugeniaag85@hotmail.com")</f>
        <v>eugeniaag85@hotmail.com</v>
      </c>
      <c r="AK312" s="6" t="str">
        <f>IFERROR(__xludf.DUMMYFUNCTION("""COMPUTED_VALUE"""),"ABOGADA, ESPECIALISTA EN DERECHO CONSTITUCIONAL")</f>
        <v>ABOGADA, ESPECIALISTA EN DERECHO CONSTITUCIONAL</v>
      </c>
      <c r="AL312" s="6" t="str">
        <f>IFERROR(__xludf.DUMMYFUNCTION("""COMPUTED_VALUE"""),"FISCALIA")</f>
        <v>FISCALIA</v>
      </c>
      <c r="AM312" s="12" t="str">
        <f>IFERROR(__xludf.DUMMYFUNCTION("""COMPUTED_VALUE"""),"1084250469")</f>
        <v>1084250469</v>
      </c>
      <c r="AN312" s="12" t="str">
        <f>IFERROR(__xludf.DUMMYFUNCTION("""COMPUTED_VALUE"""),"3117091355")</f>
        <v>3117091355</v>
      </c>
      <c r="AO312" s="6" t="str">
        <f>IFERROR(__xludf.DUMMYFUNCTION("""COMPUTED_VALUE"""),"Madre")</f>
        <v>Madre</v>
      </c>
      <c r="AP312" s="6" t="str">
        <f>IFERROR(__xludf.DUMMYFUNCTION("""COMPUTED_VALUE"""),"Estudiante(s): Vanegas Agredo")</f>
        <v>Estudiante(s): Vanegas Agredo</v>
      </c>
      <c r="AQ312" s="6" t="str">
        <f>IFERROR(__xludf.DUMMYFUNCTION("""COMPUTED_VALUE"""),"120330*Gi")</f>
        <v>120330*Gi</v>
      </c>
      <c r="AR312" s="6" t="str">
        <f>IFERROR(__xludf.DUMMYFUNCTION("""COMPUTED_VALUE"""),"Alexander")</f>
        <v>Alexander</v>
      </c>
      <c r="AS312" s="6"/>
      <c r="AT312" s="6" t="str">
        <f>IFERROR(__xludf.DUMMYFUNCTION("""COMPUTED_VALUE"""),"Vanegas Valencia")</f>
        <v>Vanegas Valencia</v>
      </c>
      <c r="AU312" s="6" t="str">
        <f>IFERROR(__xludf.DUMMYFUNCTION("""COMPUTED_VALUE"""),"avv099@gmail.com")</f>
        <v>avv099@gmail.com</v>
      </c>
      <c r="AV312" s="6" t="str">
        <f>IFERROR(__xludf.DUMMYFUNCTION("""COMPUTED_VALUE"""),"ADMINISTRADOR DE EMPRESAS")</f>
        <v>ADMINISTRADOR DE EMPRESAS</v>
      </c>
      <c r="AW312" s="6"/>
      <c r="AX312" s="12" t="str">
        <f>IFERROR(__xludf.DUMMYFUNCTION("""COMPUTED_VALUE"""),"98670555")</f>
        <v>98670555</v>
      </c>
      <c r="AY312" s="12" t="str">
        <f>IFERROR(__xludf.DUMMYFUNCTION("""COMPUTED_VALUE"""),"3507827890")</f>
        <v>3507827890</v>
      </c>
      <c r="AZ312" s="6" t="str">
        <f>IFERROR(__xludf.DUMMYFUNCTION("""COMPUTED_VALUE"""),"Padre")</f>
        <v>Padre</v>
      </c>
      <c r="BA312" s="6"/>
      <c r="BB312" s="6"/>
      <c r="BC312" s="6"/>
      <c r="BD312" s="12" t="str">
        <f>IFERROR(__xludf.DUMMYFUNCTION("""COMPUTED_VALUE"""),"van0002")</f>
        <v>van0002</v>
      </c>
      <c r="BE312" s="6" t="str">
        <f>IFERROR(__xludf.DUMMYFUNCTION("""COMPUTED_VALUE"""),"FALTAN FIRMAS")</f>
        <v>FALTAN FIRMAS</v>
      </c>
      <c r="BF312" s="6"/>
      <c r="BG312" s="6">
        <f>IFERROR(__xludf.DUMMYFUNCTION("""COMPUTED_VALUE"""),2036.0)</f>
        <v>2036</v>
      </c>
      <c r="BH312" s="15">
        <f>IFERROR(__xludf.DUMMYFUNCTION("""COMPUTED_VALUE"""),46207.487916666665)</f>
        <v>46207.48792</v>
      </c>
      <c r="BI312" s="6">
        <f>IFERROR(__xludf.DUMMYFUNCTION("""COMPUTED_VALUE"""),312.0)</f>
        <v>312</v>
      </c>
      <c r="BJ312" s="6" t="str">
        <f>IFERROR(__xludf.DUMMYFUNCTION("""COMPUTED_VALUE"""),"Mar 9/26 Se retira por parte del comite
SIMAT: trastorno por déficit de atención con o sin hiperactividad (Nov 13 2024)")</f>
        <v>Mar 9/26 Se retira por parte del comite
SIMAT: trastorno por déficit de atención con o sin hiperactividad (Nov 13 2024)</v>
      </c>
      <c r="BK312" s="6"/>
      <c r="BL312" s="6" t="str">
        <f>IFERROR(__xludf.DUMMYFUNCTION("""COMPUTED_VALUE"""),"GISVAN0002")</f>
        <v>GISVAN0002</v>
      </c>
      <c r="BM312" s="6"/>
      <c r="BN312" s="6"/>
      <c r="BO312" s="6"/>
      <c r="BP312" s="6" t="str">
        <f>IFERROR(__xludf.DUMMYFUNCTION("""COMPUTED_VALUE"""),"XC_23_Futbol_M")</f>
        <v>XC_23_Futbol_M</v>
      </c>
      <c r="BQ312" s="6"/>
      <c r="BR312" s="6" t="str">
        <f>IFERROR(__xludf.DUMMYFUNCTION("""COMPUTED_VALUE"""),"XC_EL_PequenosCientificos")</f>
        <v>XC_EL_PequenosCientificos</v>
      </c>
      <c r="BS312" s="6" t="str">
        <f>IFERROR(__xludf.DUMMYFUNCTION("""COMPUTED_VALUE"""),"XC_23_Futbol_M")</f>
        <v>XC_23_Futbol_M</v>
      </c>
      <c r="BT312" s="6" t="str">
        <f>IFERROR(__xludf.DUMMYFUNCTION("""COMPUTED_VALUE"""),"XC_23_Futbol_M")</f>
        <v>XC_23_Futbol_M</v>
      </c>
      <c r="BU312" s="6" t="str">
        <f>IFERROR(__xludf.DUMMYFUNCTION("""COMPUTED_VALUE"""),"SI")</f>
        <v>SI</v>
      </c>
      <c r="BV312" s="6" t="str">
        <f>IFERROR(__xludf.DUMMYFUNCTION("""COMPUTED_VALUE"""),"benjamin.v2036")</f>
        <v>benjamin.v2036</v>
      </c>
      <c r="BW312" s="6"/>
      <c r="BX312" s="6"/>
      <c r="BY312" s="6"/>
      <c r="BZ312" s="6"/>
    </row>
    <row r="313">
      <c r="A313" s="6">
        <f>IFERROR(__xludf.DUMMYFUNCTION("""COMPUTED_VALUE"""),1.091888626E9)</f>
        <v>1091888626</v>
      </c>
      <c r="B313" s="6">
        <f>IFERROR(__xludf.DUMMYFUNCTION("""COMPUTED_VALUE"""),23.0)</f>
        <v>23</v>
      </c>
      <c r="C313" s="6" t="str">
        <f>IFERROR(__xludf.DUMMYFUNCTION("""COMPUTED_VALUE"""),"María")</f>
        <v>María</v>
      </c>
      <c r="D313" s="6" t="str">
        <f>IFERROR(__xludf.DUMMYFUNCTION("""COMPUTED_VALUE"""),"Antonia")</f>
        <v>Antonia</v>
      </c>
      <c r="E313" s="6" t="str">
        <f>IFERROR(__xludf.DUMMYFUNCTION("""COMPUTED_VALUE"""),"Vargas Jiménez")</f>
        <v>Vargas Jiménez</v>
      </c>
      <c r="F313" s="6" t="str">
        <f>IFERROR(__xludf.DUMMYFUNCTION("""COMPUTED_VALUE"""),"Condominio Hacienda Horizontes Casa 15 - Km 3 Via Circasia Vereda la Florida")</f>
        <v>Condominio Hacienda Horizontes Casa 15 - Km 3 Via Circasia Vereda la Florida</v>
      </c>
      <c r="G313" s="12" t="str">
        <f>IFERROR(__xludf.DUMMYFUNCTION("""COMPUTED_VALUE"""),"2017")</f>
        <v>2017</v>
      </c>
      <c r="H313" s="6" t="str">
        <f>IFERROR(__xludf.DUMMYFUNCTION("""COMPUTED_VALUE"""),"Noviembre")</f>
        <v>Noviembre</v>
      </c>
      <c r="I313" s="12" t="str">
        <f>IFERROR(__xludf.DUMMYFUNCTION("""COMPUTED_VALUE"""),"10")</f>
        <v>10</v>
      </c>
      <c r="J313" s="6" t="str">
        <f>IFERROR(__xludf.DUMMYFUNCTION("""COMPUTED_VALUE"""),"Armenia")</f>
        <v>Armenia</v>
      </c>
      <c r="K313" s="6" t="str">
        <f>IFERROR(__xludf.DUMMYFUNCTION("""COMPUTED_VALUE"""),"mariaa.v2036@gi.edu.co")</f>
        <v>mariaa.v2036@gi.edu.co</v>
      </c>
      <c r="L313" s="6" t="str">
        <f>IFERROR(__xludf.DUMMYFUNCTION("""COMPUTED_VALUE"""),"RC")</f>
        <v>RC</v>
      </c>
      <c r="M313" s="6" t="str">
        <f>IFERROR(__xludf.DUMMYFUNCTION("""COMPUTED_VALUE"""),"Armenia")</f>
        <v>Armenia</v>
      </c>
      <c r="N313" s="6" t="str">
        <f>IFERROR(__xludf.DUMMYFUNCTION("""COMPUTED_VALUE"""),"F")</f>
        <v>F</v>
      </c>
      <c r="O313" s="6" t="str">
        <f>IFERROR(__xludf.DUMMYFUNCTION("""COMPUTED_VALUE"""),"INACTIVE")</f>
        <v>INACTIVE</v>
      </c>
      <c r="P313" s="6"/>
      <c r="Q313" s="6" t="str">
        <f>IFERROR(__xludf.DUMMYFUNCTION("""COMPUTED_VALUE"""),"Armenia")</f>
        <v>Armenia</v>
      </c>
      <c r="R313" s="12" t="str">
        <f>IFERROR(__xludf.DUMMYFUNCTION("""COMPUTED_VALUE"""),"Gi5x8y3k*")</f>
        <v>Gi5x8y3k*</v>
      </c>
      <c r="S313" s="6" t="str">
        <f>IFERROR(__xludf.DUMMYFUNCTION("""COMPUTED_VALUE"""),"Vargas Jiménez María Antonia")</f>
        <v>Vargas Jiménez María Antonia</v>
      </c>
      <c r="T313" s="6" t="str">
        <f>IFERROR(__xludf.DUMMYFUNCTION("""COMPUTED_VALUE"""),"MARÍA MAGDALENA JIMÉNEZ USECHE")</f>
        <v>MARÍA MAGDALENA JIMÉNEZ USECHE</v>
      </c>
      <c r="U313" s="12" t="str">
        <f>IFERROR(__xludf.DUMMYFUNCTION("""COMPUTED_VALUE"""),"52738577")</f>
        <v>52738577</v>
      </c>
      <c r="V313" s="6">
        <f>IFERROR(__xludf.DUMMYFUNCTION("""COMPUTED_VALUE"""),3.204256709E9)</f>
        <v>3204256709</v>
      </c>
      <c r="W313" s="6" t="str">
        <f>IFERROR(__xludf.DUMMYFUNCTION("""COMPUTED_VALUE"""),"mamajius@gmail.com")</f>
        <v>mamajius@gmail.com</v>
      </c>
      <c r="X313" s="12" t="str">
        <f>IFERROR(__xludf.DUMMYFUNCTION("""COMPUTED_VALUE"""),"B+")</f>
        <v>B+</v>
      </c>
      <c r="Y313" s="12" t="str">
        <f>IFERROR(__xludf.DUMMYFUNCTION("""COMPUTED_VALUE"""),"3")</f>
        <v>3</v>
      </c>
      <c r="Z313" s="12">
        <f>IFERROR(__xludf.DUMMYFUNCTION("""COMPUTED_VALUE"""),120415.0)</f>
        <v>120415</v>
      </c>
      <c r="AA313" s="6" t="str">
        <f>IFERROR(__xludf.DUMMYFUNCTION("""COMPUTED_VALUE"""),"SURA")</f>
        <v>SURA</v>
      </c>
      <c r="AB313" s="6"/>
      <c r="AC313" s="6"/>
      <c r="AD313" s="6" t="str">
        <f>IFERROR(__xludf.DUMMYFUNCTION("""COMPUTED_VALUE"""),"3A")</f>
        <v>3A</v>
      </c>
      <c r="AE313" s="12" t="str">
        <f>IFERROR(__xludf.DUMMYFUNCTION("""COMPUTED_VALUE"""),"1345282417")</f>
        <v>1345282417</v>
      </c>
      <c r="AF313" s="12" t="str">
        <f>IFERROR(__xludf.DUMMYFUNCTION("""COMPUTED_VALUE"""),"0673330115")</f>
        <v>0673330115</v>
      </c>
      <c r="AG313" s="12" t="str">
        <f>IFERROR(__xludf.DUMMYFUNCTION("""COMPUTED_VALUE"""),"María")</f>
        <v>María</v>
      </c>
      <c r="AH313" s="12" t="str">
        <f>IFERROR(__xludf.DUMMYFUNCTION("""COMPUTED_VALUE"""),"Magdalena")</f>
        <v>Magdalena</v>
      </c>
      <c r="AI313" s="6" t="str">
        <f>IFERROR(__xludf.DUMMYFUNCTION("""COMPUTED_VALUE"""),"Jiménez Useche")</f>
        <v>Jiménez Useche</v>
      </c>
      <c r="AJ313" s="6" t="str">
        <f>IFERROR(__xludf.DUMMYFUNCTION("""COMPUTED_VALUE"""),"mamajius@gmail.com")</f>
        <v>mamajius@gmail.com</v>
      </c>
      <c r="AK313" s="6" t="str">
        <f>IFERROR(__xludf.DUMMYFUNCTION("""COMPUTED_VALUE"""),"ABOGADA")</f>
        <v>ABOGADA</v>
      </c>
      <c r="AL313" s="6" t="str">
        <f>IFERROR(__xludf.DUMMYFUNCTION("""COMPUTED_VALUE"""),"ZONA VERDI S.A.S")</f>
        <v>ZONA VERDI S.A.S</v>
      </c>
      <c r="AM313" s="12" t="str">
        <f>IFERROR(__xludf.DUMMYFUNCTION("""COMPUTED_VALUE"""),"52738577")</f>
        <v>52738577</v>
      </c>
      <c r="AN313" s="12" t="str">
        <f>IFERROR(__xludf.DUMMYFUNCTION("""COMPUTED_VALUE"""),"3204256709")</f>
        <v>3204256709</v>
      </c>
      <c r="AO313" s="6" t="str">
        <f>IFERROR(__xludf.DUMMYFUNCTION("""COMPUTED_VALUE"""),"Madre")</f>
        <v>Madre</v>
      </c>
      <c r="AP313" s="6" t="str">
        <f>IFERROR(__xludf.DUMMYFUNCTION("""COMPUTED_VALUE"""),"Estudiante(s): Vargas Jiménez")</f>
        <v>Estudiante(s): Vargas Jiménez</v>
      </c>
      <c r="AQ313" s="6" t="str">
        <f>IFERROR(__xludf.DUMMYFUNCTION("""COMPUTED_VALUE"""),"103399*Gi")</f>
        <v>103399*Gi</v>
      </c>
      <c r="AR313" s="6" t="str">
        <f>IFERROR(__xludf.DUMMYFUNCTION("""COMPUTED_VALUE"""),"Javier")</f>
        <v>Javier</v>
      </c>
      <c r="AS313" s="6"/>
      <c r="AT313" s="6" t="str">
        <f>IFERROR(__xludf.DUMMYFUNCTION("""COMPUTED_VALUE"""),"Vargas Moreno")</f>
        <v>Vargas Moreno</v>
      </c>
      <c r="AU313" s="6" t="str">
        <f>IFERROR(__xludf.DUMMYFUNCTION("""COMPUTED_VALUE"""),"javamo64@gmail.com")</f>
        <v>javamo64@gmail.com</v>
      </c>
      <c r="AV313" s="6"/>
      <c r="AW313" s="6" t="str">
        <f>IFERROR(__xludf.DUMMYFUNCTION("""COMPUTED_VALUE"""),"CONSTRUCCIONES JUNIN S.A.")</f>
        <v>CONSTRUCCIONES JUNIN S.A.</v>
      </c>
      <c r="AX313" s="12" t="str">
        <f>IFERROR(__xludf.DUMMYFUNCTION("""COMPUTED_VALUE"""),"7220256")</f>
        <v>7220256</v>
      </c>
      <c r="AY313" s="12">
        <f>IFERROR(__xludf.DUMMYFUNCTION("""COMPUTED_VALUE"""),3.212325159E9)</f>
        <v>3212325159</v>
      </c>
      <c r="AZ313" s="6" t="str">
        <f>IFERROR(__xludf.DUMMYFUNCTION("""COMPUTED_VALUE"""),"Padre")</f>
        <v>Padre</v>
      </c>
      <c r="BA313" s="6"/>
      <c r="BB313" s="6"/>
      <c r="BC313" s="6"/>
      <c r="BD313" s="12" t="str">
        <f>IFERROR(__xludf.DUMMYFUNCTION("""COMPUTED_VALUE"""),"var0006")</f>
        <v>var0006</v>
      </c>
      <c r="BE313" s="6" t="str">
        <f>IFERROR(__xludf.DUMMYFUNCTION("""COMPUTED_VALUE"""),"FALTAN FIRMAS")</f>
        <v>FALTAN FIRMAS</v>
      </c>
      <c r="BF313" s="6"/>
      <c r="BG313" s="6">
        <f>IFERROR(__xludf.DUMMYFUNCTION("""COMPUTED_VALUE"""),2036.0)</f>
        <v>2036</v>
      </c>
      <c r="BH313" s="15">
        <f>IFERROR(__xludf.DUMMYFUNCTION("""COMPUTED_VALUE"""),46237.65962962963)</f>
        <v>46237.65963</v>
      </c>
      <c r="BI313" s="6">
        <f>IFERROR(__xludf.DUMMYFUNCTION("""COMPUTED_VALUE"""),313.0)</f>
        <v>313</v>
      </c>
      <c r="BJ313" s="6"/>
      <c r="BK313" s="6"/>
      <c r="BL313" s="6" t="str">
        <f>IFERROR(__xludf.DUMMYFUNCTION("""COMPUTED_VALUE"""),"GISVAR0006")</f>
        <v>GISVAR0006</v>
      </c>
      <c r="BM313" s="6"/>
      <c r="BN313" s="6"/>
      <c r="BO313" s="6" t="str">
        <f>IFERROR(__xludf.DUMMYFUNCTION("""COMPUTED_VALUE"""),"XC_EL_ArtesPlasticas")</f>
        <v>XC_EL_ArtesPlasticas</v>
      </c>
      <c r="BP313" s="6"/>
      <c r="BQ313" s="6"/>
      <c r="BR313" s="6"/>
      <c r="BS313" s="6"/>
      <c r="BT313" s="6"/>
      <c r="BU313" s="6" t="str">
        <f>IFERROR(__xludf.DUMMYFUNCTION("""COMPUTED_VALUE"""),"SI")</f>
        <v>SI</v>
      </c>
      <c r="BV313" s="6" t="str">
        <f>IFERROR(__xludf.DUMMYFUNCTION("""COMPUTED_VALUE"""),"mariaa.v2036")</f>
        <v>mariaa.v2036</v>
      </c>
      <c r="BW313" s="6"/>
      <c r="BX313" s="6"/>
      <c r="BY313" s="6"/>
      <c r="BZ313" s="6"/>
    </row>
    <row r="314">
      <c r="A314" s="6">
        <f>IFERROR(__xludf.DUMMYFUNCTION("""COMPUTED_VALUE"""),1.094979117E9)</f>
        <v>1094979117</v>
      </c>
      <c r="B314" s="6">
        <f>IFERROR(__xludf.DUMMYFUNCTION("""COMPUTED_VALUE"""),24.0)</f>
        <v>24</v>
      </c>
      <c r="C314" s="6" t="str">
        <f>IFERROR(__xludf.DUMMYFUNCTION("""COMPUTED_VALUE"""),"Emma")</f>
        <v>Emma</v>
      </c>
      <c r="D314" s="6"/>
      <c r="E314" s="6" t="str">
        <f>IFERROR(__xludf.DUMMYFUNCTION("""COMPUTED_VALUE"""),"Velásquez Giraldo")</f>
        <v>Velásquez Giraldo</v>
      </c>
      <c r="F314" s="6" t="str">
        <f>IFERROR(__xludf.DUMMYFUNCTION("""COMPUTED_VALUE"""),"Condominio Casa de Campo Casa 23 - Calle 23ANte No19 - 47")</f>
        <v>Condominio Casa de Campo Casa 23 - Calle 23ANte No19 - 47</v>
      </c>
      <c r="G314" s="12" t="str">
        <f>IFERROR(__xludf.DUMMYFUNCTION("""COMPUTED_VALUE"""),"2018")</f>
        <v>2018</v>
      </c>
      <c r="H314" s="6" t="str">
        <f>IFERROR(__xludf.DUMMYFUNCTION("""COMPUTED_VALUE"""),"Marzo")</f>
        <v>Marzo</v>
      </c>
      <c r="I314" s="12" t="str">
        <f>IFERROR(__xludf.DUMMYFUNCTION("""COMPUTED_VALUE"""),"14")</f>
        <v>14</v>
      </c>
      <c r="J314" s="6" t="str">
        <f>IFERROR(__xludf.DUMMYFUNCTION("""COMPUTED_VALUE"""),"Miami")</f>
        <v>Miami</v>
      </c>
      <c r="K314" s="6" t="str">
        <f>IFERROR(__xludf.DUMMYFUNCTION("""COMPUTED_VALUE"""),"emma.v2036@gi.edu.co")</f>
        <v>emma.v2036@gi.edu.co</v>
      </c>
      <c r="L314" s="6" t="str">
        <f>IFERROR(__xludf.DUMMYFUNCTION("""COMPUTED_VALUE"""),"TI")</f>
        <v>TI</v>
      </c>
      <c r="M314" s="6" t="str">
        <f>IFERROR(__xludf.DUMMYFUNCTION("""COMPUTED_VALUE"""),"Armenia")</f>
        <v>Armenia</v>
      </c>
      <c r="N314" s="6" t="str">
        <f>IFERROR(__xludf.DUMMYFUNCTION("""COMPUTED_VALUE"""),"F")</f>
        <v>F</v>
      </c>
      <c r="O314" s="6" t="str">
        <f>IFERROR(__xludf.DUMMYFUNCTION("""COMPUTED_VALUE"""),"ACTIVE")</f>
        <v>ACTIVE</v>
      </c>
      <c r="P314" s="6"/>
      <c r="Q314" s="6" t="str">
        <f>IFERROR(__xludf.DUMMYFUNCTION("""COMPUTED_VALUE"""),"Armenia")</f>
        <v>Armenia</v>
      </c>
      <c r="R314" s="12" t="str">
        <f>IFERROR(__xludf.DUMMYFUNCTION("""COMPUTED_VALUE"""),"Gipswn12k*")</f>
        <v>Gipswn12k*</v>
      </c>
      <c r="S314" s="6" t="str">
        <f>IFERROR(__xludf.DUMMYFUNCTION("""COMPUTED_VALUE"""),"Velásquez Giraldo Emma ")</f>
        <v>Velásquez Giraldo Emma </v>
      </c>
      <c r="T314" s="6" t="str">
        <f>IFERROR(__xludf.DUMMYFUNCTION("""COMPUTED_VALUE"""),"PABLO VELÁSQUEZ MEJÍA")</f>
        <v>PABLO VELÁSQUEZ MEJÍA</v>
      </c>
      <c r="U314" s="12" t="str">
        <f>IFERROR(__xludf.DUMMYFUNCTION("""COMPUTED_VALUE"""),"1094880176")</f>
        <v>1094880176</v>
      </c>
      <c r="V314" s="6">
        <f>IFERROR(__xludf.DUMMYFUNCTION("""COMPUTED_VALUE"""),3.207276347E9)</f>
        <v>3207276347</v>
      </c>
      <c r="W314" s="6" t="str">
        <f>IFERROR(__xludf.DUMMYFUNCTION("""COMPUTED_VALUE"""),"pablo@pablovelasquez.com")</f>
        <v>pablo@pablovelasquez.com</v>
      </c>
      <c r="X314" s="12" t="str">
        <f>IFERROR(__xludf.DUMMYFUNCTION("""COMPUTED_VALUE"""),"O+")</f>
        <v>O+</v>
      </c>
      <c r="Y314" s="12" t="str">
        <f>IFERROR(__xludf.DUMMYFUNCTION("""COMPUTED_VALUE"""),"3")</f>
        <v>3</v>
      </c>
      <c r="Z314" s="12">
        <f>IFERROR(__xludf.DUMMYFUNCTION("""COMPUTED_VALUE"""),120020.0)</f>
        <v>120020</v>
      </c>
      <c r="AA314" s="6" t="str">
        <f>IFERROR(__xludf.DUMMYFUNCTION("""COMPUTED_VALUE"""),"SANITAS")</f>
        <v>SANITAS</v>
      </c>
      <c r="AB314" s="6" t="str">
        <f>IFERROR(__xludf.DUMMYFUNCTION("""COMPUTED_VALUE"""),"EMI")</f>
        <v>EMI</v>
      </c>
      <c r="AC314" s="12" t="str">
        <f>IFERROR(__xludf.DUMMYFUNCTION("""COMPUTED_VALUE"""),"Polvo y frío")</f>
        <v>Polvo y frío</v>
      </c>
      <c r="AD314" s="6" t="str">
        <f>IFERROR(__xludf.DUMMYFUNCTION("""COMPUTED_VALUE"""),"3A")</f>
        <v>3A</v>
      </c>
      <c r="AE314" s="12">
        <f>IFERROR(__xludf.DUMMYFUNCTION("""COMPUTED_VALUE"""),1.345282025E9)</f>
        <v>1345282025</v>
      </c>
      <c r="AF314" s="12" t="str">
        <f>IFERROR(__xludf.DUMMYFUNCTION("""COMPUTED_VALUE"""),"0688549299")</f>
        <v>0688549299</v>
      </c>
      <c r="AG314" s="12" t="str">
        <f>IFERROR(__xludf.DUMMYFUNCTION("""COMPUTED_VALUE"""),"Laura")</f>
        <v>Laura</v>
      </c>
      <c r="AH314" s="12" t="str">
        <f>IFERROR(__xludf.DUMMYFUNCTION("""COMPUTED_VALUE"""),"Lucía")</f>
        <v>Lucía</v>
      </c>
      <c r="AI314" s="6" t="str">
        <f>IFERROR(__xludf.DUMMYFUNCTION("""COMPUTED_VALUE"""),"Giraldo Sánchez")</f>
        <v>Giraldo Sánchez</v>
      </c>
      <c r="AJ314" s="6" t="str">
        <f>IFERROR(__xludf.DUMMYFUNCTION("""COMPUTED_VALUE"""),"laura.giraldo@atlanticsoft.us")</f>
        <v>laura.giraldo@atlanticsoft.us</v>
      </c>
      <c r="AK314" s="6" t="str">
        <f>IFERROR(__xludf.DUMMYFUNCTION("""COMPUTED_VALUE"""),"Comunicadora Social y Periodista")</f>
        <v>Comunicadora Social y Periodista</v>
      </c>
      <c r="AL314" s="6" t="str">
        <f>IFERROR(__xludf.DUMMYFUNCTION("""COMPUTED_VALUE"""),"Atlanticsoft SAS")</f>
        <v>Atlanticsoft SAS</v>
      </c>
      <c r="AM314" s="12" t="str">
        <f>IFERROR(__xludf.DUMMYFUNCTION("""COMPUTED_VALUE"""),"25026699")</f>
        <v>25026699</v>
      </c>
      <c r="AN314" s="12" t="str">
        <f>IFERROR(__xludf.DUMMYFUNCTION("""COMPUTED_VALUE"""),"3045470658")</f>
        <v>3045470658</v>
      </c>
      <c r="AO314" s="6" t="str">
        <f>IFERROR(__xludf.DUMMYFUNCTION("""COMPUTED_VALUE"""),"Madre")</f>
        <v>Madre</v>
      </c>
      <c r="AP314" s="6" t="str">
        <f>IFERROR(__xludf.DUMMYFUNCTION("""COMPUTED_VALUE"""),"Estudiante(s): Velásquez Giraldo")</f>
        <v>Estudiante(s): Velásquez Giraldo</v>
      </c>
      <c r="AQ314" s="6" t="str">
        <f>IFERROR(__xludf.DUMMYFUNCTION("""COMPUTED_VALUE"""),"103889*Gi")</f>
        <v>103889*Gi</v>
      </c>
      <c r="AR314" s="6" t="str">
        <f>IFERROR(__xludf.DUMMYFUNCTION("""COMPUTED_VALUE"""),"Pablo")</f>
        <v>Pablo</v>
      </c>
      <c r="AS314" s="6"/>
      <c r="AT314" s="6" t="str">
        <f>IFERROR(__xludf.DUMMYFUNCTION("""COMPUTED_VALUE"""),"Velásquez Mejía")</f>
        <v>Velásquez Mejía</v>
      </c>
      <c r="AU314" s="6" t="str">
        <f>IFERROR(__xludf.DUMMYFUNCTION("""COMPUTED_VALUE"""),"pablo@pablovelasquez.com")</f>
        <v>pablo@pablovelasquez.com</v>
      </c>
      <c r="AV314" s="6" t="str">
        <f>IFERROR(__xludf.DUMMYFUNCTION("""COMPUTED_VALUE"""),"Ingeniero de Sistemas")</f>
        <v>Ingeniero de Sistemas</v>
      </c>
      <c r="AW314" s="6" t="str">
        <f>IFERROR(__xludf.DUMMYFUNCTION("""COMPUTED_VALUE"""),"Atlanticsoft")</f>
        <v>Atlanticsoft</v>
      </c>
      <c r="AX314" s="12" t="str">
        <f>IFERROR(__xludf.DUMMYFUNCTION("""COMPUTED_VALUE"""),"1094880176")</f>
        <v>1094880176</v>
      </c>
      <c r="AY314" s="12" t="str">
        <f>IFERROR(__xludf.DUMMYFUNCTION("""COMPUTED_VALUE"""),"3207276347")</f>
        <v>3207276347</v>
      </c>
      <c r="AZ314" s="6" t="str">
        <f>IFERROR(__xludf.DUMMYFUNCTION("""COMPUTED_VALUE"""),"Padre")</f>
        <v>Padre</v>
      </c>
      <c r="BA314" s="6"/>
      <c r="BB314" s="6"/>
      <c r="BC314" s="6"/>
      <c r="BD314" s="12" t="str">
        <f>IFERROR(__xludf.DUMMYFUNCTION("""COMPUTED_VALUE"""),"vel0014")</f>
        <v>vel0014</v>
      </c>
      <c r="BE314" s="6"/>
      <c r="BF314" s="6"/>
      <c r="BG314" s="6">
        <f>IFERROR(__xludf.DUMMYFUNCTION("""COMPUTED_VALUE"""),2036.0)</f>
        <v>2036</v>
      </c>
      <c r="BH314" s="15">
        <f>IFERROR(__xludf.DUMMYFUNCTION("""COMPUTED_VALUE"""),46204.83673611111)</f>
        <v>46204.83674</v>
      </c>
      <c r="BI314" s="6">
        <f>IFERROR(__xludf.DUMMYFUNCTION("""COMPUTED_VALUE"""),314.0)</f>
        <v>314</v>
      </c>
      <c r="BJ314" s="6"/>
      <c r="BK314" s="6"/>
      <c r="BL314" s="6" t="str">
        <f>IFERROR(__xludf.DUMMYFUNCTION("""COMPUTED_VALUE"""),"GISVEL0014")</f>
        <v>GISVEL0014</v>
      </c>
      <c r="BM314" s="6"/>
      <c r="BN314" s="6"/>
      <c r="BO314" s="6" t="str">
        <f>IFERROR(__xludf.DUMMYFUNCTION("""COMPUTED_VALUE"""),"XC_EL_TecVocal")</f>
        <v>XC_EL_TecVocal</v>
      </c>
      <c r="BP314" s="6" t="str">
        <f>IFERROR(__xludf.DUMMYFUNCTION("""COMPUTED_VALUE"""),"XC_23_Voleibol")</f>
        <v>XC_23_Voleibol</v>
      </c>
      <c r="BQ314" s="6"/>
      <c r="BR314" s="6" t="str">
        <f>IFERROR(__xludf.DUMMYFUNCTION("""COMPUTED_VALUE"""),"XC_EL_PequenosCientificos")</f>
        <v>XC_EL_PequenosCientificos</v>
      </c>
      <c r="BS314" s="6" t="str">
        <f>IFERROR(__xludf.DUMMYFUNCTION("""COMPUTED_VALUE"""),"XC_23_Voleibol")</f>
        <v>XC_23_Voleibol</v>
      </c>
      <c r="BT314" s="6" t="str">
        <f>IFERROR(__xludf.DUMMYFUNCTION("""COMPUTED_VALUE"""),"XC_23_Voleibol")</f>
        <v>XC_23_Voleibol</v>
      </c>
      <c r="BU314" s="6" t="str">
        <f>IFERROR(__xludf.DUMMYFUNCTION("""COMPUTED_VALUE"""),"SI")</f>
        <v>SI</v>
      </c>
      <c r="BV314" s="6" t="str">
        <f>IFERROR(__xludf.DUMMYFUNCTION("""COMPUTED_VALUE"""),"emma.v2036")</f>
        <v>emma.v2036</v>
      </c>
      <c r="BW314" s="6"/>
      <c r="BX314" s="6"/>
      <c r="BY314" s="6"/>
      <c r="BZ314" s="6"/>
    </row>
    <row r="315">
      <c r="A315" s="12">
        <f>IFERROR(__xludf.DUMMYFUNCTION("""COMPUTED_VALUE"""),1.092861828E9)</f>
        <v>1092861828</v>
      </c>
      <c r="B315" s="6">
        <f>IFERROR(__xludf.DUMMYFUNCTION("""COMPUTED_VALUE"""),25.0)</f>
        <v>25</v>
      </c>
      <c r="C315" s="6" t="str">
        <f>IFERROR(__xludf.DUMMYFUNCTION("""COMPUTED_VALUE"""),"Amalia")</f>
        <v>Amalia</v>
      </c>
      <c r="D315" s="6"/>
      <c r="E315" s="6" t="str">
        <f>IFERROR(__xludf.DUMMYFUNCTION("""COMPUTED_VALUE"""),"Velásquez Gordillo")</f>
        <v>Velásquez Gordillo</v>
      </c>
      <c r="F315" s="6" t="str">
        <f>IFERROR(__xludf.DUMMYFUNCTION("""COMPUTED_VALUE"""),"Condominio Casa de Campo Casa 3 - Calle 23ANte No19 - 47")</f>
        <v>Condominio Casa de Campo Casa 3 - Calle 23ANte No19 - 47</v>
      </c>
      <c r="G315" s="12" t="str">
        <f>IFERROR(__xludf.DUMMYFUNCTION("""COMPUTED_VALUE"""),"2018")</f>
        <v>2018</v>
      </c>
      <c r="H315" s="6" t="str">
        <f>IFERROR(__xludf.DUMMYFUNCTION("""COMPUTED_VALUE"""),"Febrero")</f>
        <v>Febrero</v>
      </c>
      <c r="I315" s="12" t="str">
        <f>IFERROR(__xludf.DUMMYFUNCTION("""COMPUTED_VALUE"""),"27")</f>
        <v>27</v>
      </c>
      <c r="J315" s="6" t="str">
        <f>IFERROR(__xludf.DUMMYFUNCTION("""COMPUTED_VALUE"""),"Armenia")</f>
        <v>Armenia</v>
      </c>
      <c r="K315" s="6" t="str">
        <f>IFERROR(__xludf.DUMMYFUNCTION("""COMPUTED_VALUE"""),"amalia.vg2036@gi.edu.co")</f>
        <v>amalia.vg2036@gi.edu.co</v>
      </c>
      <c r="L315" s="6" t="str">
        <f>IFERROR(__xludf.DUMMYFUNCTION("""COMPUTED_VALUE"""),"TI")</f>
        <v>TI</v>
      </c>
      <c r="M315" s="6" t="str">
        <f>IFERROR(__xludf.DUMMYFUNCTION("""COMPUTED_VALUE"""),"Armenia")</f>
        <v>Armenia</v>
      </c>
      <c r="N315" s="6" t="str">
        <f>IFERROR(__xludf.DUMMYFUNCTION("""COMPUTED_VALUE"""),"F")</f>
        <v>F</v>
      </c>
      <c r="O315" s="6" t="str">
        <f>IFERROR(__xludf.DUMMYFUNCTION("""COMPUTED_VALUE"""),"ACTIVE")</f>
        <v>ACTIVE</v>
      </c>
      <c r="P315" s="6"/>
      <c r="Q315" s="6" t="str">
        <f>IFERROR(__xludf.DUMMYFUNCTION("""COMPUTED_VALUE"""),"Armenia")</f>
        <v>Armenia</v>
      </c>
      <c r="R315" s="12" t="str">
        <f>IFERROR(__xludf.DUMMYFUNCTION("""COMPUTED_VALUE"""),"Gi4d8h2m*")</f>
        <v>Gi4d8h2m*</v>
      </c>
      <c r="S315" s="6" t="str">
        <f>IFERROR(__xludf.DUMMYFUNCTION("""COMPUTED_VALUE"""),"Velásquez Gordillo Amalia ")</f>
        <v>Velásquez Gordillo Amalia </v>
      </c>
      <c r="T315" s="6" t="str">
        <f>IFERROR(__xludf.DUMMYFUNCTION("""COMPUTED_VALUE"""),"JAIME EDUARDO VELÁSQUEZ MEJIA")</f>
        <v>JAIME EDUARDO VELÁSQUEZ MEJIA</v>
      </c>
      <c r="U315" s="12" t="str">
        <f>IFERROR(__xludf.DUMMYFUNCTION("""COMPUTED_VALUE"""),"18009513")</f>
        <v>18009513</v>
      </c>
      <c r="V315" s="6">
        <f>IFERROR(__xludf.DUMMYFUNCTION("""COMPUTED_VALUE"""),3.007970991E9)</f>
        <v>3007970991</v>
      </c>
      <c r="W315" s="6" t="str">
        <f>IFERROR(__xludf.DUMMYFUNCTION("""COMPUTED_VALUE"""),"jaimevelasquez@gmail.com")</f>
        <v>jaimevelasquez@gmail.com</v>
      </c>
      <c r="X315" s="12" t="str">
        <f>IFERROR(__xludf.DUMMYFUNCTION("""COMPUTED_VALUE"""),"O+")</f>
        <v>O+</v>
      </c>
      <c r="Y315" s="12" t="str">
        <f>IFERROR(__xludf.DUMMYFUNCTION("""COMPUTED_VALUE"""),"3")</f>
        <v>3</v>
      </c>
      <c r="Z315" s="12">
        <f>IFERROR(__xludf.DUMMYFUNCTION("""COMPUTED_VALUE"""),120257.0)</f>
        <v>120257</v>
      </c>
      <c r="AA315" s="6" t="str">
        <f>IFERROR(__xludf.DUMMYFUNCTION("""COMPUTED_VALUE"""),"SALUD TOTAL")</f>
        <v>SALUD TOTAL</v>
      </c>
      <c r="AB315" s="6"/>
      <c r="AC315" s="12" t="str">
        <f>IFERROR(__xludf.DUMMYFUNCTION("""COMPUTED_VALUE"""),"Rinitis")</f>
        <v>Rinitis</v>
      </c>
      <c r="AD315" s="6" t="str">
        <f>IFERROR(__xludf.DUMMYFUNCTION("""COMPUTED_VALUE"""),"3A")</f>
        <v>3A</v>
      </c>
      <c r="AE315" s="12">
        <f>IFERROR(__xludf.DUMMYFUNCTION("""COMPUTED_VALUE"""),1.345282245E9)</f>
        <v>1345282245</v>
      </c>
      <c r="AF315" s="12" t="str">
        <f>IFERROR(__xludf.DUMMYFUNCTION("""COMPUTED_VALUE"""),"0691468323")</f>
        <v>0691468323</v>
      </c>
      <c r="AG315" s="12" t="str">
        <f>IFERROR(__xludf.DUMMYFUNCTION("""COMPUTED_VALUE"""),"Ana")</f>
        <v>Ana</v>
      </c>
      <c r="AH315" s="12" t="str">
        <f>IFERROR(__xludf.DUMMYFUNCTION("""COMPUTED_VALUE"""),"Carolina")</f>
        <v>Carolina</v>
      </c>
      <c r="AI315" s="6" t="str">
        <f>IFERROR(__xludf.DUMMYFUNCTION("""COMPUTED_VALUE"""),"Gordillo Cárdenas")</f>
        <v>Gordillo Cárdenas</v>
      </c>
      <c r="AJ315" s="6" t="str">
        <f>IFERROR(__xludf.DUMMYFUNCTION("""COMPUTED_VALUE"""),"anacarolinagordillo@gmail.com")</f>
        <v>anacarolinagordillo@gmail.com</v>
      </c>
      <c r="AK315" s="6" t="str">
        <f>IFERROR(__xludf.DUMMYFUNCTION("""COMPUTED_VALUE"""),"PSICOLOGO")</f>
        <v>PSICOLOGO</v>
      </c>
      <c r="AL315" s="6" t="str">
        <f>IFERROR(__xludf.DUMMYFUNCTION("""COMPUTED_VALUE"""),"PROINDUSTAR SAS")</f>
        <v>PROINDUSTAR SAS</v>
      </c>
      <c r="AM315" s="12" t="str">
        <f>IFERROR(__xludf.DUMMYFUNCTION("""COMPUTED_VALUE"""),"41957193")</f>
        <v>41957193</v>
      </c>
      <c r="AN315" s="12" t="str">
        <f>IFERROR(__xludf.DUMMYFUNCTION("""COMPUTED_VALUE"""),"3004679889")</f>
        <v>3004679889</v>
      </c>
      <c r="AO315" s="6" t="str">
        <f>IFERROR(__xludf.DUMMYFUNCTION("""COMPUTED_VALUE"""),"Madre")</f>
        <v>Madre</v>
      </c>
      <c r="AP315" s="6" t="str">
        <f>IFERROR(__xludf.DUMMYFUNCTION("""COMPUTED_VALUE"""),"Estudiante(s): Velásquez Gordillo")</f>
        <v>Estudiante(s): Velásquez Gordillo</v>
      </c>
      <c r="AQ315" s="6" t="str">
        <f>IFERROR(__xludf.DUMMYFUNCTION("""COMPUTED_VALUE"""),"103765*Gi")</f>
        <v>103765*Gi</v>
      </c>
      <c r="AR315" s="6" t="str">
        <f>IFERROR(__xludf.DUMMYFUNCTION("""COMPUTED_VALUE"""),"Jaime")</f>
        <v>Jaime</v>
      </c>
      <c r="AS315" s="6" t="str">
        <f>IFERROR(__xludf.DUMMYFUNCTION("""COMPUTED_VALUE"""),"Eduardo")</f>
        <v>Eduardo</v>
      </c>
      <c r="AT315" s="6" t="str">
        <f>IFERROR(__xludf.DUMMYFUNCTION("""COMPUTED_VALUE"""),"Velásquez Mejía")</f>
        <v>Velásquez Mejía</v>
      </c>
      <c r="AU315" s="6" t="str">
        <f>IFERROR(__xludf.DUMMYFUNCTION("""COMPUTED_VALUE"""),"jaimevelasquez@gmail.com")</f>
        <v>jaimevelasquez@gmail.com</v>
      </c>
      <c r="AV315" s="6" t="str">
        <f>IFERROR(__xludf.DUMMYFUNCTION("""COMPUTED_VALUE"""),"Administrador Negocios")</f>
        <v>Administrador Negocios</v>
      </c>
      <c r="AW315" s="6" t="str">
        <f>IFERROR(__xludf.DUMMYFUNCTION("""COMPUTED_VALUE"""),"Proindustar SAS")</f>
        <v>Proindustar SAS</v>
      </c>
      <c r="AX315" s="12" t="str">
        <f>IFERROR(__xludf.DUMMYFUNCTION("""COMPUTED_VALUE"""),"18009513")</f>
        <v>18009513</v>
      </c>
      <c r="AY315" s="12" t="str">
        <f>IFERROR(__xludf.DUMMYFUNCTION("""COMPUTED_VALUE"""),"3007970991")</f>
        <v>3007970991</v>
      </c>
      <c r="AZ315" s="6" t="str">
        <f>IFERROR(__xludf.DUMMYFUNCTION("""COMPUTED_VALUE"""),"Padre")</f>
        <v>Padre</v>
      </c>
      <c r="BA315" s="6"/>
      <c r="BB315" s="6"/>
      <c r="BC315" s="6"/>
      <c r="BD315" s="12" t="str">
        <f>IFERROR(__xludf.DUMMYFUNCTION("""COMPUTED_VALUE"""),"vel0010")</f>
        <v>vel0010</v>
      </c>
      <c r="BE315" s="6"/>
      <c r="BF315" s="6"/>
      <c r="BG315" s="6">
        <f>IFERROR(__xludf.DUMMYFUNCTION("""COMPUTED_VALUE"""),2036.0)</f>
        <v>2036</v>
      </c>
      <c r="BH315" s="15">
        <f>IFERROR(__xludf.DUMMYFUNCTION("""COMPUTED_VALUE"""),46220.668958333335)</f>
        <v>46220.66896</v>
      </c>
      <c r="BI315" s="6">
        <f>IFERROR(__xludf.DUMMYFUNCTION("""COMPUTED_VALUE"""),315.0)</f>
        <v>315</v>
      </c>
      <c r="BJ315" s="6"/>
      <c r="BK315" s="6"/>
      <c r="BL315" s="6" t="str">
        <f>IFERROR(__xludf.DUMMYFUNCTION("""COMPUTED_VALUE"""),"GISVEL0010")</f>
        <v>GISVEL0010</v>
      </c>
      <c r="BM315" s="6"/>
      <c r="BN315" s="6"/>
      <c r="BO315" s="6" t="str">
        <f>IFERROR(__xludf.DUMMYFUNCTION("""COMPUTED_VALUE"""),"XC_EL_TecVocal")</f>
        <v>XC_EL_TecVocal</v>
      </c>
      <c r="BP315" s="6"/>
      <c r="BQ315" s="6"/>
      <c r="BR315" s="6" t="str">
        <f>IFERROR(__xludf.DUMMYFUNCTION("""COMPUTED_VALUE"""),"XC_EL_PequenosCientificos")</f>
        <v>XC_EL_PequenosCientificos</v>
      </c>
      <c r="BS315" s="6"/>
      <c r="BT315" s="6"/>
      <c r="BU315" s="6" t="str">
        <f>IFERROR(__xludf.DUMMYFUNCTION("""COMPUTED_VALUE"""),"SI")</f>
        <v>SI</v>
      </c>
      <c r="BV315" s="6" t="str">
        <f>IFERROR(__xludf.DUMMYFUNCTION("""COMPUTED_VALUE"""),"amalia.vg2036")</f>
        <v>amalia.vg2036</v>
      </c>
      <c r="BW315" s="6"/>
      <c r="BX315" s="6"/>
      <c r="BY315" s="6"/>
      <c r="BZ315" s="6"/>
    </row>
    <row r="316">
      <c r="A316" s="12">
        <f>IFERROR(__xludf.DUMMYFUNCTION("""COMPUTED_VALUE"""),1.092862138E9)</f>
        <v>1092862138</v>
      </c>
      <c r="B316" s="6">
        <f>IFERROR(__xludf.DUMMYFUNCTION("""COMPUTED_VALUE"""),26.0)</f>
        <v>26</v>
      </c>
      <c r="C316" s="6" t="str">
        <f>IFERROR(__xludf.DUMMYFUNCTION("""COMPUTED_VALUE"""),"Amalia")</f>
        <v>Amalia</v>
      </c>
      <c r="D316" s="6"/>
      <c r="E316" s="6" t="str">
        <f>IFERROR(__xludf.DUMMYFUNCTION("""COMPUTED_VALUE"""),"Velásquez Restrepo")</f>
        <v>Velásquez Restrepo</v>
      </c>
      <c r="F316" s="6" t="str">
        <f>IFERROR(__xludf.DUMMYFUNCTION("""COMPUTED_VALUE"""),"Conjunto Los Rosales Casa 19 - Km 3 Via Circasia")</f>
        <v>Conjunto Los Rosales Casa 19 - Km 3 Via Circasia</v>
      </c>
      <c r="G316" s="12" t="str">
        <f>IFERROR(__xludf.DUMMYFUNCTION("""COMPUTED_VALUE"""),"2018")</f>
        <v>2018</v>
      </c>
      <c r="H316" s="6" t="str">
        <f>IFERROR(__xludf.DUMMYFUNCTION("""COMPUTED_VALUE"""),"Junio")</f>
        <v>Junio</v>
      </c>
      <c r="I316" s="12" t="str">
        <f>IFERROR(__xludf.DUMMYFUNCTION("""COMPUTED_VALUE"""),"25")</f>
        <v>25</v>
      </c>
      <c r="J316" s="6" t="str">
        <f>IFERROR(__xludf.DUMMYFUNCTION("""COMPUTED_VALUE"""),"Armenia")</f>
        <v>Armenia</v>
      </c>
      <c r="K316" s="6" t="str">
        <f>IFERROR(__xludf.DUMMYFUNCTION("""COMPUTED_VALUE"""),"amalia.v2036@gi.edu.co")</f>
        <v>amalia.v2036@gi.edu.co</v>
      </c>
      <c r="L316" s="6" t="str">
        <f>IFERROR(__xludf.DUMMYFUNCTION("""COMPUTED_VALUE"""),"TI")</f>
        <v>TI</v>
      </c>
      <c r="M316" s="6" t="str">
        <f>IFERROR(__xludf.DUMMYFUNCTION("""COMPUTED_VALUE"""),"Circacia")</f>
        <v>Circacia</v>
      </c>
      <c r="N316" s="6" t="str">
        <f>IFERROR(__xludf.DUMMYFUNCTION("""COMPUTED_VALUE"""),"F")</f>
        <v>F</v>
      </c>
      <c r="O316" s="6" t="str">
        <f>IFERROR(__xludf.DUMMYFUNCTION("""COMPUTED_VALUE"""),"ACTIVE")</f>
        <v>ACTIVE</v>
      </c>
      <c r="P316" s="6"/>
      <c r="Q316" s="6" t="str">
        <f>IFERROR(__xludf.DUMMYFUNCTION("""COMPUTED_VALUE"""),"Armenia")</f>
        <v>Armenia</v>
      </c>
      <c r="R316" s="12" t="str">
        <f>IFERROR(__xludf.DUMMYFUNCTION("""COMPUTED_VALUE"""),"Gi8wdk37*")</f>
        <v>Gi8wdk37*</v>
      </c>
      <c r="S316" s="6" t="str">
        <f>IFERROR(__xludf.DUMMYFUNCTION("""COMPUTED_VALUE"""),"Velásquez Restrepo Amalia ")</f>
        <v>Velásquez Restrepo Amalia </v>
      </c>
      <c r="T316" s="6" t="str">
        <f>IFERROR(__xludf.DUMMYFUNCTION("""COMPUTED_VALUE"""),"EDUARDO VELASQUEZ ARANGO")</f>
        <v>EDUARDO VELASQUEZ ARANGO</v>
      </c>
      <c r="U316" s="12" t="str">
        <f>IFERROR(__xludf.DUMMYFUNCTION("""COMPUTED_VALUE"""),"9730353")</f>
        <v>9730353</v>
      </c>
      <c r="V316" s="6" t="str">
        <f>IFERROR(__xludf.DUMMYFUNCTION("""COMPUTED_VALUE"""),"316 8331520")</f>
        <v>316 8331520</v>
      </c>
      <c r="W316" s="6" t="str">
        <f>IFERROR(__xludf.DUMMYFUNCTION("""COMPUTED_VALUE"""),"edvear@hotmail.com")</f>
        <v>edvear@hotmail.com</v>
      </c>
      <c r="X316" s="12" t="str">
        <f>IFERROR(__xludf.DUMMYFUNCTION("""COMPUTED_VALUE"""),"A+")</f>
        <v>A+</v>
      </c>
      <c r="Y316" s="12" t="str">
        <f>IFERROR(__xludf.DUMMYFUNCTION("""COMPUTED_VALUE"""),"3")</f>
        <v>3</v>
      </c>
      <c r="Z316" s="12">
        <f>IFERROR(__xludf.DUMMYFUNCTION("""COMPUTED_VALUE"""),120221.0)</f>
        <v>120221</v>
      </c>
      <c r="AA316" s="6" t="str">
        <f>IFERROR(__xludf.DUMMYFUNCTION("""COMPUTED_VALUE"""),"SURA")</f>
        <v>SURA</v>
      </c>
      <c r="AB316" s="6" t="str">
        <f>IFERROR(__xludf.DUMMYFUNCTION("""COMPUTED_VALUE"""),"Emi")</f>
        <v>Emi</v>
      </c>
      <c r="AC316" s="6"/>
      <c r="AD316" s="6" t="str">
        <f>IFERROR(__xludf.DUMMYFUNCTION("""COMPUTED_VALUE"""),"3A")</f>
        <v>3A</v>
      </c>
      <c r="AE316" s="12">
        <f>IFERROR(__xludf.DUMMYFUNCTION("""COMPUTED_VALUE"""),1.345282205E9)</f>
        <v>1345282205</v>
      </c>
      <c r="AF316" s="12" t="str">
        <f>IFERROR(__xludf.DUMMYFUNCTION("""COMPUTED_VALUE"""),"0687602931")</f>
        <v>0687602931</v>
      </c>
      <c r="AG316" s="12" t="str">
        <f>IFERROR(__xludf.DUMMYFUNCTION("""COMPUTED_VALUE"""),"Carolina")</f>
        <v>Carolina</v>
      </c>
      <c r="AH316" s="6"/>
      <c r="AI316" s="6" t="str">
        <f>IFERROR(__xludf.DUMMYFUNCTION("""COMPUTED_VALUE"""),"Restrepo Bonilla")</f>
        <v>Restrepo Bonilla</v>
      </c>
      <c r="AJ316" s="6" t="str">
        <f>IFERROR(__xludf.DUMMYFUNCTION("""COMPUTED_VALUE"""),"carolinarestrepobonilla@hotmail.com")</f>
        <v>carolinarestrepobonilla@hotmail.com</v>
      </c>
      <c r="AK316" s="6" t="str">
        <f>IFERROR(__xludf.DUMMYFUNCTION("""COMPUTED_VALUE"""),"Admon de empresas")</f>
        <v>Admon de empresas</v>
      </c>
      <c r="AL316" s="6"/>
      <c r="AM316" s="12" t="str">
        <f>IFERROR(__xludf.DUMMYFUNCTION("""COMPUTED_VALUE"""),"41950581")</f>
        <v>41950581</v>
      </c>
      <c r="AN316" s="12" t="str">
        <f>IFERROR(__xludf.DUMMYFUNCTION("""COMPUTED_VALUE"""),"3104307207")</f>
        <v>3104307207</v>
      </c>
      <c r="AO316" s="6" t="str">
        <f>IFERROR(__xludf.DUMMYFUNCTION("""COMPUTED_VALUE"""),"Madre")</f>
        <v>Madre</v>
      </c>
      <c r="AP316" s="6" t="str">
        <f>IFERROR(__xludf.DUMMYFUNCTION("""COMPUTED_VALUE"""),"Estudiante(s): Velásquez Restrepo")</f>
        <v>Estudiante(s): Velásquez Restrepo</v>
      </c>
      <c r="AQ316" s="6" t="str">
        <f>IFERROR(__xludf.DUMMYFUNCTION("""COMPUTED_VALUE"""),"103783*Gi")</f>
        <v>103783*Gi</v>
      </c>
      <c r="AR316" s="6" t="str">
        <f>IFERROR(__xludf.DUMMYFUNCTION("""COMPUTED_VALUE"""),"Eduardo")</f>
        <v>Eduardo</v>
      </c>
      <c r="AS316" s="6"/>
      <c r="AT316" s="6" t="str">
        <f>IFERROR(__xludf.DUMMYFUNCTION("""COMPUTED_VALUE"""),"Velásquez Arango")</f>
        <v>Velásquez Arango</v>
      </c>
      <c r="AU316" s="6" t="str">
        <f>IFERROR(__xludf.DUMMYFUNCTION("""COMPUTED_VALUE"""),"edvear@hotmail.com")</f>
        <v>edvear@hotmail.com</v>
      </c>
      <c r="AV316" s="6" t="str">
        <f>IFERROR(__xludf.DUMMYFUNCTION("""COMPUTED_VALUE"""),"Agricola")</f>
        <v>Agricola</v>
      </c>
      <c r="AW316" s="6"/>
      <c r="AX316" s="12" t="str">
        <f>IFERROR(__xludf.DUMMYFUNCTION("""COMPUTED_VALUE"""),"9730353")</f>
        <v>9730353</v>
      </c>
      <c r="AY316" s="12" t="str">
        <f>IFERROR(__xludf.DUMMYFUNCTION("""COMPUTED_VALUE"""),"3168331520")</f>
        <v>3168331520</v>
      </c>
      <c r="AZ316" s="6" t="str">
        <f>IFERROR(__xludf.DUMMYFUNCTION("""COMPUTED_VALUE"""),"Padre")</f>
        <v>Padre</v>
      </c>
      <c r="BA316" s="6"/>
      <c r="BB316" s="6"/>
      <c r="BC316" s="6"/>
      <c r="BD316" s="12" t="str">
        <f>IFERROR(__xludf.DUMMYFUNCTION("""COMPUTED_VALUE"""),"vel0013")</f>
        <v>vel0013</v>
      </c>
      <c r="BE316" s="6"/>
      <c r="BF316" s="6"/>
      <c r="BG316" s="6">
        <f>IFERROR(__xludf.DUMMYFUNCTION("""COMPUTED_VALUE"""),2036.0)</f>
        <v>2036</v>
      </c>
      <c r="BH316" s="15">
        <f>IFERROR(__xludf.DUMMYFUNCTION("""COMPUTED_VALUE"""),46211.97699074074)</f>
        <v>46211.97699</v>
      </c>
      <c r="BI316" s="6">
        <f>IFERROR(__xludf.DUMMYFUNCTION("""COMPUTED_VALUE"""),316.0)</f>
        <v>316</v>
      </c>
      <c r="BJ316" s="6"/>
      <c r="BK316" s="6"/>
      <c r="BL316" s="6" t="str">
        <f>IFERROR(__xludf.DUMMYFUNCTION("""COMPUTED_VALUE"""),"GISVEL0013")</f>
        <v>GISVEL0013</v>
      </c>
      <c r="BM316" s="6"/>
      <c r="BN316" s="6"/>
      <c r="BO316" s="6"/>
      <c r="BP316" s="6" t="str">
        <f>IFERROR(__xludf.DUMMYFUNCTION("""COMPUTED_VALUE"""),"XC_EL_Porras")</f>
        <v>XC_EL_Porras</v>
      </c>
      <c r="BQ316" s="6" t="str">
        <f>IFERROR(__xludf.DUMMYFUNCTION("""COMPUTED_VALUE"""),"XC_EL_Porras")</f>
        <v>XC_EL_Porras</v>
      </c>
      <c r="BR316" s="6" t="str">
        <f>IFERROR(__xludf.DUMMYFUNCTION("""COMPUTED_VALUE"""),"XC_EL_PequenosCientificos")</f>
        <v>XC_EL_PequenosCientificos</v>
      </c>
      <c r="BS316" s="6" t="str">
        <f>IFERROR(__xludf.DUMMYFUNCTION("""COMPUTED_VALUE"""),"XC_EL_Porras")</f>
        <v>XC_EL_Porras</v>
      </c>
      <c r="BT316" s="6"/>
      <c r="BU316" s="6" t="str">
        <f>IFERROR(__xludf.DUMMYFUNCTION("""COMPUTED_VALUE"""),"SI")</f>
        <v>SI</v>
      </c>
      <c r="BV316" s="6" t="str">
        <f>IFERROR(__xludf.DUMMYFUNCTION("""COMPUTED_VALUE"""),"amalia.v2036")</f>
        <v>amalia.v2036</v>
      </c>
      <c r="BW316" s="6"/>
      <c r="BX316" s="6"/>
      <c r="BY316" s="6"/>
      <c r="B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 t="str">
        <f>IFERROR(__xludf.DUMMYFUNCTION("""COMPUTED_VALUE"""),"Madre")</f>
        <v>Madre</v>
      </c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 t="str">
        <f>IFERROR(__xludf.DUMMYFUNCTION("""COMPUTED_VALUE"""),"Padre")</f>
        <v>Padre</v>
      </c>
      <c r="BA317" s="6"/>
      <c r="BB317" s="6"/>
      <c r="BC317" s="6"/>
      <c r="BD317" s="6"/>
      <c r="BE317" s="6"/>
      <c r="BF317" s="6"/>
      <c r="BG317" s="6"/>
      <c r="BH317" s="6"/>
      <c r="BI317" s="6">
        <f>IFERROR(__xludf.DUMMYFUNCTION("""COMPUTED_VALUE"""),317.0)</f>
        <v>317</v>
      </c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  <c r="BY317" s="6"/>
      <c r="BZ317" s="6"/>
    </row>
    <row r="318">
      <c r="A318" s="6">
        <f>IFERROR(__xludf.DUMMYFUNCTION("""COMPUTED_VALUE"""),1.013029896E9)</f>
        <v>1013029896</v>
      </c>
      <c r="B318" s="6">
        <f>IFERROR(__xludf.DUMMYFUNCTION("""COMPUTED_VALUE"""),1.0)</f>
        <v>1</v>
      </c>
      <c r="C318" s="6" t="str">
        <f>IFERROR(__xludf.DUMMYFUNCTION("""COMPUTED_VALUE"""),"Jerónimo")</f>
        <v>Jerónimo</v>
      </c>
      <c r="D318" s="6"/>
      <c r="E318" s="6" t="str">
        <f>IFERROR(__xludf.DUMMYFUNCTION("""COMPUTED_VALUE"""),"Agredo Reyes")</f>
        <v>Agredo Reyes</v>
      </c>
      <c r="F318" s="6" t="str">
        <f>IFERROR(__xludf.DUMMYFUNCTION("""COMPUTED_VALUE"""),"
Torre Austral Apto 705 - Calle 37Nte No19 - 02")</f>
        <v>
Torre Austral Apto 705 - Calle 37Nte No19 - 02</v>
      </c>
      <c r="G318" s="12" t="str">
        <f>IFERROR(__xludf.DUMMYFUNCTION("""COMPUTED_VALUE"""),"2018")</f>
        <v>2018</v>
      </c>
      <c r="H318" s="6" t="str">
        <f>IFERROR(__xludf.DUMMYFUNCTION("""COMPUTED_VALUE"""),"Enero")</f>
        <v>Enero</v>
      </c>
      <c r="I318" s="12" t="str">
        <f>IFERROR(__xludf.DUMMYFUNCTION("""COMPUTED_VALUE"""),"6")</f>
        <v>6</v>
      </c>
      <c r="J318" s="6" t="str">
        <f>IFERROR(__xludf.DUMMYFUNCTION("""COMPUTED_VALUE"""),"Bogotá D.C.")</f>
        <v>Bogotá D.C.</v>
      </c>
      <c r="K318" s="6" t="str">
        <f>IFERROR(__xludf.DUMMYFUNCTION("""COMPUTED_VALUE"""),"jeronimo.a2036@gi.edu.co")</f>
        <v>jeronimo.a2036@gi.edu.co</v>
      </c>
      <c r="L318" s="6" t="str">
        <f>IFERROR(__xludf.DUMMYFUNCTION("""COMPUTED_VALUE"""),"RC")</f>
        <v>RC</v>
      </c>
      <c r="M318" s="6" t="str">
        <f>IFERROR(__xludf.DUMMYFUNCTION("""COMPUTED_VALUE"""),"Bogotá D.C.")</f>
        <v>Bogotá D.C.</v>
      </c>
      <c r="N318" s="6" t="str">
        <f>IFERROR(__xludf.DUMMYFUNCTION("""COMPUTED_VALUE"""),"M")</f>
        <v>M</v>
      </c>
      <c r="O318" s="6" t="str">
        <f>IFERROR(__xludf.DUMMYFUNCTION("""COMPUTED_VALUE"""),"ACTIVE")</f>
        <v>ACTIVE</v>
      </c>
      <c r="P318" s="6"/>
      <c r="Q318" s="6" t="str">
        <f>IFERROR(__xludf.DUMMYFUNCTION("""COMPUTED_VALUE"""),"Armenia")</f>
        <v>Armenia</v>
      </c>
      <c r="R318" s="12" t="str">
        <f>IFERROR(__xludf.DUMMYFUNCTION("""COMPUTED_VALUE"""),"Gicr63n8u7*")</f>
        <v>Gicr63n8u7*</v>
      </c>
      <c r="S318" s="6" t="str">
        <f>IFERROR(__xludf.DUMMYFUNCTION("""COMPUTED_VALUE"""),"Agredo Reyes Jerónimo ")</f>
        <v>Agredo Reyes Jerónimo </v>
      </c>
      <c r="T318" s="6" t="str">
        <f>IFERROR(__xludf.DUMMYFUNCTION("""COMPUTED_VALUE"""),"CRISS ALEJANDRA REYES RUIZ")</f>
        <v>CRISS ALEJANDRA REYES RUIZ</v>
      </c>
      <c r="U318" s="12" t="str">
        <f>IFERROR(__xludf.DUMMYFUNCTION("""COMPUTED_VALUE"""),"1014209582")</f>
        <v>1014209582</v>
      </c>
      <c r="V318" s="6">
        <f>IFERROR(__xludf.DUMMYFUNCTION("""COMPUTED_VALUE"""),3.168337759E9)</f>
        <v>3168337759</v>
      </c>
      <c r="W318" s="6" t="str">
        <f>IFERROR(__xludf.DUMMYFUNCTION("""COMPUTED_VALUE"""),"crissreyes2006@hotmail.com")</f>
        <v>crissreyes2006@hotmail.com</v>
      </c>
      <c r="X318" s="12" t="str">
        <f>IFERROR(__xludf.DUMMYFUNCTION("""COMPUTED_VALUE"""),"A+")</f>
        <v>A+</v>
      </c>
      <c r="Y318" s="12" t="str">
        <f>IFERROR(__xludf.DUMMYFUNCTION("""COMPUTED_VALUE"""),"3")</f>
        <v>3</v>
      </c>
      <c r="Z318" s="12">
        <f>IFERROR(__xludf.DUMMYFUNCTION("""COMPUTED_VALUE"""),120193.0)</f>
        <v>120193</v>
      </c>
      <c r="AA318" s="6" t="str">
        <f>IFERROR(__xludf.DUMMYFUNCTION("""COMPUTED_VALUE"""),"SURA")</f>
        <v>SURA</v>
      </c>
      <c r="AB318" s="6"/>
      <c r="AC318" s="6" t="str">
        <f>IFERROR(__xludf.DUMMYFUNCTION("""COMPUTED_VALUE"""),"mariscos")</f>
        <v>mariscos</v>
      </c>
      <c r="AD318" s="6" t="str">
        <f>IFERROR(__xludf.DUMMYFUNCTION("""COMPUTED_VALUE"""),"3B")</f>
        <v>3B</v>
      </c>
      <c r="AE318" s="12">
        <f>IFERROR(__xludf.DUMMYFUNCTION("""COMPUTED_VALUE"""),1.345282122E9)</f>
        <v>1345282122</v>
      </c>
      <c r="AF318" s="12" t="str">
        <f>IFERROR(__xludf.DUMMYFUNCTION("""COMPUTED_VALUE"""),"0651237539")</f>
        <v>0651237539</v>
      </c>
      <c r="AG318" s="12" t="str">
        <f>IFERROR(__xludf.DUMMYFUNCTION("""COMPUTED_VALUE"""),"Criss")</f>
        <v>Criss</v>
      </c>
      <c r="AH318" s="12" t="str">
        <f>IFERROR(__xludf.DUMMYFUNCTION("""COMPUTED_VALUE"""),"Alejandra")</f>
        <v>Alejandra</v>
      </c>
      <c r="AI318" s="6" t="str">
        <f>IFERROR(__xludf.DUMMYFUNCTION("""COMPUTED_VALUE"""),"Reyes Ruiz")</f>
        <v>Reyes Ruiz</v>
      </c>
      <c r="AJ318" s="6" t="str">
        <f>IFERROR(__xludf.DUMMYFUNCTION("""COMPUTED_VALUE"""),"crissreyes2006@hotmail.com")</f>
        <v>crissreyes2006@hotmail.com</v>
      </c>
      <c r="AK318" s="6" t="str">
        <f>IFERROR(__xludf.DUMMYFUNCTION("""COMPUTED_VALUE"""),"Administración de negocios internacionales")</f>
        <v>Administración de negocios internacionales</v>
      </c>
      <c r="AL318" s="6" t="str">
        <f>IFERROR(__xludf.DUMMYFUNCTION("""COMPUTED_VALUE"""),"Centenario Trampoline Park SAS")</f>
        <v>Centenario Trampoline Park SAS</v>
      </c>
      <c r="AM318" s="12" t="str">
        <f>IFERROR(__xludf.DUMMYFUNCTION("""COMPUTED_VALUE"""),"1014209582")</f>
        <v>1014209582</v>
      </c>
      <c r="AN318" s="12" t="str">
        <f>IFERROR(__xludf.DUMMYFUNCTION("""COMPUTED_VALUE"""),"3168337759")</f>
        <v>3168337759</v>
      </c>
      <c r="AO318" s="6" t="str">
        <f>IFERROR(__xludf.DUMMYFUNCTION("""COMPUTED_VALUE"""),"Madre")</f>
        <v>Madre</v>
      </c>
      <c r="AP318" s="6" t="str">
        <f>IFERROR(__xludf.DUMMYFUNCTION("""COMPUTED_VALUE"""),"Estudiante(s): Agredo Reyes")</f>
        <v>Estudiante(s): Agredo Reyes</v>
      </c>
      <c r="AQ318" s="6" t="str">
        <f>IFERROR(__xludf.DUMMYFUNCTION("""COMPUTED_VALUE"""),"103902*Gi")</f>
        <v>103902*Gi</v>
      </c>
      <c r="AR318" s="6" t="str">
        <f>IFERROR(__xludf.DUMMYFUNCTION("""COMPUTED_VALUE"""),"Jonathan")</f>
        <v>Jonathan</v>
      </c>
      <c r="AS318" s="6" t="str">
        <f>IFERROR(__xludf.DUMMYFUNCTION("""COMPUTED_VALUE"""),"Felipe")</f>
        <v>Felipe</v>
      </c>
      <c r="AT318" s="6" t="str">
        <f>IFERROR(__xludf.DUMMYFUNCTION("""COMPUTED_VALUE"""),"Agredo Forero")</f>
        <v>Agredo Forero</v>
      </c>
      <c r="AU318" s="6" t="str">
        <f>IFERROR(__xludf.DUMMYFUNCTION("""COMPUTED_VALUE"""),"jonathanagredo@gmail.com")</f>
        <v>jonathanagredo@gmail.com</v>
      </c>
      <c r="AV318" s="6" t="str">
        <f>IFERROR(__xludf.DUMMYFUNCTION("""COMPUTED_VALUE"""),"Ingeniero Mecanico")</f>
        <v>Ingeniero Mecanico</v>
      </c>
      <c r="AW318" s="6" t="str">
        <f>IFERROR(__xludf.DUMMYFUNCTION("""COMPUTED_VALUE"""),"Racer´s Oil")</f>
        <v>Racer´s Oil</v>
      </c>
      <c r="AX318" s="12" t="str">
        <f>IFERROR(__xludf.DUMMYFUNCTION("""COMPUTED_VALUE"""),"1032403551")</f>
        <v>1032403551</v>
      </c>
      <c r="AY318" s="12" t="str">
        <f>IFERROR(__xludf.DUMMYFUNCTION("""COMPUTED_VALUE"""),"3103144347")</f>
        <v>3103144347</v>
      </c>
      <c r="AZ318" s="6" t="str">
        <f>IFERROR(__xludf.DUMMYFUNCTION("""COMPUTED_VALUE"""),"Padre")</f>
        <v>Padre</v>
      </c>
      <c r="BA318" s="6"/>
      <c r="BB318" s="6"/>
      <c r="BC318" s="6"/>
      <c r="BD318" s="12" t="str">
        <f>IFERROR(__xludf.DUMMYFUNCTION("""COMPUTED_VALUE"""),"agr0001")</f>
        <v>agr0001</v>
      </c>
      <c r="BE318" s="6"/>
      <c r="BF318" s="6"/>
      <c r="BG318" s="6">
        <f>IFERROR(__xludf.DUMMYFUNCTION("""COMPUTED_VALUE"""),2036.0)</f>
        <v>2036</v>
      </c>
      <c r="BH318" s="15">
        <f>IFERROR(__xludf.DUMMYFUNCTION("""COMPUTED_VALUE"""),46209.811423611114)</f>
        <v>46209.81142</v>
      </c>
      <c r="BI318" s="6">
        <f>IFERROR(__xludf.DUMMYFUNCTION("""COMPUTED_VALUE"""),318.0)</f>
        <v>318</v>
      </c>
      <c r="BJ318" s="6"/>
      <c r="BK318" s="6"/>
      <c r="BL318" s="6" t="str">
        <f>IFERROR(__xludf.DUMMYFUNCTION("""COMPUTED_VALUE"""),"GISAGR0001")</f>
        <v>GISAGR0001</v>
      </c>
      <c r="BM318" s="6"/>
      <c r="BN318" s="6"/>
      <c r="BO318" s="6"/>
      <c r="BP318" s="6" t="str">
        <f>IFERROR(__xludf.DUMMYFUNCTION("""COMPUTED_VALUE"""),"XC_23_Futbol_M")</f>
        <v>XC_23_Futbol_M</v>
      </c>
      <c r="BQ318" s="6"/>
      <c r="BR318" s="6"/>
      <c r="BS318" s="6" t="str">
        <f>IFERROR(__xludf.DUMMYFUNCTION("""COMPUTED_VALUE"""),"XC_23_Futbol_M")</f>
        <v>XC_23_Futbol_M</v>
      </c>
      <c r="BT318" s="6" t="str">
        <f>IFERROR(__xludf.DUMMYFUNCTION("""COMPUTED_VALUE"""),"XC_23_Futbol_M")</f>
        <v>XC_23_Futbol_M</v>
      </c>
      <c r="BU318" s="6" t="str">
        <f>IFERROR(__xludf.DUMMYFUNCTION("""COMPUTED_VALUE"""),"SI")</f>
        <v>SI</v>
      </c>
      <c r="BV318" s="6" t="str">
        <f>IFERROR(__xludf.DUMMYFUNCTION("""COMPUTED_VALUE"""),"jeronimo.a2036")</f>
        <v>jeronimo.a2036</v>
      </c>
      <c r="BW318" s="6"/>
      <c r="BX318" s="6"/>
      <c r="BY318" s="6"/>
      <c r="BZ318" s="6"/>
    </row>
    <row r="319">
      <c r="A319" s="12">
        <f>IFERROR(__xludf.DUMMYFUNCTION("""COMPUTED_VALUE"""),1.091888562E9)</f>
        <v>1091888562</v>
      </c>
      <c r="B319" s="6">
        <f>IFERROR(__xludf.DUMMYFUNCTION("""COMPUTED_VALUE"""),2.0)</f>
        <v>2</v>
      </c>
      <c r="C319" s="6" t="str">
        <f>IFERROR(__xludf.DUMMYFUNCTION("""COMPUTED_VALUE"""),"Nicolle")</f>
        <v>Nicolle</v>
      </c>
      <c r="D319" s="6"/>
      <c r="E319" s="6" t="str">
        <f>IFERROR(__xludf.DUMMYFUNCTION("""COMPUTED_VALUE"""),"Agudelo Quiceno")</f>
        <v>Agudelo Quiceno</v>
      </c>
      <c r="F319" s="6" t="str">
        <f>IFERROR(__xludf.DUMMYFUNCTION("""COMPUTED_VALUE"""),"Condominio Casas de Campo Casa 31 - Calle 23ANte No19 - 47")</f>
        <v>Condominio Casas de Campo Casa 31 - Calle 23ANte No19 - 47</v>
      </c>
      <c r="G319" s="12" t="str">
        <f>IFERROR(__xludf.DUMMYFUNCTION("""COMPUTED_VALUE"""),"2017")</f>
        <v>2017</v>
      </c>
      <c r="H319" s="6" t="str">
        <f>IFERROR(__xludf.DUMMYFUNCTION("""COMPUTED_VALUE"""),"Septiembre")</f>
        <v>Septiembre</v>
      </c>
      <c r="I319" s="12" t="str">
        <f>IFERROR(__xludf.DUMMYFUNCTION("""COMPUTED_VALUE"""),"22")</f>
        <v>22</v>
      </c>
      <c r="J319" s="6" t="str">
        <f>IFERROR(__xludf.DUMMYFUNCTION("""COMPUTED_VALUE"""),"Armenia")</f>
        <v>Armenia</v>
      </c>
      <c r="K319" s="6" t="str">
        <f>IFERROR(__xludf.DUMMYFUNCTION("""COMPUTED_VALUE"""),"nicolle.a2036@gi.edu.co")</f>
        <v>nicolle.a2036@gi.edu.co</v>
      </c>
      <c r="L319" s="6" t="str">
        <f>IFERROR(__xludf.DUMMYFUNCTION("""COMPUTED_VALUE"""),"TI")</f>
        <v>TI</v>
      </c>
      <c r="M319" s="6" t="str">
        <f>IFERROR(__xludf.DUMMYFUNCTION("""COMPUTED_VALUE"""),"Armenia")</f>
        <v>Armenia</v>
      </c>
      <c r="N319" s="6" t="str">
        <f>IFERROR(__xludf.DUMMYFUNCTION("""COMPUTED_VALUE"""),"F")</f>
        <v>F</v>
      </c>
      <c r="O319" s="6" t="str">
        <f>IFERROR(__xludf.DUMMYFUNCTION("""COMPUTED_VALUE"""),"INACTIVE")</f>
        <v>INACTIVE</v>
      </c>
      <c r="P319" s="6"/>
      <c r="Q319" s="6" t="str">
        <f>IFERROR(__xludf.DUMMYFUNCTION("""COMPUTED_VALUE"""),"Armenia")</f>
        <v>Armenia</v>
      </c>
      <c r="R319" s="12" t="str">
        <f>IFERROR(__xludf.DUMMYFUNCTION("""COMPUTED_VALUE"""),"Giv73n5*")</f>
        <v>Giv73n5*</v>
      </c>
      <c r="S319" s="6" t="str">
        <f>IFERROR(__xludf.DUMMYFUNCTION("""COMPUTED_VALUE"""),"Agudelo Quiceno Nicolle ")</f>
        <v>Agudelo Quiceno Nicolle </v>
      </c>
      <c r="T319" s="6" t="str">
        <f>IFERROR(__xludf.DUMMYFUNCTION("""COMPUTED_VALUE"""),"OSCAR IVAN AGUDELO OCAMPO")</f>
        <v>OSCAR IVAN AGUDELO OCAMPO</v>
      </c>
      <c r="U319" s="12" t="str">
        <f>IFERROR(__xludf.DUMMYFUNCTION("""COMPUTED_VALUE"""),"9736657")</f>
        <v>9736657</v>
      </c>
      <c r="V319" s="6">
        <f>IFERROR(__xludf.DUMMYFUNCTION("""COMPUTED_VALUE"""),3.225825133E9)</f>
        <v>3225825133</v>
      </c>
      <c r="W319" s="6" t="str">
        <f>IFERROR(__xludf.DUMMYFUNCTION("""COMPUTED_VALUE"""),"oscaragudeo2210@gmail.com")</f>
        <v>oscaragudeo2210@gmail.com</v>
      </c>
      <c r="X319" s="12" t="str">
        <f>IFERROR(__xludf.DUMMYFUNCTION("""COMPUTED_VALUE"""),"B+")</f>
        <v>B+</v>
      </c>
      <c r="Y319" s="12" t="str">
        <f>IFERROR(__xludf.DUMMYFUNCTION("""COMPUTED_VALUE"""),"3")</f>
        <v>3</v>
      </c>
      <c r="Z319" s="12">
        <f>IFERROR(__xludf.DUMMYFUNCTION("""COMPUTED_VALUE"""),120366.0)</f>
        <v>120366</v>
      </c>
      <c r="AA319" s="6" t="str">
        <f>IFERROR(__xludf.DUMMYFUNCTION("""COMPUTED_VALUE"""),"OTRA")</f>
        <v>OTRA</v>
      </c>
      <c r="AB319" s="6"/>
      <c r="AC319" s="6" t="str">
        <f>IFERROR(__xludf.DUMMYFUNCTION("""COMPUTED_VALUE"""),"FRIO, POLVO, ACAROS Y HUMEDAD FRIO, POLVO, ACAROS Y HUMEDAD")</f>
        <v>FRIO, POLVO, ACAROS Y HUMEDAD FRIO, POLVO, ACAROS Y HUMEDAD</v>
      </c>
      <c r="AD319" s="6" t="str">
        <f>IFERROR(__xludf.DUMMYFUNCTION("""COMPUTED_VALUE"""),"3B")</f>
        <v>3B</v>
      </c>
      <c r="AE319" s="12" t="str">
        <f>IFERROR(__xludf.DUMMYFUNCTION("""COMPUTED_VALUE"""),"1345282377")</f>
        <v>1345282377</v>
      </c>
      <c r="AF319" s="12" t="str">
        <f>IFERROR(__xludf.DUMMYFUNCTION("""COMPUTED_VALUE"""),"0690604051")</f>
        <v>0690604051</v>
      </c>
      <c r="AG319" s="12" t="str">
        <f>IFERROR(__xludf.DUMMYFUNCTION("""COMPUTED_VALUE"""),"Sandra")</f>
        <v>Sandra</v>
      </c>
      <c r="AH319" s="12" t="str">
        <f>IFERROR(__xludf.DUMMYFUNCTION("""COMPUTED_VALUE"""),"Marcela")</f>
        <v>Marcela</v>
      </c>
      <c r="AI319" s="6" t="str">
        <f>IFERROR(__xludf.DUMMYFUNCTION("""COMPUTED_VALUE"""),"Quiceno Mora")</f>
        <v>Quiceno Mora</v>
      </c>
      <c r="AJ319" s="6" t="str">
        <f>IFERROR(__xludf.DUMMYFUNCTION("""COMPUTED_VALUE"""),"sammyquiceno2021@hotmail.com")</f>
        <v>sammyquiceno2021@hotmail.com</v>
      </c>
      <c r="AK319" s="6" t="str">
        <f>IFERROR(__xludf.DUMMYFUNCTION("""COMPUTED_VALUE"""),"COMERCIANTE")</f>
        <v>COMERCIANTE</v>
      </c>
      <c r="AL319" s="6" t="str">
        <f>IFERROR(__xludf.DUMMYFUNCTION("""COMPUTED_VALUE"""),"SAMMY QUICENO MAKEUP")</f>
        <v>SAMMY QUICENO MAKEUP</v>
      </c>
      <c r="AM319" s="12" t="str">
        <f>IFERROR(__xludf.DUMMYFUNCTION("""COMPUTED_VALUE"""),"1094901793")</f>
        <v>1094901793</v>
      </c>
      <c r="AN319" s="12" t="str">
        <f>IFERROR(__xludf.DUMMYFUNCTION("""COMPUTED_VALUE"""),"3125634737")</f>
        <v>3125634737</v>
      </c>
      <c r="AO319" s="6" t="str">
        <f>IFERROR(__xludf.DUMMYFUNCTION("""COMPUTED_VALUE"""),"Madre")</f>
        <v>Madre</v>
      </c>
      <c r="AP319" s="6" t="str">
        <f>IFERROR(__xludf.DUMMYFUNCTION("""COMPUTED_VALUE"""),"Estudiante(s): Agudelo Quiceno")</f>
        <v>Estudiante(s): Agudelo Quiceno</v>
      </c>
      <c r="AQ319" s="6" t="str">
        <f>IFERROR(__xludf.DUMMYFUNCTION("""COMPUTED_VALUE"""),"120366*Gi")</f>
        <v>120366*Gi</v>
      </c>
      <c r="AR319" s="6" t="str">
        <f>IFERROR(__xludf.DUMMYFUNCTION("""COMPUTED_VALUE"""),"Oscar")</f>
        <v>Oscar</v>
      </c>
      <c r="AS319" s="6" t="str">
        <f>IFERROR(__xludf.DUMMYFUNCTION("""COMPUTED_VALUE"""),"Iván")</f>
        <v>Iván</v>
      </c>
      <c r="AT319" s="6" t="str">
        <f>IFERROR(__xludf.DUMMYFUNCTION("""COMPUTED_VALUE"""),"Agudelo Ocampo")</f>
        <v>Agudelo Ocampo</v>
      </c>
      <c r="AU319" s="6" t="str">
        <f>IFERROR(__xludf.DUMMYFUNCTION("""COMPUTED_VALUE"""),"oscaragudeo2210@gmail.com")</f>
        <v>oscaragudeo2210@gmail.com</v>
      </c>
      <c r="AV319" s="6" t="str">
        <f>IFERROR(__xludf.DUMMYFUNCTION("""COMPUTED_VALUE"""),"COMERCIANTE")</f>
        <v>COMERCIANTE</v>
      </c>
      <c r="AW319" s="6" t="str">
        <f>IFERROR(__xludf.DUMMYFUNCTION("""COMPUTED_VALUE"""),"DEPIEL")</f>
        <v>DEPIEL</v>
      </c>
      <c r="AX319" s="12" t="str">
        <f>IFERROR(__xludf.DUMMYFUNCTION("""COMPUTED_VALUE"""),"9736657")</f>
        <v>9736657</v>
      </c>
      <c r="AY319" s="12" t="str">
        <f>IFERROR(__xludf.DUMMYFUNCTION("""COMPUTED_VALUE"""),"3225825133")</f>
        <v>3225825133</v>
      </c>
      <c r="AZ319" s="6" t="str">
        <f>IFERROR(__xludf.DUMMYFUNCTION("""COMPUTED_VALUE"""),"Padre")</f>
        <v>Padre</v>
      </c>
      <c r="BA319" s="6"/>
      <c r="BB319" s="6"/>
      <c r="BC319" s="6"/>
      <c r="BD319" s="12" t="str">
        <f>IFERROR(__xludf.DUMMYFUNCTION("""COMPUTED_VALUE"""),"agu0011")</f>
        <v>agu0011</v>
      </c>
      <c r="BE319" s="6" t="str">
        <f>IFERROR(__xludf.DUMMYFUNCTION("""COMPUTED_VALUE"""),"FALTAN FIRMAS")</f>
        <v>FALTAN FIRMAS</v>
      </c>
      <c r="BF319" s="6"/>
      <c r="BG319" s="6">
        <f>IFERROR(__xludf.DUMMYFUNCTION("""COMPUTED_VALUE"""),2036.0)</f>
        <v>2036</v>
      </c>
      <c r="BH319" s="15">
        <f>IFERROR(__xludf.DUMMYFUNCTION("""COMPUTED_VALUE"""),46210.38054398148)</f>
        <v>46210.38054</v>
      </c>
      <c r="BI319" s="6">
        <f>IFERROR(__xludf.DUMMYFUNCTION("""COMPUTED_VALUE"""),319.0)</f>
        <v>319</v>
      </c>
      <c r="BJ319" s="6"/>
      <c r="BK319" s="6"/>
      <c r="BL319" s="6" t="str">
        <f>IFERROR(__xludf.DUMMYFUNCTION("""COMPUTED_VALUE"""),"GISAGU0011")</f>
        <v>GISAGU0011</v>
      </c>
      <c r="BM319" s="6"/>
      <c r="BN319" s="6"/>
      <c r="BO319" s="6"/>
      <c r="BP319" s="6"/>
      <c r="BQ319" s="6"/>
      <c r="BR319" s="6"/>
      <c r="BS319" s="6"/>
      <c r="BT319" s="6"/>
      <c r="BU319" s="6" t="str">
        <f>IFERROR(__xludf.DUMMYFUNCTION("""COMPUTED_VALUE"""),"SI")</f>
        <v>SI</v>
      </c>
      <c r="BV319" s="6" t="str">
        <f>IFERROR(__xludf.DUMMYFUNCTION("""COMPUTED_VALUE"""),"nicolle.a2036")</f>
        <v>nicolle.a2036</v>
      </c>
      <c r="BW319" s="6"/>
      <c r="BX319" s="6"/>
      <c r="BY319" s="6"/>
      <c r="BZ319" s="6"/>
    </row>
    <row r="320">
      <c r="A320" s="6">
        <f>IFERROR(__xludf.DUMMYFUNCTION("""COMPUTED_VALUE"""),1.146685918E9)</f>
        <v>1146685918</v>
      </c>
      <c r="B320" s="6">
        <f>IFERROR(__xludf.DUMMYFUNCTION("""COMPUTED_VALUE"""),3.0)</f>
        <v>3</v>
      </c>
      <c r="C320" s="6" t="str">
        <f>IFERROR(__xludf.DUMMYFUNCTION("""COMPUTED_VALUE"""),"María")</f>
        <v>María</v>
      </c>
      <c r="D320" s="6" t="str">
        <f>IFERROR(__xludf.DUMMYFUNCTION("""COMPUTED_VALUE"""),"Antonia")</f>
        <v>Antonia</v>
      </c>
      <c r="E320" s="6" t="str">
        <f>IFERROR(__xludf.DUMMYFUNCTION("""COMPUTED_VALUE"""),"Amaya Trujillo")</f>
        <v>Amaya Trujillo</v>
      </c>
      <c r="F320" s="6" t="str">
        <f>IFERROR(__xludf.DUMMYFUNCTION("""COMPUTED_VALUE"""),"Edificio Olivares - Calle 22Nte No17 - 52")</f>
        <v>Edificio Olivares - Calle 22Nte No17 - 52</v>
      </c>
      <c r="G320" s="12" t="str">
        <f>IFERROR(__xludf.DUMMYFUNCTION("""COMPUTED_VALUE"""),"2018")</f>
        <v>2018</v>
      </c>
      <c r="H320" s="6" t="str">
        <f>IFERROR(__xludf.DUMMYFUNCTION("""COMPUTED_VALUE"""),"Febrero")</f>
        <v>Febrero</v>
      </c>
      <c r="I320" s="12" t="str">
        <f>IFERROR(__xludf.DUMMYFUNCTION("""COMPUTED_VALUE"""),"9")</f>
        <v>9</v>
      </c>
      <c r="J320" s="6" t="str">
        <f>IFERROR(__xludf.DUMMYFUNCTION("""COMPUTED_VALUE"""),"Bogotá D.C.")</f>
        <v>Bogotá D.C.</v>
      </c>
      <c r="K320" s="6" t="str">
        <f>IFERROR(__xludf.DUMMYFUNCTION("""COMPUTED_VALUE"""),"maria.a2036@gi.edu.co")</f>
        <v>maria.a2036@gi.edu.co</v>
      </c>
      <c r="L320" s="6" t="str">
        <f>IFERROR(__xludf.DUMMYFUNCTION("""COMPUTED_VALUE"""),"TI")</f>
        <v>TI</v>
      </c>
      <c r="M320" s="6" t="str">
        <f>IFERROR(__xludf.DUMMYFUNCTION("""COMPUTED_VALUE"""),"Armenia")</f>
        <v>Armenia</v>
      </c>
      <c r="N320" s="6" t="str">
        <f>IFERROR(__xludf.DUMMYFUNCTION("""COMPUTED_VALUE"""),"F")</f>
        <v>F</v>
      </c>
      <c r="O320" s="6" t="str">
        <f>IFERROR(__xludf.DUMMYFUNCTION("""COMPUTED_VALUE"""),"INACTIVE")</f>
        <v>INACTIVE</v>
      </c>
      <c r="P320" s="6"/>
      <c r="Q320" s="6" t="str">
        <f>IFERROR(__xludf.DUMMYFUNCTION("""COMPUTED_VALUE"""),"Armenia")</f>
        <v>Armenia</v>
      </c>
      <c r="R320" s="12" t="str">
        <f>IFERROR(__xludf.DUMMYFUNCTION("""COMPUTED_VALUE"""),"Gi6dh3n*")</f>
        <v>Gi6dh3n*</v>
      </c>
      <c r="S320" s="6" t="str">
        <f>IFERROR(__xludf.DUMMYFUNCTION("""COMPUTED_VALUE"""),"Amaya Trujillo María Antonia")</f>
        <v>Amaya Trujillo María Antonia</v>
      </c>
      <c r="T320" s="6" t="str">
        <f>IFERROR(__xludf.DUMMYFUNCTION("""COMPUTED_VALUE"""),"MARIO AUGUSTO AMAYA ARANZAZU")</f>
        <v>MARIO AUGUSTO AMAYA ARANZAZU</v>
      </c>
      <c r="U320" s="12" t="str">
        <f>IFERROR(__xludf.DUMMYFUNCTION("""COMPUTED_VALUE"""),"93416729")</f>
        <v>93416729</v>
      </c>
      <c r="V320" s="6">
        <f>IFERROR(__xludf.DUMMYFUNCTION("""COMPUTED_VALUE"""),3.20493942E9)</f>
        <v>3204939420</v>
      </c>
      <c r="W320" s="6" t="str">
        <f>IFERROR(__xludf.DUMMYFUNCTION("""COMPUTED_VALUE"""),"sololostresmario@hotmail.com")</f>
        <v>sololostresmario@hotmail.com</v>
      </c>
      <c r="X320" s="12" t="str">
        <f>IFERROR(__xludf.DUMMYFUNCTION("""COMPUTED_VALUE"""),"O+")</f>
        <v>O+</v>
      </c>
      <c r="Y320" s="12" t="str">
        <f>IFERROR(__xludf.DUMMYFUNCTION("""COMPUTED_VALUE"""),"3")</f>
        <v>3</v>
      </c>
      <c r="Z320" s="12">
        <f>IFERROR(__xludf.DUMMYFUNCTION("""COMPUTED_VALUE"""),120219.0)</f>
        <v>120219</v>
      </c>
      <c r="AA320" s="6" t="str">
        <f>IFERROR(__xludf.DUMMYFUNCTION("""COMPUTED_VALUE"""),"OTRA")</f>
        <v>OTRA</v>
      </c>
      <c r="AB320" s="6"/>
      <c r="AC320" s="6" t="str">
        <f>IFERROR(__xludf.DUMMYFUNCTION("""COMPUTED_VALUE"""),"al frio, rinitis,")</f>
        <v>al frio, rinitis,</v>
      </c>
      <c r="AD320" s="6" t="str">
        <f>IFERROR(__xludf.DUMMYFUNCTION("""COMPUTED_VALUE"""),"3B")</f>
        <v>3B</v>
      </c>
      <c r="AE320" s="12">
        <f>IFERROR(__xludf.DUMMYFUNCTION("""COMPUTED_VALUE"""),1.345282204E9)</f>
        <v>1345282204</v>
      </c>
      <c r="AF320" s="12" t="str">
        <f>IFERROR(__xludf.DUMMYFUNCTION("""COMPUTED_VALUE"""),"0689759363")</f>
        <v>0689759363</v>
      </c>
      <c r="AG320" s="12" t="str">
        <f>IFERROR(__xludf.DUMMYFUNCTION("""COMPUTED_VALUE"""),"Lina")</f>
        <v>Lina</v>
      </c>
      <c r="AH320" s="12" t="str">
        <f>IFERROR(__xludf.DUMMYFUNCTION("""COMPUTED_VALUE"""),"Marcela")</f>
        <v>Marcela</v>
      </c>
      <c r="AI320" s="6" t="str">
        <f>IFERROR(__xludf.DUMMYFUNCTION("""COMPUTED_VALUE"""),"Trujillo Hernández")</f>
        <v>Trujillo Hernández</v>
      </c>
      <c r="AJ320" s="6" t="str">
        <f>IFERROR(__xludf.DUMMYFUNCTION("""COMPUTED_VALUE"""),"linatrujillo08@hotmail.com")</f>
        <v>linatrujillo08@hotmail.com</v>
      </c>
      <c r="AK320" s="6"/>
      <c r="AL320" s="6"/>
      <c r="AM320" s="12" t="str">
        <f>IFERROR(__xludf.DUMMYFUNCTION("""COMPUTED_VALUE"""),"65815506")</f>
        <v>65815506</v>
      </c>
      <c r="AN320" s="12" t="str">
        <f>IFERROR(__xludf.DUMMYFUNCTION("""COMPUTED_VALUE"""),"3135592333")</f>
        <v>3135592333</v>
      </c>
      <c r="AO320" s="6" t="str">
        <f>IFERROR(__xludf.DUMMYFUNCTION("""COMPUTED_VALUE"""),"Madre")</f>
        <v>Madre</v>
      </c>
      <c r="AP320" s="6" t="str">
        <f>IFERROR(__xludf.DUMMYFUNCTION("""COMPUTED_VALUE"""),"Estudiante(s): Amaya Trujillo")</f>
        <v>Estudiante(s): Amaya Trujillo</v>
      </c>
      <c r="AQ320" s="6" t="str">
        <f>IFERROR(__xludf.DUMMYFUNCTION("""COMPUTED_VALUE"""),"120017*Gi")</f>
        <v>120017*Gi</v>
      </c>
      <c r="AR320" s="6" t="str">
        <f>IFERROR(__xludf.DUMMYFUNCTION("""COMPUTED_VALUE"""),"Mario")</f>
        <v>Mario</v>
      </c>
      <c r="AS320" s="6" t="str">
        <f>IFERROR(__xludf.DUMMYFUNCTION("""COMPUTED_VALUE"""),"Augusto")</f>
        <v>Augusto</v>
      </c>
      <c r="AT320" s="6" t="str">
        <f>IFERROR(__xludf.DUMMYFUNCTION("""COMPUTED_VALUE"""),"Amaya Aranzazu")</f>
        <v>Amaya Aranzazu</v>
      </c>
      <c r="AU320" s="6" t="str">
        <f>IFERROR(__xludf.DUMMYFUNCTION("""COMPUTED_VALUE"""),"sololostresmario@hotmail.com")</f>
        <v>sololostresmario@hotmail.com</v>
      </c>
      <c r="AV320" s="6" t="str">
        <f>IFERROR(__xludf.DUMMYFUNCTION("""COMPUTED_VALUE"""),"militar")</f>
        <v>militar</v>
      </c>
      <c r="AW320" s="6"/>
      <c r="AX320" s="12" t="str">
        <f>IFERROR(__xludf.DUMMYFUNCTION("""COMPUTED_VALUE"""),"93416729")</f>
        <v>93416729</v>
      </c>
      <c r="AY320" s="12" t="str">
        <f>IFERROR(__xludf.DUMMYFUNCTION("""COMPUTED_VALUE"""),"3204939420")</f>
        <v>3204939420</v>
      </c>
      <c r="AZ320" s="6" t="str">
        <f>IFERROR(__xludf.DUMMYFUNCTION("""COMPUTED_VALUE"""),"Padre")</f>
        <v>Padre</v>
      </c>
      <c r="BA320" s="6"/>
      <c r="BB320" s="6"/>
      <c r="BC320" s="6"/>
      <c r="BD320" s="12" t="str">
        <f>IFERROR(__xludf.DUMMYFUNCTION("""COMPUTED_VALUE"""),"sal0003")</f>
        <v>sal0003</v>
      </c>
      <c r="BE320" s="6" t="str">
        <f>IFERROR(__xludf.DUMMYFUNCTION("""COMPUTED_VALUE"""),"FALTAN FIRMAS")</f>
        <v>FALTAN FIRMAS</v>
      </c>
      <c r="BF320" s="6"/>
      <c r="BG320" s="6">
        <f>IFERROR(__xludf.DUMMYFUNCTION("""COMPUTED_VALUE"""),2036.0)</f>
        <v>2036</v>
      </c>
      <c r="BH320" s="15">
        <f>IFERROR(__xludf.DUMMYFUNCTION("""COMPUTED_VALUE"""),46209.36001157408)</f>
        <v>46209.36001</v>
      </c>
      <c r="BI320" s="6">
        <f>IFERROR(__xludf.DUMMYFUNCTION("""COMPUTED_VALUE"""),320.0)</f>
        <v>320</v>
      </c>
      <c r="BJ320" s="6"/>
      <c r="BK320" s="6"/>
      <c r="BL320" s="6" t="str">
        <f>IFERROR(__xludf.DUMMYFUNCTION("""COMPUTED_VALUE"""),"GISSAL0003")</f>
        <v>GISSAL0003</v>
      </c>
      <c r="BM320" s="6"/>
      <c r="BN320" s="6"/>
      <c r="BO320" s="6"/>
      <c r="BP320" s="6" t="str">
        <f>IFERROR(__xludf.DUMMYFUNCTION("""COMPUTED_VALUE"""),"XC_23_Voleibol")</f>
        <v>XC_23_Voleibol</v>
      </c>
      <c r="BQ320" s="6"/>
      <c r="BR320" s="6"/>
      <c r="BS320" s="6" t="str">
        <f>IFERROR(__xludf.DUMMYFUNCTION("""COMPUTED_VALUE"""),"XC_23_Voleibol")</f>
        <v>XC_23_Voleibol</v>
      </c>
      <c r="BT320" s="6" t="str">
        <f>IFERROR(__xludf.DUMMYFUNCTION("""COMPUTED_VALUE"""),"XC_23_Voleibol")</f>
        <v>XC_23_Voleibol</v>
      </c>
      <c r="BU320" s="6" t="str">
        <f>IFERROR(__xludf.DUMMYFUNCTION("""COMPUTED_VALUE"""),"SI")</f>
        <v>SI</v>
      </c>
      <c r="BV320" s="6" t="str">
        <f>IFERROR(__xludf.DUMMYFUNCTION("""COMPUTED_VALUE"""),"maria.a2036")</f>
        <v>maria.a2036</v>
      </c>
      <c r="BW320" s="6"/>
      <c r="BX320" s="6"/>
      <c r="BY320" s="6"/>
      <c r="BZ320" s="6"/>
    </row>
    <row r="321">
      <c r="A321" s="12">
        <f>IFERROR(__xludf.DUMMYFUNCTION("""COMPUTED_VALUE"""),1.092862356E9)</f>
        <v>1092862356</v>
      </c>
      <c r="B321" s="6">
        <f>IFERROR(__xludf.DUMMYFUNCTION("""COMPUTED_VALUE"""),4.0)</f>
        <v>4</v>
      </c>
      <c r="C321" s="6" t="str">
        <f>IFERROR(__xludf.DUMMYFUNCTION("""COMPUTED_VALUE"""),"Martina")</f>
        <v>Martina</v>
      </c>
      <c r="D321" s="6"/>
      <c r="E321" s="6" t="str">
        <f>IFERROR(__xludf.DUMMYFUNCTION("""COMPUTED_VALUE"""),"Angarita Rivas")</f>
        <v>Angarita Rivas</v>
      </c>
      <c r="F321" s="6" t="str">
        <f>IFERROR(__xludf.DUMMYFUNCTION("""COMPUTED_VALUE"""),"Condominio Entre Maderos Casa 21 - Vereda El Congal Km 1.2 Via Circasia - Armenia")</f>
        <v>Condominio Entre Maderos Casa 21 - Vereda El Congal Km 1.2 Via Circasia - Armenia</v>
      </c>
      <c r="G321" s="12" t="str">
        <f>IFERROR(__xludf.DUMMYFUNCTION("""COMPUTED_VALUE"""),"2018")</f>
        <v>2018</v>
      </c>
      <c r="H321" s="6" t="str">
        <f>IFERROR(__xludf.DUMMYFUNCTION("""COMPUTED_VALUE"""),"Septiembre")</f>
        <v>Septiembre</v>
      </c>
      <c r="I321" s="12" t="str">
        <f>IFERROR(__xludf.DUMMYFUNCTION("""COMPUTED_VALUE"""),"4")</f>
        <v>4</v>
      </c>
      <c r="J321" s="6" t="str">
        <f>IFERROR(__xludf.DUMMYFUNCTION("""COMPUTED_VALUE"""),"Armenia")</f>
        <v>Armenia</v>
      </c>
      <c r="K321" s="6" t="str">
        <f>IFERROR(__xludf.DUMMYFUNCTION("""COMPUTED_VALUE"""),"martina.a2036@gi.edu.co")</f>
        <v>martina.a2036@gi.edu.co</v>
      </c>
      <c r="L321" s="6" t="str">
        <f>IFERROR(__xludf.DUMMYFUNCTION("""COMPUTED_VALUE"""),"RC")</f>
        <v>RC</v>
      </c>
      <c r="M321" s="6" t="str">
        <f>IFERROR(__xludf.DUMMYFUNCTION("""COMPUTED_VALUE"""),"Armenia")</f>
        <v>Armenia</v>
      </c>
      <c r="N321" s="6" t="str">
        <f>IFERROR(__xludf.DUMMYFUNCTION("""COMPUTED_VALUE"""),"F")</f>
        <v>F</v>
      </c>
      <c r="O321" s="6" t="str">
        <f>IFERROR(__xludf.DUMMYFUNCTION("""COMPUTED_VALUE"""),"ACTIVE")</f>
        <v>ACTIVE</v>
      </c>
      <c r="P321" s="6"/>
      <c r="Q321" s="6" t="str">
        <f>IFERROR(__xludf.DUMMYFUNCTION("""COMPUTED_VALUE"""),"Armenia")</f>
        <v>Armenia</v>
      </c>
      <c r="R321" s="12" t="str">
        <f>IFERROR(__xludf.DUMMYFUNCTION("""COMPUTED_VALUE"""),"GizUV6J3*")</f>
        <v>GizUV6J3*</v>
      </c>
      <c r="S321" s="6" t="str">
        <f>IFERROR(__xludf.DUMMYFUNCTION("""COMPUTED_VALUE"""),"Angarita Rivas Martina ")</f>
        <v>Angarita Rivas Martina </v>
      </c>
      <c r="T321" s="6" t="str">
        <f>IFERROR(__xludf.DUMMYFUNCTION("""COMPUTED_VALUE"""),"SEBASTIAN ANGARITA URIBE")</f>
        <v>SEBASTIAN ANGARITA URIBE</v>
      </c>
      <c r="U321" s="12" t="str">
        <f>IFERROR(__xludf.DUMMYFUNCTION("""COMPUTED_VALUE"""),"9726557")</f>
        <v>9726557</v>
      </c>
      <c r="V321" s="6">
        <f>IFERROR(__xludf.DUMMYFUNCTION("""COMPUTED_VALUE"""),3.144485101E9)</f>
        <v>3144485101</v>
      </c>
      <c r="W321" s="6" t="str">
        <f>IFERROR(__xludf.DUMMYFUNCTION("""COMPUTED_VALUE"""),"sebastian.angarita.uribe@hotmail.com")</f>
        <v>sebastian.angarita.uribe@hotmail.com</v>
      </c>
      <c r="X321" s="12" t="str">
        <f>IFERROR(__xludf.DUMMYFUNCTION("""COMPUTED_VALUE"""),"O+")</f>
        <v>O+</v>
      </c>
      <c r="Y321" s="12" t="str">
        <f>IFERROR(__xludf.DUMMYFUNCTION("""COMPUTED_VALUE"""),"3")</f>
        <v>3</v>
      </c>
      <c r="Z321" s="12">
        <f>IFERROR(__xludf.DUMMYFUNCTION("""COMPUTED_VALUE"""),120194.0)</f>
        <v>120194</v>
      </c>
      <c r="AA321" s="6" t="str">
        <f>IFERROR(__xludf.DUMMYFUNCTION("""COMPUTED_VALUE"""),"SANITAS")</f>
        <v>SANITAS</v>
      </c>
      <c r="AB321" s="6"/>
      <c r="AC321" s="6"/>
      <c r="AD321" s="6" t="str">
        <f>IFERROR(__xludf.DUMMYFUNCTION("""COMPUTED_VALUE"""),"3B")</f>
        <v>3B</v>
      </c>
      <c r="AE321" s="12">
        <f>IFERROR(__xludf.DUMMYFUNCTION("""COMPUTED_VALUE"""),1.3452821E9)</f>
        <v>1345282100</v>
      </c>
      <c r="AF321" s="12" t="str">
        <f>IFERROR(__xludf.DUMMYFUNCTION("""COMPUTED_VALUE"""),"0689461603")</f>
        <v>0689461603</v>
      </c>
      <c r="AG321" s="12" t="str">
        <f>IFERROR(__xludf.DUMMYFUNCTION("""COMPUTED_VALUE"""),"Maria")</f>
        <v>Maria</v>
      </c>
      <c r="AH321" s="6"/>
      <c r="AI321" s="6" t="str">
        <f>IFERROR(__xludf.DUMMYFUNCTION("""COMPUTED_VALUE"""),"Rivas Velásquez")</f>
        <v>Rivas Velásquez</v>
      </c>
      <c r="AJ321" s="6" t="str">
        <f>IFERROR(__xludf.DUMMYFUNCTION("""COMPUTED_VALUE"""),"mariarivasvelasquez@hotmail.com")</f>
        <v>mariarivasvelasquez@hotmail.com</v>
      </c>
      <c r="AK321" s="6" t="str">
        <f>IFERROR(__xludf.DUMMYFUNCTION("""COMPUTED_VALUE"""),"Publicista")</f>
        <v>Publicista</v>
      </c>
      <c r="AL321" s="6" t="str">
        <f>IFERROR(__xludf.DUMMYFUNCTION("""COMPUTED_VALUE"""),"Maria rivas event planner")</f>
        <v>Maria rivas event planner</v>
      </c>
      <c r="AM321" s="12" t="str">
        <f>IFERROR(__xludf.DUMMYFUNCTION("""COMPUTED_VALUE"""),"24338884")</f>
        <v>24338884</v>
      </c>
      <c r="AN321" s="12" t="str">
        <f>IFERROR(__xludf.DUMMYFUNCTION("""COMPUTED_VALUE"""),"3116072022")</f>
        <v>3116072022</v>
      </c>
      <c r="AO321" s="6" t="str">
        <f>IFERROR(__xludf.DUMMYFUNCTION("""COMPUTED_VALUE"""),"Madre")</f>
        <v>Madre</v>
      </c>
      <c r="AP321" s="6" t="str">
        <f>IFERROR(__xludf.DUMMYFUNCTION("""COMPUTED_VALUE"""),"Estudiante(s): Angarita Rivas")</f>
        <v>Estudiante(s): Angarita Rivas</v>
      </c>
      <c r="AQ321" s="6" t="str">
        <f>IFERROR(__xludf.DUMMYFUNCTION("""COMPUTED_VALUE"""),"120129*Gi")</f>
        <v>120129*Gi</v>
      </c>
      <c r="AR321" s="6" t="str">
        <f>IFERROR(__xludf.DUMMYFUNCTION("""COMPUTED_VALUE"""),"Sebastián")</f>
        <v>Sebastián</v>
      </c>
      <c r="AS321" s="6"/>
      <c r="AT321" s="6" t="str">
        <f>IFERROR(__xludf.DUMMYFUNCTION("""COMPUTED_VALUE"""),"Angarita Uribe")</f>
        <v>Angarita Uribe</v>
      </c>
      <c r="AU321" s="6" t="str">
        <f>IFERROR(__xludf.DUMMYFUNCTION("""COMPUTED_VALUE"""),"sebastian.angarita.uribe@hotmail.com")</f>
        <v>sebastian.angarita.uribe@hotmail.com</v>
      </c>
      <c r="AV321" s="6" t="str">
        <f>IFERROR(__xludf.DUMMYFUNCTION("""COMPUTED_VALUE"""),"Publicista")</f>
        <v>Publicista</v>
      </c>
      <c r="AW321" s="6" t="str">
        <f>IFERROR(__xludf.DUMMYFUNCTION("""COMPUTED_VALUE"""),"Distribuidora SAU")</f>
        <v>Distribuidora SAU</v>
      </c>
      <c r="AX321" s="12" t="str">
        <f>IFERROR(__xludf.DUMMYFUNCTION("""COMPUTED_VALUE"""),"9726557")</f>
        <v>9726557</v>
      </c>
      <c r="AY321" s="12" t="str">
        <f>IFERROR(__xludf.DUMMYFUNCTION("""COMPUTED_VALUE"""),"3144485101")</f>
        <v>3144485101</v>
      </c>
      <c r="AZ321" s="6" t="str">
        <f>IFERROR(__xludf.DUMMYFUNCTION("""COMPUTED_VALUE"""),"Padre")</f>
        <v>Padre</v>
      </c>
      <c r="BA321" s="6"/>
      <c r="BB321" s="6"/>
      <c r="BC321" s="6"/>
      <c r="BD321" s="12" t="str">
        <f>IFERROR(__xludf.DUMMYFUNCTION("""COMPUTED_VALUE"""),"ang0003")</f>
        <v>ang0003</v>
      </c>
      <c r="BE321" s="6"/>
      <c r="BF321" s="6"/>
      <c r="BG321" s="6">
        <f>IFERROR(__xludf.DUMMYFUNCTION("""COMPUTED_VALUE"""),2036.0)</f>
        <v>2036</v>
      </c>
      <c r="BH321" s="15">
        <f>IFERROR(__xludf.DUMMYFUNCTION("""COMPUTED_VALUE"""),46210.474074074074)</f>
        <v>46210.47407</v>
      </c>
      <c r="BI321" s="6">
        <f>IFERROR(__xludf.DUMMYFUNCTION("""COMPUTED_VALUE"""),321.0)</f>
        <v>321</v>
      </c>
      <c r="BJ321" s="6"/>
      <c r="BK321" s="6"/>
      <c r="BL321" s="6" t="str">
        <f>IFERROR(__xludf.DUMMYFUNCTION("""COMPUTED_VALUE"""),"GISANG0003")</f>
        <v>GISANG0003</v>
      </c>
      <c r="BM321" s="6"/>
      <c r="BN321" s="6"/>
      <c r="BO321" s="6"/>
      <c r="BP321" s="6" t="str">
        <f>IFERROR(__xludf.DUMMYFUNCTION("""COMPUTED_VALUE"""),"XC_23_Voleibol")</f>
        <v>XC_23_Voleibol</v>
      </c>
      <c r="BQ321" s="6"/>
      <c r="BR321" s="6" t="str">
        <f>IFERROR(__xludf.DUMMYFUNCTION("""COMPUTED_VALUE"""),"XC_EL_DesaInstrumental")</f>
        <v>XC_EL_DesaInstrumental</v>
      </c>
      <c r="BS321" s="6" t="str">
        <f>IFERROR(__xludf.DUMMYFUNCTION("""COMPUTED_VALUE"""),"XC_23_Voleibol")</f>
        <v>XC_23_Voleibol</v>
      </c>
      <c r="BT321" s="6" t="str">
        <f>IFERROR(__xludf.DUMMYFUNCTION("""COMPUTED_VALUE"""),"XC_23_Voleibol")</f>
        <v>XC_23_Voleibol</v>
      </c>
      <c r="BU321" s="6" t="str">
        <f>IFERROR(__xludf.DUMMYFUNCTION("""COMPUTED_VALUE"""),"SI")</f>
        <v>SI</v>
      </c>
      <c r="BV321" s="6" t="str">
        <f>IFERROR(__xludf.DUMMYFUNCTION("""COMPUTED_VALUE"""),"martina.a2036")</f>
        <v>martina.a2036</v>
      </c>
      <c r="BW321" s="6"/>
      <c r="BX321" s="6"/>
      <c r="BY321" s="6"/>
      <c r="BZ321" s="6"/>
    </row>
    <row r="322">
      <c r="A322" s="12">
        <f>IFERROR(__xludf.DUMMYFUNCTION("""COMPUTED_VALUE"""),1.09286243E9)</f>
        <v>1092862430</v>
      </c>
      <c r="B322" s="6">
        <f>IFERROR(__xludf.DUMMYFUNCTION("""COMPUTED_VALUE"""),5.0)</f>
        <v>5</v>
      </c>
      <c r="C322" s="6" t="str">
        <f>IFERROR(__xludf.DUMMYFUNCTION("""COMPUTED_VALUE"""),"Luciana")</f>
        <v>Luciana</v>
      </c>
      <c r="D322" s="6"/>
      <c r="E322" s="6" t="str">
        <f>IFERROR(__xludf.DUMMYFUNCTION("""COMPUTED_VALUE"""),"Aristizábal Osorio")</f>
        <v>Aristizábal Osorio</v>
      </c>
      <c r="F322" s="6" t="str">
        <f>IFERROR(__xludf.DUMMYFUNCTION("""COMPUTED_VALUE"""),"Quintas De San Miguel Casa 1 - Calle 25Nte No11 - 15")</f>
        <v>Quintas De San Miguel Casa 1 - Calle 25Nte No11 - 15</v>
      </c>
      <c r="G322" s="12" t="str">
        <f>IFERROR(__xludf.DUMMYFUNCTION("""COMPUTED_VALUE"""),"2018")</f>
        <v>2018</v>
      </c>
      <c r="H322" s="6" t="str">
        <f>IFERROR(__xludf.DUMMYFUNCTION("""COMPUTED_VALUE"""),"Octubre")</f>
        <v>Octubre</v>
      </c>
      <c r="I322" s="12" t="str">
        <f>IFERROR(__xludf.DUMMYFUNCTION("""COMPUTED_VALUE"""),"20")</f>
        <v>20</v>
      </c>
      <c r="J322" s="6" t="str">
        <f>IFERROR(__xludf.DUMMYFUNCTION("""COMPUTED_VALUE"""),"Armenia")</f>
        <v>Armenia</v>
      </c>
      <c r="K322" s="6" t="str">
        <f>IFERROR(__xludf.DUMMYFUNCTION("""COMPUTED_VALUE"""),"luciana.a2036@gi.edu.co")</f>
        <v>luciana.a2036@gi.edu.co</v>
      </c>
      <c r="L322" s="6" t="str">
        <f>IFERROR(__xludf.DUMMYFUNCTION("""COMPUTED_VALUE"""),"RC")</f>
        <v>RC</v>
      </c>
      <c r="M322" s="6" t="str">
        <f>IFERROR(__xludf.DUMMYFUNCTION("""COMPUTED_VALUE"""),"Armenia")</f>
        <v>Armenia</v>
      </c>
      <c r="N322" s="6" t="str">
        <f>IFERROR(__xludf.DUMMYFUNCTION("""COMPUTED_VALUE"""),"F")</f>
        <v>F</v>
      </c>
      <c r="O322" s="6" t="str">
        <f>IFERROR(__xludf.DUMMYFUNCTION("""COMPUTED_VALUE"""),"ACTIVE")</f>
        <v>ACTIVE</v>
      </c>
      <c r="P322" s="6"/>
      <c r="Q322" s="6" t="str">
        <f>IFERROR(__xludf.DUMMYFUNCTION("""COMPUTED_VALUE"""),"Armenia")</f>
        <v>Armenia</v>
      </c>
      <c r="R322" s="12" t="str">
        <f>IFERROR(__xludf.DUMMYFUNCTION("""COMPUTED_VALUE"""),"Gi3nh9dr*")</f>
        <v>Gi3nh9dr*</v>
      </c>
      <c r="S322" s="6" t="str">
        <f>IFERROR(__xludf.DUMMYFUNCTION("""COMPUTED_VALUE"""),"Aristizábal Osorio Luciana ")</f>
        <v>Aristizábal Osorio Luciana </v>
      </c>
      <c r="T322" s="6" t="str">
        <f>IFERROR(__xludf.DUMMYFUNCTION("""COMPUTED_VALUE"""),"LEIDY VIVIANA OSORIO JIMENEZ")</f>
        <v>LEIDY VIVIANA OSORIO JIMENEZ</v>
      </c>
      <c r="U322" s="12" t="str">
        <f>IFERROR(__xludf.DUMMYFUNCTION("""COMPUTED_VALUE"""),"1094907844")</f>
        <v>1094907844</v>
      </c>
      <c r="V322" s="6">
        <f>IFERROR(__xludf.DUMMYFUNCTION("""COMPUTED_VALUE"""),3.117824831E9)</f>
        <v>3117824831</v>
      </c>
      <c r="W322" s="6" t="str">
        <f>IFERROR(__xludf.DUMMYFUNCTION("""COMPUTED_VALUE"""),"lvoj90@gmail.com")</f>
        <v>lvoj90@gmail.com</v>
      </c>
      <c r="X322" s="12" t="str">
        <f>IFERROR(__xludf.DUMMYFUNCTION("""COMPUTED_VALUE"""),"O+")</f>
        <v>O+</v>
      </c>
      <c r="Y322" s="12" t="str">
        <f>IFERROR(__xludf.DUMMYFUNCTION("""COMPUTED_VALUE"""),"3")</f>
        <v>3</v>
      </c>
      <c r="Z322" s="12">
        <f>IFERROR(__xludf.DUMMYFUNCTION("""COMPUTED_VALUE"""),120249.0)</f>
        <v>120249</v>
      </c>
      <c r="AA322" s="6" t="str">
        <f>IFERROR(__xludf.DUMMYFUNCTION("""COMPUTED_VALUE"""),"SURA")</f>
        <v>SURA</v>
      </c>
      <c r="AB322" s="6"/>
      <c r="AC322" s="6"/>
      <c r="AD322" s="6" t="str">
        <f>IFERROR(__xludf.DUMMYFUNCTION("""COMPUTED_VALUE"""),"3B")</f>
        <v>3B</v>
      </c>
      <c r="AE322" s="12">
        <f>IFERROR(__xludf.DUMMYFUNCTION("""COMPUTED_VALUE"""),1.345282237E9)</f>
        <v>1345282237</v>
      </c>
      <c r="AF322" s="12" t="str">
        <f>IFERROR(__xludf.DUMMYFUNCTION("""COMPUTED_VALUE"""),"0683033315")</f>
        <v>0683033315</v>
      </c>
      <c r="AG322" s="12" t="str">
        <f>IFERROR(__xludf.DUMMYFUNCTION("""COMPUTED_VALUE"""),"Leidy")</f>
        <v>Leidy</v>
      </c>
      <c r="AH322" s="12" t="str">
        <f>IFERROR(__xludf.DUMMYFUNCTION("""COMPUTED_VALUE"""),"Viviana")</f>
        <v>Viviana</v>
      </c>
      <c r="AI322" s="6" t="str">
        <f>IFERROR(__xludf.DUMMYFUNCTION("""COMPUTED_VALUE"""),"Osorio Jiménez")</f>
        <v>Osorio Jiménez</v>
      </c>
      <c r="AJ322" s="6" t="str">
        <f>IFERROR(__xludf.DUMMYFUNCTION("""COMPUTED_VALUE"""),"lvoj90@gmail.com")</f>
        <v>lvoj90@gmail.com</v>
      </c>
      <c r="AK322" s="6" t="str">
        <f>IFERROR(__xludf.DUMMYFUNCTION("""COMPUTED_VALUE"""),"Ingeniera de sistemas")</f>
        <v>Ingeniera de sistemas</v>
      </c>
      <c r="AL322" s="6" t="str">
        <f>IFERROR(__xludf.DUMMYFUNCTION("""COMPUTED_VALUE"""),"NN Moving Supplies")</f>
        <v>NN Moving Supplies</v>
      </c>
      <c r="AM322" s="12" t="str">
        <f>IFERROR(__xludf.DUMMYFUNCTION("""COMPUTED_VALUE"""),"1094907844")</f>
        <v>1094907844</v>
      </c>
      <c r="AN322" s="12" t="str">
        <f>IFERROR(__xludf.DUMMYFUNCTION("""COMPUTED_VALUE"""),"3117824831")</f>
        <v>3117824831</v>
      </c>
      <c r="AO322" s="6" t="str">
        <f>IFERROR(__xludf.DUMMYFUNCTION("""COMPUTED_VALUE"""),"Madre")</f>
        <v>Madre</v>
      </c>
      <c r="AP322" s="6" t="str">
        <f>IFERROR(__xludf.DUMMYFUNCTION("""COMPUTED_VALUE"""),"Estudiante(s): Aristizábal Osorio")</f>
        <v>Estudiante(s): Aristizábal Osorio</v>
      </c>
      <c r="AQ322" s="6" t="str">
        <f>IFERROR(__xludf.DUMMYFUNCTION("""COMPUTED_VALUE"""),"120249*Gi")</f>
        <v>120249*Gi</v>
      </c>
      <c r="AR322" s="6" t="str">
        <f>IFERROR(__xludf.DUMMYFUNCTION("""COMPUTED_VALUE"""),"Diego")</f>
        <v>Diego</v>
      </c>
      <c r="AS322" s="6" t="str">
        <f>IFERROR(__xludf.DUMMYFUNCTION("""COMPUTED_VALUE"""),"Fernando")</f>
        <v>Fernando</v>
      </c>
      <c r="AT322" s="6" t="str">
        <f>IFERROR(__xludf.DUMMYFUNCTION("""COMPUTED_VALUE"""),"Aristizábal Giraldo")</f>
        <v>Aristizábal Giraldo</v>
      </c>
      <c r="AU322" s="6" t="str">
        <f>IFERROR(__xludf.DUMMYFUNCTION("""COMPUTED_VALUE"""),"diegofernandoag@gmail.com")</f>
        <v>diegofernandoag@gmail.com</v>
      </c>
      <c r="AV322" s="6" t="str">
        <f>IFERROR(__xludf.DUMMYFUNCTION("""COMPUTED_VALUE"""),"Ingeniero Agroindustrial")</f>
        <v>Ingeniero Agroindustrial</v>
      </c>
      <c r="AW322" s="6"/>
      <c r="AX322" s="12" t="str">
        <f>IFERROR(__xludf.DUMMYFUNCTION("""COMPUTED_VALUE"""),"7552765")</f>
        <v>7552765</v>
      </c>
      <c r="AY322" s="12" t="str">
        <f>IFERROR(__xludf.DUMMYFUNCTION("""COMPUTED_VALUE"""),"3117644686")</f>
        <v>3117644686</v>
      </c>
      <c r="AZ322" s="6" t="str">
        <f>IFERROR(__xludf.DUMMYFUNCTION("""COMPUTED_VALUE"""),"Padre")</f>
        <v>Padre</v>
      </c>
      <c r="BA322" s="6" t="str">
        <f>IFERROR(__xludf.DUMMYFUNCTION("""COMPUTED_VALUE"""),"LUZ PIEDAD JIMENEZ TRIVIÑO")</f>
        <v>LUZ PIEDAD JIMENEZ TRIVIÑO</v>
      </c>
      <c r="BB322" s="6">
        <f>IFERROR(__xludf.DUMMYFUNCTION("""COMPUTED_VALUE"""),3.137654136E9)</f>
        <v>3137654136</v>
      </c>
      <c r="BC322" s="6" t="str">
        <f>IFERROR(__xludf.DUMMYFUNCTION("""COMPUTED_VALUE"""),"Abuelo(a)")</f>
        <v>Abuelo(a)</v>
      </c>
      <c r="BD322" s="12" t="str">
        <f>IFERROR(__xludf.DUMMYFUNCTION("""COMPUTED_VALUE"""),"ari0010")</f>
        <v>ari0010</v>
      </c>
      <c r="BE322" s="6"/>
      <c r="BF322" s="6"/>
      <c r="BG322" s="6">
        <f>IFERROR(__xludf.DUMMYFUNCTION("""COMPUTED_VALUE"""),2036.0)</f>
        <v>2036</v>
      </c>
      <c r="BH322" s="15">
        <f>IFERROR(__xludf.DUMMYFUNCTION("""COMPUTED_VALUE"""),46206.48730324074)</f>
        <v>46206.4873</v>
      </c>
      <c r="BI322" s="6">
        <f>IFERROR(__xludf.DUMMYFUNCTION("""COMPUTED_VALUE"""),322.0)</f>
        <v>322</v>
      </c>
      <c r="BJ322" s="6"/>
      <c r="BK322" s="6"/>
      <c r="BL322" s="6" t="str">
        <f>IFERROR(__xludf.DUMMYFUNCTION("""COMPUTED_VALUE"""),"GISARI0010")</f>
        <v>GISARI0010</v>
      </c>
      <c r="BM322" s="6"/>
      <c r="BN322" s="6"/>
      <c r="BO322" s="6" t="str">
        <f>IFERROR(__xludf.DUMMYFUNCTION("""COMPUTED_VALUE"""),"XC_EL_TecVocal")</f>
        <v>XC_EL_TecVocal</v>
      </c>
      <c r="BP322" s="6" t="str">
        <f>IFERROR(__xludf.DUMMYFUNCTION("""COMPUTED_VALUE"""),"XC_23_Voleibol")</f>
        <v>XC_23_Voleibol</v>
      </c>
      <c r="BQ322" s="6"/>
      <c r="BR322" s="6" t="str">
        <f>IFERROR(__xludf.DUMMYFUNCTION("""COMPUTED_VALUE"""),"XC_EL_PequenosCientificos")</f>
        <v>XC_EL_PequenosCientificos</v>
      </c>
      <c r="BS322" s="6" t="str">
        <f>IFERROR(__xludf.DUMMYFUNCTION("""COMPUTED_VALUE"""),"XC_23_Voleibol")</f>
        <v>XC_23_Voleibol</v>
      </c>
      <c r="BT322" s="6" t="str">
        <f>IFERROR(__xludf.DUMMYFUNCTION("""COMPUTED_VALUE"""),"XC_23_Voleibol")</f>
        <v>XC_23_Voleibol</v>
      </c>
      <c r="BU322" s="6" t="str">
        <f>IFERROR(__xludf.DUMMYFUNCTION("""COMPUTED_VALUE"""),"SI")</f>
        <v>SI</v>
      </c>
      <c r="BV322" s="6" t="str">
        <f>IFERROR(__xludf.DUMMYFUNCTION("""COMPUTED_VALUE"""),"luciana.a2036")</f>
        <v>luciana.a2036</v>
      </c>
      <c r="BW322" s="6"/>
      <c r="BX322" s="6"/>
      <c r="BY322" s="6"/>
      <c r="BZ322" s="6"/>
    </row>
    <row r="323">
      <c r="A323" s="12">
        <f>IFERROR(__xludf.DUMMYFUNCTION("""COMPUTED_VALUE"""),1.109564331E9)</f>
        <v>1109564331</v>
      </c>
      <c r="B323" s="6">
        <f>IFERROR(__xludf.DUMMYFUNCTION("""COMPUTED_VALUE"""),6.0)</f>
        <v>6</v>
      </c>
      <c r="C323" s="6" t="str">
        <f>IFERROR(__xludf.DUMMYFUNCTION("""COMPUTED_VALUE"""),"Carlota")</f>
        <v>Carlota</v>
      </c>
      <c r="D323" s="6"/>
      <c r="E323" s="6" t="str">
        <f>IFERROR(__xludf.DUMMYFUNCTION("""COMPUTED_VALUE"""),"Borrero Medina")</f>
        <v>Borrero Medina</v>
      </c>
      <c r="F323" s="6" t="str">
        <f>IFERROR(__xludf.DUMMYFUNCTION("""COMPUTED_VALUE"""),"Lagos de Iraka Casas de Campo Casa 21B Km1 Via Glorieta Club Campestre al Caimo")</f>
        <v>Lagos de Iraka Casas de Campo Casa 21B Km1 Via Glorieta Club Campestre al Caimo</v>
      </c>
      <c r="G323" s="12" t="str">
        <f>IFERROR(__xludf.DUMMYFUNCTION("""COMPUTED_VALUE"""),"2017")</f>
        <v>2017</v>
      </c>
      <c r="H323" s="6" t="str">
        <f>IFERROR(__xludf.DUMMYFUNCTION("""COMPUTED_VALUE"""),"Diciembre")</f>
        <v>Diciembre</v>
      </c>
      <c r="I323" s="12" t="str">
        <f>IFERROR(__xludf.DUMMYFUNCTION("""COMPUTED_VALUE"""),"27")</f>
        <v>27</v>
      </c>
      <c r="J323" s="6" t="str">
        <f>IFERROR(__xludf.DUMMYFUNCTION("""COMPUTED_VALUE"""),"Cali")</f>
        <v>Cali</v>
      </c>
      <c r="K323" s="6" t="str">
        <f>IFERROR(__xludf.DUMMYFUNCTION("""COMPUTED_VALUE"""),"carlota.b2036@gi.edu.co")</f>
        <v>carlota.b2036@gi.edu.co</v>
      </c>
      <c r="L323" s="6" t="str">
        <f>IFERROR(__xludf.DUMMYFUNCTION("""COMPUTED_VALUE"""),"TI")</f>
        <v>TI</v>
      </c>
      <c r="M323" s="6" t="str">
        <f>IFERROR(__xludf.DUMMYFUNCTION("""COMPUTED_VALUE"""),"Armenia")</f>
        <v>Armenia</v>
      </c>
      <c r="N323" s="6" t="str">
        <f>IFERROR(__xludf.DUMMYFUNCTION("""COMPUTED_VALUE"""),"F")</f>
        <v>F</v>
      </c>
      <c r="O323" s="6" t="str">
        <f>IFERROR(__xludf.DUMMYFUNCTION("""COMPUTED_VALUE"""),"ACTIVE")</f>
        <v>ACTIVE</v>
      </c>
      <c r="P323" s="6"/>
      <c r="Q323" s="6" t="str">
        <f>IFERROR(__xludf.DUMMYFUNCTION("""COMPUTED_VALUE"""),"El Edén")</f>
        <v>El Edén</v>
      </c>
      <c r="R323" s="12" t="str">
        <f>IFERROR(__xludf.DUMMYFUNCTION("""COMPUTED_VALUE"""),"Gim57c9*")</f>
        <v>Gim57c9*</v>
      </c>
      <c r="S323" s="6" t="str">
        <f>IFERROR(__xludf.DUMMYFUNCTION("""COMPUTED_VALUE"""),"Borrero Medina Carlota ")</f>
        <v>Borrero Medina Carlota </v>
      </c>
      <c r="T323" s="6" t="str">
        <f>IFERROR(__xludf.DUMMYFUNCTION("""COMPUTED_VALUE"""),"ALVARO JOSÉ BORRERO RENGIFO")</f>
        <v>ALVARO JOSÉ BORRERO RENGIFO</v>
      </c>
      <c r="U323" s="12" t="str">
        <f>IFERROR(__xludf.DUMMYFUNCTION("""COMPUTED_VALUE"""),"79684790")</f>
        <v>79684790</v>
      </c>
      <c r="V323" s="6">
        <f>IFERROR(__xludf.DUMMYFUNCTION("""COMPUTED_VALUE"""),3.108168989E9)</f>
        <v>3108168989</v>
      </c>
      <c r="W323" s="6" t="str">
        <f>IFERROR(__xludf.DUMMYFUNCTION("""COMPUTED_VALUE"""),"ajborrero@hotmail.com")</f>
        <v>ajborrero@hotmail.com</v>
      </c>
      <c r="X323" s="12" t="str">
        <f>IFERROR(__xludf.DUMMYFUNCTION("""COMPUTED_VALUE"""),"B+")</f>
        <v>B+</v>
      </c>
      <c r="Y323" s="12" t="str">
        <f>IFERROR(__xludf.DUMMYFUNCTION("""COMPUTED_VALUE"""),"3")</f>
        <v>3</v>
      </c>
      <c r="Z323" s="12">
        <f>IFERROR(__xludf.DUMMYFUNCTION("""COMPUTED_VALUE"""),120388.0)</f>
        <v>120388</v>
      </c>
      <c r="AA323" s="6" t="str">
        <f>IFERROR(__xludf.DUMMYFUNCTION("""COMPUTED_VALUE"""),"SURA")</f>
        <v>SURA</v>
      </c>
      <c r="AB323" s="6"/>
      <c r="AC323" s="6"/>
      <c r="AD323" s="6" t="str">
        <f>IFERROR(__xludf.DUMMYFUNCTION("""COMPUTED_VALUE"""),"3B")</f>
        <v>3B</v>
      </c>
      <c r="AE323" s="12" t="str">
        <f>IFERROR(__xludf.DUMMYFUNCTION("""COMPUTED_VALUE"""),"1345282389")</f>
        <v>1345282389</v>
      </c>
      <c r="AF323" s="12" t="str">
        <f>IFERROR(__xludf.DUMMYFUNCTION("""COMPUTED_VALUE"""),"0658223635")</f>
        <v>0658223635</v>
      </c>
      <c r="AG323" s="12" t="str">
        <f>IFERROR(__xludf.DUMMYFUNCTION("""COMPUTED_VALUE"""),"Laura")</f>
        <v>Laura</v>
      </c>
      <c r="AH323" s="6"/>
      <c r="AI323" s="6" t="str">
        <f>IFERROR(__xludf.DUMMYFUNCTION("""COMPUTED_VALUE"""),"Medina Londoño")</f>
        <v>Medina Londoño</v>
      </c>
      <c r="AJ323" s="6" t="str">
        <f>IFERROR(__xludf.DUMMYFUNCTION("""COMPUTED_VALUE"""),"lauramedinalondono@gmail.com")</f>
        <v>lauramedinalondono@gmail.com</v>
      </c>
      <c r="AK323" s="6" t="str">
        <f>IFERROR(__xludf.DUMMYFUNCTION("""COMPUTED_VALUE"""),"Comunicadora")</f>
        <v>Comunicadora</v>
      </c>
      <c r="AL323" s="6" t="str">
        <f>IFERROR(__xludf.DUMMYFUNCTION("""COMPUTED_VALUE"""),"AJBORRERO S.A.S.")</f>
        <v>AJBORRERO S.A.S.</v>
      </c>
      <c r="AM323" s="12" t="str">
        <f>IFERROR(__xludf.DUMMYFUNCTION("""COMPUTED_VALUE"""),"1053773380")</f>
        <v>1053773380</v>
      </c>
      <c r="AN323" s="12" t="str">
        <f>IFERROR(__xludf.DUMMYFUNCTION("""COMPUTED_VALUE"""),"3013240323")</f>
        <v>3013240323</v>
      </c>
      <c r="AO323" s="6" t="str">
        <f>IFERROR(__xludf.DUMMYFUNCTION("""COMPUTED_VALUE"""),"Madre")</f>
        <v>Madre</v>
      </c>
      <c r="AP323" s="6" t="str">
        <f>IFERROR(__xludf.DUMMYFUNCTION("""COMPUTED_VALUE"""),"Estudiante(s): Borrero Medina")</f>
        <v>Estudiante(s): Borrero Medina</v>
      </c>
      <c r="AQ323" s="6" t="str">
        <f>IFERROR(__xludf.DUMMYFUNCTION("""COMPUTED_VALUE"""),"120388*Gi")</f>
        <v>120388*Gi</v>
      </c>
      <c r="AR323" s="6" t="str">
        <f>IFERROR(__xludf.DUMMYFUNCTION("""COMPUTED_VALUE"""),"Alvaro")</f>
        <v>Alvaro</v>
      </c>
      <c r="AS323" s="6" t="str">
        <f>IFERROR(__xludf.DUMMYFUNCTION("""COMPUTED_VALUE"""),"José")</f>
        <v>José</v>
      </c>
      <c r="AT323" s="6" t="str">
        <f>IFERROR(__xludf.DUMMYFUNCTION("""COMPUTED_VALUE"""),"Borrero Rengifo")</f>
        <v>Borrero Rengifo</v>
      </c>
      <c r="AU323" s="6" t="str">
        <f>IFERROR(__xludf.DUMMYFUNCTION("""COMPUTED_VALUE"""),"ajborrero@hotmail.com")</f>
        <v>ajborrero@hotmail.com</v>
      </c>
      <c r="AV323" s="6" t="str">
        <f>IFERROR(__xludf.DUMMYFUNCTION("""COMPUTED_VALUE"""),"Cirujano Cardiovascular")</f>
        <v>Cirujano Cardiovascular</v>
      </c>
      <c r="AW323" s="6" t="str">
        <f>IFERROR(__xludf.DUMMYFUNCTION("""COMPUTED_VALUE"""),"Clínica La Sagrada Familia")</f>
        <v>Clínica La Sagrada Familia</v>
      </c>
      <c r="AX323" s="12" t="str">
        <f>IFERROR(__xludf.DUMMYFUNCTION("""COMPUTED_VALUE"""),"79684790")</f>
        <v>79684790</v>
      </c>
      <c r="AY323" s="12">
        <f>IFERROR(__xludf.DUMMYFUNCTION("""COMPUTED_VALUE"""),3.108168989E9)</f>
        <v>3108168989</v>
      </c>
      <c r="AZ323" s="6" t="str">
        <f>IFERROR(__xludf.DUMMYFUNCTION("""COMPUTED_VALUE"""),"Padre")</f>
        <v>Padre</v>
      </c>
      <c r="BA323" s="6"/>
      <c r="BB323" s="6"/>
      <c r="BC323" s="6"/>
      <c r="BD323" s="12" t="str">
        <f>IFERROR(__xludf.DUMMYFUNCTION("""COMPUTED_VALUE"""),"bor0002")</f>
        <v>bor0002</v>
      </c>
      <c r="BE323" s="6"/>
      <c r="BF323" s="6"/>
      <c r="BG323" s="6">
        <f>IFERROR(__xludf.DUMMYFUNCTION("""COMPUTED_VALUE"""),2036.0)</f>
        <v>2036</v>
      </c>
      <c r="BH323" s="15">
        <f>IFERROR(__xludf.DUMMYFUNCTION("""COMPUTED_VALUE"""),46224.50034722222)</f>
        <v>46224.50035</v>
      </c>
      <c r="BI323" s="6">
        <f>IFERROR(__xludf.DUMMYFUNCTION("""COMPUTED_VALUE"""),323.0)</f>
        <v>323</v>
      </c>
      <c r="BJ323" s="6"/>
      <c r="BK323" s="6"/>
      <c r="BL323" s="6" t="str">
        <f>IFERROR(__xludf.DUMMYFUNCTION("""COMPUTED_VALUE"""),"GISBOR0002")</f>
        <v>GISBOR0002</v>
      </c>
      <c r="BM323" s="6"/>
      <c r="BN323" s="6"/>
      <c r="BO323" s="6" t="str">
        <f>IFERROR(__xludf.DUMMYFUNCTION("""COMPUTED_VALUE"""),"XC_EL_TecVocal")</f>
        <v>XC_EL_TecVocal</v>
      </c>
      <c r="BP323" s="6" t="str">
        <f>IFERROR(__xludf.DUMMYFUNCTION("""COMPUTED_VALUE"""),"XC_23_Voleibol")</f>
        <v>XC_23_Voleibol</v>
      </c>
      <c r="BQ323" s="6"/>
      <c r="BR323" s="6"/>
      <c r="BS323" s="6" t="str">
        <f>IFERROR(__xludf.DUMMYFUNCTION("""COMPUTED_VALUE"""),"XC_23_Voleibol")</f>
        <v>XC_23_Voleibol</v>
      </c>
      <c r="BT323" s="6" t="str">
        <f>IFERROR(__xludf.DUMMYFUNCTION("""COMPUTED_VALUE"""),"XC_23_Voleibol")</f>
        <v>XC_23_Voleibol</v>
      </c>
      <c r="BU323" s="6" t="str">
        <f>IFERROR(__xludf.DUMMYFUNCTION("""COMPUTED_VALUE"""),"SI")</f>
        <v>SI</v>
      </c>
      <c r="BV323" s="6" t="str">
        <f>IFERROR(__xludf.DUMMYFUNCTION("""COMPUTED_VALUE"""),"carlota.b2036")</f>
        <v>carlota.b2036</v>
      </c>
      <c r="BW323" s="6"/>
      <c r="BX323" s="6"/>
      <c r="BY323" s="6"/>
      <c r="BZ323" s="6"/>
    </row>
    <row r="324">
      <c r="A324" s="12">
        <f>IFERROR(__xludf.DUMMYFUNCTION("""COMPUTED_VALUE"""),1.09188842E9)</f>
        <v>1091888420</v>
      </c>
      <c r="B324" s="6">
        <f>IFERROR(__xludf.DUMMYFUNCTION("""COMPUTED_VALUE"""),7.0)</f>
        <v>7</v>
      </c>
      <c r="C324" s="6" t="str">
        <f>IFERROR(__xludf.DUMMYFUNCTION("""COMPUTED_VALUE"""),"Raquel")</f>
        <v>Raquel</v>
      </c>
      <c r="D324" s="6"/>
      <c r="E324" s="6" t="str">
        <f>IFERROR(__xludf.DUMMYFUNCTION("""COMPUTED_VALUE"""),"Botero Pulido")</f>
        <v>Botero Pulido</v>
      </c>
      <c r="F324" s="6" t="str">
        <f>IFERROR(__xludf.DUMMYFUNCTION("""COMPUTED_VALUE"""),"Calle 50 No15-01  Mz 1 Casa 3 Urbanización Los Cedros")</f>
        <v>Calle 50 No15-01  Mz 1 Casa 3 Urbanización Los Cedros</v>
      </c>
      <c r="G324" s="12" t="str">
        <f>IFERROR(__xludf.DUMMYFUNCTION("""COMPUTED_VALUE"""),"2017")</f>
        <v>2017</v>
      </c>
      <c r="H324" s="6" t="str">
        <f>IFERROR(__xludf.DUMMYFUNCTION("""COMPUTED_VALUE"""),"Marzo")</f>
        <v>Marzo</v>
      </c>
      <c r="I324" s="12" t="str">
        <f>IFERROR(__xludf.DUMMYFUNCTION("""COMPUTED_VALUE"""),"18")</f>
        <v>18</v>
      </c>
      <c r="J324" s="6" t="str">
        <f>IFERROR(__xludf.DUMMYFUNCTION("""COMPUTED_VALUE"""),"Armenia")</f>
        <v>Armenia</v>
      </c>
      <c r="K324" s="6" t="str">
        <f>IFERROR(__xludf.DUMMYFUNCTION("""COMPUTED_VALUE"""),"raquel.b2035@gi.edu.co")</f>
        <v>raquel.b2035@gi.edu.co</v>
      </c>
      <c r="L324" s="6" t="str">
        <f>IFERROR(__xludf.DUMMYFUNCTION("""COMPUTED_VALUE"""),"TI")</f>
        <v>TI</v>
      </c>
      <c r="M324" s="6" t="str">
        <f>IFERROR(__xludf.DUMMYFUNCTION("""COMPUTED_VALUE"""),"Armenia")</f>
        <v>Armenia</v>
      </c>
      <c r="N324" s="6" t="str">
        <f>IFERROR(__xludf.DUMMYFUNCTION("""COMPUTED_VALUE"""),"F")</f>
        <v>F</v>
      </c>
      <c r="O324" s="6" t="str">
        <f>IFERROR(__xludf.DUMMYFUNCTION("""COMPUTED_VALUE"""),"INACTIVE")</f>
        <v>INACTIVE</v>
      </c>
      <c r="P324" s="6"/>
      <c r="Q324" s="6" t="str">
        <f>IFERROR(__xludf.DUMMYFUNCTION("""COMPUTED_VALUE"""),"Armenia")</f>
        <v>Armenia</v>
      </c>
      <c r="R324" s="6" t="str">
        <f>IFERROR(__xludf.DUMMYFUNCTION("""COMPUTED_VALUE"""),"Gi3904rb*")</f>
        <v>Gi3904rb*</v>
      </c>
      <c r="S324" s="6" t="str">
        <f>IFERROR(__xludf.DUMMYFUNCTION("""COMPUTED_VALUE"""),"Botero Pulido Raquel ")</f>
        <v>Botero Pulido Raquel </v>
      </c>
      <c r="T324" s="6" t="str">
        <f>IFERROR(__xludf.DUMMYFUNCTION("""COMPUTED_VALUE"""),"JORGE HERNAN BOTERO SAFFON")</f>
        <v>JORGE HERNAN BOTERO SAFFON</v>
      </c>
      <c r="U324" s="12" t="str">
        <f>IFERROR(__xludf.DUMMYFUNCTION("""COMPUTED_VALUE"""),"9729818")</f>
        <v>9729818</v>
      </c>
      <c r="V324" s="6">
        <f>IFERROR(__xludf.DUMMYFUNCTION("""COMPUTED_VALUE"""),3.216398256E9)</f>
        <v>3216398256</v>
      </c>
      <c r="W324" s="6" t="str">
        <f>IFERROR(__xludf.DUMMYFUNCTION("""COMPUTED_VALUE"""),"ganaderia55@hotmail.com")</f>
        <v>ganaderia55@hotmail.com</v>
      </c>
      <c r="X324" s="12" t="str">
        <f>IFERROR(__xludf.DUMMYFUNCTION("""COMPUTED_VALUE"""),"O+")</f>
        <v>O+</v>
      </c>
      <c r="Y324" s="12" t="str">
        <f>IFERROR(__xludf.DUMMYFUNCTION("""COMPUTED_VALUE"""),"3")</f>
        <v>3</v>
      </c>
      <c r="Z324" s="12">
        <f>IFERROR(__xludf.DUMMYFUNCTION("""COMPUTED_VALUE"""),103904.0)</f>
        <v>103904</v>
      </c>
      <c r="AA324" s="6" t="str">
        <f>IFERROR(__xludf.DUMMYFUNCTION("""COMPUTED_VALUE"""),"CAFESALUD")</f>
        <v>CAFESALUD</v>
      </c>
      <c r="AB324" s="6"/>
      <c r="AC324" s="6"/>
      <c r="AD324" s="12" t="str">
        <f>IFERROR(__xludf.DUMMYFUNCTION("""COMPUTED_VALUE"""),"3B")</f>
        <v>3B</v>
      </c>
      <c r="AE324" s="12">
        <f>IFERROR(__xludf.DUMMYFUNCTION("""COMPUTED_VALUE"""),1.34528196E9)</f>
        <v>1345281960</v>
      </c>
      <c r="AF324" s="12" t="str">
        <f>IFERROR(__xludf.DUMMYFUNCTION("""COMPUTED_VALUE"""),"0694176163")</f>
        <v>0694176163</v>
      </c>
      <c r="AG324" s="12" t="str">
        <f>IFERROR(__xludf.DUMMYFUNCTION("""COMPUTED_VALUE"""),"Susana")</f>
        <v>Susana</v>
      </c>
      <c r="AH324" s="6"/>
      <c r="AI324" s="6" t="str">
        <f>IFERROR(__xludf.DUMMYFUNCTION("""COMPUTED_VALUE"""),"Pulido Bonilla")</f>
        <v>Pulido Bonilla</v>
      </c>
      <c r="AJ324" s="6" t="str">
        <f>IFERROR(__xludf.DUMMYFUNCTION("""COMPUTED_VALUE"""),"terraza89armenia@gmail.com")</f>
        <v>terraza89armenia@gmail.com</v>
      </c>
      <c r="AK324" s="6" t="str">
        <f>IFERROR(__xludf.DUMMYFUNCTION("""COMPUTED_VALUE"""),"NEGOCIADORA INTERNACIONAL")</f>
        <v>NEGOCIADORA INTERNACIONAL</v>
      </c>
      <c r="AL324" s="6" t="str">
        <f>IFERROR(__xludf.DUMMYFUNCTION("""COMPUTED_VALUE"""),"RESTAURANTE LA CABAÑA")</f>
        <v>RESTAURANTE LA CABAÑA</v>
      </c>
      <c r="AM324" s="12" t="str">
        <f>IFERROR(__xludf.DUMMYFUNCTION("""COMPUTED_VALUE"""),"1094921677")</f>
        <v>1094921677</v>
      </c>
      <c r="AN324" s="12" t="str">
        <f>IFERROR(__xludf.DUMMYFUNCTION("""COMPUTED_VALUE"""),"3105779660")</f>
        <v>3105779660</v>
      </c>
      <c r="AO324" s="6" t="str">
        <f>IFERROR(__xludf.DUMMYFUNCTION("""COMPUTED_VALUE"""),"Madre")</f>
        <v>Madre</v>
      </c>
      <c r="AP324" s="6" t="str">
        <f>IFERROR(__xludf.DUMMYFUNCTION("""COMPUTED_VALUE"""),"Estudiante(s): Botero Pulido")</f>
        <v>Estudiante(s): Botero Pulido</v>
      </c>
      <c r="AQ324" s="6" t="str">
        <f>IFERROR(__xludf.DUMMYFUNCTION("""COMPUTED_VALUE"""),"103904*Gi")</f>
        <v>103904*Gi</v>
      </c>
      <c r="AR324" s="6" t="str">
        <f>IFERROR(__xludf.DUMMYFUNCTION("""COMPUTED_VALUE"""),"Jorge")</f>
        <v>Jorge</v>
      </c>
      <c r="AS324" s="6" t="str">
        <f>IFERROR(__xludf.DUMMYFUNCTION("""COMPUTED_VALUE"""),"Hernan")</f>
        <v>Hernan</v>
      </c>
      <c r="AT324" s="6" t="str">
        <f>IFERROR(__xludf.DUMMYFUNCTION("""COMPUTED_VALUE"""),"Botero Saffon")</f>
        <v>Botero Saffon</v>
      </c>
      <c r="AU324" s="6" t="str">
        <f>IFERROR(__xludf.DUMMYFUNCTION("""COMPUTED_VALUE"""),"ganaderia55@hotmail.com")</f>
        <v>ganaderia55@hotmail.com</v>
      </c>
      <c r="AV324" s="6" t="str">
        <f>IFERROR(__xludf.DUMMYFUNCTION("""COMPUTED_VALUE"""),"Abogado")</f>
        <v>Abogado</v>
      </c>
      <c r="AW324" s="6" t="str">
        <f>IFERROR(__xludf.DUMMYFUNCTION("""COMPUTED_VALUE"""),"independiente")</f>
        <v>independiente</v>
      </c>
      <c r="AX324" s="12" t="str">
        <f>IFERROR(__xludf.DUMMYFUNCTION("""COMPUTED_VALUE"""),"9729818")</f>
        <v>9729818</v>
      </c>
      <c r="AY324" s="12" t="str">
        <f>IFERROR(__xludf.DUMMYFUNCTION("""COMPUTED_VALUE"""),"3216398256")</f>
        <v>3216398256</v>
      </c>
      <c r="AZ324" s="6" t="str">
        <f>IFERROR(__xludf.DUMMYFUNCTION("""COMPUTED_VALUE"""),"Padre")</f>
        <v>Padre</v>
      </c>
      <c r="BA324" s="6" t="str">
        <f>IFERROR(__xludf.DUMMYFUNCTION("""COMPUTED_VALUE"""),"HERNAN BOTERO BOTERO")</f>
        <v>HERNAN BOTERO BOTERO</v>
      </c>
      <c r="BB324" s="6">
        <f>IFERROR(__xludf.DUMMYFUNCTION("""COMPUTED_VALUE"""),3.182826316E9)</f>
        <v>3182826316</v>
      </c>
      <c r="BC324" s="6" t="str">
        <f>IFERROR(__xludf.DUMMYFUNCTION("""COMPUTED_VALUE"""),"Abuelo(a)")</f>
        <v>Abuelo(a)</v>
      </c>
      <c r="BD324" s="12" t="str">
        <f>IFERROR(__xludf.DUMMYFUNCTION("""COMPUTED_VALUE"""),"bot0016")</f>
        <v>bot0016</v>
      </c>
      <c r="BE324" s="6" t="str">
        <f>IFERROR(__xludf.DUMMYFUNCTION("""COMPUTED_VALUE"""),"FALTAN FIRMAS")</f>
        <v>FALTAN FIRMAS</v>
      </c>
      <c r="BF324" s="12" t="str">
        <f>IFERROR(__xludf.DUMMYFUNCTION("""COMPUTED_VALUE"""),"REPITENTE")</f>
        <v>REPITENTE</v>
      </c>
      <c r="BG324" s="6">
        <f>IFERROR(__xludf.DUMMYFUNCTION("""COMPUTED_VALUE"""),2036.0)</f>
        <v>2036</v>
      </c>
      <c r="BH324" s="15">
        <f>IFERROR(__xludf.DUMMYFUNCTION("""COMPUTED_VALUE"""),46211.30396990741)</f>
        <v>46211.30397</v>
      </c>
      <c r="BI324" s="6">
        <f>IFERROR(__xludf.DUMMYFUNCTION("""COMPUTED_VALUE"""),324.0)</f>
        <v>324</v>
      </c>
      <c r="BJ324" s="6"/>
      <c r="BK324" s="6"/>
      <c r="BL324" s="6" t="str">
        <f>IFERROR(__xludf.DUMMYFUNCTION("""COMPUTED_VALUE"""),"GISBOT0016")</f>
        <v>GISBOT0016</v>
      </c>
      <c r="BM324" s="6"/>
      <c r="BN324" s="6"/>
      <c r="BO324" s="6"/>
      <c r="BP324" s="6"/>
      <c r="BQ324" s="6"/>
      <c r="BR324" s="6"/>
      <c r="BS324" s="6"/>
      <c r="BT324" s="6"/>
      <c r="BU324" s="6" t="str">
        <f>IFERROR(__xludf.DUMMYFUNCTION("""COMPUTED_VALUE"""),"SI")</f>
        <v>SI</v>
      </c>
      <c r="BV324" s="6" t="str">
        <f>IFERROR(__xludf.DUMMYFUNCTION("""COMPUTED_VALUE"""),"raquel.b2035")</f>
        <v>raquel.b2035</v>
      </c>
      <c r="BW324" s="6"/>
      <c r="BX324" s="6"/>
      <c r="BY324" s="6"/>
      <c r="BZ324" s="6"/>
    </row>
    <row r="325">
      <c r="A325" s="12">
        <f>IFERROR(__xludf.DUMMYFUNCTION("""COMPUTED_VALUE"""),1.108259755E9)</f>
        <v>1108259755</v>
      </c>
      <c r="B325" s="6">
        <f>IFERROR(__xludf.DUMMYFUNCTION("""COMPUTED_VALUE"""),8.0)</f>
        <v>8</v>
      </c>
      <c r="C325" s="6" t="str">
        <f>IFERROR(__xludf.DUMMYFUNCTION("""COMPUTED_VALUE"""),"Mía")</f>
        <v>Mía</v>
      </c>
      <c r="D325" s="6"/>
      <c r="E325" s="6" t="str">
        <f>IFERROR(__xludf.DUMMYFUNCTION("""COMPUTED_VALUE"""),"Cardona Echeverri")</f>
        <v>Cardona Echeverri</v>
      </c>
      <c r="F325" s="6" t="str">
        <f>IFERROR(__xludf.DUMMYFUNCTION("""COMPUTED_VALUE"""),"Parque Residencial Los Cedros Mz 3 Casa 2 - Calle 50Nte No15 - 1")</f>
        <v>Parque Residencial Los Cedros Mz 3 Casa 2 - Calle 50Nte No15 - 1</v>
      </c>
      <c r="G325" s="12" t="str">
        <f>IFERROR(__xludf.DUMMYFUNCTION("""COMPUTED_VALUE"""),"2018")</f>
        <v>2018</v>
      </c>
      <c r="H325" s="6" t="str">
        <f>IFERROR(__xludf.DUMMYFUNCTION("""COMPUTED_VALUE"""),"Agosto")</f>
        <v>Agosto</v>
      </c>
      <c r="I325" s="12" t="str">
        <f>IFERROR(__xludf.DUMMYFUNCTION("""COMPUTED_VALUE"""),"15")</f>
        <v>15</v>
      </c>
      <c r="J325" s="6" t="str">
        <f>IFERROR(__xludf.DUMMYFUNCTION("""COMPUTED_VALUE"""),"Cali")</f>
        <v>Cali</v>
      </c>
      <c r="K325" s="6" t="str">
        <f>IFERROR(__xludf.DUMMYFUNCTION("""COMPUTED_VALUE"""),"mia.c2036@gi.edu.co")</f>
        <v>mia.c2036@gi.edu.co</v>
      </c>
      <c r="L325" s="6" t="str">
        <f>IFERROR(__xludf.DUMMYFUNCTION("""COMPUTED_VALUE"""),"RC")</f>
        <v>RC</v>
      </c>
      <c r="M325" s="6" t="str">
        <f>IFERROR(__xludf.DUMMYFUNCTION("""COMPUTED_VALUE"""),"Cali")</f>
        <v>Cali</v>
      </c>
      <c r="N325" s="6" t="str">
        <f>IFERROR(__xludf.DUMMYFUNCTION("""COMPUTED_VALUE"""),"F")</f>
        <v>F</v>
      </c>
      <c r="O325" s="6" t="str">
        <f>IFERROR(__xludf.DUMMYFUNCTION("""COMPUTED_VALUE"""),"ACTIVE")</f>
        <v>ACTIVE</v>
      </c>
      <c r="P325" s="6"/>
      <c r="Q325" s="6" t="str">
        <f>IFERROR(__xludf.DUMMYFUNCTION("""COMPUTED_VALUE"""),"Armenia")</f>
        <v>Armenia</v>
      </c>
      <c r="R325" s="12" t="str">
        <f>IFERROR(__xludf.DUMMYFUNCTION("""COMPUTED_VALUE"""),"Gi133dh*")</f>
        <v>Gi133dh*</v>
      </c>
      <c r="S325" s="6" t="str">
        <f>IFERROR(__xludf.DUMMYFUNCTION("""COMPUTED_VALUE"""),"Cardona Echeverri Mía ")</f>
        <v>Cardona Echeverri Mía </v>
      </c>
      <c r="T325" s="6" t="str">
        <f>IFERROR(__xludf.DUMMYFUNCTION("""COMPUTED_VALUE"""),"CARLOS FERNANDO CARDONA BRICEÑO")</f>
        <v>CARLOS FERNANDO CARDONA BRICEÑO</v>
      </c>
      <c r="U325" s="12" t="str">
        <f>IFERROR(__xludf.DUMMYFUNCTION("""COMPUTED_VALUE"""),"1143834344")</f>
        <v>1143834344</v>
      </c>
      <c r="V325" s="6">
        <f>IFERROR(__xludf.DUMMYFUNCTION("""COMPUTED_VALUE"""),3.152885588E9)</f>
        <v>3152885588</v>
      </c>
      <c r="W325" s="6" t="str">
        <f>IFERROR(__xludf.DUMMYFUNCTION("""COMPUTED_VALUE"""),"ccardona90@hotmail.com")</f>
        <v>ccardona90@hotmail.com</v>
      </c>
      <c r="X325" s="12" t="str">
        <f>IFERROR(__xludf.DUMMYFUNCTION("""COMPUTED_VALUE"""),"O+")</f>
        <v>O+</v>
      </c>
      <c r="Y325" s="12" t="str">
        <f>IFERROR(__xludf.DUMMYFUNCTION("""COMPUTED_VALUE"""),"3")</f>
        <v>3</v>
      </c>
      <c r="Z325" s="12">
        <f>IFERROR(__xludf.DUMMYFUNCTION("""COMPUTED_VALUE"""),120268.0)</f>
        <v>120268</v>
      </c>
      <c r="AA325" s="6" t="str">
        <f>IFERROR(__xludf.DUMMYFUNCTION("""COMPUTED_VALUE"""),"SANITAS")</f>
        <v>SANITAS</v>
      </c>
      <c r="AB325" s="6"/>
      <c r="AC325" s="6"/>
      <c r="AD325" s="6" t="str">
        <f>IFERROR(__xludf.DUMMYFUNCTION("""COMPUTED_VALUE"""),"3B")</f>
        <v>3B</v>
      </c>
      <c r="AE325" s="12">
        <f>IFERROR(__xludf.DUMMYFUNCTION("""COMPUTED_VALUE"""),1.345282289E9)</f>
        <v>1345282289</v>
      </c>
      <c r="AF325" s="12" t="str">
        <f>IFERROR(__xludf.DUMMYFUNCTION("""COMPUTED_VALUE"""),"0660955187")</f>
        <v>0660955187</v>
      </c>
      <c r="AG325" s="12" t="str">
        <f>IFERROR(__xludf.DUMMYFUNCTION("""COMPUTED_VALUE"""),"Maria ")</f>
        <v>Maria </v>
      </c>
      <c r="AH325" s="12" t="str">
        <f>IFERROR(__xludf.DUMMYFUNCTION("""COMPUTED_VALUE"""),"Angélica")</f>
        <v>Angélica</v>
      </c>
      <c r="AI325" s="6" t="str">
        <f>IFERROR(__xludf.DUMMYFUNCTION("""COMPUTED_VALUE"""),"Echeverri Córdoba")</f>
        <v>Echeverri Córdoba</v>
      </c>
      <c r="AJ325" s="6" t="str">
        <f>IFERROR(__xludf.DUMMYFUNCTION("""COMPUTED_VALUE"""),"mangelicae90@gmail.com")</f>
        <v>mangelicae90@gmail.com</v>
      </c>
      <c r="AK325" s="6" t="str">
        <f>IFERROR(__xludf.DUMMYFUNCTION("""COMPUTED_VALUE"""),"SOCIOLOGA Y ANTROPOLOGA")</f>
        <v>SOCIOLOGA Y ANTROPOLOGA</v>
      </c>
      <c r="AL325" s="6" t="str">
        <f>IFERROR(__xludf.DUMMYFUNCTION("""COMPUTED_VALUE"""),"OJAIMAQ S.A")</f>
        <v>OJAIMAQ S.A</v>
      </c>
      <c r="AM325" s="12" t="str">
        <f>IFERROR(__xludf.DUMMYFUNCTION("""COMPUTED_VALUE"""),"1144033352")</f>
        <v>1144033352</v>
      </c>
      <c r="AN325" s="12" t="str">
        <f>IFERROR(__xludf.DUMMYFUNCTION("""COMPUTED_VALUE"""),"3175173244")</f>
        <v>3175173244</v>
      </c>
      <c r="AO325" s="6" t="str">
        <f>IFERROR(__xludf.DUMMYFUNCTION("""COMPUTED_VALUE"""),"Madre")</f>
        <v>Madre</v>
      </c>
      <c r="AP325" s="6" t="str">
        <f>IFERROR(__xludf.DUMMYFUNCTION("""COMPUTED_VALUE"""),"Estudiante(s): Cardona Echeverri")</f>
        <v>Estudiante(s): Cardona Echeverri</v>
      </c>
      <c r="AQ325" s="6" t="str">
        <f>IFERROR(__xludf.DUMMYFUNCTION("""COMPUTED_VALUE"""),"120268Gi*")</f>
        <v>120268Gi*</v>
      </c>
      <c r="AR325" s="6" t="str">
        <f>IFERROR(__xludf.DUMMYFUNCTION("""COMPUTED_VALUE"""),"Carlos")</f>
        <v>Carlos</v>
      </c>
      <c r="AS325" s="6" t="str">
        <f>IFERROR(__xludf.DUMMYFUNCTION("""COMPUTED_VALUE"""),"Fernando")</f>
        <v>Fernando</v>
      </c>
      <c r="AT325" s="6" t="str">
        <f>IFERROR(__xludf.DUMMYFUNCTION("""COMPUTED_VALUE"""),"Cardona Briceño")</f>
        <v>Cardona Briceño</v>
      </c>
      <c r="AU325" s="6" t="str">
        <f>IFERROR(__xludf.DUMMYFUNCTION("""COMPUTED_VALUE"""),"ccardona90@hotmail.com")</f>
        <v>ccardona90@hotmail.com</v>
      </c>
      <c r="AV325" s="6" t="str">
        <f>IFERROR(__xludf.DUMMYFUNCTION("""COMPUTED_VALUE"""),"TEOLOGO")</f>
        <v>TEOLOGO</v>
      </c>
      <c r="AW325" s="6"/>
      <c r="AX325" s="12" t="str">
        <f>IFERROR(__xludf.DUMMYFUNCTION("""COMPUTED_VALUE"""),"1143834344")</f>
        <v>1143834344</v>
      </c>
      <c r="AY325" s="12" t="str">
        <f>IFERROR(__xludf.DUMMYFUNCTION("""COMPUTED_VALUE"""),"3152885588")</f>
        <v>3152885588</v>
      </c>
      <c r="AZ325" s="6" t="str">
        <f>IFERROR(__xludf.DUMMYFUNCTION("""COMPUTED_VALUE"""),"Padre")</f>
        <v>Padre</v>
      </c>
      <c r="BA325" s="6"/>
      <c r="BB325" s="6"/>
      <c r="BC325" s="6"/>
      <c r="BD325" s="12" t="str">
        <f>IFERROR(__xludf.DUMMYFUNCTION("""COMPUTED_VALUE"""),"car0019")</f>
        <v>car0019</v>
      </c>
      <c r="BE325" s="6"/>
      <c r="BF325" s="6"/>
      <c r="BG325" s="6">
        <f>IFERROR(__xludf.DUMMYFUNCTION("""COMPUTED_VALUE"""),2036.0)</f>
        <v>2036</v>
      </c>
      <c r="BH325" s="15">
        <f>IFERROR(__xludf.DUMMYFUNCTION("""COMPUTED_VALUE"""),46211.43787037037)</f>
        <v>46211.43787</v>
      </c>
      <c r="BI325" s="6">
        <f>IFERROR(__xludf.DUMMYFUNCTION("""COMPUTED_VALUE"""),325.0)</f>
        <v>325</v>
      </c>
      <c r="BJ325" s="6"/>
      <c r="BK325" s="6"/>
      <c r="BL325" s="6" t="str">
        <f>IFERROR(__xludf.DUMMYFUNCTION("""COMPUTED_VALUE"""),"GISCAR0019")</f>
        <v>GISCAR0019</v>
      </c>
      <c r="BM325" s="6"/>
      <c r="BN325" s="6"/>
      <c r="BO325" s="6"/>
      <c r="BP325" s="6" t="str">
        <f>IFERROR(__xludf.DUMMYFUNCTION("""COMPUTED_VALUE"""),"XC_EL_Porras")</f>
        <v>XC_EL_Porras</v>
      </c>
      <c r="BQ325" s="6" t="str">
        <f>IFERROR(__xludf.DUMMYFUNCTION("""COMPUTED_VALUE"""),"XC_EL_Porras")</f>
        <v>XC_EL_Porras</v>
      </c>
      <c r="BR325" s="6"/>
      <c r="BS325" s="6" t="str">
        <f>IFERROR(__xludf.DUMMYFUNCTION("""COMPUTED_VALUE"""),"XC_EL_Porras")</f>
        <v>XC_EL_Porras</v>
      </c>
      <c r="BT325" s="6"/>
      <c r="BU325" s="6" t="str">
        <f>IFERROR(__xludf.DUMMYFUNCTION("""COMPUTED_VALUE"""),"SI")</f>
        <v>SI</v>
      </c>
      <c r="BV325" s="6" t="str">
        <f>IFERROR(__xludf.DUMMYFUNCTION("""COMPUTED_VALUE"""),"mia.c2036")</f>
        <v>mia.c2036</v>
      </c>
      <c r="BW325" s="6"/>
      <c r="BX325" s="6"/>
      <c r="BY325" s="6"/>
      <c r="BZ325" s="6"/>
    </row>
    <row r="326">
      <c r="A326" s="12">
        <f>IFERROR(__xludf.DUMMYFUNCTION("""COMPUTED_VALUE"""),1.166467644E9)</f>
        <v>1166467644</v>
      </c>
      <c r="B326" s="6">
        <f>IFERROR(__xludf.DUMMYFUNCTION("""COMPUTED_VALUE"""),9.0)</f>
        <v>9</v>
      </c>
      <c r="C326" s="6" t="str">
        <f>IFERROR(__xludf.DUMMYFUNCTION("""COMPUTED_VALUE"""),"Juan")</f>
        <v>Juan</v>
      </c>
      <c r="D326" s="6" t="str">
        <f>IFERROR(__xludf.DUMMYFUNCTION("""COMPUTED_VALUE"""),"Diego")</f>
        <v>Diego</v>
      </c>
      <c r="E326" s="6" t="str">
        <f>IFERROR(__xludf.DUMMYFUNCTION("""COMPUTED_VALUE"""),"Cruz Hurtado")</f>
        <v>Cruz Hurtado</v>
      </c>
      <c r="F326" s="6" t="str">
        <f>IFERROR(__xludf.DUMMYFUNCTION("""COMPUTED_VALUE"""),"Tejares del Parque Casa 34 - Cra 13 No8Nte - 49")</f>
        <v>Tejares del Parque Casa 34 - Cra 13 No8Nte - 49</v>
      </c>
      <c r="G326" s="12" t="str">
        <f>IFERROR(__xludf.DUMMYFUNCTION("""COMPUTED_VALUE"""),"2018")</f>
        <v>2018</v>
      </c>
      <c r="H326" s="6" t="str">
        <f>IFERROR(__xludf.DUMMYFUNCTION("""COMPUTED_VALUE"""),"Junio")</f>
        <v>Junio</v>
      </c>
      <c r="I326" s="12" t="str">
        <f>IFERROR(__xludf.DUMMYFUNCTION("""COMPUTED_VALUE"""),"15")</f>
        <v>15</v>
      </c>
      <c r="J326" s="6" t="str">
        <f>IFERROR(__xludf.DUMMYFUNCTION("""COMPUTED_VALUE"""),"Popayán")</f>
        <v>Popayán</v>
      </c>
      <c r="K326" s="6" t="str">
        <f>IFERROR(__xludf.DUMMYFUNCTION("""COMPUTED_VALUE"""),"juand.c2036@gi.edu.co")</f>
        <v>juand.c2036@gi.edu.co</v>
      </c>
      <c r="L326" s="6" t="str">
        <f>IFERROR(__xludf.DUMMYFUNCTION("""COMPUTED_VALUE"""),"TI")</f>
        <v>TI</v>
      </c>
      <c r="M326" s="6" t="str">
        <f>IFERROR(__xludf.DUMMYFUNCTION("""COMPUTED_VALUE"""),"Armenia")</f>
        <v>Armenia</v>
      </c>
      <c r="N326" s="6" t="str">
        <f>IFERROR(__xludf.DUMMYFUNCTION("""COMPUTED_VALUE"""),"M")</f>
        <v>M</v>
      </c>
      <c r="O326" s="6" t="str">
        <f>IFERROR(__xludf.DUMMYFUNCTION("""COMPUTED_VALUE"""),"ACTIVE")</f>
        <v>ACTIVE</v>
      </c>
      <c r="P326" s="6"/>
      <c r="Q326" s="6" t="str">
        <f>IFERROR(__xludf.DUMMYFUNCTION("""COMPUTED_VALUE"""),"Armenia")</f>
        <v>Armenia</v>
      </c>
      <c r="R326" s="12" t="str">
        <f>IFERROR(__xludf.DUMMYFUNCTION("""COMPUTED_VALUE"""),"Gig8r4j*")</f>
        <v>Gig8r4j*</v>
      </c>
      <c r="S326" s="6" t="str">
        <f>IFERROR(__xludf.DUMMYFUNCTION("""COMPUTED_VALUE"""),"Cruz Hurtado Juan Diego")</f>
        <v>Cruz Hurtado Juan Diego</v>
      </c>
      <c r="T326" s="6" t="str">
        <f>IFERROR(__xludf.DUMMYFUNCTION("""COMPUTED_VALUE"""),"DIEGO FERNANDO CRUZ MENDOZA")</f>
        <v>DIEGO FERNANDO CRUZ MENDOZA</v>
      </c>
      <c r="U326" s="12" t="str">
        <f>IFERROR(__xludf.DUMMYFUNCTION("""COMPUTED_VALUE"""),"6549303")</f>
        <v>6549303</v>
      </c>
      <c r="V326" s="6">
        <f>IFERROR(__xludf.DUMMYFUNCTION("""COMPUTED_VALUE"""),3.183395566E9)</f>
        <v>3183395566</v>
      </c>
      <c r="W326" s="6" t="str">
        <f>IFERROR(__xludf.DUMMYFUNCTION("""COMPUTED_VALUE"""),"dipolo84@hotmail.com")</f>
        <v>dipolo84@hotmail.com</v>
      </c>
      <c r="X326" s="12" t="str">
        <f>IFERROR(__xludf.DUMMYFUNCTION("""COMPUTED_VALUE"""),"O+")</f>
        <v>O+</v>
      </c>
      <c r="Y326" s="12" t="str">
        <f>IFERROR(__xludf.DUMMYFUNCTION("""COMPUTED_VALUE"""),"3")</f>
        <v>3</v>
      </c>
      <c r="Z326" s="12">
        <f>IFERROR(__xludf.DUMMYFUNCTION("""COMPUTED_VALUE"""),120389.0)</f>
        <v>120389</v>
      </c>
      <c r="AA326" s="6" t="str">
        <f>IFERROR(__xludf.DUMMYFUNCTION("""COMPUTED_VALUE"""),"SURA")</f>
        <v>SURA</v>
      </c>
      <c r="AB326" s="6"/>
      <c r="AC326" s="6"/>
      <c r="AD326" s="6" t="str">
        <f>IFERROR(__xludf.DUMMYFUNCTION("""COMPUTED_VALUE"""),"3B")</f>
        <v>3B</v>
      </c>
      <c r="AE326" s="12" t="str">
        <f>IFERROR(__xludf.DUMMYFUNCTION("""COMPUTED_VALUE"""),"1345282390")</f>
        <v>1345282390</v>
      </c>
      <c r="AF326" s="12" t="str">
        <f>IFERROR(__xludf.DUMMYFUNCTION("""COMPUTED_VALUE"""),"0687564803")</f>
        <v>0687564803</v>
      </c>
      <c r="AG326" s="12" t="str">
        <f>IFERROR(__xludf.DUMMYFUNCTION("""COMPUTED_VALUE"""),"Maria")</f>
        <v>Maria</v>
      </c>
      <c r="AH326" s="12" t="str">
        <f>IFERROR(__xludf.DUMMYFUNCTION("""COMPUTED_VALUE"""),"Del Mar")</f>
        <v>Del Mar</v>
      </c>
      <c r="AI326" s="6" t="str">
        <f>IFERROR(__xludf.DUMMYFUNCTION("""COMPUTED_VALUE"""),"Hurtado Henao")</f>
        <v>Hurtado Henao</v>
      </c>
      <c r="AJ326" s="6" t="str">
        <f>IFERROR(__xludf.DUMMYFUNCTION("""COMPUTED_VALUE"""),"mademar88@hotmail.com")</f>
        <v>mademar88@hotmail.com</v>
      </c>
      <c r="AK326" s="6" t="str">
        <f>IFERROR(__xludf.DUMMYFUNCTION("""COMPUTED_VALUE"""),"INSTRUMENTARO QUIRURGICO")</f>
        <v>INSTRUMENTARO QUIRURGICO</v>
      </c>
      <c r="AL326" s="6"/>
      <c r="AM326" s="12" t="str">
        <f>IFERROR(__xludf.DUMMYFUNCTION("""COMPUTED_VALUE"""),"1130618432")</f>
        <v>1130618432</v>
      </c>
      <c r="AN326" s="12" t="str">
        <f>IFERROR(__xludf.DUMMYFUNCTION("""COMPUTED_VALUE"""),"3024680664")</f>
        <v>3024680664</v>
      </c>
      <c r="AO326" s="6" t="str">
        <f>IFERROR(__xludf.DUMMYFUNCTION("""COMPUTED_VALUE"""),"Madre")</f>
        <v>Madre</v>
      </c>
      <c r="AP326" s="6" t="str">
        <f>IFERROR(__xludf.DUMMYFUNCTION("""COMPUTED_VALUE"""),"Estudiante(s): Cruz Hurtado")</f>
        <v>Estudiante(s): Cruz Hurtado</v>
      </c>
      <c r="AQ326" s="6" t="str">
        <f>IFERROR(__xludf.DUMMYFUNCTION("""COMPUTED_VALUE"""),"120389*Gi")</f>
        <v>120389*Gi</v>
      </c>
      <c r="AR326" s="6" t="str">
        <f>IFERROR(__xludf.DUMMYFUNCTION("""COMPUTED_VALUE"""),"Diego")</f>
        <v>Diego</v>
      </c>
      <c r="AS326" s="6" t="str">
        <f>IFERROR(__xludf.DUMMYFUNCTION("""COMPUTED_VALUE"""),"Fernando")</f>
        <v>Fernando</v>
      </c>
      <c r="AT326" s="6" t="str">
        <f>IFERROR(__xludf.DUMMYFUNCTION("""COMPUTED_VALUE"""),"Cruz Mendoza")</f>
        <v>Cruz Mendoza</v>
      </c>
      <c r="AU326" s="6" t="str">
        <f>IFERROR(__xludf.DUMMYFUNCTION("""COMPUTED_VALUE"""),"dipolo84@hotmail.com")</f>
        <v>dipolo84@hotmail.com</v>
      </c>
      <c r="AV326" s="6" t="str">
        <f>IFERROR(__xludf.DUMMYFUNCTION("""COMPUTED_VALUE"""),"CIRUJANO DE TORAX")</f>
        <v>CIRUJANO DE TORAX</v>
      </c>
      <c r="AW326" s="6" t="str">
        <f>IFERROR(__xludf.DUMMYFUNCTION("""COMPUTED_VALUE"""),"Clinica Sagrada Familia")</f>
        <v>Clinica Sagrada Familia</v>
      </c>
      <c r="AX326" s="12" t="str">
        <f>IFERROR(__xludf.DUMMYFUNCTION("""COMPUTED_VALUE"""),"6549303")</f>
        <v>6549303</v>
      </c>
      <c r="AY326" s="12">
        <f>IFERROR(__xludf.DUMMYFUNCTION("""COMPUTED_VALUE"""),3.183395566E9)</f>
        <v>3183395566</v>
      </c>
      <c r="AZ326" s="6" t="str">
        <f>IFERROR(__xludf.DUMMYFUNCTION("""COMPUTED_VALUE"""),"Padre")</f>
        <v>Padre</v>
      </c>
      <c r="BA326" s="6"/>
      <c r="BB326" s="6"/>
      <c r="BC326" s="6"/>
      <c r="BD326" s="12" t="str">
        <f>IFERROR(__xludf.DUMMYFUNCTION("""COMPUTED_VALUE"""),"cru0002")</f>
        <v>cru0002</v>
      </c>
      <c r="BE326" s="6"/>
      <c r="BF326" s="6"/>
      <c r="BG326" s="6">
        <f>IFERROR(__xludf.DUMMYFUNCTION("""COMPUTED_VALUE"""),2036.0)</f>
        <v>2036</v>
      </c>
      <c r="BH326" s="15">
        <f>IFERROR(__xludf.DUMMYFUNCTION("""COMPUTED_VALUE"""),46204.85697916667)</f>
        <v>46204.85698</v>
      </c>
      <c r="BI326" s="6">
        <f>IFERROR(__xludf.DUMMYFUNCTION("""COMPUTED_VALUE"""),326.0)</f>
        <v>326</v>
      </c>
      <c r="BJ326" s="6"/>
      <c r="BK326" s="6"/>
      <c r="BL326" s="6" t="str">
        <f>IFERROR(__xludf.DUMMYFUNCTION("""COMPUTED_VALUE"""),"GISCRU0002")</f>
        <v>GISCRU0002</v>
      </c>
      <c r="BM326" s="6"/>
      <c r="BN326" s="6"/>
      <c r="BO326" s="6"/>
      <c r="BP326" s="6" t="str">
        <f>IFERROR(__xludf.DUMMYFUNCTION("""COMPUTED_VALUE"""),"XC_23_Futbol_M")</f>
        <v>XC_23_Futbol_M</v>
      </c>
      <c r="BQ326" s="6"/>
      <c r="BR326" s="6"/>
      <c r="BS326" s="6" t="str">
        <f>IFERROR(__xludf.DUMMYFUNCTION("""COMPUTED_VALUE"""),"XC_23_Futbol_M")</f>
        <v>XC_23_Futbol_M</v>
      </c>
      <c r="BT326" s="6" t="str">
        <f>IFERROR(__xludf.DUMMYFUNCTION("""COMPUTED_VALUE"""),"XC_23_Futbol_M")</f>
        <v>XC_23_Futbol_M</v>
      </c>
      <c r="BU326" s="6" t="str">
        <f>IFERROR(__xludf.DUMMYFUNCTION("""COMPUTED_VALUE"""),"SI")</f>
        <v>SI</v>
      </c>
      <c r="BV326" s="6" t="str">
        <f>IFERROR(__xludf.DUMMYFUNCTION("""COMPUTED_VALUE"""),"juand.c2036")</f>
        <v>juand.c2036</v>
      </c>
      <c r="BW326" s="6"/>
      <c r="BX326" s="6"/>
      <c r="BY326" s="6"/>
      <c r="BZ326" s="6"/>
    </row>
    <row r="327">
      <c r="A327" s="12">
        <f>IFERROR(__xludf.DUMMYFUNCTION("""COMPUTED_VALUE"""),1.125814047E9)</f>
        <v>1125814047</v>
      </c>
      <c r="B327" s="6">
        <f>IFERROR(__xludf.DUMMYFUNCTION("""COMPUTED_VALUE"""),10.0)</f>
        <v>10</v>
      </c>
      <c r="C327" s="6" t="str">
        <f>IFERROR(__xludf.DUMMYFUNCTION("""COMPUTED_VALUE"""),"Ivanna")</f>
        <v>Ivanna</v>
      </c>
      <c r="D327" s="6"/>
      <c r="E327" s="6" t="str">
        <f>IFERROR(__xludf.DUMMYFUNCTION("""COMPUTED_VALUE"""),"Gaitán")</f>
        <v>Gaitán</v>
      </c>
      <c r="F327" s="6" t="str">
        <f>IFERROR(__xludf.DUMMYFUNCTION("""COMPUTED_VALUE"""),"Parque Residencial Botanika - Calle 3 No7 -51")</f>
        <v>Parque Residencial Botanika - Calle 3 No7 -51</v>
      </c>
      <c r="G327" s="12">
        <f>IFERROR(__xludf.DUMMYFUNCTION("""COMPUTED_VALUE"""),2018.0)</f>
        <v>2018</v>
      </c>
      <c r="H327" s="6" t="str">
        <f>IFERROR(__xludf.DUMMYFUNCTION("""COMPUTED_VALUE"""),"Noviembre")</f>
        <v>Noviembre</v>
      </c>
      <c r="I327" s="12">
        <f>IFERROR(__xludf.DUMMYFUNCTION("""COMPUTED_VALUE"""),27.0)</f>
        <v>27</v>
      </c>
      <c r="J327" s="6" t="str">
        <f>IFERROR(__xludf.DUMMYFUNCTION("""COMPUTED_VALUE"""),"New York")</f>
        <v>New York</v>
      </c>
      <c r="K327" s="6" t="str">
        <f>IFERROR(__xludf.DUMMYFUNCTION("""COMPUTED_VALUE"""),"ivanna.g2036@gi.edu.co")</f>
        <v>ivanna.g2036@gi.edu.co</v>
      </c>
      <c r="L327" s="6" t="str">
        <f>IFERROR(__xludf.DUMMYFUNCTION("""COMPUTED_VALUE"""),"TI")</f>
        <v>TI</v>
      </c>
      <c r="M327" s="6" t="str">
        <f>IFERROR(__xludf.DUMMYFUNCTION("""COMPUTED_VALUE"""),"New York")</f>
        <v>New York</v>
      </c>
      <c r="N327" s="6" t="str">
        <f>IFERROR(__xludf.DUMMYFUNCTION("""COMPUTED_VALUE"""),"F")</f>
        <v>F</v>
      </c>
      <c r="O327" s="6" t="str">
        <f>IFERROR(__xludf.DUMMYFUNCTION("""COMPUTED_VALUE"""),"ACTIVE")</f>
        <v>ACTIVE</v>
      </c>
      <c r="P327" s="6"/>
      <c r="Q327" s="6" t="str">
        <f>IFERROR(__xludf.DUMMYFUNCTION("""COMPUTED_VALUE"""),"Armenia")</f>
        <v>Armenia</v>
      </c>
      <c r="R327" s="12" t="str">
        <f>IFERROR(__xludf.DUMMYFUNCTION("""COMPUTED_VALUE"""),"Giefc7hn*")</f>
        <v>Giefc7hn*</v>
      </c>
      <c r="S327" s="6" t="str">
        <f>IFERROR(__xludf.DUMMYFUNCTION("""COMPUTED_VALUE"""),"Gaitán Ivanna ")</f>
        <v>Gaitán Ivanna </v>
      </c>
      <c r="T327" s="6" t="str">
        <f>IFERROR(__xludf.DUMMYFUNCTION("""COMPUTED_VALUE"""),"FARID VLADIMIR GAITÁN")</f>
        <v>FARID VLADIMIR GAITÁN</v>
      </c>
      <c r="U327" s="12" t="str">
        <f>IFERROR(__xludf.DUMMYFUNCTION("""COMPUTED_VALUE"""),"19473368")</f>
        <v>19473368</v>
      </c>
      <c r="V327" s="6">
        <f>IFERROR(__xludf.DUMMYFUNCTION("""COMPUTED_VALUE"""),7.184407021E9)</f>
        <v>7184407021</v>
      </c>
      <c r="W327" s="6" t="str">
        <f>IFERROR(__xludf.DUMMYFUNCTION("""COMPUTED_VALUE"""),"faridgaitan@gmail.com")</f>
        <v>faridgaitan@gmail.com</v>
      </c>
      <c r="X327" s="12" t="str">
        <f>IFERROR(__xludf.DUMMYFUNCTION("""COMPUTED_VALUE"""),"A+")</f>
        <v>A+</v>
      </c>
      <c r="Y327" s="12" t="str">
        <f>IFERROR(__xludf.DUMMYFUNCTION("""COMPUTED_VALUE"""),"3")</f>
        <v>3</v>
      </c>
      <c r="Z327" s="12">
        <f>IFERROR(__xludf.DUMMYFUNCTION("""COMPUTED_VALUE"""),120514.0)</f>
        <v>120514</v>
      </c>
      <c r="AA327" s="6" t="str">
        <f>IFERROR(__xludf.DUMMYFUNCTION("""COMPUTED_VALUE"""),"OTRA")</f>
        <v>OTRA</v>
      </c>
      <c r="AB327" s="6"/>
      <c r="AC327" s="6"/>
      <c r="AD327" s="6" t="str">
        <f>IFERROR(__xludf.DUMMYFUNCTION("""COMPUTED_VALUE"""),"3B")</f>
        <v>3B</v>
      </c>
      <c r="AE327" s="12" t="str">
        <f>IFERROR(__xludf.DUMMYFUNCTION("""COMPUTED_VALUE"""),"1345282513")</f>
        <v>1345282513</v>
      </c>
      <c r="AF327" s="12" t="str">
        <f>IFERROR(__xludf.DUMMYFUNCTION("""COMPUTED_VALUE"""),"1345282513")</f>
        <v>1345282513</v>
      </c>
      <c r="AG327" s="12" t="str">
        <f>IFERROR(__xludf.DUMMYFUNCTION("""COMPUTED_VALUE"""),"Diana")</f>
        <v>Diana</v>
      </c>
      <c r="AH327" s="12" t="str">
        <f>IFERROR(__xludf.DUMMYFUNCTION("""COMPUTED_VALUE"""),"María")</f>
        <v>María</v>
      </c>
      <c r="AI327" s="6" t="str">
        <f>IFERROR(__xludf.DUMMYFUNCTION("""COMPUTED_VALUE"""),"Giraldo Aguirre")</f>
        <v>Giraldo Aguirre</v>
      </c>
      <c r="AJ327" s="6" t="str">
        <f>IFERROR(__xludf.DUMMYFUNCTION("""COMPUTED_VALUE"""),"ivannaarianna27@gmail.com")</f>
        <v>ivannaarianna27@gmail.com</v>
      </c>
      <c r="AK327" s="6" t="str">
        <f>IFERROR(__xludf.DUMMYFUNCTION("""COMPUTED_VALUE"""),"Enfermera")</f>
        <v>Enfermera</v>
      </c>
      <c r="AL327" s="6" t="str">
        <f>IFERROR(__xludf.DUMMYFUNCTION("""COMPUTED_VALUE"""),"Casa")</f>
        <v>Casa</v>
      </c>
      <c r="AM327" s="12" t="str">
        <f>IFERROR(__xludf.DUMMYFUNCTION("""COMPUTED_VALUE"""),"1053804008")</f>
        <v>1053804008</v>
      </c>
      <c r="AN327" s="12" t="str">
        <f>IFERROR(__xludf.DUMMYFUNCTION("""COMPUTED_VALUE"""),"3246052767")</f>
        <v>3246052767</v>
      </c>
      <c r="AO327" s="6" t="str">
        <f>IFERROR(__xludf.DUMMYFUNCTION("""COMPUTED_VALUE"""),"Madre")</f>
        <v>Madre</v>
      </c>
      <c r="AP327" s="12" t="str">
        <f>IFERROR(__xludf.DUMMYFUNCTION("""COMPUTED_VALUE"""),"Estudiante(s): Gaitán Giraldo")</f>
        <v>Estudiante(s): Gaitán Giraldo</v>
      </c>
      <c r="AQ327" s="6" t="str">
        <f>IFERROR(__xludf.DUMMYFUNCTION("""COMPUTED_VALUE"""),"120514*Gi")</f>
        <v>120514*Gi</v>
      </c>
      <c r="AR327" s="6" t="str">
        <f>IFERROR(__xludf.DUMMYFUNCTION("""COMPUTED_VALUE"""),"Farid")</f>
        <v>Farid</v>
      </c>
      <c r="AS327" s="6" t="str">
        <f>IFERROR(__xludf.DUMMYFUNCTION("""COMPUTED_VALUE"""),"Vladimir")</f>
        <v>Vladimir</v>
      </c>
      <c r="AT327" s="6" t="str">
        <f>IFERROR(__xludf.DUMMYFUNCTION("""COMPUTED_VALUE"""),"Gaitán")</f>
        <v>Gaitán</v>
      </c>
      <c r="AU327" s="6" t="str">
        <f>IFERROR(__xludf.DUMMYFUNCTION("""COMPUTED_VALUE"""),"faridgaitan@gmail.com")</f>
        <v>faridgaitan@gmail.com</v>
      </c>
      <c r="AV327" s="6" t="str">
        <f>IFERROR(__xludf.DUMMYFUNCTION("""COMPUTED_VALUE"""),"Admin Empresa")</f>
        <v>Admin Empresa</v>
      </c>
      <c r="AW327" s="6" t="str">
        <f>IFERROR(__xludf.DUMMYFUNCTION("""COMPUTED_VALUE"""),"New York ")</f>
        <v>New York </v>
      </c>
      <c r="AX327" s="12" t="str">
        <f>IFERROR(__xludf.DUMMYFUNCTION("""COMPUTED_VALUE"""),"19473368")</f>
        <v>19473368</v>
      </c>
      <c r="AY327" s="12" t="str">
        <f>IFERROR(__xludf.DUMMYFUNCTION("""COMPUTED_VALUE""")," +17184407021")</f>
        <v> +17184407021</v>
      </c>
      <c r="AZ327" s="6" t="str">
        <f>IFERROR(__xludf.DUMMYFUNCTION("""COMPUTED_VALUE"""),"Padre")</f>
        <v>Padre</v>
      </c>
      <c r="BA327" s="6"/>
      <c r="BB327" s="6"/>
      <c r="BC327" s="6"/>
      <c r="BD327" s="12" t="str">
        <f>IFERROR(__xludf.DUMMYFUNCTION("""COMPUTED_VALUE"""),"gai0001")</f>
        <v>gai0001</v>
      </c>
      <c r="BE327" s="6"/>
      <c r="BF327" s="6"/>
      <c r="BG327" s="6">
        <f>IFERROR(__xludf.DUMMYFUNCTION("""COMPUTED_VALUE"""),2036.0)</f>
        <v>2036</v>
      </c>
      <c r="BH327" s="15">
        <f>IFERROR(__xludf.DUMMYFUNCTION("""COMPUTED_VALUE"""),46185.48311342593)</f>
        <v>46185.48311</v>
      </c>
      <c r="BI327" s="6">
        <f>IFERROR(__xludf.DUMMYFUNCTION("""COMPUTED_VALUE"""),327.0)</f>
        <v>327</v>
      </c>
      <c r="BJ327" s="6"/>
      <c r="BK327" s="6"/>
      <c r="BL327" s="6" t="str">
        <f>IFERROR(__xludf.DUMMYFUNCTION("""COMPUTED_VALUE"""),"GISGAI0001")</f>
        <v>GISGAI0001</v>
      </c>
      <c r="BM327" s="6"/>
      <c r="BN327" s="6"/>
      <c r="BO327" s="6"/>
      <c r="BP327" s="6"/>
      <c r="BQ327" s="6"/>
      <c r="BR327" s="6"/>
      <c r="BS327" s="6"/>
      <c r="BT327" s="6"/>
      <c r="BU327" s="6" t="str">
        <f>IFERROR(__xludf.DUMMYFUNCTION("""COMPUTED_VALUE"""),"SI")</f>
        <v>SI</v>
      </c>
      <c r="BV327" s="6" t="str">
        <f>IFERROR(__xludf.DUMMYFUNCTION("""COMPUTED_VALUE"""),"ivanna.g2036")</f>
        <v>ivanna.g2036</v>
      </c>
      <c r="BW327" s="6"/>
      <c r="BX327" s="6"/>
      <c r="BY327" s="6"/>
      <c r="BZ327" s="6"/>
    </row>
    <row r="328">
      <c r="A328" s="12">
        <f>IFERROR(__xludf.DUMMYFUNCTION("""COMPUTED_VALUE"""),1.092862311E9)</f>
        <v>1092862311</v>
      </c>
      <c r="B328" s="6">
        <f>IFERROR(__xludf.DUMMYFUNCTION("""COMPUTED_VALUE"""),11.0)</f>
        <v>11</v>
      </c>
      <c r="C328" s="6" t="str">
        <f>IFERROR(__xludf.DUMMYFUNCTION("""COMPUTED_VALUE"""),"Joaquín")</f>
        <v>Joaquín</v>
      </c>
      <c r="D328" s="6"/>
      <c r="E328" s="6" t="str">
        <f>IFERROR(__xludf.DUMMYFUNCTION("""COMPUTED_VALUE"""),"García Botero")</f>
        <v>García Botero</v>
      </c>
      <c r="F328" s="6" t="str">
        <f>IFERROR(__xludf.DUMMYFUNCTION("""COMPUTED_VALUE"""),"Condominio El Robledal Casa 17 - Calle 14Nte No10 - 05 La Castellana")</f>
        <v>Condominio El Robledal Casa 17 - Calle 14Nte No10 - 05 La Castellana</v>
      </c>
      <c r="G328" s="12" t="str">
        <f>IFERROR(__xludf.DUMMYFUNCTION("""COMPUTED_VALUE"""),"2018")</f>
        <v>2018</v>
      </c>
      <c r="H328" s="6" t="str">
        <f>IFERROR(__xludf.DUMMYFUNCTION("""COMPUTED_VALUE"""),"Agosto")</f>
        <v>Agosto</v>
      </c>
      <c r="I328" s="12" t="str">
        <f>IFERROR(__xludf.DUMMYFUNCTION("""COMPUTED_VALUE"""),"30")</f>
        <v>30</v>
      </c>
      <c r="J328" s="6" t="str">
        <f>IFERROR(__xludf.DUMMYFUNCTION("""COMPUTED_VALUE"""),"Armenia")</f>
        <v>Armenia</v>
      </c>
      <c r="K328" s="6" t="str">
        <f>IFERROR(__xludf.DUMMYFUNCTION("""COMPUTED_VALUE"""),"joaquin.g2036@gi.edu.co")</f>
        <v>joaquin.g2036@gi.edu.co</v>
      </c>
      <c r="L328" s="6" t="str">
        <f>IFERROR(__xludf.DUMMYFUNCTION("""COMPUTED_VALUE"""),"RC")</f>
        <v>RC</v>
      </c>
      <c r="M328" s="6" t="str">
        <f>IFERROR(__xludf.DUMMYFUNCTION("""COMPUTED_VALUE"""),"Armenia")</f>
        <v>Armenia</v>
      </c>
      <c r="N328" s="6" t="str">
        <f>IFERROR(__xludf.DUMMYFUNCTION("""COMPUTED_VALUE"""),"M")</f>
        <v>M</v>
      </c>
      <c r="O328" s="6" t="str">
        <f>IFERROR(__xludf.DUMMYFUNCTION("""COMPUTED_VALUE"""),"ACTIVE")</f>
        <v>ACTIVE</v>
      </c>
      <c r="P328" s="6"/>
      <c r="Q328" s="6" t="str">
        <f>IFERROR(__xludf.DUMMYFUNCTION("""COMPUTED_VALUE"""),"Armenia")</f>
        <v>Armenia</v>
      </c>
      <c r="R328" s="12" t="str">
        <f>IFERROR(__xludf.DUMMYFUNCTION("""COMPUTED_VALUE"""),"GinyZ68R*")</f>
        <v>GinyZ68R*</v>
      </c>
      <c r="S328" s="6" t="str">
        <f>IFERROR(__xludf.DUMMYFUNCTION("""COMPUTED_VALUE"""),"García Botero Joaquín ")</f>
        <v>García Botero Joaquín </v>
      </c>
      <c r="T328" s="6" t="str">
        <f>IFERROR(__xludf.DUMMYFUNCTION("""COMPUTED_VALUE"""),"DIEGO ANDRES ANDRES GARCIA ARBELAEZ")</f>
        <v>DIEGO ANDRES ANDRES GARCIA ARBELAEZ</v>
      </c>
      <c r="U328" s="12" t="str">
        <f>IFERROR(__xludf.DUMMYFUNCTION("""COMPUTED_VALUE"""),"1094917129")</f>
        <v>1094917129</v>
      </c>
      <c r="V328" s="6">
        <f>IFERROR(__xludf.DUMMYFUNCTION("""COMPUTED_VALUE"""),3.113185692E9)</f>
        <v>3113185692</v>
      </c>
      <c r="W328" s="6" t="str">
        <f>IFERROR(__xludf.DUMMYFUNCTION("""COMPUTED_VALUE"""),"comercial@lavelopues.com")</f>
        <v>comercial@lavelopues.com</v>
      </c>
      <c r="X328" s="12" t="str">
        <f>IFERROR(__xludf.DUMMYFUNCTION("""COMPUTED_VALUE"""),"A+")</f>
        <v>A+</v>
      </c>
      <c r="Y328" s="12" t="str">
        <f>IFERROR(__xludf.DUMMYFUNCTION("""COMPUTED_VALUE"""),"3")</f>
        <v>3</v>
      </c>
      <c r="Z328" s="12">
        <f>IFERROR(__xludf.DUMMYFUNCTION("""COMPUTED_VALUE"""),120199.0)</f>
        <v>120199</v>
      </c>
      <c r="AA328" s="6" t="str">
        <f>IFERROR(__xludf.DUMMYFUNCTION("""COMPUTED_VALUE"""),"SURA")</f>
        <v>SURA</v>
      </c>
      <c r="AB328" s="6"/>
      <c r="AC328" s="6"/>
      <c r="AD328" s="6" t="str">
        <f>IFERROR(__xludf.DUMMYFUNCTION("""COMPUTED_VALUE"""),"3B")</f>
        <v>3B</v>
      </c>
      <c r="AE328" s="12">
        <f>IFERROR(__xludf.DUMMYFUNCTION("""COMPUTED_VALUE"""),1.345282102E9)</f>
        <v>1345282102</v>
      </c>
      <c r="AF328" s="12" t="str">
        <f>IFERROR(__xludf.DUMMYFUNCTION("""COMPUTED_VALUE"""),"0659552579")</f>
        <v>0659552579</v>
      </c>
      <c r="AG328" s="12" t="str">
        <f>IFERROR(__xludf.DUMMYFUNCTION("""COMPUTED_VALUE"""),"Laura")</f>
        <v>Laura</v>
      </c>
      <c r="AH328" s="6"/>
      <c r="AI328" s="6" t="str">
        <f>IFERROR(__xludf.DUMMYFUNCTION("""COMPUTED_VALUE"""),"Botero Hincapié")</f>
        <v>Botero Hincapié</v>
      </c>
      <c r="AJ328" s="6" t="str">
        <f>IFERROR(__xludf.DUMMYFUNCTION("""COMPUTED_VALUE"""),"laura_botero_7@hotmail.com")</f>
        <v>laura_botero_7@hotmail.com</v>
      </c>
      <c r="AK328" s="6" t="str">
        <f>IFERROR(__xludf.DUMMYFUNCTION("""COMPUTED_VALUE"""),"Administradora de empresas")</f>
        <v>Administradora de empresas</v>
      </c>
      <c r="AL328" s="6" t="str">
        <f>IFERROR(__xludf.DUMMYFUNCTION("""COMPUTED_VALUE"""),"Parque tematico y cultural los arrieros")</f>
        <v>Parque tematico y cultural los arrieros</v>
      </c>
      <c r="AM328" s="12" t="str">
        <f>IFERROR(__xludf.DUMMYFUNCTION("""COMPUTED_VALUE"""),"1094915400")</f>
        <v>1094915400</v>
      </c>
      <c r="AN328" s="12" t="str">
        <f>IFERROR(__xludf.DUMMYFUNCTION("""COMPUTED_VALUE"""),"3103885173")</f>
        <v>3103885173</v>
      </c>
      <c r="AO328" s="6" t="str">
        <f>IFERROR(__xludf.DUMMYFUNCTION("""COMPUTED_VALUE"""),"Madre")</f>
        <v>Madre</v>
      </c>
      <c r="AP328" s="6" t="str">
        <f>IFERROR(__xludf.DUMMYFUNCTION("""COMPUTED_VALUE"""),"Estudiante(s): García Botero")</f>
        <v>Estudiante(s): García Botero</v>
      </c>
      <c r="AQ328" s="6" t="str">
        <f>IFERROR(__xludf.DUMMYFUNCTION("""COMPUTED_VALUE"""),"120134*Gi")</f>
        <v>120134*Gi</v>
      </c>
      <c r="AR328" s="6" t="str">
        <f>IFERROR(__xludf.DUMMYFUNCTION("""COMPUTED_VALUE"""),"Diego")</f>
        <v>Diego</v>
      </c>
      <c r="AS328" s="6" t="str">
        <f>IFERROR(__xludf.DUMMYFUNCTION("""COMPUTED_VALUE"""),"Andrés")</f>
        <v>Andrés</v>
      </c>
      <c r="AT328" s="6" t="str">
        <f>IFERROR(__xludf.DUMMYFUNCTION("""COMPUTED_VALUE"""),"García Arbeláez")</f>
        <v>García Arbeláez</v>
      </c>
      <c r="AU328" s="6" t="str">
        <f>IFERROR(__xludf.DUMMYFUNCTION("""COMPUTED_VALUE"""),"comercial@lavelopues.com")</f>
        <v>comercial@lavelopues.com</v>
      </c>
      <c r="AV328" s="6" t="str">
        <f>IFERROR(__xludf.DUMMYFUNCTION("""COMPUTED_VALUE"""),"Administrador de empresas")</f>
        <v>Administrador de empresas</v>
      </c>
      <c r="AW328" s="6" t="str">
        <f>IFERROR(__xludf.DUMMYFUNCTION("""COMPUTED_VALUE"""),"Lavelo Pues Colombia S.A.S")</f>
        <v>Lavelo Pues Colombia S.A.S</v>
      </c>
      <c r="AX328" s="12" t="str">
        <f>IFERROR(__xludf.DUMMYFUNCTION("""COMPUTED_VALUE"""),"1094917129")</f>
        <v>1094917129</v>
      </c>
      <c r="AY328" s="12" t="str">
        <f>IFERROR(__xludf.DUMMYFUNCTION("""COMPUTED_VALUE"""),"3113185692")</f>
        <v>3113185692</v>
      </c>
      <c r="AZ328" s="6" t="str">
        <f>IFERROR(__xludf.DUMMYFUNCTION("""COMPUTED_VALUE"""),"Padre")</f>
        <v>Padre</v>
      </c>
      <c r="BA328" s="6"/>
      <c r="BB328" s="6"/>
      <c r="BC328" s="6"/>
      <c r="BD328" s="12" t="str">
        <f>IFERROR(__xludf.DUMMYFUNCTION("""COMPUTED_VALUE"""),"gar0009")</f>
        <v>gar0009</v>
      </c>
      <c r="BE328" s="6"/>
      <c r="BF328" s="6"/>
      <c r="BG328" s="6">
        <f>IFERROR(__xludf.DUMMYFUNCTION("""COMPUTED_VALUE"""),2036.0)</f>
        <v>2036</v>
      </c>
      <c r="BH328" s="15">
        <f>IFERROR(__xludf.DUMMYFUNCTION("""COMPUTED_VALUE"""),46205.83278935185)</f>
        <v>46205.83279</v>
      </c>
      <c r="BI328" s="6">
        <f>IFERROR(__xludf.DUMMYFUNCTION("""COMPUTED_VALUE"""),328.0)</f>
        <v>328</v>
      </c>
      <c r="BJ328" s="6"/>
      <c r="BK328" s="6"/>
      <c r="BL328" s="6" t="str">
        <f>IFERROR(__xludf.DUMMYFUNCTION("""COMPUTED_VALUE"""),"GISGAR0009")</f>
        <v>GISGAR0009</v>
      </c>
      <c r="BM328" s="6"/>
      <c r="BN328" s="6"/>
      <c r="BO328" s="6"/>
      <c r="BP328" s="6" t="str">
        <f>IFERROR(__xludf.DUMMYFUNCTION("""COMPUTED_VALUE"""),"XC_23_Futbol_M")</f>
        <v>XC_23_Futbol_M</v>
      </c>
      <c r="BQ328" s="6"/>
      <c r="BR328" s="6"/>
      <c r="BS328" s="6" t="str">
        <f>IFERROR(__xludf.DUMMYFUNCTION("""COMPUTED_VALUE"""),"XC_23_Futbol_M")</f>
        <v>XC_23_Futbol_M</v>
      </c>
      <c r="BT328" s="6" t="str">
        <f>IFERROR(__xludf.DUMMYFUNCTION("""COMPUTED_VALUE"""),"XC_23_Futbol_M")</f>
        <v>XC_23_Futbol_M</v>
      </c>
      <c r="BU328" s="6" t="str">
        <f>IFERROR(__xludf.DUMMYFUNCTION("""COMPUTED_VALUE"""),"SI")</f>
        <v>SI</v>
      </c>
      <c r="BV328" s="6" t="str">
        <f>IFERROR(__xludf.DUMMYFUNCTION("""COMPUTED_VALUE"""),"joaquin.g2036")</f>
        <v>joaquin.g2036</v>
      </c>
      <c r="BW328" s="6"/>
      <c r="BX328" s="6"/>
      <c r="BY328" s="6"/>
      <c r="BZ328" s="6"/>
    </row>
    <row r="329">
      <c r="A329" s="12">
        <f>IFERROR(__xludf.DUMMYFUNCTION("""COMPUTED_VALUE"""),1.014899194E9)</f>
        <v>1014899194</v>
      </c>
      <c r="B329" s="6">
        <f>IFERROR(__xludf.DUMMYFUNCTION("""COMPUTED_VALUE"""),12.0)</f>
        <v>12</v>
      </c>
      <c r="C329" s="6" t="str">
        <f>IFERROR(__xludf.DUMMYFUNCTION("""COMPUTED_VALUE"""),"Samuel")</f>
        <v>Samuel</v>
      </c>
      <c r="D329" s="6"/>
      <c r="E329" s="6" t="str">
        <f>IFERROR(__xludf.DUMMYFUNCTION("""COMPUTED_VALUE"""),"Garzón Medina")</f>
        <v>Garzón Medina</v>
      </c>
      <c r="F329" s="6" t="str">
        <f>IFERROR(__xludf.DUMMYFUNCTION("""COMPUTED_VALUE"""),"Condominio el Tesoro Campestre Casa 25 - Altos del Rio Km 1 Via Armenia Calarca")</f>
        <v>Condominio el Tesoro Campestre Casa 25 - Altos del Rio Km 1 Via Armenia Calarca</v>
      </c>
      <c r="G329" s="12" t="str">
        <f>IFERROR(__xludf.DUMMYFUNCTION("""COMPUTED_VALUE"""),"2018")</f>
        <v>2018</v>
      </c>
      <c r="H329" s="6" t="str">
        <f>IFERROR(__xludf.DUMMYFUNCTION("""COMPUTED_VALUE"""),"Septiembre")</f>
        <v>Septiembre</v>
      </c>
      <c r="I329" s="12" t="str">
        <f>IFERROR(__xludf.DUMMYFUNCTION("""COMPUTED_VALUE"""),"28")</f>
        <v>28</v>
      </c>
      <c r="J329" s="6" t="str">
        <f>IFERROR(__xludf.DUMMYFUNCTION("""COMPUTED_VALUE"""),"Bogotá D.C.")</f>
        <v>Bogotá D.C.</v>
      </c>
      <c r="K329" s="6" t="str">
        <f>IFERROR(__xludf.DUMMYFUNCTION("""COMPUTED_VALUE"""),"samuel.g2036@gi.edu.co")</f>
        <v>samuel.g2036@gi.edu.co</v>
      </c>
      <c r="L329" s="6" t="str">
        <f>IFERROR(__xludf.DUMMYFUNCTION("""COMPUTED_VALUE"""),"TI")</f>
        <v>TI</v>
      </c>
      <c r="M329" s="6" t="str">
        <f>IFERROR(__xludf.DUMMYFUNCTION("""COMPUTED_VALUE"""),"Armenia")</f>
        <v>Armenia</v>
      </c>
      <c r="N329" s="6" t="str">
        <f>IFERROR(__xludf.DUMMYFUNCTION("""COMPUTED_VALUE"""),"M")</f>
        <v>M</v>
      </c>
      <c r="O329" s="6" t="str">
        <f>IFERROR(__xludf.DUMMYFUNCTION("""COMPUTED_VALUE"""),"ACTIVE")</f>
        <v>ACTIVE</v>
      </c>
      <c r="P329" s="6"/>
      <c r="Q329" s="6" t="str">
        <f>IFERROR(__xludf.DUMMYFUNCTION("""COMPUTED_VALUE"""),"Armenia")</f>
        <v>Armenia</v>
      </c>
      <c r="R329" s="12" t="str">
        <f>IFERROR(__xludf.DUMMYFUNCTION("""COMPUTED_VALUE"""),"Gi2e5t6*")</f>
        <v>Gi2e5t6*</v>
      </c>
      <c r="S329" s="6" t="str">
        <f>IFERROR(__xludf.DUMMYFUNCTION("""COMPUTED_VALUE"""),"Garzón Medina Samuel ")</f>
        <v>Garzón Medina Samuel </v>
      </c>
      <c r="T329" s="6" t="str">
        <f>IFERROR(__xludf.DUMMYFUNCTION("""COMPUTED_VALUE"""),"DUVERNEY GARZON LEON")</f>
        <v>DUVERNEY GARZON LEON</v>
      </c>
      <c r="U329" s="12" t="str">
        <f>IFERROR(__xludf.DUMMYFUNCTION("""COMPUTED_VALUE"""),"18004329")</f>
        <v>18004329</v>
      </c>
      <c r="V329" s="6">
        <f>IFERROR(__xludf.DUMMYFUNCTION("""COMPUTED_VALUE"""),3.1325434E9)</f>
        <v>3132543400</v>
      </c>
      <c r="W329" s="6" t="str">
        <f>IFERROR(__xludf.DUMMYFUNCTION("""COMPUTED_VALUE"""),"galeon357@hotmail.com")</f>
        <v>galeon357@hotmail.com</v>
      </c>
      <c r="X329" s="12" t="str">
        <f>IFERROR(__xludf.DUMMYFUNCTION("""COMPUTED_VALUE"""),"O+")</f>
        <v>O+</v>
      </c>
      <c r="Y329" s="12" t="str">
        <f>IFERROR(__xludf.DUMMYFUNCTION("""COMPUTED_VALUE"""),"3")</f>
        <v>3</v>
      </c>
      <c r="Z329" s="12">
        <f>IFERROR(__xludf.DUMMYFUNCTION("""COMPUTED_VALUE"""),120237.0)</f>
        <v>120237</v>
      </c>
      <c r="AA329" s="6" t="str">
        <f>IFERROR(__xludf.DUMMYFUNCTION("""COMPUTED_VALUE"""),"SURA")</f>
        <v>SURA</v>
      </c>
      <c r="AB329" s="6"/>
      <c r="AC329" s="6"/>
      <c r="AD329" s="6" t="str">
        <f>IFERROR(__xludf.DUMMYFUNCTION("""COMPUTED_VALUE"""),"3B")</f>
        <v>3B</v>
      </c>
      <c r="AE329" s="12">
        <f>IFERROR(__xludf.DUMMYFUNCTION("""COMPUTED_VALUE"""),1.345282227E9)</f>
        <v>1345282227</v>
      </c>
      <c r="AF329" s="12" t="str">
        <f>IFERROR(__xludf.DUMMYFUNCTION("""COMPUTED_VALUE"""),"0686657043")</f>
        <v>0686657043</v>
      </c>
      <c r="AG329" s="12" t="str">
        <f>IFERROR(__xludf.DUMMYFUNCTION("""COMPUTED_VALUE"""),"Natalia")</f>
        <v>Natalia</v>
      </c>
      <c r="AH329" s="12" t="str">
        <f>IFERROR(__xludf.DUMMYFUNCTION("""COMPUTED_VALUE"""),"Andrea")</f>
        <v>Andrea</v>
      </c>
      <c r="AI329" s="6" t="str">
        <f>IFERROR(__xludf.DUMMYFUNCTION("""COMPUTED_VALUE"""),"Medina Quintero")</f>
        <v>Medina Quintero</v>
      </c>
      <c r="AJ329" s="6" t="str">
        <f>IFERROR(__xludf.DUMMYFUNCTION("""COMPUTED_VALUE"""),"nathysmedina@hotmail.com")</f>
        <v>nathysmedina@hotmail.com</v>
      </c>
      <c r="AK329" s="6" t="str">
        <f>IFERROR(__xludf.DUMMYFUNCTION("""COMPUTED_VALUE"""),"ENFERMERÍA PROFESIONAL")</f>
        <v>ENFERMERÍA PROFESIONAL</v>
      </c>
      <c r="AL329" s="6"/>
      <c r="AM329" s="12" t="str">
        <f>IFERROR(__xludf.DUMMYFUNCTION("""COMPUTED_VALUE"""),"1053817627")</f>
        <v>1053817627</v>
      </c>
      <c r="AN329" s="12" t="str">
        <f>IFERROR(__xludf.DUMMYFUNCTION("""COMPUTED_VALUE"""),"3104843722")</f>
        <v>3104843722</v>
      </c>
      <c r="AO329" s="6" t="str">
        <f>IFERROR(__xludf.DUMMYFUNCTION("""COMPUTED_VALUE"""),"Madre")</f>
        <v>Madre</v>
      </c>
      <c r="AP329" s="6" t="str">
        <f>IFERROR(__xludf.DUMMYFUNCTION("""COMPUTED_VALUE"""),"Estudiante(s): Garzón Medina")</f>
        <v>Estudiante(s): Garzón Medina</v>
      </c>
      <c r="AQ329" s="6" t="str">
        <f>IFERROR(__xludf.DUMMYFUNCTION("""COMPUTED_VALUE"""),"120237*Gi")</f>
        <v>120237*Gi</v>
      </c>
      <c r="AR329" s="6" t="str">
        <f>IFERROR(__xludf.DUMMYFUNCTION("""COMPUTED_VALUE"""),"Duverney")</f>
        <v>Duverney</v>
      </c>
      <c r="AS329" s="6"/>
      <c r="AT329" s="6" t="str">
        <f>IFERROR(__xludf.DUMMYFUNCTION("""COMPUTED_VALUE"""),"Garzón León")</f>
        <v>Garzón León</v>
      </c>
      <c r="AU329" s="6" t="str">
        <f>IFERROR(__xludf.DUMMYFUNCTION("""COMPUTED_VALUE"""),"galeon357@hotmail.com")</f>
        <v>galeon357@hotmail.com</v>
      </c>
      <c r="AV329" s="6" t="str">
        <f>IFERROR(__xludf.DUMMYFUNCTION("""COMPUTED_VALUE"""),"MÉDICO INTERNISTA")</f>
        <v>MÉDICO INTERNISTA</v>
      </c>
      <c r="AW329" s="6" t="str">
        <f>IFERROR(__xludf.DUMMYFUNCTION("""COMPUTED_VALUE"""),"Consultorio Privado")</f>
        <v>Consultorio Privado</v>
      </c>
      <c r="AX329" s="12" t="str">
        <f>IFERROR(__xludf.DUMMYFUNCTION("""COMPUTED_VALUE"""),"18004329")</f>
        <v>18004329</v>
      </c>
      <c r="AY329" s="12" t="str">
        <f>IFERROR(__xludf.DUMMYFUNCTION("""COMPUTED_VALUE"""),"3132543400")</f>
        <v>3132543400</v>
      </c>
      <c r="AZ329" s="6" t="str">
        <f>IFERROR(__xludf.DUMMYFUNCTION("""COMPUTED_VALUE"""),"Padre")</f>
        <v>Padre</v>
      </c>
      <c r="BA329" s="6"/>
      <c r="BB329" s="6"/>
      <c r="BC329" s="6"/>
      <c r="BD329" s="12" t="str">
        <f>IFERROR(__xludf.DUMMYFUNCTION("""COMPUTED_VALUE"""),"gar0014")</f>
        <v>gar0014</v>
      </c>
      <c r="BE329" s="6"/>
      <c r="BF329" s="6"/>
      <c r="BG329" s="6">
        <f>IFERROR(__xludf.DUMMYFUNCTION("""COMPUTED_VALUE"""),2036.0)</f>
        <v>2036</v>
      </c>
      <c r="BH329" s="15">
        <f>IFERROR(__xludf.DUMMYFUNCTION("""COMPUTED_VALUE"""),46209.97574074074)</f>
        <v>46209.97574</v>
      </c>
      <c r="BI329" s="6">
        <f>IFERROR(__xludf.DUMMYFUNCTION("""COMPUTED_VALUE"""),329.0)</f>
        <v>329</v>
      </c>
      <c r="BJ329" s="6"/>
      <c r="BK329" s="6"/>
      <c r="BL329" s="6" t="str">
        <f>IFERROR(__xludf.DUMMYFUNCTION("""COMPUTED_VALUE"""),"GISGAR0014")</f>
        <v>GISGAR0014</v>
      </c>
      <c r="BM329" s="6"/>
      <c r="BN329" s="6"/>
      <c r="BO329" s="6"/>
      <c r="BP329" s="6" t="str">
        <f>IFERROR(__xludf.DUMMYFUNCTION("""COMPUTED_VALUE"""),"XC_123_Basquetbol")</f>
        <v>XC_123_Basquetbol</v>
      </c>
      <c r="BQ329" s="6"/>
      <c r="BR329" s="6"/>
      <c r="BS329" s="6" t="str">
        <f>IFERROR(__xludf.DUMMYFUNCTION("""COMPUTED_VALUE"""),"XC_123_Basquetbol")</f>
        <v>XC_123_Basquetbol</v>
      </c>
      <c r="BT329" s="6" t="str">
        <f>IFERROR(__xludf.DUMMYFUNCTION("""COMPUTED_VALUE"""),"XC_123_Basquetbol")</f>
        <v>XC_123_Basquetbol</v>
      </c>
      <c r="BU329" s="6" t="str">
        <f>IFERROR(__xludf.DUMMYFUNCTION("""COMPUTED_VALUE"""),"SI")</f>
        <v>SI</v>
      </c>
      <c r="BV329" s="6" t="str">
        <f>IFERROR(__xludf.DUMMYFUNCTION("""COMPUTED_VALUE"""),"samuel.g2036")</f>
        <v>samuel.g2036</v>
      </c>
      <c r="BW329" s="6"/>
      <c r="BX329" s="6"/>
      <c r="BY329" s="6"/>
      <c r="BZ329" s="6"/>
    </row>
    <row r="330">
      <c r="A330" s="12">
        <f>IFERROR(__xludf.DUMMYFUNCTION("""COMPUTED_VALUE"""),1.095270915E9)</f>
        <v>1095270915</v>
      </c>
      <c r="B330" s="6">
        <f>IFERROR(__xludf.DUMMYFUNCTION("""COMPUTED_VALUE"""),13.0)</f>
        <v>13</v>
      </c>
      <c r="C330" s="6" t="str">
        <f>IFERROR(__xludf.DUMMYFUNCTION("""COMPUTED_VALUE"""),"Alicia")</f>
        <v>Alicia</v>
      </c>
      <c r="D330" s="6"/>
      <c r="E330" s="6" t="str">
        <f>IFERROR(__xludf.DUMMYFUNCTION("""COMPUTED_VALUE"""),"Gómez Buriticá")</f>
        <v>Gómez Buriticá</v>
      </c>
      <c r="F330" s="6" t="str">
        <f>IFERROR(__xludf.DUMMYFUNCTION("""COMPUTED_VALUE"""),"Parque Residencial Girasol Casa 5 Quimbaya - El Cacique")</f>
        <v>Parque Residencial Girasol Casa 5 Quimbaya - El Cacique</v>
      </c>
      <c r="G330" s="12" t="str">
        <f>IFERROR(__xludf.DUMMYFUNCTION("""COMPUTED_VALUE"""),"2018")</f>
        <v>2018</v>
      </c>
      <c r="H330" s="6" t="str">
        <f>IFERROR(__xludf.DUMMYFUNCTION("""COMPUTED_VALUE"""),"Enero")</f>
        <v>Enero</v>
      </c>
      <c r="I330" s="12" t="str">
        <f>IFERROR(__xludf.DUMMYFUNCTION("""COMPUTED_VALUE"""),"25")</f>
        <v>25</v>
      </c>
      <c r="J330" s="6" t="str">
        <f>IFERROR(__xludf.DUMMYFUNCTION("""COMPUTED_VALUE"""),"Quimbaya")</f>
        <v>Quimbaya</v>
      </c>
      <c r="K330" s="6" t="str">
        <f>IFERROR(__xludf.DUMMYFUNCTION("""COMPUTED_VALUE"""),"alicia.g2036@gi.edu.co")</f>
        <v>alicia.g2036@gi.edu.co</v>
      </c>
      <c r="L330" s="6" t="str">
        <f>IFERROR(__xludf.DUMMYFUNCTION("""COMPUTED_VALUE"""),"RC")</f>
        <v>RC</v>
      </c>
      <c r="M330" s="6" t="str">
        <f>IFERROR(__xludf.DUMMYFUNCTION("""COMPUTED_VALUE"""),"Quimbaya")</f>
        <v>Quimbaya</v>
      </c>
      <c r="N330" s="6" t="str">
        <f>IFERROR(__xludf.DUMMYFUNCTION("""COMPUTED_VALUE"""),"F")</f>
        <v>F</v>
      </c>
      <c r="O330" s="6" t="str">
        <f>IFERROR(__xludf.DUMMYFUNCTION("""COMPUTED_VALUE"""),"ACTIVE")</f>
        <v>ACTIVE</v>
      </c>
      <c r="P330" s="6"/>
      <c r="Q330" s="6" t="str">
        <f>IFERROR(__xludf.DUMMYFUNCTION("""COMPUTED_VALUE"""),"Quimbaya")</f>
        <v>Quimbaya</v>
      </c>
      <c r="R330" s="12" t="str">
        <f>IFERROR(__xludf.DUMMYFUNCTION("""COMPUTED_VALUE"""),"Giksna4*")</f>
        <v>Giksna4*</v>
      </c>
      <c r="S330" s="6" t="str">
        <f>IFERROR(__xludf.DUMMYFUNCTION("""COMPUTED_VALUE"""),"Gómez Buriticá Alicia ")</f>
        <v>Gómez Buriticá Alicia </v>
      </c>
      <c r="T330" s="6" t="str">
        <f>IFERROR(__xludf.DUMMYFUNCTION("""COMPUTED_VALUE"""),"JULIANA BURITICÁ OSSA")</f>
        <v>JULIANA BURITICÁ OSSA</v>
      </c>
      <c r="U330" s="12" t="str">
        <f>IFERROR(__xludf.DUMMYFUNCTION("""COMPUTED_VALUE"""),"25025824")</f>
        <v>25025824</v>
      </c>
      <c r="V330" s="6">
        <f>IFERROR(__xludf.DUMMYFUNCTION("""COMPUTED_VALUE"""),3.013890191E9)</f>
        <v>3013890191</v>
      </c>
      <c r="W330" s="6" t="str">
        <f>IFERROR(__xludf.DUMMYFUNCTION("""COMPUTED_VALUE"""),"jubuo@hotmail.com")</f>
        <v>jubuo@hotmail.com</v>
      </c>
      <c r="X330" s="12" t="str">
        <f>IFERROR(__xludf.DUMMYFUNCTION("""COMPUTED_VALUE"""),"O+")</f>
        <v>O+</v>
      </c>
      <c r="Y330" s="12" t="str">
        <f>IFERROR(__xludf.DUMMYFUNCTION("""COMPUTED_VALUE"""),"3")</f>
        <v>3</v>
      </c>
      <c r="Z330" s="12">
        <f>IFERROR(__xludf.DUMMYFUNCTION("""COMPUTED_VALUE"""),120370.0)</f>
        <v>120370</v>
      </c>
      <c r="AA330" s="6" t="str">
        <f>IFERROR(__xludf.DUMMYFUNCTION("""COMPUTED_VALUE"""),"SURA")</f>
        <v>SURA</v>
      </c>
      <c r="AB330" s="6"/>
      <c r="AC330" s="6"/>
      <c r="AD330" s="6" t="str">
        <f>IFERROR(__xludf.DUMMYFUNCTION("""COMPUTED_VALUE"""),"3B")</f>
        <v>3B</v>
      </c>
      <c r="AE330" s="12" t="str">
        <f>IFERROR(__xludf.DUMMYFUNCTION("""COMPUTED_VALUE"""),"1345282376")</f>
        <v>1345282376</v>
      </c>
      <c r="AF330" s="12" t="str">
        <f>IFERROR(__xludf.DUMMYFUNCTION("""COMPUTED_VALUE"""),"0652127075")</f>
        <v>0652127075</v>
      </c>
      <c r="AG330" s="12" t="str">
        <f>IFERROR(__xludf.DUMMYFUNCTION("""COMPUTED_VALUE"""),"Juliana")</f>
        <v>Juliana</v>
      </c>
      <c r="AH330" s="6"/>
      <c r="AI330" s="6" t="str">
        <f>IFERROR(__xludf.DUMMYFUNCTION("""COMPUTED_VALUE"""),"Buriticá  Ossa")</f>
        <v>Buriticá  Ossa</v>
      </c>
      <c r="AJ330" s="6" t="str">
        <f>IFERROR(__xludf.DUMMYFUNCTION("""COMPUTED_VALUE"""),"jubuo@hotmail.com")</f>
        <v>jubuo@hotmail.com</v>
      </c>
      <c r="AK330" s="6" t="str">
        <f>IFERROR(__xludf.DUMMYFUNCTION("""COMPUTED_VALUE"""),"Abogada")</f>
        <v>Abogada</v>
      </c>
      <c r="AL330" s="6" t="str">
        <f>IFERROR(__xludf.DUMMYFUNCTION("""COMPUTED_VALUE"""),"Contraloría General de la República")</f>
        <v>Contraloría General de la República</v>
      </c>
      <c r="AM330" s="12" t="str">
        <f>IFERROR(__xludf.DUMMYFUNCTION("""COMPUTED_VALUE"""),"25025824")</f>
        <v>25025824</v>
      </c>
      <c r="AN330" s="12" t="str">
        <f>IFERROR(__xludf.DUMMYFUNCTION("""COMPUTED_VALUE"""),"3013890191")</f>
        <v>3013890191</v>
      </c>
      <c r="AO330" s="6" t="str">
        <f>IFERROR(__xludf.DUMMYFUNCTION("""COMPUTED_VALUE"""),"Madre")</f>
        <v>Madre</v>
      </c>
      <c r="AP330" s="6" t="str">
        <f>IFERROR(__xludf.DUMMYFUNCTION("""COMPUTED_VALUE"""),"Estudiante(s): Gomez Buritica")</f>
        <v>Estudiante(s): Gomez Buritica</v>
      </c>
      <c r="AQ330" s="6" t="str">
        <f>IFERROR(__xludf.DUMMYFUNCTION("""COMPUTED_VALUE"""),"120370*Gi")</f>
        <v>120370*Gi</v>
      </c>
      <c r="AR330" s="6" t="str">
        <f>IFERROR(__xludf.DUMMYFUNCTION("""COMPUTED_VALUE"""),"Hernando ")</f>
        <v>Hernando </v>
      </c>
      <c r="AS330" s="6" t="str">
        <f>IFERROR(__xludf.DUMMYFUNCTION("""COMPUTED_VALUE"""),"Alberto")</f>
        <v>Alberto</v>
      </c>
      <c r="AT330" s="6" t="str">
        <f>IFERROR(__xludf.DUMMYFUNCTION("""COMPUTED_VALUE"""),"Gómez Londoño")</f>
        <v>Gómez Londoño</v>
      </c>
      <c r="AU330" s="6" t="str">
        <f>IFERROR(__xludf.DUMMYFUNCTION("""COMPUTED_VALUE"""),"hernandoag33@hotmail.com")</f>
        <v>hernandoag33@hotmail.com</v>
      </c>
      <c r="AV330" s="6" t="str">
        <f>IFERROR(__xludf.DUMMYFUNCTION("""COMPUTED_VALUE"""),"Licenciado en comunicación educativa")</f>
        <v>Licenciado en comunicación educativa</v>
      </c>
      <c r="AW330" s="6" t="str">
        <f>IFERROR(__xludf.DUMMYFUNCTION("""COMPUTED_VALUE"""),"Alcaldía de Quimbaya")</f>
        <v>Alcaldía de Quimbaya</v>
      </c>
      <c r="AX330" s="12" t="str">
        <f>IFERROR(__xludf.DUMMYFUNCTION("""COMPUTED_VALUE"""),"18466879")</f>
        <v>18466879</v>
      </c>
      <c r="AY330" s="12">
        <f>IFERROR(__xludf.DUMMYFUNCTION("""COMPUTED_VALUE"""),3.013876883E9)</f>
        <v>3013876883</v>
      </c>
      <c r="AZ330" s="6" t="str">
        <f>IFERROR(__xludf.DUMMYFUNCTION("""COMPUTED_VALUE"""),"Padre")</f>
        <v>Padre</v>
      </c>
      <c r="BA330" s="6"/>
      <c r="BB330" s="6"/>
      <c r="BC330" s="6"/>
      <c r="BD330" s="12" t="str">
        <f>IFERROR(__xludf.DUMMYFUNCTION("""COMPUTED_VALUE"""),"gom0010")</f>
        <v>gom0010</v>
      </c>
      <c r="BE330" s="6"/>
      <c r="BF330" s="6"/>
      <c r="BG330" s="6">
        <f>IFERROR(__xludf.DUMMYFUNCTION("""COMPUTED_VALUE"""),2036.0)</f>
        <v>2036</v>
      </c>
      <c r="BH330" s="15">
        <f>IFERROR(__xludf.DUMMYFUNCTION("""COMPUTED_VALUE"""),46215.62740740741)</f>
        <v>46215.62741</v>
      </c>
      <c r="BI330" s="6">
        <f>IFERROR(__xludf.DUMMYFUNCTION("""COMPUTED_VALUE"""),330.0)</f>
        <v>330</v>
      </c>
      <c r="BJ330" s="6"/>
      <c r="BK330" s="6"/>
      <c r="BL330" s="6" t="str">
        <f>IFERROR(__xludf.DUMMYFUNCTION("""COMPUTED_VALUE"""),"GISGOM0010")</f>
        <v>GISGOM0010</v>
      </c>
      <c r="BM330" s="6"/>
      <c r="BN330" s="6"/>
      <c r="BO330" s="6"/>
      <c r="BP330" s="6"/>
      <c r="BQ330" s="6"/>
      <c r="BR330" s="6"/>
      <c r="BS330" s="6"/>
      <c r="BT330" s="6"/>
      <c r="BU330" s="6" t="str">
        <f>IFERROR(__xludf.DUMMYFUNCTION("""COMPUTED_VALUE"""),"SI")</f>
        <v>SI</v>
      </c>
      <c r="BV330" s="6" t="str">
        <f>IFERROR(__xludf.DUMMYFUNCTION("""COMPUTED_VALUE"""),"alicia.g2036")</f>
        <v>alicia.g2036</v>
      </c>
      <c r="BW330" s="6"/>
      <c r="BX330" s="6"/>
      <c r="BY330" s="6"/>
      <c r="BZ330" s="6"/>
    </row>
    <row r="331">
      <c r="A331" s="6">
        <f>IFERROR(__xludf.DUMMYFUNCTION("""COMPUTED_VALUE"""),1.120071359E9)</f>
        <v>1120071359</v>
      </c>
      <c r="B331" s="6">
        <f>IFERROR(__xludf.DUMMYFUNCTION("""COMPUTED_VALUE"""),14.0)</f>
        <v>14</v>
      </c>
      <c r="C331" s="6" t="str">
        <f>IFERROR(__xludf.DUMMYFUNCTION("""COMPUTED_VALUE"""),"Jerónimo")</f>
        <v>Jerónimo</v>
      </c>
      <c r="D331" s="6"/>
      <c r="E331" s="6" t="str">
        <f>IFERROR(__xludf.DUMMYFUNCTION("""COMPUTED_VALUE"""),"Granados Estupiñan")</f>
        <v>Granados Estupiñan</v>
      </c>
      <c r="F331" s="6" t="str">
        <f>IFERROR(__xludf.DUMMYFUNCTION("""COMPUTED_VALUE"""),"Condominio Reserva de la Sabana Casa 72 - Calle 24Nte No5 - 07 Av Centenario")</f>
        <v>Condominio Reserva de la Sabana Casa 72 - Calle 24Nte No5 - 07 Av Centenario</v>
      </c>
      <c r="G331" s="12" t="str">
        <f>IFERROR(__xludf.DUMMYFUNCTION("""COMPUTED_VALUE"""),"2018")</f>
        <v>2018</v>
      </c>
      <c r="H331" s="6" t="str">
        <f>IFERROR(__xludf.DUMMYFUNCTION("""COMPUTED_VALUE"""),"Abril")</f>
        <v>Abril</v>
      </c>
      <c r="I331" s="12" t="str">
        <f>IFERROR(__xludf.DUMMYFUNCTION("""COMPUTED_VALUE"""),"22")</f>
        <v>22</v>
      </c>
      <c r="J331" s="6" t="str">
        <f>IFERROR(__xludf.DUMMYFUNCTION("""COMPUTED_VALUE"""),"Mocoa")</f>
        <v>Mocoa</v>
      </c>
      <c r="K331" s="6" t="str">
        <f>IFERROR(__xludf.DUMMYFUNCTION("""COMPUTED_VALUE"""),"jeronimo.g2036@gi.edu.co")</f>
        <v>jeronimo.g2036@gi.edu.co</v>
      </c>
      <c r="L331" s="6" t="str">
        <f>IFERROR(__xludf.DUMMYFUNCTION("""COMPUTED_VALUE"""),"TI")</f>
        <v>TI</v>
      </c>
      <c r="M331" s="6" t="str">
        <f>IFERROR(__xludf.DUMMYFUNCTION("""COMPUTED_VALUE"""),"Armenia")</f>
        <v>Armenia</v>
      </c>
      <c r="N331" s="6" t="str">
        <f>IFERROR(__xludf.DUMMYFUNCTION("""COMPUTED_VALUE"""),"M")</f>
        <v>M</v>
      </c>
      <c r="O331" s="6" t="str">
        <f>IFERROR(__xludf.DUMMYFUNCTION("""COMPUTED_VALUE"""),"ACTIVE")</f>
        <v>ACTIVE</v>
      </c>
      <c r="P331" s="6"/>
      <c r="Q331" s="6" t="str">
        <f>IFERROR(__xludf.DUMMYFUNCTION("""COMPUTED_VALUE"""),"Armenia")</f>
        <v>Armenia</v>
      </c>
      <c r="R331" s="12" t="str">
        <f>IFERROR(__xludf.DUMMYFUNCTION("""COMPUTED_VALUE"""),"GiTGfu2t*")</f>
        <v>GiTGfu2t*</v>
      </c>
      <c r="S331" s="6" t="str">
        <f>IFERROR(__xludf.DUMMYFUNCTION("""COMPUTED_VALUE"""),"Granados Estupiñan Jerónimo ")</f>
        <v>Granados Estupiñan Jerónimo </v>
      </c>
      <c r="T331" s="6" t="str">
        <f>IFERROR(__xludf.DUMMYFUNCTION("""COMPUTED_VALUE"""),"HERMAN MIGUEL GRANADOS SANCHEZ")</f>
        <v>HERMAN MIGUEL GRANADOS SANCHEZ</v>
      </c>
      <c r="U331" s="12" t="str">
        <f>IFERROR(__xludf.DUMMYFUNCTION("""COMPUTED_VALUE"""),"84455131")</f>
        <v>84455131</v>
      </c>
      <c r="V331" s="6">
        <f>IFERROR(__xludf.DUMMYFUNCTION("""COMPUTED_VALUE"""),3.108262614E9)</f>
        <v>3108262614</v>
      </c>
      <c r="W331" s="6" t="str">
        <f>IFERROR(__xludf.DUMMYFUNCTION("""COMPUTED_VALUE"""),"hermangranados@gmail.com")</f>
        <v>hermangranados@gmail.com</v>
      </c>
      <c r="X331" s="12" t="str">
        <f>IFERROR(__xludf.DUMMYFUNCTION("""COMPUTED_VALUE"""),"A+")</f>
        <v>A+</v>
      </c>
      <c r="Y331" s="12" t="str">
        <f>IFERROR(__xludf.DUMMYFUNCTION("""COMPUTED_VALUE"""),"3")</f>
        <v>3</v>
      </c>
      <c r="Z331" s="12">
        <f>IFERROR(__xludf.DUMMYFUNCTION("""COMPUTED_VALUE"""),120200.0)</f>
        <v>120200</v>
      </c>
      <c r="AA331" s="6" t="str">
        <f>IFERROR(__xludf.DUMMYFUNCTION("""COMPUTED_VALUE"""),"SURA")</f>
        <v>SURA</v>
      </c>
      <c r="AB331" s="6"/>
      <c r="AC331" s="6"/>
      <c r="AD331" s="6" t="str">
        <f>IFERROR(__xludf.DUMMYFUNCTION("""COMPUTED_VALUE"""),"3B")</f>
        <v>3B</v>
      </c>
      <c r="AE331" s="12">
        <f>IFERROR(__xludf.DUMMYFUNCTION("""COMPUTED_VALUE"""),1.345282146E9)</f>
        <v>1345282146</v>
      </c>
      <c r="AF331" s="12" t="str">
        <f>IFERROR(__xludf.DUMMYFUNCTION("""COMPUTED_VALUE"""),"0690676099")</f>
        <v>0690676099</v>
      </c>
      <c r="AG331" s="12" t="str">
        <f>IFERROR(__xludf.DUMMYFUNCTION("""COMPUTED_VALUE"""),"Jesica")</f>
        <v>Jesica</v>
      </c>
      <c r="AH331" s="12" t="str">
        <f>IFERROR(__xludf.DUMMYFUNCTION("""COMPUTED_VALUE"""),"Mercedes")</f>
        <v>Mercedes</v>
      </c>
      <c r="AI331" s="6" t="str">
        <f>IFERROR(__xludf.DUMMYFUNCTION("""COMPUTED_VALUE"""),"Estupinán Arenas")</f>
        <v>Estupinán Arenas</v>
      </c>
      <c r="AJ331" s="6" t="str">
        <f>IFERROR(__xludf.DUMMYFUNCTION("""COMPUTED_VALUE"""),"jesica.estupian@gmail.com")</f>
        <v>jesica.estupian@gmail.com</v>
      </c>
      <c r="AK331" s="6" t="str">
        <f>IFERROR(__xludf.DUMMYFUNCTION("""COMPUTED_VALUE"""),"anestesiologia")</f>
        <v>anestesiologia</v>
      </c>
      <c r="AL331" s="6" t="str">
        <f>IFERROR(__xludf.DUMMYFUNCTION("""COMPUTED_VALUE"""),"Clinica la sagrada familia")</f>
        <v>Clinica la sagrada familia</v>
      </c>
      <c r="AM331" s="12" t="str">
        <f>IFERROR(__xludf.DUMMYFUNCTION("""COMPUTED_VALUE"""),"57466613")</f>
        <v>57466613</v>
      </c>
      <c r="AN331" s="12" t="str">
        <f>IFERROR(__xludf.DUMMYFUNCTION("""COMPUTED_VALUE"""),"3108263718")</f>
        <v>3108263718</v>
      </c>
      <c r="AO331" s="6" t="str">
        <f>IFERROR(__xludf.DUMMYFUNCTION("""COMPUTED_VALUE"""),"Madre")</f>
        <v>Madre</v>
      </c>
      <c r="AP331" s="6" t="str">
        <f>IFERROR(__xludf.DUMMYFUNCTION("""COMPUTED_VALUE"""),"Estudiante(s): Granados Estupiñan")</f>
        <v>Estudiante(s): Granados Estupiñan</v>
      </c>
      <c r="AQ331" s="6" t="str">
        <f>IFERROR(__xludf.DUMMYFUNCTION("""COMPUTED_VALUE"""),"120135*Gi")</f>
        <v>120135*Gi</v>
      </c>
      <c r="AR331" s="6" t="str">
        <f>IFERROR(__xludf.DUMMYFUNCTION("""COMPUTED_VALUE"""),"Herman")</f>
        <v>Herman</v>
      </c>
      <c r="AS331" s="6" t="str">
        <f>IFERROR(__xludf.DUMMYFUNCTION("""COMPUTED_VALUE"""),"Miguel")</f>
        <v>Miguel</v>
      </c>
      <c r="AT331" s="6" t="str">
        <f>IFERROR(__xludf.DUMMYFUNCTION("""COMPUTED_VALUE"""),"Granados Sánchez")</f>
        <v>Granados Sánchez</v>
      </c>
      <c r="AU331" s="6" t="str">
        <f>IFERROR(__xludf.DUMMYFUNCTION("""COMPUTED_VALUE"""),"hermangranados@gmail.com")</f>
        <v>hermangranados@gmail.com</v>
      </c>
      <c r="AV331" s="6" t="str">
        <f>IFERROR(__xludf.DUMMYFUNCTION("""COMPUTED_VALUE"""),"anestesiologo")</f>
        <v>anestesiologo</v>
      </c>
      <c r="AW331" s="6"/>
      <c r="AX331" s="12" t="str">
        <f>IFERROR(__xludf.DUMMYFUNCTION("""COMPUTED_VALUE"""),"84455131")</f>
        <v>84455131</v>
      </c>
      <c r="AY331" s="12" t="str">
        <f>IFERROR(__xludf.DUMMYFUNCTION("""COMPUTED_VALUE"""),"3108262614")</f>
        <v>3108262614</v>
      </c>
      <c r="AZ331" s="6" t="str">
        <f>IFERROR(__xludf.DUMMYFUNCTION("""COMPUTED_VALUE"""),"Padre")</f>
        <v>Padre</v>
      </c>
      <c r="BA331" s="6"/>
      <c r="BB331" s="6"/>
      <c r="BC331" s="6"/>
      <c r="BD331" s="12" t="str">
        <f>IFERROR(__xludf.DUMMYFUNCTION("""COMPUTED_VALUE"""),"gra0002")</f>
        <v>gra0002</v>
      </c>
      <c r="BE331" s="6"/>
      <c r="BF331" s="6"/>
      <c r="BG331" s="6">
        <f>IFERROR(__xludf.DUMMYFUNCTION("""COMPUTED_VALUE"""),2036.0)</f>
        <v>2036</v>
      </c>
      <c r="BH331" s="15">
        <f>IFERROR(__xludf.DUMMYFUNCTION("""COMPUTED_VALUE"""),46210.820243055554)</f>
        <v>46210.82024</v>
      </c>
      <c r="BI331" s="6">
        <f>IFERROR(__xludf.DUMMYFUNCTION("""COMPUTED_VALUE"""),331.0)</f>
        <v>331</v>
      </c>
      <c r="BJ331" s="6"/>
      <c r="BK331" s="6"/>
      <c r="BL331" s="6" t="str">
        <f>IFERROR(__xludf.DUMMYFUNCTION("""COMPUTED_VALUE"""),"GISGRA0002")</f>
        <v>GISGRA0002</v>
      </c>
      <c r="BM331" s="6"/>
      <c r="BN331" s="6"/>
      <c r="BO331" s="6"/>
      <c r="BP331" s="6" t="str">
        <f>IFERROR(__xludf.DUMMYFUNCTION("""COMPUTED_VALUE"""),"XC_23_Futbol_M")</f>
        <v>XC_23_Futbol_M</v>
      </c>
      <c r="BQ331" s="6"/>
      <c r="BR331" s="6" t="str">
        <f>IFERROR(__xludf.DUMMYFUNCTION("""COMPUTED_VALUE"""),"XC_EL_PequenosCientificos")</f>
        <v>XC_EL_PequenosCientificos</v>
      </c>
      <c r="BS331" s="6" t="str">
        <f>IFERROR(__xludf.DUMMYFUNCTION("""COMPUTED_VALUE"""),"XC_23_Futbol_M")</f>
        <v>XC_23_Futbol_M</v>
      </c>
      <c r="BT331" s="6" t="str">
        <f>IFERROR(__xludf.DUMMYFUNCTION("""COMPUTED_VALUE"""),"XC_23_Futbol_M")</f>
        <v>XC_23_Futbol_M</v>
      </c>
      <c r="BU331" s="6" t="str">
        <f>IFERROR(__xludf.DUMMYFUNCTION("""COMPUTED_VALUE"""),"SI")</f>
        <v>SI</v>
      </c>
      <c r="BV331" s="6" t="str">
        <f>IFERROR(__xludf.DUMMYFUNCTION("""COMPUTED_VALUE"""),"jeronimo.g2036")</f>
        <v>jeronimo.g2036</v>
      </c>
      <c r="BW331" s="6"/>
      <c r="BX331" s="6"/>
      <c r="BY331" s="6"/>
      <c r="BZ331" s="6"/>
    </row>
    <row r="332">
      <c r="A332" s="12">
        <f>IFERROR(__xludf.DUMMYFUNCTION("""COMPUTED_VALUE"""),1.092861218E9)</f>
        <v>1092861218</v>
      </c>
      <c r="B332" s="6">
        <f>IFERROR(__xludf.DUMMYFUNCTION("""COMPUTED_VALUE"""),15.0)</f>
        <v>15</v>
      </c>
      <c r="C332" s="6" t="str">
        <f>IFERROR(__xludf.DUMMYFUNCTION("""COMPUTED_VALUE"""),"María")</f>
        <v>María</v>
      </c>
      <c r="D332" s="6" t="str">
        <f>IFERROR(__xludf.DUMMYFUNCTION("""COMPUTED_VALUE"""),"Antonia")</f>
        <v>Antonia</v>
      </c>
      <c r="E332" s="6" t="str">
        <f>IFERROR(__xludf.DUMMYFUNCTION("""COMPUTED_VALUE"""),"Jaramillo Rincón")</f>
        <v>Jaramillo Rincón</v>
      </c>
      <c r="F332" s="6" t="str">
        <f>IFERROR(__xludf.DUMMYFUNCTION("""COMPUTED_VALUE"""),"Calle 14 Nte No12-09 Apto 302")</f>
        <v>Calle 14 Nte No12-09 Apto 302</v>
      </c>
      <c r="G332" s="12">
        <f>IFERROR(__xludf.DUMMYFUNCTION("""COMPUTED_VALUE"""),2017.0)</f>
        <v>2017</v>
      </c>
      <c r="H332" s="12" t="str">
        <f>IFERROR(__xludf.DUMMYFUNCTION("""COMPUTED_VALUE"""),"Julio")</f>
        <v>Julio</v>
      </c>
      <c r="I332" s="12">
        <f>IFERROR(__xludf.DUMMYFUNCTION("""COMPUTED_VALUE"""),12.0)</f>
        <v>12</v>
      </c>
      <c r="J332" s="6" t="str">
        <f>IFERROR(__xludf.DUMMYFUNCTION("""COMPUTED_VALUE"""),"Armenia")</f>
        <v>Armenia</v>
      </c>
      <c r="K332" s="12" t="str">
        <f>IFERROR(__xludf.DUMMYFUNCTION("""COMPUTED_VALUE"""),"mariaantonia.j2036@gi.edu.co")</f>
        <v>mariaantonia.j2036@gi.edu.co</v>
      </c>
      <c r="L332" s="6" t="str">
        <f>IFERROR(__xludf.DUMMYFUNCTION("""COMPUTED_VALUE"""),"TI")</f>
        <v>TI</v>
      </c>
      <c r="M332" s="6" t="str">
        <f>IFERROR(__xludf.DUMMYFUNCTION("""COMPUTED_VALUE"""),"Armenia")</f>
        <v>Armenia</v>
      </c>
      <c r="N332" s="6" t="str">
        <f>IFERROR(__xludf.DUMMYFUNCTION("""COMPUTED_VALUE"""),"F")</f>
        <v>F</v>
      </c>
      <c r="O332" s="6" t="str">
        <f>IFERROR(__xludf.DUMMYFUNCTION("""COMPUTED_VALUE"""),"ACTIVE")</f>
        <v>ACTIVE</v>
      </c>
      <c r="P332" s="6"/>
      <c r="Q332" s="6"/>
      <c r="R332" s="12" t="str">
        <f>IFERROR(__xludf.DUMMYFUNCTION("""COMPUTED_VALUE"""),"GiB9Nh4P*")</f>
        <v>GiB9Nh4P*</v>
      </c>
      <c r="S332" s="6" t="str">
        <f>IFERROR(__xludf.DUMMYFUNCTION("""COMPUTED_VALUE"""),"Jaramillo Rincón María Antonia")</f>
        <v>Jaramillo Rincón María Antonia</v>
      </c>
      <c r="T332" s="6" t="str">
        <f>IFERROR(__xludf.DUMMYFUNCTION("""COMPUTED_VALUE"""),"JUAN SEBASTIAN JARAMILLO PEREZ")</f>
        <v>JUAN SEBASTIAN JARAMILLO PEREZ</v>
      </c>
      <c r="U332" s="12" t="str">
        <f>IFERROR(__xludf.DUMMYFUNCTION("""COMPUTED_VALUE"""),"9770703")</f>
        <v>9770703</v>
      </c>
      <c r="V332" s="6">
        <f>IFERROR(__xludf.DUMMYFUNCTION("""COMPUTED_VALUE"""),3.105198875E9)</f>
        <v>3105198875</v>
      </c>
      <c r="W332" s="6" t="str">
        <f>IFERROR(__xludf.DUMMYFUNCTION("""COMPUTED_VALUE"""),"juanchojaramillo25@gmail.com")</f>
        <v>juanchojaramillo25@gmail.com</v>
      </c>
      <c r="X332" s="12" t="str">
        <f>IFERROR(__xludf.DUMMYFUNCTION("""COMPUTED_VALUE"""),"O+")</f>
        <v>O+</v>
      </c>
      <c r="Y332" s="12">
        <f>IFERROR(__xludf.DUMMYFUNCTION("""COMPUTED_VALUE"""),3.0)</f>
        <v>3</v>
      </c>
      <c r="Z332" s="6">
        <f>IFERROR(__xludf.DUMMYFUNCTION("""COMPUTED_VALUE"""),120633.0)</f>
        <v>120633</v>
      </c>
      <c r="AA332" s="6" t="str">
        <f>IFERROR(__xludf.DUMMYFUNCTION("""COMPUTED_VALUE"""),"SURA")</f>
        <v>SURA</v>
      </c>
      <c r="AB332" s="6"/>
      <c r="AC332" s="6"/>
      <c r="AD332" s="6" t="str">
        <f>IFERROR(__xludf.DUMMYFUNCTION("""COMPUTED_VALUE"""),"3B")</f>
        <v>3B</v>
      </c>
      <c r="AE332" s="12" t="str">
        <f>IFERROR(__xludf.DUMMYFUNCTION("""COMPUTED_VALUE"""),"1345282634")</f>
        <v>1345282634</v>
      </c>
      <c r="AF332" s="6"/>
      <c r="AG332" s="12" t="str">
        <f>IFERROR(__xludf.DUMMYFUNCTION("""COMPUTED_VALUE"""),"Claudia")</f>
        <v>Claudia</v>
      </c>
      <c r="AH332" s="12" t="str">
        <f>IFERROR(__xludf.DUMMYFUNCTION("""COMPUTED_VALUE"""),"Marcela")</f>
        <v>Marcela</v>
      </c>
      <c r="AI332" s="6" t="str">
        <f>IFERROR(__xludf.DUMMYFUNCTION("""COMPUTED_VALUE"""),"Rncón Ramírez")</f>
        <v>Rncón Ramírez</v>
      </c>
      <c r="AJ332" s="6" t="str">
        <f>IFERROR(__xludf.DUMMYFUNCTION("""COMPUTED_VALUE"""),"marcerinconra@gmail.com")</f>
        <v>marcerinconra@gmail.com</v>
      </c>
      <c r="AK332" s="6" t="str">
        <f>IFERROR(__xludf.DUMMYFUNCTION("""COMPUTED_VALUE"""),"Administrador Empresas")</f>
        <v>Administrador Empresas</v>
      </c>
      <c r="AL332" s="6" t="str">
        <f>IFERROR(__xludf.DUMMYFUNCTION("""COMPUTED_VALUE"""),"ESE Hospital Departamental Universitario del Quindío San Juan de Dios")</f>
        <v>ESE Hospital Departamental Universitario del Quindío San Juan de Dios</v>
      </c>
      <c r="AM332" s="12" t="str">
        <f>IFERROR(__xludf.DUMMYFUNCTION("""COMPUTED_VALUE"""),"1094882373")</f>
        <v>1094882373</v>
      </c>
      <c r="AN332" s="12" t="str">
        <f>IFERROR(__xludf.DUMMYFUNCTION("""COMPUTED_VALUE"""),"3017836059")</f>
        <v>3017836059</v>
      </c>
      <c r="AO332" s="6" t="str">
        <f>IFERROR(__xludf.DUMMYFUNCTION("""COMPUTED_VALUE"""),"Madre")</f>
        <v>Madre</v>
      </c>
      <c r="AP332" s="6" t="str">
        <f>IFERROR(__xludf.DUMMYFUNCTION("""COMPUTED_VALUE"""),"Estudiante(s): Jaramillo Rincón")</f>
        <v>Estudiante(s): Jaramillo Rincón</v>
      </c>
      <c r="AQ332" s="6" t="str">
        <f>IFERROR(__xludf.DUMMYFUNCTION("""COMPUTED_VALUE"""),"120633*Gi")</f>
        <v>120633*Gi</v>
      </c>
      <c r="AR332" s="6" t="str">
        <f>IFERROR(__xludf.DUMMYFUNCTION("""COMPUTED_VALUE"""),"Juan")</f>
        <v>Juan</v>
      </c>
      <c r="AS332" s="6" t="str">
        <f>IFERROR(__xludf.DUMMYFUNCTION("""COMPUTED_VALUE"""),"Sebastián")</f>
        <v>Sebastián</v>
      </c>
      <c r="AT332" s="6" t="str">
        <f>IFERROR(__xludf.DUMMYFUNCTION("""COMPUTED_VALUE"""),"Jaramillo Pérez")</f>
        <v>Jaramillo Pérez</v>
      </c>
      <c r="AU332" s="6" t="str">
        <f>IFERROR(__xludf.DUMMYFUNCTION("""COMPUTED_VALUE"""),"juanchojaramillo25@gmail.com")</f>
        <v>juanchojaramillo25@gmail.com</v>
      </c>
      <c r="AV332" s="6" t="str">
        <f>IFERROR(__xludf.DUMMYFUNCTION("""COMPUTED_VALUE"""),"Administrador Empresas")</f>
        <v>Administrador Empresas</v>
      </c>
      <c r="AW332" s="6" t="str">
        <f>IFERROR(__xludf.DUMMYFUNCTION("""COMPUTED_VALUE"""),"Bosques de Cocora Donde JuanB")</f>
        <v>Bosques de Cocora Donde JuanB</v>
      </c>
      <c r="AX332" s="12" t="str">
        <f>IFERROR(__xludf.DUMMYFUNCTION("""COMPUTED_VALUE"""),"9770703")</f>
        <v>9770703</v>
      </c>
      <c r="AY332" s="12" t="str">
        <f>IFERROR(__xludf.DUMMYFUNCTION("""COMPUTED_VALUE"""),"3105198875")</f>
        <v>3105198875</v>
      </c>
      <c r="AZ332" s="6" t="str">
        <f>IFERROR(__xludf.DUMMYFUNCTION("""COMPUTED_VALUE"""),"Padre")</f>
        <v>Padre</v>
      </c>
      <c r="BA332" s="6"/>
      <c r="BB332" s="6"/>
      <c r="BC332" s="6"/>
      <c r="BD332" s="12" t="str">
        <f>IFERROR(__xludf.DUMMYFUNCTION("""COMPUTED_VALUE"""),"jar0031")</f>
        <v>jar0031</v>
      </c>
      <c r="BE332" s="6" t="str">
        <f>IFERROR(__xludf.DUMMYFUNCTION("""COMPUTED_VALUE"""),"NUEVO(A)")</f>
        <v>NUEVO(A)</v>
      </c>
      <c r="BF332" s="6"/>
      <c r="BG332" s="6">
        <f>IFERROR(__xludf.DUMMYFUNCTION("""COMPUTED_VALUE"""),2036.0)</f>
        <v>2036</v>
      </c>
      <c r="BH332" s="15">
        <f>IFERROR(__xludf.DUMMYFUNCTION("""COMPUTED_VALUE"""),46205.89465277778)</f>
        <v>46205.89465</v>
      </c>
      <c r="BI332" s="6">
        <f>IFERROR(__xludf.DUMMYFUNCTION("""COMPUTED_VALUE"""),332.0)</f>
        <v>332</v>
      </c>
      <c r="BJ332" s="6"/>
      <c r="BK332" s="6"/>
      <c r="BL332" s="6" t="str">
        <f>IFERROR(__xludf.DUMMYFUNCTION("""COMPUTED_VALUE"""),"GISJAR0031")</f>
        <v>GISJAR0031</v>
      </c>
      <c r="BM332" s="6"/>
      <c r="BN332" s="6"/>
      <c r="BO332" s="6" t="str">
        <f>IFERROR(__xludf.DUMMYFUNCTION("""COMPUTED_VALUE"""),"XC_EL_ArtesPlasticas")</f>
        <v>XC_EL_ArtesPlasticas</v>
      </c>
      <c r="BP332" s="6" t="str">
        <f>IFERROR(__xludf.DUMMYFUNCTION("""COMPUTED_VALUE"""),"XC_23_Voleibol")</f>
        <v>XC_23_Voleibol</v>
      </c>
      <c r="BQ332" s="6" t="str">
        <f>IFERROR(__xludf.DUMMYFUNCTION("""COMPUTED_VALUE"""),"XC_23_Voleibol")</f>
        <v>XC_23_Voleibol</v>
      </c>
      <c r="BR332" s="6"/>
      <c r="BS332" s="6" t="str">
        <f>IFERROR(__xludf.DUMMYFUNCTION("""COMPUTED_VALUE"""),"XC_23_Voleibol")</f>
        <v>XC_23_Voleibol</v>
      </c>
      <c r="BT332" s="6"/>
      <c r="BU332" s="6" t="str">
        <f>IFERROR(__xludf.DUMMYFUNCTION("""COMPUTED_VALUE"""),"SI")</f>
        <v>SI</v>
      </c>
      <c r="BV332" s="12" t="str">
        <f>IFERROR(__xludf.DUMMYFUNCTION("""COMPUTED_VALUE"""),"mariaantonia.j2036")</f>
        <v>mariaantonia.j2036</v>
      </c>
      <c r="BW332" s="6"/>
      <c r="BX332" s="6"/>
      <c r="BY332" s="6"/>
      <c r="BZ332" s="6"/>
    </row>
    <row r="333">
      <c r="A333" s="12">
        <f>IFERROR(__xludf.DUMMYFUNCTION("""COMPUTED_VALUE"""),1.220473574E9)</f>
        <v>1220473574</v>
      </c>
      <c r="B333" s="6">
        <f>IFERROR(__xludf.DUMMYFUNCTION("""COMPUTED_VALUE"""),16.0)</f>
        <v>16</v>
      </c>
      <c r="C333" s="6" t="str">
        <f>IFERROR(__xludf.DUMMYFUNCTION("""COMPUTED_VALUE"""),"Eva")</f>
        <v>Eva</v>
      </c>
      <c r="D333" s="6"/>
      <c r="E333" s="6" t="str">
        <f>IFERROR(__xludf.DUMMYFUNCTION("""COMPUTED_VALUE"""),"Montoya Quintero")</f>
        <v>Montoya Quintero</v>
      </c>
      <c r="F333" s="6" t="str">
        <f>IFERROR(__xludf.DUMMYFUNCTION("""COMPUTED_VALUE"""),"Condominio Hacienda Horizontes Casa 55 - Km 3 Via Circasia Vereda la Florida")</f>
        <v>Condominio Hacienda Horizontes Casa 55 - Km 3 Via Circasia Vereda la Florida</v>
      </c>
      <c r="G333" s="12" t="str">
        <f>IFERROR(__xludf.DUMMYFUNCTION("""COMPUTED_VALUE"""),"2018")</f>
        <v>2018</v>
      </c>
      <c r="H333" s="6" t="str">
        <f>IFERROR(__xludf.DUMMYFUNCTION("""COMPUTED_VALUE"""),"Abril")</f>
        <v>Abril</v>
      </c>
      <c r="I333" s="12" t="str">
        <f>IFERROR(__xludf.DUMMYFUNCTION("""COMPUTED_VALUE"""),"10")</f>
        <v>10</v>
      </c>
      <c r="J333" s="6" t="str">
        <f>IFERROR(__xludf.DUMMYFUNCTION("""COMPUTED_VALUE"""),"Miami")</f>
        <v>Miami</v>
      </c>
      <c r="K333" s="6" t="str">
        <f>IFERROR(__xludf.DUMMYFUNCTION("""COMPUTED_VALUE"""),"eva.m2036@gi.edu.co")</f>
        <v>eva.m2036@gi.edu.co</v>
      </c>
      <c r="L333" s="6" t="str">
        <f>IFERROR(__xludf.DUMMYFUNCTION("""COMPUTED_VALUE"""),"RC")</f>
        <v>RC</v>
      </c>
      <c r="M333" s="6" t="str">
        <f>IFERROR(__xludf.DUMMYFUNCTION("""COMPUTED_VALUE"""),"Miami")</f>
        <v>Miami</v>
      </c>
      <c r="N333" s="6" t="str">
        <f>IFERROR(__xludf.DUMMYFUNCTION("""COMPUTED_VALUE"""),"F")</f>
        <v>F</v>
      </c>
      <c r="O333" s="6" t="str">
        <f>IFERROR(__xludf.DUMMYFUNCTION("""COMPUTED_VALUE"""),"ACTIVE")</f>
        <v>ACTIVE</v>
      </c>
      <c r="P333" s="6"/>
      <c r="Q333" s="6" t="str">
        <f>IFERROR(__xludf.DUMMYFUNCTION("""COMPUTED_VALUE"""),"Armenia")</f>
        <v>Armenia</v>
      </c>
      <c r="R333" s="12" t="str">
        <f>IFERROR(__xludf.DUMMYFUNCTION("""COMPUTED_VALUE"""),"GiXRv86h*")</f>
        <v>GiXRv86h*</v>
      </c>
      <c r="S333" s="6" t="str">
        <f>IFERROR(__xludf.DUMMYFUNCTION("""COMPUTED_VALUE"""),"Montoya Quintero Eva ")</f>
        <v>Montoya Quintero Eva </v>
      </c>
      <c r="T333" s="6" t="str">
        <f>IFERROR(__xludf.DUMMYFUNCTION("""COMPUTED_VALUE"""),"CLAUDIA MILENA QUINTERO MORALES")</f>
        <v>CLAUDIA MILENA QUINTERO MORALES</v>
      </c>
      <c r="U333" s="12" t="str">
        <f>IFERROR(__xludf.DUMMYFUNCTION("""COMPUTED_VALUE"""),"1121822183")</f>
        <v>1121822183</v>
      </c>
      <c r="V333" s="6">
        <f>IFERROR(__xludf.DUMMYFUNCTION("""COMPUTED_VALUE"""),3.166252483E9)</f>
        <v>3166252483</v>
      </c>
      <c r="W333" s="6" t="str">
        <f>IFERROR(__xludf.DUMMYFUNCTION("""COMPUTED_VALUE"""),"klaukintero29@hotmail.com")</f>
        <v>klaukintero29@hotmail.com</v>
      </c>
      <c r="X333" s="12" t="str">
        <f>IFERROR(__xludf.DUMMYFUNCTION("""COMPUTED_VALUE"""),"O+")</f>
        <v>O+</v>
      </c>
      <c r="Y333" s="12" t="str">
        <f>IFERROR(__xludf.DUMMYFUNCTION("""COMPUTED_VALUE"""),"3")</f>
        <v>3</v>
      </c>
      <c r="Z333" s="12">
        <f>IFERROR(__xludf.DUMMYFUNCTION("""COMPUTED_VALUE"""),120147.0)</f>
        <v>120147</v>
      </c>
      <c r="AA333" s="6" t="str">
        <f>IFERROR(__xludf.DUMMYFUNCTION("""COMPUTED_VALUE"""),"SALUD TOTAL")</f>
        <v>SALUD TOTAL</v>
      </c>
      <c r="AB333" s="6"/>
      <c r="AC333" s="6"/>
      <c r="AD333" s="6" t="str">
        <f>IFERROR(__xludf.DUMMYFUNCTION("""COMPUTED_VALUE"""),"3B")</f>
        <v>3B</v>
      </c>
      <c r="AE333" s="12">
        <f>IFERROR(__xludf.DUMMYFUNCTION("""COMPUTED_VALUE"""),1.345282114E9)</f>
        <v>1345282114</v>
      </c>
      <c r="AF333" s="12" t="str">
        <f>IFERROR(__xludf.DUMMYFUNCTION("""COMPUTED_VALUE"""),"0690015027")</f>
        <v>0690015027</v>
      </c>
      <c r="AG333" s="12" t="str">
        <f>IFERROR(__xludf.DUMMYFUNCTION("""COMPUTED_VALUE"""),"Claudia")</f>
        <v>Claudia</v>
      </c>
      <c r="AH333" s="12" t="str">
        <f>IFERROR(__xludf.DUMMYFUNCTION("""COMPUTED_VALUE"""),"Milena")</f>
        <v>Milena</v>
      </c>
      <c r="AI333" s="6" t="str">
        <f>IFERROR(__xludf.DUMMYFUNCTION("""COMPUTED_VALUE"""),"Quintero Morales")</f>
        <v>Quintero Morales</v>
      </c>
      <c r="AJ333" s="6" t="str">
        <f>IFERROR(__xludf.DUMMYFUNCTION("""COMPUTED_VALUE"""),"klaukintero29@hotmail.com")</f>
        <v>klaukintero29@hotmail.com</v>
      </c>
      <c r="AK333" s="6" t="str">
        <f>IFERROR(__xludf.DUMMYFUNCTION("""COMPUTED_VALUE"""),"adm de empresas")</f>
        <v>adm de empresas</v>
      </c>
      <c r="AL333" s="6" t="str">
        <f>IFERROR(__xludf.DUMMYFUNCTION("""COMPUTED_VALUE"""),"independiente")</f>
        <v>independiente</v>
      </c>
      <c r="AM333" s="12" t="str">
        <f>IFERROR(__xludf.DUMMYFUNCTION("""COMPUTED_VALUE"""),"1121822183")</f>
        <v>1121822183</v>
      </c>
      <c r="AN333" s="12" t="str">
        <f>IFERROR(__xludf.DUMMYFUNCTION("""COMPUTED_VALUE"""),"3166252483")</f>
        <v>3166252483</v>
      </c>
      <c r="AO333" s="6" t="str">
        <f>IFERROR(__xludf.DUMMYFUNCTION("""COMPUTED_VALUE"""),"Madre")</f>
        <v>Madre</v>
      </c>
      <c r="AP333" s="6" t="str">
        <f>IFERROR(__xludf.DUMMYFUNCTION("""COMPUTED_VALUE"""),"Estudiante(s): Montoya Quintero")</f>
        <v>Estudiante(s): Montoya Quintero</v>
      </c>
      <c r="AQ333" s="6" t="str">
        <f>IFERROR(__xludf.DUMMYFUNCTION("""COMPUTED_VALUE"""),"103082*Gi")</f>
        <v>103082*Gi</v>
      </c>
      <c r="AR333" s="6" t="str">
        <f>IFERROR(__xludf.DUMMYFUNCTION("""COMPUTED_VALUE"""),"Carlos")</f>
        <v>Carlos</v>
      </c>
      <c r="AS333" s="6" t="str">
        <f>IFERROR(__xludf.DUMMYFUNCTION("""COMPUTED_VALUE"""),"Julio")</f>
        <v>Julio</v>
      </c>
      <c r="AT333" s="6" t="str">
        <f>IFERROR(__xludf.DUMMYFUNCTION("""COMPUTED_VALUE"""),"Montoya Pérez")</f>
        <v>Montoya Pérez</v>
      </c>
      <c r="AU333" s="6" t="str">
        <f>IFERROR(__xludf.DUMMYFUNCTION("""COMPUTED_VALUE"""),"montoyacj1@gmail.com")</f>
        <v>montoyacj1@gmail.com</v>
      </c>
      <c r="AV333" s="6" t="str">
        <f>IFERROR(__xludf.DUMMYFUNCTION("""COMPUTED_VALUE"""),"gandero-adm empresas")</f>
        <v>gandero-adm empresas</v>
      </c>
      <c r="AW333" s="6" t="str">
        <f>IFERROR(__xludf.DUMMYFUNCTION("""COMPUTED_VALUE"""),"independiente")</f>
        <v>independiente</v>
      </c>
      <c r="AX333" s="12" t="str">
        <f>IFERROR(__xludf.DUMMYFUNCTION("""COMPUTED_VALUE"""),"1020717601")</f>
        <v>1020717601</v>
      </c>
      <c r="AY333" s="12" t="str">
        <f>IFERROR(__xludf.DUMMYFUNCTION("""COMPUTED_VALUE"""),"3175100510")</f>
        <v>3175100510</v>
      </c>
      <c r="AZ333" s="6" t="str">
        <f>IFERROR(__xludf.DUMMYFUNCTION("""COMPUTED_VALUE"""),"Padre")</f>
        <v>Padre</v>
      </c>
      <c r="BA333" s="6"/>
      <c r="BB333" s="6"/>
      <c r="BC333" s="6"/>
      <c r="BD333" s="12" t="str">
        <f>IFERROR(__xludf.DUMMYFUNCTION("""COMPUTED_VALUE"""),"mon0011")</f>
        <v>mon0011</v>
      </c>
      <c r="BE333" s="6"/>
      <c r="BF333" s="6"/>
      <c r="BG333" s="6">
        <f>IFERROR(__xludf.DUMMYFUNCTION("""COMPUTED_VALUE"""),2036.0)</f>
        <v>2036</v>
      </c>
      <c r="BH333" s="15">
        <f>IFERROR(__xludf.DUMMYFUNCTION("""COMPUTED_VALUE"""),46233.680763888886)</f>
        <v>46233.68076</v>
      </c>
      <c r="BI333" s="6">
        <f>IFERROR(__xludf.DUMMYFUNCTION("""COMPUTED_VALUE"""),333.0)</f>
        <v>333</v>
      </c>
      <c r="BJ333" s="6"/>
      <c r="BK333" s="6"/>
      <c r="BL333" s="6" t="str">
        <f>IFERROR(__xludf.DUMMYFUNCTION("""COMPUTED_VALUE"""),"GISMON0011")</f>
        <v>GISMON0011</v>
      </c>
      <c r="BM333" s="6"/>
      <c r="BN333" s="6"/>
      <c r="BO333" s="6"/>
      <c r="BP333" s="6"/>
      <c r="BQ333" s="6"/>
      <c r="BR333" s="6"/>
      <c r="BS333" s="6"/>
      <c r="BT333" s="6"/>
      <c r="BU333" s="6" t="str">
        <f>IFERROR(__xludf.DUMMYFUNCTION("""COMPUTED_VALUE"""),"SI")</f>
        <v>SI</v>
      </c>
      <c r="BV333" s="6" t="str">
        <f>IFERROR(__xludf.DUMMYFUNCTION("""COMPUTED_VALUE"""),"eva.m2036")</f>
        <v>eva.m2036</v>
      </c>
      <c r="BW333" s="6"/>
      <c r="BX333" s="6"/>
      <c r="BY333" s="6"/>
      <c r="BZ333" s="6"/>
    </row>
    <row r="334">
      <c r="A334" s="12">
        <f>IFERROR(__xludf.DUMMYFUNCTION("""COMPUTED_VALUE"""),1.092862167E9)</f>
        <v>1092862167</v>
      </c>
      <c r="B334" s="6">
        <f>IFERROR(__xludf.DUMMYFUNCTION("""COMPUTED_VALUE"""),17.0)</f>
        <v>17</v>
      </c>
      <c r="C334" s="6" t="str">
        <f>IFERROR(__xludf.DUMMYFUNCTION("""COMPUTED_VALUE"""),"Antonia")</f>
        <v>Antonia</v>
      </c>
      <c r="D334" s="6"/>
      <c r="E334" s="6" t="str">
        <f>IFERROR(__xludf.DUMMYFUNCTION("""COMPUTED_VALUE"""),"Orozco Tovar")</f>
        <v>Orozco Tovar</v>
      </c>
      <c r="F334" s="6" t="str">
        <f>IFERROR(__xludf.DUMMYFUNCTION("""COMPUTED_VALUE"""),"Parque Residencial San Simon Casa 24 - Calle 32Nte No18 - 60")</f>
        <v>Parque Residencial San Simon Casa 24 - Calle 32Nte No18 - 60</v>
      </c>
      <c r="G334" s="12" t="str">
        <f>IFERROR(__xludf.DUMMYFUNCTION("""COMPUTED_VALUE"""),"2018")</f>
        <v>2018</v>
      </c>
      <c r="H334" s="6" t="str">
        <f>IFERROR(__xludf.DUMMYFUNCTION("""COMPUTED_VALUE"""),"Julio")</f>
        <v>Julio</v>
      </c>
      <c r="I334" s="12" t="str">
        <f>IFERROR(__xludf.DUMMYFUNCTION("""COMPUTED_VALUE"""),"15")</f>
        <v>15</v>
      </c>
      <c r="J334" s="6" t="str">
        <f>IFERROR(__xludf.DUMMYFUNCTION("""COMPUTED_VALUE"""),"Armenia")</f>
        <v>Armenia</v>
      </c>
      <c r="K334" s="6" t="str">
        <f>IFERROR(__xludf.DUMMYFUNCTION("""COMPUTED_VALUE"""),"antonia.o2036@gi.edu.co")</f>
        <v>antonia.o2036@gi.edu.co</v>
      </c>
      <c r="L334" s="6" t="str">
        <f>IFERROR(__xludf.DUMMYFUNCTION("""COMPUTED_VALUE"""),"RC")</f>
        <v>RC</v>
      </c>
      <c r="M334" s="6" t="str">
        <f>IFERROR(__xludf.DUMMYFUNCTION("""COMPUTED_VALUE"""),"Armenia")</f>
        <v>Armenia</v>
      </c>
      <c r="N334" s="6" t="str">
        <f>IFERROR(__xludf.DUMMYFUNCTION("""COMPUTED_VALUE"""),"F")</f>
        <v>F</v>
      </c>
      <c r="O334" s="6" t="str">
        <f>IFERROR(__xludf.DUMMYFUNCTION("""COMPUTED_VALUE"""),"ACTIVE")</f>
        <v>ACTIVE</v>
      </c>
      <c r="P334" s="6"/>
      <c r="Q334" s="6" t="str">
        <f>IFERROR(__xludf.DUMMYFUNCTION("""COMPUTED_VALUE"""),"Armenia")</f>
        <v>Armenia</v>
      </c>
      <c r="R334" s="12" t="str">
        <f>IFERROR(__xludf.DUMMYFUNCTION("""COMPUTED_VALUE"""),"Gi0ot4e3*")</f>
        <v>Gi0ot4e3*</v>
      </c>
      <c r="S334" s="6" t="str">
        <f>IFERROR(__xludf.DUMMYFUNCTION("""COMPUTED_VALUE"""),"Orozco Tovar Antonia ")</f>
        <v>Orozco Tovar Antonia </v>
      </c>
      <c r="T334" s="6" t="str">
        <f>IFERROR(__xludf.DUMMYFUNCTION("""COMPUTED_VALUE"""),"MANUEL FELIPE OROZCO CASTAÑEDA")</f>
        <v>MANUEL FELIPE OROZCO CASTAÑEDA</v>
      </c>
      <c r="U334" s="12" t="str">
        <f>IFERROR(__xludf.DUMMYFUNCTION("""COMPUTED_VALUE"""),"1094933384")</f>
        <v>1094933384</v>
      </c>
      <c r="V334" s="6">
        <f>IFERROR(__xludf.DUMMYFUNCTION("""COMPUTED_VALUE"""),3.17895256E9)</f>
        <v>3178952560</v>
      </c>
      <c r="W334" s="6" t="str">
        <f>IFERROR(__xludf.DUMMYFUNCTION("""COMPUTED_VALUE"""),"manuelforozco.2525@hotmail.com")</f>
        <v>manuelforozco.2525@hotmail.com</v>
      </c>
      <c r="X334" s="12" t="str">
        <f>IFERROR(__xludf.DUMMYFUNCTION("""COMPUTED_VALUE"""),"A+")</f>
        <v>A+</v>
      </c>
      <c r="Y334" s="12" t="str">
        <f>IFERROR(__xludf.DUMMYFUNCTION("""COMPUTED_VALUE"""),"3")</f>
        <v>3</v>
      </c>
      <c r="Z334" s="12">
        <f>IFERROR(__xludf.DUMMYFUNCTION("""COMPUTED_VALUE"""),120339.0)</f>
        <v>120339</v>
      </c>
      <c r="AA334" s="6" t="str">
        <f>IFERROR(__xludf.DUMMYFUNCTION("""COMPUTED_VALUE"""),"SANITAS")</f>
        <v>SANITAS</v>
      </c>
      <c r="AB334" s="6"/>
      <c r="AC334" s="6"/>
      <c r="AD334" s="6" t="str">
        <f>IFERROR(__xludf.DUMMYFUNCTION("""COMPUTED_VALUE"""),"3B")</f>
        <v>3B</v>
      </c>
      <c r="AE334" s="12">
        <f>IFERROR(__xludf.DUMMYFUNCTION("""COMPUTED_VALUE"""),1.345282343E9)</f>
        <v>1345282343</v>
      </c>
      <c r="AF334" s="12" t="str">
        <f>IFERROR(__xludf.DUMMYFUNCTION("""COMPUTED_VALUE"""),"0687237971")</f>
        <v>0687237971</v>
      </c>
      <c r="AG334" s="12" t="str">
        <f>IFERROR(__xludf.DUMMYFUNCTION("""COMPUTED_VALUE"""),"Steffany")</f>
        <v>Steffany</v>
      </c>
      <c r="AH334" s="6"/>
      <c r="AI334" s="6" t="str">
        <f>IFERROR(__xludf.DUMMYFUNCTION("""COMPUTED_VALUE"""),"Tovar Villa")</f>
        <v>Tovar Villa</v>
      </c>
      <c r="AJ334" s="6" t="str">
        <f>IFERROR(__xludf.DUMMYFUNCTION("""COMPUTED_VALUE"""),"steffanytovarvilla@hotmail.com")</f>
        <v>steffanytovarvilla@hotmail.com</v>
      </c>
      <c r="AK334" s="6" t="str">
        <f>IFERROR(__xludf.DUMMYFUNCTION("""COMPUTED_VALUE"""),"Abogada")</f>
        <v>Abogada</v>
      </c>
      <c r="AL334" s="6"/>
      <c r="AM334" s="12" t="str">
        <f>IFERROR(__xludf.DUMMYFUNCTION("""COMPUTED_VALUE"""),"1094923678")</f>
        <v>1094923678</v>
      </c>
      <c r="AN334" s="12" t="str">
        <f>IFERROR(__xludf.DUMMYFUNCTION("""COMPUTED_VALUE"""),"3152706636")</f>
        <v>3152706636</v>
      </c>
      <c r="AO334" s="6" t="str">
        <f>IFERROR(__xludf.DUMMYFUNCTION("""COMPUTED_VALUE"""),"Madre")</f>
        <v>Madre</v>
      </c>
      <c r="AP334" s="6" t="str">
        <f>IFERROR(__xludf.DUMMYFUNCTION("""COMPUTED_VALUE"""),"Estudiante(s): Orozco Tovar")</f>
        <v>Estudiante(s): Orozco Tovar</v>
      </c>
      <c r="AQ334" s="6" t="str">
        <f>IFERROR(__xludf.DUMMYFUNCTION("""COMPUTED_VALUE"""),"120320*Gi")</f>
        <v>120320*Gi</v>
      </c>
      <c r="AR334" s="6" t="str">
        <f>IFERROR(__xludf.DUMMYFUNCTION("""COMPUTED_VALUE"""),"Manuel")</f>
        <v>Manuel</v>
      </c>
      <c r="AS334" s="6" t="str">
        <f>IFERROR(__xludf.DUMMYFUNCTION("""COMPUTED_VALUE"""),"Felipe")</f>
        <v>Felipe</v>
      </c>
      <c r="AT334" s="6" t="str">
        <f>IFERROR(__xludf.DUMMYFUNCTION("""COMPUTED_VALUE"""),"Orozco Castañeda")</f>
        <v>Orozco Castañeda</v>
      </c>
      <c r="AU334" s="6" t="str">
        <f>IFERROR(__xludf.DUMMYFUNCTION("""COMPUTED_VALUE"""),"manuelforozco.2525@hotmail.com")</f>
        <v>manuelforozco.2525@hotmail.com</v>
      </c>
      <c r="AV334" s="6" t="str">
        <f>IFERROR(__xludf.DUMMYFUNCTION("""COMPUTED_VALUE"""),"Abogado")</f>
        <v>Abogado</v>
      </c>
      <c r="AW334" s="6"/>
      <c r="AX334" s="12" t="str">
        <f>IFERROR(__xludf.DUMMYFUNCTION("""COMPUTED_VALUE"""),"1094933384")</f>
        <v>1094933384</v>
      </c>
      <c r="AY334" s="12" t="str">
        <f>IFERROR(__xludf.DUMMYFUNCTION("""COMPUTED_VALUE"""),"3178952560")</f>
        <v>3178952560</v>
      </c>
      <c r="AZ334" s="6" t="str">
        <f>IFERROR(__xludf.DUMMYFUNCTION("""COMPUTED_VALUE"""),"Padre")</f>
        <v>Padre</v>
      </c>
      <c r="BA334" s="6"/>
      <c r="BB334" s="6"/>
      <c r="BC334" s="6"/>
      <c r="BD334" s="12" t="str">
        <f>IFERROR(__xludf.DUMMYFUNCTION("""COMPUTED_VALUE"""),"oro0004")</f>
        <v>oro0004</v>
      </c>
      <c r="BE334" s="6"/>
      <c r="BF334" s="6"/>
      <c r="BG334" s="6">
        <f>IFERROR(__xludf.DUMMYFUNCTION("""COMPUTED_VALUE"""),2036.0)</f>
        <v>2036</v>
      </c>
      <c r="BH334" s="15">
        <f>IFERROR(__xludf.DUMMYFUNCTION("""COMPUTED_VALUE"""),46212.76424768518)</f>
        <v>46212.76425</v>
      </c>
      <c r="BI334" s="6">
        <f>IFERROR(__xludf.DUMMYFUNCTION("""COMPUTED_VALUE"""),334.0)</f>
        <v>334</v>
      </c>
      <c r="BJ334" s="6" t="str">
        <f>IFERROR(__xludf.DUMMYFUNCTION("""COMPUTED_VALUE"""),"SIMAT: trastorno por déficit de atención con o sin hiperactividad (Nov 13 2024)")</f>
        <v>SIMAT: trastorno por déficit de atención con o sin hiperactividad (Nov 13 2024)</v>
      </c>
      <c r="BK334" s="6" t="str">
        <f>IFERROR(__xludf.DUMMYFUNCTION("""COMPUTED_VALUE"""),"Si: Salbutamol DOS PUFF, EN CASO DE CRISIS ASMÁTICA.")</f>
        <v>Si: Salbutamol DOS PUFF, EN CASO DE CRISIS ASMÁTICA.</v>
      </c>
      <c r="BL334" s="6" t="str">
        <f>IFERROR(__xludf.DUMMYFUNCTION("""COMPUTED_VALUE"""),"GISORO0004")</f>
        <v>GISORO0004</v>
      </c>
      <c r="BM334" s="6"/>
      <c r="BN334" s="6"/>
      <c r="BO334" s="6"/>
      <c r="BP334" s="6" t="str">
        <f>IFERROR(__xludf.DUMMYFUNCTION("""COMPUTED_VALUE"""),"XC_23_Voleibol")</f>
        <v>XC_23_Voleibol</v>
      </c>
      <c r="BQ334" s="6"/>
      <c r="BR334" s="6"/>
      <c r="BS334" s="6" t="str">
        <f>IFERROR(__xludf.DUMMYFUNCTION("""COMPUTED_VALUE"""),"XC_23_Voleibol")</f>
        <v>XC_23_Voleibol</v>
      </c>
      <c r="BT334" s="6" t="str">
        <f>IFERROR(__xludf.DUMMYFUNCTION("""COMPUTED_VALUE"""),"XC_23_Voleibol")</f>
        <v>XC_23_Voleibol</v>
      </c>
      <c r="BU334" s="6" t="str">
        <f>IFERROR(__xludf.DUMMYFUNCTION("""COMPUTED_VALUE"""),"SI")</f>
        <v>SI</v>
      </c>
      <c r="BV334" s="6" t="str">
        <f>IFERROR(__xludf.DUMMYFUNCTION("""COMPUTED_VALUE"""),"antonia.o2036")</f>
        <v>antonia.o2036</v>
      </c>
      <c r="BW334" s="6"/>
      <c r="BX334" s="6"/>
      <c r="BY334" s="6"/>
      <c r="BZ334" s="6"/>
    </row>
    <row r="335">
      <c r="A335" s="6">
        <f>IFERROR(__xludf.DUMMYFUNCTION("""COMPUTED_VALUE"""),1.092861718E9)</f>
        <v>1092861718</v>
      </c>
      <c r="B335" s="6">
        <f>IFERROR(__xludf.DUMMYFUNCTION("""COMPUTED_VALUE"""),18.0)</f>
        <v>18</v>
      </c>
      <c r="C335" s="6" t="str">
        <f>IFERROR(__xludf.DUMMYFUNCTION("""COMPUTED_VALUE"""),"Isabella")</f>
        <v>Isabella</v>
      </c>
      <c r="D335" s="6"/>
      <c r="E335" s="6" t="str">
        <f>IFERROR(__xludf.DUMMYFUNCTION("""COMPUTED_VALUE"""),"Ortiz Echeverri")</f>
        <v>Ortiz Echeverri</v>
      </c>
      <c r="F335" s="6" t="str">
        <f>IFERROR(__xludf.DUMMYFUNCTION("""COMPUTED_VALUE"""),"Conjunto Residencial La Estancia Casa 29 - Calle 2 No6 - 69")</f>
        <v>Conjunto Residencial La Estancia Casa 29 - Calle 2 No6 - 69</v>
      </c>
      <c r="G335" s="12" t="str">
        <f>IFERROR(__xludf.DUMMYFUNCTION("""COMPUTED_VALUE"""),"2018")</f>
        <v>2018</v>
      </c>
      <c r="H335" s="6" t="str">
        <f>IFERROR(__xludf.DUMMYFUNCTION("""COMPUTED_VALUE"""),"Enero")</f>
        <v>Enero</v>
      </c>
      <c r="I335" s="12" t="str">
        <f>IFERROR(__xludf.DUMMYFUNCTION("""COMPUTED_VALUE"""),"22")</f>
        <v>22</v>
      </c>
      <c r="J335" s="6" t="str">
        <f>IFERROR(__xludf.DUMMYFUNCTION("""COMPUTED_VALUE"""),"Armenia")</f>
        <v>Armenia</v>
      </c>
      <c r="K335" s="6" t="str">
        <f>IFERROR(__xludf.DUMMYFUNCTION("""COMPUTED_VALUE"""),"isabella.o2036@gi.edu.co")</f>
        <v>isabella.o2036@gi.edu.co</v>
      </c>
      <c r="L335" s="6" t="str">
        <f>IFERROR(__xludf.DUMMYFUNCTION("""COMPUTED_VALUE"""),"TI")</f>
        <v>TI</v>
      </c>
      <c r="M335" s="6" t="str">
        <f>IFERROR(__xludf.DUMMYFUNCTION("""COMPUTED_VALUE"""),"Armenia")</f>
        <v>Armenia</v>
      </c>
      <c r="N335" s="6" t="str">
        <f>IFERROR(__xludf.DUMMYFUNCTION("""COMPUTED_VALUE"""),"F")</f>
        <v>F</v>
      </c>
      <c r="O335" s="6" t="str">
        <f>IFERROR(__xludf.DUMMYFUNCTION("""COMPUTED_VALUE"""),"ACTIVE")</f>
        <v>ACTIVE</v>
      </c>
      <c r="P335" s="6"/>
      <c r="Q335" s="6" t="str">
        <f>IFERROR(__xludf.DUMMYFUNCTION("""COMPUTED_VALUE"""),"Armenia")</f>
        <v>Armenia</v>
      </c>
      <c r="R335" s="12" t="str">
        <f>IFERROR(__xludf.DUMMYFUNCTION("""COMPUTED_VALUE"""),"Giea47u*")</f>
        <v>Giea47u*</v>
      </c>
      <c r="S335" s="6" t="str">
        <f>IFERROR(__xludf.DUMMYFUNCTION("""COMPUTED_VALUE"""),"Ortiz Echeverri Isabella ")</f>
        <v>Ortiz Echeverri Isabella </v>
      </c>
      <c r="T335" s="6" t="str">
        <f>IFERROR(__xludf.DUMMYFUNCTION("""COMPUTED_VALUE"""),"MARIA FERNANDA ECHEVERRI RESTREPO")</f>
        <v>MARIA FERNANDA ECHEVERRI RESTREPO</v>
      </c>
      <c r="U335" s="12" t="str">
        <f>IFERROR(__xludf.DUMMYFUNCTION("""COMPUTED_VALUE"""),"1094888800")</f>
        <v>1094888800</v>
      </c>
      <c r="V335" s="6">
        <f>IFERROR(__xludf.DUMMYFUNCTION("""COMPUTED_VALUE"""),3.174032422E9)</f>
        <v>3174032422</v>
      </c>
      <c r="W335" s="6" t="str">
        <f>IFERROR(__xludf.DUMMYFUNCTION("""COMPUTED_VALUE"""),"mariaf783@hotmail.com")</f>
        <v>mariaf783@hotmail.com</v>
      </c>
      <c r="X335" s="12" t="str">
        <f>IFERROR(__xludf.DUMMYFUNCTION("""COMPUTED_VALUE"""),"A+")</f>
        <v>A+</v>
      </c>
      <c r="Y335" s="12" t="str">
        <f>IFERROR(__xludf.DUMMYFUNCTION("""COMPUTED_VALUE"""),"3")</f>
        <v>3</v>
      </c>
      <c r="Z335" s="12">
        <f>IFERROR(__xludf.DUMMYFUNCTION("""COMPUTED_VALUE"""),120218.0)</f>
        <v>120218</v>
      </c>
      <c r="AA335" s="6" t="str">
        <f>IFERROR(__xludf.DUMMYFUNCTION("""COMPUTED_VALUE"""),"OTRA")</f>
        <v>OTRA</v>
      </c>
      <c r="AB335" s="6"/>
      <c r="AC335" s="6" t="str">
        <f>IFERROR(__xludf.DUMMYFUNCTION("""COMPUTED_VALUE"""),"Pescado y toda la comida de mar")</f>
        <v>Pescado y toda la comida de mar</v>
      </c>
      <c r="AD335" s="6" t="str">
        <f>IFERROR(__xludf.DUMMYFUNCTION("""COMPUTED_VALUE"""),"3B")</f>
        <v>3B</v>
      </c>
      <c r="AE335" s="12">
        <f>IFERROR(__xludf.DUMMYFUNCTION("""COMPUTED_VALUE"""),1.345282211E9)</f>
        <v>1345282211</v>
      </c>
      <c r="AF335" s="12" t="str">
        <f>IFERROR(__xludf.DUMMYFUNCTION("""COMPUTED_VALUE"""),"0698802387")</f>
        <v>0698802387</v>
      </c>
      <c r="AG335" s="12" t="str">
        <f>IFERROR(__xludf.DUMMYFUNCTION("""COMPUTED_VALUE"""),"María")</f>
        <v>María</v>
      </c>
      <c r="AH335" s="12" t="str">
        <f>IFERROR(__xludf.DUMMYFUNCTION("""COMPUTED_VALUE"""),"Fernanda")</f>
        <v>Fernanda</v>
      </c>
      <c r="AI335" s="6" t="str">
        <f>IFERROR(__xludf.DUMMYFUNCTION("""COMPUTED_VALUE"""),"Echeverri Restrepo")</f>
        <v>Echeverri Restrepo</v>
      </c>
      <c r="AJ335" s="6" t="str">
        <f>IFERROR(__xludf.DUMMYFUNCTION("""COMPUTED_VALUE"""),"mariaf783@hotmail.com")</f>
        <v>mariaf783@hotmail.com</v>
      </c>
      <c r="AK335" s="6" t="str">
        <f>IFERROR(__xludf.DUMMYFUNCTION("""COMPUTED_VALUE"""),"Médico")</f>
        <v>Médico</v>
      </c>
      <c r="AL335" s="6" t="str">
        <f>IFERROR(__xludf.DUMMYFUNCTION("""COMPUTED_VALUE"""),"SURA EPS")</f>
        <v>SURA EPS</v>
      </c>
      <c r="AM335" s="12" t="str">
        <f>IFERROR(__xludf.DUMMYFUNCTION("""COMPUTED_VALUE"""),"1094888800")</f>
        <v>1094888800</v>
      </c>
      <c r="AN335" s="12" t="str">
        <f>IFERROR(__xludf.DUMMYFUNCTION("""COMPUTED_VALUE"""),"3174032422")</f>
        <v>3174032422</v>
      </c>
      <c r="AO335" s="6" t="str">
        <f>IFERROR(__xludf.DUMMYFUNCTION("""COMPUTED_VALUE"""),"Madre")</f>
        <v>Madre</v>
      </c>
      <c r="AP335" s="6" t="str">
        <f>IFERROR(__xludf.DUMMYFUNCTION("""COMPUTED_VALUE"""),"Estudiante(s): Ortiz Echeverri")</f>
        <v>Estudiante(s): Ortiz Echeverri</v>
      </c>
      <c r="AQ335" s="6" t="str">
        <f>IFERROR(__xludf.DUMMYFUNCTION("""COMPUTED_VALUE"""),"120218*Gi")</f>
        <v>120218*Gi</v>
      </c>
      <c r="AR335" s="6" t="str">
        <f>IFERROR(__xludf.DUMMYFUNCTION("""COMPUTED_VALUE"""),"Germán")</f>
        <v>Germán</v>
      </c>
      <c r="AS335" s="6" t="str">
        <f>IFERROR(__xludf.DUMMYFUNCTION("""COMPUTED_VALUE"""),"Andrés")</f>
        <v>Andrés</v>
      </c>
      <c r="AT335" s="6" t="str">
        <f>IFERROR(__xludf.DUMMYFUNCTION("""COMPUTED_VALUE"""),"Oriz Rincón")</f>
        <v>Oriz Rincón</v>
      </c>
      <c r="AU335" s="6" t="str">
        <f>IFERROR(__xludf.DUMMYFUNCTION("""COMPUTED_VALUE"""),"elchavo088@hotmail.com")</f>
        <v>elchavo088@hotmail.com</v>
      </c>
      <c r="AV335" s="6" t="str">
        <f>IFERROR(__xludf.DUMMYFUNCTION("""COMPUTED_VALUE"""),"Oficial policia nacional")</f>
        <v>Oficial policia nacional</v>
      </c>
      <c r="AW335" s="6"/>
      <c r="AX335" s="12" t="str">
        <f>IFERROR(__xludf.DUMMYFUNCTION("""COMPUTED_VALUE"""),"86083426")</f>
        <v>86083426</v>
      </c>
      <c r="AY335" s="12" t="str">
        <f>IFERROR(__xludf.DUMMYFUNCTION("""COMPUTED_VALUE"""),"3102828413")</f>
        <v>3102828413</v>
      </c>
      <c r="AZ335" s="6" t="str">
        <f>IFERROR(__xludf.DUMMYFUNCTION("""COMPUTED_VALUE"""),"Padre")</f>
        <v>Padre</v>
      </c>
      <c r="BA335" s="6"/>
      <c r="BB335" s="6"/>
      <c r="BC335" s="6"/>
      <c r="BD335" s="12" t="str">
        <f>IFERROR(__xludf.DUMMYFUNCTION("""COMPUTED_VALUE"""),"ort0003")</f>
        <v>ort0003</v>
      </c>
      <c r="BE335" s="6"/>
      <c r="BF335" s="6"/>
      <c r="BG335" s="6">
        <f>IFERROR(__xludf.DUMMYFUNCTION("""COMPUTED_VALUE"""),2036.0)</f>
        <v>2036</v>
      </c>
      <c r="BH335" s="15">
        <f>IFERROR(__xludf.DUMMYFUNCTION("""COMPUTED_VALUE"""),46204.83981481481)</f>
        <v>46204.83981</v>
      </c>
      <c r="BI335" s="6">
        <f>IFERROR(__xludf.DUMMYFUNCTION("""COMPUTED_VALUE"""),335.0)</f>
        <v>335</v>
      </c>
      <c r="BJ335" s="6"/>
      <c r="BK335" s="6"/>
      <c r="BL335" s="6" t="str">
        <f>IFERROR(__xludf.DUMMYFUNCTION("""COMPUTED_VALUE"""),"GISORT0003")</f>
        <v>GISORT0003</v>
      </c>
      <c r="BM335" s="6"/>
      <c r="BN335" s="6"/>
      <c r="BO335" s="6"/>
      <c r="BP335" s="6" t="str">
        <f>IFERROR(__xludf.DUMMYFUNCTION("""COMPUTED_VALUE"""),"XC_23_Voleibol")</f>
        <v>XC_23_Voleibol</v>
      </c>
      <c r="BQ335" s="6"/>
      <c r="BR335" s="6" t="str">
        <f>IFERROR(__xludf.DUMMYFUNCTION("""COMPUTED_VALUE"""),"XC_EL_DanzaModerna")</f>
        <v>XC_EL_DanzaModerna</v>
      </c>
      <c r="BS335" s="6" t="str">
        <f>IFERROR(__xludf.DUMMYFUNCTION("""COMPUTED_VALUE"""),"XC_23_Voleibol")</f>
        <v>XC_23_Voleibol</v>
      </c>
      <c r="BT335" s="6" t="str">
        <f>IFERROR(__xludf.DUMMYFUNCTION("""COMPUTED_VALUE"""),"XC_23_Voleibol")</f>
        <v>XC_23_Voleibol</v>
      </c>
      <c r="BU335" s="6" t="str">
        <f>IFERROR(__xludf.DUMMYFUNCTION("""COMPUTED_VALUE"""),"SI")</f>
        <v>SI</v>
      </c>
      <c r="BV335" s="6" t="str">
        <f>IFERROR(__xludf.DUMMYFUNCTION("""COMPUTED_VALUE"""),"isabella.o2036")</f>
        <v>isabella.o2036</v>
      </c>
      <c r="BW335" s="6"/>
      <c r="BX335" s="6"/>
      <c r="BY335" s="6"/>
      <c r="BZ335" s="6"/>
    </row>
    <row r="336">
      <c r="A336" s="12">
        <f>IFERROR(__xludf.DUMMYFUNCTION("""COMPUTED_VALUE"""),1.019915966E9)</f>
        <v>1019915966</v>
      </c>
      <c r="B336" s="6">
        <f>IFERROR(__xludf.DUMMYFUNCTION("""COMPUTED_VALUE"""),19.0)</f>
        <v>19</v>
      </c>
      <c r="C336" s="6" t="str">
        <f>IFERROR(__xludf.DUMMYFUNCTION("""COMPUTED_VALUE"""),"Paloma")</f>
        <v>Paloma</v>
      </c>
      <c r="D336" s="6"/>
      <c r="E336" s="6" t="str">
        <f>IFERROR(__xludf.DUMMYFUNCTION("""COMPUTED_VALUE"""),"Pinzón Acosta")</f>
        <v>Pinzón Acosta</v>
      </c>
      <c r="F336" s="6" t="str">
        <f>IFERROR(__xludf.DUMMYFUNCTION("""COMPUTED_VALUE"""),"Condominio Entre Maderos Casa 76 - Vereda El Congal Km 1.2 Via Circasia - Armenia")</f>
        <v>Condominio Entre Maderos Casa 76 - Vereda El Congal Km 1.2 Via Circasia - Armenia</v>
      </c>
      <c r="G336" s="12" t="str">
        <f>IFERROR(__xludf.DUMMYFUNCTION("""COMPUTED_VALUE"""),"2018")</f>
        <v>2018</v>
      </c>
      <c r="H336" s="6" t="str">
        <f>IFERROR(__xludf.DUMMYFUNCTION("""COMPUTED_VALUE"""),"Enero")</f>
        <v>Enero</v>
      </c>
      <c r="I336" s="12" t="str">
        <f>IFERROR(__xludf.DUMMYFUNCTION("""COMPUTED_VALUE"""),"29")</f>
        <v>29</v>
      </c>
      <c r="J336" s="6" t="str">
        <f>IFERROR(__xludf.DUMMYFUNCTION("""COMPUTED_VALUE"""),"Bogotá D.C.")</f>
        <v>Bogotá D.C.</v>
      </c>
      <c r="K336" s="6" t="str">
        <f>IFERROR(__xludf.DUMMYFUNCTION("""COMPUTED_VALUE"""),"paloma.p2036@gi.edu.co")</f>
        <v>paloma.p2036@gi.edu.co</v>
      </c>
      <c r="L336" s="6" t="str">
        <f>IFERROR(__xludf.DUMMYFUNCTION("""COMPUTED_VALUE"""),"TI")</f>
        <v>TI</v>
      </c>
      <c r="M336" s="6" t="str">
        <f>IFERROR(__xludf.DUMMYFUNCTION("""COMPUTED_VALUE"""),"Armenia")</f>
        <v>Armenia</v>
      </c>
      <c r="N336" s="6" t="str">
        <f>IFERROR(__xludf.DUMMYFUNCTION("""COMPUTED_VALUE"""),"F")</f>
        <v>F</v>
      </c>
      <c r="O336" s="6" t="str">
        <f>IFERROR(__xludf.DUMMYFUNCTION("""COMPUTED_VALUE"""),"ACTIVE")</f>
        <v>ACTIVE</v>
      </c>
      <c r="P336" s="6"/>
      <c r="Q336" s="6" t="str">
        <f>IFERROR(__xludf.DUMMYFUNCTION("""COMPUTED_VALUE"""),"Armenia")</f>
        <v>Armenia</v>
      </c>
      <c r="R336" s="12" t="str">
        <f>IFERROR(__xludf.DUMMYFUNCTION("""COMPUTED_VALUE"""),"Gibr3tu9*")</f>
        <v>Gibr3tu9*</v>
      </c>
      <c r="S336" s="6" t="str">
        <f>IFERROR(__xludf.DUMMYFUNCTION("""COMPUTED_VALUE"""),"Pinzón Acosta Paloma ")</f>
        <v>Pinzón Acosta Paloma </v>
      </c>
      <c r="T336" s="6" t="str">
        <f>IFERROR(__xludf.DUMMYFUNCTION("""COMPUTED_VALUE"""),"ALEJANDRO PINZON SARMIENTO")</f>
        <v>ALEJANDRO PINZON SARMIENTO</v>
      </c>
      <c r="U336" s="12" t="str">
        <f>IFERROR(__xludf.DUMMYFUNCTION("""COMPUTED_VALUE"""),"79778584")</f>
        <v>79778584</v>
      </c>
      <c r="V336" s="6">
        <f>IFERROR(__xludf.DUMMYFUNCTION("""COMPUTED_VALUE"""),3.214802815E9)</f>
        <v>3214802815</v>
      </c>
      <c r="W336" s="6" t="str">
        <f>IFERROR(__xludf.DUMMYFUNCTION("""COMPUTED_VALUE"""),"alejopin69@hotmail.com")</f>
        <v>alejopin69@hotmail.com</v>
      </c>
      <c r="X336" s="12" t="str">
        <f>IFERROR(__xludf.DUMMYFUNCTION("""COMPUTED_VALUE"""),"O+")</f>
        <v>O+</v>
      </c>
      <c r="Y336" s="12" t="str">
        <f>IFERROR(__xludf.DUMMYFUNCTION("""COMPUTED_VALUE"""),"3")</f>
        <v>3</v>
      </c>
      <c r="Z336" s="12">
        <f>IFERROR(__xludf.DUMMYFUNCTION("""COMPUTED_VALUE"""),120312.0)</f>
        <v>120312</v>
      </c>
      <c r="AA336" s="6" t="str">
        <f>IFERROR(__xludf.DUMMYFUNCTION("""COMPUTED_VALUE"""),"SURA")</f>
        <v>SURA</v>
      </c>
      <c r="AB336" s="6"/>
      <c r="AC336" s="12" t="str">
        <f>IFERROR(__xludf.DUMMYFUNCTION("""COMPUTED_VALUE"""),"A los acaros")</f>
        <v>A los acaros</v>
      </c>
      <c r="AD336" s="6" t="str">
        <f>IFERROR(__xludf.DUMMYFUNCTION("""COMPUTED_VALUE"""),"3B")</f>
        <v>3B</v>
      </c>
      <c r="AE336" s="12">
        <f>IFERROR(__xludf.DUMMYFUNCTION("""COMPUTED_VALUE"""),1.345282309E9)</f>
        <v>1345282309</v>
      </c>
      <c r="AF336" s="12" t="str">
        <f>IFERROR(__xludf.DUMMYFUNCTION("""COMPUTED_VALUE"""),"0687017747")</f>
        <v>0687017747</v>
      </c>
      <c r="AG336" s="12" t="str">
        <f>IFERROR(__xludf.DUMMYFUNCTION("""COMPUTED_VALUE"""),"Carolina")</f>
        <v>Carolina</v>
      </c>
      <c r="AH336" s="6"/>
      <c r="AI336" s="6" t="str">
        <f>IFERROR(__xludf.DUMMYFUNCTION("""COMPUTED_VALUE"""),"Acosta Sánchez")</f>
        <v>Acosta Sánchez</v>
      </c>
      <c r="AJ336" s="6" t="str">
        <f>IFERROR(__xludf.DUMMYFUNCTION("""COMPUTED_VALUE"""),"acostacarolina586@gmail.com")</f>
        <v>acostacarolina586@gmail.com</v>
      </c>
      <c r="AK336" s="6" t="str">
        <f>IFERROR(__xludf.DUMMYFUNCTION("""COMPUTED_VALUE"""),"Administradora de Empresas")</f>
        <v>Administradora de Empresas</v>
      </c>
      <c r="AL336" s="6" t="str">
        <f>IFERROR(__xludf.DUMMYFUNCTION("""COMPUTED_VALUE"""),"STRUKTO INMOBILIARIA SAS")</f>
        <v>STRUKTO INMOBILIARIA SAS</v>
      </c>
      <c r="AM336" s="12" t="str">
        <f>IFERROR(__xludf.DUMMYFUNCTION("""COMPUTED_VALUE"""),"1094905138")</f>
        <v>1094905138</v>
      </c>
      <c r="AN336" s="12" t="str">
        <f>IFERROR(__xludf.DUMMYFUNCTION("""COMPUTED_VALUE"""),"3203945270")</f>
        <v>3203945270</v>
      </c>
      <c r="AO336" s="6" t="str">
        <f>IFERROR(__xludf.DUMMYFUNCTION("""COMPUTED_VALUE"""),"Madre")</f>
        <v>Madre</v>
      </c>
      <c r="AP336" s="6" t="str">
        <f>IFERROR(__xludf.DUMMYFUNCTION("""COMPUTED_VALUE"""),"Estudiante(s): Pinzón Acosta")</f>
        <v>Estudiante(s): Pinzón Acosta</v>
      </c>
      <c r="AQ336" s="6" t="str">
        <f>IFERROR(__xludf.DUMMYFUNCTION("""COMPUTED_VALUE"""),"120312*Gi")</f>
        <v>120312*Gi</v>
      </c>
      <c r="AR336" s="6" t="str">
        <f>IFERROR(__xludf.DUMMYFUNCTION("""COMPUTED_VALUE"""),"Alejandro")</f>
        <v>Alejandro</v>
      </c>
      <c r="AS336" s="6"/>
      <c r="AT336" s="6" t="str">
        <f>IFERROR(__xludf.DUMMYFUNCTION("""COMPUTED_VALUE"""),"Pinzón Sarmiento")</f>
        <v>Pinzón Sarmiento</v>
      </c>
      <c r="AU336" s="6" t="str">
        <f>IFERROR(__xludf.DUMMYFUNCTION("""COMPUTED_VALUE"""),"alejopin69@hotmail.com")</f>
        <v>alejopin69@hotmail.com</v>
      </c>
      <c r="AV336" s="6" t="str">
        <f>IFERROR(__xludf.DUMMYFUNCTION("""COMPUTED_VALUE"""),"Publicidad y mercadeo")</f>
        <v>Publicidad y mercadeo</v>
      </c>
      <c r="AW336" s="6"/>
      <c r="AX336" s="12" t="str">
        <f>IFERROR(__xludf.DUMMYFUNCTION("""COMPUTED_VALUE"""),"79778584")</f>
        <v>79778584</v>
      </c>
      <c r="AY336" s="12" t="str">
        <f>IFERROR(__xludf.DUMMYFUNCTION("""COMPUTED_VALUE"""),"3214802815")</f>
        <v>3214802815</v>
      </c>
      <c r="AZ336" s="6" t="str">
        <f>IFERROR(__xludf.DUMMYFUNCTION("""COMPUTED_VALUE"""),"Padre")</f>
        <v>Padre</v>
      </c>
      <c r="BA336" s="6"/>
      <c r="BB336" s="6"/>
      <c r="BC336" s="6"/>
      <c r="BD336" s="12" t="str">
        <f>IFERROR(__xludf.DUMMYFUNCTION("""COMPUTED_VALUE"""),"pin0001")</f>
        <v>pin0001</v>
      </c>
      <c r="BE336" s="6"/>
      <c r="BF336" s="6"/>
      <c r="BG336" s="6">
        <f>IFERROR(__xludf.DUMMYFUNCTION("""COMPUTED_VALUE"""),2036.0)</f>
        <v>2036</v>
      </c>
      <c r="BH336" s="15">
        <f>IFERROR(__xludf.DUMMYFUNCTION("""COMPUTED_VALUE"""),46209.704050925924)</f>
        <v>46209.70405</v>
      </c>
      <c r="BI336" s="6">
        <f>IFERROR(__xludf.DUMMYFUNCTION("""COMPUTED_VALUE"""),336.0)</f>
        <v>336</v>
      </c>
      <c r="BJ336" s="6"/>
      <c r="BK336" s="6" t="str">
        <f>IFERROR(__xludf.DUMMYFUNCTION("""COMPUTED_VALUE"""),"Si: Salbutamol")</f>
        <v>Si: Salbutamol</v>
      </c>
      <c r="BL336" s="6" t="str">
        <f>IFERROR(__xludf.DUMMYFUNCTION("""COMPUTED_VALUE"""),"GISPIN0001")</f>
        <v>GISPIN0001</v>
      </c>
      <c r="BM336" s="6"/>
      <c r="BN336" s="6"/>
      <c r="BO336" s="6"/>
      <c r="BP336" s="6" t="str">
        <f>IFERROR(__xludf.DUMMYFUNCTION("""COMPUTED_VALUE"""),"XC_23_Voleibol")</f>
        <v>XC_23_Voleibol</v>
      </c>
      <c r="BQ336" s="6"/>
      <c r="BR336" s="6"/>
      <c r="BS336" s="6" t="str">
        <f>IFERROR(__xludf.DUMMYFUNCTION("""COMPUTED_VALUE"""),"XC_23_Voleibol")</f>
        <v>XC_23_Voleibol</v>
      </c>
      <c r="BT336" s="6" t="str">
        <f>IFERROR(__xludf.DUMMYFUNCTION("""COMPUTED_VALUE"""),"XC_23_Voleibol")</f>
        <v>XC_23_Voleibol</v>
      </c>
      <c r="BU336" s="6" t="str">
        <f>IFERROR(__xludf.DUMMYFUNCTION("""COMPUTED_VALUE"""),"SI")</f>
        <v>SI</v>
      </c>
      <c r="BV336" s="6" t="str">
        <f>IFERROR(__xludf.DUMMYFUNCTION("""COMPUTED_VALUE"""),"paloma.p2036")</f>
        <v>paloma.p2036</v>
      </c>
      <c r="BW336" s="6"/>
      <c r="BX336" s="6"/>
      <c r="BY336" s="6"/>
      <c r="BZ336" s="6"/>
    </row>
    <row r="337">
      <c r="A337" s="12">
        <f>IFERROR(__xludf.DUMMYFUNCTION("""COMPUTED_VALUE"""),1.091888601E9)</f>
        <v>1091888601</v>
      </c>
      <c r="B337" s="6">
        <f>IFERROR(__xludf.DUMMYFUNCTION("""COMPUTED_VALUE"""),20.0)</f>
        <v>20</v>
      </c>
      <c r="C337" s="6" t="str">
        <f>IFERROR(__xludf.DUMMYFUNCTION("""COMPUTED_VALUE"""),"Ignacio")</f>
        <v>Ignacio</v>
      </c>
      <c r="D337" s="6"/>
      <c r="E337" s="6" t="str">
        <f>IFERROR(__xludf.DUMMYFUNCTION("""COMPUTED_VALUE"""),"Ramírez Díaz")</f>
        <v>Ramírez Díaz</v>
      </c>
      <c r="F337" s="6" t="str">
        <f>IFERROR(__xludf.DUMMYFUNCTION("""COMPUTED_VALUE"""),"Condominio Cedro Negro Casa 1 - Km 6 Via Circasia Vereda El Congal")</f>
        <v>Condominio Cedro Negro Casa 1 - Km 6 Via Circasia Vereda El Congal</v>
      </c>
      <c r="G337" s="12" t="str">
        <f>IFERROR(__xludf.DUMMYFUNCTION("""COMPUTED_VALUE"""),"2017")</f>
        <v>2017</v>
      </c>
      <c r="H337" s="6" t="str">
        <f>IFERROR(__xludf.DUMMYFUNCTION("""COMPUTED_VALUE"""),"Noviembre")</f>
        <v>Noviembre</v>
      </c>
      <c r="I337" s="12" t="str">
        <f>IFERROR(__xludf.DUMMYFUNCTION("""COMPUTED_VALUE"""),"6")</f>
        <v>6</v>
      </c>
      <c r="J337" s="6" t="str">
        <f>IFERROR(__xludf.DUMMYFUNCTION("""COMPUTED_VALUE"""),"Armenia")</f>
        <v>Armenia</v>
      </c>
      <c r="K337" s="6" t="str">
        <f>IFERROR(__xludf.DUMMYFUNCTION("""COMPUTED_VALUE"""),"ignacio.r2036@gi.edu.co")</f>
        <v>ignacio.r2036@gi.edu.co</v>
      </c>
      <c r="L337" s="6" t="str">
        <f>IFERROR(__xludf.DUMMYFUNCTION("""COMPUTED_VALUE"""),"TI")</f>
        <v>TI</v>
      </c>
      <c r="M337" s="6" t="str">
        <f>IFERROR(__xludf.DUMMYFUNCTION("""COMPUTED_VALUE"""),"Circacia")</f>
        <v>Circacia</v>
      </c>
      <c r="N337" s="6" t="str">
        <f>IFERROR(__xludf.DUMMYFUNCTION("""COMPUTED_VALUE"""),"M")</f>
        <v>M</v>
      </c>
      <c r="O337" s="6" t="str">
        <f>IFERROR(__xludf.DUMMYFUNCTION("""COMPUTED_VALUE"""),"ACTIVE")</f>
        <v>ACTIVE</v>
      </c>
      <c r="P337" s="6"/>
      <c r="Q337" s="6" t="str">
        <f>IFERROR(__xludf.DUMMYFUNCTION("""COMPUTED_VALUE"""),"Circasia")</f>
        <v>Circasia</v>
      </c>
      <c r="R337" s="12" t="str">
        <f>IFERROR(__xludf.DUMMYFUNCTION("""COMPUTED_VALUE"""),"Giascv48y*")</f>
        <v>Giascv48y*</v>
      </c>
      <c r="S337" s="6" t="str">
        <f>IFERROR(__xludf.DUMMYFUNCTION("""COMPUTED_VALUE"""),"Ramírez Díaz Ignacio ")</f>
        <v>Ramírez Díaz Ignacio </v>
      </c>
      <c r="T337" s="6" t="str">
        <f>IFERROR(__xludf.DUMMYFUNCTION("""COMPUTED_VALUE"""),"OSCAR HERNANDO RAMÍREZ MORENO")</f>
        <v>OSCAR HERNANDO RAMÍREZ MORENO</v>
      </c>
      <c r="U337" s="12" t="str">
        <f>IFERROR(__xludf.DUMMYFUNCTION("""COMPUTED_VALUE"""),"80111003")</f>
        <v>80111003</v>
      </c>
      <c r="V337" s="6">
        <f>IFERROR(__xludf.DUMMYFUNCTION("""COMPUTED_VALUE"""),3.21422397E9)</f>
        <v>3214223970</v>
      </c>
      <c r="W337" s="6" t="str">
        <f>IFERROR(__xludf.DUMMYFUNCTION("""COMPUTED_VALUE"""),"oscar_ra83@yahoo.com")</f>
        <v>oscar_ra83@yahoo.com</v>
      </c>
      <c r="X337" s="12" t="str">
        <f>IFERROR(__xludf.DUMMYFUNCTION("""COMPUTED_VALUE"""),"O+")</f>
        <v>O+</v>
      </c>
      <c r="Y337" s="12" t="str">
        <f>IFERROR(__xludf.DUMMYFUNCTION("""COMPUTED_VALUE"""),"3")</f>
        <v>3</v>
      </c>
      <c r="Z337" s="12">
        <f>IFERROR(__xludf.DUMMYFUNCTION("""COMPUTED_VALUE"""),120012.0)</f>
        <v>120012</v>
      </c>
      <c r="AA337" s="6" t="str">
        <f>IFERROR(__xludf.DUMMYFUNCTION("""COMPUTED_VALUE"""),"SANITAS")</f>
        <v>SANITAS</v>
      </c>
      <c r="AB337" s="6"/>
      <c r="AC337" s="6"/>
      <c r="AD337" s="6" t="str">
        <f>IFERROR(__xludf.DUMMYFUNCTION("""COMPUTED_VALUE"""),"3B")</f>
        <v>3B</v>
      </c>
      <c r="AE337" s="12">
        <f>IFERROR(__xludf.DUMMYFUNCTION("""COMPUTED_VALUE"""),1.345282037E9)</f>
        <v>1345282037</v>
      </c>
      <c r="AF337" s="12" t="str">
        <f>IFERROR(__xludf.DUMMYFUNCTION("""COMPUTED_VALUE"""),"0692525219")</f>
        <v>0692525219</v>
      </c>
      <c r="AG337" s="12" t="str">
        <f>IFERROR(__xludf.DUMMYFUNCTION("""COMPUTED_VALUE"""),"Angélica")</f>
        <v>Angélica</v>
      </c>
      <c r="AH337" s="12" t="str">
        <f>IFERROR(__xludf.DUMMYFUNCTION("""COMPUTED_VALUE"""),"María")</f>
        <v>María</v>
      </c>
      <c r="AI337" s="6" t="str">
        <f>IFERROR(__xludf.DUMMYFUNCTION("""COMPUTED_VALUE"""),"Díaz Contreras")</f>
        <v>Díaz Contreras</v>
      </c>
      <c r="AJ337" s="6" t="str">
        <f>IFERROR(__xludf.DUMMYFUNCTION("""COMPUTED_VALUE"""),"amdiazco@gmail.com")</f>
        <v>amdiazco@gmail.com</v>
      </c>
      <c r="AK337" s="6" t="str">
        <f>IFERROR(__xludf.DUMMYFUNCTION("""COMPUTED_VALUE"""),"Pediatra")</f>
        <v>Pediatra</v>
      </c>
      <c r="AL337" s="6" t="str">
        <f>IFERROR(__xludf.DUMMYFUNCTION("""COMPUTED_VALUE"""),"Sánitas")</f>
        <v>Sánitas</v>
      </c>
      <c r="AM337" s="12" t="str">
        <f>IFERROR(__xludf.DUMMYFUNCTION("""COMPUTED_VALUE"""),"53178944")</f>
        <v>53178944</v>
      </c>
      <c r="AN337" s="12" t="str">
        <f>IFERROR(__xludf.DUMMYFUNCTION("""COMPUTED_VALUE"""),"3005245170")</f>
        <v>3005245170</v>
      </c>
      <c r="AO337" s="6" t="str">
        <f>IFERROR(__xludf.DUMMYFUNCTION("""COMPUTED_VALUE"""),"Madre")</f>
        <v>Madre</v>
      </c>
      <c r="AP337" s="6" t="str">
        <f>IFERROR(__xludf.DUMMYFUNCTION("""COMPUTED_VALUE"""),"Estudiante(s): Ramírez Díaz")</f>
        <v>Estudiante(s): Ramírez Díaz</v>
      </c>
      <c r="AQ337" s="6" t="str">
        <f>IFERROR(__xludf.DUMMYFUNCTION("""COMPUTED_VALUE"""),"120012*Gi")</f>
        <v>120012*Gi</v>
      </c>
      <c r="AR337" s="6" t="str">
        <f>IFERROR(__xludf.DUMMYFUNCTION("""COMPUTED_VALUE"""),"Oscar")</f>
        <v>Oscar</v>
      </c>
      <c r="AS337" s="6" t="str">
        <f>IFERROR(__xludf.DUMMYFUNCTION("""COMPUTED_VALUE"""),"Hernando")</f>
        <v>Hernando</v>
      </c>
      <c r="AT337" s="6" t="str">
        <f>IFERROR(__xludf.DUMMYFUNCTION("""COMPUTED_VALUE"""),"Ramírez Moreno")</f>
        <v>Ramírez Moreno</v>
      </c>
      <c r="AU337" s="6" t="str">
        <f>IFERROR(__xludf.DUMMYFUNCTION("""COMPUTED_VALUE"""),"oscar_ra83@yahoo.com")</f>
        <v>oscar_ra83@yahoo.com</v>
      </c>
      <c r="AV337" s="6" t="str">
        <f>IFERROR(__xludf.DUMMYFUNCTION("""COMPUTED_VALUE"""),"Otorrinolaringólogo")</f>
        <v>Otorrinolaringólogo</v>
      </c>
      <c r="AW337" s="6" t="str">
        <f>IFERROR(__xludf.DUMMYFUNCTION("""COMPUTED_VALUE"""),"Comfamiliar de Pereira")</f>
        <v>Comfamiliar de Pereira</v>
      </c>
      <c r="AX337" s="12" t="str">
        <f>IFERROR(__xludf.DUMMYFUNCTION("""COMPUTED_VALUE"""),"80111003")</f>
        <v>80111003</v>
      </c>
      <c r="AY337" s="12" t="str">
        <f>IFERROR(__xludf.DUMMYFUNCTION("""COMPUTED_VALUE"""),"3214223970")</f>
        <v>3214223970</v>
      </c>
      <c r="AZ337" s="6" t="str">
        <f>IFERROR(__xludf.DUMMYFUNCTION("""COMPUTED_VALUE"""),"Padre")</f>
        <v>Padre</v>
      </c>
      <c r="BA337" s="6" t="str">
        <f>IFERROR(__xludf.DUMMYFUNCTION("""COMPUTED_VALUE"""),"MARÍA PIEDAD CONTRERAS ROA")</f>
        <v>MARÍA PIEDAD CONTRERAS ROA</v>
      </c>
      <c r="BB337" s="6">
        <f>IFERROR(__xludf.DUMMYFUNCTION("""COMPUTED_VALUE"""),3.007349763E9)</f>
        <v>3007349763</v>
      </c>
      <c r="BC337" s="6" t="str">
        <f>IFERROR(__xludf.DUMMYFUNCTION("""COMPUTED_VALUE"""),"Abuelo(a)")</f>
        <v>Abuelo(a)</v>
      </c>
      <c r="BD337" s="12" t="str">
        <f>IFERROR(__xludf.DUMMYFUNCTION("""COMPUTED_VALUE"""),"ram0001")</f>
        <v>ram0001</v>
      </c>
      <c r="BE337" s="6"/>
      <c r="BF337" s="6"/>
      <c r="BG337" s="6">
        <f>IFERROR(__xludf.DUMMYFUNCTION("""COMPUTED_VALUE"""),2036.0)</f>
        <v>2036</v>
      </c>
      <c r="BH337" s="15">
        <f>IFERROR(__xludf.DUMMYFUNCTION("""COMPUTED_VALUE"""),46207.90920138889)</f>
        <v>46207.9092</v>
      </c>
      <c r="BI337" s="6">
        <f>IFERROR(__xludf.DUMMYFUNCTION("""COMPUTED_VALUE"""),337.0)</f>
        <v>337</v>
      </c>
      <c r="BJ337" s="6"/>
      <c r="BK337" s="6"/>
      <c r="BL337" s="6" t="str">
        <f>IFERROR(__xludf.DUMMYFUNCTION("""COMPUTED_VALUE"""),"GISRAM0001")</f>
        <v>GISRAM0001</v>
      </c>
      <c r="BM337" s="6"/>
      <c r="BN337" s="6"/>
      <c r="BO337" s="6"/>
      <c r="BP337" s="6" t="str">
        <f>IFERROR(__xludf.DUMMYFUNCTION("""COMPUTED_VALUE"""),"XC_23_Futbol_M")</f>
        <v>XC_23_Futbol_M</v>
      </c>
      <c r="BQ337" s="6"/>
      <c r="BR337" s="6" t="str">
        <f>IFERROR(__xludf.DUMMYFUNCTION("""COMPUTED_VALUE"""),"XC_EL_PequenosCientificos")</f>
        <v>XC_EL_PequenosCientificos</v>
      </c>
      <c r="BS337" s="6" t="str">
        <f>IFERROR(__xludf.DUMMYFUNCTION("""COMPUTED_VALUE"""),"XC_23_Futbol_M")</f>
        <v>XC_23_Futbol_M</v>
      </c>
      <c r="BT337" s="6" t="str">
        <f>IFERROR(__xludf.DUMMYFUNCTION("""COMPUTED_VALUE"""),"XC_23_Futbol_M")</f>
        <v>XC_23_Futbol_M</v>
      </c>
      <c r="BU337" s="6" t="str">
        <f>IFERROR(__xludf.DUMMYFUNCTION("""COMPUTED_VALUE"""),"SI")</f>
        <v>SI</v>
      </c>
      <c r="BV337" s="6" t="str">
        <f>IFERROR(__xludf.DUMMYFUNCTION("""COMPUTED_VALUE"""),"ignacio.r2036")</f>
        <v>ignacio.r2036</v>
      </c>
      <c r="BW337" s="6"/>
      <c r="BX337" s="6"/>
      <c r="BY337" s="6"/>
      <c r="BZ337" s="6"/>
    </row>
    <row r="338">
      <c r="A338" s="12">
        <f>IFERROR(__xludf.DUMMYFUNCTION("""COMPUTED_VALUE"""),1.094975455E9)</f>
        <v>1094975455</v>
      </c>
      <c r="B338" s="6">
        <f>IFERROR(__xludf.DUMMYFUNCTION("""COMPUTED_VALUE"""),21.0)</f>
        <v>21</v>
      </c>
      <c r="C338" s="6" t="str">
        <f>IFERROR(__xludf.DUMMYFUNCTION("""COMPUTED_VALUE"""),"Jacobo")</f>
        <v>Jacobo</v>
      </c>
      <c r="D338" s="6"/>
      <c r="E338" s="6" t="str">
        <f>IFERROR(__xludf.DUMMYFUNCTION("""COMPUTED_VALUE"""),"Ríos Trejos")</f>
        <v>Ríos Trejos</v>
      </c>
      <c r="F338" s="6" t="str">
        <f>IFERROR(__xludf.DUMMYFUNCTION("""COMPUTED_VALUE"""),"Edificio Prive Apto 303 - Cra 10 11Nte - 40 La Castellana")</f>
        <v>Edificio Prive Apto 303 - Cra 10 11Nte - 40 La Castellana</v>
      </c>
      <c r="G338" s="12" t="str">
        <f>IFERROR(__xludf.DUMMYFUNCTION("""COMPUTED_VALUE"""),"2017")</f>
        <v>2017</v>
      </c>
      <c r="H338" s="6" t="str">
        <f>IFERROR(__xludf.DUMMYFUNCTION("""COMPUTED_VALUE"""),"Mayo")</f>
        <v>Mayo</v>
      </c>
      <c r="I338" s="12" t="str">
        <f>IFERROR(__xludf.DUMMYFUNCTION("""COMPUTED_VALUE"""),"27")</f>
        <v>27</v>
      </c>
      <c r="J338" s="6" t="str">
        <f>IFERROR(__xludf.DUMMYFUNCTION("""COMPUTED_VALUE"""),"Armenia")</f>
        <v>Armenia</v>
      </c>
      <c r="K338" s="6" t="str">
        <f>IFERROR(__xludf.DUMMYFUNCTION("""COMPUTED_VALUE"""),"jacobo.r2036@gi.edu.co")</f>
        <v>jacobo.r2036@gi.edu.co</v>
      </c>
      <c r="L338" s="6" t="str">
        <f>IFERROR(__xludf.DUMMYFUNCTION("""COMPUTED_VALUE"""),"TI")</f>
        <v>TI</v>
      </c>
      <c r="M338" s="6" t="str">
        <f>IFERROR(__xludf.DUMMYFUNCTION("""COMPUTED_VALUE"""),"Armenia")</f>
        <v>Armenia</v>
      </c>
      <c r="N338" s="6" t="str">
        <f>IFERROR(__xludf.DUMMYFUNCTION("""COMPUTED_VALUE"""),"M")</f>
        <v>M</v>
      </c>
      <c r="O338" s="6" t="str">
        <f>IFERROR(__xludf.DUMMYFUNCTION("""COMPUTED_VALUE"""),"ACTIVE")</f>
        <v>ACTIVE</v>
      </c>
      <c r="P338" s="6"/>
      <c r="Q338" s="6" t="str">
        <f>IFERROR(__xludf.DUMMYFUNCTION("""COMPUTED_VALUE"""),"Armenia")</f>
        <v>Armenia</v>
      </c>
      <c r="R338" s="12" t="str">
        <f>IFERROR(__xludf.DUMMYFUNCTION("""COMPUTED_VALUE"""),"Gin3s6g*")</f>
        <v>Gin3s6g*</v>
      </c>
      <c r="S338" s="6" t="str">
        <f>IFERROR(__xludf.DUMMYFUNCTION("""COMPUTED_VALUE"""),"Ríos Trejos Jacobo ")</f>
        <v>Ríos Trejos Jacobo </v>
      </c>
      <c r="T338" s="6" t="str">
        <f>IFERROR(__xludf.DUMMYFUNCTION("""COMPUTED_VALUE"""),"ANGIE ANDREA TREJOS GOMEZ")</f>
        <v>ANGIE ANDREA TREJOS GOMEZ</v>
      </c>
      <c r="U338" s="12" t="str">
        <f>IFERROR(__xludf.DUMMYFUNCTION("""COMPUTED_VALUE"""),"1094905330")</f>
        <v>1094905330</v>
      </c>
      <c r="V338" s="6">
        <f>IFERROR(__xludf.DUMMYFUNCTION("""COMPUTED_VALUE"""),3.154945687E9)</f>
        <v>3154945687</v>
      </c>
      <c r="W338" s="6" t="str">
        <f>IFERROR(__xludf.DUMMYFUNCTION("""COMPUTED_VALUE"""),"angietrejosg@hotmail.com")</f>
        <v>angietrejosg@hotmail.com</v>
      </c>
      <c r="X338" s="12" t="str">
        <f>IFERROR(__xludf.DUMMYFUNCTION("""COMPUTED_VALUE"""),"O+")</f>
        <v>O+</v>
      </c>
      <c r="Y338" s="12" t="str">
        <f>IFERROR(__xludf.DUMMYFUNCTION("""COMPUTED_VALUE"""),"3")</f>
        <v>3</v>
      </c>
      <c r="Z338" s="12">
        <f>IFERROR(__xludf.DUMMYFUNCTION("""COMPUTED_VALUE"""),120348.0)</f>
        <v>120348</v>
      </c>
      <c r="AA338" s="6" t="str">
        <f>IFERROR(__xludf.DUMMYFUNCTION("""COMPUTED_VALUE"""),"SURA")</f>
        <v>SURA</v>
      </c>
      <c r="AB338" s="6"/>
      <c r="AC338" s="6"/>
      <c r="AD338" s="6" t="str">
        <f>IFERROR(__xludf.DUMMYFUNCTION("""COMPUTED_VALUE"""),"3B")</f>
        <v>3B</v>
      </c>
      <c r="AE338" s="12">
        <f>IFERROR(__xludf.DUMMYFUNCTION("""COMPUTED_VALUE"""),1.345282357E9)</f>
        <v>1345282357</v>
      </c>
      <c r="AF338" s="12" t="str">
        <f>IFERROR(__xludf.DUMMYFUNCTION("""COMPUTED_VALUE"""),"0694630419")</f>
        <v>0694630419</v>
      </c>
      <c r="AG338" s="12" t="str">
        <f>IFERROR(__xludf.DUMMYFUNCTION("""COMPUTED_VALUE"""),"Angie")</f>
        <v>Angie</v>
      </c>
      <c r="AH338" s="12" t="str">
        <f>IFERROR(__xludf.DUMMYFUNCTION("""COMPUTED_VALUE"""),"Andrea")</f>
        <v>Andrea</v>
      </c>
      <c r="AI338" s="6" t="str">
        <f>IFERROR(__xludf.DUMMYFUNCTION("""COMPUTED_VALUE"""),"Trejos Gómez")</f>
        <v>Trejos Gómez</v>
      </c>
      <c r="AJ338" s="6" t="str">
        <f>IFERROR(__xludf.DUMMYFUNCTION("""COMPUTED_VALUE"""),"angietrejosg@hotmail.com")</f>
        <v>angietrejosg@hotmail.com</v>
      </c>
      <c r="AK338" s="6" t="str">
        <f>IFERROR(__xludf.DUMMYFUNCTION("""COMPUTED_VALUE"""),"Abogada")</f>
        <v>Abogada</v>
      </c>
      <c r="AL338" s="6"/>
      <c r="AM338" s="12" t="str">
        <f>IFERROR(__xludf.DUMMYFUNCTION("""COMPUTED_VALUE"""),"1094905330")</f>
        <v>1094905330</v>
      </c>
      <c r="AN338" s="12" t="str">
        <f>IFERROR(__xludf.DUMMYFUNCTION("""COMPUTED_VALUE"""),"3206391961‬")</f>
        <v>3206391961‬</v>
      </c>
      <c r="AO338" s="6" t="str">
        <f>IFERROR(__xludf.DUMMYFUNCTION("""COMPUTED_VALUE"""),"Madre")</f>
        <v>Madre</v>
      </c>
      <c r="AP338" s="6" t="str">
        <f>IFERROR(__xludf.DUMMYFUNCTION("""COMPUTED_VALUE"""),"Estudiante(s): Ríos Trejos")</f>
        <v>Estudiante(s): Ríos Trejos</v>
      </c>
      <c r="AQ338" s="6" t="str">
        <f>IFERROR(__xludf.DUMMYFUNCTION("""COMPUTED_VALUE"""),"120348*Gi")</f>
        <v>120348*Gi</v>
      </c>
      <c r="AR338" s="6" t="str">
        <f>IFERROR(__xludf.DUMMYFUNCTION("""COMPUTED_VALUE"""),"César")</f>
        <v>César</v>
      </c>
      <c r="AS338" s="6" t="str">
        <f>IFERROR(__xludf.DUMMYFUNCTION("""COMPUTED_VALUE"""),"Augusto")</f>
        <v>Augusto</v>
      </c>
      <c r="AT338" s="6" t="str">
        <f>IFERROR(__xludf.DUMMYFUNCTION("""COMPUTED_VALUE"""),"Pareja Giraldo")</f>
        <v>Pareja Giraldo</v>
      </c>
      <c r="AU338" s="6"/>
      <c r="AV338" s="6"/>
      <c r="AW338" s="6"/>
      <c r="AX338" s="12" t="str">
        <f>IFERROR(__xludf.DUMMYFUNCTION("""COMPUTED_VALUE"""),"89001504")</f>
        <v>89001504</v>
      </c>
      <c r="AY338" s="12" t="str">
        <f>IFERROR(__xludf.DUMMYFUNCTION("""COMPUTED_VALUE"""),"3104698210")</f>
        <v>3104698210</v>
      </c>
      <c r="AZ338" s="6" t="str">
        <f>IFERROR(__xludf.DUMMYFUNCTION("""COMPUTED_VALUE"""),"Padre")</f>
        <v>Padre</v>
      </c>
      <c r="BA338" s="6" t="str">
        <f>IFERROR(__xludf.DUMMYFUNCTION("""COMPUTED_VALUE"""),"CESAR AUGUSTO PAREJA GIRALDO")</f>
        <v>CESAR AUGUSTO PAREJA GIRALDO</v>
      </c>
      <c r="BB338" s="6">
        <f>IFERROR(__xludf.DUMMYFUNCTION("""COMPUTED_VALUE"""),3.16876198E9)</f>
        <v>3168761980</v>
      </c>
      <c r="BC338" s="6" t="str">
        <f>IFERROR(__xludf.DUMMYFUNCTION("""COMPUTED_VALUE"""),"Padre")</f>
        <v>Padre</v>
      </c>
      <c r="BD338" s="12" t="str">
        <f>IFERROR(__xludf.DUMMYFUNCTION("""COMPUTED_VALUE"""),"rio0001")</f>
        <v>rio0001</v>
      </c>
      <c r="BE338" s="6"/>
      <c r="BF338" s="6"/>
      <c r="BG338" s="6">
        <f>IFERROR(__xludf.DUMMYFUNCTION("""COMPUTED_VALUE"""),2036.0)</f>
        <v>2036</v>
      </c>
      <c r="BH338" s="15">
        <f>IFERROR(__xludf.DUMMYFUNCTION("""COMPUTED_VALUE"""),46220.35501157407)</f>
        <v>46220.35501</v>
      </c>
      <c r="BI338" s="6">
        <f>IFERROR(__xludf.DUMMYFUNCTION("""COMPUTED_VALUE"""),338.0)</f>
        <v>338</v>
      </c>
      <c r="BJ338" s="6"/>
      <c r="BK338" s="6"/>
      <c r="BL338" s="6" t="str">
        <f>IFERROR(__xludf.DUMMYFUNCTION("""COMPUTED_VALUE"""),"GISRIO0001")</f>
        <v>GISRIO0001</v>
      </c>
      <c r="BM338" s="6"/>
      <c r="BN338" s="6"/>
      <c r="BO338" s="6"/>
      <c r="BP338" s="6"/>
      <c r="BQ338" s="6"/>
      <c r="BR338" s="6"/>
      <c r="BS338" s="6"/>
      <c r="BT338" s="6"/>
      <c r="BU338" s="6" t="str">
        <f>IFERROR(__xludf.DUMMYFUNCTION("""COMPUTED_VALUE"""),"SI")</f>
        <v>SI</v>
      </c>
      <c r="BV338" s="6" t="str">
        <f>IFERROR(__xludf.DUMMYFUNCTION("""COMPUTED_VALUE"""),"jacobo.r2036")</f>
        <v>jacobo.r2036</v>
      </c>
      <c r="BW338" s="6"/>
      <c r="BX338" s="6"/>
      <c r="BY338" s="6"/>
      <c r="BZ338" s="6"/>
    </row>
    <row r="339">
      <c r="A339" s="12">
        <f>IFERROR(__xludf.DUMMYFUNCTION("""COMPUTED_VALUE"""),1.094981788E9)</f>
        <v>1094981788</v>
      </c>
      <c r="B339" s="6">
        <f>IFERROR(__xludf.DUMMYFUNCTION("""COMPUTED_VALUE"""),22.0)</f>
        <v>22</v>
      </c>
      <c r="C339" s="6" t="str">
        <f>IFERROR(__xludf.DUMMYFUNCTION("""COMPUTED_VALUE"""),"Manuela")</f>
        <v>Manuela</v>
      </c>
      <c r="D339" s="6"/>
      <c r="E339" s="6" t="str">
        <f>IFERROR(__xludf.DUMMYFUNCTION("""COMPUTED_VALUE"""),"Sabogal González")</f>
        <v>Sabogal González</v>
      </c>
      <c r="F339" s="6" t="str">
        <f>IFERROR(__xludf.DUMMYFUNCTION("""COMPUTED_VALUE"""),"Edificio Reserva de la Campiña Apto 1001 - Cra 10 No15Nte - 09")</f>
        <v>Edificio Reserva de la Campiña Apto 1001 - Cra 10 No15Nte - 09</v>
      </c>
      <c r="G339" s="12" t="str">
        <f>IFERROR(__xludf.DUMMYFUNCTION("""COMPUTED_VALUE"""),"2018")</f>
        <v>2018</v>
      </c>
      <c r="H339" s="6" t="str">
        <f>IFERROR(__xludf.DUMMYFUNCTION("""COMPUTED_VALUE"""),"Julio")</f>
        <v>Julio</v>
      </c>
      <c r="I339" s="12" t="str">
        <f>IFERROR(__xludf.DUMMYFUNCTION("""COMPUTED_VALUE"""),"17")</f>
        <v>17</v>
      </c>
      <c r="J339" s="6" t="str">
        <f>IFERROR(__xludf.DUMMYFUNCTION("""COMPUTED_VALUE"""),"Madrid")</f>
        <v>Madrid</v>
      </c>
      <c r="K339" s="6" t="str">
        <f>IFERROR(__xludf.DUMMYFUNCTION("""COMPUTED_VALUE"""),"manuela.s2036@gi.edu.co")</f>
        <v>manuela.s2036@gi.edu.co</v>
      </c>
      <c r="L339" s="6" t="str">
        <f>IFERROR(__xludf.DUMMYFUNCTION("""COMPUTED_VALUE"""),"TI")</f>
        <v>TI</v>
      </c>
      <c r="M339" s="6" t="str">
        <f>IFERROR(__xludf.DUMMYFUNCTION("""COMPUTED_VALUE"""),"Armenia")</f>
        <v>Armenia</v>
      </c>
      <c r="N339" s="6" t="str">
        <f>IFERROR(__xludf.DUMMYFUNCTION("""COMPUTED_VALUE"""),"F")</f>
        <v>F</v>
      </c>
      <c r="O339" s="6" t="str">
        <f>IFERROR(__xludf.DUMMYFUNCTION("""COMPUTED_VALUE"""),"ACTIVE")</f>
        <v>ACTIVE</v>
      </c>
      <c r="P339" s="6"/>
      <c r="Q339" s="6" t="str">
        <f>IFERROR(__xludf.DUMMYFUNCTION("""COMPUTED_VALUE"""),"Armenia")</f>
        <v>Armenia</v>
      </c>
      <c r="R339" s="12" t="str">
        <f>IFERROR(__xludf.DUMMYFUNCTION("""COMPUTED_VALUE"""),"Gi59cfm53i*")</f>
        <v>Gi59cfm53i*</v>
      </c>
      <c r="S339" s="6" t="str">
        <f>IFERROR(__xludf.DUMMYFUNCTION("""COMPUTED_VALUE"""),"Sabogal González Manuela ")</f>
        <v>Sabogal González Manuela </v>
      </c>
      <c r="T339" s="6" t="str">
        <f>IFERROR(__xludf.DUMMYFUNCTION("""COMPUTED_VALUE"""),"MANUEL GONZALO SABOGAL RESTREPO")</f>
        <v>MANUEL GONZALO SABOGAL RESTREPO</v>
      </c>
      <c r="U339" s="12" t="str">
        <f>IFERROR(__xludf.DUMMYFUNCTION("""COMPUTED_VALUE"""),"89007797")</f>
        <v>89007797</v>
      </c>
      <c r="V339" s="6">
        <f>IFERROR(__xludf.DUMMYFUNCTION("""COMPUTED_VALUE"""),3.206321199E9)</f>
        <v>3206321199</v>
      </c>
      <c r="W339" s="6" t="str">
        <f>IFERROR(__xludf.DUMMYFUNCTION("""COMPUTED_VALUE"""),"mgsabogal@hotmail.com")</f>
        <v>mgsabogal@hotmail.com</v>
      </c>
      <c r="X339" s="12" t="str">
        <f>IFERROR(__xludf.DUMMYFUNCTION("""COMPUTED_VALUE"""),"O+")</f>
        <v>O+</v>
      </c>
      <c r="Y339" s="12" t="str">
        <f>IFERROR(__xludf.DUMMYFUNCTION("""COMPUTED_VALUE"""),"3")</f>
        <v>3</v>
      </c>
      <c r="Z339" s="12">
        <f>IFERROR(__xludf.DUMMYFUNCTION("""COMPUTED_VALUE"""),120096.0)</f>
        <v>120096</v>
      </c>
      <c r="AA339" s="6" t="str">
        <f>IFERROR(__xludf.DUMMYFUNCTION("""COMPUTED_VALUE"""),"SURA")</f>
        <v>SURA</v>
      </c>
      <c r="AB339" s="6"/>
      <c r="AC339" s="12" t="str">
        <f>IFERROR(__xludf.DUMMYFUNCTION("""COMPUTED_VALUE"""),"Cerdo")</f>
        <v>Cerdo</v>
      </c>
      <c r="AD339" s="6" t="str">
        <f>IFERROR(__xludf.DUMMYFUNCTION("""COMPUTED_VALUE"""),"3B")</f>
        <v>3B</v>
      </c>
      <c r="AE339" s="12">
        <f>IFERROR(__xludf.DUMMYFUNCTION("""COMPUTED_VALUE"""),1.345282115E9)</f>
        <v>1345282115</v>
      </c>
      <c r="AF339" s="12" t="str">
        <f>IFERROR(__xludf.DUMMYFUNCTION("""COMPUTED_VALUE"""),"0695948243")</f>
        <v>0695948243</v>
      </c>
      <c r="AG339" s="12" t="str">
        <f>IFERROR(__xludf.DUMMYFUNCTION("""COMPUTED_VALUE"""),"Alejandra")</f>
        <v>Alejandra</v>
      </c>
      <c r="AH339" s="6"/>
      <c r="AI339" s="6" t="str">
        <f>IFERROR(__xludf.DUMMYFUNCTION("""COMPUTED_VALUE"""),"Gonzalez Anaya")</f>
        <v>Gonzalez Anaya</v>
      </c>
      <c r="AJ339" s="6" t="str">
        <f>IFERROR(__xludf.DUMMYFUNCTION("""COMPUTED_VALUE"""),"tatagonzalez64@hotmail.com")</f>
        <v>tatagonzalez64@hotmail.com</v>
      </c>
      <c r="AK339" s="6" t="str">
        <f>IFERROR(__xludf.DUMMYFUNCTION("""COMPUTED_VALUE"""),"Ingeniera Agroindustrial")</f>
        <v>Ingeniera Agroindustrial</v>
      </c>
      <c r="AL339" s="6" t="str">
        <f>IFERROR(__xludf.DUMMYFUNCTION("""COMPUTED_VALUE"""),"Gerente Administrativa")</f>
        <v>Gerente Administrativa</v>
      </c>
      <c r="AM339" s="12" t="str">
        <f>IFERROR(__xludf.DUMMYFUNCTION("""COMPUTED_VALUE"""),"41950568")</f>
        <v>41950568</v>
      </c>
      <c r="AN339" s="12" t="str">
        <f>IFERROR(__xludf.DUMMYFUNCTION("""COMPUTED_VALUE"""),"3175010603")</f>
        <v>3175010603</v>
      </c>
      <c r="AO339" s="6" t="str">
        <f>IFERROR(__xludf.DUMMYFUNCTION("""COMPUTED_VALUE"""),"Madre")</f>
        <v>Madre</v>
      </c>
      <c r="AP339" s="6" t="str">
        <f>IFERROR(__xludf.DUMMYFUNCTION("""COMPUTED_VALUE"""),"Estudiante(s): Sabogal González")</f>
        <v>Estudiante(s): Sabogal González</v>
      </c>
      <c r="AQ339" s="6" t="str">
        <f>IFERROR(__xludf.DUMMYFUNCTION("""COMPUTED_VALUE"""),"120096*Gi")</f>
        <v>120096*Gi</v>
      </c>
      <c r="AR339" s="6" t="str">
        <f>IFERROR(__xludf.DUMMYFUNCTION("""COMPUTED_VALUE"""),"Manuel")</f>
        <v>Manuel</v>
      </c>
      <c r="AS339" s="6"/>
      <c r="AT339" s="6" t="str">
        <f>IFERROR(__xludf.DUMMYFUNCTION("""COMPUTED_VALUE"""),"Sabogal Restrepo")</f>
        <v>Sabogal Restrepo</v>
      </c>
      <c r="AU339" s="6" t="str">
        <f>IFERROR(__xludf.DUMMYFUNCTION("""COMPUTED_VALUE"""),"mgsabogal@hotmail.com")</f>
        <v>mgsabogal@hotmail.com</v>
      </c>
      <c r="AV339" s="6" t="str">
        <f>IFERROR(__xludf.DUMMYFUNCTION("""COMPUTED_VALUE"""),"Ingeniero Industrial")</f>
        <v>Ingeniero Industrial</v>
      </c>
      <c r="AW339" s="6" t="str">
        <f>IFERROR(__xludf.DUMMYFUNCTION("""COMPUTED_VALUE"""),"Combia Inspiración")</f>
        <v>Combia Inspiración</v>
      </c>
      <c r="AX339" s="12" t="str">
        <f>IFERROR(__xludf.DUMMYFUNCTION("""COMPUTED_VALUE"""),"89007797")</f>
        <v>89007797</v>
      </c>
      <c r="AY339" s="12" t="str">
        <f>IFERROR(__xludf.DUMMYFUNCTION("""COMPUTED_VALUE"""),"3206321199")</f>
        <v>3206321199</v>
      </c>
      <c r="AZ339" s="6" t="str">
        <f>IFERROR(__xludf.DUMMYFUNCTION("""COMPUTED_VALUE"""),"Padre")</f>
        <v>Padre</v>
      </c>
      <c r="BA339" s="6"/>
      <c r="BB339" s="6"/>
      <c r="BC339" s="6"/>
      <c r="BD339" s="12" t="str">
        <f>IFERROR(__xludf.DUMMYFUNCTION("""COMPUTED_VALUE"""),"sab0002")</f>
        <v>sab0002</v>
      </c>
      <c r="BE339" s="6"/>
      <c r="BF339" s="6"/>
      <c r="BG339" s="6">
        <f>IFERROR(__xludf.DUMMYFUNCTION("""COMPUTED_VALUE"""),2036.0)</f>
        <v>2036</v>
      </c>
      <c r="BH339" s="15">
        <f>IFERROR(__xludf.DUMMYFUNCTION("""COMPUTED_VALUE"""),46207.38798611111)</f>
        <v>46207.38799</v>
      </c>
      <c r="BI339" s="6">
        <f>IFERROR(__xludf.DUMMYFUNCTION("""COMPUTED_VALUE"""),339.0)</f>
        <v>339</v>
      </c>
      <c r="BJ339" s="6"/>
      <c r="BK339" s="6"/>
      <c r="BL339" s="6" t="str">
        <f>IFERROR(__xludf.DUMMYFUNCTION("""COMPUTED_VALUE"""),"GISSAB0002")</f>
        <v>GISSAB0002</v>
      </c>
      <c r="BM339" s="6"/>
      <c r="BN339" s="6"/>
      <c r="BO339" s="6"/>
      <c r="BP339" s="6"/>
      <c r="BQ339" s="6"/>
      <c r="BR339" s="6"/>
      <c r="BS339" s="6"/>
      <c r="BT339" s="6"/>
      <c r="BU339" s="6" t="str">
        <f>IFERROR(__xludf.DUMMYFUNCTION("""COMPUTED_VALUE"""),"SI")</f>
        <v>SI</v>
      </c>
      <c r="BV339" s="6" t="str">
        <f>IFERROR(__xludf.DUMMYFUNCTION("""COMPUTED_VALUE"""),"manuela.s2036")</f>
        <v>manuela.s2036</v>
      </c>
      <c r="BW339" s="6"/>
      <c r="BX339" s="6"/>
      <c r="BY339" s="6"/>
      <c r="BZ339" s="6"/>
    </row>
    <row r="340">
      <c r="A340" s="12">
        <f>IFERROR(__xludf.DUMMYFUNCTION("""COMPUTED_VALUE"""),1.092862285E9)</f>
        <v>1092862285</v>
      </c>
      <c r="B340" s="6">
        <f>IFERROR(__xludf.DUMMYFUNCTION("""COMPUTED_VALUE"""),23.0)</f>
        <v>23</v>
      </c>
      <c r="C340" s="6" t="str">
        <f>IFERROR(__xludf.DUMMYFUNCTION("""COMPUTED_VALUE"""),"Samuel")</f>
        <v>Samuel</v>
      </c>
      <c r="D340" s="6"/>
      <c r="E340" s="6" t="str">
        <f>IFERROR(__xludf.DUMMYFUNCTION("""COMPUTED_VALUE"""),"Sarmiento Meneses")</f>
        <v>Sarmiento Meneses</v>
      </c>
      <c r="F340" s="6" t="str">
        <f>IFERROR(__xludf.DUMMYFUNCTION("""COMPUTED_VALUE"""),"Conjunto la Cecilia Casa 16 - Corregimiento El Caimo (Contiguo porteria de Bavaria)")</f>
        <v>Conjunto la Cecilia Casa 16 - Corregimiento El Caimo (Contiguo porteria de Bavaria)</v>
      </c>
      <c r="G340" s="12" t="str">
        <f>IFERROR(__xludf.DUMMYFUNCTION("""COMPUTED_VALUE"""),"2018")</f>
        <v>2018</v>
      </c>
      <c r="H340" s="6" t="str">
        <f>IFERROR(__xludf.DUMMYFUNCTION("""COMPUTED_VALUE"""),"Agosto")</f>
        <v>Agosto</v>
      </c>
      <c r="I340" s="12" t="str">
        <f>IFERROR(__xludf.DUMMYFUNCTION("""COMPUTED_VALUE"""),"14")</f>
        <v>14</v>
      </c>
      <c r="J340" s="6" t="str">
        <f>IFERROR(__xludf.DUMMYFUNCTION("""COMPUTED_VALUE"""),"Armenia")</f>
        <v>Armenia</v>
      </c>
      <c r="K340" s="6" t="str">
        <f>IFERROR(__xludf.DUMMYFUNCTION("""COMPUTED_VALUE"""),"samuel.s2036@gi.edu.co")</f>
        <v>samuel.s2036@gi.edu.co</v>
      </c>
      <c r="L340" s="6" t="str">
        <f>IFERROR(__xludf.DUMMYFUNCTION("""COMPUTED_VALUE"""),"TI")</f>
        <v>TI</v>
      </c>
      <c r="M340" s="6" t="str">
        <f>IFERROR(__xludf.DUMMYFUNCTION("""COMPUTED_VALUE"""),"Armenia")</f>
        <v>Armenia</v>
      </c>
      <c r="N340" s="6" t="str">
        <f>IFERROR(__xludf.DUMMYFUNCTION("""COMPUTED_VALUE"""),"M")</f>
        <v>M</v>
      </c>
      <c r="O340" s="6" t="str">
        <f>IFERROR(__xludf.DUMMYFUNCTION("""COMPUTED_VALUE"""),"ACTIVE")</f>
        <v>ACTIVE</v>
      </c>
      <c r="P340" s="6"/>
      <c r="Q340" s="6" t="str">
        <f>IFERROR(__xludf.DUMMYFUNCTION("""COMPUTED_VALUE"""),"Armenia")</f>
        <v>Armenia</v>
      </c>
      <c r="R340" s="12" t="str">
        <f>IFERROR(__xludf.DUMMYFUNCTION("""COMPUTED_VALUE"""),"GiBDh53t*")</f>
        <v>GiBDh53t*</v>
      </c>
      <c r="S340" s="6" t="str">
        <f>IFERROR(__xludf.DUMMYFUNCTION("""COMPUTED_VALUE"""),"Sarmiento Meneses Samuel ")</f>
        <v>Sarmiento Meneses Samuel </v>
      </c>
      <c r="T340" s="6" t="str">
        <f>IFERROR(__xludf.DUMMYFUNCTION("""COMPUTED_VALUE"""),"CESAR LEONARDO SARMIENTO PINZÓN")</f>
        <v>CESAR LEONARDO SARMIENTO PINZÓN</v>
      </c>
      <c r="U340" s="12" t="str">
        <f>IFERROR(__xludf.DUMMYFUNCTION("""COMPUTED_VALUE"""),"80257100")</f>
        <v>80257100</v>
      </c>
      <c r="V340" s="6">
        <f>IFERROR(__xludf.DUMMYFUNCTION("""COMPUTED_VALUE"""),3.141085483E9)</f>
        <v>3141085483</v>
      </c>
      <c r="W340" s="6" t="str">
        <f>IFERROR(__xludf.DUMMYFUNCTION("""COMPUTED_VALUE"""),"csarmientobienesyservicios@gmail.com")</f>
        <v>csarmientobienesyservicios@gmail.com</v>
      </c>
      <c r="X340" s="12" t="str">
        <f>IFERROR(__xludf.DUMMYFUNCTION("""COMPUTED_VALUE"""),"A+")</f>
        <v>A+</v>
      </c>
      <c r="Y340" s="12" t="str">
        <f>IFERROR(__xludf.DUMMYFUNCTION("""COMPUTED_VALUE"""),"3")</f>
        <v>3</v>
      </c>
      <c r="Z340" s="12">
        <f>IFERROR(__xludf.DUMMYFUNCTION("""COMPUTED_VALUE"""),120139.0)</f>
        <v>120139</v>
      </c>
      <c r="AA340" s="6" t="str">
        <f>IFERROR(__xludf.DUMMYFUNCTION("""COMPUTED_VALUE"""),"SURA")</f>
        <v>SURA</v>
      </c>
      <c r="AB340" s="6"/>
      <c r="AC340" s="12" t="str">
        <f>IFERROR(__xludf.DUMMYFUNCTION("""COMPUTED_VALUE"""),"Al frío")</f>
        <v>Al frío</v>
      </c>
      <c r="AD340" s="6" t="str">
        <f>IFERROR(__xludf.DUMMYFUNCTION("""COMPUTED_VALUE"""),"3B")</f>
        <v>3B</v>
      </c>
      <c r="AE340" s="12">
        <f>IFERROR(__xludf.DUMMYFUNCTION("""COMPUTED_VALUE"""),1.345282133E9)</f>
        <v>1345282133</v>
      </c>
      <c r="AF340" s="12" t="str">
        <f>IFERROR(__xludf.DUMMYFUNCTION("""COMPUTED_VALUE"""),"0674120771")</f>
        <v>0674120771</v>
      </c>
      <c r="AG340" s="12" t="str">
        <f>IFERROR(__xludf.DUMMYFUNCTION("""COMPUTED_VALUE"""),"Ángela")</f>
        <v>Ángela</v>
      </c>
      <c r="AH340" s="12" t="str">
        <f>IFERROR(__xludf.DUMMYFUNCTION("""COMPUTED_VALUE"""),"Mercedes")</f>
        <v>Mercedes</v>
      </c>
      <c r="AI340" s="6" t="str">
        <f>IFERROR(__xludf.DUMMYFUNCTION("""COMPUTED_VALUE"""),"Meneses Osorio")</f>
        <v>Meneses Osorio</v>
      </c>
      <c r="AJ340" s="6" t="str">
        <f>IFERROR(__xludf.DUMMYFUNCTION("""COMPUTED_VALUE"""),"angelam.97@gmail.com")</f>
        <v>angelam.97@gmail.com</v>
      </c>
      <c r="AK340" s="6" t="str">
        <f>IFERROR(__xludf.DUMMYFUNCTION("""COMPUTED_VALUE"""),"Abogada")</f>
        <v>Abogada</v>
      </c>
      <c r="AL340" s="6" t="str">
        <f>IFERROR(__xludf.DUMMYFUNCTION("""COMPUTED_VALUE"""),"Rama Judicial")</f>
        <v>Rama Judicial</v>
      </c>
      <c r="AM340" s="12" t="str">
        <f>IFERROR(__xludf.DUMMYFUNCTION("""COMPUTED_VALUE"""),"41953638")</f>
        <v>41953638</v>
      </c>
      <c r="AN340" s="12" t="str">
        <f>IFERROR(__xludf.DUMMYFUNCTION("""COMPUTED_VALUE"""),"3104527928")</f>
        <v>3104527928</v>
      </c>
      <c r="AO340" s="6" t="str">
        <f>IFERROR(__xludf.DUMMYFUNCTION("""COMPUTED_VALUE"""),"Madre")</f>
        <v>Madre</v>
      </c>
      <c r="AP340" s="6" t="str">
        <f>IFERROR(__xludf.DUMMYFUNCTION("""COMPUTED_VALUE"""),"Estudiante(s): Sarmiento Meneses")</f>
        <v>Estudiante(s): Sarmiento Meneses</v>
      </c>
      <c r="AQ340" s="6" t="str">
        <f>IFERROR(__xludf.DUMMYFUNCTION("""COMPUTED_VALUE"""),"120139*Gi")</f>
        <v>120139*Gi</v>
      </c>
      <c r="AR340" s="6" t="str">
        <f>IFERROR(__xludf.DUMMYFUNCTION("""COMPUTED_VALUE"""),"César")</f>
        <v>César</v>
      </c>
      <c r="AS340" s="6" t="str">
        <f>IFERROR(__xludf.DUMMYFUNCTION("""COMPUTED_VALUE"""),"Leonardo")</f>
        <v>Leonardo</v>
      </c>
      <c r="AT340" s="6" t="str">
        <f>IFERROR(__xludf.DUMMYFUNCTION("""COMPUTED_VALUE"""),"Sarmiento Pinzón")</f>
        <v>Sarmiento Pinzón</v>
      </c>
      <c r="AU340" s="6" t="str">
        <f>IFERROR(__xludf.DUMMYFUNCTION("""COMPUTED_VALUE"""),"csarmientobienesyservicios@gmail.com")</f>
        <v>csarmientobienesyservicios@gmail.com</v>
      </c>
      <c r="AV340" s="6" t="str">
        <f>IFERROR(__xludf.DUMMYFUNCTION("""COMPUTED_VALUE"""),"Ingeniero Industrial")</f>
        <v>Ingeniero Industrial</v>
      </c>
      <c r="AW340" s="6"/>
      <c r="AX340" s="12" t="str">
        <f>IFERROR(__xludf.DUMMYFUNCTION("""COMPUTED_VALUE"""),"80257100")</f>
        <v>80257100</v>
      </c>
      <c r="AY340" s="12" t="str">
        <f>IFERROR(__xludf.DUMMYFUNCTION("""COMPUTED_VALUE"""),"3141085483")</f>
        <v>3141085483</v>
      </c>
      <c r="AZ340" s="6" t="str">
        <f>IFERROR(__xludf.DUMMYFUNCTION("""COMPUTED_VALUE"""),"Padre")</f>
        <v>Padre</v>
      </c>
      <c r="BA340" s="6"/>
      <c r="BB340" s="6"/>
      <c r="BC340" s="6"/>
      <c r="BD340" s="12" t="str">
        <f>IFERROR(__xludf.DUMMYFUNCTION("""COMPUTED_VALUE"""),"sar0003")</f>
        <v>sar0003</v>
      </c>
      <c r="BE340" s="6"/>
      <c r="BF340" s="6"/>
      <c r="BG340" s="6">
        <f>IFERROR(__xludf.DUMMYFUNCTION("""COMPUTED_VALUE"""),2036.0)</f>
        <v>2036</v>
      </c>
      <c r="BH340" s="15">
        <f>IFERROR(__xludf.DUMMYFUNCTION("""COMPUTED_VALUE"""),46210.28884259259)</f>
        <v>46210.28884</v>
      </c>
      <c r="BI340" s="6">
        <f>IFERROR(__xludf.DUMMYFUNCTION("""COMPUTED_VALUE"""),340.0)</f>
        <v>340</v>
      </c>
      <c r="BJ340" s="6"/>
      <c r="BK340" s="6"/>
      <c r="BL340" s="6" t="str">
        <f>IFERROR(__xludf.DUMMYFUNCTION("""COMPUTED_VALUE"""),"GISSAR0003")</f>
        <v>GISSAR0003</v>
      </c>
      <c r="BM340" s="6"/>
      <c r="BN340" s="6"/>
      <c r="BO340" s="6"/>
      <c r="BP340" s="6" t="str">
        <f>IFERROR(__xludf.DUMMYFUNCTION("""COMPUTED_VALUE"""),"XC_23_Futbol_M")</f>
        <v>XC_23_Futbol_M</v>
      </c>
      <c r="BQ340" s="6"/>
      <c r="BR340" s="6"/>
      <c r="BS340" s="6" t="str">
        <f>IFERROR(__xludf.DUMMYFUNCTION("""COMPUTED_VALUE"""),"XC_23_Futbol_M")</f>
        <v>XC_23_Futbol_M</v>
      </c>
      <c r="BT340" s="6" t="str">
        <f>IFERROR(__xludf.DUMMYFUNCTION("""COMPUTED_VALUE"""),"XC_23_Futbol_M")</f>
        <v>XC_23_Futbol_M</v>
      </c>
      <c r="BU340" s="6" t="str">
        <f>IFERROR(__xludf.DUMMYFUNCTION("""COMPUTED_VALUE"""),"SI")</f>
        <v>SI</v>
      </c>
      <c r="BV340" s="6" t="str">
        <f>IFERROR(__xludf.DUMMYFUNCTION("""COMPUTED_VALUE"""),"samuel.s2036")</f>
        <v>samuel.s2036</v>
      </c>
      <c r="BW340" s="6"/>
      <c r="BX340" s="6"/>
      <c r="BY340" s="6"/>
      <c r="BZ340" s="6"/>
    </row>
    <row r="341">
      <c r="A341" s="12">
        <f>IFERROR(__xludf.DUMMYFUNCTION("""COMPUTED_VALUE"""),1.089634637E9)</f>
        <v>1089634637</v>
      </c>
      <c r="B341" s="6">
        <f>IFERROR(__xludf.DUMMYFUNCTION("""COMPUTED_VALUE"""),24.0)</f>
        <v>24</v>
      </c>
      <c r="C341" s="6" t="str">
        <f>IFERROR(__xludf.DUMMYFUNCTION("""COMPUTED_VALUE"""),"Lia")</f>
        <v>Lia</v>
      </c>
      <c r="D341" s="6"/>
      <c r="E341" s="6" t="str">
        <f>IFERROR(__xludf.DUMMYFUNCTION("""COMPUTED_VALUE"""),"Uribe Encizo")</f>
        <v>Uribe Encizo</v>
      </c>
      <c r="F341" s="6" t="str">
        <f>IFERROR(__xludf.DUMMYFUNCTION("""COMPUTED_VALUE"""),"Vivarium Apto 806 - Calle 27Nte No3- 37 Av Centenario")</f>
        <v>Vivarium Apto 806 - Calle 27Nte No3- 37 Av Centenario</v>
      </c>
      <c r="G341" s="12" t="str">
        <f>IFERROR(__xludf.DUMMYFUNCTION("""COMPUTED_VALUE"""),"2018")</f>
        <v>2018</v>
      </c>
      <c r="H341" s="6" t="str">
        <f>IFERROR(__xludf.DUMMYFUNCTION("""COMPUTED_VALUE"""),"Febrero")</f>
        <v>Febrero</v>
      </c>
      <c r="I341" s="12" t="str">
        <f>IFERROR(__xludf.DUMMYFUNCTION("""COMPUTED_VALUE"""),"25")</f>
        <v>25</v>
      </c>
      <c r="J341" s="6" t="str">
        <f>IFERROR(__xludf.DUMMYFUNCTION("""COMPUTED_VALUE"""),"Armenia")</f>
        <v>Armenia</v>
      </c>
      <c r="K341" s="6" t="str">
        <f>IFERROR(__xludf.DUMMYFUNCTION("""COMPUTED_VALUE"""),"lia.u2036@gi.edu.co")</f>
        <v>lia.u2036@gi.edu.co</v>
      </c>
      <c r="L341" s="6" t="str">
        <f>IFERROR(__xludf.DUMMYFUNCTION("""COMPUTED_VALUE"""),"TI")</f>
        <v>TI</v>
      </c>
      <c r="M341" s="6" t="str">
        <f>IFERROR(__xludf.DUMMYFUNCTION("""COMPUTED_VALUE"""),"Armenia")</f>
        <v>Armenia</v>
      </c>
      <c r="N341" s="6" t="str">
        <f>IFERROR(__xludf.DUMMYFUNCTION("""COMPUTED_VALUE"""),"F")</f>
        <v>F</v>
      </c>
      <c r="O341" s="6" t="str">
        <f>IFERROR(__xludf.DUMMYFUNCTION("""COMPUTED_VALUE"""),"ACTIVE")</f>
        <v>ACTIVE</v>
      </c>
      <c r="P341" s="6"/>
      <c r="Q341" s="6" t="str">
        <f>IFERROR(__xludf.DUMMYFUNCTION("""COMPUTED_VALUE"""),"Armenia")</f>
        <v>Armenia</v>
      </c>
      <c r="R341" s="12" t="str">
        <f>IFERROR(__xludf.DUMMYFUNCTION("""COMPUTED_VALUE"""),"Gi88ux3k*")</f>
        <v>Gi88ux3k*</v>
      </c>
      <c r="S341" s="6" t="str">
        <f>IFERROR(__xludf.DUMMYFUNCTION("""COMPUTED_VALUE"""),"Uribe Encizo Lia ")</f>
        <v>Uribe Encizo Lia </v>
      </c>
      <c r="T341" s="6" t="str">
        <f>IFERROR(__xludf.DUMMYFUNCTION("""COMPUTED_VALUE"""),"DIEGO FERNANDO URIBE VELASQUEZ")</f>
        <v>DIEGO FERNANDO URIBE VELASQUEZ</v>
      </c>
      <c r="U341" s="12" t="str">
        <f>IFERROR(__xludf.DUMMYFUNCTION("""COMPUTED_VALUE"""),"4520294")</f>
        <v>4520294</v>
      </c>
      <c r="V341" s="6">
        <f>IFERROR(__xludf.DUMMYFUNCTION("""COMPUTED_VALUE"""),3.155742178E9)</f>
        <v>3155742178</v>
      </c>
      <c r="W341" s="6" t="str">
        <f>IFERROR(__xludf.DUMMYFUNCTION("""COMPUTED_VALUE"""),"diegouribevelasquez@hotmail.com")</f>
        <v>diegouribevelasquez@hotmail.com</v>
      </c>
      <c r="X341" s="12" t="str">
        <f>IFERROR(__xludf.DUMMYFUNCTION("""COMPUTED_VALUE"""),"A+")</f>
        <v>A+</v>
      </c>
      <c r="Y341" s="12" t="str">
        <f>IFERROR(__xludf.DUMMYFUNCTION("""COMPUTED_VALUE"""),"3")</f>
        <v>3</v>
      </c>
      <c r="Z341" s="12">
        <f>IFERROR(__xludf.DUMMYFUNCTION("""COMPUTED_VALUE"""),120549.0)</f>
        <v>120549</v>
      </c>
      <c r="AA341" s="6" t="str">
        <f>IFERROR(__xludf.DUMMYFUNCTION("""COMPUTED_VALUE"""),"SURA")</f>
        <v>SURA</v>
      </c>
      <c r="AB341" s="6"/>
      <c r="AC341" s="6"/>
      <c r="AD341" s="6" t="str">
        <f>IFERROR(__xludf.DUMMYFUNCTION("""COMPUTED_VALUE"""),"3B")</f>
        <v>3B</v>
      </c>
      <c r="AE341" s="12">
        <f>IFERROR(__xludf.DUMMYFUNCTION("""COMPUTED_VALUE"""),1.345282547E9)</f>
        <v>1345282547</v>
      </c>
      <c r="AF341" s="6"/>
      <c r="AG341" s="12" t="str">
        <f>IFERROR(__xludf.DUMMYFUNCTION("""COMPUTED_VALUE"""),"Gina")</f>
        <v>Gina</v>
      </c>
      <c r="AH341" s="12" t="str">
        <f>IFERROR(__xludf.DUMMYFUNCTION("""COMPUTED_VALUE"""),"Andrea")</f>
        <v>Andrea</v>
      </c>
      <c r="AI341" s="6" t="str">
        <f>IFERROR(__xludf.DUMMYFUNCTION("""COMPUTED_VALUE"""),"Encizo Rozo")</f>
        <v>Encizo Rozo</v>
      </c>
      <c r="AJ341" s="6" t="str">
        <f>IFERROR(__xludf.DUMMYFUNCTION("""COMPUTED_VALUE"""),"ginaencizo@hotmail.com")</f>
        <v>ginaencizo@hotmail.com</v>
      </c>
      <c r="AK341" s="6" t="str">
        <f>IFERROR(__xludf.DUMMYFUNCTION("""COMPUTED_VALUE"""),"administradora")</f>
        <v>administradora</v>
      </c>
      <c r="AL341" s="6"/>
      <c r="AM341" s="12">
        <f>IFERROR(__xludf.DUMMYFUNCTION("""COMPUTED_VALUE"""),1.094923609E9)</f>
        <v>1094923609</v>
      </c>
      <c r="AN341" s="12">
        <f>IFERROR(__xludf.DUMMYFUNCTION("""COMPUTED_VALUE"""),3.115514788E9)</f>
        <v>3115514788</v>
      </c>
      <c r="AO341" s="6" t="str">
        <f>IFERROR(__xludf.DUMMYFUNCTION("""COMPUTED_VALUE"""),"Madre")</f>
        <v>Madre</v>
      </c>
      <c r="AP341" s="6" t="str">
        <f>IFERROR(__xludf.DUMMYFUNCTION("""COMPUTED_VALUE"""),"Estudiante(s): Uribe Encizo")</f>
        <v>Estudiante(s): Uribe Encizo</v>
      </c>
      <c r="AQ341" s="6" t="str">
        <f>IFERROR(__xludf.DUMMYFUNCTION("""COMPUTED_VALUE"""),"120549*Gi")</f>
        <v>120549*Gi</v>
      </c>
      <c r="AR341" s="6" t="str">
        <f>IFERROR(__xludf.DUMMYFUNCTION("""COMPUTED_VALUE"""),"Diego")</f>
        <v>Diego</v>
      </c>
      <c r="AS341" s="6" t="str">
        <f>IFERROR(__xludf.DUMMYFUNCTION("""COMPUTED_VALUE"""),"Fernando")</f>
        <v>Fernando</v>
      </c>
      <c r="AT341" s="6" t="str">
        <f>IFERROR(__xludf.DUMMYFUNCTION("""COMPUTED_VALUE"""),"Uribe Velásquez")</f>
        <v>Uribe Velásquez</v>
      </c>
      <c r="AU341" s="6" t="str">
        <f>IFERROR(__xludf.DUMMYFUNCTION("""COMPUTED_VALUE"""),"diegouribevelasquez@hotmail.com")</f>
        <v>diegouribevelasquez@hotmail.com</v>
      </c>
      <c r="AV341" s="6" t="str">
        <f>IFERROR(__xludf.DUMMYFUNCTION("""COMPUTED_VALUE"""),"abogado")</f>
        <v>abogado</v>
      </c>
      <c r="AW341" s="6" t="str">
        <f>IFERROR(__xludf.DUMMYFUNCTION("""COMPUTED_VALUE"""),"Auditoria general de la republica")</f>
        <v>Auditoria general de la republica</v>
      </c>
      <c r="AX341" s="12" t="str">
        <f>IFERROR(__xludf.DUMMYFUNCTION("""COMPUTED_VALUE"""),"4520294")</f>
        <v>4520294</v>
      </c>
      <c r="AY341" s="12" t="str">
        <f>IFERROR(__xludf.DUMMYFUNCTION("""COMPUTED_VALUE"""),"3155742178")</f>
        <v>3155742178</v>
      </c>
      <c r="AZ341" s="6" t="str">
        <f>IFERROR(__xludf.DUMMYFUNCTION("""COMPUTED_VALUE"""),"Padre")</f>
        <v>Padre</v>
      </c>
      <c r="BA341" s="6"/>
      <c r="BB341" s="6"/>
      <c r="BC341" s="6"/>
      <c r="BD341" s="12" t="str">
        <f>IFERROR(__xludf.DUMMYFUNCTION("""COMPUTED_VALUE"""),"uri0012")</f>
        <v>uri0012</v>
      </c>
      <c r="BE341" s="6"/>
      <c r="BF341" s="6"/>
      <c r="BG341" s="6">
        <f>IFERROR(__xludf.DUMMYFUNCTION("""COMPUTED_VALUE"""),2036.0)</f>
        <v>2036</v>
      </c>
      <c r="BH341" s="15">
        <f>IFERROR(__xludf.DUMMYFUNCTION("""COMPUTED_VALUE"""),46210.39034722222)</f>
        <v>46210.39035</v>
      </c>
      <c r="BI341" s="6">
        <f>IFERROR(__xludf.DUMMYFUNCTION("""COMPUTED_VALUE"""),341.0)</f>
        <v>341</v>
      </c>
      <c r="BJ341" s="6"/>
      <c r="BK341" s="6"/>
      <c r="BL341" s="6" t="str">
        <f>IFERROR(__xludf.DUMMYFUNCTION("""COMPUTED_VALUE"""),"GISURI0012")</f>
        <v>GISURI0012</v>
      </c>
      <c r="BM341" s="6"/>
      <c r="BN341" s="6"/>
      <c r="BO341" s="6" t="str">
        <f>IFERROR(__xludf.DUMMYFUNCTION("""COMPUTED_VALUE"""),"XC_EL_TecVocal")</f>
        <v>XC_EL_TecVocal</v>
      </c>
      <c r="BP341" s="6"/>
      <c r="BQ341" s="6"/>
      <c r="BR341" s="6"/>
      <c r="BS341" s="6"/>
      <c r="BT341" s="6"/>
      <c r="BU341" s="6" t="str">
        <f>IFERROR(__xludf.DUMMYFUNCTION("""COMPUTED_VALUE"""),"SI")</f>
        <v>SI</v>
      </c>
      <c r="BV341" s="6" t="str">
        <f>IFERROR(__xludf.DUMMYFUNCTION("""COMPUTED_VALUE"""),"lia.u2036")</f>
        <v>lia.u2036</v>
      </c>
      <c r="BW341" s="6"/>
      <c r="BX341" s="6"/>
      <c r="BY341" s="6"/>
      <c r="BZ341" s="6"/>
    </row>
    <row r="342">
      <c r="A342" s="6">
        <f>IFERROR(__xludf.DUMMYFUNCTION("""COMPUTED_VALUE"""),1.092862329E9)</f>
        <v>1092862329</v>
      </c>
      <c r="B342" s="6">
        <f>IFERROR(__xludf.DUMMYFUNCTION("""COMPUTED_VALUE"""),25.0)</f>
        <v>25</v>
      </c>
      <c r="C342" s="6" t="str">
        <f>IFERROR(__xludf.DUMMYFUNCTION("""COMPUTED_VALUE"""),"Violetta")</f>
        <v>Violetta</v>
      </c>
      <c r="D342" s="6"/>
      <c r="E342" s="6" t="str">
        <f>IFERROR(__xludf.DUMMYFUNCTION("""COMPUTED_VALUE"""),"Varela Pineda")</f>
        <v>Varela Pineda</v>
      </c>
      <c r="F342" s="6" t="str">
        <f>IFERROR(__xludf.DUMMYFUNCTION("""COMPUTED_VALUE"""),"Condominio Palo de Agua Casa 32- Km 6 Via Eden Vereda Murillo")</f>
        <v>Condominio Palo de Agua Casa 32- Km 6 Via Eden Vereda Murillo</v>
      </c>
      <c r="G342" s="12" t="str">
        <f>IFERROR(__xludf.DUMMYFUNCTION("""COMPUTED_VALUE"""),"2018")</f>
        <v>2018</v>
      </c>
      <c r="H342" s="6" t="str">
        <f>IFERROR(__xludf.DUMMYFUNCTION("""COMPUTED_VALUE"""),"Septiembre")</f>
        <v>Septiembre</v>
      </c>
      <c r="I342" s="12" t="str">
        <f>IFERROR(__xludf.DUMMYFUNCTION("""COMPUTED_VALUE"""),"11")</f>
        <v>11</v>
      </c>
      <c r="J342" s="6" t="str">
        <f>IFERROR(__xludf.DUMMYFUNCTION("""COMPUTED_VALUE"""),"Armenia")</f>
        <v>Armenia</v>
      </c>
      <c r="K342" s="6" t="str">
        <f>IFERROR(__xludf.DUMMYFUNCTION("""COMPUTED_VALUE"""),"violeta.v2036@gi.edu.co")</f>
        <v>violeta.v2036@gi.edu.co</v>
      </c>
      <c r="L342" s="6" t="str">
        <f>IFERROR(__xludf.DUMMYFUNCTION("""COMPUTED_VALUE"""),"RC")</f>
        <v>RC</v>
      </c>
      <c r="M342" s="6" t="str">
        <f>IFERROR(__xludf.DUMMYFUNCTION("""COMPUTED_VALUE"""),"Armenia")</f>
        <v>Armenia</v>
      </c>
      <c r="N342" s="6" t="str">
        <f>IFERROR(__xludf.DUMMYFUNCTION("""COMPUTED_VALUE"""),"F")</f>
        <v>F</v>
      </c>
      <c r="O342" s="6" t="str">
        <f>IFERROR(__xludf.DUMMYFUNCTION("""COMPUTED_VALUE"""),"ACTIVE")</f>
        <v>ACTIVE</v>
      </c>
      <c r="P342" s="6"/>
      <c r="Q342" s="6" t="str">
        <f>IFERROR(__xludf.DUMMYFUNCTION("""COMPUTED_VALUE"""),"Armenia")</f>
        <v>Armenia</v>
      </c>
      <c r="R342" s="12" t="str">
        <f>IFERROR(__xludf.DUMMYFUNCTION("""COMPUTED_VALUE"""),"GibzQ6Pz*")</f>
        <v>GibzQ6Pz*</v>
      </c>
      <c r="S342" s="6" t="str">
        <f>IFERROR(__xludf.DUMMYFUNCTION("""COMPUTED_VALUE"""),"Varela Pineda Violetta ")</f>
        <v>Varela Pineda Violetta </v>
      </c>
      <c r="T342" s="6" t="str">
        <f>IFERROR(__xludf.DUMMYFUNCTION("""COMPUTED_VALUE"""),"DIANA KARINA PINEDA CASTRO")</f>
        <v>DIANA KARINA PINEDA CASTRO</v>
      </c>
      <c r="U342" s="12" t="str">
        <f>IFERROR(__xludf.DUMMYFUNCTION("""COMPUTED_VALUE"""),"24585000")</f>
        <v>24585000</v>
      </c>
      <c r="V342" s="6">
        <f>IFERROR(__xludf.DUMMYFUNCTION("""COMPUTED_VALUE"""),3.002028389E9)</f>
        <v>3002028389</v>
      </c>
      <c r="W342" s="6" t="str">
        <f>IFERROR(__xludf.DUMMYFUNCTION("""COMPUTED_VALUE"""),"dikapica@hotmail.com")</f>
        <v>dikapica@hotmail.com</v>
      </c>
      <c r="X342" s="12" t="str">
        <f>IFERROR(__xludf.DUMMYFUNCTION("""COMPUTED_VALUE"""),"O+")</f>
        <v>O+</v>
      </c>
      <c r="Y342" s="12" t="str">
        <f>IFERROR(__xludf.DUMMYFUNCTION("""COMPUTED_VALUE"""),"3")</f>
        <v>3</v>
      </c>
      <c r="Z342" s="12">
        <f>IFERROR(__xludf.DUMMYFUNCTION("""COMPUTED_VALUE"""),120140.0)</f>
        <v>120140</v>
      </c>
      <c r="AA342" s="6" t="str">
        <f>IFERROR(__xludf.DUMMYFUNCTION("""COMPUTED_VALUE"""),"SURA")</f>
        <v>SURA</v>
      </c>
      <c r="AB342" s="6"/>
      <c r="AC342" s="6"/>
      <c r="AD342" s="6" t="str">
        <f>IFERROR(__xludf.DUMMYFUNCTION("""COMPUTED_VALUE"""),"3B")</f>
        <v>3B</v>
      </c>
      <c r="AE342" s="12">
        <f>IFERROR(__xludf.DUMMYFUNCTION("""COMPUTED_VALUE"""),1.345282139E9)</f>
        <v>1345282139</v>
      </c>
      <c r="AF342" s="12" t="str">
        <f>IFERROR(__xludf.DUMMYFUNCTION("""COMPUTED_VALUE"""),"0687193459")</f>
        <v>0687193459</v>
      </c>
      <c r="AG342" s="12" t="str">
        <f>IFERROR(__xludf.DUMMYFUNCTION("""COMPUTED_VALUE"""),"Diana")</f>
        <v>Diana</v>
      </c>
      <c r="AH342" s="12" t="str">
        <f>IFERROR(__xludf.DUMMYFUNCTION("""COMPUTED_VALUE"""),"Karina")</f>
        <v>Karina</v>
      </c>
      <c r="AI342" s="6" t="str">
        <f>IFERROR(__xludf.DUMMYFUNCTION("""COMPUTED_VALUE"""),"Pineda Castro")</f>
        <v>Pineda Castro</v>
      </c>
      <c r="AJ342" s="6" t="str">
        <f>IFERROR(__xludf.DUMMYFUNCTION("""COMPUTED_VALUE"""),"dikapica@hotmail.com")</f>
        <v>dikapica@hotmail.com</v>
      </c>
      <c r="AK342" s="6" t="str">
        <f>IFERROR(__xludf.DUMMYFUNCTION("""COMPUTED_VALUE"""),"Abogada")</f>
        <v>Abogada</v>
      </c>
      <c r="AL342" s="6"/>
      <c r="AM342" s="12" t="str">
        <f>IFERROR(__xludf.DUMMYFUNCTION("""COMPUTED_VALUE"""),"24585000")</f>
        <v>24585000</v>
      </c>
      <c r="AN342" s="12" t="str">
        <f>IFERROR(__xludf.DUMMYFUNCTION("""COMPUTED_VALUE"""),"3002028389")</f>
        <v>3002028389</v>
      </c>
      <c r="AO342" s="6" t="str">
        <f>IFERROR(__xludf.DUMMYFUNCTION("""COMPUTED_VALUE"""),"Madre")</f>
        <v>Madre</v>
      </c>
      <c r="AP342" s="6" t="str">
        <f>IFERROR(__xludf.DUMMYFUNCTION("""COMPUTED_VALUE"""),"Estudiante(s): Varela Pineda")</f>
        <v>Estudiante(s): Varela Pineda</v>
      </c>
      <c r="AQ342" s="6" t="str">
        <f>IFERROR(__xludf.DUMMYFUNCTION("""COMPUTED_VALUE"""),"120140*Gi")</f>
        <v>120140*Gi</v>
      </c>
      <c r="AR342" s="6" t="str">
        <f>IFERROR(__xludf.DUMMYFUNCTION("""COMPUTED_VALUE"""),"Cristian")</f>
        <v>Cristian</v>
      </c>
      <c r="AS342" s="6" t="str">
        <f>IFERROR(__xludf.DUMMYFUNCTION("""COMPUTED_VALUE"""),"Fernando")</f>
        <v>Fernando</v>
      </c>
      <c r="AT342" s="6" t="str">
        <f>IFERROR(__xludf.DUMMYFUNCTION("""COMPUTED_VALUE"""),"Varela Fitzgerald")</f>
        <v>Varela Fitzgerald</v>
      </c>
      <c r="AU342" s="6" t="str">
        <f>IFERROR(__xludf.DUMMYFUNCTION("""COMPUTED_VALUE"""),"varela608@gmail.com")</f>
        <v>varela608@gmail.com</v>
      </c>
      <c r="AV342" s="6" t="str">
        <f>IFERROR(__xludf.DUMMYFUNCTION("""COMPUTED_VALUE"""),"Abogado")</f>
        <v>Abogado</v>
      </c>
      <c r="AW342" s="6" t="str">
        <f>IFERROR(__xludf.DUMMYFUNCTION("""COMPUTED_VALUE"""),"Jurisdicción Especial para la Paz")</f>
        <v>Jurisdicción Especial para la Paz</v>
      </c>
      <c r="AX342" s="12" t="str">
        <f>IFERROR(__xludf.DUMMYFUNCTION("""COMPUTED_VALUE"""),"1094904548")</f>
        <v>1094904548</v>
      </c>
      <c r="AY342" s="12" t="str">
        <f>IFERROR(__xludf.DUMMYFUNCTION("""COMPUTED_VALUE"""),"3017836058")</f>
        <v>3017836058</v>
      </c>
      <c r="AZ342" s="6" t="str">
        <f>IFERROR(__xludf.DUMMYFUNCTION("""COMPUTED_VALUE"""),"Padre")</f>
        <v>Padre</v>
      </c>
      <c r="BA342" s="6"/>
      <c r="BB342" s="6"/>
      <c r="BC342" s="6"/>
      <c r="BD342" s="12" t="str">
        <f>IFERROR(__xludf.DUMMYFUNCTION("""COMPUTED_VALUE"""),"var0002")</f>
        <v>var0002</v>
      </c>
      <c r="BE342" s="6"/>
      <c r="BF342" s="6"/>
      <c r="BG342" s="6">
        <f>IFERROR(__xludf.DUMMYFUNCTION("""COMPUTED_VALUE"""),2036.0)</f>
        <v>2036</v>
      </c>
      <c r="BH342" s="15">
        <f>IFERROR(__xludf.DUMMYFUNCTION("""COMPUTED_VALUE"""),46208.49363425926)</f>
        <v>46208.49363</v>
      </c>
      <c r="BI342" s="6">
        <f>IFERROR(__xludf.DUMMYFUNCTION("""COMPUTED_VALUE"""),342.0)</f>
        <v>342</v>
      </c>
      <c r="BJ342" s="6"/>
      <c r="BK342" s="6"/>
      <c r="BL342" s="6" t="str">
        <f>IFERROR(__xludf.DUMMYFUNCTION("""COMPUTED_VALUE"""),"GISVAR0002")</f>
        <v>GISVAR0002</v>
      </c>
      <c r="BM342" s="6"/>
      <c r="BN342" s="6"/>
      <c r="BO342" s="6" t="str">
        <f>IFERROR(__xludf.DUMMYFUNCTION("""COMPUTED_VALUE"""),"XC_EL_ArtesPlasticas")</f>
        <v>XC_EL_ArtesPlasticas</v>
      </c>
      <c r="BP342" s="6" t="str">
        <f>IFERROR(__xludf.DUMMYFUNCTION("""COMPUTED_VALUE"""),"XC_EL_Porras")</f>
        <v>XC_EL_Porras</v>
      </c>
      <c r="BQ342" s="6" t="str">
        <f>IFERROR(__xludf.DUMMYFUNCTION("""COMPUTED_VALUE"""),"XC_EL_Porras")</f>
        <v>XC_EL_Porras</v>
      </c>
      <c r="BR342" s="6" t="str">
        <f>IFERROR(__xludf.DUMMYFUNCTION("""COMPUTED_VALUE"""),"XC_EL_PequenosCientificos")</f>
        <v>XC_EL_PequenosCientificos</v>
      </c>
      <c r="BS342" s="6" t="str">
        <f>IFERROR(__xludf.DUMMYFUNCTION("""COMPUTED_VALUE"""),"XC_EL_Porras")</f>
        <v>XC_EL_Porras</v>
      </c>
      <c r="BT342" s="6"/>
      <c r="BU342" s="6" t="str">
        <f>IFERROR(__xludf.DUMMYFUNCTION("""COMPUTED_VALUE"""),"SI")</f>
        <v>SI</v>
      </c>
      <c r="BV342" s="6" t="str">
        <f>IFERROR(__xludf.DUMMYFUNCTION("""COMPUTED_VALUE"""),"violeta.v2036")</f>
        <v>violeta.v2036</v>
      </c>
      <c r="BW342" s="6"/>
      <c r="BX342" s="6"/>
      <c r="BY342" s="6"/>
      <c r="BZ342" s="6"/>
    </row>
    <row r="343">
      <c r="A343" s="6">
        <f>IFERROR(__xludf.DUMMYFUNCTION("""COMPUTED_VALUE"""),1.117032924E9)</f>
        <v>1117032924</v>
      </c>
      <c r="B343" s="6">
        <f>IFERROR(__xludf.DUMMYFUNCTION("""COMPUTED_VALUE"""),26.0)</f>
        <v>26</v>
      </c>
      <c r="C343" s="6" t="str">
        <f>IFERROR(__xludf.DUMMYFUNCTION("""COMPUTED_VALUE"""),"Gabriela")</f>
        <v>Gabriela</v>
      </c>
      <c r="D343" s="6"/>
      <c r="E343" s="6" t="str">
        <f>IFERROR(__xludf.DUMMYFUNCTION("""COMPUTED_VALUE"""),"Vélez Zuluaga")</f>
        <v>Vélez Zuluaga</v>
      </c>
      <c r="F343" s="6" t="str">
        <f>IFERROR(__xludf.DUMMYFUNCTION("""COMPUTED_VALUE"""),"Condominio Hacienda Horizontes Casa 39 - Km 3 Via Circasia Vereda la Florida")</f>
        <v>Condominio Hacienda Horizontes Casa 39 - Km 3 Via Circasia Vereda la Florida</v>
      </c>
      <c r="G343" s="12" t="str">
        <f>IFERROR(__xludf.DUMMYFUNCTION("""COMPUTED_VALUE"""),"2017")</f>
        <v>2017</v>
      </c>
      <c r="H343" s="6" t="str">
        <f>IFERROR(__xludf.DUMMYFUNCTION("""COMPUTED_VALUE"""),"Diciembre")</f>
        <v>Diciembre</v>
      </c>
      <c r="I343" s="12" t="str">
        <f>IFERROR(__xludf.DUMMYFUNCTION("""COMPUTED_VALUE"""),"1")</f>
        <v>1</v>
      </c>
      <c r="J343" s="6" t="str">
        <f>IFERROR(__xludf.DUMMYFUNCTION("""COMPUTED_VALUE"""),"Tuluá")</f>
        <v>Tuluá</v>
      </c>
      <c r="K343" s="6" t="str">
        <f>IFERROR(__xludf.DUMMYFUNCTION("""COMPUTED_VALUE"""),"gabriela.v2036@gi.edu.co")</f>
        <v>gabriela.v2036@gi.edu.co</v>
      </c>
      <c r="L343" s="6" t="str">
        <f>IFERROR(__xludf.DUMMYFUNCTION("""COMPUTED_VALUE"""),"RC")</f>
        <v>RC</v>
      </c>
      <c r="M343" s="6" t="str">
        <f>IFERROR(__xludf.DUMMYFUNCTION("""COMPUTED_VALUE"""),"Tuluá")</f>
        <v>Tuluá</v>
      </c>
      <c r="N343" s="6" t="str">
        <f>IFERROR(__xludf.DUMMYFUNCTION("""COMPUTED_VALUE"""),"F")</f>
        <v>F</v>
      </c>
      <c r="O343" s="6" t="str">
        <f>IFERROR(__xludf.DUMMYFUNCTION("""COMPUTED_VALUE"""),"INACTIVE")</f>
        <v>INACTIVE</v>
      </c>
      <c r="P343" s="6"/>
      <c r="Q343" s="6" t="str">
        <f>IFERROR(__xludf.DUMMYFUNCTION("""COMPUTED_VALUE"""),"Circasia")</f>
        <v>Circasia</v>
      </c>
      <c r="R343" s="12" t="str">
        <f>IFERROR(__xludf.DUMMYFUNCTION("""COMPUTED_VALUE"""),"Gi8a2n4*")</f>
        <v>Gi8a2n4*</v>
      </c>
      <c r="S343" s="6" t="str">
        <f>IFERROR(__xludf.DUMMYFUNCTION("""COMPUTED_VALUE"""),"Vélez Zuluaga Gabriela ")</f>
        <v>Vélez Zuluaga Gabriela </v>
      </c>
      <c r="T343" s="6" t="str">
        <f>IFERROR(__xludf.DUMMYFUNCTION("""COMPUTED_VALUE"""),"OSCAR ANDRES VELEZ LONDOÑO")</f>
        <v>OSCAR ANDRES VELEZ LONDOÑO</v>
      </c>
      <c r="U343" s="12" t="str">
        <f>IFERROR(__xludf.DUMMYFUNCTION("""COMPUTED_VALUE"""),"1116272497")</f>
        <v>1116272497</v>
      </c>
      <c r="V343" s="6">
        <f>IFERROR(__xludf.DUMMYFUNCTION("""COMPUTED_VALUE"""),3.207251594E9)</f>
        <v>3207251594</v>
      </c>
      <c r="W343" s="6" t="str">
        <f>IFERROR(__xludf.DUMMYFUNCTION("""COMPUTED_VALUE"""),"oavelez_23@hotmail.com")</f>
        <v>oavelez_23@hotmail.com</v>
      </c>
      <c r="X343" s="12" t="str">
        <f>IFERROR(__xludf.DUMMYFUNCTION("""COMPUTED_VALUE"""),"O+")</f>
        <v>O+</v>
      </c>
      <c r="Y343" s="12" t="str">
        <f>IFERROR(__xludf.DUMMYFUNCTION("""COMPUTED_VALUE"""),"3")</f>
        <v>3</v>
      </c>
      <c r="Z343" s="12">
        <f>IFERROR(__xludf.DUMMYFUNCTION("""COMPUTED_VALUE"""),120317.0)</f>
        <v>120317</v>
      </c>
      <c r="AA343" s="6" t="str">
        <f>IFERROR(__xludf.DUMMYFUNCTION("""COMPUTED_VALUE"""),"SURA")</f>
        <v>SURA</v>
      </c>
      <c r="AB343" s="6"/>
      <c r="AC343" s="6"/>
      <c r="AD343" s="6" t="str">
        <f>IFERROR(__xludf.DUMMYFUNCTION("""COMPUTED_VALUE"""),"3B")</f>
        <v>3B</v>
      </c>
      <c r="AE343" s="12" t="str">
        <f>IFERROR(__xludf.DUMMYFUNCTION("""COMPUTED_VALUE"""),"1345282313")</f>
        <v>1345282313</v>
      </c>
      <c r="AF343" s="12" t="str">
        <f>IFERROR(__xludf.DUMMYFUNCTION("""COMPUTED_VALUE"""),"0687034163")</f>
        <v>0687034163</v>
      </c>
      <c r="AG343" s="12" t="str">
        <f>IFERROR(__xludf.DUMMYFUNCTION("""COMPUTED_VALUE"""),"Carolina")</f>
        <v>Carolina</v>
      </c>
      <c r="AH343" s="6"/>
      <c r="AI343" s="6" t="str">
        <f>IFERROR(__xludf.DUMMYFUNCTION("""COMPUTED_VALUE"""),"Zuluaga Mejía")</f>
        <v>Zuluaga Mejía</v>
      </c>
      <c r="AJ343" s="6" t="str">
        <f>IFERROR(__xludf.DUMMYFUNCTION("""COMPUTED_VALUE"""),"caromejia7@hotmail.com")</f>
        <v>caromejia7@hotmail.com</v>
      </c>
      <c r="AK343" s="6" t="str">
        <f>IFERROR(__xludf.DUMMYFUNCTION("""COMPUTED_VALUE"""),"Administradora de Empresas")</f>
        <v>Administradora de Empresas</v>
      </c>
      <c r="AL343" s="6" t="str">
        <f>IFERROR(__xludf.DUMMYFUNCTION("""COMPUTED_VALUE"""),"VyZ Construcciones S.A.S")</f>
        <v>VyZ Construcciones S.A.S</v>
      </c>
      <c r="AM343" s="12" t="str">
        <f>IFERROR(__xludf.DUMMYFUNCTION("""COMPUTED_VALUE"""),"1094908068")</f>
        <v>1094908068</v>
      </c>
      <c r="AN343" s="12" t="str">
        <f>IFERROR(__xludf.DUMMYFUNCTION("""COMPUTED_VALUE"""),"3214386292")</f>
        <v>3214386292</v>
      </c>
      <c r="AO343" s="6" t="str">
        <f>IFERROR(__xludf.DUMMYFUNCTION("""COMPUTED_VALUE"""),"Madre")</f>
        <v>Madre</v>
      </c>
      <c r="AP343" s="6" t="str">
        <f>IFERROR(__xludf.DUMMYFUNCTION("""COMPUTED_VALUE"""),"Estudiante(s): Vélez Zuluaga")</f>
        <v>Estudiante(s): Vélez Zuluaga</v>
      </c>
      <c r="AQ343" s="6" t="str">
        <f>IFERROR(__xludf.DUMMYFUNCTION("""COMPUTED_VALUE"""),"120317*Gi")</f>
        <v>120317*Gi</v>
      </c>
      <c r="AR343" s="6" t="str">
        <f>IFERROR(__xludf.DUMMYFUNCTION("""COMPUTED_VALUE"""),"Oscar")</f>
        <v>Oscar</v>
      </c>
      <c r="AS343" s="6" t="str">
        <f>IFERROR(__xludf.DUMMYFUNCTION("""COMPUTED_VALUE"""),"Andres")</f>
        <v>Andres</v>
      </c>
      <c r="AT343" s="6" t="str">
        <f>IFERROR(__xludf.DUMMYFUNCTION("""COMPUTED_VALUE"""),"Vélez Londoño")</f>
        <v>Vélez Londoño</v>
      </c>
      <c r="AU343" s="6" t="str">
        <f>IFERROR(__xludf.DUMMYFUNCTION("""COMPUTED_VALUE"""),"oavelez_23@hotmail.com")</f>
        <v>oavelez_23@hotmail.com</v>
      </c>
      <c r="AV343" s="6" t="str">
        <f>IFERROR(__xludf.DUMMYFUNCTION("""COMPUTED_VALUE"""),"Ingeniero Civil")</f>
        <v>Ingeniero Civil</v>
      </c>
      <c r="AW343" s="6" t="str">
        <f>IFERROR(__xludf.DUMMYFUNCTION("""COMPUTED_VALUE"""),"Cofintec s.a")</f>
        <v>Cofintec s.a</v>
      </c>
      <c r="AX343" s="12" t="str">
        <f>IFERROR(__xludf.DUMMYFUNCTION("""COMPUTED_VALUE"""),"1116272497")</f>
        <v>1116272497</v>
      </c>
      <c r="AY343" s="12" t="str">
        <f>IFERROR(__xludf.DUMMYFUNCTION("""COMPUTED_VALUE"""),"3207251594")</f>
        <v>3207251594</v>
      </c>
      <c r="AZ343" s="6" t="str">
        <f>IFERROR(__xludf.DUMMYFUNCTION("""COMPUTED_VALUE"""),"Padre")</f>
        <v>Padre</v>
      </c>
      <c r="BA343" s="6"/>
      <c r="BB343" s="6"/>
      <c r="BC343" s="6"/>
      <c r="BD343" s="12" t="str">
        <f>IFERROR(__xludf.DUMMYFUNCTION("""COMPUTED_VALUE"""),"vel0019")</f>
        <v>vel0019</v>
      </c>
      <c r="BE343" s="6" t="str">
        <f>IFERROR(__xludf.DUMMYFUNCTION("""COMPUTED_VALUE"""),"FALTAN FIRMAS")</f>
        <v>FALTAN FIRMAS</v>
      </c>
      <c r="BF343" s="6"/>
      <c r="BG343" s="6">
        <f>IFERROR(__xludf.DUMMYFUNCTION("""COMPUTED_VALUE"""),2036.0)</f>
        <v>2036</v>
      </c>
      <c r="BH343" s="15">
        <f>IFERROR(__xludf.DUMMYFUNCTION("""COMPUTED_VALUE"""),46234.47384259259)</f>
        <v>46234.47384</v>
      </c>
      <c r="BI343" s="6">
        <f>IFERROR(__xludf.DUMMYFUNCTION("""COMPUTED_VALUE"""),343.0)</f>
        <v>343</v>
      </c>
      <c r="BJ343" s="6"/>
      <c r="BK343" s="6"/>
      <c r="BL343" s="6" t="str">
        <f>IFERROR(__xludf.DUMMYFUNCTION("""COMPUTED_VALUE"""),"GISVEL0019")</f>
        <v>GISVEL0019</v>
      </c>
      <c r="BM343" s="6"/>
      <c r="BN343" s="6"/>
      <c r="BO343" s="6"/>
      <c r="BP343" s="6" t="str">
        <f>IFERROR(__xludf.DUMMYFUNCTION("""COMPUTED_VALUE"""),"XC_EL_Porras")</f>
        <v>XC_EL_Porras</v>
      </c>
      <c r="BQ343" s="6" t="str">
        <f>IFERROR(__xludf.DUMMYFUNCTION("""COMPUTED_VALUE"""),"XC_EL_Porras")</f>
        <v>XC_EL_Porras</v>
      </c>
      <c r="BR343" s="6"/>
      <c r="BS343" s="6" t="str">
        <f>IFERROR(__xludf.DUMMYFUNCTION("""COMPUTED_VALUE"""),"XC_EL_Porras")</f>
        <v>XC_EL_Porras</v>
      </c>
      <c r="BT343" s="6"/>
      <c r="BU343" s="6" t="str">
        <f>IFERROR(__xludf.DUMMYFUNCTION("""COMPUTED_VALUE"""),"SI")</f>
        <v>SI</v>
      </c>
      <c r="BV343" s="6" t="str">
        <f>IFERROR(__xludf.DUMMYFUNCTION("""COMPUTED_VALUE"""),"gabriela.v2036")</f>
        <v>gabriela.v2036</v>
      </c>
      <c r="BW343" s="6"/>
      <c r="BX343" s="6"/>
      <c r="BY343" s="6"/>
      <c r="BZ343" s="6"/>
    </row>
    <row r="344">
      <c r="A344" s="12">
        <f>IFERROR(__xludf.DUMMYFUNCTION("""COMPUTED_VALUE"""),1.094978763E9)</f>
        <v>1094978763</v>
      </c>
      <c r="B344" s="6">
        <f>IFERROR(__xludf.DUMMYFUNCTION("""COMPUTED_VALUE"""),27.0)</f>
        <v>27</v>
      </c>
      <c r="C344" s="6" t="str">
        <f>IFERROR(__xludf.DUMMYFUNCTION("""COMPUTED_VALUE"""),"Emilia")</f>
        <v>Emilia</v>
      </c>
      <c r="D344" s="6"/>
      <c r="E344" s="6" t="str">
        <f>IFERROR(__xludf.DUMMYFUNCTION("""COMPUTED_VALUE"""),"Vergara Echeverry")</f>
        <v>Vergara Echeverry</v>
      </c>
      <c r="F344" s="6" t="str">
        <f>IFERROR(__xludf.DUMMYFUNCTION("""COMPUTED_VALUE"""),"San Juan de la Loma Torre 1 Apto 301 - Cra 19 No22 - 124 LAURELES")</f>
        <v>San Juan de la Loma Torre 1 Apto 301 - Cra 19 No22 - 124 LAURELES</v>
      </c>
      <c r="G344" s="12" t="str">
        <f>IFERROR(__xludf.DUMMYFUNCTION("""COMPUTED_VALUE"""),"2017")</f>
        <v>2017</v>
      </c>
      <c r="H344" s="6" t="str">
        <f>IFERROR(__xludf.DUMMYFUNCTION("""COMPUTED_VALUE"""),"Octubre")</f>
        <v>Octubre</v>
      </c>
      <c r="I344" s="12" t="str">
        <f>IFERROR(__xludf.DUMMYFUNCTION("""COMPUTED_VALUE"""),"12")</f>
        <v>12</v>
      </c>
      <c r="J344" s="6" t="str">
        <f>IFERROR(__xludf.DUMMYFUNCTION("""COMPUTED_VALUE"""),"Armenia")</f>
        <v>Armenia</v>
      </c>
      <c r="K344" s="6" t="str">
        <f>IFERROR(__xludf.DUMMYFUNCTION("""COMPUTED_VALUE"""),"emilia.v2036@gi.edu.co")</f>
        <v>emilia.v2036@gi.edu.co</v>
      </c>
      <c r="L344" s="6" t="str">
        <f>IFERROR(__xludf.DUMMYFUNCTION("""COMPUTED_VALUE"""),"TI")</f>
        <v>TI</v>
      </c>
      <c r="M344" s="6" t="str">
        <f>IFERROR(__xludf.DUMMYFUNCTION("""COMPUTED_VALUE"""),"Armenia")</f>
        <v>Armenia</v>
      </c>
      <c r="N344" s="6" t="str">
        <f>IFERROR(__xludf.DUMMYFUNCTION("""COMPUTED_VALUE"""),"F")</f>
        <v>F</v>
      </c>
      <c r="O344" s="6" t="str">
        <f>IFERROR(__xludf.DUMMYFUNCTION("""COMPUTED_VALUE"""),"ACTIVE")</f>
        <v>ACTIVE</v>
      </c>
      <c r="P344" s="6"/>
      <c r="Q344" s="6" t="str">
        <f>IFERROR(__xludf.DUMMYFUNCTION("""COMPUTED_VALUE"""),"Armenia")</f>
        <v>Armenia</v>
      </c>
      <c r="R344" s="12" t="str">
        <f>IFERROR(__xludf.DUMMYFUNCTION("""COMPUTED_VALUE"""),"Gi6845j*")</f>
        <v>Gi6845j*</v>
      </c>
      <c r="S344" s="6" t="str">
        <f>IFERROR(__xludf.DUMMYFUNCTION("""COMPUTED_VALUE"""),"Vergara Echeverry Emilia ")</f>
        <v>Vergara Echeverry Emilia </v>
      </c>
      <c r="T344" s="6" t="str">
        <f>IFERROR(__xludf.DUMMYFUNCTION("""COMPUTED_VALUE"""),"HERNAN EMILIO VERGARA BARCENA")</f>
        <v>HERNAN EMILIO VERGARA BARCENA</v>
      </c>
      <c r="U344" s="12" t="str">
        <f>IFERROR(__xludf.DUMMYFUNCTION("""COMPUTED_VALUE"""),"14238491")</f>
        <v>14238491</v>
      </c>
      <c r="V344" s="6">
        <f>IFERROR(__xludf.DUMMYFUNCTION("""COMPUTED_VALUE"""),3.187070326E9)</f>
        <v>3187070326</v>
      </c>
      <c r="W344" s="6" t="str">
        <f>IFERROR(__xludf.DUMMYFUNCTION("""COMPUTED_VALUE"""),"hernanemiliovergarab@gmail.com")</f>
        <v>hernanemiliovergarab@gmail.com</v>
      </c>
      <c r="X344" s="12" t="str">
        <f>IFERROR(__xludf.DUMMYFUNCTION("""COMPUTED_VALUE"""),"A+")</f>
        <v>A+</v>
      </c>
      <c r="Y344" s="12" t="str">
        <f>IFERROR(__xludf.DUMMYFUNCTION("""COMPUTED_VALUE"""),"3")</f>
        <v>3</v>
      </c>
      <c r="Z344" s="12">
        <f>IFERROR(__xludf.DUMMYFUNCTION("""COMPUTED_VALUE"""),120295.0)</f>
        <v>120295</v>
      </c>
      <c r="AA344" s="6" t="str">
        <f>IFERROR(__xludf.DUMMYFUNCTION("""COMPUTED_VALUE"""),"SURA")</f>
        <v>SURA</v>
      </c>
      <c r="AB344" s="6"/>
      <c r="AC344" s="12" t="str">
        <f>IFERROR(__xludf.DUMMYFUNCTION("""COMPUTED_VALUE"""),"MEDICAMENTO ALEGRA- PROTEINA DEL HUEVO")</f>
        <v>MEDICAMENTO ALEGRA- PROTEINA DEL HUEVO</v>
      </c>
      <c r="AD344" s="6" t="str">
        <f>IFERROR(__xludf.DUMMYFUNCTION("""COMPUTED_VALUE"""),"3B")</f>
        <v>3B</v>
      </c>
      <c r="AE344" s="12">
        <f>IFERROR(__xludf.DUMMYFUNCTION("""COMPUTED_VALUE"""),1.345282288E9)</f>
        <v>1345282288</v>
      </c>
      <c r="AF344" s="12" t="str">
        <f>IFERROR(__xludf.DUMMYFUNCTION("""COMPUTED_VALUE"""),"0688613683")</f>
        <v>0688613683</v>
      </c>
      <c r="AG344" s="12" t="str">
        <f>IFERROR(__xludf.DUMMYFUNCTION("""COMPUTED_VALUE"""),"Angela")</f>
        <v>Angela</v>
      </c>
      <c r="AH344" s="12" t="str">
        <f>IFERROR(__xludf.DUMMYFUNCTION("""COMPUTED_VALUE"""),"Viviana")</f>
        <v>Viviana</v>
      </c>
      <c r="AI344" s="6" t="str">
        <f>IFERROR(__xludf.DUMMYFUNCTION("""COMPUTED_VALUE"""),"Echeverry Díaz")</f>
        <v>Echeverry Díaz</v>
      </c>
      <c r="AJ344" s="6" t="str">
        <f>IFERROR(__xludf.DUMMYFUNCTION("""COMPUTED_VALUE"""),"anyelaviviana03@hotmail.com")</f>
        <v>anyelaviviana03@hotmail.com</v>
      </c>
      <c r="AK344" s="6" t="str">
        <f>IFERROR(__xludf.DUMMYFUNCTION("""COMPUTED_VALUE"""),"TRABAJADORA SOCIAL")</f>
        <v>TRABAJADORA SOCIAL</v>
      </c>
      <c r="AL344" s="6" t="str">
        <f>IFERROR(__xludf.DUMMYFUNCTION("""COMPUTED_VALUE"""),"SENA")</f>
        <v>SENA</v>
      </c>
      <c r="AM344" s="12" t="str">
        <f>IFERROR(__xludf.DUMMYFUNCTION("""COMPUTED_VALUE"""),"41961808")</f>
        <v>41961808</v>
      </c>
      <c r="AN344" s="12" t="str">
        <f>IFERROR(__xludf.DUMMYFUNCTION("""COMPUTED_VALUE"""),"3147884779")</f>
        <v>3147884779</v>
      </c>
      <c r="AO344" s="6" t="str">
        <f>IFERROR(__xludf.DUMMYFUNCTION("""COMPUTED_VALUE"""),"Madre")</f>
        <v>Madre</v>
      </c>
      <c r="AP344" s="6" t="str">
        <f>IFERROR(__xludf.DUMMYFUNCTION("""COMPUTED_VALUE"""),"Estudiante(s): Vergara Echeverry")</f>
        <v>Estudiante(s): Vergara Echeverry</v>
      </c>
      <c r="AQ344" s="6" t="str">
        <f>IFERROR(__xludf.DUMMYFUNCTION("""COMPUTED_VALUE"""),"120295*Gi")</f>
        <v>120295*Gi</v>
      </c>
      <c r="AR344" s="6" t="str">
        <f>IFERROR(__xludf.DUMMYFUNCTION("""COMPUTED_VALUE"""),"Hernan")</f>
        <v>Hernan</v>
      </c>
      <c r="AS344" s="6" t="str">
        <f>IFERROR(__xludf.DUMMYFUNCTION("""COMPUTED_VALUE"""),"Emilio")</f>
        <v>Emilio</v>
      </c>
      <c r="AT344" s="6" t="str">
        <f>IFERROR(__xludf.DUMMYFUNCTION("""COMPUTED_VALUE"""),"Vergara Barcena")</f>
        <v>Vergara Barcena</v>
      </c>
      <c r="AU344" s="6" t="str">
        <f>IFERROR(__xludf.DUMMYFUNCTION("""COMPUTED_VALUE"""),"hernanemiliovergarab@gmail.com")</f>
        <v>hernanemiliovergarab@gmail.com</v>
      </c>
      <c r="AV344" s="6" t="str">
        <f>IFERROR(__xludf.DUMMYFUNCTION("""COMPUTED_VALUE"""),"ADMINISTRADOR DE EMPRESAS")</f>
        <v>ADMINISTRADOR DE EMPRESAS</v>
      </c>
      <c r="AW344" s="6" t="str">
        <f>IFERROR(__xludf.DUMMYFUNCTION("""COMPUTED_VALUE"""),"EL FORRAJE")</f>
        <v>EL FORRAJE</v>
      </c>
      <c r="AX344" s="12" t="str">
        <f>IFERROR(__xludf.DUMMYFUNCTION("""COMPUTED_VALUE"""),"14238491")</f>
        <v>14238491</v>
      </c>
      <c r="AY344" s="12" t="str">
        <f>IFERROR(__xludf.DUMMYFUNCTION("""COMPUTED_VALUE"""),"3187070326")</f>
        <v>3187070326</v>
      </c>
      <c r="AZ344" s="6" t="str">
        <f>IFERROR(__xludf.DUMMYFUNCTION("""COMPUTED_VALUE"""),"Padre")</f>
        <v>Padre</v>
      </c>
      <c r="BA344" s="6"/>
      <c r="BB344" s="6"/>
      <c r="BC344" s="6"/>
      <c r="BD344" s="12" t="str">
        <f>IFERROR(__xludf.DUMMYFUNCTION("""COMPUTED_VALUE"""),"ver0001")</f>
        <v>ver0001</v>
      </c>
      <c r="BE344" s="6"/>
      <c r="BF344" s="6"/>
      <c r="BG344" s="6">
        <f>IFERROR(__xludf.DUMMYFUNCTION("""COMPUTED_VALUE"""),2036.0)</f>
        <v>2036</v>
      </c>
      <c r="BH344" s="15">
        <f>IFERROR(__xludf.DUMMYFUNCTION("""COMPUTED_VALUE"""),46204.601435185185)</f>
        <v>46204.60144</v>
      </c>
      <c r="BI344" s="6">
        <f>IFERROR(__xludf.DUMMYFUNCTION("""COMPUTED_VALUE"""),344.0)</f>
        <v>344</v>
      </c>
      <c r="BJ344" s="6"/>
      <c r="BK344" s="6"/>
      <c r="BL344" s="6" t="str">
        <f>IFERROR(__xludf.DUMMYFUNCTION("""COMPUTED_VALUE"""),"GISVER0001")</f>
        <v>GISVER0001</v>
      </c>
      <c r="BM344" s="6"/>
      <c r="BN344" s="6"/>
      <c r="BO344" s="6"/>
      <c r="BP344" s="6" t="str">
        <f>IFERROR(__xludf.DUMMYFUNCTION("""COMPUTED_VALUE"""),"XC_EL_Futbol_F")</f>
        <v>XC_EL_Futbol_F</v>
      </c>
      <c r="BQ344" s="6"/>
      <c r="BR344" s="6"/>
      <c r="BS344" s="6" t="str">
        <f>IFERROR(__xludf.DUMMYFUNCTION("""COMPUTED_VALUE"""),"XC_EL_Futbol_F")</f>
        <v>XC_EL_Futbol_F</v>
      </c>
      <c r="BT344" s="6" t="str">
        <f>IFERROR(__xludf.DUMMYFUNCTION("""COMPUTED_VALUE"""),"XC_EL_Futbol_F")</f>
        <v>XC_EL_Futbol_F</v>
      </c>
      <c r="BU344" s="6" t="str">
        <f>IFERROR(__xludf.DUMMYFUNCTION("""COMPUTED_VALUE"""),"SI")</f>
        <v>SI</v>
      </c>
      <c r="BV344" s="6" t="str">
        <f>IFERROR(__xludf.DUMMYFUNCTION("""COMPUTED_VALUE"""),"emilia.v2036")</f>
        <v>emilia.v2036</v>
      </c>
      <c r="BW344" s="6"/>
      <c r="BX344" s="6"/>
      <c r="BY344" s="6"/>
      <c r="B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 t="str">
        <f>IFERROR(__xludf.DUMMYFUNCTION("""COMPUTED_VALUE"""),"Madre")</f>
        <v>Madre</v>
      </c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 t="str">
        <f>IFERROR(__xludf.DUMMYFUNCTION("""COMPUTED_VALUE"""),"Padre")</f>
        <v>Padre</v>
      </c>
      <c r="BA345" s="6"/>
      <c r="BB345" s="6"/>
      <c r="BC345" s="6"/>
      <c r="BD345" s="6"/>
      <c r="BE345" s="6"/>
      <c r="BF345" s="6"/>
      <c r="BG345" s="6"/>
      <c r="BH345" s="6"/>
      <c r="BI345" s="6">
        <f>IFERROR(__xludf.DUMMYFUNCTION("""COMPUTED_VALUE"""),345.0)</f>
        <v>345</v>
      </c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  <c r="BY345" s="6"/>
      <c r="BZ345" s="6"/>
    </row>
    <row r="346">
      <c r="A346" s="12">
        <f>IFERROR(__xludf.DUMMYFUNCTION("""COMPUTED_VALUE"""),1.091888432E9)</f>
        <v>1091888432</v>
      </c>
      <c r="B346" s="6">
        <f>IFERROR(__xludf.DUMMYFUNCTION("""COMPUTED_VALUE"""),1.0)</f>
        <v>1</v>
      </c>
      <c r="C346" s="6" t="str">
        <f>IFERROR(__xludf.DUMMYFUNCTION("""COMPUTED_VALUE"""),"Pedro")</f>
        <v>Pedro</v>
      </c>
      <c r="D346" s="6"/>
      <c r="E346" s="6" t="str">
        <f>IFERROR(__xludf.DUMMYFUNCTION("""COMPUTED_VALUE"""),"Botero Cortés")</f>
        <v>Botero Cortés</v>
      </c>
      <c r="F346" s="6" t="str">
        <f>IFERROR(__xludf.DUMMYFUNCTION("""COMPUTED_VALUE"""),"Conjunto Las Colinas Casa 5 - Km 5 Via Armenia Pereira")</f>
        <v>Conjunto Las Colinas Casa 5 - Km 5 Via Armenia Pereira</v>
      </c>
      <c r="G346" s="12" t="str">
        <f>IFERROR(__xludf.DUMMYFUNCTION("""COMPUTED_VALUE"""),"2017")</f>
        <v>2017</v>
      </c>
      <c r="H346" s="6" t="str">
        <f>IFERROR(__xludf.DUMMYFUNCTION("""COMPUTED_VALUE"""),"Abril")</f>
        <v>Abril</v>
      </c>
      <c r="I346" s="12" t="str">
        <f>IFERROR(__xludf.DUMMYFUNCTION("""COMPUTED_VALUE"""),"9")</f>
        <v>9</v>
      </c>
      <c r="J346" s="6" t="str">
        <f>IFERROR(__xludf.DUMMYFUNCTION("""COMPUTED_VALUE"""),"Armenia")</f>
        <v>Armenia</v>
      </c>
      <c r="K346" s="6" t="str">
        <f>IFERROR(__xludf.DUMMYFUNCTION("""COMPUTED_VALUE"""),"pedro.b2035@gi.edu.co")</f>
        <v>pedro.b2035@gi.edu.co</v>
      </c>
      <c r="L346" s="6" t="str">
        <f>IFERROR(__xludf.DUMMYFUNCTION("""COMPUTED_VALUE"""),"TI")</f>
        <v>TI</v>
      </c>
      <c r="M346" s="6" t="str">
        <f>IFERROR(__xludf.DUMMYFUNCTION("""COMPUTED_VALUE"""),"Armenia")</f>
        <v>Armenia</v>
      </c>
      <c r="N346" s="6" t="str">
        <f>IFERROR(__xludf.DUMMYFUNCTION("""COMPUTED_VALUE"""),"M")</f>
        <v>M</v>
      </c>
      <c r="O346" s="6" t="str">
        <f>IFERROR(__xludf.DUMMYFUNCTION("""COMPUTED_VALUE"""),"INACTIVE")</f>
        <v>INACTIVE</v>
      </c>
      <c r="P346" s="6"/>
      <c r="Q346" s="6" t="str">
        <f>IFERROR(__xludf.DUMMYFUNCTION("""COMPUTED_VALUE"""),"Circasia")</f>
        <v>Circasia</v>
      </c>
      <c r="R346" s="12" t="str">
        <f>IFERROR(__xludf.DUMMYFUNCTION("""COMPUTED_VALUE"""),"Gi3907pb*")</f>
        <v>Gi3907pb*</v>
      </c>
      <c r="S346" s="6" t="str">
        <f>IFERROR(__xludf.DUMMYFUNCTION("""COMPUTED_VALUE"""),"Botero Cortés Pedro ")</f>
        <v>Botero Cortés Pedro </v>
      </c>
      <c r="T346" s="6" t="str">
        <f>IFERROR(__xludf.DUMMYFUNCTION("""COMPUTED_VALUE"""),"LUISA FERNANDA CORTÉS GÓMEZ")</f>
        <v>LUISA FERNANDA CORTÉS GÓMEZ</v>
      </c>
      <c r="U346" s="12" t="str">
        <f>IFERROR(__xludf.DUMMYFUNCTION("""COMPUTED_VALUE"""),"24606246")</f>
        <v>24606246</v>
      </c>
      <c r="V346" s="6">
        <f>IFERROR(__xludf.DUMMYFUNCTION("""COMPUTED_VALUE"""),3.173754718E9)</f>
        <v>3173754718</v>
      </c>
      <c r="W346" s="6" t="str">
        <f>IFERROR(__xludf.DUMMYFUNCTION("""COMPUTED_VALUE"""),"luisac3@hotmail.com")</f>
        <v>luisac3@hotmail.com</v>
      </c>
      <c r="X346" s="12" t="str">
        <f>IFERROR(__xludf.DUMMYFUNCTION("""COMPUTED_VALUE"""),"O+")</f>
        <v>O+</v>
      </c>
      <c r="Y346" s="12" t="str">
        <f>IFERROR(__xludf.DUMMYFUNCTION("""COMPUTED_VALUE"""),"4")</f>
        <v>4</v>
      </c>
      <c r="Z346" s="12">
        <f>IFERROR(__xludf.DUMMYFUNCTION("""COMPUTED_VALUE"""),103907.0)</f>
        <v>103907</v>
      </c>
      <c r="AA346" s="6" t="str">
        <f>IFERROR(__xludf.DUMMYFUNCTION("""COMPUTED_VALUE"""),"SURA")</f>
        <v>SURA</v>
      </c>
      <c r="AB346" s="6"/>
      <c r="AC346" s="6"/>
      <c r="AD346" s="12" t="str">
        <f>IFERROR(__xludf.DUMMYFUNCTION("""COMPUTED_VALUE"""),"4A")</f>
        <v>4A</v>
      </c>
      <c r="AE346" s="12">
        <f>IFERROR(__xludf.DUMMYFUNCTION("""COMPUTED_VALUE"""),1.345281963E9)</f>
        <v>1345281963</v>
      </c>
      <c r="AF346" s="12" t="str">
        <f>IFERROR(__xludf.DUMMYFUNCTION("""COMPUTED_VALUE"""),"0695877539")</f>
        <v>0695877539</v>
      </c>
      <c r="AG346" s="12" t="str">
        <f>IFERROR(__xludf.DUMMYFUNCTION("""COMPUTED_VALUE"""),"Luisa")</f>
        <v>Luisa</v>
      </c>
      <c r="AH346" s="12" t="str">
        <f>IFERROR(__xludf.DUMMYFUNCTION("""COMPUTED_VALUE"""),"Fernanda")</f>
        <v>Fernanda</v>
      </c>
      <c r="AI346" s="6" t="str">
        <f>IFERROR(__xludf.DUMMYFUNCTION("""COMPUTED_VALUE"""),"Cortés Gómez")</f>
        <v>Cortés Gómez</v>
      </c>
      <c r="AJ346" s="6" t="str">
        <f>IFERROR(__xludf.DUMMYFUNCTION("""COMPUTED_VALUE"""),"luisac3@hotmail.com")</f>
        <v>luisac3@hotmail.com</v>
      </c>
      <c r="AK346" s="6" t="str">
        <f>IFERROR(__xludf.DUMMYFUNCTION("""COMPUTED_VALUE"""),"Administradora de Negocios")</f>
        <v>Administradora de Negocios</v>
      </c>
      <c r="AL346" s="6" t="str">
        <f>IFERROR(__xludf.DUMMYFUNCTION("""COMPUTED_VALUE"""),"LA FABRICA DE INSTANTES")</f>
        <v>LA FABRICA DE INSTANTES</v>
      </c>
      <c r="AM346" s="12" t="str">
        <f>IFERROR(__xludf.DUMMYFUNCTION("""COMPUTED_VALUE"""),"24606246")</f>
        <v>24606246</v>
      </c>
      <c r="AN346" s="12" t="str">
        <f>IFERROR(__xludf.DUMMYFUNCTION("""COMPUTED_VALUE"""),"3173754718")</f>
        <v>3173754718</v>
      </c>
      <c r="AO346" s="6" t="str">
        <f>IFERROR(__xludf.DUMMYFUNCTION("""COMPUTED_VALUE"""),"Madre")</f>
        <v>Madre</v>
      </c>
      <c r="AP346" s="6" t="str">
        <f>IFERROR(__xludf.DUMMYFUNCTION("""COMPUTED_VALUE"""),"Estudiante(s): Botero Cortés")</f>
        <v>Estudiante(s): Botero Cortés</v>
      </c>
      <c r="AQ346" s="6" t="str">
        <f>IFERROR(__xludf.DUMMYFUNCTION("""COMPUTED_VALUE"""),"103352*Gi")</f>
        <v>103352*Gi</v>
      </c>
      <c r="AR346" s="6" t="str">
        <f>IFERROR(__xludf.DUMMYFUNCTION("""COMPUTED_VALUE"""),"Alberto")</f>
        <v>Alberto</v>
      </c>
      <c r="AS346" s="6"/>
      <c r="AT346" s="6" t="str">
        <f>IFERROR(__xludf.DUMMYFUNCTION("""COMPUTED_VALUE"""),"Botero Páez")</f>
        <v>Botero Páez</v>
      </c>
      <c r="AU346" s="6" t="str">
        <f>IFERROR(__xludf.DUMMYFUNCTION("""COMPUTED_VALUE"""),"albertoboterop@hotmail.com")</f>
        <v>albertoboterop@hotmail.com</v>
      </c>
      <c r="AV346" s="6" t="str">
        <f>IFERROR(__xludf.DUMMYFUNCTION("""COMPUTED_VALUE"""),"zootecnista")</f>
        <v>zootecnista</v>
      </c>
      <c r="AW346" s="6" t="str">
        <f>IFERROR(__xludf.DUMMYFUNCTION("""COMPUTED_VALUE"""),"FINCA TRES PALITOS")</f>
        <v>FINCA TRES PALITOS</v>
      </c>
      <c r="AX346" s="12" t="str">
        <f>IFERROR(__xludf.DUMMYFUNCTION("""COMPUTED_VALUE"""),"9730245")</f>
        <v>9730245</v>
      </c>
      <c r="AY346" s="12" t="str">
        <f>IFERROR(__xludf.DUMMYFUNCTION("""COMPUTED_VALUE"""),"3168325780")</f>
        <v>3168325780</v>
      </c>
      <c r="AZ346" s="6" t="str">
        <f>IFERROR(__xludf.DUMMYFUNCTION("""COMPUTED_VALUE"""),"Padre")</f>
        <v>Padre</v>
      </c>
      <c r="BA346" s="6"/>
      <c r="BB346" s="6"/>
      <c r="BC346" s="6"/>
      <c r="BD346" s="12" t="str">
        <f>IFERROR(__xludf.DUMMYFUNCTION("""COMPUTED_VALUE"""),"bot0014")</f>
        <v>bot0014</v>
      </c>
      <c r="BE346" s="6" t="str">
        <f>IFERROR(__xludf.DUMMYFUNCTION("""COMPUTED_VALUE"""),"FALTAN FIRMAS")</f>
        <v>FALTAN FIRMAS</v>
      </c>
      <c r="BF346" s="6"/>
      <c r="BG346" s="6">
        <f>IFERROR(__xludf.DUMMYFUNCTION("""COMPUTED_VALUE"""),2035.0)</f>
        <v>2035</v>
      </c>
      <c r="BH346" s="15">
        <f>IFERROR(__xludf.DUMMYFUNCTION("""COMPUTED_VALUE"""),46211.59103009259)</f>
        <v>46211.59103</v>
      </c>
      <c r="BI346" s="6">
        <f>IFERROR(__xludf.DUMMYFUNCTION("""COMPUTED_VALUE"""),346.0)</f>
        <v>346</v>
      </c>
      <c r="BJ346" s="6"/>
      <c r="BK346" s="6"/>
      <c r="BL346" s="6" t="str">
        <f>IFERROR(__xludf.DUMMYFUNCTION("""COMPUTED_VALUE"""),"GISBOT0014")</f>
        <v>GISBOT0014</v>
      </c>
      <c r="BM346" s="6"/>
      <c r="BN346" s="6"/>
      <c r="BO346" s="6"/>
      <c r="BP346" s="6" t="str">
        <f>IFERROR(__xludf.DUMMYFUNCTION("""COMPUTED_VALUE"""),"XC_4_Futbol_M")</f>
        <v>XC_4_Futbol_M</v>
      </c>
      <c r="BQ346" s="6"/>
      <c r="BR346" s="6"/>
      <c r="BS346" s="6" t="str">
        <f>IFERROR(__xludf.DUMMYFUNCTION("""COMPUTED_VALUE"""),"XC_4_Futbol_M")</f>
        <v>XC_4_Futbol_M</v>
      </c>
      <c r="BT346" s="6" t="str">
        <f>IFERROR(__xludf.DUMMYFUNCTION("""COMPUTED_VALUE"""),"XC_4_Futbol_M")</f>
        <v>XC_4_Futbol_M</v>
      </c>
      <c r="BU346" s="6" t="str">
        <f>IFERROR(__xludf.DUMMYFUNCTION("""COMPUTED_VALUE"""),"SI")</f>
        <v>SI</v>
      </c>
      <c r="BV346" s="6" t="str">
        <f>IFERROR(__xludf.DUMMYFUNCTION("""COMPUTED_VALUE"""),"pedro.b2035")</f>
        <v>pedro.b2035</v>
      </c>
      <c r="BW346" s="6"/>
      <c r="BX346" s="6"/>
      <c r="BY346" s="6"/>
      <c r="BZ346" s="6"/>
    </row>
    <row r="347">
      <c r="A347" s="12">
        <f>IFERROR(__xludf.DUMMYFUNCTION("""COMPUTED_VALUE"""),1.038141852E9)</f>
        <v>1038141852</v>
      </c>
      <c r="B347" s="6">
        <f>IFERROR(__xludf.DUMMYFUNCTION("""COMPUTED_VALUE"""),2.0)</f>
        <v>2</v>
      </c>
      <c r="C347" s="6" t="str">
        <f>IFERROR(__xludf.DUMMYFUNCTION("""COMPUTED_VALUE"""),"Abigail")</f>
        <v>Abigail</v>
      </c>
      <c r="D347" s="6"/>
      <c r="E347" s="6" t="str">
        <f>IFERROR(__xludf.DUMMYFUNCTION("""COMPUTED_VALUE"""),"Castañeda Escorcia")</f>
        <v>Castañeda Escorcia</v>
      </c>
      <c r="F347" s="6" t="str">
        <f>IFERROR(__xludf.DUMMYFUNCTION("""COMPUTED_VALUE"""),"Hacienda Cortijo Imperial Parque Residencial Los Cedros Torre 1 Apto 1301 - Calle 49Nte No14 - 09")</f>
        <v>Hacienda Cortijo Imperial Parque Residencial Los Cedros Torre 1 Apto 1301 - Calle 49Nte No14 - 09</v>
      </c>
      <c r="G347" s="12" t="str">
        <f>IFERROR(__xludf.DUMMYFUNCTION("""COMPUTED_VALUE"""),"2017")</f>
        <v>2017</v>
      </c>
      <c r="H347" s="6" t="str">
        <f>IFERROR(__xludf.DUMMYFUNCTION("""COMPUTED_VALUE"""),"Noviembre")</f>
        <v>Noviembre</v>
      </c>
      <c r="I347" s="12" t="str">
        <f>IFERROR(__xludf.DUMMYFUNCTION("""COMPUTED_VALUE"""),"29")</f>
        <v>29</v>
      </c>
      <c r="J347" s="6" t="str">
        <f>IFERROR(__xludf.DUMMYFUNCTION("""COMPUTED_VALUE"""),"Caucasia")</f>
        <v>Caucasia</v>
      </c>
      <c r="K347" s="6" t="str">
        <f>IFERROR(__xludf.DUMMYFUNCTION("""COMPUTED_VALUE"""),"abigail.c2035@gi.edu.co")</f>
        <v>abigail.c2035@gi.edu.co</v>
      </c>
      <c r="L347" s="6" t="str">
        <f>IFERROR(__xludf.DUMMYFUNCTION("""COMPUTED_VALUE"""),"TI")</f>
        <v>TI</v>
      </c>
      <c r="M347" s="6" t="str">
        <f>IFERROR(__xludf.DUMMYFUNCTION("""COMPUTED_VALUE"""),"Armenia")</f>
        <v>Armenia</v>
      </c>
      <c r="N347" s="6" t="str">
        <f>IFERROR(__xludf.DUMMYFUNCTION("""COMPUTED_VALUE"""),"F")</f>
        <v>F</v>
      </c>
      <c r="O347" s="6" t="str">
        <f>IFERROR(__xludf.DUMMYFUNCTION("""COMPUTED_VALUE"""),"ACTIVE")</f>
        <v>ACTIVE</v>
      </c>
      <c r="P347" s="6"/>
      <c r="Q347" s="6" t="str">
        <f>IFERROR(__xludf.DUMMYFUNCTION("""COMPUTED_VALUE"""),"Armenia")</f>
        <v>Armenia</v>
      </c>
      <c r="R347" s="12" t="str">
        <f>IFERROR(__xludf.DUMMYFUNCTION("""COMPUTED_VALUE"""),"Gi379t52r*")</f>
        <v>Gi379t52r*</v>
      </c>
      <c r="S347" s="6" t="str">
        <f>IFERROR(__xludf.DUMMYFUNCTION("""COMPUTED_VALUE"""),"Castañeda Escorcia Abigail ")</f>
        <v>Castañeda Escorcia Abigail </v>
      </c>
      <c r="T347" s="6" t="str">
        <f>IFERROR(__xludf.DUMMYFUNCTION("""COMPUTED_VALUE"""),"JUAN CARLOS CASTANEDA OJEDA")</f>
        <v>JUAN CARLOS CASTANEDA OJEDA</v>
      </c>
      <c r="U347" s="12" t="str">
        <f>IFERROR(__xludf.DUMMYFUNCTION("""COMPUTED_VALUE"""),"79419344")</f>
        <v>79419344</v>
      </c>
      <c r="V347" s="6">
        <f>IFERROR(__xludf.DUMMYFUNCTION("""COMPUTED_VALUE"""),3.165820065E9)</f>
        <v>3165820065</v>
      </c>
      <c r="W347" s="6" t="str">
        <f>IFERROR(__xludf.DUMMYFUNCTION("""COMPUTED_VALUE"""),"juankk34@gmail.com")</f>
        <v>juankk34@gmail.com</v>
      </c>
      <c r="X347" s="12" t="str">
        <f>IFERROR(__xludf.DUMMYFUNCTION("""COMPUTED_VALUE"""),"O+")</f>
        <v>O+</v>
      </c>
      <c r="Y347" s="12" t="str">
        <f>IFERROR(__xludf.DUMMYFUNCTION("""COMPUTED_VALUE"""),"4")</f>
        <v>4</v>
      </c>
      <c r="Z347" s="12">
        <f>IFERROR(__xludf.DUMMYFUNCTION("""COMPUTED_VALUE"""),120107.0)</f>
        <v>120107</v>
      </c>
      <c r="AA347" s="6" t="str">
        <f>IFERROR(__xludf.DUMMYFUNCTION("""COMPUTED_VALUE"""),"SURA")</f>
        <v>SURA</v>
      </c>
      <c r="AB347" s="6"/>
      <c r="AC347" s="12" t="str">
        <f>IFERROR(__xludf.DUMMYFUNCTION("""COMPUTED_VALUE"""),"Polvo, renitis")</f>
        <v>Polvo, renitis</v>
      </c>
      <c r="AD347" s="12" t="str">
        <f>IFERROR(__xludf.DUMMYFUNCTION("""COMPUTED_VALUE"""),"4A")</f>
        <v>4A</v>
      </c>
      <c r="AE347" s="12">
        <f>IFERROR(__xludf.DUMMYFUNCTION("""COMPUTED_VALUE"""),1.345282116E9)</f>
        <v>1345282116</v>
      </c>
      <c r="AF347" s="12" t="str">
        <f>IFERROR(__xludf.DUMMYFUNCTION("""COMPUTED_VALUE"""),"0705309667")</f>
        <v>0705309667</v>
      </c>
      <c r="AG347" s="12" t="str">
        <f>IFERROR(__xludf.DUMMYFUNCTION("""COMPUTED_VALUE"""),"Lorena")</f>
        <v>Lorena</v>
      </c>
      <c r="AH347" s="6"/>
      <c r="AI347" s="6" t="str">
        <f>IFERROR(__xludf.DUMMYFUNCTION("""COMPUTED_VALUE"""),"Escorcia Pérez")</f>
        <v>Escorcia Pérez</v>
      </c>
      <c r="AJ347" s="6" t="str">
        <f>IFERROR(__xludf.DUMMYFUNCTION("""COMPUTED_VALUE"""),"loreescorcia2017@gmail.com")</f>
        <v>loreescorcia2017@gmail.com</v>
      </c>
      <c r="AK347" s="6" t="str">
        <f>IFERROR(__xludf.DUMMYFUNCTION("""COMPUTED_VALUE"""),"Contador Público")</f>
        <v>Contador Público</v>
      </c>
      <c r="AL347" s="6" t="str">
        <f>IFERROR(__xludf.DUMMYFUNCTION("""COMPUTED_VALUE"""),"Independiente")</f>
        <v>Independiente</v>
      </c>
      <c r="AM347" s="12" t="str">
        <f>IFERROR(__xludf.DUMMYFUNCTION("""COMPUTED_VALUE"""),"1036617880")</f>
        <v>1036617880</v>
      </c>
      <c r="AN347" s="12" t="str">
        <f>IFERROR(__xludf.DUMMYFUNCTION("""COMPUTED_VALUE"""),"3104369628")</f>
        <v>3104369628</v>
      </c>
      <c r="AO347" s="6" t="str">
        <f>IFERROR(__xludf.DUMMYFUNCTION("""COMPUTED_VALUE"""),"Madre")</f>
        <v>Madre</v>
      </c>
      <c r="AP347" s="6" t="str">
        <f>IFERROR(__xludf.DUMMYFUNCTION("""COMPUTED_VALUE"""),"Estudiante(s): Castañeda Escorcia")</f>
        <v>Estudiante(s): Castañeda Escorcia</v>
      </c>
      <c r="AQ347" s="6" t="str">
        <f>IFERROR(__xludf.DUMMYFUNCTION("""COMPUTED_VALUE"""),"120107*Gi")</f>
        <v>120107*Gi</v>
      </c>
      <c r="AR347" s="6" t="str">
        <f>IFERROR(__xludf.DUMMYFUNCTION("""COMPUTED_VALUE"""),"Juan")</f>
        <v>Juan</v>
      </c>
      <c r="AS347" s="6" t="str">
        <f>IFERROR(__xludf.DUMMYFUNCTION("""COMPUTED_VALUE"""),"Carlos")</f>
        <v>Carlos</v>
      </c>
      <c r="AT347" s="6" t="str">
        <f>IFERROR(__xludf.DUMMYFUNCTION("""COMPUTED_VALUE"""),"Castañeda Ojeda")</f>
        <v>Castañeda Ojeda</v>
      </c>
      <c r="AU347" s="6" t="str">
        <f>IFERROR(__xludf.DUMMYFUNCTION("""COMPUTED_VALUE"""),"juankk34@gmail.com")</f>
        <v>juankk34@gmail.com</v>
      </c>
      <c r="AV347" s="6" t="str">
        <f>IFERROR(__xludf.DUMMYFUNCTION("""COMPUTED_VALUE"""),"Ingeniero")</f>
        <v>Ingeniero</v>
      </c>
      <c r="AW347" s="6" t="str">
        <f>IFERROR(__xludf.DUMMYFUNCTION("""COMPUTED_VALUE"""),"HOCOL S.A")</f>
        <v>HOCOL S.A</v>
      </c>
      <c r="AX347" s="12" t="str">
        <f>IFERROR(__xludf.DUMMYFUNCTION("""COMPUTED_VALUE"""),"79419344")</f>
        <v>79419344</v>
      </c>
      <c r="AY347" s="12" t="str">
        <f>IFERROR(__xludf.DUMMYFUNCTION("""COMPUTED_VALUE"""),"3165820065")</f>
        <v>3165820065</v>
      </c>
      <c r="AZ347" s="6" t="str">
        <f>IFERROR(__xludf.DUMMYFUNCTION("""COMPUTED_VALUE"""),"Padre")</f>
        <v>Padre</v>
      </c>
      <c r="BA347" s="6"/>
      <c r="BB347" s="6"/>
      <c r="BC347" s="6"/>
      <c r="BD347" s="12" t="str">
        <f>IFERROR(__xludf.DUMMYFUNCTION("""COMPUTED_VALUE"""),"oso0003")</f>
        <v>oso0003</v>
      </c>
      <c r="BE347" s="6"/>
      <c r="BF347" s="6"/>
      <c r="BG347" s="6">
        <f>IFERROR(__xludf.DUMMYFUNCTION("""COMPUTED_VALUE"""),2035.0)</f>
        <v>2035</v>
      </c>
      <c r="BH347" s="15">
        <f>IFERROR(__xludf.DUMMYFUNCTION("""COMPUTED_VALUE"""),46212.438113425924)</f>
        <v>46212.43811</v>
      </c>
      <c r="BI347" s="6">
        <f>IFERROR(__xludf.DUMMYFUNCTION("""COMPUTED_VALUE"""),347.0)</f>
        <v>347</v>
      </c>
      <c r="BJ347" s="6"/>
      <c r="BK347" s="6"/>
      <c r="BL347" s="6" t="str">
        <f>IFERROR(__xludf.DUMMYFUNCTION("""COMPUTED_VALUE"""),"GISOSO0003")</f>
        <v>GISOSO0003</v>
      </c>
      <c r="BM347" s="6"/>
      <c r="BN347" s="6"/>
      <c r="BO347" s="6" t="str">
        <f>IFERROR(__xludf.DUMMYFUNCTION("""COMPUTED_VALUE"""),"XC_45_OlympMath")</f>
        <v>XC_45_OlympMath</v>
      </c>
      <c r="BP347" s="6" t="str">
        <f>IFERROR(__xludf.DUMMYFUNCTION("""COMPUTED_VALUE"""),"XC_45_Voleibol")</f>
        <v>XC_45_Voleibol</v>
      </c>
      <c r="BQ347" s="6"/>
      <c r="BR347" s="6"/>
      <c r="BS347" s="6" t="str">
        <f>IFERROR(__xludf.DUMMYFUNCTION("""COMPUTED_VALUE"""),"XC_45_Voleibol")</f>
        <v>XC_45_Voleibol</v>
      </c>
      <c r="BT347" s="6" t="str">
        <f>IFERROR(__xludf.DUMMYFUNCTION("""COMPUTED_VALUE"""),"XC_45_Voleibol")</f>
        <v>XC_45_Voleibol</v>
      </c>
      <c r="BU347" s="6" t="str">
        <f>IFERROR(__xludf.DUMMYFUNCTION("""COMPUTED_VALUE"""),"SI")</f>
        <v>SI</v>
      </c>
      <c r="BV347" s="6" t="str">
        <f>IFERROR(__xludf.DUMMYFUNCTION("""COMPUTED_VALUE"""),"abigail.c2035")</f>
        <v>abigail.c2035</v>
      </c>
      <c r="BW347" s="6"/>
      <c r="BX347" s="6"/>
      <c r="BY347" s="6"/>
      <c r="BZ347" s="6"/>
    </row>
    <row r="348">
      <c r="A348" s="12">
        <f>IFERROR(__xludf.DUMMYFUNCTION("""COMPUTED_VALUE"""),1.109561819E9)</f>
        <v>1109561819</v>
      </c>
      <c r="B348" s="6">
        <f>IFERROR(__xludf.DUMMYFUNCTION("""COMPUTED_VALUE"""),3.0)</f>
        <v>3</v>
      </c>
      <c r="C348" s="6" t="str">
        <f>IFERROR(__xludf.DUMMYFUNCTION("""COMPUTED_VALUE"""),"Jerónimo")</f>
        <v>Jerónimo</v>
      </c>
      <c r="D348" s="6"/>
      <c r="E348" s="6" t="str">
        <f>IFERROR(__xludf.DUMMYFUNCTION("""COMPUTED_VALUE"""),"Escobar Giraldo")</f>
        <v>Escobar Giraldo</v>
      </c>
      <c r="F348" s="6" t="str">
        <f>IFERROR(__xludf.DUMMYFUNCTION("""COMPUTED_VALUE"""),"Condominio Hacienda Horizontes Casa 52 - Km 3 Via Circasia Vereda la Florida")</f>
        <v>Condominio Hacienda Horizontes Casa 52 - Km 3 Via Circasia Vereda la Florida</v>
      </c>
      <c r="G348" s="12" t="str">
        <f>IFERROR(__xludf.DUMMYFUNCTION("""COMPUTED_VALUE"""),"2016")</f>
        <v>2016</v>
      </c>
      <c r="H348" s="6" t="str">
        <f>IFERROR(__xludf.DUMMYFUNCTION("""COMPUTED_VALUE"""),"Diciembre")</f>
        <v>Diciembre</v>
      </c>
      <c r="I348" s="12" t="str">
        <f>IFERROR(__xludf.DUMMYFUNCTION("""COMPUTED_VALUE"""),"1")</f>
        <v>1</v>
      </c>
      <c r="J348" s="6" t="str">
        <f>IFERROR(__xludf.DUMMYFUNCTION("""COMPUTED_VALUE"""),"Cali")</f>
        <v>Cali</v>
      </c>
      <c r="K348" s="6" t="str">
        <f>IFERROR(__xludf.DUMMYFUNCTION("""COMPUTED_VALUE"""),"jeronimo.e2035@gi.edu.co")</f>
        <v>jeronimo.e2035@gi.edu.co</v>
      </c>
      <c r="L348" s="6" t="str">
        <f>IFERROR(__xludf.DUMMYFUNCTION("""COMPUTED_VALUE"""),"TI")</f>
        <v>TI</v>
      </c>
      <c r="M348" s="6" t="str">
        <f>IFERROR(__xludf.DUMMYFUNCTION("""COMPUTED_VALUE"""),"Armenia")</f>
        <v>Armenia</v>
      </c>
      <c r="N348" s="6" t="str">
        <f>IFERROR(__xludf.DUMMYFUNCTION("""COMPUTED_VALUE"""),"M")</f>
        <v>M</v>
      </c>
      <c r="O348" s="6" t="str">
        <f>IFERROR(__xludf.DUMMYFUNCTION("""COMPUTED_VALUE"""),"ACTIVE")</f>
        <v>ACTIVE</v>
      </c>
      <c r="P348" s="6"/>
      <c r="Q348" s="6" t="str">
        <f>IFERROR(__xludf.DUMMYFUNCTION("""COMPUTED_VALUE"""),"Armenia")</f>
        <v>Armenia</v>
      </c>
      <c r="R348" s="12" t="str">
        <f>IFERROR(__xludf.DUMMYFUNCTION("""COMPUTED_VALUE"""),"Gi3897j2*")</f>
        <v>Gi3897j2*</v>
      </c>
      <c r="S348" s="6" t="str">
        <f>IFERROR(__xludf.DUMMYFUNCTION("""COMPUTED_VALUE"""),"Escobar Giraldo Jerónimo ")</f>
        <v>Escobar Giraldo Jerónimo </v>
      </c>
      <c r="T348" s="6" t="str">
        <f>IFERROR(__xludf.DUMMYFUNCTION("""COMPUTED_VALUE"""),"MARIA JOSE GIRALDO GIRALDO")</f>
        <v>MARIA JOSE GIRALDO GIRALDO</v>
      </c>
      <c r="U348" s="12" t="str">
        <f>IFERROR(__xludf.DUMMYFUNCTION("""COMPUTED_VALUE"""),"1130682681")</f>
        <v>1130682681</v>
      </c>
      <c r="V348" s="6">
        <f>IFERROR(__xludf.DUMMYFUNCTION("""COMPUTED_VALUE"""),3.005433546E9)</f>
        <v>3005433546</v>
      </c>
      <c r="W348" s="6" t="str">
        <f>IFERROR(__xludf.DUMMYFUNCTION("""COMPUTED_VALUE"""),"giraldogmajo@gmail.com")</f>
        <v>giraldogmajo@gmail.com</v>
      </c>
      <c r="X348" s="12" t="str">
        <f>IFERROR(__xludf.DUMMYFUNCTION("""COMPUTED_VALUE"""),"A+")</f>
        <v>A+</v>
      </c>
      <c r="Y348" s="12" t="str">
        <f>IFERROR(__xludf.DUMMYFUNCTION("""COMPUTED_VALUE"""),"4")</f>
        <v>4</v>
      </c>
      <c r="Z348" s="12">
        <f>IFERROR(__xludf.DUMMYFUNCTION("""COMPUTED_VALUE"""),103897.0)</f>
        <v>103897</v>
      </c>
      <c r="AA348" s="6" t="str">
        <f>IFERROR(__xludf.DUMMYFUNCTION("""COMPUTED_VALUE"""),"SALUD TOTAL")</f>
        <v>SALUD TOTAL</v>
      </c>
      <c r="AB348" s="6" t="str">
        <f>IFERROR(__xludf.DUMMYFUNCTION("""COMPUTED_VALUE"""),"AXA colpatria - Humanizar")</f>
        <v>AXA colpatria - Humanizar</v>
      </c>
      <c r="AC348" s="6"/>
      <c r="AD348" s="12" t="str">
        <f>IFERROR(__xludf.DUMMYFUNCTION("""COMPUTED_VALUE"""),"4A")</f>
        <v>4A</v>
      </c>
      <c r="AE348" s="12">
        <f>IFERROR(__xludf.DUMMYFUNCTION("""COMPUTED_VALUE"""),1.345281918E9)</f>
        <v>1345281918</v>
      </c>
      <c r="AF348" s="12" t="str">
        <f>IFERROR(__xludf.DUMMYFUNCTION("""COMPUTED_VALUE"""),"0687051187")</f>
        <v>0687051187</v>
      </c>
      <c r="AG348" s="12" t="str">
        <f>IFERROR(__xludf.DUMMYFUNCTION("""COMPUTED_VALUE"""),"Maria")</f>
        <v>Maria</v>
      </c>
      <c r="AH348" s="12" t="str">
        <f>IFERROR(__xludf.DUMMYFUNCTION("""COMPUTED_VALUE"""),"Jose")</f>
        <v>Jose</v>
      </c>
      <c r="AI348" s="6" t="str">
        <f>IFERROR(__xludf.DUMMYFUNCTION("""COMPUTED_VALUE"""),"Giraldo Giraldo")</f>
        <v>Giraldo Giraldo</v>
      </c>
      <c r="AJ348" s="6" t="str">
        <f>IFERROR(__xludf.DUMMYFUNCTION("""COMPUTED_VALUE"""),"giraldogmajo@gmail.com")</f>
        <v>giraldogmajo@gmail.com</v>
      </c>
      <c r="AK348" s="6" t="str">
        <f>IFERROR(__xludf.DUMMYFUNCTION("""COMPUTED_VALUE"""),"mercadeo y logistica internacionales")</f>
        <v>mercadeo y logistica internacionales</v>
      </c>
      <c r="AL348" s="6" t="str">
        <f>IFERROR(__xludf.DUMMYFUNCTION("""COMPUTED_VALUE"""),"BIO SAS")</f>
        <v>BIO SAS</v>
      </c>
      <c r="AM348" s="12" t="str">
        <f>IFERROR(__xludf.DUMMYFUNCTION("""COMPUTED_VALUE"""),"1130682681")</f>
        <v>1130682681</v>
      </c>
      <c r="AN348" s="12" t="str">
        <f>IFERROR(__xludf.DUMMYFUNCTION("""COMPUTED_VALUE"""),"3005433546")</f>
        <v>3005433546</v>
      </c>
      <c r="AO348" s="6" t="str">
        <f>IFERROR(__xludf.DUMMYFUNCTION("""COMPUTED_VALUE"""),"Madre")</f>
        <v>Madre</v>
      </c>
      <c r="AP348" s="6" t="str">
        <f>IFERROR(__xludf.DUMMYFUNCTION("""COMPUTED_VALUE"""),"Estudiante(s): Escobar Giraldo")</f>
        <v>Estudiante(s): Escobar Giraldo</v>
      </c>
      <c r="AQ348" s="6" t="str">
        <f>IFERROR(__xludf.DUMMYFUNCTION("""COMPUTED_VALUE"""),"103897*Gi")</f>
        <v>103897*Gi</v>
      </c>
      <c r="AR348" s="6" t="str">
        <f>IFERROR(__xludf.DUMMYFUNCTION("""COMPUTED_VALUE"""),"Julián")</f>
        <v>Julián</v>
      </c>
      <c r="AS348" s="6"/>
      <c r="AT348" s="6" t="str">
        <f>IFERROR(__xludf.DUMMYFUNCTION("""COMPUTED_VALUE"""),"Escobar Beltrán")</f>
        <v>Escobar Beltrán</v>
      </c>
      <c r="AU348" s="6" t="str">
        <f>IFERROR(__xludf.DUMMYFUNCTION("""COMPUTED_VALUE"""),"gerencia@constructorabio.com")</f>
        <v>gerencia@constructorabio.com</v>
      </c>
      <c r="AV348" s="6" t="str">
        <f>IFERROR(__xludf.DUMMYFUNCTION("""COMPUTED_VALUE"""),"arquitecto")</f>
        <v>arquitecto</v>
      </c>
      <c r="AW348" s="6" t="str">
        <f>IFERROR(__xludf.DUMMYFUNCTION("""COMPUTED_VALUE"""),"BIO SAS")</f>
        <v>BIO SAS</v>
      </c>
      <c r="AX348" s="12" t="str">
        <f>IFERROR(__xludf.DUMMYFUNCTION("""COMPUTED_VALUE"""),"1094887313")</f>
        <v>1094887313</v>
      </c>
      <c r="AY348" s="12" t="str">
        <f>IFERROR(__xludf.DUMMYFUNCTION("""COMPUTED_VALUE"""),"3158714768")</f>
        <v>3158714768</v>
      </c>
      <c r="AZ348" s="6" t="str">
        <f>IFERROR(__xludf.DUMMYFUNCTION("""COMPUTED_VALUE"""),"Padre")</f>
        <v>Padre</v>
      </c>
      <c r="BA348" s="6"/>
      <c r="BB348" s="6"/>
      <c r="BC348" s="6"/>
      <c r="BD348" s="12" t="str">
        <f>IFERROR(__xludf.DUMMYFUNCTION("""COMPUTED_VALUE"""),"esc0004")</f>
        <v>esc0004</v>
      </c>
      <c r="BE348" s="6"/>
      <c r="BF348" s="6"/>
      <c r="BG348" s="6">
        <f>IFERROR(__xludf.DUMMYFUNCTION("""COMPUTED_VALUE"""),2035.0)</f>
        <v>2035</v>
      </c>
      <c r="BH348" s="15">
        <f>IFERROR(__xludf.DUMMYFUNCTION("""COMPUTED_VALUE"""),46209.46797453704)</f>
        <v>46209.46797</v>
      </c>
      <c r="BI348" s="6">
        <f>IFERROR(__xludf.DUMMYFUNCTION("""COMPUTED_VALUE"""),348.0)</f>
        <v>348</v>
      </c>
      <c r="BJ348" s="6"/>
      <c r="BK348" s="6"/>
      <c r="BL348" s="6" t="str">
        <f>IFERROR(__xludf.DUMMYFUNCTION("""COMPUTED_VALUE"""),"GISESC0004")</f>
        <v>GISESC0004</v>
      </c>
      <c r="BM348" s="6"/>
      <c r="BN348" s="6"/>
      <c r="BO348" s="6"/>
      <c r="BP348" s="6" t="str">
        <f>IFERROR(__xludf.DUMMYFUNCTION("""COMPUTED_VALUE"""),"XC_4_Futbol_M")</f>
        <v>XC_4_Futbol_M</v>
      </c>
      <c r="BQ348" s="6"/>
      <c r="BR348" s="6"/>
      <c r="BS348" s="6" t="str">
        <f>IFERROR(__xludf.DUMMYFUNCTION("""COMPUTED_VALUE"""),"XC_4_Futbol_M")</f>
        <v>XC_4_Futbol_M</v>
      </c>
      <c r="BT348" s="6" t="str">
        <f>IFERROR(__xludf.DUMMYFUNCTION("""COMPUTED_VALUE"""),"XC_4_Futbol_M")</f>
        <v>XC_4_Futbol_M</v>
      </c>
      <c r="BU348" s="6" t="str">
        <f>IFERROR(__xludf.DUMMYFUNCTION("""COMPUTED_VALUE"""),"SI")</f>
        <v>SI</v>
      </c>
      <c r="BV348" s="6" t="str">
        <f>IFERROR(__xludf.DUMMYFUNCTION("""COMPUTED_VALUE"""),"jeronimo.e2035")</f>
        <v>jeronimo.e2035</v>
      </c>
      <c r="BW348" s="6"/>
      <c r="BX348" s="6"/>
      <c r="BY348" s="6"/>
      <c r="BZ348" s="6"/>
    </row>
    <row r="349">
      <c r="A349" s="12">
        <f>IFERROR(__xludf.DUMMYFUNCTION("""COMPUTED_VALUE"""),1.092861249E9)</f>
        <v>1092861249</v>
      </c>
      <c r="B349" s="6">
        <f>IFERROR(__xludf.DUMMYFUNCTION("""COMPUTED_VALUE"""),4.0)</f>
        <v>4</v>
      </c>
      <c r="C349" s="6" t="str">
        <f>IFERROR(__xludf.DUMMYFUNCTION("""COMPUTED_VALUE"""),"Saúl")</f>
        <v>Saúl</v>
      </c>
      <c r="D349" s="6"/>
      <c r="E349" s="6" t="str">
        <f>IFERROR(__xludf.DUMMYFUNCTION("""COMPUTED_VALUE"""),"Gómez Aristizábal")</f>
        <v>Gómez Aristizábal</v>
      </c>
      <c r="F349" s="6" t="str">
        <f>IFERROR(__xludf.DUMMYFUNCTION("""COMPUTED_VALUE"""),"Condominio El Robledal Casa 4 - Calle 14Nte No10 - 05 La Castellana")</f>
        <v>Condominio El Robledal Casa 4 - Calle 14Nte No10 - 05 La Castellana</v>
      </c>
      <c r="G349" s="12" t="str">
        <f>IFERROR(__xludf.DUMMYFUNCTION("""COMPUTED_VALUE"""),"2017")</f>
        <v>2017</v>
      </c>
      <c r="H349" s="6" t="str">
        <f>IFERROR(__xludf.DUMMYFUNCTION("""COMPUTED_VALUE"""),"Julio")</f>
        <v>Julio</v>
      </c>
      <c r="I349" s="12" t="str">
        <f>IFERROR(__xludf.DUMMYFUNCTION("""COMPUTED_VALUE"""),"17")</f>
        <v>17</v>
      </c>
      <c r="J349" s="6" t="str">
        <f>IFERROR(__xludf.DUMMYFUNCTION("""COMPUTED_VALUE"""),"Armenia")</f>
        <v>Armenia</v>
      </c>
      <c r="K349" s="6" t="str">
        <f>IFERROR(__xludf.DUMMYFUNCTION("""COMPUTED_VALUE"""),"saul.g2035@gi.edu.co")</f>
        <v>saul.g2035@gi.edu.co</v>
      </c>
      <c r="L349" s="6" t="str">
        <f>IFERROR(__xludf.DUMMYFUNCTION("""COMPUTED_VALUE"""),"RC")</f>
        <v>RC</v>
      </c>
      <c r="M349" s="6" t="str">
        <f>IFERROR(__xludf.DUMMYFUNCTION("""COMPUTED_VALUE"""),"Armenia")</f>
        <v>Armenia</v>
      </c>
      <c r="N349" s="6" t="str">
        <f>IFERROR(__xludf.DUMMYFUNCTION("""COMPUTED_VALUE"""),"M")</f>
        <v>M</v>
      </c>
      <c r="O349" s="6" t="str">
        <f>IFERROR(__xludf.DUMMYFUNCTION("""COMPUTED_VALUE"""),"ACTIVE")</f>
        <v>ACTIVE</v>
      </c>
      <c r="P349" s="6"/>
      <c r="Q349" s="6" t="str">
        <f>IFERROR(__xludf.DUMMYFUNCTION("""COMPUTED_VALUE"""),"Armenia")</f>
        <v>Armenia</v>
      </c>
      <c r="R349" s="12" t="str">
        <f>IFERROR(__xludf.DUMMYFUNCTION("""COMPUTED_VALUE"""),"Giwczaagf*")</f>
        <v>Giwczaagf*</v>
      </c>
      <c r="S349" s="6" t="str">
        <f>IFERROR(__xludf.DUMMYFUNCTION("""COMPUTED_VALUE"""),"Gómez Aristizábal Saúl ")</f>
        <v>Gómez Aristizábal Saúl </v>
      </c>
      <c r="T349" s="6" t="str">
        <f>IFERROR(__xludf.DUMMYFUNCTION("""COMPUTED_VALUE"""),"JOSE ANTONIO GÓMEZ LONDOÑO")</f>
        <v>JOSE ANTONIO GÓMEZ LONDOÑO</v>
      </c>
      <c r="U349" s="12" t="str">
        <f>IFERROR(__xludf.DUMMYFUNCTION("""COMPUTED_VALUE"""),"1094905397")</f>
        <v>1094905397</v>
      </c>
      <c r="V349" s="6">
        <f>IFERROR(__xludf.DUMMYFUNCTION("""COMPUTED_VALUE"""),3.166932583E9)</f>
        <v>3166932583</v>
      </c>
      <c r="W349" s="6" t="str">
        <f>IFERROR(__xludf.DUMMYFUNCTION("""COMPUTED_VALUE"""),"agrogomezl@gmail.com")</f>
        <v>agrogomezl@gmail.com</v>
      </c>
      <c r="X349" s="12" t="str">
        <f>IFERROR(__xludf.DUMMYFUNCTION("""COMPUTED_VALUE"""),"O+")</f>
        <v>O+</v>
      </c>
      <c r="Y349" s="12" t="str">
        <f>IFERROR(__xludf.DUMMYFUNCTION("""COMPUTED_VALUE"""),"4")</f>
        <v>4</v>
      </c>
      <c r="Z349" s="12">
        <f>IFERROR(__xludf.DUMMYFUNCTION("""COMPUTED_VALUE"""),103947.0)</f>
        <v>103947</v>
      </c>
      <c r="AA349" s="6" t="str">
        <f>IFERROR(__xludf.DUMMYFUNCTION("""COMPUTED_VALUE"""),"SURA")</f>
        <v>SURA</v>
      </c>
      <c r="AB349" s="6" t="str">
        <f>IFERROR(__xludf.DUMMYFUNCTION("""COMPUTED_VALUE"""),"EMI Pagando copago de $15.000")</f>
        <v>EMI Pagando copago de $15.000</v>
      </c>
      <c r="AC349" s="12" t="str">
        <f>IFERROR(__xludf.DUMMYFUNCTION("""COMPUTED_VALUE"""),"Picadura de hormiga")</f>
        <v>Picadura de hormiga</v>
      </c>
      <c r="AD349" s="12" t="str">
        <f>IFERROR(__xludf.DUMMYFUNCTION("""COMPUTED_VALUE"""),"4A")</f>
        <v>4A</v>
      </c>
      <c r="AE349" s="12">
        <f>IFERROR(__xludf.DUMMYFUNCTION("""COMPUTED_VALUE"""),1.345281972E9)</f>
        <v>1345281972</v>
      </c>
      <c r="AF349" s="12" t="str">
        <f>IFERROR(__xludf.DUMMYFUNCTION("""COMPUTED_VALUE"""),"0694784051")</f>
        <v>0694784051</v>
      </c>
      <c r="AG349" s="12" t="str">
        <f>IFERROR(__xludf.DUMMYFUNCTION("""COMPUTED_VALUE"""),"Carolina")</f>
        <v>Carolina</v>
      </c>
      <c r="AH349" s="6"/>
      <c r="AI349" s="6" t="str">
        <f>IFERROR(__xludf.DUMMYFUNCTION("""COMPUTED_VALUE"""),"Aristizábal Gonzalez")</f>
        <v>Aristizábal Gonzalez</v>
      </c>
      <c r="AJ349" s="6" t="str">
        <f>IFERROR(__xludf.DUMMYFUNCTION("""COMPUTED_VALUE"""),"caroaristi85@gmail.com")</f>
        <v>caroaristi85@gmail.com</v>
      </c>
      <c r="AK349" s="6" t="str">
        <f>IFERROR(__xludf.DUMMYFUNCTION("""COMPUTED_VALUE"""),"Psicologa")</f>
        <v>Psicologa</v>
      </c>
      <c r="AL349" s="6"/>
      <c r="AM349" s="12" t="str">
        <f>IFERROR(__xludf.DUMMYFUNCTION("""COMPUTED_VALUE"""),"41963854")</f>
        <v>41963854</v>
      </c>
      <c r="AN349" s="12" t="str">
        <f>IFERROR(__xludf.DUMMYFUNCTION("""COMPUTED_VALUE"""),"3218305146")</f>
        <v>3218305146</v>
      </c>
      <c r="AO349" s="6" t="str">
        <f>IFERROR(__xludf.DUMMYFUNCTION("""COMPUTED_VALUE"""),"Madre")</f>
        <v>Madre</v>
      </c>
      <c r="AP349" s="6" t="str">
        <f>IFERROR(__xludf.DUMMYFUNCTION("""COMPUTED_VALUE"""),"Estudiante(s): Gómez Aristizábal")</f>
        <v>Estudiante(s): Gómez Aristizábal</v>
      </c>
      <c r="AQ349" s="6" t="str">
        <f>IFERROR(__xludf.DUMMYFUNCTION("""COMPUTED_VALUE"""),"103947*Gi")</f>
        <v>103947*Gi</v>
      </c>
      <c r="AR349" s="6" t="str">
        <f>IFERROR(__xludf.DUMMYFUNCTION("""COMPUTED_VALUE"""),"Jose")</f>
        <v>Jose</v>
      </c>
      <c r="AS349" s="6" t="str">
        <f>IFERROR(__xludf.DUMMYFUNCTION("""COMPUTED_VALUE"""),"Antonio")</f>
        <v>Antonio</v>
      </c>
      <c r="AT349" s="6" t="str">
        <f>IFERROR(__xludf.DUMMYFUNCTION("""COMPUTED_VALUE"""),"Gómez Londoño")</f>
        <v>Gómez Londoño</v>
      </c>
      <c r="AU349" s="6" t="str">
        <f>IFERROR(__xludf.DUMMYFUNCTION("""COMPUTED_VALUE"""),"agrogomezl@gmail.com")</f>
        <v>agrogomezl@gmail.com</v>
      </c>
      <c r="AV349" s="6" t="str">
        <f>IFERROR(__xludf.DUMMYFUNCTION("""COMPUTED_VALUE"""),"Agricultor")</f>
        <v>Agricultor</v>
      </c>
      <c r="AW349" s="6"/>
      <c r="AX349" s="12" t="str">
        <f>IFERROR(__xludf.DUMMYFUNCTION("""COMPUTED_VALUE"""),"1094905397")</f>
        <v>1094905397</v>
      </c>
      <c r="AY349" s="12" t="str">
        <f>IFERROR(__xludf.DUMMYFUNCTION("""COMPUTED_VALUE"""),"3166932583")</f>
        <v>3166932583</v>
      </c>
      <c r="AZ349" s="6" t="str">
        <f>IFERROR(__xludf.DUMMYFUNCTION("""COMPUTED_VALUE"""),"Padre")</f>
        <v>Padre</v>
      </c>
      <c r="BA349" s="6"/>
      <c r="BB349" s="6"/>
      <c r="BC349" s="6"/>
      <c r="BD349" s="12" t="str">
        <f>IFERROR(__xludf.DUMMYFUNCTION("""COMPUTED_VALUE"""),"gme0026")</f>
        <v>gme0026</v>
      </c>
      <c r="BE349" s="6"/>
      <c r="BF349" s="6"/>
      <c r="BG349" s="6">
        <f>IFERROR(__xludf.DUMMYFUNCTION("""COMPUTED_VALUE"""),2035.0)</f>
        <v>2035</v>
      </c>
      <c r="BH349" s="15">
        <f>IFERROR(__xludf.DUMMYFUNCTION("""COMPUTED_VALUE"""),46205.73465277778)</f>
        <v>46205.73465</v>
      </c>
      <c r="BI349" s="6">
        <f>IFERROR(__xludf.DUMMYFUNCTION("""COMPUTED_VALUE"""),349.0)</f>
        <v>349</v>
      </c>
      <c r="BJ349" s="6"/>
      <c r="BK349" s="6" t="str">
        <f>IFERROR(__xludf.DUMMYFUNCTION("""COMPUTED_VALUE"""),"SI: Allegra")</f>
        <v>SI: Allegra</v>
      </c>
      <c r="BL349" s="6" t="str">
        <f>IFERROR(__xludf.DUMMYFUNCTION("""COMPUTED_VALUE"""),"GISGME0026")</f>
        <v>GISGME0026</v>
      </c>
      <c r="BM349" s="6"/>
      <c r="BN349" s="6"/>
      <c r="BO349" s="6"/>
      <c r="BP349" s="6" t="str">
        <f>IFERROR(__xludf.DUMMYFUNCTION("""COMPUTED_VALUE"""),"XC_4_Futbol_M")</f>
        <v>XC_4_Futbol_M</v>
      </c>
      <c r="BQ349" s="6"/>
      <c r="BR349" s="6"/>
      <c r="BS349" s="6" t="str">
        <f>IFERROR(__xludf.DUMMYFUNCTION("""COMPUTED_VALUE"""),"XC_4_Futbol_M")</f>
        <v>XC_4_Futbol_M</v>
      </c>
      <c r="BT349" s="6" t="str">
        <f>IFERROR(__xludf.DUMMYFUNCTION("""COMPUTED_VALUE"""),"XC_4_Futbol_M")</f>
        <v>XC_4_Futbol_M</v>
      </c>
      <c r="BU349" s="6" t="str">
        <f>IFERROR(__xludf.DUMMYFUNCTION("""COMPUTED_VALUE"""),"SI")</f>
        <v>SI</v>
      </c>
      <c r="BV349" s="6" t="str">
        <f>IFERROR(__xludf.DUMMYFUNCTION("""COMPUTED_VALUE"""),"saul.g2035")</f>
        <v>saul.g2035</v>
      </c>
      <c r="BW349" s="6"/>
      <c r="BX349" s="6"/>
      <c r="BY349" s="6"/>
      <c r="BZ349" s="6"/>
    </row>
    <row r="350">
      <c r="A350" s="12">
        <f>IFERROR(__xludf.DUMMYFUNCTION("""COMPUTED_VALUE"""),1.09286067E9)</f>
        <v>1092860670</v>
      </c>
      <c r="B350" s="6">
        <f>IFERROR(__xludf.DUMMYFUNCTION("""COMPUTED_VALUE"""),5.0)</f>
        <v>5</v>
      </c>
      <c r="C350" s="6" t="str">
        <f>IFERROR(__xludf.DUMMYFUNCTION("""COMPUTED_VALUE"""),"Antonia")</f>
        <v>Antonia</v>
      </c>
      <c r="D350" s="6"/>
      <c r="E350" s="6" t="str">
        <f>IFERROR(__xludf.DUMMYFUNCTION("""COMPUTED_VALUE"""),"Granobles Lezama")</f>
        <v>Granobles Lezama</v>
      </c>
      <c r="F350" s="6" t="str">
        <f>IFERROR(__xludf.DUMMYFUNCTION("""COMPUTED_VALUE"""),"Condominio Campo Club La Fuente Casa 19 - Via Panamericana")</f>
        <v>Condominio Campo Club La Fuente Casa 19 - Via Panamericana</v>
      </c>
      <c r="G350" s="12" t="str">
        <f>IFERROR(__xludf.DUMMYFUNCTION("""COMPUTED_VALUE"""),"2016")</f>
        <v>2016</v>
      </c>
      <c r="H350" s="6" t="str">
        <f>IFERROR(__xludf.DUMMYFUNCTION("""COMPUTED_VALUE"""),"Diciembre")</f>
        <v>Diciembre</v>
      </c>
      <c r="I350" s="12" t="str">
        <f>IFERROR(__xludf.DUMMYFUNCTION("""COMPUTED_VALUE"""),"15")</f>
        <v>15</v>
      </c>
      <c r="J350" s="6" t="str">
        <f>IFERROR(__xludf.DUMMYFUNCTION("""COMPUTED_VALUE"""),"Armenia")</f>
        <v>Armenia</v>
      </c>
      <c r="K350" s="6" t="str">
        <f>IFERROR(__xludf.DUMMYFUNCTION("""COMPUTED_VALUE"""),"antonia.g2035@gi.edu.co")</f>
        <v>antonia.g2035@gi.edu.co</v>
      </c>
      <c r="L350" s="6" t="str">
        <f>IFERROR(__xludf.DUMMYFUNCTION("""COMPUTED_VALUE"""),"TI")</f>
        <v>TI</v>
      </c>
      <c r="M350" s="6" t="str">
        <f>IFERROR(__xludf.DUMMYFUNCTION("""COMPUTED_VALUE"""),"Armenia")</f>
        <v>Armenia</v>
      </c>
      <c r="N350" s="6" t="str">
        <f>IFERROR(__xludf.DUMMYFUNCTION("""COMPUTED_VALUE"""),"F")</f>
        <v>F</v>
      </c>
      <c r="O350" s="6" t="str">
        <f>IFERROR(__xludf.DUMMYFUNCTION("""COMPUTED_VALUE"""),"ACTIVE")</f>
        <v>ACTIVE</v>
      </c>
      <c r="P350" s="6"/>
      <c r="Q350" s="6" t="str">
        <f>IFERROR(__xludf.DUMMYFUNCTION("""COMPUTED_VALUE"""),"La Tebaida")</f>
        <v>La Tebaida</v>
      </c>
      <c r="R350" s="12" t="str">
        <f>IFERROR(__xludf.DUMMYFUNCTION("""COMPUTED_VALUE"""),"Gi7gdj09mn*")</f>
        <v>Gi7gdj09mn*</v>
      </c>
      <c r="S350" s="6" t="str">
        <f>IFERROR(__xludf.DUMMYFUNCTION("""COMPUTED_VALUE"""),"Granobles Lezama Antonia ")</f>
        <v>Granobles Lezama Antonia </v>
      </c>
      <c r="T350" s="6" t="str">
        <f>IFERROR(__xludf.DUMMYFUNCTION("""COMPUTED_VALUE"""),"JUAN DAVID GRANOBLES MOLINA")</f>
        <v>JUAN DAVID GRANOBLES MOLINA</v>
      </c>
      <c r="U350" s="12" t="str">
        <f>IFERROR(__xludf.DUMMYFUNCTION("""COMPUTED_VALUE"""),"1094881596")</f>
        <v>1094881596</v>
      </c>
      <c r="V350" s="6">
        <f>IFERROR(__xludf.DUMMYFUNCTION("""COMPUTED_VALUE"""),3.114177509E9)</f>
        <v>3114177509</v>
      </c>
      <c r="W350" s="6" t="str">
        <f>IFERROR(__xludf.DUMMYFUNCTION("""COMPUTED_VALUE"""),"judagramo@gmail.com")</f>
        <v>judagramo@gmail.com</v>
      </c>
      <c r="X350" s="12" t="str">
        <f>IFERROR(__xludf.DUMMYFUNCTION("""COMPUTED_VALUE"""),"O+")</f>
        <v>O+</v>
      </c>
      <c r="Y350" s="12" t="str">
        <f>IFERROR(__xludf.DUMMYFUNCTION("""COMPUTED_VALUE"""),"4")</f>
        <v>4</v>
      </c>
      <c r="Z350" s="12">
        <f>IFERROR(__xludf.DUMMYFUNCTION("""COMPUTED_VALUE"""),120040.0)</f>
        <v>120040</v>
      </c>
      <c r="AA350" s="6" t="str">
        <f>IFERROR(__xludf.DUMMYFUNCTION("""COMPUTED_VALUE"""),"SURA")</f>
        <v>SURA</v>
      </c>
      <c r="AB350" s="6"/>
      <c r="AC350" s="6"/>
      <c r="AD350" s="12" t="str">
        <f>IFERROR(__xludf.DUMMYFUNCTION("""COMPUTED_VALUE"""),"4A")</f>
        <v>4A</v>
      </c>
      <c r="AE350" s="12">
        <f>IFERROR(__xludf.DUMMYFUNCTION("""COMPUTED_VALUE"""),1.345282063E9)</f>
        <v>1345282063</v>
      </c>
      <c r="AF350" s="12" t="str">
        <f>IFERROR(__xludf.DUMMYFUNCTION("""COMPUTED_VALUE"""),"0694511923")</f>
        <v>0694511923</v>
      </c>
      <c r="AG350" s="12" t="str">
        <f>IFERROR(__xludf.DUMMYFUNCTION("""COMPUTED_VALUE"""),"Isabel")</f>
        <v>Isabel</v>
      </c>
      <c r="AH350" s="12" t="str">
        <f>IFERROR(__xludf.DUMMYFUNCTION("""COMPUTED_VALUE"""),"Cristina")</f>
        <v>Cristina</v>
      </c>
      <c r="AI350" s="6" t="str">
        <f>IFERROR(__xludf.DUMMYFUNCTION("""COMPUTED_VALUE"""),"Lezama Velásquez")</f>
        <v>Lezama Velásquez</v>
      </c>
      <c r="AJ350" s="6" t="str">
        <f>IFERROR(__xludf.DUMMYFUNCTION("""COMPUTED_VALUE"""),"isabellezama0804@gmail.com")</f>
        <v>isabellezama0804@gmail.com</v>
      </c>
      <c r="AK350" s="6" t="str">
        <f>IFERROR(__xludf.DUMMYFUNCTION("""COMPUTED_VALUE"""),"Abogada")</f>
        <v>Abogada</v>
      </c>
      <c r="AL350" s="6" t="str">
        <f>IFERROR(__xludf.DUMMYFUNCTION("""COMPUTED_VALUE"""),"SENA")</f>
        <v>SENA</v>
      </c>
      <c r="AM350" s="12" t="str">
        <f>IFERROR(__xludf.DUMMYFUNCTION("""COMPUTED_VALUE"""),"1094887821")</f>
        <v>1094887821</v>
      </c>
      <c r="AN350" s="12" t="str">
        <f>IFERROR(__xludf.DUMMYFUNCTION("""COMPUTED_VALUE"""),"3108378833")</f>
        <v>3108378833</v>
      </c>
      <c r="AO350" s="6" t="str">
        <f>IFERROR(__xludf.DUMMYFUNCTION("""COMPUTED_VALUE"""),"Madre")</f>
        <v>Madre</v>
      </c>
      <c r="AP350" s="6" t="str">
        <f>IFERROR(__xludf.DUMMYFUNCTION("""COMPUTED_VALUE"""),"Estudiante(s): Granobles Lezama")</f>
        <v>Estudiante(s): Granobles Lezama</v>
      </c>
      <c r="AQ350" s="6" t="str">
        <f>IFERROR(__xludf.DUMMYFUNCTION("""COMPUTED_VALUE"""),"120040*Gi")</f>
        <v>120040*Gi</v>
      </c>
      <c r="AR350" s="6" t="str">
        <f>IFERROR(__xludf.DUMMYFUNCTION("""COMPUTED_VALUE"""),"Juan")</f>
        <v>Juan</v>
      </c>
      <c r="AS350" s="6" t="str">
        <f>IFERROR(__xludf.DUMMYFUNCTION("""COMPUTED_VALUE"""),"David")</f>
        <v>David</v>
      </c>
      <c r="AT350" s="6" t="str">
        <f>IFERROR(__xludf.DUMMYFUNCTION("""COMPUTED_VALUE"""),"Granobles Molina")</f>
        <v>Granobles Molina</v>
      </c>
      <c r="AU350" s="6" t="str">
        <f>IFERROR(__xludf.DUMMYFUNCTION("""COMPUTED_VALUE"""),"judagramo@gmail.com")</f>
        <v>judagramo@gmail.com</v>
      </c>
      <c r="AV350" s="6" t="str">
        <f>IFERROR(__xludf.DUMMYFUNCTION("""COMPUTED_VALUE"""),"CIRUJANO GENERAL")</f>
        <v>CIRUJANO GENERAL</v>
      </c>
      <c r="AW350" s="6" t="str">
        <f>IFERROR(__xludf.DUMMYFUNCTION("""COMPUTED_VALUE"""),"CLINICA SAGRADA FAMILIA")</f>
        <v>CLINICA SAGRADA FAMILIA</v>
      </c>
      <c r="AX350" s="12" t="str">
        <f>IFERROR(__xludf.DUMMYFUNCTION("""COMPUTED_VALUE"""),"1094881596")</f>
        <v>1094881596</v>
      </c>
      <c r="AY350" s="12" t="str">
        <f>IFERROR(__xludf.DUMMYFUNCTION("""COMPUTED_VALUE"""),"3114177509")</f>
        <v>3114177509</v>
      </c>
      <c r="AZ350" s="6" t="str">
        <f>IFERROR(__xludf.DUMMYFUNCTION("""COMPUTED_VALUE"""),"Padre")</f>
        <v>Padre</v>
      </c>
      <c r="BA350" s="6" t="str">
        <f>IFERROR(__xludf.DUMMYFUNCTION("""COMPUTED_VALUE"""),"GLORIA NANCY VELASQUEZ GRAJALES")</f>
        <v>GLORIA NANCY VELASQUEZ GRAJALES</v>
      </c>
      <c r="BB350" s="6">
        <f>IFERROR(__xludf.DUMMYFUNCTION("""COMPUTED_VALUE"""),3.108378831E9)</f>
        <v>3108378831</v>
      </c>
      <c r="BC350" s="6" t="str">
        <f>IFERROR(__xludf.DUMMYFUNCTION("""COMPUTED_VALUE"""),"Abuelo(a)")</f>
        <v>Abuelo(a)</v>
      </c>
      <c r="BD350" s="12" t="str">
        <f>IFERROR(__xludf.DUMMYFUNCTION("""COMPUTED_VALUE"""),"gra0001")</f>
        <v>gra0001</v>
      </c>
      <c r="BE350" s="6"/>
      <c r="BF350" s="6"/>
      <c r="BG350" s="6">
        <f>IFERROR(__xludf.DUMMYFUNCTION("""COMPUTED_VALUE"""),2035.0)</f>
        <v>2035</v>
      </c>
      <c r="BH350" s="15">
        <f>IFERROR(__xludf.DUMMYFUNCTION("""COMPUTED_VALUE"""),46209.94732638889)</f>
        <v>46209.94733</v>
      </c>
      <c r="BI350" s="6">
        <f>IFERROR(__xludf.DUMMYFUNCTION("""COMPUTED_VALUE"""),350.0)</f>
        <v>350</v>
      </c>
      <c r="BJ350" s="6"/>
      <c r="BK350" s="6"/>
      <c r="BL350" s="6" t="str">
        <f>IFERROR(__xludf.DUMMYFUNCTION("""COMPUTED_VALUE"""),"GISGRA0001")</f>
        <v>GISGRA0001</v>
      </c>
      <c r="BM350" s="6"/>
      <c r="BN350" s="6"/>
      <c r="BO350" s="6"/>
      <c r="BP350" s="6" t="str">
        <f>IFERROR(__xludf.DUMMYFUNCTION("""COMPUTED_VALUE"""),"XC_45_Voleibol")</f>
        <v>XC_45_Voleibol</v>
      </c>
      <c r="BQ350" s="6"/>
      <c r="BR350" s="6"/>
      <c r="BS350" s="6" t="str">
        <f>IFERROR(__xludf.DUMMYFUNCTION("""COMPUTED_VALUE"""),"XC_45_Voleibol")</f>
        <v>XC_45_Voleibol</v>
      </c>
      <c r="BT350" s="6" t="str">
        <f>IFERROR(__xludf.DUMMYFUNCTION("""COMPUTED_VALUE"""),"XC_45_Voleibol")</f>
        <v>XC_45_Voleibol</v>
      </c>
      <c r="BU350" s="6" t="str">
        <f>IFERROR(__xludf.DUMMYFUNCTION("""COMPUTED_VALUE"""),"SI")</f>
        <v>SI</v>
      </c>
      <c r="BV350" s="6" t="str">
        <f>IFERROR(__xludf.DUMMYFUNCTION("""COMPUTED_VALUE"""),"antonia.g2035")</f>
        <v>antonia.g2035</v>
      </c>
      <c r="BW350" s="6"/>
      <c r="BX350" s="6"/>
      <c r="BY350" s="6"/>
      <c r="BZ350" s="6"/>
    </row>
    <row r="351">
      <c r="A351" s="12">
        <f>IFERROR(__xludf.DUMMYFUNCTION("""COMPUTED_VALUE"""),1.030102171E9)</f>
        <v>1030102171</v>
      </c>
      <c r="B351" s="6">
        <f>IFERROR(__xludf.DUMMYFUNCTION("""COMPUTED_VALUE"""),6.0)</f>
        <v>6</v>
      </c>
      <c r="C351" s="6" t="str">
        <f>IFERROR(__xludf.DUMMYFUNCTION("""COMPUTED_VALUE"""),"Paulina")</f>
        <v>Paulina</v>
      </c>
      <c r="D351" s="6"/>
      <c r="E351" s="6" t="str">
        <f>IFERROR(__xludf.DUMMYFUNCTION("""COMPUTED_VALUE"""),"Infante Llano")</f>
        <v>Infante Llano</v>
      </c>
      <c r="F351" s="6" t="str">
        <f>IFERROR(__xludf.DUMMYFUNCTION("""COMPUTED_VALUE"""),"Condominio El Reposo Casa 45 - Cra 6 No34Nte - 42 Av Centenario")</f>
        <v>Condominio El Reposo Casa 45 - Cra 6 No34Nte - 42 Av Centenario</v>
      </c>
      <c r="G351" s="12" t="str">
        <f>IFERROR(__xludf.DUMMYFUNCTION("""COMPUTED_VALUE"""),"2017")</f>
        <v>2017</v>
      </c>
      <c r="H351" s="6" t="str">
        <f>IFERROR(__xludf.DUMMYFUNCTION("""COMPUTED_VALUE"""),"Abril")</f>
        <v>Abril</v>
      </c>
      <c r="I351" s="12" t="str">
        <f>IFERROR(__xludf.DUMMYFUNCTION("""COMPUTED_VALUE"""),"17")</f>
        <v>17</v>
      </c>
      <c r="J351" s="6" t="str">
        <f>IFERROR(__xludf.DUMMYFUNCTION("""COMPUTED_VALUE"""),"Armenia")</f>
        <v>Armenia</v>
      </c>
      <c r="K351" s="6" t="str">
        <f>IFERROR(__xludf.DUMMYFUNCTION("""COMPUTED_VALUE"""),"paulina.i2035@gi.edu.co")</f>
        <v>paulina.i2035@gi.edu.co</v>
      </c>
      <c r="L351" s="6" t="str">
        <f>IFERROR(__xludf.DUMMYFUNCTION("""COMPUTED_VALUE"""),"TI")</f>
        <v>TI</v>
      </c>
      <c r="M351" s="6" t="str">
        <f>IFERROR(__xludf.DUMMYFUNCTION("""COMPUTED_VALUE"""),"Armenia")</f>
        <v>Armenia</v>
      </c>
      <c r="N351" s="6" t="str">
        <f>IFERROR(__xludf.DUMMYFUNCTION("""COMPUTED_VALUE"""),"F")</f>
        <v>F</v>
      </c>
      <c r="O351" s="6" t="str">
        <f>IFERROR(__xludf.DUMMYFUNCTION("""COMPUTED_VALUE"""),"ACTIVE")</f>
        <v>ACTIVE</v>
      </c>
      <c r="P351" s="6"/>
      <c r="Q351" s="6" t="str">
        <f>IFERROR(__xludf.DUMMYFUNCTION("""COMPUTED_VALUE"""),"Armenia")</f>
        <v>Armenia</v>
      </c>
      <c r="R351" s="12" t="str">
        <f>IFERROR(__xludf.DUMMYFUNCTION("""COMPUTED_VALUE"""),"GiYzV2MQ*")</f>
        <v>GiYzV2MQ*</v>
      </c>
      <c r="S351" s="6" t="str">
        <f>IFERROR(__xludf.DUMMYFUNCTION("""COMPUTED_VALUE"""),"Infante Llano Paulina ")</f>
        <v>Infante Llano Paulina </v>
      </c>
      <c r="T351" s="6" t="str">
        <f>IFERROR(__xludf.DUMMYFUNCTION("""COMPUTED_VALUE"""),"DIEGO INFANTE GARCIA")</f>
        <v>DIEGO INFANTE GARCIA</v>
      </c>
      <c r="U351" s="12" t="str">
        <f>IFERROR(__xludf.DUMMYFUNCTION("""COMPUTED_VALUE"""),"1094895975")</f>
        <v>1094895975</v>
      </c>
      <c r="V351" s="6">
        <f>IFERROR(__xludf.DUMMYFUNCTION("""COMPUTED_VALUE"""),3.155010403E9)</f>
        <v>3155010403</v>
      </c>
      <c r="W351" s="6" t="str">
        <f>IFERROR(__xludf.DUMMYFUNCTION("""COMPUTED_VALUE"""),"diego_infante_garcia@hotmail.com")</f>
        <v>diego_infante_garcia@hotmail.com</v>
      </c>
      <c r="X351" s="12" t="str">
        <f>IFERROR(__xludf.DUMMYFUNCTION("""COMPUTED_VALUE"""),"O+")</f>
        <v>O+</v>
      </c>
      <c r="Y351" s="12" t="str">
        <f>IFERROR(__xludf.DUMMYFUNCTION("""COMPUTED_VALUE"""),"4")</f>
        <v>4</v>
      </c>
      <c r="Z351" s="12">
        <f>IFERROR(__xludf.DUMMYFUNCTION("""COMPUTED_VALUE"""),120141.0)</f>
        <v>120141</v>
      </c>
      <c r="AA351" s="6" t="str">
        <f>IFERROR(__xludf.DUMMYFUNCTION("""COMPUTED_VALUE"""),"SANITAS")</f>
        <v>SANITAS</v>
      </c>
      <c r="AB351" s="6"/>
      <c r="AC351" s="12" t="str">
        <f>IFERROR(__xludf.DUMMYFUNCTION("""COMPUTED_VALUE"""),"RINITIS - CONJUNTIVITIS ALERGICA - ASMA - EMBUTIDOS")</f>
        <v>RINITIS - CONJUNTIVITIS ALERGICA - ASMA - EMBUTIDOS</v>
      </c>
      <c r="AD351" s="12" t="str">
        <f>IFERROR(__xludf.DUMMYFUNCTION("""COMPUTED_VALUE"""),"4A")</f>
        <v>4A</v>
      </c>
      <c r="AE351" s="12">
        <f>IFERROR(__xludf.DUMMYFUNCTION("""COMPUTED_VALUE"""),1.345282166E9)</f>
        <v>1345282166</v>
      </c>
      <c r="AF351" s="12" t="str">
        <f>IFERROR(__xludf.DUMMYFUNCTION("""COMPUTED_VALUE"""),"0690920483")</f>
        <v>0690920483</v>
      </c>
      <c r="AG351" s="12" t="str">
        <f>IFERROR(__xludf.DUMMYFUNCTION("""COMPUTED_VALUE"""),"Yully")</f>
        <v>Yully</v>
      </c>
      <c r="AH351" s="12" t="str">
        <f>IFERROR(__xludf.DUMMYFUNCTION("""COMPUTED_VALUE"""),"Sthephany")</f>
        <v>Sthephany</v>
      </c>
      <c r="AI351" s="6" t="str">
        <f>IFERROR(__xludf.DUMMYFUNCTION("""COMPUTED_VALUE"""),"LLano Henao")</f>
        <v>LLano Henao</v>
      </c>
      <c r="AJ351" s="6" t="str">
        <f>IFERROR(__xludf.DUMMYFUNCTION("""COMPUTED_VALUE"""),"sthephahenao@gmail.com")</f>
        <v>sthephahenao@gmail.com</v>
      </c>
      <c r="AK351" s="6" t="str">
        <f>IFERROR(__xludf.DUMMYFUNCTION("""COMPUTED_VALUE"""),"Enfermera profesional")</f>
        <v>Enfermera profesional</v>
      </c>
      <c r="AL351" s="6"/>
      <c r="AM351" s="12" t="str">
        <f>IFERROR(__xludf.DUMMYFUNCTION("""COMPUTED_VALUE"""),"1094901607")</f>
        <v>1094901607</v>
      </c>
      <c r="AN351" s="12" t="str">
        <f>IFERROR(__xludf.DUMMYFUNCTION("""COMPUTED_VALUE"""),"3162892770")</f>
        <v>3162892770</v>
      </c>
      <c r="AO351" s="6" t="str">
        <f>IFERROR(__xludf.DUMMYFUNCTION("""COMPUTED_VALUE"""),"Madre")</f>
        <v>Madre</v>
      </c>
      <c r="AP351" s="6" t="str">
        <f>IFERROR(__xludf.DUMMYFUNCTION("""COMPUTED_VALUE"""),"Estudiante(s): Infante Llano")</f>
        <v>Estudiante(s): Infante Llano</v>
      </c>
      <c r="AQ351" s="6" t="str">
        <f>IFERROR(__xludf.DUMMYFUNCTION("""COMPUTED_VALUE"""),"120141*Gi")</f>
        <v>120141*Gi</v>
      </c>
      <c r="AR351" s="6" t="str">
        <f>IFERROR(__xludf.DUMMYFUNCTION("""COMPUTED_VALUE"""),"Diego")</f>
        <v>Diego</v>
      </c>
      <c r="AS351" s="6" t="str">
        <f>IFERROR(__xludf.DUMMYFUNCTION("""COMPUTED_VALUE"""),"Fabián")</f>
        <v>Fabián</v>
      </c>
      <c r="AT351" s="6" t="str">
        <f>IFERROR(__xludf.DUMMYFUNCTION("""COMPUTED_VALUE"""),"Infante García")</f>
        <v>Infante García</v>
      </c>
      <c r="AU351" s="6" t="str">
        <f>IFERROR(__xludf.DUMMYFUNCTION("""COMPUTED_VALUE"""),"diego_infante_garcia@hotmail.com")</f>
        <v>diego_infante_garcia@hotmail.com</v>
      </c>
      <c r="AV351" s="6" t="str">
        <f>IFERROR(__xludf.DUMMYFUNCTION("""COMPUTED_VALUE"""),"Administrador de Empresas")</f>
        <v>Administrador de Empresas</v>
      </c>
      <c r="AW351" s="6"/>
      <c r="AX351" s="12" t="str">
        <f>IFERROR(__xludf.DUMMYFUNCTION("""COMPUTED_VALUE"""),"1094895975")</f>
        <v>1094895975</v>
      </c>
      <c r="AY351" s="12" t="str">
        <f>IFERROR(__xludf.DUMMYFUNCTION("""COMPUTED_VALUE"""),"3155010403")</f>
        <v>3155010403</v>
      </c>
      <c r="AZ351" s="6" t="str">
        <f>IFERROR(__xludf.DUMMYFUNCTION("""COMPUTED_VALUE"""),"Padre")</f>
        <v>Padre</v>
      </c>
      <c r="BA351" s="6"/>
      <c r="BB351" s="6"/>
      <c r="BC351" s="6"/>
      <c r="BD351" s="12" t="str">
        <f>IFERROR(__xludf.DUMMYFUNCTION("""COMPUTED_VALUE"""),"inf0001")</f>
        <v>inf0001</v>
      </c>
      <c r="BE351" s="6"/>
      <c r="BF351" s="6"/>
      <c r="BG351" s="6">
        <f>IFERROR(__xludf.DUMMYFUNCTION("""COMPUTED_VALUE"""),2035.0)</f>
        <v>2035</v>
      </c>
      <c r="BH351" s="15">
        <f>IFERROR(__xludf.DUMMYFUNCTION("""COMPUTED_VALUE"""),46234.4687037037)</f>
        <v>46234.4687</v>
      </c>
      <c r="BI351" s="6">
        <f>IFERROR(__xludf.DUMMYFUNCTION("""COMPUTED_VALUE"""),351.0)</f>
        <v>351</v>
      </c>
      <c r="BJ351" s="6"/>
      <c r="BK351" s="6"/>
      <c r="BL351" s="6" t="str">
        <f>IFERROR(__xludf.DUMMYFUNCTION("""COMPUTED_VALUE"""),"GISINF0001")</f>
        <v>GISINF0001</v>
      </c>
      <c r="BM351" s="6"/>
      <c r="BN351" s="6"/>
      <c r="BO351" s="6"/>
      <c r="BP351" s="6"/>
      <c r="BQ351" s="6"/>
      <c r="BR351" s="6"/>
      <c r="BS351" s="6"/>
      <c r="BT351" s="6"/>
      <c r="BU351" s="6" t="str">
        <f>IFERROR(__xludf.DUMMYFUNCTION("""COMPUTED_VALUE"""),"SI")</f>
        <v>SI</v>
      </c>
      <c r="BV351" s="6" t="str">
        <f>IFERROR(__xludf.DUMMYFUNCTION("""COMPUTED_VALUE"""),"paulina.i2035")</f>
        <v>paulina.i2035</v>
      </c>
      <c r="BW351" s="6"/>
      <c r="BX351" s="6"/>
      <c r="BY351" s="6"/>
      <c r="BZ351" s="6"/>
    </row>
    <row r="352">
      <c r="A352" s="12">
        <f>IFERROR(__xludf.DUMMYFUNCTION("""COMPUTED_VALUE"""),1.014895449E9)</f>
        <v>1014895449</v>
      </c>
      <c r="B352" s="6">
        <f>IFERROR(__xludf.DUMMYFUNCTION("""COMPUTED_VALUE"""),7.0)</f>
        <v>7</v>
      </c>
      <c r="C352" s="6" t="str">
        <f>IFERROR(__xludf.DUMMYFUNCTION("""COMPUTED_VALUE"""),"María")</f>
        <v>María</v>
      </c>
      <c r="D352" s="6" t="str">
        <f>IFERROR(__xludf.DUMMYFUNCTION("""COMPUTED_VALUE"""),"Lucía")</f>
        <v>Lucía</v>
      </c>
      <c r="E352" s="6" t="str">
        <f>IFERROR(__xludf.DUMMYFUNCTION("""COMPUTED_VALUE"""),"Llano Espinel")</f>
        <v>Llano Espinel</v>
      </c>
      <c r="F352" s="6" t="str">
        <f>IFERROR(__xludf.DUMMYFUNCTION("""COMPUTED_VALUE"""),"Condominio Tres Colinas -Casas 44 - Km 2.8 Via al Caimo")</f>
        <v>Condominio Tres Colinas -Casas 44 - Km 2.8 Via al Caimo</v>
      </c>
      <c r="G352" s="12" t="str">
        <f>IFERROR(__xludf.DUMMYFUNCTION("""COMPUTED_VALUE"""),"2017")</f>
        <v>2017</v>
      </c>
      <c r="H352" s="6" t="str">
        <f>IFERROR(__xludf.DUMMYFUNCTION("""COMPUTED_VALUE"""),"Julio")</f>
        <v>Julio</v>
      </c>
      <c r="I352" s="12" t="str">
        <f>IFERROR(__xludf.DUMMYFUNCTION("""COMPUTED_VALUE"""),"21")</f>
        <v>21</v>
      </c>
      <c r="J352" s="6" t="str">
        <f>IFERROR(__xludf.DUMMYFUNCTION("""COMPUTED_VALUE"""),"Bogotá D.C.")</f>
        <v>Bogotá D.C.</v>
      </c>
      <c r="K352" s="6" t="str">
        <f>IFERROR(__xludf.DUMMYFUNCTION("""COMPUTED_VALUE"""),"maria.ll2035@gi.edu.co")</f>
        <v>maria.ll2035@gi.edu.co</v>
      </c>
      <c r="L352" s="6" t="str">
        <f>IFERROR(__xludf.DUMMYFUNCTION("""COMPUTED_VALUE"""),"RC")</f>
        <v>RC</v>
      </c>
      <c r="M352" s="6" t="str">
        <f>IFERROR(__xludf.DUMMYFUNCTION("""COMPUTED_VALUE"""),"Bogotá D.C.")</f>
        <v>Bogotá D.C.</v>
      </c>
      <c r="N352" s="6" t="str">
        <f>IFERROR(__xludf.DUMMYFUNCTION("""COMPUTED_VALUE"""),"F")</f>
        <v>F</v>
      </c>
      <c r="O352" s="6" t="str">
        <f>IFERROR(__xludf.DUMMYFUNCTION("""COMPUTED_VALUE"""),"ACTIVE")</f>
        <v>ACTIVE</v>
      </c>
      <c r="P352" s="6"/>
      <c r="Q352" s="6" t="str">
        <f>IFERROR(__xludf.DUMMYFUNCTION("""COMPUTED_VALUE"""),"Armenia")</f>
        <v>Armenia</v>
      </c>
      <c r="R352" s="12" t="str">
        <f>IFERROR(__xludf.DUMMYFUNCTION("""COMPUTED_VALUE"""),"Gi12rtf7*")</f>
        <v>Gi12rtf7*</v>
      </c>
      <c r="S352" s="6" t="str">
        <f>IFERROR(__xludf.DUMMYFUNCTION("""COMPUTED_VALUE"""),"Llano Espinel María Lucía")</f>
        <v>Llano Espinel María Lucía</v>
      </c>
      <c r="T352" s="6" t="str">
        <f>IFERROR(__xludf.DUMMYFUNCTION("""COMPUTED_VALUE"""),"JAIME ALONSO LLANO SANCHEZ")</f>
        <v>JAIME ALONSO LLANO SANCHEZ</v>
      </c>
      <c r="U352" s="12" t="str">
        <f>IFERROR(__xludf.DUMMYFUNCTION("""COMPUTED_VALUE"""),"1020718809")</f>
        <v>1020718809</v>
      </c>
      <c r="V352" s="6">
        <f>IFERROR(__xludf.DUMMYFUNCTION("""COMPUTED_VALUE"""),3.156715256E9)</f>
        <v>3156715256</v>
      </c>
      <c r="W352" s="6" t="str">
        <f>IFERROR(__xludf.DUMMYFUNCTION("""COMPUTED_VALUE"""),"jaimellano86@hotmail.com")</f>
        <v>jaimellano86@hotmail.com</v>
      </c>
      <c r="X352" s="12" t="str">
        <f>IFERROR(__xludf.DUMMYFUNCTION("""COMPUTED_VALUE"""),"O+")</f>
        <v>O+</v>
      </c>
      <c r="Y352" s="12" t="str">
        <f>IFERROR(__xludf.DUMMYFUNCTION("""COMPUTED_VALUE"""),"4")</f>
        <v>4</v>
      </c>
      <c r="Z352" s="12">
        <f>IFERROR(__xludf.DUMMYFUNCTION("""COMPUTED_VALUE"""),120332.0)</f>
        <v>120332</v>
      </c>
      <c r="AA352" s="6" t="str">
        <f>IFERROR(__xludf.DUMMYFUNCTION("""COMPUTED_VALUE"""),"SANITAS")</f>
        <v>SANITAS</v>
      </c>
      <c r="AB352" s="6"/>
      <c r="AC352" s="6"/>
      <c r="AD352" s="12" t="str">
        <f>IFERROR(__xludf.DUMMYFUNCTION("""COMPUTED_VALUE"""),"4A")</f>
        <v>4A</v>
      </c>
      <c r="AE352" s="12">
        <f>IFERROR(__xludf.DUMMYFUNCTION("""COMPUTED_VALUE"""),1.345282329E9)</f>
        <v>1345282329</v>
      </c>
      <c r="AF352" s="12" t="str">
        <f>IFERROR(__xludf.DUMMYFUNCTION("""COMPUTED_VALUE"""),"0681045139")</f>
        <v>0681045139</v>
      </c>
      <c r="AG352" s="12" t="str">
        <f>IFERROR(__xludf.DUMMYFUNCTION("""COMPUTED_VALUE"""),"María")</f>
        <v>María</v>
      </c>
      <c r="AH352" s="12" t="str">
        <f>IFERROR(__xludf.DUMMYFUNCTION("""COMPUTED_VALUE"""),"Alejandra")</f>
        <v>Alejandra</v>
      </c>
      <c r="AI352" s="6" t="str">
        <f>IFERROR(__xludf.DUMMYFUNCTION("""COMPUTED_VALUE"""),"Espinel Tunjano")</f>
        <v>Espinel Tunjano</v>
      </c>
      <c r="AJ352" s="6" t="str">
        <f>IFERROR(__xludf.DUMMYFUNCTION("""COMPUTED_VALUE"""),"alejandra_maet@hotmail.com")</f>
        <v>alejandra_maet@hotmail.com</v>
      </c>
      <c r="AK352" s="6" t="str">
        <f>IFERROR(__xludf.DUMMYFUNCTION("""COMPUTED_VALUE"""),"Ingeniera Civil")</f>
        <v>Ingeniera Civil</v>
      </c>
      <c r="AL352" s="6" t="str">
        <f>IFERROR(__xludf.DUMMYFUNCTION("""COMPUTED_VALUE"""),"Argos S.A")</f>
        <v>Argos S.A</v>
      </c>
      <c r="AM352" s="12" t="str">
        <f>IFERROR(__xludf.DUMMYFUNCTION("""COMPUTED_VALUE"""),"1090451838")</f>
        <v>1090451838</v>
      </c>
      <c r="AN352" s="12" t="str">
        <f>IFERROR(__xludf.DUMMYFUNCTION("""COMPUTED_VALUE"""),"3182703204")</f>
        <v>3182703204</v>
      </c>
      <c r="AO352" s="6" t="str">
        <f>IFERROR(__xludf.DUMMYFUNCTION("""COMPUTED_VALUE"""),"Madre")</f>
        <v>Madre</v>
      </c>
      <c r="AP352" s="6" t="str">
        <f>IFERROR(__xludf.DUMMYFUNCTION("""COMPUTED_VALUE"""),"Estudiante(s): Llano Espinel")</f>
        <v>Estudiante(s): Llano Espinel</v>
      </c>
      <c r="AQ352" s="6" t="str">
        <f>IFERROR(__xludf.DUMMYFUNCTION("""COMPUTED_VALUE"""),"120332*Gi")</f>
        <v>120332*Gi</v>
      </c>
      <c r="AR352" s="6" t="str">
        <f>IFERROR(__xludf.DUMMYFUNCTION("""COMPUTED_VALUE"""),"Jaime")</f>
        <v>Jaime</v>
      </c>
      <c r="AS352" s="6" t="str">
        <f>IFERROR(__xludf.DUMMYFUNCTION("""COMPUTED_VALUE"""),"Alonso")</f>
        <v>Alonso</v>
      </c>
      <c r="AT352" s="6" t="str">
        <f>IFERROR(__xludf.DUMMYFUNCTION("""COMPUTED_VALUE"""),"Llano Sánchez")</f>
        <v>Llano Sánchez</v>
      </c>
      <c r="AU352" s="6" t="str">
        <f>IFERROR(__xludf.DUMMYFUNCTION("""COMPUTED_VALUE"""),"jaimellano86@hotmail.com")</f>
        <v>jaimellano86@hotmail.com</v>
      </c>
      <c r="AV352" s="6" t="str">
        <f>IFERROR(__xludf.DUMMYFUNCTION("""COMPUTED_VALUE"""),"Ingeniero Mecanico")</f>
        <v>Ingeniero Mecanico</v>
      </c>
      <c r="AW352" s="6"/>
      <c r="AX352" s="12" t="str">
        <f>IFERROR(__xludf.DUMMYFUNCTION("""COMPUTED_VALUE"""),"1020718809")</f>
        <v>1020718809</v>
      </c>
      <c r="AY352" s="12" t="str">
        <f>IFERROR(__xludf.DUMMYFUNCTION("""COMPUTED_VALUE"""),"3156715256")</f>
        <v>3156715256</v>
      </c>
      <c r="AZ352" s="6" t="str">
        <f>IFERROR(__xludf.DUMMYFUNCTION("""COMPUTED_VALUE"""),"Padre")</f>
        <v>Padre</v>
      </c>
      <c r="BA352" s="6"/>
      <c r="BB352" s="6"/>
      <c r="BC352" s="6"/>
      <c r="BD352" s="12" t="str">
        <f>IFERROR(__xludf.DUMMYFUNCTION("""COMPUTED_VALUE"""),"lan0001")</f>
        <v>lan0001</v>
      </c>
      <c r="BE352" s="6"/>
      <c r="BF352" s="6"/>
      <c r="BG352" s="6">
        <f>IFERROR(__xludf.DUMMYFUNCTION("""COMPUTED_VALUE"""),2035.0)</f>
        <v>2035</v>
      </c>
      <c r="BH352" s="15">
        <f>IFERROR(__xludf.DUMMYFUNCTION("""COMPUTED_VALUE"""),46205.50325231482)</f>
        <v>46205.50325</v>
      </c>
      <c r="BI352" s="6">
        <f>IFERROR(__xludf.DUMMYFUNCTION("""COMPUTED_VALUE"""),352.0)</f>
        <v>352</v>
      </c>
      <c r="BJ352" s="6"/>
      <c r="BK352" s="6"/>
      <c r="BL352" s="6" t="str">
        <f>IFERROR(__xludf.DUMMYFUNCTION("""COMPUTED_VALUE"""),"GISLAN0001")</f>
        <v>GISLAN0001</v>
      </c>
      <c r="BM352" s="6"/>
      <c r="BN352" s="6"/>
      <c r="BO352" s="6"/>
      <c r="BP352" s="6"/>
      <c r="BQ352" s="6"/>
      <c r="BR352" s="6" t="str">
        <f>IFERROR(__xludf.DUMMYFUNCTION("""COMPUTED_VALUE"""),"XC_Robo_Lego")</f>
        <v>XC_Robo_Lego</v>
      </c>
      <c r="BS352" s="6"/>
      <c r="BT352" s="6"/>
      <c r="BU352" s="6" t="str">
        <f>IFERROR(__xludf.DUMMYFUNCTION("""COMPUTED_VALUE"""),"SI")</f>
        <v>SI</v>
      </c>
      <c r="BV352" s="6" t="str">
        <f>IFERROR(__xludf.DUMMYFUNCTION("""COMPUTED_VALUE"""),"maria.ll2035")</f>
        <v>maria.ll2035</v>
      </c>
      <c r="BW352" s="6"/>
      <c r="BX352" s="6"/>
      <c r="BY352" s="6"/>
      <c r="BZ352" s="6"/>
    </row>
    <row r="353">
      <c r="A353" s="12">
        <f>IFERROR(__xludf.DUMMYFUNCTION("""COMPUTED_VALUE"""),1.092860237E9)</f>
        <v>1092860237</v>
      </c>
      <c r="B353" s="6">
        <f>IFERROR(__xludf.DUMMYFUNCTION("""COMPUTED_VALUE"""),8.0)</f>
        <v>8</v>
      </c>
      <c r="C353" s="6" t="str">
        <f>IFERROR(__xludf.DUMMYFUNCTION("""COMPUTED_VALUE"""),"César")</f>
        <v>César</v>
      </c>
      <c r="D353" s="6"/>
      <c r="E353" s="6" t="str">
        <f>IFERROR(__xludf.DUMMYFUNCTION("""COMPUTED_VALUE"""),"Londoño Ramírez")</f>
        <v>Londoño Ramírez</v>
      </c>
      <c r="F353" s="6" t="str">
        <f>IFERROR(__xludf.DUMMYFUNCTION("""COMPUTED_VALUE"""),"Lagos de Iraka Casa 159B - Km 12 Via Armenia - El Caimo")</f>
        <v>Lagos de Iraka Casa 159B - Km 12 Via Armenia - El Caimo</v>
      </c>
      <c r="G353" s="12" t="str">
        <f>IFERROR(__xludf.DUMMYFUNCTION("""COMPUTED_VALUE"""),"2016")</f>
        <v>2016</v>
      </c>
      <c r="H353" s="6" t="str">
        <f>IFERROR(__xludf.DUMMYFUNCTION("""COMPUTED_VALUE"""),"Julio")</f>
        <v>Julio</v>
      </c>
      <c r="I353" s="12" t="str">
        <f>IFERROR(__xludf.DUMMYFUNCTION("""COMPUTED_VALUE"""),"20")</f>
        <v>20</v>
      </c>
      <c r="J353" s="6" t="str">
        <f>IFERROR(__xludf.DUMMYFUNCTION("""COMPUTED_VALUE"""),"Calarcá")</f>
        <v>Calarcá</v>
      </c>
      <c r="K353" s="6" t="str">
        <f>IFERROR(__xludf.DUMMYFUNCTION("""COMPUTED_VALUE"""),"cesar.l2034@gi.edu.co")</f>
        <v>cesar.l2034@gi.edu.co</v>
      </c>
      <c r="L353" s="6" t="str">
        <f>IFERROR(__xludf.DUMMYFUNCTION("""COMPUTED_VALUE"""),"TI")</f>
        <v>TI</v>
      </c>
      <c r="M353" s="6" t="str">
        <f>IFERROR(__xludf.DUMMYFUNCTION("""COMPUTED_VALUE"""),"Armenia")</f>
        <v>Armenia</v>
      </c>
      <c r="N353" s="6" t="str">
        <f>IFERROR(__xludf.DUMMYFUNCTION("""COMPUTED_VALUE"""),"M")</f>
        <v>M</v>
      </c>
      <c r="O353" s="6" t="str">
        <f>IFERROR(__xludf.DUMMYFUNCTION("""COMPUTED_VALUE"""),"ACTIVE")</f>
        <v>ACTIVE</v>
      </c>
      <c r="P353" s="6"/>
      <c r="Q353" s="6" t="str">
        <f>IFERROR(__xludf.DUMMYFUNCTION("""COMPUTED_VALUE"""),"Calarcá")</f>
        <v>Calarcá</v>
      </c>
      <c r="R353" s="12" t="str">
        <f>IFERROR(__xludf.DUMMYFUNCTION("""COMPUTED_VALUE"""),"Gi36zr9*")</f>
        <v>Gi36zr9*</v>
      </c>
      <c r="S353" s="6" t="str">
        <f>IFERROR(__xludf.DUMMYFUNCTION("""COMPUTED_VALUE"""),"Londoño Ramírez César ")</f>
        <v>Londoño Ramírez César </v>
      </c>
      <c r="T353" s="6" t="str">
        <f>IFERROR(__xludf.DUMMYFUNCTION("""COMPUTED_VALUE"""),"VIVIANA RAMIREZ ESPINOSA")</f>
        <v>VIVIANA RAMIREZ ESPINOSA</v>
      </c>
      <c r="U353" s="12" t="str">
        <f>IFERROR(__xludf.DUMMYFUNCTION("""COMPUTED_VALUE"""),"41960691")</f>
        <v>41960691</v>
      </c>
      <c r="V353" s="6">
        <f>IFERROR(__xludf.DUMMYFUNCTION("""COMPUTED_VALUE"""),3.015726929E9)</f>
        <v>3015726929</v>
      </c>
      <c r="W353" s="6" t="str">
        <f>IFERROR(__xludf.DUMMYFUNCTION("""COMPUTED_VALUE"""),"amarilla19@gmail.com")</f>
        <v>amarilla19@gmail.com</v>
      </c>
      <c r="X353" s="12" t="str">
        <f>IFERROR(__xludf.DUMMYFUNCTION("""COMPUTED_VALUE"""),"O+")</f>
        <v>O+</v>
      </c>
      <c r="Y353" s="12" t="str">
        <f>IFERROR(__xludf.DUMMYFUNCTION("""COMPUTED_VALUE"""),"4")</f>
        <v>4</v>
      </c>
      <c r="Z353" s="12">
        <f>IFERROR(__xludf.DUMMYFUNCTION("""COMPUTED_VALUE"""),120313.0)</f>
        <v>120313</v>
      </c>
      <c r="AA353" s="6" t="str">
        <f>IFERROR(__xludf.DUMMYFUNCTION("""COMPUTED_VALUE"""),"SURA")</f>
        <v>SURA</v>
      </c>
      <c r="AB353" s="6"/>
      <c r="AC353" s="6"/>
      <c r="AD353" s="12" t="str">
        <f>IFERROR(__xludf.DUMMYFUNCTION("""COMPUTED_VALUE"""),"4A")</f>
        <v>4A</v>
      </c>
      <c r="AE353" s="12">
        <f>IFERROR(__xludf.DUMMYFUNCTION("""COMPUTED_VALUE"""),1.345282312E9)</f>
        <v>1345282312</v>
      </c>
      <c r="AF353" s="12" t="str">
        <f>IFERROR(__xludf.DUMMYFUNCTION("""COMPUTED_VALUE"""),"0691975971")</f>
        <v>0691975971</v>
      </c>
      <c r="AG353" s="12" t="str">
        <f>IFERROR(__xludf.DUMMYFUNCTION("""COMPUTED_VALUE"""),"Viviana")</f>
        <v>Viviana</v>
      </c>
      <c r="AH353" s="6"/>
      <c r="AI353" s="6" t="str">
        <f>IFERROR(__xludf.DUMMYFUNCTION("""COMPUTED_VALUE"""),"Ramírez Espinosa")</f>
        <v>Ramírez Espinosa</v>
      </c>
      <c r="AJ353" s="6" t="str">
        <f>IFERROR(__xludf.DUMMYFUNCTION("""COMPUTED_VALUE"""),"amarilla19@gmail.com")</f>
        <v>amarilla19@gmail.com</v>
      </c>
      <c r="AK353" s="6" t="str">
        <f>IFERROR(__xludf.DUMMYFUNCTION("""COMPUTED_VALUE"""),"artista plastica")</f>
        <v>artista plastica</v>
      </c>
      <c r="AL353" s="6"/>
      <c r="AM353" s="12" t="str">
        <f>IFERROR(__xludf.DUMMYFUNCTION("""COMPUTED_VALUE"""),"41960691")</f>
        <v>41960691</v>
      </c>
      <c r="AN353" s="6">
        <f>IFERROR(__xludf.DUMMYFUNCTION("""COMPUTED_VALUE"""),3.015726929E9)</f>
        <v>3015726929</v>
      </c>
      <c r="AO353" s="6" t="str">
        <f>IFERROR(__xludf.DUMMYFUNCTION("""COMPUTED_VALUE"""),"Madre")</f>
        <v>Madre</v>
      </c>
      <c r="AP353" s="6" t="str">
        <f>IFERROR(__xludf.DUMMYFUNCTION("""COMPUTED_VALUE"""),"Estudiante(s): Londoño Ramírez César &amp; Londoño Castellanos Enzo Felipe")</f>
        <v>Estudiante(s): Londoño Ramírez César &amp; Londoño Castellanos Enzo Felipe</v>
      </c>
      <c r="AQ353" s="6" t="str">
        <f>IFERROR(__xludf.DUMMYFUNCTION("""COMPUTED_VALUE"""),"120313*Gi")</f>
        <v>120313*Gi</v>
      </c>
      <c r="AR353" s="6" t="str">
        <f>IFERROR(__xludf.DUMMYFUNCTION("""COMPUTED_VALUE"""),"Mario")</f>
        <v>Mario</v>
      </c>
      <c r="AS353" s="6"/>
      <c r="AT353" s="6" t="str">
        <f>IFERROR(__xludf.DUMMYFUNCTION("""COMPUTED_VALUE"""),"Londoño Varon")</f>
        <v>Londoño Varon</v>
      </c>
      <c r="AU353" s="6" t="str">
        <f>IFERROR(__xludf.DUMMYFUNCTION("""COMPUTED_VALUE"""),"mariolond33@gmail.com")</f>
        <v>mariolond33@gmail.com</v>
      </c>
      <c r="AV353" s="6" t="str">
        <f>IFERROR(__xludf.DUMMYFUNCTION("""COMPUTED_VALUE"""),"Administrador empresas")</f>
        <v>Administrador empresas</v>
      </c>
      <c r="AW353" s="6"/>
      <c r="AX353" s="12" t="str">
        <f>IFERROR(__xludf.DUMMYFUNCTION("""COMPUTED_VALUE"""),"1094917171")</f>
        <v>1094917171</v>
      </c>
      <c r="AY353" s="12" t="str">
        <f>IFERROR(__xludf.DUMMYFUNCTION("""COMPUTED_VALUE"""),"3165894784")</f>
        <v>3165894784</v>
      </c>
      <c r="AZ353" s="6" t="str">
        <f>IFERROR(__xludf.DUMMYFUNCTION("""COMPUTED_VALUE"""),"Padre")</f>
        <v>Padre</v>
      </c>
      <c r="BA353" s="6"/>
      <c r="BB353" s="6"/>
      <c r="BC353" s="6"/>
      <c r="BD353" s="12" t="str">
        <f>IFERROR(__xludf.DUMMYFUNCTION("""COMPUTED_VALUE"""),"lon0008")</f>
        <v>lon0008</v>
      </c>
      <c r="BE353" s="6"/>
      <c r="BF353" s="6"/>
      <c r="BG353" s="6">
        <f>IFERROR(__xludf.DUMMYFUNCTION("""COMPUTED_VALUE"""),2035.0)</f>
        <v>2035</v>
      </c>
      <c r="BH353" s="15">
        <f>IFERROR(__xludf.DUMMYFUNCTION("""COMPUTED_VALUE"""),46211.50013888889)</f>
        <v>46211.50014</v>
      </c>
      <c r="BI353" s="6">
        <f>IFERROR(__xludf.DUMMYFUNCTION("""COMPUTED_VALUE"""),353.0)</f>
        <v>353</v>
      </c>
      <c r="BJ353" s="6"/>
      <c r="BK353" s="6"/>
      <c r="BL353" s="6" t="str">
        <f>IFERROR(__xludf.DUMMYFUNCTION("""COMPUTED_VALUE"""),"GISLON0008")</f>
        <v>GISLON0008</v>
      </c>
      <c r="BM353" s="6"/>
      <c r="BN353" s="6"/>
      <c r="BO353" s="6"/>
      <c r="BP353" s="6" t="str">
        <f>IFERROR(__xludf.DUMMYFUNCTION("""COMPUTED_VALUE"""),"XC_4_Futbol_M")</f>
        <v>XC_4_Futbol_M</v>
      </c>
      <c r="BQ353" s="6"/>
      <c r="BR353" s="6"/>
      <c r="BS353" s="6" t="str">
        <f>IFERROR(__xludf.DUMMYFUNCTION("""COMPUTED_VALUE"""),"XC_4_Futbol_M")</f>
        <v>XC_4_Futbol_M</v>
      </c>
      <c r="BT353" s="6" t="str">
        <f>IFERROR(__xludf.DUMMYFUNCTION("""COMPUTED_VALUE"""),"XC_4_Futbol_M")</f>
        <v>XC_4_Futbol_M</v>
      </c>
      <c r="BU353" s="6" t="str">
        <f>IFERROR(__xludf.DUMMYFUNCTION("""COMPUTED_VALUE"""),"SI")</f>
        <v>SI</v>
      </c>
      <c r="BV353" s="6" t="str">
        <f>IFERROR(__xludf.DUMMYFUNCTION("""COMPUTED_VALUE"""),"cesar.l2034")</f>
        <v>cesar.l2034</v>
      </c>
      <c r="BW353" s="6"/>
      <c r="BX353" s="6"/>
      <c r="BY353" s="6"/>
      <c r="BZ353" s="6"/>
    </row>
    <row r="354">
      <c r="A354" s="12">
        <f>IFERROR(__xludf.DUMMYFUNCTION("""COMPUTED_VALUE"""),1.107987619E9)</f>
        <v>1107987619</v>
      </c>
      <c r="B354" s="6">
        <f>IFERROR(__xludf.DUMMYFUNCTION("""COMPUTED_VALUE"""),9.0)</f>
        <v>9</v>
      </c>
      <c r="C354" s="6" t="str">
        <f>IFERROR(__xludf.DUMMYFUNCTION("""COMPUTED_VALUE"""),"Martín")</f>
        <v>Martín</v>
      </c>
      <c r="D354" s="6" t="str">
        <f>IFERROR(__xludf.DUMMYFUNCTION("""COMPUTED_VALUE"""),"Jerónimo")</f>
        <v>Jerónimo</v>
      </c>
      <c r="E354" s="6" t="str">
        <f>IFERROR(__xludf.DUMMYFUNCTION("""COMPUTED_VALUE"""),"Manrique Puerta")</f>
        <v>Manrique Puerta</v>
      </c>
      <c r="F354" s="6" t="str">
        <f>IFERROR(__xludf.DUMMYFUNCTION("""COMPUTED_VALUE"""),"Cond Villas de Circasia Casa N2")</f>
        <v>Cond Villas de Circasia Casa N2</v>
      </c>
      <c r="G354" s="12">
        <f>IFERROR(__xludf.DUMMYFUNCTION("""COMPUTED_VALUE"""),2016.0)</f>
        <v>2016</v>
      </c>
      <c r="H354" s="12" t="str">
        <f>IFERROR(__xludf.DUMMYFUNCTION("""COMPUTED_VALUE"""),"Agosto")</f>
        <v>Agosto</v>
      </c>
      <c r="I354" s="12">
        <f>IFERROR(__xludf.DUMMYFUNCTION("""COMPUTED_VALUE"""),11.0)</f>
        <v>11</v>
      </c>
      <c r="J354" s="6" t="str">
        <f>IFERROR(__xludf.DUMMYFUNCTION("""COMPUTED_VALUE"""),"Ibagué")</f>
        <v>Ibagué</v>
      </c>
      <c r="K354" s="12" t="str">
        <f>IFERROR(__xludf.DUMMYFUNCTION("""COMPUTED_VALUE"""),"martin.m2035@gi.edu.co")</f>
        <v>martin.m2035@gi.edu.co</v>
      </c>
      <c r="L354" s="6" t="str">
        <f>IFERROR(__xludf.DUMMYFUNCTION("""COMPUTED_VALUE"""),"TI")</f>
        <v>TI</v>
      </c>
      <c r="M354" s="6" t="str">
        <f>IFERROR(__xludf.DUMMYFUNCTION("""COMPUTED_VALUE"""),"Ibagué")</f>
        <v>Ibagué</v>
      </c>
      <c r="N354" s="6" t="str">
        <f>IFERROR(__xludf.DUMMYFUNCTION("""COMPUTED_VALUE"""),"M")</f>
        <v>M</v>
      </c>
      <c r="O354" s="6" t="str">
        <f>IFERROR(__xludf.DUMMYFUNCTION("""COMPUTED_VALUE"""),"ACTIVE")</f>
        <v>ACTIVE</v>
      </c>
      <c r="P354" s="6"/>
      <c r="Q354" s="6" t="str">
        <f>IFERROR(__xludf.DUMMYFUNCTION("""COMPUTED_VALUE"""),"Circasia")</f>
        <v>Circasia</v>
      </c>
      <c r="R354" s="12" t="str">
        <f>IFERROR(__xludf.DUMMYFUNCTION("""COMPUTED_VALUE"""),"GiJ9Vq4Y*")</f>
        <v>GiJ9Vq4Y*</v>
      </c>
      <c r="S354" s="6" t="str">
        <f>IFERROR(__xludf.DUMMYFUNCTION("""COMPUTED_VALUE"""),"Manrique Puerta Martín Jerónimo")</f>
        <v>Manrique Puerta Martín Jerónimo</v>
      </c>
      <c r="T354" s="6" t="str">
        <f>IFERROR(__xludf.DUMMYFUNCTION("""COMPUTED_VALUE"""),"ALVARO IVAN MANRIQUE BOCANEGRA")</f>
        <v>ALVARO IVAN MANRIQUE BOCANEGRA</v>
      </c>
      <c r="U354" s="12" t="str">
        <f>IFERROR(__xludf.DUMMYFUNCTION("""COMPUTED_VALUE"""),"1110511196")</f>
        <v>1110511196</v>
      </c>
      <c r="V354" s="6">
        <f>IFERROR(__xludf.DUMMYFUNCTION("""COMPUTED_VALUE"""),3.203928961E9)</f>
        <v>3203928961</v>
      </c>
      <c r="W354" s="6" t="str">
        <f>IFERROR(__xludf.DUMMYFUNCTION("""COMPUTED_VALUE"""),"alivan90@gmail.com")</f>
        <v>alivan90@gmail.com</v>
      </c>
      <c r="X354" s="12" t="str">
        <f>IFERROR(__xludf.DUMMYFUNCTION("""COMPUTED_VALUE"""),"B+")</f>
        <v>B+</v>
      </c>
      <c r="Y354" s="12">
        <f>IFERROR(__xludf.DUMMYFUNCTION("""COMPUTED_VALUE"""),4.0)</f>
        <v>4</v>
      </c>
      <c r="Z354" s="6">
        <f>IFERROR(__xludf.DUMMYFUNCTION("""COMPUTED_VALUE"""),120617.0)</f>
        <v>120617</v>
      </c>
      <c r="AA354" s="6" t="str">
        <f>IFERROR(__xludf.DUMMYFUNCTION("""COMPUTED_VALUE"""),"SALUD TOTAL")</f>
        <v>SALUD TOTAL</v>
      </c>
      <c r="AB354" s="6"/>
      <c r="AC354" s="6"/>
      <c r="AD354" s="12" t="str">
        <f>IFERROR(__xludf.DUMMYFUNCTION("""COMPUTED_VALUE"""),"4A")</f>
        <v>4A</v>
      </c>
      <c r="AE354" s="12" t="str">
        <f>IFERROR(__xludf.DUMMYFUNCTION("""COMPUTED_VALUE"""),"1345282635")</f>
        <v>1345282635</v>
      </c>
      <c r="AF354" s="6"/>
      <c r="AG354" s="12" t="str">
        <f>IFERROR(__xludf.DUMMYFUNCTION("""COMPUTED_VALUE"""),"Yessica")</f>
        <v>Yessica</v>
      </c>
      <c r="AH354" s="12" t="str">
        <f>IFERROR(__xludf.DUMMYFUNCTION("""COMPUTED_VALUE"""),"Lizeth")</f>
        <v>Lizeth</v>
      </c>
      <c r="AI354" s="6" t="str">
        <f>IFERROR(__xludf.DUMMYFUNCTION("""COMPUTED_VALUE"""),"Puerta Vanegas")</f>
        <v>Puerta Vanegas</v>
      </c>
      <c r="AJ354" s="6" t="str">
        <f>IFERROR(__xludf.DUMMYFUNCTION("""COMPUTED_VALUE"""),"yessicapuerta1108@gmail.com")</f>
        <v>yessicapuerta1108@gmail.com</v>
      </c>
      <c r="AK354" s="6" t="str">
        <f>IFERROR(__xludf.DUMMYFUNCTION("""COMPUTED_VALUE"""),"CONTADORA")</f>
        <v>CONTADORA</v>
      </c>
      <c r="AL354" s="6" t="str">
        <f>IFERROR(__xludf.DUMMYFUNCTION("""COMPUTED_VALUE"""),"RESTAURANTE LA CUESTA DE LA ABUELA")</f>
        <v>RESTAURANTE LA CUESTA DE LA ABUELA</v>
      </c>
      <c r="AM354" s="12" t="str">
        <f>IFERROR(__xludf.DUMMYFUNCTION("""COMPUTED_VALUE"""),"1110523543")</f>
        <v>1110523543</v>
      </c>
      <c r="AN354" s="12" t="str">
        <f>IFERROR(__xludf.DUMMYFUNCTION("""COMPUTED_VALUE"""),"3045236243")</f>
        <v>3045236243</v>
      </c>
      <c r="AO354" s="6" t="str">
        <f>IFERROR(__xludf.DUMMYFUNCTION("""COMPUTED_VALUE"""),"Madre")</f>
        <v>Madre</v>
      </c>
      <c r="AP354" s="6" t="str">
        <f>IFERROR(__xludf.DUMMYFUNCTION("""COMPUTED_VALUE"""),"Estudiante(s): Manrique Puerta")</f>
        <v>Estudiante(s): Manrique Puerta</v>
      </c>
      <c r="AQ354" s="6" t="str">
        <f>IFERROR(__xludf.DUMMYFUNCTION("""COMPUTED_VALUE"""),"120617*Gi")</f>
        <v>120617*Gi</v>
      </c>
      <c r="AR354" s="6" t="str">
        <f>IFERROR(__xludf.DUMMYFUNCTION("""COMPUTED_VALUE"""),"Álvaro")</f>
        <v>Álvaro</v>
      </c>
      <c r="AS354" s="6" t="str">
        <f>IFERROR(__xludf.DUMMYFUNCTION("""COMPUTED_VALUE"""),"Iván")</f>
        <v>Iván</v>
      </c>
      <c r="AT354" s="6" t="str">
        <f>IFERROR(__xludf.DUMMYFUNCTION("""COMPUTED_VALUE"""),"Manrique Bocanegra")</f>
        <v>Manrique Bocanegra</v>
      </c>
      <c r="AU354" s="6" t="str">
        <f>IFERROR(__xludf.DUMMYFUNCTION("""COMPUTED_VALUE"""),"alivan90@gmail.com")</f>
        <v>alivan90@gmail.com</v>
      </c>
      <c r="AV354" s="6" t="str">
        <f>IFERROR(__xludf.DUMMYFUNCTION("""COMPUTED_VALUE"""),"INGENIERO DE SISTEMAS")</f>
        <v>INGENIERO DE SISTEMAS</v>
      </c>
      <c r="AW354" s="6" t="str">
        <f>IFERROR(__xludf.DUMMYFUNCTION("""COMPUTED_VALUE"""),"RESTAURANTE LA CUESTA DE LA ABUELA")</f>
        <v>RESTAURANTE LA CUESTA DE LA ABUELA</v>
      </c>
      <c r="AX354" s="12" t="str">
        <f>IFERROR(__xludf.DUMMYFUNCTION("""COMPUTED_VALUE"""),"1110511196")</f>
        <v>1110511196</v>
      </c>
      <c r="AY354" s="12" t="str">
        <f>IFERROR(__xludf.DUMMYFUNCTION("""COMPUTED_VALUE"""),"3203928961")</f>
        <v>3203928961</v>
      </c>
      <c r="AZ354" s="6" t="str">
        <f>IFERROR(__xludf.DUMMYFUNCTION("""COMPUTED_VALUE"""),"Padre")</f>
        <v>Padre</v>
      </c>
      <c r="BA354" s="6"/>
      <c r="BB354" s="6"/>
      <c r="BC354" s="6"/>
      <c r="BD354" s="12" t="str">
        <f>IFERROR(__xludf.DUMMYFUNCTION("""COMPUTED_VALUE"""),"man0006")</f>
        <v>man0006</v>
      </c>
      <c r="BE354" s="6" t="str">
        <f>IFERROR(__xludf.DUMMYFUNCTION("""COMPUTED_VALUE"""),"NUEVO(A)")</f>
        <v>NUEVO(A)</v>
      </c>
      <c r="BF354" s="6"/>
      <c r="BG354" s="6">
        <f>IFERROR(__xludf.DUMMYFUNCTION("""COMPUTED_VALUE"""),2035.0)</f>
        <v>2035</v>
      </c>
      <c r="BH354" s="15">
        <f>IFERROR(__xludf.DUMMYFUNCTION("""COMPUTED_VALUE"""),46204.51372685185)</f>
        <v>46204.51373</v>
      </c>
      <c r="BI354" s="6">
        <f>IFERROR(__xludf.DUMMYFUNCTION("""COMPUTED_VALUE"""),354.0)</f>
        <v>354</v>
      </c>
      <c r="BJ354" s="6"/>
      <c r="BK354" s="6"/>
      <c r="BL354" s="6" t="str">
        <f>IFERROR(__xludf.DUMMYFUNCTION("""COMPUTED_VALUE"""),"GISMAN0006")</f>
        <v>GISMAN0006</v>
      </c>
      <c r="BM354" s="6"/>
      <c r="BN354" s="6"/>
      <c r="BO354" s="6"/>
      <c r="BP354" s="6"/>
      <c r="BQ354" s="6"/>
      <c r="BR354" s="6"/>
      <c r="BS354" s="6"/>
      <c r="BT354" s="6"/>
      <c r="BU354" s="6" t="str">
        <f>IFERROR(__xludf.DUMMYFUNCTION("""COMPUTED_VALUE"""),"SI")</f>
        <v>SI</v>
      </c>
      <c r="BV354" s="12" t="str">
        <f>IFERROR(__xludf.DUMMYFUNCTION("""COMPUTED_VALUE"""),"martin.m2035")</f>
        <v>martin.m2035</v>
      </c>
      <c r="BW354" s="6"/>
      <c r="BX354" s="6"/>
      <c r="BY354" s="6"/>
      <c r="BZ354" s="6"/>
    </row>
    <row r="355">
      <c r="A355" s="12">
        <f>IFERROR(__xludf.DUMMYFUNCTION("""COMPUTED_VALUE"""),1.104955716E9)</f>
        <v>1104955716</v>
      </c>
      <c r="B355" s="6">
        <f>IFERROR(__xludf.DUMMYFUNCTION("""COMPUTED_VALUE"""),10.0)</f>
        <v>10</v>
      </c>
      <c r="C355" s="6" t="str">
        <f>IFERROR(__xludf.DUMMYFUNCTION("""COMPUTED_VALUE"""),"Matias")</f>
        <v>Matias</v>
      </c>
      <c r="D355" s="6"/>
      <c r="E355" s="6" t="str">
        <f>IFERROR(__xludf.DUMMYFUNCTION("""COMPUTED_VALUE"""),"Mejía Cabrera")</f>
        <v>Mejía Cabrera</v>
      </c>
      <c r="F355" s="6" t="str">
        <f>IFERROR(__xludf.DUMMYFUNCTION("""COMPUTED_VALUE"""),"Lagos de Iraka Conjunto Casa 32 - Km 7 Via Armenia - El Caimo")</f>
        <v>Lagos de Iraka Conjunto Casa 32 - Km 7 Via Armenia - El Caimo</v>
      </c>
      <c r="G355" s="12" t="str">
        <f>IFERROR(__xludf.DUMMYFUNCTION("""COMPUTED_VALUE"""),"2017")</f>
        <v>2017</v>
      </c>
      <c r="H355" s="6" t="str">
        <f>IFERROR(__xludf.DUMMYFUNCTION("""COMPUTED_VALUE"""),"Marzo")</f>
        <v>Marzo</v>
      </c>
      <c r="I355" s="12" t="str">
        <f>IFERROR(__xludf.DUMMYFUNCTION("""COMPUTED_VALUE"""),"2")</f>
        <v>2</v>
      </c>
      <c r="J355" s="6" t="str">
        <f>IFERROR(__xludf.DUMMYFUNCTION("""COMPUTED_VALUE"""),"Ibagué")</f>
        <v>Ibagué</v>
      </c>
      <c r="K355" s="6" t="str">
        <f>IFERROR(__xludf.DUMMYFUNCTION("""COMPUTED_VALUE"""),"matias.m2035@gi.edu.co")</f>
        <v>matias.m2035@gi.edu.co</v>
      </c>
      <c r="L355" s="6" t="str">
        <f>IFERROR(__xludf.DUMMYFUNCTION("""COMPUTED_VALUE"""),"TI")</f>
        <v>TI</v>
      </c>
      <c r="M355" s="6" t="str">
        <f>IFERROR(__xludf.DUMMYFUNCTION("""COMPUTED_VALUE"""),"Armenia")</f>
        <v>Armenia</v>
      </c>
      <c r="N355" s="6" t="str">
        <f>IFERROR(__xludf.DUMMYFUNCTION("""COMPUTED_VALUE"""),"M")</f>
        <v>M</v>
      </c>
      <c r="O355" s="6" t="str">
        <f>IFERROR(__xludf.DUMMYFUNCTION("""COMPUTED_VALUE"""),"ACTIVE")</f>
        <v>ACTIVE</v>
      </c>
      <c r="P355" s="6"/>
      <c r="Q355" s="6" t="str">
        <f>IFERROR(__xludf.DUMMYFUNCTION("""COMPUTED_VALUE"""),"Armenia")</f>
        <v>Armenia</v>
      </c>
      <c r="R355" s="12" t="str">
        <f>IFERROR(__xludf.DUMMYFUNCTION("""COMPUTED_VALUE"""),"Gi344ff*")</f>
        <v>Gi344ff*</v>
      </c>
      <c r="S355" s="6" t="str">
        <f>IFERROR(__xludf.DUMMYFUNCTION("""COMPUTED_VALUE"""),"Mejía Cabrera Matias ")</f>
        <v>Mejía Cabrera Matias </v>
      </c>
      <c r="T355" s="6" t="str">
        <f>IFERROR(__xludf.DUMMYFUNCTION("""COMPUTED_VALUE"""),"ESTEBAN MEJIA TORRES")</f>
        <v>ESTEBAN MEJIA TORRES</v>
      </c>
      <c r="U355" s="12" t="str">
        <f>IFERROR(__xludf.DUMMYFUNCTION("""COMPUTED_VALUE"""),"1110466519")</f>
        <v>1110466519</v>
      </c>
      <c r="V355" s="6">
        <f>IFERROR(__xludf.DUMMYFUNCTION("""COMPUTED_VALUE"""),3.115334755E9)</f>
        <v>3115334755</v>
      </c>
      <c r="W355" s="6" t="str">
        <f>IFERROR(__xludf.DUMMYFUNCTION("""COMPUTED_VALUE"""),"emejiatorres@gmail.com")</f>
        <v>emejiatorres@gmail.com</v>
      </c>
      <c r="X355" s="12" t="str">
        <f>IFERROR(__xludf.DUMMYFUNCTION("""COMPUTED_VALUE"""),"O+")</f>
        <v>O+</v>
      </c>
      <c r="Y355" s="12" t="str">
        <f>IFERROR(__xludf.DUMMYFUNCTION("""COMPUTED_VALUE"""),"4")</f>
        <v>4</v>
      </c>
      <c r="Z355" s="12">
        <f>IFERROR(__xludf.DUMMYFUNCTION("""COMPUTED_VALUE"""),120296.0)</f>
        <v>120296</v>
      </c>
      <c r="AA355" s="6" t="str">
        <f>IFERROR(__xludf.DUMMYFUNCTION("""COMPUTED_VALUE"""),"SALUD TOTAL")</f>
        <v>SALUD TOTAL</v>
      </c>
      <c r="AB355" s="6"/>
      <c r="AC355" s="6"/>
      <c r="AD355" s="12" t="str">
        <f>IFERROR(__xludf.DUMMYFUNCTION("""COMPUTED_VALUE"""),"4A")</f>
        <v>4A</v>
      </c>
      <c r="AE355" s="12">
        <f>IFERROR(__xludf.DUMMYFUNCTION("""COMPUTED_VALUE"""),1.345282281E9)</f>
        <v>1345282281</v>
      </c>
      <c r="AF355" s="12" t="str">
        <f>IFERROR(__xludf.DUMMYFUNCTION("""COMPUTED_VALUE"""),"0682641651")</f>
        <v>0682641651</v>
      </c>
      <c r="AG355" s="12" t="str">
        <f>IFERROR(__xludf.DUMMYFUNCTION("""COMPUTED_VALUE"""),"Laura")</f>
        <v>Laura</v>
      </c>
      <c r="AH355" s="6"/>
      <c r="AI355" s="6" t="str">
        <f>IFERROR(__xludf.DUMMYFUNCTION("""COMPUTED_VALUE"""),"Cabrera Niño")</f>
        <v>Cabrera Niño</v>
      </c>
      <c r="AJ355" s="6" t="str">
        <f>IFERROR(__xludf.DUMMYFUNCTION("""COMPUTED_VALUE"""),"atelier.lauracabrera@gmail.com")</f>
        <v>atelier.lauracabrera@gmail.com</v>
      </c>
      <c r="AK355" s="6" t="str">
        <f>IFERROR(__xludf.DUMMYFUNCTION("""COMPUTED_VALUE"""),"DISEÑADORA DE JOYAS")</f>
        <v>DISEÑADORA DE JOYAS</v>
      </c>
      <c r="AL355" s="6"/>
      <c r="AM355" s="12" t="str">
        <f>IFERROR(__xludf.DUMMYFUNCTION("""COMPUTED_VALUE"""),"1094884629")</f>
        <v>1094884629</v>
      </c>
      <c r="AN355" s="12" t="str">
        <f>IFERROR(__xludf.DUMMYFUNCTION("""COMPUTED_VALUE"""),"3148876369")</f>
        <v>3148876369</v>
      </c>
      <c r="AO355" s="6" t="str">
        <f>IFERROR(__xludf.DUMMYFUNCTION("""COMPUTED_VALUE"""),"Madre")</f>
        <v>Madre</v>
      </c>
      <c r="AP355" s="6" t="str">
        <f>IFERROR(__xludf.DUMMYFUNCTION("""COMPUTED_VALUE"""),"Estudiante(s): Mejía Cabrera")</f>
        <v>Estudiante(s): Mejía Cabrera</v>
      </c>
      <c r="AQ355" s="6" t="str">
        <f>IFERROR(__xludf.DUMMYFUNCTION("""COMPUTED_VALUE"""),"120296*Gi")</f>
        <v>120296*Gi</v>
      </c>
      <c r="AR355" s="6" t="str">
        <f>IFERROR(__xludf.DUMMYFUNCTION("""COMPUTED_VALUE"""),"Esteban")</f>
        <v>Esteban</v>
      </c>
      <c r="AS355" s="6"/>
      <c r="AT355" s="6" t="str">
        <f>IFERROR(__xludf.DUMMYFUNCTION("""COMPUTED_VALUE"""),"Mejía Torres")</f>
        <v>Mejía Torres</v>
      </c>
      <c r="AU355" s="6" t="str">
        <f>IFERROR(__xludf.DUMMYFUNCTION("""COMPUTED_VALUE"""),"emejiatorres@gmail.com")</f>
        <v>emejiatorres@gmail.com</v>
      </c>
      <c r="AV355" s="6" t="str">
        <f>IFERROR(__xludf.DUMMYFUNCTION("""COMPUTED_VALUE"""),"ADMINISTRADOR DE EMPRESAS")</f>
        <v>ADMINISTRADOR DE EMPRESAS</v>
      </c>
      <c r="AW355" s="6" t="str">
        <f>IFERROR(__xludf.DUMMYFUNCTION("""COMPUTED_VALUE"""),"NIÑO SANCHEZ HERMANOS SAS")</f>
        <v>NIÑO SANCHEZ HERMANOS SAS</v>
      </c>
      <c r="AX355" s="12" t="str">
        <f>IFERROR(__xludf.DUMMYFUNCTION("""COMPUTED_VALUE"""),"1110466519")</f>
        <v>1110466519</v>
      </c>
      <c r="AY355" s="6">
        <f>IFERROR(__xludf.DUMMYFUNCTION("""COMPUTED_VALUE"""),3.115334755E9)</f>
        <v>3115334755</v>
      </c>
      <c r="AZ355" s="6" t="str">
        <f>IFERROR(__xludf.DUMMYFUNCTION("""COMPUTED_VALUE"""),"Padre")</f>
        <v>Padre</v>
      </c>
      <c r="BA355" s="6"/>
      <c r="BB355" s="6"/>
      <c r="BC355" s="6"/>
      <c r="BD355" s="12" t="str">
        <f>IFERROR(__xludf.DUMMYFUNCTION("""COMPUTED_VALUE"""),"mej0005")</f>
        <v>mej0005</v>
      </c>
      <c r="BE355" s="6"/>
      <c r="BF355" s="6"/>
      <c r="BG355" s="6">
        <f>IFERROR(__xludf.DUMMYFUNCTION("""COMPUTED_VALUE"""),2035.0)</f>
        <v>2035</v>
      </c>
      <c r="BH355" s="15">
        <f>IFERROR(__xludf.DUMMYFUNCTION("""COMPUTED_VALUE"""),46210.32184027778)</f>
        <v>46210.32184</v>
      </c>
      <c r="BI355" s="6">
        <f>IFERROR(__xludf.DUMMYFUNCTION("""COMPUTED_VALUE"""),355.0)</f>
        <v>355</v>
      </c>
      <c r="BJ355" s="6"/>
      <c r="BK355" s="6"/>
      <c r="BL355" s="6" t="str">
        <f>IFERROR(__xludf.DUMMYFUNCTION("""COMPUTED_VALUE"""),"GISMEJ0005")</f>
        <v>GISMEJ0005</v>
      </c>
      <c r="BM355" s="6"/>
      <c r="BN355" s="6"/>
      <c r="BO355" s="6"/>
      <c r="BP355" s="6" t="str">
        <f>IFERROR(__xludf.DUMMYFUNCTION("""COMPUTED_VALUE"""),"XC_4_Futbol_M")</f>
        <v>XC_4_Futbol_M</v>
      </c>
      <c r="BQ355" s="6"/>
      <c r="BR355" s="6"/>
      <c r="BS355" s="6" t="str">
        <f>IFERROR(__xludf.DUMMYFUNCTION("""COMPUTED_VALUE"""),"XC_4_Futbol_M")</f>
        <v>XC_4_Futbol_M</v>
      </c>
      <c r="BT355" s="6" t="str">
        <f>IFERROR(__xludf.DUMMYFUNCTION("""COMPUTED_VALUE"""),"XC_4_Futbol_M")</f>
        <v>XC_4_Futbol_M</v>
      </c>
      <c r="BU355" s="6" t="str">
        <f>IFERROR(__xludf.DUMMYFUNCTION("""COMPUTED_VALUE"""),"SI")</f>
        <v>SI</v>
      </c>
      <c r="BV355" s="6" t="str">
        <f>IFERROR(__xludf.DUMMYFUNCTION("""COMPUTED_VALUE"""),"matias.m2035")</f>
        <v>matias.m2035</v>
      </c>
      <c r="BW355" s="6"/>
      <c r="BX355" s="6"/>
      <c r="BY355" s="6"/>
      <c r="BZ355" s="6"/>
    </row>
    <row r="356">
      <c r="A356" s="12">
        <f>IFERROR(__xludf.DUMMYFUNCTION("""COMPUTED_VALUE"""),1.092861164E9)</f>
        <v>1092861164</v>
      </c>
      <c r="B356" s="6">
        <f>IFERROR(__xludf.DUMMYFUNCTION("""COMPUTED_VALUE"""),11.0)</f>
        <v>11</v>
      </c>
      <c r="C356" s="6" t="str">
        <f>IFERROR(__xludf.DUMMYFUNCTION("""COMPUTED_VALUE"""),"Paulina")</f>
        <v>Paulina</v>
      </c>
      <c r="D356" s="6"/>
      <c r="E356" s="6" t="str">
        <f>IFERROR(__xludf.DUMMYFUNCTION("""COMPUTED_VALUE"""),"Montoya Castaño")</f>
        <v>Montoya Castaño</v>
      </c>
      <c r="F356" s="6" t="str">
        <f>IFERROR(__xludf.DUMMYFUNCTION("""COMPUTED_VALUE"""),"Bosques de Pinares - Manzana 5 Casa 106")</f>
        <v>Bosques de Pinares - Manzana 5 Casa 106</v>
      </c>
      <c r="G356" s="12" t="str">
        <f>IFERROR(__xludf.DUMMYFUNCTION("""COMPUTED_VALUE"""),"2017")</f>
        <v>2017</v>
      </c>
      <c r="H356" s="6" t="str">
        <f>IFERROR(__xludf.DUMMYFUNCTION("""COMPUTED_VALUE"""),"Junio")</f>
        <v>Junio</v>
      </c>
      <c r="I356" s="12" t="str">
        <f>IFERROR(__xludf.DUMMYFUNCTION("""COMPUTED_VALUE"""),"18")</f>
        <v>18</v>
      </c>
      <c r="J356" s="6" t="str">
        <f>IFERROR(__xludf.DUMMYFUNCTION("""COMPUTED_VALUE"""),"Armenia")</f>
        <v>Armenia</v>
      </c>
      <c r="K356" s="6" t="str">
        <f>IFERROR(__xludf.DUMMYFUNCTION("""COMPUTED_VALUE"""),"paulina.m2035@gi.edu.co")</f>
        <v>paulina.m2035@gi.edu.co</v>
      </c>
      <c r="L356" s="6" t="str">
        <f>IFERROR(__xludf.DUMMYFUNCTION("""COMPUTED_VALUE"""),"TI")</f>
        <v>TI</v>
      </c>
      <c r="M356" s="6" t="str">
        <f>IFERROR(__xludf.DUMMYFUNCTION("""COMPUTED_VALUE"""),"Armenia")</f>
        <v>Armenia</v>
      </c>
      <c r="N356" s="6" t="str">
        <f>IFERROR(__xludf.DUMMYFUNCTION("""COMPUTED_VALUE"""),"F")</f>
        <v>F</v>
      </c>
      <c r="O356" s="6" t="str">
        <f>IFERROR(__xludf.DUMMYFUNCTION("""COMPUTED_VALUE"""),"ACTIVE")</f>
        <v>ACTIVE</v>
      </c>
      <c r="P356" s="6"/>
      <c r="Q356" s="6" t="str">
        <f>IFERROR(__xludf.DUMMYFUNCTION("""COMPUTED_VALUE"""),"Armenia")</f>
        <v>Armenia</v>
      </c>
      <c r="R356" s="12" t="str">
        <f>IFERROR(__xludf.DUMMYFUNCTION("""COMPUTED_VALUE"""),"Gihgrn36*")</f>
        <v>Gihgrn36*</v>
      </c>
      <c r="S356" s="6" t="str">
        <f>IFERROR(__xludf.DUMMYFUNCTION("""COMPUTED_VALUE"""),"Montoya Castaño Paulina ")</f>
        <v>Montoya Castaño Paulina </v>
      </c>
      <c r="T356" s="6" t="str">
        <f>IFERROR(__xludf.DUMMYFUNCTION("""COMPUTED_VALUE"""),"JOSE HOOVER MONTOYA")</f>
        <v>JOSE HOOVER MONTOYA</v>
      </c>
      <c r="U356" s="12" t="str">
        <f>IFERROR(__xludf.DUMMYFUNCTION("""COMPUTED_VALUE"""),"7514003")</f>
        <v>7514003</v>
      </c>
      <c r="V356" s="6">
        <f>IFERROR(__xludf.DUMMYFUNCTION("""COMPUTED_VALUE"""),3.122596071E9)</f>
        <v>3122596071</v>
      </c>
      <c r="W356" s="6" t="str">
        <f>IFERROR(__xludf.DUMMYFUNCTION("""COMPUTED_VALUE"""),"hoover48@live.com")</f>
        <v>hoover48@live.com</v>
      </c>
      <c r="X356" s="12" t="str">
        <f>IFERROR(__xludf.DUMMYFUNCTION("""COMPUTED_VALUE"""),"O+")</f>
        <v>O+</v>
      </c>
      <c r="Y356" s="12" t="str">
        <f>IFERROR(__xludf.DUMMYFUNCTION("""COMPUTED_VALUE"""),"4")</f>
        <v>4</v>
      </c>
      <c r="Z356" s="12">
        <f>IFERROR(__xludf.DUMMYFUNCTION("""COMPUTED_VALUE"""),120222.0)</f>
        <v>120222</v>
      </c>
      <c r="AA356" s="6" t="str">
        <f>IFERROR(__xludf.DUMMYFUNCTION("""COMPUTED_VALUE"""),"SURA")</f>
        <v>SURA</v>
      </c>
      <c r="AB356" s="6"/>
      <c r="AC356" s="6"/>
      <c r="AD356" s="12" t="str">
        <f>IFERROR(__xludf.DUMMYFUNCTION("""COMPUTED_VALUE"""),"4A")</f>
        <v>4A</v>
      </c>
      <c r="AE356" s="12">
        <f>IFERROR(__xludf.DUMMYFUNCTION("""COMPUTED_VALUE"""),1.345282218E9)</f>
        <v>1345282218</v>
      </c>
      <c r="AF356" s="12" t="str">
        <f>IFERROR(__xludf.DUMMYFUNCTION("""COMPUTED_VALUE"""),"0695569331")</f>
        <v>0695569331</v>
      </c>
      <c r="AG356" s="12" t="str">
        <f>IFERROR(__xludf.DUMMYFUNCTION("""COMPUTED_VALUE"""),"Juliana")</f>
        <v>Juliana</v>
      </c>
      <c r="AH356" s="6"/>
      <c r="AI356" s="6" t="str">
        <f>IFERROR(__xludf.DUMMYFUNCTION("""COMPUTED_VALUE"""),"Castaño Orjuela")</f>
        <v>Castaño Orjuela</v>
      </c>
      <c r="AJ356" s="6" t="str">
        <f>IFERROR(__xludf.DUMMYFUNCTION("""COMPUTED_VALUE"""),"anajulka384@hotmail.com")</f>
        <v>anajulka384@hotmail.com</v>
      </c>
      <c r="AK356" s="6" t="str">
        <f>IFERROR(__xludf.DUMMYFUNCTION("""COMPUTED_VALUE"""),"ADMINISTRADORA DE NEGOCIOS")</f>
        <v>ADMINISTRADORA DE NEGOCIOS</v>
      </c>
      <c r="AL356" s="6" t="str">
        <f>IFERROR(__xludf.DUMMYFUNCTION("""COMPUTED_VALUE"""),"INDEPENDIENTE")</f>
        <v>INDEPENDIENTE</v>
      </c>
      <c r="AM356" s="12" t="str">
        <f>IFERROR(__xludf.DUMMYFUNCTION("""COMPUTED_VALUE"""),"41958731")</f>
        <v>41958731</v>
      </c>
      <c r="AN356" s="12" t="str">
        <f>IFERROR(__xludf.DUMMYFUNCTION("""COMPUTED_VALUE"""),"3146615856")</f>
        <v>3146615856</v>
      </c>
      <c r="AO356" s="6" t="str">
        <f>IFERROR(__xludf.DUMMYFUNCTION("""COMPUTED_VALUE"""),"Madre")</f>
        <v>Madre</v>
      </c>
      <c r="AP356" s="6" t="str">
        <f>IFERROR(__xludf.DUMMYFUNCTION("""COMPUTED_VALUE"""),"Estudiante(s): Montoya Castaño")</f>
        <v>Estudiante(s): Montoya Castaño</v>
      </c>
      <c r="AQ356" s="6" t="str">
        <f>IFERROR(__xludf.DUMMYFUNCTION("""COMPUTED_VALUE"""),"120222*Gi")</f>
        <v>120222*Gi</v>
      </c>
      <c r="AR356" s="6" t="str">
        <f>IFERROR(__xludf.DUMMYFUNCTION("""COMPUTED_VALUE"""),"José")</f>
        <v>José</v>
      </c>
      <c r="AS356" s="6" t="str">
        <f>IFERROR(__xludf.DUMMYFUNCTION("""COMPUTED_VALUE"""),"Hoover")</f>
        <v>Hoover</v>
      </c>
      <c r="AT356" s="6" t="str">
        <f>IFERROR(__xludf.DUMMYFUNCTION("""COMPUTED_VALUE"""),"Montoya")</f>
        <v>Montoya</v>
      </c>
      <c r="AU356" s="6" t="str">
        <f>IFERROR(__xludf.DUMMYFUNCTION("""COMPUTED_VALUE"""),"hoover48@live.com")</f>
        <v>hoover48@live.com</v>
      </c>
      <c r="AV356" s="6" t="str">
        <f>IFERROR(__xludf.DUMMYFUNCTION("""COMPUTED_VALUE"""),"AVICULTOR")</f>
        <v>AVICULTOR</v>
      </c>
      <c r="AW356" s="6" t="str">
        <f>IFERROR(__xludf.DUMMYFUNCTION("""COMPUTED_VALUE"""),"INDEPENDIENTE")</f>
        <v>INDEPENDIENTE</v>
      </c>
      <c r="AX356" s="12" t="str">
        <f>IFERROR(__xludf.DUMMYFUNCTION("""COMPUTED_VALUE"""),"7514003")</f>
        <v>7514003</v>
      </c>
      <c r="AY356" s="12" t="str">
        <f>IFERROR(__xludf.DUMMYFUNCTION("""COMPUTED_VALUE"""),"3122596071")</f>
        <v>3122596071</v>
      </c>
      <c r="AZ356" s="6" t="str">
        <f>IFERROR(__xludf.DUMMYFUNCTION("""COMPUTED_VALUE"""),"Padre")</f>
        <v>Padre</v>
      </c>
      <c r="BA356" s="6"/>
      <c r="BB356" s="6"/>
      <c r="BC356" s="6"/>
      <c r="BD356" s="12" t="str">
        <f>IFERROR(__xludf.DUMMYFUNCTION("""COMPUTED_VALUE"""),"mon0016")</f>
        <v>mon0016</v>
      </c>
      <c r="BE356" s="6"/>
      <c r="BF356" s="6"/>
      <c r="BG356" s="6">
        <f>IFERROR(__xludf.DUMMYFUNCTION("""COMPUTED_VALUE"""),2035.0)</f>
        <v>2035</v>
      </c>
      <c r="BH356" s="15">
        <f>IFERROR(__xludf.DUMMYFUNCTION("""COMPUTED_VALUE"""),46211.86525462963)</f>
        <v>46211.86525</v>
      </c>
      <c r="BI356" s="6">
        <f>IFERROR(__xludf.DUMMYFUNCTION("""COMPUTED_VALUE"""),356.0)</f>
        <v>356</v>
      </c>
      <c r="BJ356" s="6"/>
      <c r="BK356" s="6"/>
      <c r="BL356" s="6" t="str">
        <f>IFERROR(__xludf.DUMMYFUNCTION("""COMPUTED_VALUE"""),"GISMON0016")</f>
        <v>GISMON0016</v>
      </c>
      <c r="BM356" s="6"/>
      <c r="BN356" s="6"/>
      <c r="BO356" s="6"/>
      <c r="BP356" s="6" t="str">
        <f>IFERROR(__xludf.DUMMYFUNCTION("""COMPUTED_VALUE"""),"XC_45_Voleibol")</f>
        <v>XC_45_Voleibol</v>
      </c>
      <c r="BQ356" s="6"/>
      <c r="BR356" s="6"/>
      <c r="BS356" s="6" t="str">
        <f>IFERROR(__xludf.DUMMYFUNCTION("""COMPUTED_VALUE"""),"XC_45_Voleibol")</f>
        <v>XC_45_Voleibol</v>
      </c>
      <c r="BT356" s="6" t="str">
        <f>IFERROR(__xludf.DUMMYFUNCTION("""COMPUTED_VALUE"""),"XC_45_Voleibol")</f>
        <v>XC_45_Voleibol</v>
      </c>
      <c r="BU356" s="6" t="str">
        <f>IFERROR(__xludf.DUMMYFUNCTION("""COMPUTED_VALUE"""),"SI")</f>
        <v>SI</v>
      </c>
      <c r="BV356" s="6" t="str">
        <f>IFERROR(__xludf.DUMMYFUNCTION("""COMPUTED_VALUE"""),"paulina.m2035")</f>
        <v>paulina.m2035</v>
      </c>
      <c r="BW356" s="6"/>
      <c r="BX356" s="6"/>
      <c r="BY356" s="6"/>
      <c r="BZ356" s="6"/>
    </row>
    <row r="357">
      <c r="A357" s="12">
        <f>IFERROR(__xludf.DUMMYFUNCTION("""COMPUTED_VALUE"""),1.016913851E9)</f>
        <v>1016913851</v>
      </c>
      <c r="B357" s="6">
        <f>IFERROR(__xludf.DUMMYFUNCTION("""COMPUTED_VALUE"""),12.0)</f>
        <v>12</v>
      </c>
      <c r="C357" s="6" t="str">
        <f>IFERROR(__xludf.DUMMYFUNCTION("""COMPUTED_VALUE"""),"Rebeca")</f>
        <v>Rebeca</v>
      </c>
      <c r="D357" s="6"/>
      <c r="E357" s="6" t="str">
        <f>IFERROR(__xludf.DUMMYFUNCTION("""COMPUTED_VALUE"""),"Murillo Nieto")</f>
        <v>Murillo Nieto</v>
      </c>
      <c r="F357" s="6" t="str">
        <f>IFERROR(__xludf.DUMMYFUNCTION("""COMPUTED_VALUE"""),"Tejares del Parque Casa 8  - Cra 13 No8Nte - 49 La Castellana")</f>
        <v>Tejares del Parque Casa 8  - Cra 13 No8Nte - 49 La Castellana</v>
      </c>
      <c r="G357" s="12" t="str">
        <f>IFERROR(__xludf.DUMMYFUNCTION("""COMPUTED_VALUE"""),"2017")</f>
        <v>2017</v>
      </c>
      <c r="H357" s="6" t="str">
        <f>IFERROR(__xludf.DUMMYFUNCTION("""COMPUTED_VALUE"""),"Junio")</f>
        <v>Junio</v>
      </c>
      <c r="I357" s="12" t="str">
        <f>IFERROR(__xludf.DUMMYFUNCTION("""COMPUTED_VALUE"""),"7")</f>
        <v>7</v>
      </c>
      <c r="J357" s="6" t="str">
        <f>IFERROR(__xludf.DUMMYFUNCTION("""COMPUTED_VALUE"""),"Bogotá D.C.")</f>
        <v>Bogotá D.C.</v>
      </c>
      <c r="K357" s="6" t="str">
        <f>IFERROR(__xludf.DUMMYFUNCTION("""COMPUTED_VALUE"""),"rebeca.m2035@gi.edu.co")</f>
        <v>rebeca.m2035@gi.edu.co</v>
      </c>
      <c r="L357" s="6" t="str">
        <f>IFERROR(__xludf.DUMMYFUNCTION("""COMPUTED_VALUE"""),"RC")</f>
        <v>RC</v>
      </c>
      <c r="M357" s="6" t="str">
        <f>IFERROR(__xludf.DUMMYFUNCTION("""COMPUTED_VALUE"""),"Bogotá D.C.")</f>
        <v>Bogotá D.C.</v>
      </c>
      <c r="N357" s="6" t="str">
        <f>IFERROR(__xludf.DUMMYFUNCTION("""COMPUTED_VALUE"""),"F")</f>
        <v>F</v>
      </c>
      <c r="O357" s="6" t="str">
        <f>IFERROR(__xludf.DUMMYFUNCTION("""COMPUTED_VALUE"""),"ACTIVE")</f>
        <v>ACTIVE</v>
      </c>
      <c r="P357" s="6"/>
      <c r="Q357" s="6" t="str">
        <f>IFERROR(__xludf.DUMMYFUNCTION("""COMPUTED_VALUE"""),"Armenia")</f>
        <v>Armenia</v>
      </c>
      <c r="R357" s="12" t="str">
        <f>IFERROR(__xludf.DUMMYFUNCTION("""COMPUTED_VALUE"""),"Gidaur8*")</f>
        <v>Gidaur8*</v>
      </c>
      <c r="S357" s="6" t="str">
        <f>IFERROR(__xludf.DUMMYFUNCTION("""COMPUTED_VALUE"""),"Murillo Nieto Rebeca ")</f>
        <v>Murillo Nieto Rebeca </v>
      </c>
      <c r="T357" s="6" t="str">
        <f>IFERROR(__xludf.DUMMYFUNCTION("""COMPUTED_VALUE"""),"MANUEL RICARDO MURILLO ROMERO")</f>
        <v>MANUEL RICARDO MURILLO ROMERO</v>
      </c>
      <c r="U357" s="12" t="str">
        <f>IFERROR(__xludf.DUMMYFUNCTION("""COMPUTED_VALUE"""),"80135809")</f>
        <v>80135809</v>
      </c>
      <c r="V357" s="6">
        <f>IFERROR(__xludf.DUMMYFUNCTION("""COMPUTED_VALUE"""),3.203861333E9)</f>
        <v>3203861333</v>
      </c>
      <c r="W357" s="6" t="str">
        <f>IFERROR(__xludf.DUMMYFUNCTION("""COMPUTED_VALUE"""),"manuelrmurillo@gmail.com")</f>
        <v>manuelrmurillo@gmail.com</v>
      </c>
      <c r="X357" s="12" t="str">
        <f>IFERROR(__xludf.DUMMYFUNCTION("""COMPUTED_VALUE"""),"O+")</f>
        <v>O+</v>
      </c>
      <c r="Y357" s="12" t="str">
        <f>IFERROR(__xludf.DUMMYFUNCTION("""COMPUTED_VALUE"""),"4")</f>
        <v>4</v>
      </c>
      <c r="Z357" s="12">
        <f>IFERROR(__xludf.DUMMYFUNCTION("""COMPUTED_VALUE"""),120265.0)</f>
        <v>120265</v>
      </c>
      <c r="AA357" s="6" t="str">
        <f>IFERROR(__xludf.DUMMYFUNCTION("""COMPUTED_VALUE"""),"SANITAS")</f>
        <v>SANITAS</v>
      </c>
      <c r="AB357" s="6"/>
      <c r="AC357" s="12" t="str">
        <f>IFERROR(__xludf.DUMMYFUNCTION("""COMPUTED_VALUE"""),"si:")</f>
        <v>si:</v>
      </c>
      <c r="AD357" s="12" t="str">
        <f>IFERROR(__xludf.DUMMYFUNCTION("""COMPUTED_VALUE"""),"4A")</f>
        <v>4A</v>
      </c>
      <c r="AE357" s="12">
        <f>IFERROR(__xludf.DUMMYFUNCTION("""COMPUTED_VALUE"""),1.34528228E9)</f>
        <v>1345282280</v>
      </c>
      <c r="AF357" s="12" t="str">
        <f>IFERROR(__xludf.DUMMYFUNCTION("""COMPUTED_VALUE"""),"0692147299")</f>
        <v>0692147299</v>
      </c>
      <c r="AG357" s="12" t="str">
        <f>IFERROR(__xludf.DUMMYFUNCTION("""COMPUTED_VALUE"""),"Maria")</f>
        <v>Maria</v>
      </c>
      <c r="AH357" s="12" t="str">
        <f>IFERROR(__xludf.DUMMYFUNCTION("""COMPUTED_VALUE"""),"Victoria")</f>
        <v>Victoria</v>
      </c>
      <c r="AI357" s="6" t="str">
        <f>IFERROR(__xludf.DUMMYFUNCTION("""COMPUTED_VALUE"""),"Nieto Aristizábal")</f>
        <v>Nieto Aristizábal</v>
      </c>
      <c r="AJ357" s="6" t="str">
        <f>IFERROR(__xludf.DUMMYFUNCTION("""COMPUTED_VALUE"""),"mavicnieto@gmail.com")</f>
        <v>mavicnieto@gmail.com</v>
      </c>
      <c r="AK357" s="6" t="str">
        <f>IFERROR(__xludf.DUMMYFUNCTION("""COMPUTED_VALUE"""),"MERCADEO")</f>
        <v>MERCADEO</v>
      </c>
      <c r="AL357" s="6" t="str">
        <f>IFERROR(__xludf.DUMMYFUNCTION("""COMPUTED_VALUE"""),"Ordenando con Victoria")</f>
        <v>Ordenando con Victoria</v>
      </c>
      <c r="AM357" s="12" t="str">
        <f>IFERROR(__xludf.DUMMYFUNCTION("""COMPUTED_VALUE"""),"41953607")</f>
        <v>41953607</v>
      </c>
      <c r="AN357" s="12" t="str">
        <f>IFERROR(__xludf.DUMMYFUNCTION("""COMPUTED_VALUE"""),"3148697543")</f>
        <v>3148697543</v>
      </c>
      <c r="AO357" s="6" t="str">
        <f>IFERROR(__xludf.DUMMYFUNCTION("""COMPUTED_VALUE"""),"Madre")</f>
        <v>Madre</v>
      </c>
      <c r="AP357" s="6" t="str">
        <f>IFERROR(__xludf.DUMMYFUNCTION("""COMPUTED_VALUE"""),"Estudiante(s): Murillo Nieto")</f>
        <v>Estudiante(s): Murillo Nieto</v>
      </c>
      <c r="AQ357" s="6" t="str">
        <f>IFERROR(__xludf.DUMMYFUNCTION("""COMPUTED_VALUE"""),"120265Gi*")</f>
        <v>120265Gi*</v>
      </c>
      <c r="AR357" s="6" t="str">
        <f>IFERROR(__xludf.DUMMYFUNCTION("""COMPUTED_VALUE"""),"Manuel")</f>
        <v>Manuel</v>
      </c>
      <c r="AS357" s="6" t="str">
        <f>IFERROR(__xludf.DUMMYFUNCTION("""COMPUTED_VALUE"""),"Ricardo")</f>
        <v>Ricardo</v>
      </c>
      <c r="AT357" s="6" t="str">
        <f>IFERROR(__xludf.DUMMYFUNCTION("""COMPUTED_VALUE"""),"Murillo Romero")</f>
        <v>Murillo Romero</v>
      </c>
      <c r="AU357" s="6" t="str">
        <f>IFERROR(__xludf.DUMMYFUNCTION("""COMPUTED_VALUE"""),"manuelrmurillo@gmail.com")</f>
        <v>manuelrmurillo@gmail.com</v>
      </c>
      <c r="AV357" s="6" t="str">
        <f>IFERROR(__xludf.DUMMYFUNCTION("""COMPUTED_VALUE"""),"INGENIERO DE SISTEMAS")</f>
        <v>INGENIERO DE SISTEMAS</v>
      </c>
      <c r="AW357" s="6" t="str">
        <f>IFERROR(__xludf.DUMMYFUNCTION("""COMPUTED_VALUE"""),"Didáctica Empresarial")</f>
        <v>Didáctica Empresarial</v>
      </c>
      <c r="AX357" s="12" t="str">
        <f>IFERROR(__xludf.DUMMYFUNCTION("""COMPUTED_VALUE"""),"80135809")</f>
        <v>80135809</v>
      </c>
      <c r="AY357" s="12" t="str">
        <f>IFERROR(__xludf.DUMMYFUNCTION("""COMPUTED_VALUE"""),"3203861333")</f>
        <v>3203861333</v>
      </c>
      <c r="AZ357" s="6" t="str">
        <f>IFERROR(__xludf.DUMMYFUNCTION("""COMPUTED_VALUE"""),"Padre")</f>
        <v>Padre</v>
      </c>
      <c r="BA357" s="6"/>
      <c r="BB357" s="6"/>
      <c r="BC357" s="6"/>
      <c r="BD357" s="12" t="str">
        <f>IFERROR(__xludf.DUMMYFUNCTION("""COMPUTED_VALUE"""),"mur0002")</f>
        <v>mur0002</v>
      </c>
      <c r="BE357" s="6"/>
      <c r="BF357" s="6"/>
      <c r="BG357" s="6">
        <f>IFERROR(__xludf.DUMMYFUNCTION("""COMPUTED_VALUE"""),2035.0)</f>
        <v>2035</v>
      </c>
      <c r="BH357" s="15">
        <f>IFERROR(__xludf.DUMMYFUNCTION("""COMPUTED_VALUE"""),46212.64776620371)</f>
        <v>46212.64777</v>
      </c>
      <c r="BI357" s="6">
        <f>IFERROR(__xludf.DUMMYFUNCTION("""COMPUTED_VALUE"""),357.0)</f>
        <v>357</v>
      </c>
      <c r="BJ357" s="6"/>
      <c r="BK357" s="6"/>
      <c r="BL357" s="6" t="str">
        <f>IFERROR(__xludf.DUMMYFUNCTION("""COMPUTED_VALUE"""),"GISMUR0002")</f>
        <v>GISMUR0002</v>
      </c>
      <c r="BM357" s="6"/>
      <c r="BN357" s="6"/>
      <c r="BO357" s="6"/>
      <c r="BP357" s="6" t="str">
        <f>IFERROR(__xludf.DUMMYFUNCTION("""COMPUTED_VALUE"""),"XC_45_Voleibol")</f>
        <v>XC_45_Voleibol</v>
      </c>
      <c r="BQ357" s="6"/>
      <c r="BR357" s="6" t="str">
        <f>IFERROR(__xludf.DUMMYFUNCTION("""COMPUTED_VALUE"""),"XC_EL_DanzaModerna")</f>
        <v>XC_EL_DanzaModerna</v>
      </c>
      <c r="BS357" s="6" t="str">
        <f>IFERROR(__xludf.DUMMYFUNCTION("""COMPUTED_VALUE"""),"XC_45_Voleibol")</f>
        <v>XC_45_Voleibol</v>
      </c>
      <c r="BT357" s="6" t="str">
        <f>IFERROR(__xludf.DUMMYFUNCTION("""COMPUTED_VALUE"""),"XC_45_Voleibol")</f>
        <v>XC_45_Voleibol</v>
      </c>
      <c r="BU357" s="6" t="str">
        <f>IFERROR(__xludf.DUMMYFUNCTION("""COMPUTED_VALUE"""),"SI")</f>
        <v>SI</v>
      </c>
      <c r="BV357" s="6" t="str">
        <f>IFERROR(__xludf.DUMMYFUNCTION("""COMPUTED_VALUE"""),"rebeca.m2035")</f>
        <v>rebeca.m2035</v>
      </c>
      <c r="BW357" s="6"/>
      <c r="BX357" s="6"/>
      <c r="BY357" s="6"/>
      <c r="BZ357" s="6"/>
    </row>
    <row r="358">
      <c r="A358" s="12">
        <f>IFERROR(__xludf.DUMMYFUNCTION("""COMPUTED_VALUE"""),1.014893118E9)</f>
        <v>1014893118</v>
      </c>
      <c r="B358" s="6">
        <f>IFERROR(__xludf.DUMMYFUNCTION("""COMPUTED_VALUE"""),13.0)</f>
        <v>13</v>
      </c>
      <c r="C358" s="6" t="str">
        <f>IFERROR(__xludf.DUMMYFUNCTION("""COMPUTED_VALUE"""),"Agustín")</f>
        <v>Agustín</v>
      </c>
      <c r="D358" s="6"/>
      <c r="E358" s="6" t="str">
        <f>IFERROR(__xludf.DUMMYFUNCTION("""COMPUTED_VALUE"""),"Oñate Mayorga")</f>
        <v>Oñate Mayorga</v>
      </c>
      <c r="F358" s="6" t="str">
        <f>IFERROR(__xludf.DUMMYFUNCTION("""COMPUTED_VALUE"""),"Finca San Juan - Km 1.5 Via Club Campestre El Caimo Vereda Marmato")</f>
        <v>Finca San Juan - Km 1.5 Via Club Campestre El Caimo Vereda Marmato</v>
      </c>
      <c r="G358" s="12" t="str">
        <f>IFERROR(__xludf.DUMMYFUNCTION("""COMPUTED_VALUE"""),"2016")</f>
        <v>2016</v>
      </c>
      <c r="H358" s="6" t="str">
        <f>IFERROR(__xludf.DUMMYFUNCTION("""COMPUTED_VALUE"""),"Octubre")</f>
        <v>Octubre</v>
      </c>
      <c r="I358" s="12" t="str">
        <f>IFERROR(__xludf.DUMMYFUNCTION("""COMPUTED_VALUE"""),"5")</f>
        <v>5</v>
      </c>
      <c r="J358" s="6" t="str">
        <f>IFERROR(__xludf.DUMMYFUNCTION("""COMPUTED_VALUE"""),"Bogotá D.C.")</f>
        <v>Bogotá D.C.</v>
      </c>
      <c r="K358" s="6" t="str">
        <f>IFERROR(__xludf.DUMMYFUNCTION("""COMPUTED_VALUE"""),"agustin.o2035@gi.edu.co")</f>
        <v>agustin.o2035@gi.edu.co</v>
      </c>
      <c r="L358" s="6" t="str">
        <f>IFERROR(__xludf.DUMMYFUNCTION("""COMPUTED_VALUE"""),"TI")</f>
        <v>TI</v>
      </c>
      <c r="M358" s="6" t="str">
        <f>IFERROR(__xludf.DUMMYFUNCTION("""COMPUTED_VALUE"""),"Armenia")</f>
        <v>Armenia</v>
      </c>
      <c r="N358" s="6" t="str">
        <f>IFERROR(__xludf.DUMMYFUNCTION("""COMPUTED_VALUE"""),"M")</f>
        <v>M</v>
      </c>
      <c r="O358" s="6" t="str">
        <f>IFERROR(__xludf.DUMMYFUNCTION("""COMPUTED_VALUE"""),"ACTIVE")</f>
        <v>ACTIVE</v>
      </c>
      <c r="P358" s="6"/>
      <c r="Q358" s="6" t="str">
        <f>IFERROR(__xludf.DUMMYFUNCTION("""COMPUTED_VALUE"""),"El Edén")</f>
        <v>El Edén</v>
      </c>
      <c r="R358" s="12" t="str">
        <f>IFERROR(__xludf.DUMMYFUNCTION("""COMPUTED_VALUE"""),"Gimjh76hgz*")</f>
        <v>Gimjh76hgz*</v>
      </c>
      <c r="S358" s="6" t="str">
        <f>IFERROR(__xludf.DUMMYFUNCTION("""COMPUTED_VALUE"""),"Oñate Mayorga Agustín ")</f>
        <v>Oñate Mayorga Agustín </v>
      </c>
      <c r="T358" s="6" t="str">
        <f>IFERROR(__xludf.DUMMYFUNCTION("""COMPUTED_VALUE"""),"OSCAR MAURICIO OÑATE GONZALEZ")</f>
        <v>OSCAR MAURICIO OÑATE GONZALEZ</v>
      </c>
      <c r="U358" s="12" t="str">
        <f>IFERROR(__xludf.DUMMYFUNCTION("""COMPUTED_VALUE"""),"79950796")</f>
        <v>79950796</v>
      </c>
      <c r="V358" s="6">
        <f>IFERROR(__xludf.DUMMYFUNCTION("""COMPUTED_VALUE"""),3.203067725E9)</f>
        <v>3203067725</v>
      </c>
      <c r="W358" s="6" t="str">
        <f>IFERROR(__xludf.DUMMYFUNCTION("""COMPUTED_VALUE"""),"osnatin@hotmail.com")</f>
        <v>osnatin@hotmail.com</v>
      </c>
      <c r="X358" s="12" t="str">
        <f>IFERROR(__xludf.DUMMYFUNCTION("""COMPUTED_VALUE"""),"O+")</f>
        <v>O+</v>
      </c>
      <c r="Y358" s="12" t="str">
        <f>IFERROR(__xludf.DUMMYFUNCTION("""COMPUTED_VALUE"""),"4")</f>
        <v>4</v>
      </c>
      <c r="Z358" s="12">
        <f>IFERROR(__xludf.DUMMYFUNCTION("""COMPUTED_VALUE"""),120105.0)</f>
        <v>120105</v>
      </c>
      <c r="AA358" s="6" t="str">
        <f>IFERROR(__xludf.DUMMYFUNCTION("""COMPUTED_VALUE"""),"COMPENSAR")</f>
        <v>COMPENSAR</v>
      </c>
      <c r="AB358" s="6"/>
      <c r="AC358" s="6" t="str">
        <f>IFERROR(__xludf.DUMMYFUNCTION("""COMPUTED_VALUE"""),"atopicas y alimenticias atopicas y alimenticias lacteos y derivados, soya y gluten")</f>
        <v>atopicas y alimenticias atopicas y alimenticias lacteos y derivados, soya y gluten</v>
      </c>
      <c r="AD358" s="12" t="str">
        <f>IFERROR(__xludf.DUMMYFUNCTION("""COMPUTED_VALUE"""),"4A")</f>
        <v>4A</v>
      </c>
      <c r="AE358" s="12">
        <f>IFERROR(__xludf.DUMMYFUNCTION("""COMPUTED_VALUE"""),1.34528205E9)</f>
        <v>1345282050</v>
      </c>
      <c r="AF358" s="12" t="str">
        <f>IFERROR(__xludf.DUMMYFUNCTION("""COMPUTED_VALUE"""),"0682223987")</f>
        <v>0682223987</v>
      </c>
      <c r="AG358" s="12" t="str">
        <f>IFERROR(__xludf.DUMMYFUNCTION("""COMPUTED_VALUE"""),"Jaenme")</f>
        <v>Jaenme</v>
      </c>
      <c r="AH358" s="12" t="str">
        <f>IFERROR(__xludf.DUMMYFUNCTION("""COMPUTED_VALUE"""),"Wendy")</f>
        <v>Wendy</v>
      </c>
      <c r="AI358" s="6" t="str">
        <f>IFERROR(__xludf.DUMMYFUNCTION("""COMPUTED_VALUE"""),"Mayorga Velasco")</f>
        <v>Mayorga Velasco</v>
      </c>
      <c r="AJ358" s="6" t="str">
        <f>IFERROR(__xludf.DUMMYFUNCTION("""COMPUTED_VALUE"""),"velascomayorgawendy@gmail.com")</f>
        <v>velascomayorgawendy@gmail.com</v>
      </c>
      <c r="AK358" s="6" t="str">
        <f>IFERROR(__xludf.DUMMYFUNCTION("""COMPUTED_VALUE"""),"Administradora de empresas")</f>
        <v>Administradora de empresas</v>
      </c>
      <c r="AL358" s="6" t="str">
        <f>IFERROR(__xludf.DUMMYFUNCTION("""COMPUTED_VALUE"""),"Wenbrulee")</f>
        <v>Wenbrulee</v>
      </c>
      <c r="AM358" s="12" t="str">
        <f>IFERROR(__xludf.DUMMYFUNCTION("""COMPUTED_VALUE"""),"52992144")</f>
        <v>52992144</v>
      </c>
      <c r="AN358" s="12" t="str">
        <f>IFERROR(__xludf.DUMMYFUNCTION("""COMPUTED_VALUE"""),"3164479545")</f>
        <v>3164479545</v>
      </c>
      <c r="AO358" s="6" t="str">
        <f>IFERROR(__xludf.DUMMYFUNCTION("""COMPUTED_VALUE"""),"Madre")</f>
        <v>Madre</v>
      </c>
      <c r="AP358" s="6" t="str">
        <f>IFERROR(__xludf.DUMMYFUNCTION("""COMPUTED_VALUE"""),"Estudiante(s): Oñate Mayorga")</f>
        <v>Estudiante(s): Oñate Mayorga</v>
      </c>
      <c r="AQ358" s="6" t="str">
        <f>IFERROR(__xludf.DUMMYFUNCTION("""COMPUTED_VALUE"""),"120105*Gi")</f>
        <v>120105*Gi</v>
      </c>
      <c r="AR358" s="6" t="str">
        <f>IFERROR(__xludf.DUMMYFUNCTION("""COMPUTED_VALUE"""),"Óscar")</f>
        <v>Óscar</v>
      </c>
      <c r="AS358" s="6" t="str">
        <f>IFERROR(__xludf.DUMMYFUNCTION("""COMPUTED_VALUE"""),"Mauricio")</f>
        <v>Mauricio</v>
      </c>
      <c r="AT358" s="6" t="str">
        <f>IFERROR(__xludf.DUMMYFUNCTION("""COMPUTED_VALUE"""),"Oñate González")</f>
        <v>Oñate González</v>
      </c>
      <c r="AU358" s="6" t="str">
        <f>IFERROR(__xludf.DUMMYFUNCTION("""COMPUTED_VALUE"""),"osnatin@hotmail.com")</f>
        <v>osnatin@hotmail.com</v>
      </c>
      <c r="AV358" s="6" t="str">
        <f>IFERROR(__xludf.DUMMYFUNCTION("""COMPUTED_VALUE"""),"Administrador de empresas")</f>
        <v>Administrador de empresas</v>
      </c>
      <c r="AW358" s="6" t="str">
        <f>IFERROR(__xludf.DUMMYFUNCTION("""COMPUTED_VALUE"""),"Representaciones la Esmeralda")</f>
        <v>Representaciones la Esmeralda</v>
      </c>
      <c r="AX358" s="12" t="str">
        <f>IFERROR(__xludf.DUMMYFUNCTION("""COMPUTED_VALUE"""),"79950796")</f>
        <v>79950796</v>
      </c>
      <c r="AY358" s="12" t="str">
        <f>IFERROR(__xludf.DUMMYFUNCTION("""COMPUTED_VALUE"""),"3203067725")</f>
        <v>3203067725</v>
      </c>
      <c r="AZ358" s="6" t="str">
        <f>IFERROR(__xludf.DUMMYFUNCTION("""COMPUTED_VALUE"""),"Padre")</f>
        <v>Padre</v>
      </c>
      <c r="BA358" s="6"/>
      <c r="BB358" s="6"/>
      <c r="BC358" s="6"/>
      <c r="BD358" s="12" t="str">
        <f>IFERROR(__xludf.DUMMYFUNCTION("""COMPUTED_VALUE"""),"ona0001")</f>
        <v>ona0001</v>
      </c>
      <c r="BE358" s="6"/>
      <c r="BF358" s="6"/>
      <c r="BG358" s="6">
        <f>IFERROR(__xludf.DUMMYFUNCTION("""COMPUTED_VALUE"""),2035.0)</f>
        <v>2035</v>
      </c>
      <c r="BH358" s="15">
        <f>IFERROR(__xludf.DUMMYFUNCTION("""COMPUTED_VALUE"""),46206.4559375)</f>
        <v>46206.45594</v>
      </c>
      <c r="BI358" s="6">
        <f>IFERROR(__xludf.DUMMYFUNCTION("""COMPUTED_VALUE"""),358.0)</f>
        <v>358</v>
      </c>
      <c r="BJ358" s="6"/>
      <c r="BK358" s="6" t="str">
        <f>IFERROR(__xludf.DUMMYFUNCTION("""COMPUTED_VALUE"""),"Si: desloratadina")</f>
        <v>Si: desloratadina</v>
      </c>
      <c r="BL358" s="6" t="str">
        <f>IFERROR(__xludf.DUMMYFUNCTION("""COMPUTED_VALUE"""),"GISONA0001")</f>
        <v>GISONA0001</v>
      </c>
      <c r="BM358" s="6"/>
      <c r="BN358" s="6"/>
      <c r="BO358" s="6"/>
      <c r="BP358" s="6"/>
      <c r="BQ358" s="6"/>
      <c r="BR358" s="6"/>
      <c r="BS358" s="6"/>
      <c r="BT358" s="6"/>
      <c r="BU358" s="6" t="str">
        <f>IFERROR(__xludf.DUMMYFUNCTION("""COMPUTED_VALUE"""),"SI")</f>
        <v>SI</v>
      </c>
      <c r="BV358" s="6" t="str">
        <f>IFERROR(__xludf.DUMMYFUNCTION("""COMPUTED_VALUE"""),"agustin.o2035")</f>
        <v>agustin.o2035</v>
      </c>
      <c r="BW358" s="6"/>
      <c r="BX358" s="6"/>
      <c r="BY358" s="6"/>
      <c r="BZ358" s="6"/>
    </row>
    <row r="359">
      <c r="A359" s="12">
        <f>IFERROR(__xludf.DUMMYFUNCTION("""COMPUTED_VALUE"""),1.092861544E9)</f>
        <v>1092861544</v>
      </c>
      <c r="B359" s="6">
        <f>IFERROR(__xludf.DUMMYFUNCTION("""COMPUTED_VALUE"""),14.0)</f>
        <v>14</v>
      </c>
      <c r="C359" s="6" t="str">
        <f>IFERROR(__xludf.DUMMYFUNCTION("""COMPUTED_VALUE"""),"Pablo")</f>
        <v>Pablo</v>
      </c>
      <c r="D359" s="6"/>
      <c r="E359" s="6" t="str">
        <f>IFERROR(__xludf.DUMMYFUNCTION("""COMPUTED_VALUE"""),"Osorio Londoño")</f>
        <v>Osorio Londoño</v>
      </c>
      <c r="F359" s="6" t="str">
        <f>IFERROR(__xludf.DUMMYFUNCTION("""COMPUTED_VALUE"""),"Condominio Campestre La Reserva Torre Malaga Apto 1402 - Cra 5 No10Nte - 25 Av Centenario")</f>
        <v>Condominio Campestre La Reserva Torre Malaga Apto 1402 - Cra 5 No10Nte - 25 Av Centenario</v>
      </c>
      <c r="G359" s="12" t="str">
        <f>IFERROR(__xludf.DUMMYFUNCTION("""COMPUTED_VALUE"""),"2017")</f>
        <v>2017</v>
      </c>
      <c r="H359" s="6" t="str">
        <f>IFERROR(__xludf.DUMMYFUNCTION("""COMPUTED_VALUE"""),"Octubre")</f>
        <v>Octubre</v>
      </c>
      <c r="I359" s="12" t="str">
        <f>IFERROR(__xludf.DUMMYFUNCTION("""COMPUTED_VALUE"""),"17")</f>
        <v>17</v>
      </c>
      <c r="J359" s="6" t="str">
        <f>IFERROR(__xludf.DUMMYFUNCTION("""COMPUTED_VALUE"""),"Armenia")</f>
        <v>Armenia</v>
      </c>
      <c r="K359" s="6" t="str">
        <f>IFERROR(__xludf.DUMMYFUNCTION("""COMPUTED_VALUE"""),"pablo.o2035@gi.edu.co")</f>
        <v>pablo.o2035@gi.edu.co</v>
      </c>
      <c r="L359" s="6" t="str">
        <f>IFERROR(__xludf.DUMMYFUNCTION("""COMPUTED_VALUE"""),"RC")</f>
        <v>RC</v>
      </c>
      <c r="M359" s="6" t="str">
        <f>IFERROR(__xludf.DUMMYFUNCTION("""COMPUTED_VALUE"""),"Armenia")</f>
        <v>Armenia</v>
      </c>
      <c r="N359" s="6" t="str">
        <f>IFERROR(__xludf.DUMMYFUNCTION("""COMPUTED_VALUE"""),"M")</f>
        <v>M</v>
      </c>
      <c r="O359" s="6" t="str">
        <f>IFERROR(__xludf.DUMMYFUNCTION("""COMPUTED_VALUE"""),"ACTIVE")</f>
        <v>ACTIVE</v>
      </c>
      <c r="P359" s="6"/>
      <c r="Q359" s="6" t="str">
        <f>IFERROR(__xludf.DUMMYFUNCTION("""COMPUTED_VALUE"""),"Armenia")</f>
        <v>Armenia</v>
      </c>
      <c r="R359" s="12" t="str">
        <f>IFERROR(__xludf.DUMMYFUNCTION("""COMPUTED_VALUE"""),"Gi369tr123*")</f>
        <v>Gi369tr123*</v>
      </c>
      <c r="S359" s="6" t="str">
        <f>IFERROR(__xludf.DUMMYFUNCTION("""COMPUTED_VALUE"""),"Osorio Londoño Pablo ")</f>
        <v>Osorio Londoño Pablo </v>
      </c>
      <c r="T359" s="6" t="str">
        <f>IFERROR(__xludf.DUMMYFUNCTION("""COMPUTED_VALUE"""),"JORGE HERNÁN OSORIO GIRALDO")</f>
        <v>JORGE HERNÁN OSORIO GIRALDO</v>
      </c>
      <c r="U359" s="12" t="str">
        <f>IFERROR(__xludf.DUMMYFUNCTION("""COMPUTED_VALUE"""),"79569972")</f>
        <v>79569972</v>
      </c>
      <c r="V359" s="6">
        <f>IFERROR(__xludf.DUMMYFUNCTION("""COMPUTED_VALUE"""),3.113189609E9)</f>
        <v>3113189609</v>
      </c>
      <c r="W359" s="6" t="str">
        <f>IFERROR(__xludf.DUMMYFUNCTION("""COMPUTED_VALUE"""),"jorgehog@yahoo.com")</f>
        <v>jorgehog@yahoo.com</v>
      </c>
      <c r="X359" s="12" t="str">
        <f>IFERROR(__xludf.DUMMYFUNCTION("""COMPUTED_VALUE"""),"A+")</f>
        <v>A+</v>
      </c>
      <c r="Y359" s="12" t="str">
        <f>IFERROR(__xludf.DUMMYFUNCTION("""COMPUTED_VALUE"""),"4")</f>
        <v>4</v>
      </c>
      <c r="Z359" s="12">
        <f>IFERROR(__xludf.DUMMYFUNCTION("""COMPUTED_VALUE"""),120062.0)</f>
        <v>120062</v>
      </c>
      <c r="AA359" s="6" t="str">
        <f>IFERROR(__xludf.DUMMYFUNCTION("""COMPUTED_VALUE"""),"SURA")</f>
        <v>SURA</v>
      </c>
      <c r="AB359" s="6"/>
      <c r="AC359" s="6"/>
      <c r="AD359" s="12" t="str">
        <f>IFERROR(__xludf.DUMMYFUNCTION("""COMPUTED_VALUE"""),"4A")</f>
        <v>4A</v>
      </c>
      <c r="AE359" s="12">
        <f>IFERROR(__xludf.DUMMYFUNCTION("""COMPUTED_VALUE"""),1.345282097E9)</f>
        <v>1345282097</v>
      </c>
      <c r="AF359" s="12" t="str">
        <f>IFERROR(__xludf.DUMMYFUNCTION("""COMPUTED_VALUE"""),"2872250563")</f>
        <v>2872250563</v>
      </c>
      <c r="AG359" s="12" t="str">
        <f>IFERROR(__xludf.DUMMYFUNCTION("""COMPUTED_VALUE"""),"María")</f>
        <v>María</v>
      </c>
      <c r="AH359" s="12" t="str">
        <f>IFERROR(__xludf.DUMMYFUNCTION("""COMPUTED_VALUE"""),"Paula")</f>
        <v>Paula</v>
      </c>
      <c r="AI359" s="6" t="str">
        <f>IFERROR(__xludf.DUMMYFUNCTION("""COMPUTED_VALUE"""),"Londoño Baena")</f>
        <v>Londoño Baena</v>
      </c>
      <c r="AJ359" s="6" t="str">
        <f>IFERROR(__xludf.DUMMYFUNCTION("""COMPUTED_VALUE"""),"mariapaula79@gmail.com")</f>
        <v>mariapaula79@gmail.com</v>
      </c>
      <c r="AK359" s="6" t="str">
        <f>IFERROR(__xludf.DUMMYFUNCTION("""COMPUTED_VALUE"""),"ING.AGROINDUSTRIAL")</f>
        <v>ING.AGROINDUSTRIAL</v>
      </c>
      <c r="AL359" s="6" t="str">
        <f>IFERROR(__xludf.DUMMYFUNCTION("""COMPUTED_VALUE"""),"FRUTEK SAS")</f>
        <v>FRUTEK SAS</v>
      </c>
      <c r="AM359" s="12" t="str">
        <f>IFERROR(__xludf.DUMMYFUNCTION("""COMPUTED_VALUE"""),"41944662")</f>
        <v>41944662</v>
      </c>
      <c r="AN359" s="12" t="str">
        <f>IFERROR(__xludf.DUMMYFUNCTION("""COMPUTED_VALUE"""),"3148901959")</f>
        <v>3148901959</v>
      </c>
      <c r="AO359" s="6" t="str">
        <f>IFERROR(__xludf.DUMMYFUNCTION("""COMPUTED_VALUE"""),"Madre")</f>
        <v>Madre</v>
      </c>
      <c r="AP359" s="6" t="str">
        <f>IFERROR(__xludf.DUMMYFUNCTION("""COMPUTED_VALUE"""),"Estudiante(s): Pablo Osorio Londoño &amp; Eva Arias Londoño")</f>
        <v>Estudiante(s): Pablo Osorio Londoño &amp; Eva Arias Londoño</v>
      </c>
      <c r="AQ359" s="6" t="str">
        <f>IFERROR(__xludf.DUMMYFUNCTION("""COMPUTED_VALUE"""),"120062*Gi")</f>
        <v>120062*Gi</v>
      </c>
      <c r="AR359" s="6" t="str">
        <f>IFERROR(__xludf.DUMMYFUNCTION("""COMPUTED_VALUE"""),"Jorge")</f>
        <v>Jorge</v>
      </c>
      <c r="AS359" s="6" t="str">
        <f>IFERROR(__xludf.DUMMYFUNCTION("""COMPUTED_VALUE"""),"Hernán")</f>
        <v>Hernán</v>
      </c>
      <c r="AT359" s="6" t="str">
        <f>IFERROR(__xludf.DUMMYFUNCTION("""COMPUTED_VALUE"""),"Osorio Giraldo")</f>
        <v>Osorio Giraldo</v>
      </c>
      <c r="AU359" s="6" t="str">
        <f>IFERROR(__xludf.DUMMYFUNCTION("""COMPUTED_VALUE"""),"jorgehog@yahoo.com")</f>
        <v>jorgehog@yahoo.com</v>
      </c>
      <c r="AV359" s="6" t="str">
        <f>IFERROR(__xludf.DUMMYFUNCTION("""COMPUTED_VALUE"""),"CIRUJANO GASTROINTESTINAL")</f>
        <v>CIRUJANO GASTROINTESTINAL</v>
      </c>
      <c r="AW359" s="6" t="str">
        <f>IFERROR(__xludf.DUMMYFUNCTION("""COMPUTED_VALUE"""),"ONCOLOGOS DE OCCIDENTE")</f>
        <v>ONCOLOGOS DE OCCIDENTE</v>
      </c>
      <c r="AX359" s="12" t="str">
        <f>IFERROR(__xludf.DUMMYFUNCTION("""COMPUTED_VALUE"""),"79569972")</f>
        <v>79569972</v>
      </c>
      <c r="AY359" s="12" t="str">
        <f>IFERROR(__xludf.DUMMYFUNCTION("""COMPUTED_VALUE"""),"3113189609")</f>
        <v>3113189609</v>
      </c>
      <c r="AZ359" s="6" t="str">
        <f>IFERROR(__xludf.DUMMYFUNCTION("""COMPUTED_VALUE"""),"Padre")</f>
        <v>Padre</v>
      </c>
      <c r="BA359" s="6"/>
      <c r="BB359" s="6"/>
      <c r="BC359" s="6"/>
      <c r="BD359" s="12" t="str">
        <f>IFERROR(__xludf.DUMMYFUNCTION("""COMPUTED_VALUE"""),"ari0026")</f>
        <v>ari0026</v>
      </c>
      <c r="BE359" s="6"/>
      <c r="BF359" s="6"/>
      <c r="BG359" s="6">
        <f>IFERROR(__xludf.DUMMYFUNCTION("""COMPUTED_VALUE"""),2035.0)</f>
        <v>2035</v>
      </c>
      <c r="BH359" s="15">
        <f>IFERROR(__xludf.DUMMYFUNCTION("""COMPUTED_VALUE"""),46211.362962962965)</f>
        <v>46211.36296</v>
      </c>
      <c r="BI359" s="6">
        <f>IFERROR(__xludf.DUMMYFUNCTION("""COMPUTED_VALUE"""),359.0)</f>
        <v>359</v>
      </c>
      <c r="BJ359" s="6"/>
      <c r="BK359" s="6"/>
      <c r="BL359" s="6" t="str">
        <f>IFERROR(__xludf.DUMMYFUNCTION("""COMPUTED_VALUE"""),"GISARI0026")</f>
        <v>GISARI0026</v>
      </c>
      <c r="BM359" s="6"/>
      <c r="BN359" s="6"/>
      <c r="BO359" s="6"/>
      <c r="BP359" s="6" t="str">
        <f>IFERROR(__xludf.DUMMYFUNCTION("""COMPUTED_VALUE"""),"XC_EL_Taekwondo")</f>
        <v>XC_EL_Taekwondo</v>
      </c>
      <c r="BQ359" s="6" t="str">
        <f>IFERROR(__xludf.DUMMYFUNCTION("""COMPUTED_VALUE"""),"XC_EL_Taekwondo")</f>
        <v>XC_EL_Taekwondo</v>
      </c>
      <c r="BR359" s="6"/>
      <c r="BS359" s="6" t="str">
        <f>IFERROR(__xludf.DUMMYFUNCTION("""COMPUTED_VALUE"""),"XC_EL_Taekwondo")</f>
        <v>XC_EL_Taekwondo</v>
      </c>
      <c r="BT359" s="6"/>
      <c r="BU359" s="6" t="str">
        <f>IFERROR(__xludf.DUMMYFUNCTION("""COMPUTED_VALUE"""),"SI")</f>
        <v>SI</v>
      </c>
      <c r="BV359" s="6" t="str">
        <f>IFERROR(__xludf.DUMMYFUNCTION("""COMPUTED_VALUE"""),"pablo.o2035")</f>
        <v>pablo.o2035</v>
      </c>
      <c r="BW359" s="6"/>
      <c r="BX359" s="6"/>
      <c r="BY359" s="6"/>
      <c r="BZ359" s="6"/>
    </row>
    <row r="360">
      <c r="A360" s="12">
        <f>IFERROR(__xludf.DUMMYFUNCTION("""COMPUTED_VALUE"""),1.019914922E9)</f>
        <v>1019914922</v>
      </c>
      <c r="B360" s="6">
        <f>IFERROR(__xludf.DUMMYFUNCTION("""COMPUTED_VALUE"""),15.0)</f>
        <v>15</v>
      </c>
      <c r="C360" s="6" t="str">
        <f>IFERROR(__xludf.DUMMYFUNCTION("""COMPUTED_VALUE"""),"Luciana")</f>
        <v>Luciana</v>
      </c>
      <c r="D360" s="6"/>
      <c r="E360" s="6" t="str">
        <f>IFERROR(__xludf.DUMMYFUNCTION("""COMPUTED_VALUE"""),"Pedraza Villa")</f>
        <v>Pedraza Villa</v>
      </c>
      <c r="F360" s="6" t="str">
        <f>IFERROR(__xludf.DUMMYFUNCTION("""COMPUTED_VALUE"""),"Cra 10 No11Nte - 40 Apto 602 - La Castellana")</f>
        <v>Cra 10 No11Nte - 40 Apto 602 - La Castellana</v>
      </c>
      <c r="G360" s="12" t="str">
        <f>IFERROR(__xludf.DUMMYFUNCTION("""COMPUTED_VALUE"""),"2017")</f>
        <v>2017</v>
      </c>
      <c r="H360" s="6" t="str">
        <f>IFERROR(__xludf.DUMMYFUNCTION("""COMPUTED_VALUE"""),"Junio")</f>
        <v>Junio</v>
      </c>
      <c r="I360" s="12" t="str">
        <f>IFERROR(__xludf.DUMMYFUNCTION("""COMPUTED_VALUE"""),"20")</f>
        <v>20</v>
      </c>
      <c r="J360" s="6" t="str">
        <f>IFERROR(__xludf.DUMMYFUNCTION("""COMPUTED_VALUE"""),"Bogotá D.C.")</f>
        <v>Bogotá D.C.</v>
      </c>
      <c r="K360" s="6" t="str">
        <f>IFERROR(__xludf.DUMMYFUNCTION("""COMPUTED_VALUE"""),"luciana.p2035@gi.edu.co")</f>
        <v>luciana.p2035@gi.edu.co</v>
      </c>
      <c r="L360" s="6" t="str">
        <f>IFERROR(__xludf.DUMMYFUNCTION("""COMPUTED_VALUE"""),"TI")</f>
        <v>TI</v>
      </c>
      <c r="M360" s="6" t="str">
        <f>IFERROR(__xludf.DUMMYFUNCTION("""COMPUTED_VALUE"""),"Armenia")</f>
        <v>Armenia</v>
      </c>
      <c r="N360" s="6" t="str">
        <f>IFERROR(__xludf.DUMMYFUNCTION("""COMPUTED_VALUE"""),"F")</f>
        <v>F</v>
      </c>
      <c r="O360" s="6" t="str">
        <f>IFERROR(__xludf.DUMMYFUNCTION("""COMPUTED_VALUE"""),"ACTIVE")</f>
        <v>ACTIVE</v>
      </c>
      <c r="P360" s="6"/>
      <c r="Q360" s="6" t="str">
        <f>IFERROR(__xludf.DUMMYFUNCTION("""COMPUTED_VALUE"""),"Armenia")</f>
        <v>Armenia</v>
      </c>
      <c r="R360" s="12" t="str">
        <f>IFERROR(__xludf.DUMMYFUNCTION("""COMPUTED_VALUE"""),"Gisdsdfc7*")</f>
        <v>Gisdsdfc7*</v>
      </c>
      <c r="S360" s="6" t="str">
        <f>IFERROR(__xludf.DUMMYFUNCTION("""COMPUTED_VALUE"""),"Pedraza Villa Luciana ")</f>
        <v>Pedraza Villa Luciana </v>
      </c>
      <c r="T360" s="6" t="str">
        <f>IFERROR(__xludf.DUMMYFUNCTION("""COMPUTED_VALUE"""),"FRANCISCO JAVIER PEDRAZA RINCON")</f>
        <v>FRANCISCO JAVIER PEDRAZA RINCON</v>
      </c>
      <c r="U360" s="12" t="str">
        <f>IFERROR(__xludf.DUMMYFUNCTION("""COMPUTED_VALUE"""),"79941616")</f>
        <v>79941616</v>
      </c>
      <c r="V360" s="6">
        <f>IFERROR(__xludf.DUMMYFUNCTION("""COMPUTED_VALUE"""),3.134961602E9)</f>
        <v>3134961602</v>
      </c>
      <c r="W360" s="6" t="str">
        <f>IFERROR(__xludf.DUMMYFUNCTION("""COMPUTED_VALUE"""),"franciscopedrazarincon@gmail.com")</f>
        <v>franciscopedrazarincon@gmail.com</v>
      </c>
      <c r="X360" s="12" t="str">
        <f>IFERROR(__xludf.DUMMYFUNCTION("""COMPUTED_VALUE"""),"O+")</f>
        <v>O+</v>
      </c>
      <c r="Y360" s="12" t="str">
        <f>IFERROR(__xludf.DUMMYFUNCTION("""COMPUTED_VALUE"""),"4")</f>
        <v>4</v>
      </c>
      <c r="Z360" s="12">
        <f>IFERROR(__xludf.DUMMYFUNCTION("""COMPUTED_VALUE"""),103962.0)</f>
        <v>103962</v>
      </c>
      <c r="AA360" s="6" t="str">
        <f>IFERROR(__xludf.DUMMYFUNCTION("""COMPUTED_VALUE"""),"SURA")</f>
        <v>SURA</v>
      </c>
      <c r="AB360" s="6"/>
      <c r="AC360" s="6"/>
      <c r="AD360" s="12" t="str">
        <f>IFERROR(__xludf.DUMMYFUNCTION("""COMPUTED_VALUE"""),"4A")</f>
        <v>4A</v>
      </c>
      <c r="AE360" s="12">
        <f>IFERROR(__xludf.DUMMYFUNCTION("""COMPUTED_VALUE"""),1.34528198E9)</f>
        <v>1345281980</v>
      </c>
      <c r="AF360" s="12" t="str">
        <f>IFERROR(__xludf.DUMMYFUNCTION("""COMPUTED_VALUE"""),"0692240819")</f>
        <v>0692240819</v>
      </c>
      <c r="AG360" s="12" t="str">
        <f>IFERROR(__xludf.DUMMYFUNCTION("""COMPUTED_VALUE"""),"Catalina")</f>
        <v>Catalina</v>
      </c>
      <c r="AH360" s="6"/>
      <c r="AI360" s="6" t="str">
        <f>IFERROR(__xludf.DUMMYFUNCTION("""COMPUTED_VALUE"""),"Villa González")</f>
        <v>Villa González</v>
      </c>
      <c r="AJ360" s="6" t="str">
        <f>IFERROR(__xludf.DUMMYFUNCTION("""COMPUTED_VALUE"""),"cata.villa00@gmail.com")</f>
        <v>cata.villa00@gmail.com</v>
      </c>
      <c r="AK360" s="6" t="str">
        <f>IFERROR(__xludf.DUMMYFUNCTION("""COMPUTED_VALUE"""),"Arquitecta")</f>
        <v>Arquitecta</v>
      </c>
      <c r="AL360" s="6"/>
      <c r="AM360" s="12" t="str">
        <f>IFERROR(__xludf.DUMMYFUNCTION("""COMPUTED_VALUE"""),"43275182")</f>
        <v>43275182</v>
      </c>
      <c r="AN360" s="12" t="str">
        <f>IFERROR(__xludf.DUMMYFUNCTION("""COMPUTED_VALUE"""),"3006782518")</f>
        <v>3006782518</v>
      </c>
      <c r="AO360" s="6" t="str">
        <f>IFERROR(__xludf.DUMMYFUNCTION("""COMPUTED_VALUE"""),"Madre")</f>
        <v>Madre</v>
      </c>
      <c r="AP360" s="6" t="str">
        <f>IFERROR(__xludf.DUMMYFUNCTION("""COMPUTED_VALUE"""),"Estudiante(s): Pedraza Villa")</f>
        <v>Estudiante(s): Pedraza Villa</v>
      </c>
      <c r="AQ360" s="6" t="str">
        <f>IFERROR(__xludf.DUMMYFUNCTION("""COMPUTED_VALUE"""),"103962*Gi")</f>
        <v>103962*Gi</v>
      </c>
      <c r="AR360" s="6" t="str">
        <f>IFERROR(__xludf.DUMMYFUNCTION("""COMPUTED_VALUE"""),"Francisco")</f>
        <v>Francisco</v>
      </c>
      <c r="AS360" s="6" t="str">
        <f>IFERROR(__xludf.DUMMYFUNCTION("""COMPUTED_VALUE"""),"Javier")</f>
        <v>Javier</v>
      </c>
      <c r="AT360" s="6" t="str">
        <f>IFERROR(__xludf.DUMMYFUNCTION("""COMPUTED_VALUE"""),"Pedraza Rincon")</f>
        <v>Pedraza Rincon</v>
      </c>
      <c r="AU360" s="6" t="str">
        <f>IFERROR(__xludf.DUMMYFUNCTION("""COMPUTED_VALUE"""),"franciscopedrazarincon@gmail.com")</f>
        <v>franciscopedrazarincon@gmail.com</v>
      </c>
      <c r="AV360" s="6" t="str">
        <f>IFERROR(__xludf.DUMMYFUNCTION("""COMPUTED_VALUE"""),"administrador")</f>
        <v>administrador</v>
      </c>
      <c r="AW360" s="6" t="str">
        <f>IFERROR(__xludf.DUMMYFUNCTION("""COMPUTED_VALUE"""),"independiente")</f>
        <v>independiente</v>
      </c>
      <c r="AX360" s="12" t="str">
        <f>IFERROR(__xludf.DUMMYFUNCTION("""COMPUTED_VALUE"""),"79941616")</f>
        <v>79941616</v>
      </c>
      <c r="AY360" s="12" t="str">
        <f>IFERROR(__xludf.DUMMYFUNCTION("""COMPUTED_VALUE"""),"3134961602")</f>
        <v>3134961602</v>
      </c>
      <c r="AZ360" s="6" t="str">
        <f>IFERROR(__xludf.DUMMYFUNCTION("""COMPUTED_VALUE"""),"Padre")</f>
        <v>Padre</v>
      </c>
      <c r="BA360" s="6"/>
      <c r="BB360" s="6"/>
      <c r="BC360" s="6"/>
      <c r="BD360" s="12" t="str">
        <f>IFERROR(__xludf.DUMMYFUNCTION("""COMPUTED_VALUE"""),"ped0001")</f>
        <v>ped0001</v>
      </c>
      <c r="BE360" s="6"/>
      <c r="BF360" s="6"/>
      <c r="BG360" s="6">
        <f>IFERROR(__xludf.DUMMYFUNCTION("""COMPUTED_VALUE"""),2035.0)</f>
        <v>2035</v>
      </c>
      <c r="BH360" s="15">
        <f>IFERROR(__xludf.DUMMYFUNCTION("""COMPUTED_VALUE"""),46209.881875)</f>
        <v>46209.88188</v>
      </c>
      <c r="BI360" s="6">
        <f>IFERROR(__xludf.DUMMYFUNCTION("""COMPUTED_VALUE"""),360.0)</f>
        <v>360</v>
      </c>
      <c r="BJ360" s="6"/>
      <c r="BK360" s="6"/>
      <c r="BL360" s="6" t="str">
        <f>IFERROR(__xludf.DUMMYFUNCTION("""COMPUTED_VALUE"""),"GISPED0001")</f>
        <v>GISPED0001</v>
      </c>
      <c r="BM360" s="6"/>
      <c r="BN360" s="6"/>
      <c r="BO360" s="6"/>
      <c r="BP360" s="6" t="str">
        <f>IFERROR(__xludf.DUMMYFUNCTION("""COMPUTED_VALUE"""),"XC_45_Voleibol")</f>
        <v>XC_45_Voleibol</v>
      </c>
      <c r="BQ360" s="6"/>
      <c r="BR360" s="6"/>
      <c r="BS360" s="6" t="str">
        <f>IFERROR(__xludf.DUMMYFUNCTION("""COMPUTED_VALUE"""),"XC_45_Voleibol")</f>
        <v>XC_45_Voleibol</v>
      </c>
      <c r="BT360" s="6" t="str">
        <f>IFERROR(__xludf.DUMMYFUNCTION("""COMPUTED_VALUE"""),"XC_45_Voleibol")</f>
        <v>XC_45_Voleibol</v>
      </c>
      <c r="BU360" s="6" t="str">
        <f>IFERROR(__xludf.DUMMYFUNCTION("""COMPUTED_VALUE"""),"SI")</f>
        <v>SI</v>
      </c>
      <c r="BV360" s="6" t="str">
        <f>IFERROR(__xludf.DUMMYFUNCTION("""COMPUTED_VALUE"""),"luciana.p2035")</f>
        <v>luciana.p2035</v>
      </c>
      <c r="BW360" s="6"/>
      <c r="BX360" s="6"/>
      <c r="BY360" s="6"/>
      <c r="BZ360" s="6"/>
    </row>
    <row r="361">
      <c r="A361" s="12">
        <f>IFERROR(__xludf.DUMMYFUNCTION("""COMPUTED_VALUE"""),1.232801246E9)</f>
        <v>1232801246</v>
      </c>
      <c r="B361" s="6">
        <f>IFERROR(__xludf.DUMMYFUNCTION("""COMPUTED_VALUE"""),16.0)</f>
        <v>16</v>
      </c>
      <c r="C361" s="6" t="str">
        <f>IFERROR(__xludf.DUMMYFUNCTION("""COMPUTED_VALUE"""),"Juan")</f>
        <v>Juan</v>
      </c>
      <c r="D361" s="6" t="str">
        <f>IFERROR(__xludf.DUMMYFUNCTION("""COMPUTED_VALUE"""),"Martín")</f>
        <v>Martín</v>
      </c>
      <c r="E361" s="6" t="str">
        <f>IFERROR(__xludf.DUMMYFUNCTION("""COMPUTED_VALUE"""),"Pérez Piotrostanalzki")</f>
        <v>Pérez Piotrostanalzki</v>
      </c>
      <c r="F361" s="6" t="str">
        <f>IFERROR(__xludf.DUMMYFUNCTION("""COMPUTED_VALUE"""),"Edificio Torre San Esteban Apto 901 - Calle 15Nte No14 - 16 La Fogata")</f>
        <v>Edificio Torre San Esteban Apto 901 - Calle 15Nte No14 - 16 La Fogata</v>
      </c>
      <c r="G361" s="12" t="str">
        <f>IFERROR(__xludf.DUMMYFUNCTION("""COMPUTED_VALUE"""),"2017")</f>
        <v>2017</v>
      </c>
      <c r="H361" s="6" t="str">
        <f>IFERROR(__xludf.DUMMYFUNCTION("""COMPUTED_VALUE"""),"Junio")</f>
        <v>Junio</v>
      </c>
      <c r="I361" s="12" t="str">
        <f>IFERROR(__xludf.DUMMYFUNCTION("""COMPUTED_VALUE"""),"23")</f>
        <v>23</v>
      </c>
      <c r="J361" s="6" t="str">
        <f>IFERROR(__xludf.DUMMYFUNCTION("""COMPUTED_VALUE"""),"Cali")</f>
        <v>Cali</v>
      </c>
      <c r="K361" s="6" t="str">
        <f>IFERROR(__xludf.DUMMYFUNCTION("""COMPUTED_VALUE"""),"juan.p2035@gi.edu.co")</f>
        <v>juan.p2035@gi.edu.co</v>
      </c>
      <c r="L361" s="6" t="str">
        <f>IFERROR(__xludf.DUMMYFUNCTION("""COMPUTED_VALUE"""),"TI")</f>
        <v>TI</v>
      </c>
      <c r="M361" s="6" t="str">
        <f>IFERROR(__xludf.DUMMYFUNCTION("""COMPUTED_VALUE"""),"Cali")</f>
        <v>Cali</v>
      </c>
      <c r="N361" s="6" t="str">
        <f>IFERROR(__xludf.DUMMYFUNCTION("""COMPUTED_VALUE"""),"M")</f>
        <v>M</v>
      </c>
      <c r="O361" s="6" t="str">
        <f>IFERROR(__xludf.DUMMYFUNCTION("""COMPUTED_VALUE"""),"INACTIVE")</f>
        <v>INACTIVE</v>
      </c>
      <c r="P361" s="6"/>
      <c r="Q361" s="6" t="str">
        <f>IFERROR(__xludf.DUMMYFUNCTION("""COMPUTED_VALUE"""),"Armenia")</f>
        <v>Armenia</v>
      </c>
      <c r="R361" s="12" t="str">
        <f>IFERROR(__xludf.DUMMYFUNCTION("""COMPUTED_VALUE"""),"Gidehydf2*")</f>
        <v>Gidehydf2*</v>
      </c>
      <c r="S361" s="6" t="str">
        <f>IFERROR(__xludf.DUMMYFUNCTION("""COMPUTED_VALUE"""),"Pérez Piotrostanalzki Juan Martín")</f>
        <v>Pérez Piotrostanalzki Juan Martín</v>
      </c>
      <c r="T361" s="6" t="str">
        <f>IFERROR(__xludf.DUMMYFUNCTION("""COMPUTED_VALUE"""),"MANUEL ALBERTO PEREZ MAZORRA")</f>
        <v>MANUEL ALBERTO PEREZ MAZORRA</v>
      </c>
      <c r="U361" s="12" t="str">
        <f>IFERROR(__xludf.DUMMYFUNCTION("""COMPUTED_VALUE"""),"80092791")</f>
        <v>80092791</v>
      </c>
      <c r="V361" s="6">
        <f>IFERROR(__xludf.DUMMYFUNCTION("""COMPUTED_VALUE"""),3.114770085E9)</f>
        <v>3114770085</v>
      </c>
      <c r="W361" s="6" t="str">
        <f>IFERROR(__xludf.DUMMYFUNCTION("""COMPUTED_VALUE"""),"manuel.perezm@hotmail.com")</f>
        <v>manuel.perezm@hotmail.com</v>
      </c>
      <c r="X361" s="12" t="str">
        <f>IFERROR(__xludf.DUMMYFUNCTION("""COMPUTED_VALUE"""),"A+")</f>
        <v>A+</v>
      </c>
      <c r="Y361" s="12" t="str">
        <f>IFERROR(__xludf.DUMMYFUNCTION("""COMPUTED_VALUE"""),"4")</f>
        <v>4</v>
      </c>
      <c r="Z361" s="12">
        <f>IFERROR(__xludf.DUMMYFUNCTION("""COMPUTED_VALUE"""),120006.0)</f>
        <v>120006</v>
      </c>
      <c r="AA361" s="6" t="str">
        <f>IFERROR(__xludf.DUMMYFUNCTION("""COMPUTED_VALUE"""),"SURA")</f>
        <v>SURA</v>
      </c>
      <c r="AB361" s="6"/>
      <c r="AC361" s="6"/>
      <c r="AD361" s="12" t="str">
        <f>IFERROR(__xludf.DUMMYFUNCTION("""COMPUTED_VALUE"""),"4A")</f>
        <v>4A</v>
      </c>
      <c r="AE361" s="12">
        <f>IFERROR(__xludf.DUMMYFUNCTION("""COMPUTED_VALUE"""),1.345282033E9)</f>
        <v>1345282033</v>
      </c>
      <c r="AF361" s="12" t="str">
        <f>IFERROR(__xludf.DUMMYFUNCTION("""COMPUTED_VALUE"""),"0696983507")</f>
        <v>0696983507</v>
      </c>
      <c r="AG361" s="12" t="str">
        <f>IFERROR(__xludf.DUMMYFUNCTION("""COMPUTED_VALUE"""),"Audrey")</f>
        <v>Audrey</v>
      </c>
      <c r="AH361" s="6"/>
      <c r="AI361" s="6" t="str">
        <f>IFERROR(__xludf.DUMMYFUNCTION("""COMPUTED_VALUE"""),"Piotrostanalzki Vargas")</f>
        <v>Piotrostanalzki Vargas</v>
      </c>
      <c r="AJ361" s="6" t="str">
        <f>IFERROR(__xludf.DUMMYFUNCTION("""COMPUTED_VALUE"""),"apiotrostanalzki@icloud.com")</f>
        <v>apiotrostanalzki@icloud.com</v>
      </c>
      <c r="AK361" s="6" t="str">
        <f>IFERROR(__xludf.DUMMYFUNCTION("""COMPUTED_VALUE"""),"Médico")</f>
        <v>Médico</v>
      </c>
      <c r="AL361" s="6" t="str">
        <f>IFERROR(__xludf.DUMMYFUNCTION("""COMPUTED_VALUE"""),"Consultorio particular // Idime")</f>
        <v>Consultorio particular // Idime</v>
      </c>
      <c r="AM361" s="12" t="str">
        <f>IFERROR(__xludf.DUMMYFUNCTION("""COMPUTED_VALUE"""),"52778312")</f>
        <v>52778312</v>
      </c>
      <c r="AN361" s="12" t="str">
        <f>IFERROR(__xludf.DUMMYFUNCTION("""COMPUTED_VALUE"""),"3112800733")</f>
        <v>3112800733</v>
      </c>
      <c r="AO361" s="6" t="str">
        <f>IFERROR(__xludf.DUMMYFUNCTION("""COMPUTED_VALUE"""),"Madre")</f>
        <v>Madre</v>
      </c>
      <c r="AP361" s="6" t="str">
        <f>IFERROR(__xludf.DUMMYFUNCTION("""COMPUTED_VALUE"""),"Estudiante(s): Pérez Piotrostanalzki")</f>
        <v>Estudiante(s): Pérez Piotrostanalzki</v>
      </c>
      <c r="AQ361" s="6" t="str">
        <f>IFERROR(__xludf.DUMMYFUNCTION("""COMPUTED_VALUE"""),"103602*Gi")</f>
        <v>103602*Gi</v>
      </c>
      <c r="AR361" s="6" t="str">
        <f>IFERROR(__xludf.DUMMYFUNCTION("""COMPUTED_VALUE"""),"Manuel")</f>
        <v>Manuel</v>
      </c>
      <c r="AS361" s="6" t="str">
        <f>IFERROR(__xludf.DUMMYFUNCTION("""COMPUTED_VALUE"""),"Alberto")</f>
        <v>Alberto</v>
      </c>
      <c r="AT361" s="6" t="str">
        <f>IFERROR(__xludf.DUMMYFUNCTION("""COMPUTED_VALUE"""),"Pérez Mazorra")</f>
        <v>Pérez Mazorra</v>
      </c>
      <c r="AU361" s="6" t="str">
        <f>IFERROR(__xludf.DUMMYFUNCTION("""COMPUTED_VALUE"""),"manuel.perezm@hotmail.com")</f>
        <v>manuel.perezm@hotmail.com</v>
      </c>
      <c r="AV361" s="6" t="str">
        <f>IFERROR(__xludf.DUMMYFUNCTION("""COMPUTED_VALUE"""),"Medico")</f>
        <v>Medico</v>
      </c>
      <c r="AW361" s="6" t="str">
        <f>IFERROR(__xludf.DUMMYFUNCTION("""COMPUTED_VALUE"""),"Consultorio particular")</f>
        <v>Consultorio particular</v>
      </c>
      <c r="AX361" s="12" t="str">
        <f>IFERROR(__xludf.DUMMYFUNCTION("""COMPUTED_VALUE"""),"80092791")</f>
        <v>80092791</v>
      </c>
      <c r="AY361" s="12" t="str">
        <f>IFERROR(__xludf.DUMMYFUNCTION("""COMPUTED_VALUE"""),"3114770085")</f>
        <v>3114770085</v>
      </c>
      <c r="AZ361" s="6" t="str">
        <f>IFERROR(__xludf.DUMMYFUNCTION("""COMPUTED_VALUE"""),"Padre")</f>
        <v>Padre</v>
      </c>
      <c r="BA361" s="6"/>
      <c r="BB361" s="6"/>
      <c r="BC361" s="6"/>
      <c r="BD361" s="12" t="str">
        <f>IFERROR(__xludf.DUMMYFUNCTION("""COMPUTED_VALUE"""),"pre0006")</f>
        <v>pre0006</v>
      </c>
      <c r="BE361" s="6" t="str">
        <f>IFERROR(__xludf.DUMMYFUNCTION("""COMPUTED_VALUE"""),"FALTAN FIRMAS")</f>
        <v>FALTAN FIRMAS</v>
      </c>
      <c r="BF361" s="6"/>
      <c r="BG361" s="6">
        <f>IFERROR(__xludf.DUMMYFUNCTION("""COMPUTED_VALUE"""),2035.0)</f>
        <v>2035</v>
      </c>
      <c r="BH361" s="15">
        <f>IFERROR(__xludf.DUMMYFUNCTION("""COMPUTED_VALUE"""),46210.601018518515)</f>
        <v>46210.60102</v>
      </c>
      <c r="BI361" s="6">
        <f>IFERROR(__xludf.DUMMYFUNCTION("""COMPUTED_VALUE"""),361.0)</f>
        <v>361</v>
      </c>
      <c r="BJ361" s="6" t="str">
        <f>IFERROR(__xludf.DUMMYFUNCTION("""COMPUTED_VALUE"""),"DANE: Hipoacúsia Neurosensorial
SIMAT: Auditiva usuario del castellano")</f>
        <v>DANE: Hipoacúsia Neurosensorial
SIMAT: Auditiva usuario del castellano</v>
      </c>
      <c r="BK361" s="6"/>
      <c r="BL361" s="6" t="str">
        <f>IFERROR(__xludf.DUMMYFUNCTION("""COMPUTED_VALUE"""),"GISPRE0006")</f>
        <v>GISPRE0006</v>
      </c>
      <c r="BM361" s="6"/>
      <c r="BN361" s="6"/>
      <c r="BO361" s="6"/>
      <c r="BP361" s="6" t="str">
        <f>IFERROR(__xludf.DUMMYFUNCTION("""COMPUTED_VALUE"""),"XC_4_Futbol_M")</f>
        <v>XC_4_Futbol_M</v>
      </c>
      <c r="BQ361" s="6"/>
      <c r="BR361" s="6"/>
      <c r="BS361" s="6" t="str">
        <f>IFERROR(__xludf.DUMMYFUNCTION("""COMPUTED_VALUE"""),"XC_4_Futbol_M")</f>
        <v>XC_4_Futbol_M</v>
      </c>
      <c r="BT361" s="6" t="str">
        <f>IFERROR(__xludf.DUMMYFUNCTION("""COMPUTED_VALUE"""),"XC_4_Futbol_M")</f>
        <v>XC_4_Futbol_M</v>
      </c>
      <c r="BU361" s="6" t="str">
        <f>IFERROR(__xludf.DUMMYFUNCTION("""COMPUTED_VALUE"""),"SI")</f>
        <v>SI</v>
      </c>
      <c r="BV361" s="6" t="str">
        <f>IFERROR(__xludf.DUMMYFUNCTION("""COMPUTED_VALUE"""),"juan.p2035")</f>
        <v>juan.p2035</v>
      </c>
      <c r="BW361" s="6"/>
      <c r="BX361" s="6"/>
      <c r="BY361" s="6"/>
      <c r="BZ361" s="6"/>
    </row>
    <row r="362">
      <c r="A362" s="12">
        <f>IFERROR(__xludf.DUMMYFUNCTION("""COMPUTED_VALUE"""),1.013029278E9)</f>
        <v>1013029278</v>
      </c>
      <c r="B362" s="6">
        <f>IFERROR(__xludf.DUMMYFUNCTION("""COMPUTED_VALUE"""),17.0)</f>
        <v>17</v>
      </c>
      <c r="C362" s="6" t="str">
        <f>IFERROR(__xludf.DUMMYFUNCTION("""COMPUTED_VALUE"""),"Fátima")</f>
        <v>Fátima</v>
      </c>
      <c r="D362" s="6"/>
      <c r="E362" s="6" t="str">
        <f>IFERROR(__xludf.DUMMYFUNCTION("""COMPUTED_VALUE"""),"Pino Toro")</f>
        <v>Pino Toro</v>
      </c>
      <c r="F362" s="6" t="str">
        <f>IFERROR(__xludf.DUMMYFUNCTION("""COMPUTED_VALUE"""),"El Retiro Torre 7 Apto 301 - Calle 19Nte No12 - 49")</f>
        <v>El Retiro Torre 7 Apto 301 - Calle 19Nte No12 - 49</v>
      </c>
      <c r="G362" s="12" t="str">
        <f>IFERROR(__xludf.DUMMYFUNCTION("""COMPUTED_VALUE"""),"2017")</f>
        <v>2017</v>
      </c>
      <c r="H362" s="6" t="str">
        <f>IFERROR(__xludf.DUMMYFUNCTION("""COMPUTED_VALUE"""),"Marzo")</f>
        <v>Marzo</v>
      </c>
      <c r="I362" s="12" t="str">
        <f>IFERROR(__xludf.DUMMYFUNCTION("""COMPUTED_VALUE"""),"15")</f>
        <v>15</v>
      </c>
      <c r="J362" s="6" t="str">
        <f>IFERROR(__xludf.DUMMYFUNCTION("""COMPUTED_VALUE"""),"Bogotá D.C.")</f>
        <v>Bogotá D.C.</v>
      </c>
      <c r="K362" s="6" t="str">
        <f>IFERROR(__xludf.DUMMYFUNCTION("""COMPUTED_VALUE"""),"fatima.p2035@gi.edu.co")</f>
        <v>fatima.p2035@gi.edu.co</v>
      </c>
      <c r="L362" s="6" t="str">
        <f>IFERROR(__xludf.DUMMYFUNCTION("""COMPUTED_VALUE"""),"TI")</f>
        <v>TI</v>
      </c>
      <c r="M362" s="6" t="str">
        <f>IFERROR(__xludf.DUMMYFUNCTION("""COMPUTED_VALUE"""),"Armenia")</f>
        <v>Armenia</v>
      </c>
      <c r="N362" s="6" t="str">
        <f>IFERROR(__xludf.DUMMYFUNCTION("""COMPUTED_VALUE"""),"F")</f>
        <v>F</v>
      </c>
      <c r="O362" s="6" t="str">
        <f>IFERROR(__xludf.DUMMYFUNCTION("""COMPUTED_VALUE"""),"ACTIVE")</f>
        <v>ACTIVE</v>
      </c>
      <c r="P362" s="6"/>
      <c r="Q362" s="6" t="str">
        <f>IFERROR(__xludf.DUMMYFUNCTION("""COMPUTED_VALUE"""),"Armenia")</f>
        <v>Armenia</v>
      </c>
      <c r="R362" s="12" t="str">
        <f>IFERROR(__xludf.DUMMYFUNCTION("""COMPUTED_VALUE"""),"Gi83as68g*")</f>
        <v>Gi83as68g*</v>
      </c>
      <c r="S362" s="6" t="str">
        <f>IFERROR(__xludf.DUMMYFUNCTION("""COMPUTED_VALUE"""),"Pino Toro Fátima ")</f>
        <v>Pino Toro Fátima </v>
      </c>
      <c r="T362" s="6" t="str">
        <f>IFERROR(__xludf.DUMMYFUNCTION("""COMPUTED_VALUE"""),"JORGE MARIO PINO RAMIREZ")</f>
        <v>JORGE MARIO PINO RAMIREZ</v>
      </c>
      <c r="U362" s="12" t="str">
        <f>IFERROR(__xludf.DUMMYFUNCTION("""COMPUTED_VALUE"""),"9733276")</f>
        <v>9733276</v>
      </c>
      <c r="V362" s="6">
        <f>IFERROR(__xludf.DUMMYFUNCTION("""COMPUTED_VALUE"""),3.006141293E9)</f>
        <v>3006141293</v>
      </c>
      <c r="W362" s="6" t="str">
        <f>IFERROR(__xludf.DUMMYFUNCTION("""COMPUTED_VALUE"""),"jpinoram@gmail.com")</f>
        <v>jpinoram@gmail.com</v>
      </c>
      <c r="X362" s="12" t="str">
        <f>IFERROR(__xludf.DUMMYFUNCTION("""COMPUTED_VALUE"""),"O+")</f>
        <v>O+</v>
      </c>
      <c r="Y362" s="12" t="str">
        <f>IFERROR(__xludf.DUMMYFUNCTION("""COMPUTED_VALUE"""),"4")</f>
        <v>4</v>
      </c>
      <c r="Z362" s="12">
        <f>IFERROR(__xludf.DUMMYFUNCTION("""COMPUTED_VALUE"""),103961.0)</f>
        <v>103961</v>
      </c>
      <c r="AA362" s="6" t="str">
        <f>IFERROR(__xludf.DUMMYFUNCTION("""COMPUTED_VALUE"""),"SURA")</f>
        <v>SURA</v>
      </c>
      <c r="AB362" s="6" t="str">
        <f>IFERROR(__xludf.DUMMYFUNCTION("""COMPUTED_VALUE"""),"EMI")</f>
        <v>EMI</v>
      </c>
      <c r="AC362" s="12" t="str">
        <f>IFERROR(__xludf.DUMMYFUNCTION("""COMPUTED_VALUE"""),"Rinitis alérgica")</f>
        <v>Rinitis alérgica</v>
      </c>
      <c r="AD362" s="12" t="str">
        <f>IFERROR(__xludf.DUMMYFUNCTION("""COMPUTED_VALUE"""),"4A")</f>
        <v>4A</v>
      </c>
      <c r="AE362" s="12">
        <f>IFERROR(__xludf.DUMMYFUNCTION("""COMPUTED_VALUE"""),1.345281986E9)</f>
        <v>1345281986</v>
      </c>
      <c r="AF362" s="12" t="str">
        <f>IFERROR(__xludf.DUMMYFUNCTION("""COMPUTED_VALUE"""),"0661157507")</f>
        <v>0661157507</v>
      </c>
      <c r="AG362" s="12" t="str">
        <f>IFERROR(__xludf.DUMMYFUNCTION("""COMPUTED_VALUE"""),"Lina")</f>
        <v>Lina</v>
      </c>
      <c r="AH362" s="12" t="str">
        <f>IFERROR(__xludf.DUMMYFUNCTION("""COMPUTED_VALUE"""),"Mercedes")</f>
        <v>Mercedes</v>
      </c>
      <c r="AI362" s="6" t="str">
        <f>IFERROR(__xludf.DUMMYFUNCTION("""COMPUTED_VALUE"""),"Toro Cárdenas")</f>
        <v>Toro Cárdenas</v>
      </c>
      <c r="AJ362" s="6" t="str">
        <f>IFERROR(__xludf.DUMMYFUNCTION("""COMPUTED_VALUE"""),"lina.toro@hotmail.com")</f>
        <v>lina.toro@hotmail.com</v>
      </c>
      <c r="AK362" s="6" t="str">
        <f>IFERROR(__xludf.DUMMYFUNCTION("""COMPUTED_VALUE"""),"Ingeniera Electrónica")</f>
        <v>Ingeniera Electrónica</v>
      </c>
      <c r="AL362" s="6" t="str">
        <f>IFERROR(__xludf.DUMMYFUNCTION("""COMPUTED_VALUE"""),"Legrand Colombia S.A.")</f>
        <v>Legrand Colombia S.A.</v>
      </c>
      <c r="AM362" s="12" t="str">
        <f>IFERROR(__xludf.DUMMYFUNCTION("""COMPUTED_VALUE"""),"41957484")</f>
        <v>41957484</v>
      </c>
      <c r="AN362" s="12" t="str">
        <f>IFERROR(__xludf.DUMMYFUNCTION("""COMPUTED_VALUE"""),"3156209092")</f>
        <v>3156209092</v>
      </c>
      <c r="AO362" s="6" t="str">
        <f>IFERROR(__xludf.DUMMYFUNCTION("""COMPUTED_VALUE"""),"Madre")</f>
        <v>Madre</v>
      </c>
      <c r="AP362" s="6" t="str">
        <f>IFERROR(__xludf.DUMMYFUNCTION("""COMPUTED_VALUE"""),"Estudiante(s): Pino Toro")</f>
        <v>Estudiante(s): Pino Toro</v>
      </c>
      <c r="AQ362" s="6" t="str">
        <f>IFERROR(__xludf.DUMMYFUNCTION("""COMPUTED_VALUE"""),"103961*Gi")</f>
        <v>103961*Gi</v>
      </c>
      <c r="AR362" s="6" t="str">
        <f>IFERROR(__xludf.DUMMYFUNCTION("""COMPUTED_VALUE"""),"Jorge")</f>
        <v>Jorge</v>
      </c>
      <c r="AS362" s="6" t="str">
        <f>IFERROR(__xludf.DUMMYFUNCTION("""COMPUTED_VALUE"""),"Mario")</f>
        <v>Mario</v>
      </c>
      <c r="AT362" s="6" t="str">
        <f>IFERROR(__xludf.DUMMYFUNCTION("""COMPUTED_VALUE"""),"Pino Ramirez")</f>
        <v>Pino Ramirez</v>
      </c>
      <c r="AU362" s="6" t="str">
        <f>IFERROR(__xludf.DUMMYFUNCTION("""COMPUTED_VALUE"""),"jpinoram@gmail.com")</f>
        <v>jpinoram@gmail.com</v>
      </c>
      <c r="AV362" s="6" t="str">
        <f>IFERROR(__xludf.DUMMYFUNCTION("""COMPUTED_VALUE"""),"Ingeniero Civil")</f>
        <v>Ingeniero Civil</v>
      </c>
      <c r="AW362" s="6" t="str">
        <f>IFERROR(__xludf.DUMMYFUNCTION("""COMPUTED_VALUE"""),"URBANSA S.A.")</f>
        <v>URBANSA S.A.</v>
      </c>
      <c r="AX362" s="12" t="str">
        <f>IFERROR(__xludf.DUMMYFUNCTION("""COMPUTED_VALUE"""),"9733276")</f>
        <v>9733276</v>
      </c>
      <c r="AY362" s="12" t="str">
        <f>IFERROR(__xludf.DUMMYFUNCTION("""COMPUTED_VALUE"""),"3006141293")</f>
        <v>3006141293</v>
      </c>
      <c r="AZ362" s="6" t="str">
        <f>IFERROR(__xludf.DUMMYFUNCTION("""COMPUTED_VALUE"""),"Padre")</f>
        <v>Padre</v>
      </c>
      <c r="BA362" s="6" t="str">
        <f>IFERROR(__xludf.DUMMYFUNCTION("""COMPUTED_VALUE"""),"CLEMENTE PINO TORO")</f>
        <v>CLEMENTE PINO TORO</v>
      </c>
      <c r="BB362" s="6">
        <f>IFERROR(__xludf.DUMMYFUNCTION("""COMPUTED_VALUE"""),3.006141293E9)</f>
        <v>3006141293</v>
      </c>
      <c r="BC362" s="6" t="str">
        <f>IFERROR(__xludf.DUMMYFUNCTION("""COMPUTED_VALUE"""),"Otro")</f>
        <v>Otro</v>
      </c>
      <c r="BD362" s="12" t="str">
        <f>IFERROR(__xludf.DUMMYFUNCTION("""COMPUTED_VALUE"""),"pin0007")</f>
        <v>pin0007</v>
      </c>
      <c r="BE362" s="6"/>
      <c r="BF362" s="6"/>
      <c r="BG362" s="6">
        <f>IFERROR(__xludf.DUMMYFUNCTION("""COMPUTED_VALUE"""),2035.0)</f>
        <v>2035</v>
      </c>
      <c r="BH362" s="15">
        <f>IFERROR(__xludf.DUMMYFUNCTION("""COMPUTED_VALUE"""),46209.368483796294)</f>
        <v>46209.36848</v>
      </c>
      <c r="BI362" s="6">
        <f>IFERROR(__xludf.DUMMYFUNCTION("""COMPUTED_VALUE"""),362.0)</f>
        <v>362</v>
      </c>
      <c r="BJ362" s="6"/>
      <c r="BK362" s="6"/>
      <c r="BL362" s="6" t="str">
        <f>IFERROR(__xludf.DUMMYFUNCTION("""COMPUTED_VALUE"""),"GISPIN0007")</f>
        <v>GISPIN0007</v>
      </c>
      <c r="BM362" s="6"/>
      <c r="BN362" s="6"/>
      <c r="BO362" s="6"/>
      <c r="BP362" s="6"/>
      <c r="BQ362" s="6"/>
      <c r="BR362" s="6"/>
      <c r="BS362" s="6"/>
      <c r="BT362" s="6"/>
      <c r="BU362" s="6" t="str">
        <f>IFERROR(__xludf.DUMMYFUNCTION("""COMPUTED_VALUE"""),"SI")</f>
        <v>SI</v>
      </c>
      <c r="BV362" s="6" t="str">
        <f>IFERROR(__xludf.DUMMYFUNCTION("""COMPUTED_VALUE"""),"fatima.p2035")</f>
        <v>fatima.p2035</v>
      </c>
      <c r="BW362" s="6"/>
      <c r="BX362" s="6"/>
      <c r="BY362" s="6"/>
      <c r="BZ362" s="6"/>
    </row>
    <row r="363">
      <c r="A363" s="12">
        <f>IFERROR(__xludf.DUMMYFUNCTION("""COMPUTED_VALUE"""),1.092860948E9)</f>
        <v>1092860948</v>
      </c>
      <c r="B363" s="6">
        <f>IFERROR(__xludf.DUMMYFUNCTION("""COMPUTED_VALUE"""),18.0)</f>
        <v>18</v>
      </c>
      <c r="C363" s="6" t="str">
        <f>IFERROR(__xludf.DUMMYFUNCTION("""COMPUTED_VALUE"""),"Ezequiel")</f>
        <v>Ezequiel</v>
      </c>
      <c r="D363" s="6"/>
      <c r="E363" s="6" t="str">
        <f>IFERROR(__xludf.DUMMYFUNCTION("""COMPUTED_VALUE"""),"Rodríguez Santamaría")</f>
        <v>Rodríguez Santamaría</v>
      </c>
      <c r="F363" s="6" t="str">
        <f>IFERROR(__xludf.DUMMYFUNCTION("""COMPUTED_VALUE"""),"Condominio Campestre La Reserva Casa 31 - Cra 5 No10Nte - 25 Av Centenario")</f>
        <v>Condominio Campestre La Reserva Casa 31 - Cra 5 No10Nte - 25 Av Centenario</v>
      </c>
      <c r="G363" s="12" t="str">
        <f>IFERROR(__xludf.DUMMYFUNCTION("""COMPUTED_VALUE"""),"2017")</f>
        <v>2017</v>
      </c>
      <c r="H363" s="6" t="str">
        <f>IFERROR(__xludf.DUMMYFUNCTION("""COMPUTED_VALUE"""),"Marzo")</f>
        <v>Marzo</v>
      </c>
      <c r="I363" s="12" t="str">
        <f>IFERROR(__xludf.DUMMYFUNCTION("""COMPUTED_VALUE"""),"7")</f>
        <v>7</v>
      </c>
      <c r="J363" s="6" t="str">
        <f>IFERROR(__xludf.DUMMYFUNCTION("""COMPUTED_VALUE"""),"Armenia")</f>
        <v>Armenia</v>
      </c>
      <c r="K363" s="6" t="str">
        <f>IFERROR(__xludf.DUMMYFUNCTION("""COMPUTED_VALUE"""),"ezequiel.r2035@gi.edu.co")</f>
        <v>ezequiel.r2035@gi.edu.co</v>
      </c>
      <c r="L363" s="6" t="str">
        <f>IFERROR(__xludf.DUMMYFUNCTION("""COMPUTED_VALUE"""),"RC")</f>
        <v>RC</v>
      </c>
      <c r="M363" s="6" t="str">
        <f>IFERROR(__xludf.DUMMYFUNCTION("""COMPUTED_VALUE"""),"Armenia")</f>
        <v>Armenia</v>
      </c>
      <c r="N363" s="6" t="str">
        <f>IFERROR(__xludf.DUMMYFUNCTION("""COMPUTED_VALUE"""),"M")</f>
        <v>M</v>
      </c>
      <c r="O363" s="6" t="str">
        <f>IFERROR(__xludf.DUMMYFUNCTION("""COMPUTED_VALUE"""),"ACTIVE")</f>
        <v>ACTIVE</v>
      </c>
      <c r="P363" s="6"/>
      <c r="Q363" s="6" t="str">
        <f>IFERROR(__xludf.DUMMYFUNCTION("""COMPUTED_VALUE"""),"Armenia")</f>
        <v>Armenia</v>
      </c>
      <c r="R363" s="12" t="str">
        <f>IFERROR(__xludf.DUMMYFUNCTION("""COMPUTED_VALUE"""),"Gidu389vj*")</f>
        <v>Gidu389vj*</v>
      </c>
      <c r="S363" s="6" t="str">
        <f>IFERROR(__xludf.DUMMYFUNCTION("""COMPUTED_VALUE"""),"Rodríguez Santamaría Ezequiel ")</f>
        <v>Rodríguez Santamaría Ezequiel </v>
      </c>
      <c r="T363" s="6" t="str">
        <f>IFERROR(__xludf.DUMMYFUNCTION("""COMPUTED_VALUE"""),"WILLIAM ALBERTO RODRÍGUEZ DÍAZ")</f>
        <v>WILLIAM ALBERTO RODRÍGUEZ DÍAZ</v>
      </c>
      <c r="U363" s="12" t="str">
        <f>IFERROR(__xludf.DUMMYFUNCTION("""COMPUTED_VALUE"""),"7560364")</f>
        <v>7560364</v>
      </c>
      <c r="V363" s="6">
        <f>IFERROR(__xludf.DUMMYFUNCTION("""COMPUTED_VALUE"""),3.168327661E9)</f>
        <v>3168327661</v>
      </c>
      <c r="W363" s="6" t="str">
        <f>IFERROR(__xludf.DUMMYFUNCTION("""COMPUTED_VALUE"""),"gerencia@vipcol.com")</f>
        <v>gerencia@vipcol.com</v>
      </c>
      <c r="X363" s="12" t="str">
        <f>IFERROR(__xludf.DUMMYFUNCTION("""COMPUTED_VALUE"""),"A+")</f>
        <v>A+</v>
      </c>
      <c r="Y363" s="12" t="str">
        <f>IFERROR(__xludf.DUMMYFUNCTION("""COMPUTED_VALUE"""),"4")</f>
        <v>4</v>
      </c>
      <c r="Z363" s="12">
        <f>IFERROR(__xludf.DUMMYFUNCTION("""COMPUTED_VALUE"""),103927.0)</f>
        <v>103927</v>
      </c>
      <c r="AA363" s="6" t="str">
        <f>IFERROR(__xludf.DUMMYFUNCTION("""COMPUTED_VALUE"""),"SANITAS")</f>
        <v>SANITAS</v>
      </c>
      <c r="AB363" s="6"/>
      <c r="AC363" s="6"/>
      <c r="AD363" s="12" t="str">
        <f>IFERROR(__xludf.DUMMYFUNCTION("""COMPUTED_VALUE"""),"4A")</f>
        <v>4A</v>
      </c>
      <c r="AE363" s="12">
        <f>IFERROR(__xludf.DUMMYFUNCTION("""COMPUTED_VALUE"""),1.345281782E9)</f>
        <v>1345281782</v>
      </c>
      <c r="AF363" s="12" t="str">
        <f>IFERROR(__xludf.DUMMYFUNCTION("""COMPUTED_VALUE"""),"0708758691")</f>
        <v>0708758691</v>
      </c>
      <c r="AG363" s="12" t="str">
        <f>IFERROR(__xludf.DUMMYFUNCTION("""COMPUTED_VALUE"""),"Carolina")</f>
        <v>Carolina</v>
      </c>
      <c r="AH363" s="6"/>
      <c r="AI363" s="6" t="str">
        <f>IFERROR(__xludf.DUMMYFUNCTION("""COMPUTED_VALUE"""),"Santamaría Perez")</f>
        <v>Santamaría Perez</v>
      </c>
      <c r="AJ363" s="6" t="str">
        <f>IFERROR(__xludf.DUMMYFUNCTION("""COMPUTED_VALUE"""),"direccionadministrativa@vipcol.com")</f>
        <v>direccionadministrativa@vipcol.com</v>
      </c>
      <c r="AK363" s="6"/>
      <c r="AL363" s="6" t="str">
        <f>IFERROR(__xludf.DUMMYFUNCTION("""COMPUTED_VALUE"""),"VIPCOL")</f>
        <v>VIPCOL</v>
      </c>
      <c r="AM363" s="12" t="str">
        <f>IFERROR(__xludf.DUMMYFUNCTION("""COMPUTED_VALUE"""),"32240411")</f>
        <v>32240411</v>
      </c>
      <c r="AN363" s="12" t="str">
        <f>IFERROR(__xludf.DUMMYFUNCTION("""COMPUTED_VALUE"""),"3008515004")</f>
        <v>3008515004</v>
      </c>
      <c r="AO363" s="6" t="str">
        <f>IFERROR(__xludf.DUMMYFUNCTION("""COMPUTED_VALUE"""),"Madre")</f>
        <v>Madre</v>
      </c>
      <c r="AP363" s="6" t="str">
        <f>IFERROR(__xludf.DUMMYFUNCTION("""COMPUTED_VALUE"""),"Estudiante(s): Rodríguez Santamaría")</f>
        <v>Estudiante(s): Rodríguez Santamaría</v>
      </c>
      <c r="AQ363" s="6" t="str">
        <f>IFERROR(__xludf.DUMMYFUNCTION("""COMPUTED_VALUE"""),"103927*Gi")</f>
        <v>103927*Gi</v>
      </c>
      <c r="AR363" s="6" t="str">
        <f>IFERROR(__xludf.DUMMYFUNCTION("""COMPUTED_VALUE"""),"William")</f>
        <v>William</v>
      </c>
      <c r="AS363" s="6" t="str">
        <f>IFERROR(__xludf.DUMMYFUNCTION("""COMPUTED_VALUE"""),"Alberto")</f>
        <v>Alberto</v>
      </c>
      <c r="AT363" s="6" t="str">
        <f>IFERROR(__xludf.DUMMYFUNCTION("""COMPUTED_VALUE"""),"Rodriguez Diaz")</f>
        <v>Rodriguez Diaz</v>
      </c>
      <c r="AU363" s="6" t="str">
        <f>IFERROR(__xludf.DUMMYFUNCTION("""COMPUTED_VALUE"""),"gerencia@vipcol.com")</f>
        <v>gerencia@vipcol.com</v>
      </c>
      <c r="AV363" s="6" t="str">
        <f>IFERROR(__xludf.DUMMYFUNCTION("""COMPUTED_VALUE"""),"ADMINISTRADOR DE EMPRESAS")</f>
        <v>ADMINISTRADOR DE EMPRESAS</v>
      </c>
      <c r="AW363" s="6" t="str">
        <f>IFERROR(__xludf.DUMMYFUNCTION("""COMPUTED_VALUE"""),"VIPCOL LTDA")</f>
        <v>VIPCOL LTDA</v>
      </c>
      <c r="AX363" s="12" t="str">
        <f>IFERROR(__xludf.DUMMYFUNCTION("""COMPUTED_VALUE"""),"7560364")</f>
        <v>7560364</v>
      </c>
      <c r="AY363" s="12" t="str">
        <f>IFERROR(__xludf.DUMMYFUNCTION("""COMPUTED_VALUE"""),"3168327661")</f>
        <v>3168327661</v>
      </c>
      <c r="AZ363" s="6" t="str">
        <f>IFERROR(__xludf.DUMMYFUNCTION("""COMPUTED_VALUE"""),"Padre")</f>
        <v>Padre</v>
      </c>
      <c r="BA363" s="6"/>
      <c r="BB363" s="6"/>
      <c r="BC363" s="6"/>
      <c r="BD363" s="12" t="str">
        <f>IFERROR(__xludf.DUMMYFUNCTION("""COMPUTED_VALUE"""),"rod0013")</f>
        <v>rod0013</v>
      </c>
      <c r="BE363" s="6"/>
      <c r="BF363" s="6"/>
      <c r="BG363" s="6">
        <f>IFERROR(__xludf.DUMMYFUNCTION("""COMPUTED_VALUE"""),2035.0)</f>
        <v>2035</v>
      </c>
      <c r="BH363" s="15">
        <f>IFERROR(__xludf.DUMMYFUNCTION("""COMPUTED_VALUE"""),46203.709027777775)</f>
        <v>46203.70903</v>
      </c>
      <c r="BI363" s="6">
        <f>IFERROR(__xludf.DUMMYFUNCTION("""COMPUTED_VALUE"""),363.0)</f>
        <v>363</v>
      </c>
      <c r="BJ363" s="6"/>
      <c r="BK363" s="6"/>
      <c r="BL363" s="6" t="str">
        <f>IFERROR(__xludf.DUMMYFUNCTION("""COMPUTED_VALUE"""),"GISROD0013")</f>
        <v>GISROD0013</v>
      </c>
      <c r="BM363" s="6"/>
      <c r="BN363" s="6"/>
      <c r="BO363" s="6"/>
      <c r="BP363" s="6" t="str">
        <f>IFERROR(__xludf.DUMMYFUNCTION("""COMPUTED_VALUE"""),"XC_45_Basquetbol")</f>
        <v>XC_45_Basquetbol</v>
      </c>
      <c r="BQ363" s="6"/>
      <c r="BR363" s="6"/>
      <c r="BS363" s="6" t="str">
        <f>IFERROR(__xludf.DUMMYFUNCTION("""COMPUTED_VALUE"""),"XC_45_Basquetbol")</f>
        <v>XC_45_Basquetbol</v>
      </c>
      <c r="BT363" s="6" t="str">
        <f>IFERROR(__xludf.DUMMYFUNCTION("""COMPUTED_VALUE"""),"XC_45_Basquetbol")</f>
        <v>XC_45_Basquetbol</v>
      </c>
      <c r="BU363" s="6" t="str">
        <f>IFERROR(__xludf.DUMMYFUNCTION("""COMPUTED_VALUE"""),"SI")</f>
        <v>SI</v>
      </c>
      <c r="BV363" s="6" t="str">
        <f>IFERROR(__xludf.DUMMYFUNCTION("""COMPUTED_VALUE"""),"ezequiel.r2035")</f>
        <v>ezequiel.r2035</v>
      </c>
      <c r="BW363" s="6"/>
      <c r="BX363" s="6"/>
      <c r="BY363" s="6"/>
      <c r="BZ363" s="6"/>
    </row>
    <row r="364">
      <c r="A364" s="12">
        <f>IFERROR(__xludf.DUMMYFUNCTION("""COMPUTED_VALUE"""),1.019915176E9)</f>
        <v>1019915176</v>
      </c>
      <c r="B364" s="6">
        <f>IFERROR(__xludf.DUMMYFUNCTION("""COMPUTED_VALUE"""),19.0)</f>
        <v>19</v>
      </c>
      <c r="C364" s="6" t="str">
        <f>IFERROR(__xludf.DUMMYFUNCTION("""COMPUTED_VALUE"""),"Joaquín")</f>
        <v>Joaquín</v>
      </c>
      <c r="D364" s="6"/>
      <c r="E364" s="6" t="str">
        <f>IFERROR(__xludf.DUMMYFUNCTION("""COMPUTED_VALUE"""),"Sánchez Trujillo")</f>
        <v>Sánchez Trujillo</v>
      </c>
      <c r="F364" s="6" t="str">
        <f>IFERROR(__xludf.DUMMYFUNCTION("""COMPUTED_VALUE"""),"Los Cedros Apto 2-402 - Calle 50Nte No15 - 01 REGIVIT")</f>
        <v>Los Cedros Apto 2-402 - Calle 50Nte No15 - 01 REGIVIT</v>
      </c>
      <c r="G364" s="12" t="str">
        <f>IFERROR(__xludf.DUMMYFUNCTION("""COMPUTED_VALUE"""),"2017")</f>
        <v>2017</v>
      </c>
      <c r="H364" s="6" t="str">
        <f>IFERROR(__xludf.DUMMYFUNCTION("""COMPUTED_VALUE"""),"Agosto")</f>
        <v>Agosto</v>
      </c>
      <c r="I364" s="12" t="str">
        <f>IFERROR(__xludf.DUMMYFUNCTION("""COMPUTED_VALUE"""),"22")</f>
        <v>22</v>
      </c>
      <c r="J364" s="6" t="str">
        <f>IFERROR(__xludf.DUMMYFUNCTION("""COMPUTED_VALUE"""),"Bogotá D.C.")</f>
        <v>Bogotá D.C.</v>
      </c>
      <c r="K364" s="6" t="str">
        <f>IFERROR(__xludf.DUMMYFUNCTION("""COMPUTED_VALUE"""),"joaquin.s2035@gi.edu.co")</f>
        <v>joaquin.s2035@gi.edu.co</v>
      </c>
      <c r="L364" s="6" t="str">
        <f>IFERROR(__xludf.DUMMYFUNCTION("""COMPUTED_VALUE"""),"RC")</f>
        <v>RC</v>
      </c>
      <c r="M364" s="6" t="str">
        <f>IFERROR(__xludf.DUMMYFUNCTION("""COMPUTED_VALUE"""),"Bogotá D.C.")</f>
        <v>Bogotá D.C.</v>
      </c>
      <c r="N364" s="6" t="str">
        <f>IFERROR(__xludf.DUMMYFUNCTION("""COMPUTED_VALUE"""),"M")</f>
        <v>M</v>
      </c>
      <c r="O364" s="6" t="str">
        <f>IFERROR(__xludf.DUMMYFUNCTION("""COMPUTED_VALUE"""),"ACTIVE")</f>
        <v>ACTIVE</v>
      </c>
      <c r="P364" s="6"/>
      <c r="Q364" s="6" t="str">
        <f>IFERROR(__xludf.DUMMYFUNCTION("""COMPUTED_VALUE"""),"Armenia")</f>
        <v>Armenia</v>
      </c>
      <c r="R364" s="12" t="str">
        <f>IFERROR(__xludf.DUMMYFUNCTION("""COMPUTED_VALUE"""),"Gi3hg67y*")</f>
        <v>Gi3hg67y*</v>
      </c>
      <c r="S364" s="6" t="str">
        <f>IFERROR(__xludf.DUMMYFUNCTION("""COMPUTED_VALUE"""),"Sánchez Trujillo Joaquín ")</f>
        <v>Sánchez Trujillo Joaquín </v>
      </c>
      <c r="T364" s="6" t="str">
        <f>IFERROR(__xludf.DUMMYFUNCTION("""COMPUTED_VALUE"""),"ANDRÉS MAURICIO SÁNCHEZ GALLO")</f>
        <v>ANDRÉS MAURICIO SÁNCHEZ GALLO</v>
      </c>
      <c r="U364" s="12" t="str">
        <f>IFERROR(__xludf.DUMMYFUNCTION("""COMPUTED_VALUE"""),"1018406225")</f>
        <v>1018406225</v>
      </c>
      <c r="V364" s="6">
        <f>IFERROR(__xludf.DUMMYFUNCTION("""COMPUTED_VALUE"""),3.163869164E9)</f>
        <v>3163869164</v>
      </c>
      <c r="W364" s="6" t="str">
        <f>IFERROR(__xludf.DUMMYFUNCTION("""COMPUTED_VALUE"""),"mauricio@hec-latam.com")</f>
        <v>mauricio@hec-latam.com</v>
      </c>
      <c r="X364" s="12" t="str">
        <f>IFERROR(__xludf.DUMMYFUNCTION("""COMPUTED_VALUE"""),"A+")</f>
        <v>A+</v>
      </c>
      <c r="Y364" s="12" t="str">
        <f>IFERROR(__xludf.DUMMYFUNCTION("""COMPUTED_VALUE"""),"4")</f>
        <v>4</v>
      </c>
      <c r="Z364" s="12">
        <f>IFERROR(__xludf.DUMMYFUNCTION("""COMPUTED_VALUE"""),120182.0)</f>
        <v>120182</v>
      </c>
      <c r="AA364" s="6" t="str">
        <f>IFERROR(__xludf.DUMMYFUNCTION("""COMPUTED_VALUE"""),"SURA")</f>
        <v>SURA</v>
      </c>
      <c r="AB364" s="6"/>
      <c r="AC364" s="6"/>
      <c r="AD364" s="12" t="str">
        <f>IFERROR(__xludf.DUMMYFUNCTION("""COMPUTED_VALUE"""),"4A")</f>
        <v>4A</v>
      </c>
      <c r="AE364" s="12">
        <f>IFERROR(__xludf.DUMMYFUNCTION("""COMPUTED_VALUE"""),1.345282179E9)</f>
        <v>1345282179</v>
      </c>
      <c r="AF364" s="12" t="str">
        <f>IFERROR(__xludf.DUMMYFUNCTION("""COMPUTED_VALUE"""),"0706136675")</f>
        <v>0706136675</v>
      </c>
      <c r="AG364" s="12" t="str">
        <f>IFERROR(__xludf.DUMMYFUNCTION("""COMPUTED_VALUE"""),"Natalia")</f>
        <v>Natalia</v>
      </c>
      <c r="AH364" s="6"/>
      <c r="AI364" s="6" t="str">
        <f>IFERROR(__xludf.DUMMYFUNCTION("""COMPUTED_VALUE"""),"Trujillo Díaz")</f>
        <v>Trujillo Díaz</v>
      </c>
      <c r="AJ364" s="6" t="str">
        <f>IFERROR(__xludf.DUMMYFUNCTION("""COMPUTED_VALUE"""),"natalia@hec-latam.com")</f>
        <v>natalia@hec-latam.com</v>
      </c>
      <c r="AK364" s="6" t="str">
        <f>IFERROR(__xludf.DUMMYFUNCTION("""COMPUTED_VALUE"""),"Administradora de Negocios Internacionales")</f>
        <v>Administradora de Negocios Internacionales</v>
      </c>
      <c r="AL364" s="6"/>
      <c r="AM364" s="12" t="str">
        <f>IFERROR(__xludf.DUMMYFUNCTION("""COMPUTED_VALUE"""),"1020720855")</f>
        <v>1020720855</v>
      </c>
      <c r="AN364" s="12" t="str">
        <f>IFERROR(__xludf.DUMMYFUNCTION("""COMPUTED_VALUE"""),"3213230660")</f>
        <v>3213230660</v>
      </c>
      <c r="AO364" s="6" t="str">
        <f>IFERROR(__xludf.DUMMYFUNCTION("""COMPUTED_VALUE"""),"Madre")</f>
        <v>Madre</v>
      </c>
      <c r="AP364" s="6" t="str">
        <f>IFERROR(__xludf.DUMMYFUNCTION("""COMPUTED_VALUE"""),"Estudiante(s): Sánchez Trujillo")</f>
        <v>Estudiante(s): Sánchez Trujillo</v>
      </c>
      <c r="AQ364" s="6" t="str">
        <f>IFERROR(__xludf.DUMMYFUNCTION("""COMPUTED_VALUE"""),"120182*Gi")</f>
        <v>120182*Gi</v>
      </c>
      <c r="AR364" s="6" t="str">
        <f>IFERROR(__xludf.DUMMYFUNCTION("""COMPUTED_VALUE"""),"Andrés")</f>
        <v>Andrés</v>
      </c>
      <c r="AS364" s="6" t="str">
        <f>IFERROR(__xludf.DUMMYFUNCTION("""COMPUTED_VALUE"""),"Mauricio")</f>
        <v>Mauricio</v>
      </c>
      <c r="AT364" s="6" t="str">
        <f>IFERROR(__xludf.DUMMYFUNCTION("""COMPUTED_VALUE"""),"Sánchez Gallo")</f>
        <v>Sánchez Gallo</v>
      </c>
      <c r="AU364" s="6" t="str">
        <f>IFERROR(__xludf.DUMMYFUNCTION("""COMPUTED_VALUE"""),"mauricio@hec-latam.com")</f>
        <v>mauricio@hec-latam.com</v>
      </c>
      <c r="AV364" s="6" t="str">
        <f>IFERROR(__xludf.DUMMYFUNCTION("""COMPUTED_VALUE"""),"Ingeniero Industrial, Especialista en Finanzas Corporativas")</f>
        <v>Ingeniero Industrial, Especialista en Finanzas Corporativas</v>
      </c>
      <c r="AW364" s="6" t="str">
        <f>IFERROR(__xludf.DUMMYFUNCTION("""COMPUTED_VALUE"""),"Higher Education Consulting SAS")</f>
        <v>Higher Education Consulting SAS</v>
      </c>
      <c r="AX364" s="12" t="str">
        <f>IFERROR(__xludf.DUMMYFUNCTION("""COMPUTED_VALUE"""),"1018406225")</f>
        <v>1018406225</v>
      </c>
      <c r="AY364" s="12" t="str">
        <f>IFERROR(__xludf.DUMMYFUNCTION("""COMPUTED_VALUE"""),"3163869164")</f>
        <v>3163869164</v>
      </c>
      <c r="AZ364" s="6" t="str">
        <f>IFERROR(__xludf.DUMMYFUNCTION("""COMPUTED_VALUE"""),"Padre")</f>
        <v>Padre</v>
      </c>
      <c r="BA364" s="6"/>
      <c r="BB364" s="6"/>
      <c r="BC364" s="6"/>
      <c r="BD364" s="12" t="str">
        <f>IFERROR(__xludf.DUMMYFUNCTION("""COMPUTED_VALUE"""),"san0005")</f>
        <v>san0005</v>
      </c>
      <c r="BE364" s="6"/>
      <c r="BF364" s="6"/>
      <c r="BG364" s="6">
        <f>IFERROR(__xludf.DUMMYFUNCTION("""COMPUTED_VALUE"""),2035.0)</f>
        <v>2035</v>
      </c>
      <c r="BH364" s="15">
        <f>IFERROR(__xludf.DUMMYFUNCTION("""COMPUTED_VALUE"""),46212.65458333334)</f>
        <v>46212.65458</v>
      </c>
      <c r="BI364" s="6">
        <f>IFERROR(__xludf.DUMMYFUNCTION("""COMPUTED_VALUE"""),364.0)</f>
        <v>364</v>
      </c>
      <c r="BJ364" s="6"/>
      <c r="BK364" s="6"/>
      <c r="BL364" s="6" t="str">
        <f>IFERROR(__xludf.DUMMYFUNCTION("""COMPUTED_VALUE"""),"GISSAN0005")</f>
        <v>GISSAN0005</v>
      </c>
      <c r="BM364" s="6"/>
      <c r="BN364" s="6"/>
      <c r="BO364" s="6" t="str">
        <f>IFERROR(__xludf.DUMMYFUNCTION("""COMPUTED_VALUE"""),"XC_EL_ArtesPlasticas")</f>
        <v>XC_EL_ArtesPlasticas</v>
      </c>
      <c r="BP364" s="6" t="str">
        <f>IFERROR(__xludf.DUMMYFUNCTION("""COMPUTED_VALUE"""),"XC_4_Futbol_M")</f>
        <v>XC_4_Futbol_M</v>
      </c>
      <c r="BQ364" s="6"/>
      <c r="BR364" s="6" t="str">
        <f>IFERROR(__xludf.DUMMYFUNCTION("""COMPUTED_VALUE"""),"XC_Robo_Lego")</f>
        <v>XC_Robo_Lego</v>
      </c>
      <c r="BS364" s="6" t="str">
        <f>IFERROR(__xludf.DUMMYFUNCTION("""COMPUTED_VALUE"""),"XC_4_Futbol_M")</f>
        <v>XC_4_Futbol_M</v>
      </c>
      <c r="BT364" s="6" t="str">
        <f>IFERROR(__xludf.DUMMYFUNCTION("""COMPUTED_VALUE"""),"XC_4_Futbol_M")</f>
        <v>XC_4_Futbol_M</v>
      </c>
      <c r="BU364" s="6" t="str">
        <f>IFERROR(__xludf.DUMMYFUNCTION("""COMPUTED_VALUE"""),"SI")</f>
        <v>SI</v>
      </c>
      <c r="BV364" s="6" t="str">
        <f>IFERROR(__xludf.DUMMYFUNCTION("""COMPUTED_VALUE"""),"joaquin.s2035")</f>
        <v>joaquin.s2035</v>
      </c>
      <c r="BW364" s="6"/>
      <c r="BX364" s="6"/>
      <c r="BY364" s="6"/>
      <c r="BZ364" s="6"/>
    </row>
    <row r="365">
      <c r="A365" s="12">
        <f>IFERROR(__xludf.DUMMYFUNCTION("""COMPUTED_VALUE"""),1.092860533E9)</f>
        <v>1092860533</v>
      </c>
      <c r="B365" s="6">
        <f>IFERROR(__xludf.DUMMYFUNCTION("""COMPUTED_VALUE"""),20.0)</f>
        <v>20</v>
      </c>
      <c r="C365" s="6" t="str">
        <f>IFERROR(__xludf.DUMMYFUNCTION("""COMPUTED_VALUE"""),"Thiago")</f>
        <v>Thiago</v>
      </c>
      <c r="D365" s="6"/>
      <c r="E365" s="6" t="str">
        <f>IFERROR(__xludf.DUMMYFUNCTION("""COMPUTED_VALUE"""),"Serna Ruíz")</f>
        <v>Serna Ruíz</v>
      </c>
      <c r="F365" s="6" t="str">
        <f>IFERROR(__xludf.DUMMYFUNCTION("""COMPUTED_VALUE"""),"Condominio Alcala Casa 41 - Calle 24ANte No 18 - 20")</f>
        <v>Condominio Alcala Casa 41 - Calle 24ANte No 18 - 20</v>
      </c>
      <c r="G365" s="12" t="str">
        <f>IFERROR(__xludf.DUMMYFUNCTION("""COMPUTED_VALUE"""),"2016")</f>
        <v>2016</v>
      </c>
      <c r="H365" s="6" t="str">
        <f>IFERROR(__xludf.DUMMYFUNCTION("""COMPUTED_VALUE"""),"Octubre")</f>
        <v>Octubre</v>
      </c>
      <c r="I365" s="12" t="str">
        <f>IFERROR(__xludf.DUMMYFUNCTION("""COMPUTED_VALUE"""),"15")</f>
        <v>15</v>
      </c>
      <c r="J365" s="6" t="str">
        <f>IFERROR(__xludf.DUMMYFUNCTION("""COMPUTED_VALUE"""),"Armenia")</f>
        <v>Armenia</v>
      </c>
      <c r="K365" s="6" t="str">
        <f>IFERROR(__xludf.DUMMYFUNCTION("""COMPUTED_VALUE"""),"thiago.s2035@gi.edu.co")</f>
        <v>thiago.s2035@gi.edu.co</v>
      </c>
      <c r="L365" s="6" t="str">
        <f>IFERROR(__xludf.DUMMYFUNCTION("""COMPUTED_VALUE"""),"TI")</f>
        <v>TI</v>
      </c>
      <c r="M365" s="6" t="str">
        <f>IFERROR(__xludf.DUMMYFUNCTION("""COMPUTED_VALUE"""),"Armenia")</f>
        <v>Armenia</v>
      </c>
      <c r="N365" s="6" t="str">
        <f>IFERROR(__xludf.DUMMYFUNCTION("""COMPUTED_VALUE"""),"M")</f>
        <v>M</v>
      </c>
      <c r="O365" s="6" t="str">
        <f>IFERROR(__xludf.DUMMYFUNCTION("""COMPUTED_VALUE"""),"INACTIVE")</f>
        <v>INACTIVE</v>
      </c>
      <c r="P365" s="6"/>
      <c r="Q365" s="6" t="str">
        <f>IFERROR(__xludf.DUMMYFUNCTION("""COMPUTED_VALUE"""),"Armenia")</f>
        <v>Armenia</v>
      </c>
      <c r="R365" s="12" t="str">
        <f>IFERROR(__xludf.DUMMYFUNCTION("""COMPUTED_VALUE"""),"Gi3905ts*")</f>
        <v>Gi3905ts*</v>
      </c>
      <c r="S365" s="6" t="str">
        <f>IFERROR(__xludf.DUMMYFUNCTION("""COMPUTED_VALUE"""),"Serna Ruíz Thiago ")</f>
        <v>Serna Ruíz Thiago </v>
      </c>
      <c r="T365" s="6" t="str">
        <f>IFERROR(__xludf.DUMMYFUNCTION("""COMPUTED_VALUE"""),"ANDRÉS SERNA MARÍN")</f>
        <v>ANDRÉS SERNA MARÍN</v>
      </c>
      <c r="U365" s="12" t="str">
        <f>IFERROR(__xludf.DUMMYFUNCTION("""COMPUTED_VALUE"""),"8434517")</f>
        <v>8434517</v>
      </c>
      <c r="V365" s="6">
        <f>IFERROR(__xludf.DUMMYFUNCTION("""COMPUTED_VALUE"""),3.104622272E9)</f>
        <v>3104622272</v>
      </c>
      <c r="W365" s="6" t="str">
        <f>IFERROR(__xludf.DUMMYFUNCTION("""COMPUTED_VALUE"""),"fcbarce.07@hotmail.com")</f>
        <v>fcbarce.07@hotmail.com</v>
      </c>
      <c r="X365" s="12" t="str">
        <f>IFERROR(__xludf.DUMMYFUNCTION("""COMPUTED_VALUE"""),"O+")</f>
        <v>O+</v>
      </c>
      <c r="Y365" s="12" t="str">
        <f>IFERROR(__xludf.DUMMYFUNCTION("""COMPUTED_VALUE"""),"4")</f>
        <v>4</v>
      </c>
      <c r="Z365" s="12">
        <f>IFERROR(__xludf.DUMMYFUNCTION("""COMPUTED_VALUE"""),103905.0)</f>
        <v>103905</v>
      </c>
      <c r="AA365" s="6" t="str">
        <f>IFERROR(__xludf.DUMMYFUNCTION("""COMPUTED_VALUE"""),"SURA")</f>
        <v>SURA</v>
      </c>
      <c r="AB365" s="6" t="str">
        <f>IFERROR(__xludf.DUMMYFUNCTION("""COMPUTED_VALUE"""),"Emi")</f>
        <v>Emi</v>
      </c>
      <c r="AC365" s="12" t="str">
        <f>IFERROR(__xludf.DUMMYFUNCTION("""COMPUTED_VALUE"""),"acaros")</f>
        <v>acaros</v>
      </c>
      <c r="AD365" s="12" t="str">
        <f>IFERROR(__xludf.DUMMYFUNCTION("""COMPUTED_VALUE"""),"4A")</f>
        <v>4A</v>
      </c>
      <c r="AE365" s="12">
        <f>IFERROR(__xludf.DUMMYFUNCTION("""COMPUTED_VALUE"""),1.345281964E9)</f>
        <v>1345281964</v>
      </c>
      <c r="AF365" s="12" t="str">
        <f>IFERROR(__xludf.DUMMYFUNCTION("""COMPUTED_VALUE"""),"0658222243")</f>
        <v>0658222243</v>
      </c>
      <c r="AG365" s="12" t="str">
        <f>IFERROR(__xludf.DUMMYFUNCTION("""COMPUTED_VALUE"""),"Paola")</f>
        <v>Paola</v>
      </c>
      <c r="AH365" s="12" t="str">
        <f>IFERROR(__xludf.DUMMYFUNCTION("""COMPUTED_VALUE"""),"Andrea")</f>
        <v>Andrea</v>
      </c>
      <c r="AI365" s="6" t="str">
        <f>IFERROR(__xludf.DUMMYFUNCTION("""COMPUTED_VALUE"""),"Ruíz Martínez")</f>
        <v>Ruíz Martínez</v>
      </c>
      <c r="AJ365" s="6" t="str">
        <f>IFERROR(__xludf.DUMMYFUNCTION("""COMPUTED_VALUE"""),"damathi781@gmail.com")</f>
        <v>damathi781@gmail.com</v>
      </c>
      <c r="AK365" s="6" t="str">
        <f>IFERROR(__xludf.DUMMYFUNCTION("""COMPUTED_VALUE"""),"admon financiera")</f>
        <v>admon financiera</v>
      </c>
      <c r="AL365" s="6"/>
      <c r="AM365" s="12" t="str">
        <f>IFERROR(__xludf.DUMMYFUNCTION("""COMPUTED_VALUE"""),"24814517")</f>
        <v>24814517</v>
      </c>
      <c r="AN365" s="12" t="str">
        <f>IFERROR(__xludf.DUMMYFUNCTION("""COMPUTED_VALUE"""),"3127916176")</f>
        <v>3127916176</v>
      </c>
      <c r="AO365" s="6" t="str">
        <f>IFERROR(__xludf.DUMMYFUNCTION("""COMPUTED_VALUE"""),"Madre")</f>
        <v>Madre</v>
      </c>
      <c r="AP365" s="6" t="str">
        <f>IFERROR(__xludf.DUMMYFUNCTION("""COMPUTED_VALUE"""),"Estudiante(s): Serna Ruíz")</f>
        <v>Estudiante(s): Serna Ruíz</v>
      </c>
      <c r="AQ365" s="6" t="str">
        <f>IFERROR(__xludf.DUMMYFUNCTION("""COMPUTED_VALUE"""),"103905*Gi")</f>
        <v>103905*Gi</v>
      </c>
      <c r="AR365" s="6" t="str">
        <f>IFERROR(__xludf.DUMMYFUNCTION("""COMPUTED_VALUE"""),"Andrés")</f>
        <v>Andrés</v>
      </c>
      <c r="AS365" s="6"/>
      <c r="AT365" s="6" t="str">
        <f>IFERROR(__xludf.DUMMYFUNCTION("""COMPUTED_VALUE"""),"Serna Marín")</f>
        <v>Serna Marín</v>
      </c>
      <c r="AU365" s="6" t="str">
        <f>IFERROR(__xludf.DUMMYFUNCTION("""COMPUTED_VALUE"""),"fcbarce.07@hotmail.com")</f>
        <v>fcbarce.07@hotmail.com</v>
      </c>
      <c r="AV365" s="6" t="str">
        <f>IFERROR(__xludf.DUMMYFUNCTION("""COMPUTED_VALUE"""),"administrador empresas")</f>
        <v>administrador empresas</v>
      </c>
      <c r="AW365" s="6" t="str">
        <f>IFERROR(__xludf.DUMMYFUNCTION("""COMPUTED_VALUE"""),"INDEPENDIENTE")</f>
        <v>INDEPENDIENTE</v>
      </c>
      <c r="AX365" s="12" t="str">
        <f>IFERROR(__xludf.DUMMYFUNCTION("""COMPUTED_VALUE"""),"8434517")</f>
        <v>8434517</v>
      </c>
      <c r="AY365" s="12" t="str">
        <f>IFERROR(__xludf.DUMMYFUNCTION("""COMPUTED_VALUE"""),"3104622272")</f>
        <v>3104622272</v>
      </c>
      <c r="AZ365" s="6" t="str">
        <f>IFERROR(__xludf.DUMMYFUNCTION("""COMPUTED_VALUE"""),"Padre")</f>
        <v>Padre</v>
      </c>
      <c r="BA365" s="6"/>
      <c r="BB365" s="6"/>
      <c r="BC365" s="6"/>
      <c r="BD365" s="12" t="str">
        <f>IFERROR(__xludf.DUMMYFUNCTION("""COMPUTED_VALUE"""),"ser0003")</f>
        <v>ser0003</v>
      </c>
      <c r="BE365" s="6" t="str">
        <f>IFERROR(__xludf.DUMMYFUNCTION("""COMPUTED_VALUE"""),"FALTAN FIRMAS")</f>
        <v>FALTAN FIRMAS</v>
      </c>
      <c r="BF365" s="6"/>
      <c r="BG365" s="6">
        <f>IFERROR(__xludf.DUMMYFUNCTION("""COMPUTED_VALUE"""),2035.0)</f>
        <v>2035</v>
      </c>
      <c r="BH365" s="15">
        <f>IFERROR(__xludf.DUMMYFUNCTION("""COMPUTED_VALUE"""),46212.28761574074)</f>
        <v>46212.28762</v>
      </c>
      <c r="BI365" s="6">
        <f>IFERROR(__xludf.DUMMYFUNCTION("""COMPUTED_VALUE"""),365.0)</f>
        <v>365</v>
      </c>
      <c r="BJ365" s="6"/>
      <c r="BK365" s="6"/>
      <c r="BL365" s="6" t="str">
        <f>IFERROR(__xludf.DUMMYFUNCTION("""COMPUTED_VALUE"""),"GISSER0003")</f>
        <v>GISSER0003</v>
      </c>
      <c r="BM365" s="6"/>
      <c r="BN365" s="6"/>
      <c r="BO365" s="6"/>
      <c r="BP365" s="6"/>
      <c r="BQ365" s="6"/>
      <c r="BR365" s="6"/>
      <c r="BS365" s="6"/>
      <c r="BT365" s="6"/>
      <c r="BU365" s="6" t="str">
        <f>IFERROR(__xludf.DUMMYFUNCTION("""COMPUTED_VALUE"""),"NO")</f>
        <v>NO</v>
      </c>
      <c r="BV365" s="6" t="str">
        <f>IFERROR(__xludf.DUMMYFUNCTION("""COMPUTED_VALUE"""),"thiago.s2035")</f>
        <v>thiago.s2035</v>
      </c>
      <c r="BW365" s="6"/>
      <c r="BX365" s="6"/>
      <c r="BY365" s="6"/>
      <c r="BZ365" s="6"/>
    </row>
    <row r="366">
      <c r="A366" s="12">
        <f>IFERROR(__xludf.DUMMYFUNCTION("""COMPUTED_VALUE"""),1.094970972E9)</f>
        <v>1094970972</v>
      </c>
      <c r="B366" s="6">
        <f>IFERROR(__xludf.DUMMYFUNCTION("""COMPUTED_VALUE"""),21.0)</f>
        <v>21</v>
      </c>
      <c r="C366" s="6" t="str">
        <f>IFERROR(__xludf.DUMMYFUNCTION("""COMPUTED_VALUE"""),"Jhanna")</f>
        <v>Jhanna</v>
      </c>
      <c r="D366" s="6"/>
      <c r="E366" s="6" t="str">
        <f>IFERROR(__xludf.DUMMYFUNCTION("""COMPUTED_VALUE"""),"Tovar Muñoz")</f>
        <v>Tovar Muñoz</v>
      </c>
      <c r="F366" s="6" t="str">
        <f>IFERROR(__xludf.DUMMYFUNCTION("""COMPUTED_VALUE"""),"Conjunto Alejandria Casa 23 - Cra 6 No25Nte - 35 Av Centenario")</f>
        <v>Conjunto Alejandria Casa 23 - Cra 6 No25Nte - 35 Av Centenario</v>
      </c>
      <c r="G366" s="12" t="str">
        <f>IFERROR(__xludf.DUMMYFUNCTION("""COMPUTED_VALUE"""),"2016")</f>
        <v>2016</v>
      </c>
      <c r="H366" s="6" t="str">
        <f>IFERROR(__xludf.DUMMYFUNCTION("""COMPUTED_VALUE"""),"Octubre")</f>
        <v>Octubre</v>
      </c>
      <c r="I366" s="12" t="str">
        <f>IFERROR(__xludf.DUMMYFUNCTION("""COMPUTED_VALUE"""),"10")</f>
        <v>10</v>
      </c>
      <c r="J366" s="6" t="str">
        <f>IFERROR(__xludf.DUMMYFUNCTION("""COMPUTED_VALUE"""),"Armenia")</f>
        <v>Armenia</v>
      </c>
      <c r="K366" s="6" t="str">
        <f>IFERROR(__xludf.DUMMYFUNCTION("""COMPUTED_VALUE"""),"jhanna.t2035@gi.edu.co")</f>
        <v>jhanna.t2035@gi.edu.co</v>
      </c>
      <c r="L366" s="6" t="str">
        <f>IFERROR(__xludf.DUMMYFUNCTION("""COMPUTED_VALUE"""),"TI")</f>
        <v>TI</v>
      </c>
      <c r="M366" s="6" t="str">
        <f>IFERROR(__xludf.DUMMYFUNCTION("""COMPUTED_VALUE"""),"Armenia")</f>
        <v>Armenia</v>
      </c>
      <c r="N366" s="6" t="str">
        <f>IFERROR(__xludf.DUMMYFUNCTION("""COMPUTED_VALUE"""),"F")</f>
        <v>F</v>
      </c>
      <c r="O366" s="6" t="str">
        <f>IFERROR(__xludf.DUMMYFUNCTION("""COMPUTED_VALUE"""),"ACTIVE")</f>
        <v>ACTIVE</v>
      </c>
      <c r="P366" s="6"/>
      <c r="Q366" s="6" t="str">
        <f>IFERROR(__xludf.DUMMYFUNCTION("""COMPUTED_VALUE"""),"Armenia")</f>
        <v>Armenia</v>
      </c>
      <c r="R366" s="12" t="str">
        <f>IFERROR(__xludf.DUMMYFUNCTION("""COMPUTED_VALUE"""),"Gi85g27*")</f>
        <v>Gi85g27*</v>
      </c>
      <c r="S366" s="6" t="str">
        <f>IFERROR(__xludf.DUMMYFUNCTION("""COMPUTED_VALUE"""),"Tovar Muñoz Jhanna ")</f>
        <v>Tovar Muñoz Jhanna </v>
      </c>
      <c r="T366" s="6" t="str">
        <f>IFERROR(__xludf.DUMMYFUNCTION("""COMPUTED_VALUE"""),"LUIS EFRAÍN TOVAR REINA")</f>
        <v>LUIS EFRAÍN TOVAR REINA</v>
      </c>
      <c r="U366" s="12" t="str">
        <f>IFERROR(__xludf.DUMMYFUNCTION("""COMPUTED_VALUE"""),"5937864")</f>
        <v>5937864</v>
      </c>
      <c r="V366" s="6">
        <f>IFERROR(__xludf.DUMMYFUNCTION("""COMPUTED_VALUE"""),3.218115077E9)</f>
        <v>3218115077</v>
      </c>
      <c r="W366" s="6" t="str">
        <f>IFERROR(__xludf.DUMMYFUNCTION("""COMPUTED_VALUE"""),"contabilidad@vidriosreina.net")</f>
        <v>contabilidad@vidriosreina.net</v>
      </c>
      <c r="X366" s="12" t="str">
        <f>IFERROR(__xludf.DUMMYFUNCTION("""COMPUTED_VALUE"""),"O+")</f>
        <v>O+</v>
      </c>
      <c r="Y366" s="12" t="str">
        <f>IFERROR(__xludf.DUMMYFUNCTION("""COMPUTED_VALUE"""),"4")</f>
        <v>4</v>
      </c>
      <c r="Z366" s="12">
        <f>IFERROR(__xludf.DUMMYFUNCTION("""COMPUTED_VALUE"""),120223.0)</f>
        <v>120223</v>
      </c>
      <c r="AA366" s="6" t="str">
        <f>IFERROR(__xludf.DUMMYFUNCTION("""COMPUTED_VALUE"""),"SURA")</f>
        <v>SURA</v>
      </c>
      <c r="AB366" s="6"/>
      <c r="AC366" s="6"/>
      <c r="AD366" s="12" t="str">
        <f>IFERROR(__xludf.DUMMYFUNCTION("""COMPUTED_VALUE"""),"4A")</f>
        <v>4A</v>
      </c>
      <c r="AE366" s="12">
        <f>IFERROR(__xludf.DUMMYFUNCTION("""COMPUTED_VALUE"""),1.345282209E9)</f>
        <v>1345282209</v>
      </c>
      <c r="AF366" s="12" t="str">
        <f>IFERROR(__xludf.DUMMYFUNCTION("""COMPUTED_VALUE"""),"0695106771")</f>
        <v>0695106771</v>
      </c>
      <c r="AG366" s="12" t="str">
        <f>IFERROR(__xludf.DUMMYFUNCTION("""COMPUTED_VALUE"""),"María")</f>
        <v>María</v>
      </c>
      <c r="AH366" s="12" t="str">
        <f>IFERROR(__xludf.DUMMYFUNCTION("""COMPUTED_VALUE"""),"Camila")</f>
        <v>Camila</v>
      </c>
      <c r="AI366" s="6" t="str">
        <f>IFERROR(__xludf.DUMMYFUNCTION("""COMPUTED_VALUE"""),"Muñoz Pajoy")</f>
        <v>Muñoz Pajoy</v>
      </c>
      <c r="AJ366" s="6" t="str">
        <f>IFERROR(__xludf.DUMMYFUNCTION("""COMPUTED_VALUE"""),"camiluchis_1008@hotmail.com")</f>
        <v>camiluchis_1008@hotmail.com</v>
      </c>
      <c r="AK366" s="6" t="str">
        <f>IFERROR(__xludf.DUMMYFUNCTION("""COMPUTED_VALUE"""),"comerciante de vidrio")</f>
        <v>comerciante de vidrio</v>
      </c>
      <c r="AL366" s="6" t="str">
        <f>IFERROR(__xludf.DUMMYFUNCTION("""COMPUTED_VALUE"""),"VIDRIOS Y ESPEJOS DEL TOLIMA")</f>
        <v>VIDRIOS Y ESPEJOS DEL TOLIMA</v>
      </c>
      <c r="AM366" s="12" t="str">
        <f>IFERROR(__xludf.DUMMYFUNCTION("""COMPUTED_VALUE"""),"1094940954")</f>
        <v>1094940954</v>
      </c>
      <c r="AN366" s="12" t="str">
        <f>IFERROR(__xludf.DUMMYFUNCTION("""COMPUTED_VALUE"""),"3127782667")</f>
        <v>3127782667</v>
      </c>
      <c r="AO366" s="6" t="str">
        <f>IFERROR(__xludf.DUMMYFUNCTION("""COMPUTED_VALUE"""),"Madre")</f>
        <v>Madre</v>
      </c>
      <c r="AP366" s="6" t="str">
        <f>IFERROR(__xludf.DUMMYFUNCTION("""COMPUTED_VALUE"""),"Estudiante(s): Tovar Muñoz")</f>
        <v>Estudiante(s): Tovar Muñoz</v>
      </c>
      <c r="AQ366" s="6" t="str">
        <f>IFERROR(__xludf.DUMMYFUNCTION("""COMPUTED_VALUE"""),"134586*Gi")</f>
        <v>134586*Gi</v>
      </c>
      <c r="AR366" s="6" t="str">
        <f>IFERROR(__xludf.DUMMYFUNCTION("""COMPUTED_VALUE"""),"Luis")</f>
        <v>Luis</v>
      </c>
      <c r="AS366" s="6" t="str">
        <f>IFERROR(__xludf.DUMMYFUNCTION("""COMPUTED_VALUE"""),"Efraín")</f>
        <v>Efraín</v>
      </c>
      <c r="AT366" s="6" t="str">
        <f>IFERROR(__xludf.DUMMYFUNCTION("""COMPUTED_VALUE"""),"Tovar Reina")</f>
        <v>Tovar Reina</v>
      </c>
      <c r="AU366" s="6" t="str">
        <f>IFERROR(__xludf.DUMMYFUNCTION("""COMPUTED_VALUE"""),"contabilidadvidriosreina@outlook.com")</f>
        <v>contabilidadvidriosreina@outlook.com</v>
      </c>
      <c r="AV366" s="6" t="str">
        <f>IFERROR(__xludf.DUMMYFUNCTION("""COMPUTED_VALUE"""),"comerciante de vidrio")</f>
        <v>comerciante de vidrio</v>
      </c>
      <c r="AW366" s="6" t="str">
        <f>IFERROR(__xludf.DUMMYFUNCTION("""COMPUTED_VALUE"""),"DIVIACEROS REINA")</f>
        <v>DIVIACEROS REINA</v>
      </c>
      <c r="AX366" s="12" t="str">
        <f>IFERROR(__xludf.DUMMYFUNCTION("""COMPUTED_VALUE"""),"5937864")</f>
        <v>5937864</v>
      </c>
      <c r="AY366" s="12" t="str">
        <f>IFERROR(__xludf.DUMMYFUNCTION("""COMPUTED_VALUE"""),"3218115077")</f>
        <v>3218115077</v>
      </c>
      <c r="AZ366" s="6" t="str">
        <f>IFERROR(__xludf.DUMMYFUNCTION("""COMPUTED_VALUE"""),"Padre")</f>
        <v>Padre</v>
      </c>
      <c r="BA366" s="6"/>
      <c r="BB366" s="6"/>
      <c r="BC366" s="6"/>
      <c r="BD366" s="12" t="str">
        <f>IFERROR(__xludf.DUMMYFUNCTION("""COMPUTED_VALUE"""),"tov0001")</f>
        <v>tov0001</v>
      </c>
      <c r="BE366" s="6"/>
      <c r="BF366" s="6"/>
      <c r="BG366" s="6">
        <f>IFERROR(__xludf.DUMMYFUNCTION("""COMPUTED_VALUE"""),2035.0)</f>
        <v>2035</v>
      </c>
      <c r="BH366" s="15">
        <f>IFERROR(__xludf.DUMMYFUNCTION("""COMPUTED_VALUE"""),46212.38900462963)</f>
        <v>46212.389</v>
      </c>
      <c r="BI366" s="6">
        <f>IFERROR(__xludf.DUMMYFUNCTION("""COMPUTED_VALUE"""),366.0)</f>
        <v>366</v>
      </c>
      <c r="BJ366" s="6"/>
      <c r="BK366" s="6"/>
      <c r="BL366" s="6" t="str">
        <f>IFERROR(__xludf.DUMMYFUNCTION("""COMPUTED_VALUE"""),"GISTOV0001")</f>
        <v>GISTOV0001</v>
      </c>
      <c r="BM366" s="6"/>
      <c r="BN366" s="6"/>
      <c r="BO366" s="6"/>
      <c r="BP366" s="6"/>
      <c r="BQ366" s="6"/>
      <c r="BR366" s="6"/>
      <c r="BS366" s="6"/>
      <c r="BT366" s="6"/>
      <c r="BU366" s="6" t="str">
        <f>IFERROR(__xludf.DUMMYFUNCTION("""COMPUTED_VALUE"""),"SI")</f>
        <v>SI</v>
      </c>
      <c r="BV366" s="6" t="str">
        <f>IFERROR(__xludf.DUMMYFUNCTION("""COMPUTED_VALUE"""),"jhanna.t2035")</f>
        <v>jhanna.t2035</v>
      </c>
      <c r="BW366" s="6"/>
      <c r="BX366" s="6"/>
      <c r="BY366" s="6"/>
      <c r="BZ366" s="6"/>
    </row>
    <row r="367">
      <c r="A367" s="12">
        <f>IFERROR(__xludf.DUMMYFUNCTION("""COMPUTED_VALUE"""),1.113872184E9)</f>
        <v>1113872184</v>
      </c>
      <c r="B367" s="6">
        <f>IFERROR(__xludf.DUMMYFUNCTION("""COMPUTED_VALUE"""),22.0)</f>
        <v>22</v>
      </c>
      <c r="C367" s="6" t="str">
        <f>IFERROR(__xludf.DUMMYFUNCTION("""COMPUTED_VALUE"""),"Nicholas")</f>
        <v>Nicholas</v>
      </c>
      <c r="D367" s="6"/>
      <c r="E367" s="6" t="str">
        <f>IFERROR(__xludf.DUMMYFUNCTION("""COMPUTED_VALUE"""),"Valderrama Osorio")</f>
        <v>Valderrama Osorio</v>
      </c>
      <c r="F367" s="6" t="str">
        <f>IFERROR(__xludf.DUMMYFUNCTION("""COMPUTED_VALUE"""),"Condominio Entre Maderos Casa 25 - Vereda El Congal Km 1.2 Via Circasia - Armenia")</f>
        <v>Condominio Entre Maderos Casa 25 - Vereda El Congal Km 1.2 Via Circasia - Armenia</v>
      </c>
      <c r="G367" s="12" t="str">
        <f>IFERROR(__xludf.DUMMYFUNCTION("""COMPUTED_VALUE"""),"2017")</f>
        <v>2017</v>
      </c>
      <c r="H367" s="6" t="str">
        <f>IFERROR(__xludf.DUMMYFUNCTION("""COMPUTED_VALUE"""),"Febrero")</f>
        <v>Febrero</v>
      </c>
      <c r="I367" s="12" t="str">
        <f>IFERROR(__xludf.DUMMYFUNCTION("""COMPUTED_VALUE"""),"2")</f>
        <v>2</v>
      </c>
      <c r="J367" s="6" t="str">
        <f>IFERROR(__xludf.DUMMYFUNCTION("""COMPUTED_VALUE"""),"Ocoee")</f>
        <v>Ocoee</v>
      </c>
      <c r="K367" s="6" t="str">
        <f>IFERROR(__xludf.DUMMYFUNCTION("""COMPUTED_VALUE"""),"nicholas.v2035@gi.edu.co")</f>
        <v>nicholas.v2035@gi.edu.co</v>
      </c>
      <c r="L367" s="6" t="str">
        <f>IFERROR(__xludf.DUMMYFUNCTION("""COMPUTED_VALUE"""),"TI")</f>
        <v>TI</v>
      </c>
      <c r="M367" s="6" t="str">
        <f>IFERROR(__xludf.DUMMYFUNCTION("""COMPUTED_VALUE"""),"Cartago")</f>
        <v>Cartago</v>
      </c>
      <c r="N367" s="6" t="str">
        <f>IFERROR(__xludf.DUMMYFUNCTION("""COMPUTED_VALUE"""),"M")</f>
        <v>M</v>
      </c>
      <c r="O367" s="6" t="str">
        <f>IFERROR(__xludf.DUMMYFUNCTION("""COMPUTED_VALUE"""),"INACTIVE")</f>
        <v>INACTIVE</v>
      </c>
      <c r="P367" s="6"/>
      <c r="Q367" s="6" t="str">
        <f>IFERROR(__xludf.DUMMYFUNCTION("""COMPUTED_VALUE"""),"Armenia")</f>
        <v>Armenia</v>
      </c>
      <c r="R367" s="12" t="str">
        <f>IFERROR(__xludf.DUMMYFUNCTION("""COMPUTED_VALUE"""),"Gis385p*")</f>
        <v>Gis385p*</v>
      </c>
      <c r="S367" s="6" t="str">
        <f>IFERROR(__xludf.DUMMYFUNCTION("""COMPUTED_VALUE"""),"Valderrama Osorio Nicholas ")</f>
        <v>Valderrama Osorio Nicholas </v>
      </c>
      <c r="T367" s="6" t="str">
        <f>IFERROR(__xludf.DUMMYFUNCTION("""COMPUTED_VALUE"""),"CAROLINA OSORIO TOLEDO")</f>
        <v>CAROLINA OSORIO TOLEDO</v>
      </c>
      <c r="U367" s="12" t="str">
        <f>IFERROR(__xludf.DUMMYFUNCTION("""COMPUTED_VALUE"""),"31580630")</f>
        <v>31580630</v>
      </c>
      <c r="V367" s="6">
        <f>IFERROR(__xludf.DUMMYFUNCTION("""COMPUTED_VALUE"""),1.786395726E10)</f>
        <v>17863957260</v>
      </c>
      <c r="W367" s="6" t="str">
        <f>IFERROR(__xludf.DUMMYFUNCTION("""COMPUTED_VALUE"""),"caroso1981@hotmail.com")</f>
        <v>caroso1981@hotmail.com</v>
      </c>
      <c r="X367" s="12" t="str">
        <f>IFERROR(__xludf.DUMMYFUNCTION("""COMPUTED_VALUE"""),"O+")</f>
        <v>O+</v>
      </c>
      <c r="Y367" s="12" t="str">
        <f>IFERROR(__xludf.DUMMYFUNCTION("""COMPUTED_VALUE"""),"4")</f>
        <v>4</v>
      </c>
      <c r="Z367" s="12">
        <f>IFERROR(__xludf.DUMMYFUNCTION("""COMPUTED_VALUE"""),120362.0)</f>
        <v>120362</v>
      </c>
      <c r="AA367" s="6" t="str">
        <f>IFERROR(__xludf.DUMMYFUNCTION("""COMPUTED_VALUE"""),"SURA")</f>
        <v>SURA</v>
      </c>
      <c r="AB367" s="6"/>
      <c r="AC367" s="6"/>
      <c r="AD367" s="12" t="str">
        <f>IFERROR(__xludf.DUMMYFUNCTION("""COMPUTED_VALUE"""),"4A")</f>
        <v>4A</v>
      </c>
      <c r="AE367" s="12" t="str">
        <f>IFERROR(__xludf.DUMMYFUNCTION("""COMPUTED_VALUE"""),"1345282371")</f>
        <v>1345282371</v>
      </c>
      <c r="AF367" s="12" t="str">
        <f>IFERROR(__xludf.DUMMYFUNCTION("""COMPUTED_VALUE"""),"0740870179")</f>
        <v>0740870179</v>
      </c>
      <c r="AG367" s="12" t="str">
        <f>IFERROR(__xludf.DUMMYFUNCTION("""COMPUTED_VALUE"""),"Carolina")</f>
        <v>Carolina</v>
      </c>
      <c r="AH367" s="6"/>
      <c r="AI367" s="6" t="str">
        <f>IFERROR(__xludf.DUMMYFUNCTION("""COMPUTED_VALUE"""),"Osorio Toledo")</f>
        <v>Osorio Toledo</v>
      </c>
      <c r="AJ367" s="6" t="str">
        <f>IFERROR(__xludf.DUMMYFUNCTION("""COMPUTED_VALUE"""),"caroso1981@hotmail.com")</f>
        <v>caroso1981@hotmail.com</v>
      </c>
      <c r="AK367" s="6" t="str">
        <f>IFERROR(__xludf.DUMMYFUNCTION("""COMPUTED_VALUE"""),"Consultora financiera")</f>
        <v>Consultora financiera</v>
      </c>
      <c r="AL367" s="6" t="str">
        <f>IFERROR(__xludf.DUMMYFUNCTION("""COMPUTED_VALUE"""),"MV &amp; CO COMPANY LLC")</f>
        <v>MV &amp; CO COMPANY LLC</v>
      </c>
      <c r="AM367" s="12" t="str">
        <f>IFERROR(__xludf.DUMMYFUNCTION("""COMPUTED_VALUE"""),"31580630")</f>
        <v>31580630</v>
      </c>
      <c r="AN367" s="12" t="str">
        <f>IFERROR(__xludf.DUMMYFUNCTION("""COMPUTED_VALUE"""),"17863957260")</f>
        <v>17863957260</v>
      </c>
      <c r="AO367" s="6" t="str">
        <f>IFERROR(__xludf.DUMMYFUNCTION("""COMPUTED_VALUE"""),"Madre")</f>
        <v>Madre</v>
      </c>
      <c r="AP367" s="6" t="str">
        <f>IFERROR(__xludf.DUMMYFUNCTION("""COMPUTED_VALUE"""),"Estudiante(s): Valderrama Osorio")</f>
        <v>Estudiante(s): Valderrama Osorio</v>
      </c>
      <c r="AQ367" s="6" t="str">
        <f>IFERROR(__xludf.DUMMYFUNCTION("""COMPUTED_VALUE"""),"120359*Gi")</f>
        <v>120359*Gi</v>
      </c>
      <c r="AR367" s="6" t="str">
        <f>IFERROR(__xludf.DUMMYFUNCTION("""COMPUTED_VALUE"""),"Milton")</f>
        <v>Milton</v>
      </c>
      <c r="AS367" s="6" t="str">
        <f>IFERROR(__xludf.DUMMYFUNCTION("""COMPUTED_VALUE"""),"Andres")</f>
        <v>Andres</v>
      </c>
      <c r="AT367" s="6" t="str">
        <f>IFERROR(__xludf.DUMMYFUNCTION("""COMPUTED_VALUE"""),"Valderrama Serna")</f>
        <v>Valderrama Serna</v>
      </c>
      <c r="AU367" s="6" t="str">
        <f>IFERROR(__xludf.DUMMYFUNCTION("""COMPUTED_VALUE"""),"miltonvalderrama77@gmail.com")</f>
        <v>miltonvalderrama77@gmail.com</v>
      </c>
      <c r="AV367" s="6" t="str">
        <f>IFERROR(__xludf.DUMMYFUNCTION("""COMPUTED_VALUE"""),"Consultor de Negocios")</f>
        <v>Consultor de Negocios</v>
      </c>
      <c r="AW367" s="6" t="str">
        <f>IFERROR(__xludf.DUMMYFUNCTION("""COMPUTED_VALUE"""),"Mv &amp; Co Company LLC")</f>
        <v>Mv &amp; Co Company LLC</v>
      </c>
      <c r="AX367" s="12" t="str">
        <f>IFERROR(__xludf.DUMMYFUNCTION("""COMPUTED_VALUE"""),"16232091")</f>
        <v>16232091</v>
      </c>
      <c r="AY367" s="12">
        <f>IFERROR(__xludf.DUMMYFUNCTION("""COMPUTED_VALUE"""),1.4079629623E10)</f>
        <v>14079629623</v>
      </c>
      <c r="AZ367" s="6" t="str">
        <f>IFERROR(__xludf.DUMMYFUNCTION("""COMPUTED_VALUE"""),"Padre")</f>
        <v>Padre</v>
      </c>
      <c r="BA367" s="6"/>
      <c r="BB367" s="6"/>
      <c r="BC367" s="6"/>
      <c r="BD367" s="12" t="str">
        <f>IFERROR(__xludf.DUMMYFUNCTION("""COMPUTED_VALUE"""),"val0012")</f>
        <v>val0012</v>
      </c>
      <c r="BE367" s="6" t="str">
        <f>IFERROR(__xludf.DUMMYFUNCTION("""COMPUTED_VALUE"""),"FALTAN FIRMAS")</f>
        <v>FALTAN FIRMAS</v>
      </c>
      <c r="BF367" s="6"/>
      <c r="BG367" s="6">
        <f>IFERROR(__xludf.DUMMYFUNCTION("""COMPUTED_VALUE"""),2035.0)</f>
        <v>2035</v>
      </c>
      <c r="BH367" s="15">
        <f>IFERROR(__xludf.DUMMYFUNCTION("""COMPUTED_VALUE"""),46212.850277777776)</f>
        <v>46212.85028</v>
      </c>
      <c r="BI367" s="6">
        <f>IFERROR(__xludf.DUMMYFUNCTION("""COMPUTED_VALUE"""),367.0)</f>
        <v>367</v>
      </c>
      <c r="BJ367" s="6"/>
      <c r="BK367" s="6"/>
      <c r="BL367" s="6" t="str">
        <f>IFERROR(__xludf.DUMMYFUNCTION("""COMPUTED_VALUE"""),"GISVAL0012")</f>
        <v>GISVAL0012</v>
      </c>
      <c r="BM367" s="6"/>
      <c r="BN367" s="6"/>
      <c r="BO367" s="6"/>
      <c r="BP367" s="6"/>
      <c r="BQ367" s="6"/>
      <c r="BR367" s="6"/>
      <c r="BS367" s="6"/>
      <c r="BT367" s="6"/>
      <c r="BU367" s="6" t="str">
        <f>IFERROR(__xludf.DUMMYFUNCTION("""COMPUTED_VALUE"""),"SI")</f>
        <v>SI</v>
      </c>
      <c r="BV367" s="6" t="str">
        <f>IFERROR(__xludf.DUMMYFUNCTION("""COMPUTED_VALUE"""),"nicholas.v2035")</f>
        <v>nicholas.v2035</v>
      </c>
      <c r="BW367" s="6"/>
      <c r="BX367" s="6"/>
      <c r="BY367" s="6"/>
      <c r="BZ367" s="6"/>
    </row>
    <row r="368">
      <c r="A368" s="12">
        <f>IFERROR(__xludf.DUMMYFUNCTION("""COMPUTED_VALUE"""),1.014895885E9)</f>
        <v>1014895885</v>
      </c>
      <c r="B368" s="6">
        <f>IFERROR(__xludf.DUMMYFUNCTION("""COMPUTED_VALUE"""),23.0)</f>
        <v>23</v>
      </c>
      <c r="C368" s="6" t="str">
        <f>IFERROR(__xludf.DUMMYFUNCTION("""COMPUTED_VALUE"""),"Alicia")</f>
        <v>Alicia</v>
      </c>
      <c r="D368" s="6"/>
      <c r="E368" s="6" t="str">
        <f>IFERROR(__xludf.DUMMYFUNCTION("""COMPUTED_VALUE"""),"Varón Quiroga")</f>
        <v>Varón Quiroga</v>
      </c>
      <c r="F368" s="6" t="str">
        <f>IFERROR(__xludf.DUMMYFUNCTION("""COMPUTED_VALUE"""),"Lagos de Iraka Casa 91 - Km 7 Via Armenia - El Caimo")</f>
        <v>Lagos de Iraka Casa 91 - Km 7 Via Armenia - El Caimo</v>
      </c>
      <c r="G368" s="12" t="str">
        <f>IFERROR(__xludf.DUMMYFUNCTION("""COMPUTED_VALUE"""),"2017")</f>
        <v>2017</v>
      </c>
      <c r="H368" s="6" t="str">
        <f>IFERROR(__xludf.DUMMYFUNCTION("""COMPUTED_VALUE"""),"Septiembre")</f>
        <v>Septiembre</v>
      </c>
      <c r="I368" s="12" t="str">
        <f>IFERROR(__xludf.DUMMYFUNCTION("""COMPUTED_VALUE"""),"12")</f>
        <v>12</v>
      </c>
      <c r="J368" s="6" t="str">
        <f>IFERROR(__xludf.DUMMYFUNCTION("""COMPUTED_VALUE"""),"Bogotá D.C.")</f>
        <v>Bogotá D.C.</v>
      </c>
      <c r="K368" s="6" t="str">
        <f>IFERROR(__xludf.DUMMYFUNCTION("""COMPUTED_VALUE"""),"alicia.v2035@gi.edu.co")</f>
        <v>alicia.v2035@gi.edu.co</v>
      </c>
      <c r="L368" s="6" t="str">
        <f>IFERROR(__xludf.DUMMYFUNCTION("""COMPUTED_VALUE"""),"RC")</f>
        <v>RC</v>
      </c>
      <c r="M368" s="6" t="str">
        <f>IFERROR(__xludf.DUMMYFUNCTION("""COMPUTED_VALUE"""),"Bogotá D.C.")</f>
        <v>Bogotá D.C.</v>
      </c>
      <c r="N368" s="6" t="str">
        <f>IFERROR(__xludf.DUMMYFUNCTION("""COMPUTED_VALUE"""),"F")</f>
        <v>F</v>
      </c>
      <c r="O368" s="6" t="str">
        <f>IFERROR(__xludf.DUMMYFUNCTION("""COMPUTED_VALUE"""),"INACTIVE")</f>
        <v>INACTIVE</v>
      </c>
      <c r="P368" s="6"/>
      <c r="Q368" s="6" t="str">
        <f>IFERROR(__xludf.DUMMYFUNCTION("""COMPUTED_VALUE"""),"Armenia")</f>
        <v>Armenia</v>
      </c>
      <c r="R368" s="12" t="str">
        <f>IFERROR(__xludf.DUMMYFUNCTION("""COMPUTED_VALUE"""),"GicVH9Dt*")</f>
        <v>GicVH9Dt*</v>
      </c>
      <c r="S368" s="6" t="str">
        <f>IFERROR(__xludf.DUMMYFUNCTION("""COMPUTED_VALUE"""),"Varón Quiroga Alicia ")</f>
        <v>Varón Quiroga Alicia </v>
      </c>
      <c r="T368" s="6" t="str">
        <f>IFERROR(__xludf.DUMMYFUNCTION("""COMPUTED_VALUE"""),"JUAN PABLO VARÓN ECHEVERRÍA")</f>
        <v>JUAN PABLO VARÓN ECHEVERRÍA</v>
      </c>
      <c r="U368" s="12" t="str">
        <f>IFERROR(__xludf.DUMMYFUNCTION("""COMPUTED_VALUE"""),"80503697")</f>
        <v>80503697</v>
      </c>
      <c r="V368" s="6">
        <f>IFERROR(__xludf.DUMMYFUNCTION("""COMPUTED_VALUE"""),3.114527789E9)</f>
        <v>3114527789</v>
      </c>
      <c r="W368" s="6" t="str">
        <f>IFERROR(__xludf.DUMMYFUNCTION("""COMPUTED_VALUE"""),"jpvaron@yahoo.com")</f>
        <v>jpvaron@yahoo.com</v>
      </c>
      <c r="X368" s="12" t="str">
        <f>IFERROR(__xludf.DUMMYFUNCTION("""COMPUTED_VALUE"""),"O+")</f>
        <v>O+</v>
      </c>
      <c r="Y368" s="12" t="str">
        <f>IFERROR(__xludf.DUMMYFUNCTION("""COMPUTED_VALUE"""),"4")</f>
        <v>4</v>
      </c>
      <c r="Z368" s="12">
        <f>IFERROR(__xludf.DUMMYFUNCTION("""COMPUTED_VALUE"""),120143.0)</f>
        <v>120143</v>
      </c>
      <c r="AA368" s="6" t="str">
        <f>IFERROR(__xludf.DUMMYFUNCTION("""COMPUTED_VALUE"""),"SANITAS")</f>
        <v>SANITAS</v>
      </c>
      <c r="AB368" s="6"/>
      <c r="AC368" s="6"/>
      <c r="AD368" s="12" t="str">
        <f>IFERROR(__xludf.DUMMYFUNCTION("""COMPUTED_VALUE"""),"4A")</f>
        <v>4A</v>
      </c>
      <c r="AE368" s="12">
        <f>IFERROR(__xludf.DUMMYFUNCTION("""COMPUTED_VALUE"""),1.345282154E9)</f>
        <v>1345282154</v>
      </c>
      <c r="AF368" s="12" t="str">
        <f>IFERROR(__xludf.DUMMYFUNCTION("""COMPUTED_VALUE"""),"0695346147")</f>
        <v>0695346147</v>
      </c>
      <c r="AG368" s="12" t="str">
        <f>IFERROR(__xludf.DUMMYFUNCTION("""COMPUTED_VALUE"""),"María")</f>
        <v>María</v>
      </c>
      <c r="AH368" s="12" t="str">
        <f>IFERROR(__xludf.DUMMYFUNCTION("""COMPUTED_VALUE"""),"Ximena")</f>
        <v>Ximena</v>
      </c>
      <c r="AI368" s="6" t="str">
        <f>IFERROR(__xludf.DUMMYFUNCTION("""COMPUTED_VALUE"""),"Quiroga Arroyave")</f>
        <v>Quiroga Arroyave</v>
      </c>
      <c r="AJ368" s="6" t="str">
        <f>IFERROR(__xludf.DUMMYFUNCTION("""COMPUTED_VALUE"""),"ximequiroga@hotmail.com")</f>
        <v>ximequiroga@hotmail.com</v>
      </c>
      <c r="AK368" s="6" t="str">
        <f>IFERROR(__xludf.DUMMYFUNCTION("""COMPUTED_VALUE"""),"abogacia")</f>
        <v>abogacia</v>
      </c>
      <c r="AL368" s="6"/>
      <c r="AM368" s="12" t="str">
        <f>IFERROR(__xludf.DUMMYFUNCTION("""COMPUTED_VALUE"""),"52258977")</f>
        <v>52258977</v>
      </c>
      <c r="AN368" s="12" t="str">
        <f>IFERROR(__xludf.DUMMYFUNCTION("""COMPUTED_VALUE"""),"3112546180")</f>
        <v>3112546180</v>
      </c>
      <c r="AO368" s="6" t="str">
        <f>IFERROR(__xludf.DUMMYFUNCTION("""COMPUTED_VALUE"""),"Madre")</f>
        <v>Madre</v>
      </c>
      <c r="AP368" s="6" t="str">
        <f>IFERROR(__xludf.DUMMYFUNCTION("""COMPUTED_VALUE"""),"Estudiante(s): Varón Quiroga")</f>
        <v>Estudiante(s): Varón Quiroga</v>
      </c>
      <c r="AQ368" s="6" t="str">
        <f>IFERROR(__xludf.DUMMYFUNCTION("""COMPUTED_VALUE"""),"120143*Gi")</f>
        <v>120143*Gi</v>
      </c>
      <c r="AR368" s="6" t="str">
        <f>IFERROR(__xludf.DUMMYFUNCTION("""COMPUTED_VALUE"""),"Juan")</f>
        <v>Juan</v>
      </c>
      <c r="AS368" s="6" t="str">
        <f>IFERROR(__xludf.DUMMYFUNCTION("""COMPUTED_VALUE"""),"Pablo")</f>
        <v>Pablo</v>
      </c>
      <c r="AT368" s="6" t="str">
        <f>IFERROR(__xludf.DUMMYFUNCTION("""COMPUTED_VALUE"""),"Varón Echeverría")</f>
        <v>Varón Echeverría</v>
      </c>
      <c r="AU368" s="6" t="str">
        <f>IFERROR(__xludf.DUMMYFUNCTION("""COMPUTED_VALUE"""),"jpvaron@yahoo.com")</f>
        <v>jpvaron@yahoo.com</v>
      </c>
      <c r="AV368" s="6" t="str">
        <f>IFERROR(__xludf.DUMMYFUNCTION("""COMPUTED_VALUE"""),"economista")</f>
        <v>economista</v>
      </c>
      <c r="AW368" s="6" t="str">
        <f>IFERROR(__xludf.DUMMYFUNCTION("""COMPUTED_VALUE"""),"Synergy Envestmens")</f>
        <v>Synergy Envestmens</v>
      </c>
      <c r="AX368" s="12" t="str">
        <f>IFERROR(__xludf.DUMMYFUNCTION("""COMPUTED_VALUE"""),"80503697")</f>
        <v>80503697</v>
      </c>
      <c r="AY368" s="12" t="str">
        <f>IFERROR(__xludf.DUMMYFUNCTION("""COMPUTED_VALUE"""),"3114527789")</f>
        <v>3114527789</v>
      </c>
      <c r="AZ368" s="6" t="str">
        <f>IFERROR(__xludf.DUMMYFUNCTION("""COMPUTED_VALUE"""),"Padre")</f>
        <v>Padre</v>
      </c>
      <c r="BA368" s="6"/>
      <c r="BB368" s="6"/>
      <c r="BC368" s="6"/>
      <c r="BD368" s="12" t="str">
        <f>IFERROR(__xludf.DUMMYFUNCTION("""COMPUTED_VALUE"""),"var0003")</f>
        <v>var0003</v>
      </c>
      <c r="BE368" s="6" t="str">
        <f>IFERROR(__xludf.DUMMYFUNCTION("""COMPUTED_VALUE"""),"FALTAN FIRMAS")</f>
        <v>FALTAN FIRMAS</v>
      </c>
      <c r="BF368" s="6"/>
      <c r="BG368" s="6">
        <f>IFERROR(__xludf.DUMMYFUNCTION("""COMPUTED_VALUE"""),2035.0)</f>
        <v>2035</v>
      </c>
      <c r="BH368" s="15">
        <f>IFERROR(__xludf.DUMMYFUNCTION("""COMPUTED_VALUE"""),46212.838217592594)</f>
        <v>46212.83822</v>
      </c>
      <c r="BI368" s="6">
        <f>IFERROR(__xludf.DUMMYFUNCTION("""COMPUTED_VALUE"""),368.0)</f>
        <v>368</v>
      </c>
      <c r="BJ368" s="6"/>
      <c r="BK368" s="6"/>
      <c r="BL368" s="6" t="str">
        <f>IFERROR(__xludf.DUMMYFUNCTION("""COMPUTED_VALUE"""),"GISVAR0003")</f>
        <v>GISVAR0003</v>
      </c>
      <c r="BM368" s="6"/>
      <c r="BN368" s="6"/>
      <c r="BO368" s="6"/>
      <c r="BP368" s="6" t="str">
        <f>IFERROR(__xludf.DUMMYFUNCTION("""COMPUTED_VALUE"""),"XC_45_Voleibol")</f>
        <v>XC_45_Voleibol</v>
      </c>
      <c r="BQ368" s="6"/>
      <c r="BR368" s="6"/>
      <c r="BS368" s="6" t="str">
        <f>IFERROR(__xludf.DUMMYFUNCTION("""COMPUTED_VALUE"""),"XC_45_Voleibol")</f>
        <v>XC_45_Voleibol</v>
      </c>
      <c r="BT368" s="6" t="str">
        <f>IFERROR(__xludf.DUMMYFUNCTION("""COMPUTED_VALUE"""),"XC_45_Voleibol")</f>
        <v>XC_45_Voleibol</v>
      </c>
      <c r="BU368" s="6" t="str">
        <f>IFERROR(__xludf.DUMMYFUNCTION("""COMPUTED_VALUE"""),"SI")</f>
        <v>SI</v>
      </c>
      <c r="BV368" s="6" t="str">
        <f>IFERROR(__xludf.DUMMYFUNCTION("""COMPUTED_VALUE"""),"alicia.v2035")</f>
        <v>alicia.v2035</v>
      </c>
      <c r="BW368" s="6"/>
      <c r="BX368" s="6"/>
      <c r="BY368" s="6"/>
      <c r="BZ368" s="6"/>
    </row>
    <row r="369">
      <c r="A369" s="12" t="str">
        <f>IFERROR(__xludf.DUMMYFUNCTION("""COMPUTED_VALUE"""),"1090280919")</f>
        <v>1090280919</v>
      </c>
      <c r="B369" s="6">
        <f>IFERROR(__xludf.DUMMYFUNCTION("""COMPUTED_VALUE"""),24.0)</f>
        <v>24</v>
      </c>
      <c r="C369" s="6" t="str">
        <f>IFERROR(__xludf.DUMMYFUNCTION("""COMPUTED_VALUE"""),"Zoe")</f>
        <v>Zoe</v>
      </c>
      <c r="D369" s="6"/>
      <c r="E369" s="6" t="str">
        <f>IFERROR(__xludf.DUMMYFUNCTION("""COMPUTED_VALUE"""),"Zuluaga Cardona")</f>
        <v>Zuluaga Cardona</v>
      </c>
      <c r="F369" s="6" t="str">
        <f>IFERROR(__xludf.DUMMYFUNCTION("""COMPUTED_VALUE"""),"Carrera 5 #10 Norte -25 Conjunto La Reserva Torre Malaga Apt. 502 - Av, Centenario")</f>
        <v>Carrera 5 #10 Norte -25 Conjunto La Reserva Torre Malaga Apt. 502 - Av, Centenario</v>
      </c>
      <c r="G369" s="12">
        <f>IFERROR(__xludf.DUMMYFUNCTION("""COMPUTED_VALUE"""),2017.0)</f>
        <v>2017</v>
      </c>
      <c r="H369" s="12" t="str">
        <f>IFERROR(__xludf.DUMMYFUNCTION("""COMPUTED_VALUE"""),"Marzo")</f>
        <v>Marzo</v>
      </c>
      <c r="I369" s="12">
        <f>IFERROR(__xludf.DUMMYFUNCTION("""COMPUTED_VALUE"""),30.0)</f>
        <v>30</v>
      </c>
      <c r="J369" s="6"/>
      <c r="K369" s="12" t="str">
        <f>IFERROR(__xludf.DUMMYFUNCTION("""COMPUTED_VALUE"""),"zoe.z2035@gi.edu.co")</f>
        <v>zoe.z2035@gi.edu.co</v>
      </c>
      <c r="L369" s="6" t="str">
        <f>IFERROR(__xludf.DUMMYFUNCTION("""COMPUTED_VALUE"""),"RC")</f>
        <v>RC</v>
      </c>
      <c r="M369" s="6" t="str">
        <f>IFERROR(__xludf.DUMMYFUNCTION("""COMPUTED_VALUE"""),"Armenia")</f>
        <v>Armenia</v>
      </c>
      <c r="N369" s="6" t="str">
        <f>IFERROR(__xludf.DUMMYFUNCTION("""COMPUTED_VALUE"""),"F")</f>
        <v>F</v>
      </c>
      <c r="O369" s="6" t="str">
        <f>IFERROR(__xludf.DUMMYFUNCTION("""COMPUTED_VALUE"""),"ACTIVE")</f>
        <v>ACTIVE</v>
      </c>
      <c r="P369" s="6"/>
      <c r="Q369" s="6"/>
      <c r="R369" s="12" t="str">
        <f>IFERROR(__xludf.DUMMYFUNCTION("""COMPUTED_VALUE"""),"GiD5nW8r*")</f>
        <v>GiD5nW8r*</v>
      </c>
      <c r="S369" s="6" t="str">
        <f>IFERROR(__xludf.DUMMYFUNCTION("""COMPUTED_VALUE"""),"Zuluaga Cardona Zoe ")</f>
        <v>Zuluaga Cardona Zoe </v>
      </c>
      <c r="T369" s="6" t="str">
        <f>IFERROR(__xludf.DUMMYFUNCTION("""COMPUTED_VALUE"""),"CESAR AUGUSTO ZULUAGA CASTRILLON")</f>
        <v>CESAR AUGUSTO ZULUAGA CASTRILLON</v>
      </c>
      <c r="U369" s="12" t="str">
        <f>IFERROR(__xludf.DUMMYFUNCTION("""COMPUTED_VALUE"""),"16076074")</f>
        <v>16076074</v>
      </c>
      <c r="V369" s="6">
        <f>IFERROR(__xludf.DUMMYFUNCTION("""COMPUTED_VALUE"""),3.207267783E9)</f>
        <v>3207267783</v>
      </c>
      <c r="W369" s="6" t="str">
        <f>IFERROR(__xludf.DUMMYFUNCTION("""COMPUTED_VALUE"""),"cesar8@gmail.com")</f>
        <v>cesar8@gmail.com</v>
      </c>
      <c r="X369" s="12" t="str">
        <f>IFERROR(__xludf.DUMMYFUNCTION("""COMPUTED_VALUE"""),"O+")</f>
        <v>O+</v>
      </c>
      <c r="Y369" s="12" t="str">
        <f>IFERROR(__xludf.DUMMYFUNCTION("""COMPUTED_VALUE"""),"4")</f>
        <v>4</v>
      </c>
      <c r="Z369" s="6">
        <f>IFERROR(__xludf.DUMMYFUNCTION("""COMPUTED_VALUE"""),120622.0)</f>
        <v>120622</v>
      </c>
      <c r="AA369" s="6" t="str">
        <f>IFERROR(__xludf.DUMMYFUNCTION("""COMPUTED_VALUE"""),"SURA")</f>
        <v>SURA</v>
      </c>
      <c r="AB369" s="6"/>
      <c r="AC369" s="6"/>
      <c r="AD369" s="12" t="str">
        <f>IFERROR(__xludf.DUMMYFUNCTION("""COMPUTED_VALUE"""),"4A")</f>
        <v>4A</v>
      </c>
      <c r="AE369" s="12" t="str">
        <f>IFERROR(__xludf.DUMMYFUNCTION("""COMPUTED_VALUE"""),"1345282614")</f>
        <v>1345282614</v>
      </c>
      <c r="AF369" s="6"/>
      <c r="AG369" s="12" t="str">
        <f>IFERROR(__xludf.DUMMYFUNCTION("""COMPUTED_VALUE"""),"Sara")</f>
        <v>Sara</v>
      </c>
      <c r="AH369" s="12" t="str">
        <f>IFERROR(__xludf.DUMMYFUNCTION("""COMPUTED_VALUE"""),"María")</f>
        <v>María</v>
      </c>
      <c r="AI369" s="6" t="str">
        <f>IFERROR(__xludf.DUMMYFUNCTION("""COMPUTED_VALUE"""),"Cardona Barreto")</f>
        <v>Cardona Barreto</v>
      </c>
      <c r="AJ369" s="6" t="str">
        <f>IFERROR(__xludf.DUMMYFUNCTION("""COMPUTED_VALUE"""),"saritamc80@gmail.com")</f>
        <v>saritamc80@gmail.com</v>
      </c>
      <c r="AK369" s="6" t="str">
        <f>IFERROR(__xludf.DUMMYFUNCTION("""COMPUTED_VALUE"""),"Administradora de Empresas")</f>
        <v>Administradora de Empresas</v>
      </c>
      <c r="AL369" s="6"/>
      <c r="AM369" s="12" t="str">
        <f>IFERROR(__xludf.DUMMYFUNCTION("""COMPUTED_VALUE"""),"41948128")</f>
        <v>41948128</v>
      </c>
      <c r="AN369" s="12" t="str">
        <f>IFERROR(__xludf.DUMMYFUNCTION("""COMPUTED_VALUE"""),"3117647426")</f>
        <v>3117647426</v>
      </c>
      <c r="AO369" s="6" t="str">
        <f>IFERROR(__xludf.DUMMYFUNCTION("""COMPUTED_VALUE"""),"Madre")</f>
        <v>Madre</v>
      </c>
      <c r="AP369" s="6" t="str">
        <f>IFERROR(__xludf.DUMMYFUNCTION("""COMPUTED_VALUE"""),"Estudiante(s): Zuluaga Cardona")</f>
        <v>Estudiante(s): Zuluaga Cardona</v>
      </c>
      <c r="AQ369" s="6" t="str">
        <f>IFERROR(__xludf.DUMMYFUNCTION("""COMPUTED_VALUE"""),"120622*Gi")</f>
        <v>120622*Gi</v>
      </c>
      <c r="AR369" s="6" t="str">
        <f>IFERROR(__xludf.DUMMYFUNCTION("""COMPUTED_VALUE"""),"César")</f>
        <v>César</v>
      </c>
      <c r="AS369" s="6" t="str">
        <f>IFERROR(__xludf.DUMMYFUNCTION("""COMPUTED_VALUE"""),"Augusto")</f>
        <v>Augusto</v>
      </c>
      <c r="AT369" s="6" t="str">
        <f>IFERROR(__xludf.DUMMYFUNCTION("""COMPUTED_VALUE"""),"Zuluaga Castrillón")</f>
        <v>Zuluaga Castrillón</v>
      </c>
      <c r="AU369" s="6" t="str">
        <f>IFERROR(__xludf.DUMMYFUNCTION("""COMPUTED_VALUE"""),"cesar8@gmail.com")</f>
        <v>cesar8@gmail.com</v>
      </c>
      <c r="AV369" s="6" t="str">
        <f>IFERROR(__xludf.DUMMYFUNCTION("""COMPUTED_VALUE"""),"Ingeniero Industrial")</f>
        <v>Ingeniero Industrial</v>
      </c>
      <c r="AW369" s="6"/>
      <c r="AX369" s="12" t="str">
        <f>IFERROR(__xludf.DUMMYFUNCTION("""COMPUTED_VALUE"""),"16076074")</f>
        <v>16076074</v>
      </c>
      <c r="AY369" s="12" t="str">
        <f>IFERROR(__xludf.DUMMYFUNCTION("""COMPUTED_VALUE"""),"3207267783")</f>
        <v>3207267783</v>
      </c>
      <c r="AZ369" s="6" t="str">
        <f>IFERROR(__xludf.DUMMYFUNCTION("""COMPUTED_VALUE"""),"Padre")</f>
        <v>Padre</v>
      </c>
      <c r="BA369" s="6"/>
      <c r="BB369" s="6"/>
      <c r="BC369" s="6"/>
      <c r="BD369" s="12" t="str">
        <f>IFERROR(__xludf.DUMMYFUNCTION("""COMPUTED_VALUE"""),"zul0011")</f>
        <v>zul0011</v>
      </c>
      <c r="BE369" s="6" t="str">
        <f>IFERROR(__xludf.DUMMYFUNCTION("""COMPUTED_VALUE"""),"NUEVO(A)")</f>
        <v>NUEVO(A)</v>
      </c>
      <c r="BF369" s="6"/>
      <c r="BG369" s="6">
        <f>IFERROR(__xludf.DUMMYFUNCTION("""COMPUTED_VALUE"""),2035.0)</f>
        <v>2035</v>
      </c>
      <c r="BH369" s="15">
        <f>IFERROR(__xludf.DUMMYFUNCTION("""COMPUTED_VALUE"""),46198.43284722222)</f>
        <v>46198.43285</v>
      </c>
      <c r="BI369" s="6">
        <f>IFERROR(__xludf.DUMMYFUNCTION("""COMPUTED_VALUE"""),369.0)</f>
        <v>369</v>
      </c>
      <c r="BJ369" s="6"/>
      <c r="BK369" s="6"/>
      <c r="BL369" s="6" t="str">
        <f>IFERROR(__xludf.DUMMYFUNCTION("""COMPUTED_VALUE"""),"GISZUL0011")</f>
        <v>GISZUL0011</v>
      </c>
      <c r="BM369" s="6"/>
      <c r="BN369" s="6"/>
      <c r="BO369" s="6"/>
      <c r="BP369" s="6" t="str">
        <f>IFERROR(__xludf.DUMMYFUNCTION("""COMPUTED_VALUE"""),"XC_45_Voleibol")</f>
        <v>XC_45_Voleibol</v>
      </c>
      <c r="BQ369" s="6"/>
      <c r="BR369" s="6"/>
      <c r="BS369" s="6" t="str">
        <f>IFERROR(__xludf.DUMMYFUNCTION("""COMPUTED_VALUE"""),"XC_45_Voleibol")</f>
        <v>XC_45_Voleibol</v>
      </c>
      <c r="BT369" s="6" t="str">
        <f>IFERROR(__xludf.DUMMYFUNCTION("""COMPUTED_VALUE"""),"XC_45_Voleibol")</f>
        <v>XC_45_Voleibol</v>
      </c>
      <c r="BU369" s="6" t="str">
        <f>IFERROR(__xludf.DUMMYFUNCTION("""COMPUTED_VALUE"""),"SI")</f>
        <v>SI</v>
      </c>
      <c r="BV369" s="6" t="str">
        <f>IFERROR(__xludf.DUMMYFUNCTION("""COMPUTED_VALUE"""),"zoe.z2035")</f>
        <v>zoe.z2035</v>
      </c>
      <c r="BW369" s="6"/>
      <c r="BX369" s="6"/>
      <c r="BY369" s="6"/>
      <c r="B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 t="str">
        <f>IFERROR(__xludf.DUMMYFUNCTION("""COMPUTED_VALUE"""),"Madre")</f>
        <v>Madre</v>
      </c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 t="str">
        <f>IFERROR(__xludf.DUMMYFUNCTION("""COMPUTED_VALUE"""),"Padre")</f>
        <v>Padre</v>
      </c>
      <c r="BA370" s="6"/>
      <c r="BB370" s="6"/>
      <c r="BC370" s="6"/>
      <c r="BD370" s="6"/>
      <c r="BE370" s="6"/>
      <c r="BF370" s="6"/>
      <c r="BG370" s="6"/>
      <c r="BH370" s="6"/>
      <c r="BI370" s="6">
        <f>IFERROR(__xludf.DUMMYFUNCTION("""COMPUTED_VALUE"""),370.0)</f>
        <v>370</v>
      </c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6"/>
      <c r="BY370" s="6"/>
      <c r="BZ370" s="6"/>
    </row>
    <row r="371">
      <c r="A371" s="12">
        <f>IFERROR(__xludf.DUMMYFUNCTION("""COMPUTED_VALUE"""),1.092860784E9)</f>
        <v>1092860784</v>
      </c>
      <c r="B371" s="6">
        <f>IFERROR(__xludf.DUMMYFUNCTION("""COMPUTED_VALUE"""),1.0)</f>
        <v>1</v>
      </c>
      <c r="C371" s="6" t="str">
        <f>IFERROR(__xludf.DUMMYFUNCTION("""COMPUTED_VALUE"""),"Miguel")</f>
        <v>Miguel</v>
      </c>
      <c r="D371" s="6" t="str">
        <f>IFERROR(__xludf.DUMMYFUNCTION("""COMPUTED_VALUE"""),"Ángel")</f>
        <v>Ángel</v>
      </c>
      <c r="E371" s="6" t="str">
        <f>IFERROR(__xludf.DUMMYFUNCTION("""COMPUTED_VALUE"""),"Arias Morales")</f>
        <v>Arias Morales</v>
      </c>
      <c r="F371" s="6" t="str">
        <f>IFERROR(__xludf.DUMMYFUNCTION("""COMPUTED_VALUE"""),"Cra 11 No 9Nte - 01 Mz F Casa 1 - La Castellana")</f>
        <v>Cra 11 No 9Nte - 01 Mz F Casa 1 - La Castellana</v>
      </c>
      <c r="G371" s="12">
        <f>IFERROR(__xludf.DUMMYFUNCTION("""COMPUTED_VALUE"""),2017.0)</f>
        <v>2017</v>
      </c>
      <c r="H371" s="6" t="str">
        <f>IFERROR(__xludf.DUMMYFUNCTION("""COMPUTED_VALUE"""),"Enero")</f>
        <v>Enero</v>
      </c>
      <c r="I371" s="12">
        <f>IFERROR(__xludf.DUMMYFUNCTION("""COMPUTED_VALUE"""),28.0)</f>
        <v>28</v>
      </c>
      <c r="J371" s="6" t="str">
        <f>IFERROR(__xludf.DUMMYFUNCTION("""COMPUTED_VALUE"""),"Armenia")</f>
        <v>Armenia</v>
      </c>
      <c r="K371" s="6" t="str">
        <f>IFERROR(__xludf.DUMMYFUNCTION("""COMPUTED_VALUE"""),"miguelangel.a2035@gi.edu.co")</f>
        <v>miguelangel.a2035@gi.edu.co</v>
      </c>
      <c r="L371" s="6" t="str">
        <f>IFERROR(__xludf.DUMMYFUNCTION("""COMPUTED_VALUE"""),"TI")</f>
        <v>TI</v>
      </c>
      <c r="M371" s="6" t="str">
        <f>IFERROR(__xludf.DUMMYFUNCTION("""COMPUTED_VALUE"""),"Armenia")</f>
        <v>Armenia</v>
      </c>
      <c r="N371" s="6" t="str">
        <f>IFERROR(__xludf.DUMMYFUNCTION("""COMPUTED_VALUE"""),"M")</f>
        <v>M</v>
      </c>
      <c r="O371" s="6" t="str">
        <f>IFERROR(__xludf.DUMMYFUNCTION("""COMPUTED_VALUE"""),"ACTIVE")</f>
        <v>ACTIVE</v>
      </c>
      <c r="P371" s="6"/>
      <c r="Q371" s="6" t="str">
        <f>IFERROR(__xludf.DUMMYFUNCTION("""COMPUTED_VALUE"""),"Armenia")</f>
        <v>Armenia</v>
      </c>
      <c r="R371" s="12" t="str">
        <f>IFERROR(__xludf.DUMMYFUNCTION("""COMPUTED_VALUE"""),"Gifv44m2s*")</f>
        <v>Gifv44m2s*</v>
      </c>
      <c r="S371" s="6" t="str">
        <f>IFERROR(__xludf.DUMMYFUNCTION("""COMPUTED_VALUE"""),"Arias Morales Miguel Ángel")</f>
        <v>Arias Morales Miguel Ángel</v>
      </c>
      <c r="T371" s="6" t="str">
        <f>IFERROR(__xludf.DUMMYFUNCTION("""COMPUTED_VALUE"""),"CARLOS ANDRES ARIAS ROJAS")</f>
        <v>CARLOS ANDRES ARIAS ROJAS</v>
      </c>
      <c r="U371" s="12" t="str">
        <f>IFERROR(__xludf.DUMMYFUNCTION("""COMPUTED_VALUE"""),"14565772")</f>
        <v>14565772</v>
      </c>
      <c r="V371" s="6">
        <f>IFERROR(__xludf.DUMMYFUNCTION("""COMPUTED_VALUE"""),3.206173261E9)</f>
        <v>3206173261</v>
      </c>
      <c r="W371" s="6" t="str">
        <f>IFERROR(__xludf.DUMMYFUNCTION("""COMPUTED_VALUE"""),"caar1990@gmail.com")</f>
        <v>caar1990@gmail.com</v>
      </c>
      <c r="X371" s="12" t="str">
        <f>IFERROR(__xludf.DUMMYFUNCTION("""COMPUTED_VALUE"""),"O+")</f>
        <v>O+</v>
      </c>
      <c r="Y371" s="12" t="str">
        <f>IFERROR(__xludf.DUMMYFUNCTION("""COMPUTED_VALUE"""),"4")</f>
        <v>4</v>
      </c>
      <c r="Z371" s="12">
        <f>IFERROR(__xludf.DUMMYFUNCTION("""COMPUTED_VALUE"""),120511.0)</f>
        <v>120511</v>
      </c>
      <c r="AA371" s="6" t="str">
        <f>IFERROR(__xludf.DUMMYFUNCTION("""COMPUTED_VALUE"""),"SURA")</f>
        <v>SURA</v>
      </c>
      <c r="AB371" s="6"/>
      <c r="AC371" s="12" t="str">
        <f>IFERROR(__xludf.DUMMYFUNCTION("""COMPUTED_VALUE"""),"INTOLERANCIA A LA LACTOSA")</f>
        <v>INTOLERANCIA A LA LACTOSA</v>
      </c>
      <c r="AD371" s="12" t="str">
        <f>IFERROR(__xludf.DUMMYFUNCTION("""COMPUTED_VALUE"""),"4B")</f>
        <v>4B</v>
      </c>
      <c r="AE371" s="12" t="str">
        <f>IFERROR(__xludf.DUMMYFUNCTION("""COMPUTED_VALUE"""),"1345282510")</f>
        <v>1345282510</v>
      </c>
      <c r="AF371" s="6"/>
      <c r="AG371" s="12" t="str">
        <f>IFERROR(__xludf.DUMMYFUNCTION("""COMPUTED_VALUE"""),"Diana")</f>
        <v>Diana</v>
      </c>
      <c r="AH371" s="12" t="str">
        <f>IFERROR(__xludf.DUMMYFUNCTION("""COMPUTED_VALUE"""),"María")</f>
        <v>María</v>
      </c>
      <c r="AI371" s="6" t="str">
        <f>IFERROR(__xludf.DUMMYFUNCTION("""COMPUTED_VALUE"""),"Morales Morales")</f>
        <v>Morales Morales</v>
      </c>
      <c r="AJ371" s="6" t="str">
        <f>IFERROR(__xludf.DUMMYFUNCTION("""COMPUTED_VALUE"""),"dianamariamorales@hotmail.com")</f>
        <v>dianamariamorales@hotmail.com</v>
      </c>
      <c r="AK371" s="6" t="str">
        <f>IFERROR(__xludf.DUMMYFUNCTION("""COMPUTED_VALUE"""),"ESPECIALISTA EN MEDICINA FAMILIAR")</f>
        <v>ESPECIALISTA EN MEDICINA FAMILIAR</v>
      </c>
      <c r="AL371" s="6" t="str">
        <f>IFERROR(__xludf.DUMMYFUNCTION("""COMPUTED_VALUE"""),"IDIME ")</f>
        <v>IDIME </v>
      </c>
      <c r="AM371" s="12" t="str">
        <f>IFERROR(__xludf.DUMMYFUNCTION("""COMPUTED_VALUE"""),"41936108")</f>
        <v>41936108</v>
      </c>
      <c r="AN371" s="12" t="str">
        <f>IFERROR(__xludf.DUMMYFUNCTION("""COMPUTED_VALUE"""),"3117581348")</f>
        <v>3117581348</v>
      </c>
      <c r="AO371" s="6" t="str">
        <f>IFERROR(__xludf.DUMMYFUNCTION("""COMPUTED_VALUE"""),"Madre")</f>
        <v>Madre</v>
      </c>
      <c r="AP371" s="6" t="str">
        <f>IFERROR(__xludf.DUMMYFUNCTION("""COMPUTED_VALUE"""),"Estudiante(s): Arias Morales")</f>
        <v>Estudiante(s): Arias Morales</v>
      </c>
      <c r="AQ371" s="6" t="str">
        <f>IFERROR(__xludf.DUMMYFUNCTION("""COMPUTED_VALUE"""),"120511*Gi")</f>
        <v>120511*Gi</v>
      </c>
      <c r="AR371" s="6" t="str">
        <f>IFERROR(__xludf.DUMMYFUNCTION("""COMPUTED_VALUE"""),"Carlos")</f>
        <v>Carlos</v>
      </c>
      <c r="AS371" s="6" t="str">
        <f>IFERROR(__xludf.DUMMYFUNCTION("""COMPUTED_VALUE"""),"Andrés")</f>
        <v>Andrés</v>
      </c>
      <c r="AT371" s="6" t="str">
        <f>IFERROR(__xludf.DUMMYFUNCTION("""COMPUTED_VALUE"""),"Arias Rojas")</f>
        <v>Arias Rojas</v>
      </c>
      <c r="AU371" s="6" t="str">
        <f>IFERROR(__xludf.DUMMYFUNCTION("""COMPUTED_VALUE"""),"caar1990@gmail.com")</f>
        <v>caar1990@gmail.com</v>
      </c>
      <c r="AV371" s="6" t="str">
        <f>IFERROR(__xludf.DUMMYFUNCTION("""COMPUTED_VALUE"""),"OFTALMOLOGO")</f>
        <v>OFTALMOLOGO</v>
      </c>
      <c r="AW371" s="6" t="str">
        <f>IFERROR(__xludf.DUMMYFUNCTION("""COMPUTED_VALUE"""),"ESTUDIOS OFTALMOLOGICOS SAS ")</f>
        <v>ESTUDIOS OFTALMOLOGICOS SAS </v>
      </c>
      <c r="AX371" s="12" t="str">
        <f>IFERROR(__xludf.DUMMYFUNCTION("""COMPUTED_VALUE"""),"14565772")</f>
        <v>14565772</v>
      </c>
      <c r="AY371" s="12" t="str">
        <f>IFERROR(__xludf.DUMMYFUNCTION("""COMPUTED_VALUE"""),"3206173261")</f>
        <v>3206173261</v>
      </c>
      <c r="AZ371" s="6" t="str">
        <f>IFERROR(__xludf.DUMMYFUNCTION("""COMPUTED_VALUE"""),"Padre")</f>
        <v>Padre</v>
      </c>
      <c r="BA371" s="6"/>
      <c r="BB371" s="6"/>
      <c r="BC371" s="6"/>
      <c r="BD371" s="12" t="str">
        <f>IFERROR(__xludf.DUMMYFUNCTION("""COMPUTED_VALUE"""),"ari0038")</f>
        <v>ari0038</v>
      </c>
      <c r="BE371" s="6"/>
      <c r="BF371" s="6"/>
      <c r="BG371" s="6">
        <f>IFERROR(__xludf.DUMMYFUNCTION("""COMPUTED_VALUE"""),2035.0)</f>
        <v>2035</v>
      </c>
      <c r="BH371" s="15">
        <f>IFERROR(__xludf.DUMMYFUNCTION("""COMPUTED_VALUE"""),46204.71855324074)</f>
        <v>46204.71855</v>
      </c>
      <c r="BI371" s="6">
        <f>IFERROR(__xludf.DUMMYFUNCTION("""COMPUTED_VALUE"""),371.0)</f>
        <v>371</v>
      </c>
      <c r="BJ371" s="6"/>
      <c r="BK371" s="6"/>
      <c r="BL371" s="6" t="str">
        <f>IFERROR(__xludf.DUMMYFUNCTION("""COMPUTED_VALUE"""),"GISARI0038")</f>
        <v>GISARI0038</v>
      </c>
      <c r="BM371" s="6"/>
      <c r="BN371" s="6"/>
      <c r="BO371" s="6"/>
      <c r="BP371" s="6" t="str">
        <f>IFERROR(__xludf.DUMMYFUNCTION("""COMPUTED_VALUE"""),"XC_45_Basquetbol")</f>
        <v>XC_45_Basquetbol</v>
      </c>
      <c r="BQ371" s="6"/>
      <c r="BR371" s="6"/>
      <c r="BS371" s="6" t="str">
        <f>IFERROR(__xludf.DUMMYFUNCTION("""COMPUTED_VALUE"""),"XC_45_Basquetbol")</f>
        <v>XC_45_Basquetbol</v>
      </c>
      <c r="BT371" s="6" t="str">
        <f>IFERROR(__xludf.DUMMYFUNCTION("""COMPUTED_VALUE"""),"XC_45_Basquetbol")</f>
        <v>XC_45_Basquetbol</v>
      </c>
      <c r="BU371" s="6" t="str">
        <f>IFERROR(__xludf.DUMMYFUNCTION("""COMPUTED_VALUE"""),"SI")</f>
        <v>SI</v>
      </c>
      <c r="BV371" s="6" t="str">
        <f>IFERROR(__xludf.DUMMYFUNCTION("""COMPUTED_VALUE"""),"miguelangel.a2035")</f>
        <v>miguelangel.a2035</v>
      </c>
      <c r="BW371" s="6"/>
      <c r="BX371" s="6"/>
      <c r="BY371" s="6"/>
      <c r="BZ371" s="6"/>
    </row>
    <row r="372">
      <c r="A372" s="12">
        <f>IFERROR(__xludf.DUMMYFUNCTION("""COMPUTED_VALUE"""),1.091888433E9)</f>
        <v>1091888433</v>
      </c>
      <c r="B372" s="6">
        <f>IFERROR(__xludf.DUMMYFUNCTION("""COMPUTED_VALUE"""),2.0)</f>
        <v>2</v>
      </c>
      <c r="C372" s="6" t="str">
        <f>IFERROR(__xludf.DUMMYFUNCTION("""COMPUTED_VALUE"""),"Gael")</f>
        <v>Gael</v>
      </c>
      <c r="D372" s="6"/>
      <c r="E372" s="6" t="str">
        <f>IFERROR(__xludf.DUMMYFUNCTION("""COMPUTED_VALUE"""),"Botero Cortés")</f>
        <v>Botero Cortés</v>
      </c>
      <c r="F372" s="6" t="str">
        <f>IFERROR(__xludf.DUMMYFUNCTION("""COMPUTED_VALUE"""),"Conjunto Las Colinas Casa 5 - Km 5 Via Armenia Pereira")</f>
        <v>Conjunto Las Colinas Casa 5 - Km 5 Via Armenia Pereira</v>
      </c>
      <c r="G372" s="12" t="str">
        <f>IFERROR(__xludf.DUMMYFUNCTION("""COMPUTED_VALUE"""),"2017")</f>
        <v>2017</v>
      </c>
      <c r="H372" s="6" t="str">
        <f>IFERROR(__xludf.DUMMYFUNCTION("""COMPUTED_VALUE"""),"Abril")</f>
        <v>Abril</v>
      </c>
      <c r="I372" s="12" t="str">
        <f>IFERROR(__xludf.DUMMYFUNCTION("""COMPUTED_VALUE"""),"9")</f>
        <v>9</v>
      </c>
      <c r="J372" s="6" t="str">
        <f>IFERROR(__xludf.DUMMYFUNCTION("""COMPUTED_VALUE"""),"Armenia")</f>
        <v>Armenia</v>
      </c>
      <c r="K372" s="6" t="str">
        <f>IFERROR(__xludf.DUMMYFUNCTION("""COMPUTED_VALUE"""),"gael.b2035@gi.edu.co")</f>
        <v>gael.b2035@gi.edu.co</v>
      </c>
      <c r="L372" s="6" t="str">
        <f>IFERROR(__xludf.DUMMYFUNCTION("""COMPUTED_VALUE"""),"TI")</f>
        <v>TI</v>
      </c>
      <c r="M372" s="6" t="str">
        <f>IFERROR(__xludf.DUMMYFUNCTION("""COMPUTED_VALUE"""),"Armenia")</f>
        <v>Armenia</v>
      </c>
      <c r="N372" s="6" t="str">
        <f>IFERROR(__xludf.DUMMYFUNCTION("""COMPUTED_VALUE"""),"M")</f>
        <v>M</v>
      </c>
      <c r="O372" s="6" t="str">
        <f>IFERROR(__xludf.DUMMYFUNCTION("""COMPUTED_VALUE"""),"INACTIVE")</f>
        <v>INACTIVE</v>
      </c>
      <c r="P372" s="6"/>
      <c r="Q372" s="6" t="str">
        <f>IFERROR(__xludf.DUMMYFUNCTION("""COMPUTED_VALUE"""),"Circasia")</f>
        <v>Circasia</v>
      </c>
      <c r="R372" s="12" t="str">
        <f>IFERROR(__xludf.DUMMYFUNCTION("""COMPUTED_VALUE"""),"Gi3914gb*")</f>
        <v>Gi3914gb*</v>
      </c>
      <c r="S372" s="6" t="str">
        <f>IFERROR(__xludf.DUMMYFUNCTION("""COMPUTED_VALUE"""),"Botero Cortés Gael ")</f>
        <v>Botero Cortés Gael </v>
      </c>
      <c r="T372" s="6" t="str">
        <f>IFERROR(__xludf.DUMMYFUNCTION("""COMPUTED_VALUE"""),"LUISA FERNANDA CORTÉS GÓMEZ")</f>
        <v>LUISA FERNANDA CORTÉS GÓMEZ</v>
      </c>
      <c r="U372" s="12" t="str">
        <f>IFERROR(__xludf.DUMMYFUNCTION("""COMPUTED_VALUE"""),"24606246")</f>
        <v>24606246</v>
      </c>
      <c r="V372" s="6">
        <f>IFERROR(__xludf.DUMMYFUNCTION("""COMPUTED_VALUE"""),3.173754718E9)</f>
        <v>3173754718</v>
      </c>
      <c r="W372" s="6" t="str">
        <f>IFERROR(__xludf.DUMMYFUNCTION("""COMPUTED_VALUE"""),"luisac3@hotmail.com")</f>
        <v>luisac3@hotmail.com</v>
      </c>
      <c r="X372" s="12" t="str">
        <f>IFERROR(__xludf.DUMMYFUNCTION("""COMPUTED_VALUE"""),"O+")</f>
        <v>O+</v>
      </c>
      <c r="Y372" s="12" t="str">
        <f>IFERROR(__xludf.DUMMYFUNCTION("""COMPUTED_VALUE"""),"4")</f>
        <v>4</v>
      </c>
      <c r="Z372" s="12">
        <f>IFERROR(__xludf.DUMMYFUNCTION("""COMPUTED_VALUE"""),103914.0)</f>
        <v>103914</v>
      </c>
      <c r="AA372" s="6" t="str">
        <f>IFERROR(__xludf.DUMMYFUNCTION("""COMPUTED_VALUE"""),"SURA")</f>
        <v>SURA</v>
      </c>
      <c r="AB372" s="6" t="str">
        <f>IFERROR(__xludf.DUMMYFUNCTION("""COMPUTED_VALUE"""),"EMI")</f>
        <v>EMI</v>
      </c>
      <c r="AC372" s="12" t="str">
        <f>IFERROR(__xludf.DUMMYFUNCTION("""COMPUTED_VALUE"""),"aciclovir")</f>
        <v>aciclovir</v>
      </c>
      <c r="AD372" s="12" t="str">
        <f>IFERROR(__xludf.DUMMYFUNCTION("""COMPUTED_VALUE"""),"4B")</f>
        <v>4B</v>
      </c>
      <c r="AE372" s="12">
        <f>IFERROR(__xludf.DUMMYFUNCTION("""COMPUTED_VALUE"""),1.345281962E9)</f>
        <v>1345281962</v>
      </c>
      <c r="AF372" s="12" t="str">
        <f>IFERROR(__xludf.DUMMYFUNCTION("""COMPUTED_VALUE"""),"0692214707")</f>
        <v>0692214707</v>
      </c>
      <c r="AG372" s="12" t="str">
        <f>IFERROR(__xludf.DUMMYFUNCTION("""COMPUTED_VALUE"""),"Luisa")</f>
        <v>Luisa</v>
      </c>
      <c r="AH372" s="12" t="str">
        <f>IFERROR(__xludf.DUMMYFUNCTION("""COMPUTED_VALUE"""),"Fernanda")</f>
        <v>Fernanda</v>
      </c>
      <c r="AI372" s="6" t="str">
        <f>IFERROR(__xludf.DUMMYFUNCTION("""COMPUTED_VALUE"""),"Cortés Gómez")</f>
        <v>Cortés Gómez</v>
      </c>
      <c r="AJ372" s="6" t="str">
        <f>IFERROR(__xludf.DUMMYFUNCTION("""COMPUTED_VALUE"""),"luisac3@hotmail.com")</f>
        <v>luisac3@hotmail.com</v>
      </c>
      <c r="AK372" s="6" t="str">
        <f>IFERROR(__xludf.DUMMYFUNCTION("""COMPUTED_VALUE"""),"Administradora de Negocios")</f>
        <v>Administradora de Negocios</v>
      </c>
      <c r="AL372" s="6" t="str">
        <f>IFERROR(__xludf.DUMMYFUNCTION("""COMPUTED_VALUE"""),"LA FABRICA DE INSTANTES")</f>
        <v>LA FABRICA DE INSTANTES</v>
      </c>
      <c r="AM372" s="12" t="str">
        <f>IFERROR(__xludf.DUMMYFUNCTION("""COMPUTED_VALUE"""),"24606246")</f>
        <v>24606246</v>
      </c>
      <c r="AN372" s="12" t="str">
        <f>IFERROR(__xludf.DUMMYFUNCTION("""COMPUTED_VALUE"""),"3173754718")</f>
        <v>3173754718</v>
      </c>
      <c r="AO372" s="6" t="str">
        <f>IFERROR(__xludf.DUMMYFUNCTION("""COMPUTED_VALUE"""),"Madre")</f>
        <v>Madre</v>
      </c>
      <c r="AP372" s="6" t="str">
        <f>IFERROR(__xludf.DUMMYFUNCTION("""COMPUTED_VALUE"""),"Estudiante(s): Botero Cortés")</f>
        <v>Estudiante(s): Botero Cortés</v>
      </c>
      <c r="AQ372" s="6" t="str">
        <f>IFERROR(__xludf.DUMMYFUNCTION("""COMPUTED_VALUE"""),"103352*Gi")</f>
        <v>103352*Gi</v>
      </c>
      <c r="AR372" s="6" t="str">
        <f>IFERROR(__xludf.DUMMYFUNCTION("""COMPUTED_VALUE"""),"Alberto")</f>
        <v>Alberto</v>
      </c>
      <c r="AS372" s="6"/>
      <c r="AT372" s="6" t="str">
        <f>IFERROR(__xludf.DUMMYFUNCTION("""COMPUTED_VALUE"""),"Botero Páez")</f>
        <v>Botero Páez</v>
      </c>
      <c r="AU372" s="6" t="str">
        <f>IFERROR(__xludf.DUMMYFUNCTION("""COMPUTED_VALUE"""),"albertoboterop@hotmail.com")</f>
        <v>albertoboterop@hotmail.com</v>
      </c>
      <c r="AV372" s="6" t="str">
        <f>IFERROR(__xludf.DUMMYFUNCTION("""COMPUTED_VALUE"""),"zootecnista")</f>
        <v>zootecnista</v>
      </c>
      <c r="AW372" s="6" t="str">
        <f>IFERROR(__xludf.DUMMYFUNCTION("""COMPUTED_VALUE"""),"FINCA TRES PALITOS")</f>
        <v>FINCA TRES PALITOS</v>
      </c>
      <c r="AX372" s="12" t="str">
        <f>IFERROR(__xludf.DUMMYFUNCTION("""COMPUTED_VALUE"""),"9730245")</f>
        <v>9730245</v>
      </c>
      <c r="AY372" s="12" t="str">
        <f>IFERROR(__xludf.DUMMYFUNCTION("""COMPUTED_VALUE"""),"3168325780")</f>
        <v>3168325780</v>
      </c>
      <c r="AZ372" s="6" t="str">
        <f>IFERROR(__xludf.DUMMYFUNCTION("""COMPUTED_VALUE"""),"Padre")</f>
        <v>Padre</v>
      </c>
      <c r="BA372" s="6"/>
      <c r="BB372" s="6"/>
      <c r="BC372" s="6"/>
      <c r="BD372" s="12" t="str">
        <f>IFERROR(__xludf.DUMMYFUNCTION("""COMPUTED_VALUE"""),"bot0014")</f>
        <v>bot0014</v>
      </c>
      <c r="BE372" s="6" t="str">
        <f>IFERROR(__xludf.DUMMYFUNCTION("""COMPUTED_VALUE"""),"FALTAN FIRMAS")</f>
        <v>FALTAN FIRMAS</v>
      </c>
      <c r="BF372" s="6"/>
      <c r="BG372" s="6">
        <f>IFERROR(__xludf.DUMMYFUNCTION("""COMPUTED_VALUE"""),2035.0)</f>
        <v>2035</v>
      </c>
      <c r="BH372" s="15">
        <f>IFERROR(__xludf.DUMMYFUNCTION("""COMPUTED_VALUE"""),46211.592141203706)</f>
        <v>46211.59214</v>
      </c>
      <c r="BI372" s="6">
        <f>IFERROR(__xludf.DUMMYFUNCTION("""COMPUTED_VALUE"""),372.0)</f>
        <v>372</v>
      </c>
      <c r="BJ372" s="6"/>
      <c r="BK372" s="6"/>
      <c r="BL372" s="6" t="str">
        <f>IFERROR(__xludf.DUMMYFUNCTION("""COMPUTED_VALUE"""),"GISBOT0014")</f>
        <v>GISBOT0014</v>
      </c>
      <c r="BM372" s="6"/>
      <c r="BN372" s="6"/>
      <c r="BO372" s="6"/>
      <c r="BP372" s="6" t="str">
        <f>IFERROR(__xludf.DUMMYFUNCTION("""COMPUTED_VALUE"""),"XC_4_Futbol_M")</f>
        <v>XC_4_Futbol_M</v>
      </c>
      <c r="BQ372" s="6"/>
      <c r="BR372" s="6"/>
      <c r="BS372" s="6" t="str">
        <f>IFERROR(__xludf.DUMMYFUNCTION("""COMPUTED_VALUE"""),"XC_4_Futbol_M")</f>
        <v>XC_4_Futbol_M</v>
      </c>
      <c r="BT372" s="6" t="str">
        <f>IFERROR(__xludf.DUMMYFUNCTION("""COMPUTED_VALUE"""),"XC_4_Futbol_M")</f>
        <v>XC_4_Futbol_M</v>
      </c>
      <c r="BU372" s="6" t="str">
        <f>IFERROR(__xludf.DUMMYFUNCTION("""COMPUTED_VALUE"""),"SI")</f>
        <v>SI</v>
      </c>
      <c r="BV372" s="6" t="str">
        <f>IFERROR(__xludf.DUMMYFUNCTION("""COMPUTED_VALUE"""),"gael.b2035")</f>
        <v>gael.b2035</v>
      </c>
      <c r="BW372" s="6"/>
      <c r="BX372" s="6"/>
      <c r="BY372" s="6"/>
      <c r="BZ372" s="6"/>
    </row>
    <row r="373">
      <c r="A373" s="12">
        <f>IFERROR(__xludf.DUMMYFUNCTION("""COMPUTED_VALUE"""),1.098546517E9)</f>
        <v>1098546517</v>
      </c>
      <c r="B373" s="6">
        <f>IFERROR(__xludf.DUMMYFUNCTION("""COMPUTED_VALUE"""),3.0)</f>
        <v>3</v>
      </c>
      <c r="C373" s="6" t="str">
        <f>IFERROR(__xludf.DUMMYFUNCTION("""COMPUTED_VALUE"""),"Jerónimo")</f>
        <v>Jerónimo</v>
      </c>
      <c r="D373" s="6"/>
      <c r="E373" s="6" t="str">
        <f>IFERROR(__xludf.DUMMYFUNCTION("""COMPUTED_VALUE"""),"Botero Muñoz")</f>
        <v>Botero Muñoz</v>
      </c>
      <c r="F373" s="6" t="str">
        <f>IFERROR(__xludf.DUMMYFUNCTION("""COMPUTED_VALUE"""),"Conjunto Los Rosales Casa 36 - Km 3 Via Circasia")</f>
        <v>Conjunto Los Rosales Casa 36 - Km 3 Via Circasia</v>
      </c>
      <c r="G373" s="12" t="str">
        <f>IFERROR(__xludf.DUMMYFUNCTION("""COMPUTED_VALUE"""),"2017")</f>
        <v>2017</v>
      </c>
      <c r="H373" s="6" t="str">
        <f>IFERROR(__xludf.DUMMYFUNCTION("""COMPUTED_VALUE"""),"Enero")</f>
        <v>Enero</v>
      </c>
      <c r="I373" s="12" t="str">
        <f>IFERROR(__xludf.DUMMYFUNCTION("""COMPUTED_VALUE"""),"25")</f>
        <v>25</v>
      </c>
      <c r="J373" s="6" t="str">
        <f>IFERROR(__xludf.DUMMYFUNCTION("""COMPUTED_VALUE"""),"Armenia")</f>
        <v>Armenia</v>
      </c>
      <c r="K373" s="6" t="str">
        <f>IFERROR(__xludf.DUMMYFUNCTION("""COMPUTED_VALUE"""),"jeronimo.b2035@gi.edu.co")</f>
        <v>jeronimo.b2035@gi.edu.co</v>
      </c>
      <c r="L373" s="6" t="str">
        <f>IFERROR(__xludf.DUMMYFUNCTION("""COMPUTED_VALUE"""),"RC")</f>
        <v>RC</v>
      </c>
      <c r="M373" s="6" t="str">
        <f>IFERROR(__xludf.DUMMYFUNCTION("""COMPUTED_VALUE"""),"Circasia")</f>
        <v>Circasia</v>
      </c>
      <c r="N373" s="6" t="str">
        <f>IFERROR(__xludf.DUMMYFUNCTION("""COMPUTED_VALUE"""),"M")</f>
        <v>M</v>
      </c>
      <c r="O373" s="6" t="str">
        <f>IFERROR(__xludf.DUMMYFUNCTION("""COMPUTED_VALUE"""),"INACTIVE")</f>
        <v>INACTIVE</v>
      </c>
      <c r="P373" s="6"/>
      <c r="Q373" s="6" t="str">
        <f>IFERROR(__xludf.DUMMYFUNCTION("""COMPUTED_VALUE"""),"Armenia")</f>
        <v>Armenia</v>
      </c>
      <c r="R373" s="12" t="str">
        <f>IFERROR(__xludf.DUMMYFUNCTION("""COMPUTED_VALUE"""),"Gi89h67*")</f>
        <v>Gi89h67*</v>
      </c>
      <c r="S373" s="6" t="str">
        <f>IFERROR(__xludf.DUMMYFUNCTION("""COMPUTED_VALUE"""),"Botero Muñoz Jerónimo ")</f>
        <v>Botero Muñoz Jerónimo </v>
      </c>
      <c r="T373" s="6" t="str">
        <f>IFERROR(__xludf.DUMMYFUNCTION("""COMPUTED_VALUE"""),"DARIO BOTERO LONDOÑO")</f>
        <v>DARIO BOTERO LONDOÑO</v>
      </c>
      <c r="U373" s="12" t="str">
        <f>IFERROR(__xludf.DUMMYFUNCTION("""COMPUTED_VALUE"""),"7523683")</f>
        <v>7523683</v>
      </c>
      <c r="V373" s="6">
        <f>IFERROR(__xludf.DUMMYFUNCTION("""COMPUTED_VALUE"""),3.218286802E9)</f>
        <v>3218286802</v>
      </c>
      <c r="W373" s="6" t="str">
        <f>IFERROR(__xludf.DUMMYFUNCTION("""COMPUTED_VALUE"""),"ororana@hotmail.es")</f>
        <v>ororana@hotmail.es</v>
      </c>
      <c r="X373" s="12" t="str">
        <f>IFERROR(__xludf.DUMMYFUNCTION("""COMPUTED_VALUE"""),"A+")</f>
        <v>A+</v>
      </c>
      <c r="Y373" s="12" t="str">
        <f>IFERROR(__xludf.DUMMYFUNCTION("""COMPUTED_VALUE"""),"4")</f>
        <v>4</v>
      </c>
      <c r="Z373" s="12">
        <f>IFERROR(__xludf.DUMMYFUNCTION("""COMPUTED_VALUE"""),120307.0)</f>
        <v>120307</v>
      </c>
      <c r="AA373" s="6" t="str">
        <f>IFERROR(__xludf.DUMMYFUNCTION("""COMPUTED_VALUE"""),"SURA")</f>
        <v>SURA</v>
      </c>
      <c r="AB373" s="6"/>
      <c r="AC373" s="6"/>
      <c r="AD373" s="12" t="str">
        <f>IFERROR(__xludf.DUMMYFUNCTION("""COMPUTED_VALUE"""),"4B")</f>
        <v>4B</v>
      </c>
      <c r="AE373" s="12">
        <f>IFERROR(__xludf.DUMMYFUNCTION("""COMPUTED_VALUE"""),1.3452823E9)</f>
        <v>1345282300</v>
      </c>
      <c r="AF373" s="12" t="str">
        <f>IFERROR(__xludf.DUMMYFUNCTION("""COMPUTED_VALUE"""),"0696555027")</f>
        <v>0696555027</v>
      </c>
      <c r="AG373" s="12" t="str">
        <f>IFERROR(__xludf.DUMMYFUNCTION("""COMPUTED_VALUE"""),"Luz")</f>
        <v>Luz</v>
      </c>
      <c r="AH373" s="12" t="str">
        <f>IFERROR(__xludf.DUMMYFUNCTION("""COMPUTED_VALUE"""),"Adriana")</f>
        <v>Adriana</v>
      </c>
      <c r="AI373" s="6" t="str">
        <f>IFERROR(__xludf.DUMMYFUNCTION("""COMPUTED_VALUE"""),"Muñoz Rojas")</f>
        <v>Muñoz Rojas</v>
      </c>
      <c r="AJ373" s="6" t="str">
        <f>IFERROR(__xludf.DUMMYFUNCTION("""COMPUTED_VALUE"""),"ariacna109@hotmail.com")</f>
        <v>ariacna109@hotmail.com</v>
      </c>
      <c r="AK373" s="6" t="str">
        <f>IFERROR(__xludf.DUMMYFUNCTION("""COMPUTED_VALUE"""),"Comerciante")</f>
        <v>Comerciante</v>
      </c>
      <c r="AL373" s="6" t="str">
        <f>IFERROR(__xludf.DUMMYFUNCTION("""COMPUTED_VALUE"""),"DAGESas")</f>
        <v>DAGESas</v>
      </c>
      <c r="AM373" s="12" t="str">
        <f>IFERROR(__xludf.DUMMYFUNCTION("""COMPUTED_VALUE"""),"41948201")</f>
        <v>41948201</v>
      </c>
      <c r="AN373" s="12" t="str">
        <f>IFERROR(__xludf.DUMMYFUNCTION("""COMPUTED_VALUE"""),"3137482710")</f>
        <v>3137482710</v>
      </c>
      <c r="AO373" s="6" t="str">
        <f>IFERROR(__xludf.DUMMYFUNCTION("""COMPUTED_VALUE"""),"Madre")</f>
        <v>Madre</v>
      </c>
      <c r="AP373" s="6" t="str">
        <f>IFERROR(__xludf.DUMMYFUNCTION("""COMPUTED_VALUE"""),"Estudiante(s): Botero Muñoz")</f>
        <v>Estudiante(s): Botero Muñoz</v>
      </c>
      <c r="AQ373" s="6" t="str">
        <f>IFERROR(__xludf.DUMMYFUNCTION("""COMPUTED_VALUE"""),"120307*Gi")</f>
        <v>120307*Gi</v>
      </c>
      <c r="AR373" s="6" t="str">
        <f>IFERROR(__xludf.DUMMYFUNCTION("""COMPUTED_VALUE"""),"Dario")</f>
        <v>Dario</v>
      </c>
      <c r="AS373" s="6"/>
      <c r="AT373" s="6" t="str">
        <f>IFERROR(__xludf.DUMMYFUNCTION("""COMPUTED_VALUE"""),"Botero Londoño")</f>
        <v>Botero Londoño</v>
      </c>
      <c r="AU373" s="6" t="str">
        <f>IFERROR(__xludf.DUMMYFUNCTION("""COMPUTED_VALUE"""),"ororana@hotmail.es")</f>
        <v>ororana@hotmail.es</v>
      </c>
      <c r="AV373" s="6" t="str">
        <f>IFERROR(__xludf.DUMMYFUNCTION("""COMPUTED_VALUE"""),"Comerciante")</f>
        <v>Comerciante</v>
      </c>
      <c r="AW373" s="6" t="str">
        <f>IFERROR(__xludf.DUMMYFUNCTION("""COMPUTED_VALUE"""),"DAGE SAS")</f>
        <v>DAGE SAS</v>
      </c>
      <c r="AX373" s="12" t="str">
        <f>IFERROR(__xludf.DUMMYFUNCTION("""COMPUTED_VALUE"""),"7523683")</f>
        <v>7523683</v>
      </c>
      <c r="AY373" s="12" t="str">
        <f>IFERROR(__xludf.DUMMYFUNCTION("""COMPUTED_VALUE"""),"3218286802")</f>
        <v>3218286802</v>
      </c>
      <c r="AZ373" s="6" t="str">
        <f>IFERROR(__xludf.DUMMYFUNCTION("""COMPUTED_VALUE"""),"Padre")</f>
        <v>Padre</v>
      </c>
      <c r="BA373" s="6"/>
      <c r="BB373" s="6"/>
      <c r="BC373" s="6"/>
      <c r="BD373" s="12" t="str">
        <f>IFERROR(__xludf.DUMMYFUNCTION("""COMPUTED_VALUE"""),"bot0003")</f>
        <v>bot0003</v>
      </c>
      <c r="BE373" s="6" t="str">
        <f>IFERROR(__xludf.DUMMYFUNCTION("""COMPUTED_VALUE"""),"FALTAN FIRMAS")</f>
        <v>FALTAN FIRMAS</v>
      </c>
      <c r="BF373" s="6"/>
      <c r="BG373" s="6">
        <f>IFERROR(__xludf.DUMMYFUNCTION("""COMPUTED_VALUE"""),2035.0)</f>
        <v>2035</v>
      </c>
      <c r="BH373" s="15">
        <f>IFERROR(__xludf.DUMMYFUNCTION("""COMPUTED_VALUE"""),46228.72525462963)</f>
        <v>46228.72525</v>
      </c>
      <c r="BI373" s="6">
        <f>IFERROR(__xludf.DUMMYFUNCTION("""COMPUTED_VALUE"""),373.0)</f>
        <v>373</v>
      </c>
      <c r="BJ373" s="6"/>
      <c r="BK373" s="6"/>
      <c r="BL373" s="6" t="str">
        <f>IFERROR(__xludf.DUMMYFUNCTION("""COMPUTED_VALUE"""),"GISBOT0003")</f>
        <v>GISBOT0003</v>
      </c>
      <c r="BM373" s="6"/>
      <c r="BN373" s="6"/>
      <c r="BO373" s="6"/>
      <c r="BP373" s="6"/>
      <c r="BQ373" s="6"/>
      <c r="BR373" s="6" t="str">
        <f>IFERROR(__xludf.DUMMYFUNCTION("""COMPUTED_VALUE"""),"XC_Robo_Lego")</f>
        <v>XC_Robo_Lego</v>
      </c>
      <c r="BS373" s="6"/>
      <c r="BT373" s="6"/>
      <c r="BU373" s="6" t="str">
        <f>IFERROR(__xludf.DUMMYFUNCTION("""COMPUTED_VALUE"""),"SI")</f>
        <v>SI</v>
      </c>
      <c r="BV373" s="6" t="str">
        <f>IFERROR(__xludf.DUMMYFUNCTION("""COMPUTED_VALUE"""),"jeronimo.b2035")</f>
        <v>jeronimo.b2035</v>
      </c>
      <c r="BW373" s="6"/>
      <c r="BX373" s="6"/>
      <c r="BY373" s="6"/>
      <c r="BZ373" s="6"/>
    </row>
    <row r="374">
      <c r="A374" s="12">
        <f>IFERROR(__xludf.DUMMYFUNCTION("""COMPUTED_VALUE"""),1.092861492E9)</f>
        <v>1092861492</v>
      </c>
      <c r="B374" s="6">
        <f>IFERROR(__xludf.DUMMYFUNCTION("""COMPUTED_VALUE"""),4.0)</f>
        <v>4</v>
      </c>
      <c r="C374" s="6" t="str">
        <f>IFERROR(__xludf.DUMMYFUNCTION("""COMPUTED_VALUE"""),"Emilia")</f>
        <v>Emilia</v>
      </c>
      <c r="D374" s="6"/>
      <c r="E374" s="6" t="str">
        <f>IFERROR(__xludf.DUMMYFUNCTION("""COMPUTED_VALUE"""),"Cañas Martínez")</f>
        <v>Cañas Martínez</v>
      </c>
      <c r="F374" s="6" t="str">
        <f>IFERROR(__xludf.DUMMYFUNCTION("""COMPUTED_VALUE"""),"Campo Madero Casa 43 - Km 1.2 Club Campestre El Caimo")</f>
        <v>Campo Madero Casa 43 - Km 1.2 Club Campestre El Caimo</v>
      </c>
      <c r="G374" s="12" t="str">
        <f>IFERROR(__xludf.DUMMYFUNCTION("""COMPUTED_VALUE"""),"2017")</f>
        <v>2017</v>
      </c>
      <c r="H374" s="6" t="str">
        <f>IFERROR(__xludf.DUMMYFUNCTION("""COMPUTED_VALUE"""),"Octubre")</f>
        <v>Octubre</v>
      </c>
      <c r="I374" s="12" t="str">
        <f>IFERROR(__xludf.DUMMYFUNCTION("""COMPUTED_VALUE"""),"6")</f>
        <v>6</v>
      </c>
      <c r="J374" s="6" t="str">
        <f>IFERROR(__xludf.DUMMYFUNCTION("""COMPUTED_VALUE"""),"Armenia")</f>
        <v>Armenia</v>
      </c>
      <c r="K374" s="6" t="str">
        <f>IFERROR(__xludf.DUMMYFUNCTION("""COMPUTED_VALUE"""),"emilia.c2035@gi.edu.co")</f>
        <v>emilia.c2035@gi.edu.co</v>
      </c>
      <c r="L374" s="6" t="str">
        <f>IFERROR(__xludf.DUMMYFUNCTION("""COMPUTED_VALUE"""),"TI")</f>
        <v>TI</v>
      </c>
      <c r="M374" s="6" t="str">
        <f>IFERROR(__xludf.DUMMYFUNCTION("""COMPUTED_VALUE"""),"Armenia")</f>
        <v>Armenia</v>
      </c>
      <c r="N374" s="6" t="str">
        <f>IFERROR(__xludf.DUMMYFUNCTION("""COMPUTED_VALUE"""),"F")</f>
        <v>F</v>
      </c>
      <c r="O374" s="6" t="str">
        <f>IFERROR(__xludf.DUMMYFUNCTION("""COMPUTED_VALUE"""),"ACTIVE")</f>
        <v>ACTIVE</v>
      </c>
      <c r="P374" s="6"/>
      <c r="Q374" s="6" t="str">
        <f>IFERROR(__xludf.DUMMYFUNCTION("""COMPUTED_VALUE"""),"Armenia")</f>
        <v>Armenia</v>
      </c>
      <c r="R374" s="12" t="str">
        <f>IFERROR(__xludf.DUMMYFUNCTION("""COMPUTED_VALUE"""),"Gidvbui48*")</f>
        <v>Gidvbui48*</v>
      </c>
      <c r="S374" s="6" t="str">
        <f>IFERROR(__xludf.DUMMYFUNCTION("""COMPUTED_VALUE"""),"Cañas Martínez Emilia ")</f>
        <v>Cañas Martínez Emilia </v>
      </c>
      <c r="T374" s="6" t="str">
        <f>IFERROR(__xludf.DUMMYFUNCTION("""COMPUTED_VALUE"""),"DIANA MARCELA MARTINEZ CORREA")</f>
        <v>DIANA MARCELA MARTINEZ CORREA</v>
      </c>
      <c r="U374" s="12" t="str">
        <f>IFERROR(__xludf.DUMMYFUNCTION("""COMPUTED_VALUE"""),"41961811")</f>
        <v>41961811</v>
      </c>
      <c r="V374" s="6">
        <f>IFERROR(__xludf.DUMMYFUNCTION("""COMPUTED_VALUE"""),3.11767903E9)</f>
        <v>3117679030</v>
      </c>
      <c r="W374" s="6" t="str">
        <f>IFERROR(__xludf.DUMMYFUNCTION("""COMPUTED_VALUE"""),"nana_martinez_03@hotmail.com")</f>
        <v>nana_martinez_03@hotmail.com</v>
      </c>
      <c r="X374" s="12" t="str">
        <f>IFERROR(__xludf.DUMMYFUNCTION("""COMPUTED_VALUE"""),"A+")</f>
        <v>A+</v>
      </c>
      <c r="Y374" s="12" t="str">
        <f>IFERROR(__xludf.DUMMYFUNCTION("""COMPUTED_VALUE"""),"4")</f>
        <v>4</v>
      </c>
      <c r="Z374" s="12">
        <f>IFERROR(__xludf.DUMMYFUNCTION("""COMPUTED_VALUE"""),103957.0)</f>
        <v>103957</v>
      </c>
      <c r="AA374" s="6" t="str">
        <f>IFERROR(__xludf.DUMMYFUNCTION("""COMPUTED_VALUE"""),"OTRA")</f>
        <v>OTRA</v>
      </c>
      <c r="AB374" s="6"/>
      <c r="AC374" s="6"/>
      <c r="AD374" s="12" t="str">
        <f>IFERROR(__xludf.DUMMYFUNCTION("""COMPUTED_VALUE"""),"4B")</f>
        <v>4B</v>
      </c>
      <c r="AE374" s="12">
        <f>IFERROR(__xludf.DUMMYFUNCTION("""COMPUTED_VALUE"""),1.345281979E9)</f>
        <v>1345281979</v>
      </c>
      <c r="AF374" s="12" t="str">
        <f>IFERROR(__xludf.DUMMYFUNCTION("""COMPUTED_VALUE"""),"0682135139")</f>
        <v>0682135139</v>
      </c>
      <c r="AG374" s="12" t="str">
        <f>IFERROR(__xludf.DUMMYFUNCTION("""COMPUTED_VALUE"""),"Diana")</f>
        <v>Diana</v>
      </c>
      <c r="AH374" s="12" t="str">
        <f>IFERROR(__xludf.DUMMYFUNCTION("""COMPUTED_VALUE"""),"Marcela")</f>
        <v>Marcela</v>
      </c>
      <c r="AI374" s="6" t="str">
        <f>IFERROR(__xludf.DUMMYFUNCTION("""COMPUTED_VALUE"""),"Martinez Correa")</f>
        <v>Martinez Correa</v>
      </c>
      <c r="AJ374" s="6" t="str">
        <f>IFERROR(__xludf.DUMMYFUNCTION("""COMPUTED_VALUE"""),"nana_martinez_03@hotmail.com")</f>
        <v>nana_martinez_03@hotmail.com</v>
      </c>
      <c r="AK374" s="6" t="str">
        <f>IFERROR(__xludf.DUMMYFUNCTION("""COMPUTED_VALUE"""),"administradora de empresas")</f>
        <v>administradora de empresas</v>
      </c>
      <c r="AL374" s="6" t="str">
        <f>IFERROR(__xludf.DUMMYFUNCTION("""COMPUTED_VALUE"""),"gobernacion")</f>
        <v>gobernacion</v>
      </c>
      <c r="AM374" s="12" t="str">
        <f>IFERROR(__xludf.DUMMYFUNCTION("""COMPUTED_VALUE"""),"41961811")</f>
        <v>41961811</v>
      </c>
      <c r="AN374" s="12" t="str">
        <f>IFERROR(__xludf.DUMMYFUNCTION("""COMPUTED_VALUE"""),"3117679030")</f>
        <v>3117679030</v>
      </c>
      <c r="AO374" s="6" t="str">
        <f>IFERROR(__xludf.DUMMYFUNCTION("""COMPUTED_VALUE"""),"Madre")</f>
        <v>Madre</v>
      </c>
      <c r="AP374" s="6" t="str">
        <f>IFERROR(__xludf.DUMMYFUNCTION("""COMPUTED_VALUE"""),"Estudiante(s): Cañas Martínez")</f>
        <v>Estudiante(s): Cañas Martínez</v>
      </c>
      <c r="AQ374" s="6" t="str">
        <f>IFERROR(__xludf.DUMMYFUNCTION("""COMPUTED_VALUE"""),"103957*Gi")</f>
        <v>103957*Gi</v>
      </c>
      <c r="AR374" s="6" t="str">
        <f>IFERROR(__xludf.DUMMYFUNCTION("""COMPUTED_VALUE"""),"Hernan")</f>
        <v>Hernan</v>
      </c>
      <c r="AS374" s="6" t="str">
        <f>IFERROR(__xludf.DUMMYFUNCTION("""COMPUTED_VALUE"""),"Mauricio")</f>
        <v>Mauricio</v>
      </c>
      <c r="AT374" s="6" t="str">
        <f>IFERROR(__xludf.DUMMYFUNCTION("""COMPUTED_VALUE"""),"Cañas Piedrahita")</f>
        <v>Cañas Piedrahita</v>
      </c>
      <c r="AU374" s="6" t="str">
        <f>IFERROR(__xludf.DUMMYFUNCTION("""COMPUTED_VALUE"""),"mauricioc1315@hotmail.com")</f>
        <v>mauricioc1315@hotmail.com</v>
      </c>
      <c r="AV374" s="6" t="str">
        <f>IFERROR(__xludf.DUMMYFUNCTION("""COMPUTED_VALUE"""),"Abogado")</f>
        <v>Abogado</v>
      </c>
      <c r="AW374" s="6"/>
      <c r="AX374" s="12" t="str">
        <f>IFERROR(__xludf.DUMMYFUNCTION("""COMPUTED_VALUE"""),"18495719")</f>
        <v>18495719</v>
      </c>
      <c r="AY374" s="12" t="str">
        <f>IFERROR(__xludf.DUMMYFUNCTION("""COMPUTED_VALUE"""),"3104044997")</f>
        <v>3104044997</v>
      </c>
      <c r="AZ374" s="6" t="str">
        <f>IFERROR(__xludf.DUMMYFUNCTION("""COMPUTED_VALUE"""),"Padre")</f>
        <v>Padre</v>
      </c>
      <c r="BA374" s="6" t="str">
        <f>IFERROR(__xludf.DUMMYFUNCTION("""COMPUTED_VALUE"""),"GLORIA INES CORREA SANCHEZ")</f>
        <v>GLORIA INES CORREA SANCHEZ</v>
      </c>
      <c r="BB374" s="6">
        <f>IFERROR(__xludf.DUMMYFUNCTION("""COMPUTED_VALUE"""),3.154881614E9)</f>
        <v>3154881614</v>
      </c>
      <c r="BC374" s="6" t="str">
        <f>IFERROR(__xludf.DUMMYFUNCTION("""COMPUTED_VALUE"""),"Abuelo(a)")</f>
        <v>Abuelo(a)</v>
      </c>
      <c r="BD374" s="12" t="str">
        <f>IFERROR(__xludf.DUMMYFUNCTION("""COMPUTED_VALUE"""),"caa0003")</f>
        <v>caa0003</v>
      </c>
      <c r="BE374" s="6"/>
      <c r="BF374" s="6"/>
      <c r="BG374" s="6">
        <f>IFERROR(__xludf.DUMMYFUNCTION("""COMPUTED_VALUE"""),2035.0)</f>
        <v>2035</v>
      </c>
      <c r="BH374" s="15">
        <f>IFERROR(__xludf.DUMMYFUNCTION("""COMPUTED_VALUE"""),46205.65650462963)</f>
        <v>46205.6565</v>
      </c>
      <c r="BI374" s="6">
        <f>IFERROR(__xludf.DUMMYFUNCTION("""COMPUTED_VALUE"""),374.0)</f>
        <v>374</v>
      </c>
      <c r="BJ374" s="6"/>
      <c r="BK374" s="6"/>
      <c r="BL374" s="6" t="str">
        <f>IFERROR(__xludf.DUMMYFUNCTION("""COMPUTED_VALUE"""),"GISCAA0003")</f>
        <v>GISCAA0003</v>
      </c>
      <c r="BM374" s="6"/>
      <c r="BN374" s="6"/>
      <c r="BO374" s="6" t="str">
        <f>IFERROR(__xludf.DUMMYFUNCTION("""COMPUTED_VALUE"""),"XC_EL_ArtesPlasticas")</f>
        <v>XC_EL_ArtesPlasticas</v>
      </c>
      <c r="BP374" s="6"/>
      <c r="BQ374" s="6"/>
      <c r="BR374" s="6"/>
      <c r="BS374" s="6"/>
      <c r="BT374" s="6"/>
      <c r="BU374" s="6" t="str">
        <f>IFERROR(__xludf.DUMMYFUNCTION("""COMPUTED_VALUE"""),"SI")</f>
        <v>SI</v>
      </c>
      <c r="BV374" s="6" t="str">
        <f>IFERROR(__xludf.DUMMYFUNCTION("""COMPUTED_VALUE"""),"emilia.c2035")</f>
        <v>emilia.c2035</v>
      </c>
      <c r="BW374" s="6"/>
      <c r="BX374" s="6"/>
      <c r="BY374" s="6"/>
      <c r="BZ374" s="6"/>
    </row>
    <row r="375">
      <c r="A375" s="12">
        <f>IFERROR(__xludf.DUMMYFUNCTION("""COMPUTED_VALUE"""),1.016914693E9)</f>
        <v>1016914693</v>
      </c>
      <c r="B375" s="6">
        <f>IFERROR(__xludf.DUMMYFUNCTION("""COMPUTED_VALUE"""),5.0)</f>
        <v>5</v>
      </c>
      <c r="C375" s="6" t="str">
        <f>IFERROR(__xludf.DUMMYFUNCTION("""COMPUTED_VALUE"""),"Paulina")</f>
        <v>Paulina</v>
      </c>
      <c r="D375" s="6"/>
      <c r="E375" s="6" t="str">
        <f>IFERROR(__xludf.DUMMYFUNCTION("""COMPUTED_VALUE"""),"Castaño Aristizábal")</f>
        <v>Castaño Aristizábal</v>
      </c>
      <c r="F375" s="6" t="str">
        <f>IFERROR(__xludf.DUMMYFUNCTION("""COMPUTED_VALUE"""),"Conjunto Residencial La Primavera - Cra 14 No54Nte 10")</f>
        <v>Conjunto Residencial La Primavera - Cra 14 No54Nte 10</v>
      </c>
      <c r="G375" s="12" t="str">
        <f>IFERROR(__xludf.DUMMYFUNCTION("""COMPUTED_VALUE"""),"2017")</f>
        <v>2017</v>
      </c>
      <c r="H375" s="6" t="str">
        <f>IFERROR(__xludf.DUMMYFUNCTION("""COMPUTED_VALUE"""),"Septiembre")</f>
        <v>Septiembre</v>
      </c>
      <c r="I375" s="12" t="str">
        <f>IFERROR(__xludf.DUMMYFUNCTION("""COMPUTED_VALUE"""),"11")</f>
        <v>11</v>
      </c>
      <c r="J375" s="6" t="str">
        <f>IFERROR(__xludf.DUMMYFUNCTION("""COMPUTED_VALUE"""),"Bogotá D.C.")</f>
        <v>Bogotá D.C.</v>
      </c>
      <c r="K375" s="6" t="str">
        <f>IFERROR(__xludf.DUMMYFUNCTION("""COMPUTED_VALUE"""),"paulina.ca2035@gi.edu.co")</f>
        <v>paulina.ca2035@gi.edu.co</v>
      </c>
      <c r="L375" s="6" t="str">
        <f>IFERROR(__xludf.DUMMYFUNCTION("""COMPUTED_VALUE"""),"TI")</f>
        <v>TI</v>
      </c>
      <c r="M375" s="6" t="str">
        <f>IFERROR(__xludf.DUMMYFUNCTION("""COMPUTED_VALUE"""),"Bogotá D.C.")</f>
        <v>Bogotá D.C.</v>
      </c>
      <c r="N375" s="6" t="str">
        <f>IFERROR(__xludf.DUMMYFUNCTION("""COMPUTED_VALUE"""),"F")</f>
        <v>F</v>
      </c>
      <c r="O375" s="6" t="str">
        <f>IFERROR(__xludf.DUMMYFUNCTION("""COMPUTED_VALUE"""),"INACTIVE")</f>
        <v>INACTIVE</v>
      </c>
      <c r="P375" s="6"/>
      <c r="Q375" s="6" t="str">
        <f>IFERROR(__xludf.DUMMYFUNCTION("""COMPUTED_VALUE"""),"Armenia")</f>
        <v>Armenia</v>
      </c>
      <c r="R375" s="12" t="str">
        <f>IFERROR(__xludf.DUMMYFUNCTION("""COMPUTED_VALUE"""),"GiMn2345f*")</f>
        <v>GiMn2345f*</v>
      </c>
      <c r="S375" s="6" t="str">
        <f>IFERROR(__xludf.DUMMYFUNCTION("""COMPUTED_VALUE"""),"Castaño Aristizábal Paulina ")</f>
        <v>Castaño Aristizábal Paulina </v>
      </c>
      <c r="T375" s="6" t="str">
        <f>IFERROR(__xludf.DUMMYFUNCTION("""COMPUTED_VALUE"""),"JAVIER ENRIQUE CASTAÑO QUICENO")</f>
        <v>JAVIER ENRIQUE CASTAÑO QUICENO</v>
      </c>
      <c r="U375" s="12" t="str">
        <f>IFERROR(__xludf.DUMMYFUNCTION("""COMPUTED_VALUE"""),"94386117")</f>
        <v>94386117</v>
      </c>
      <c r="V375" s="6">
        <f>IFERROR(__xludf.DUMMYFUNCTION("""COMPUTED_VALUE"""),3.178486195E9)</f>
        <v>3178486195</v>
      </c>
      <c r="W375" s="6" t="str">
        <f>IFERROR(__xludf.DUMMYFUNCTION("""COMPUTED_VALUE"""),"javicas777@hotmail.com")</f>
        <v>javicas777@hotmail.com</v>
      </c>
      <c r="X375" s="12" t="str">
        <f>IFERROR(__xludf.DUMMYFUNCTION("""COMPUTED_VALUE"""),"O+")</f>
        <v>O+</v>
      </c>
      <c r="Y375" s="12" t="str">
        <f>IFERROR(__xludf.DUMMYFUNCTION("""COMPUTED_VALUE"""),"4")</f>
        <v>4</v>
      </c>
      <c r="Z375" s="12">
        <f>IFERROR(__xludf.DUMMYFUNCTION("""COMPUTED_VALUE"""),120211.0)</f>
        <v>120211</v>
      </c>
      <c r="AA375" s="6" t="str">
        <f>IFERROR(__xludf.DUMMYFUNCTION("""COMPUTED_VALUE"""),"SURA")</f>
        <v>SURA</v>
      </c>
      <c r="AB375" s="6"/>
      <c r="AC375" s="12" t="str">
        <f>IFERROR(__xludf.DUMMYFUNCTION("""COMPUTED_VALUE"""),"dipirona, alergica al polen")</f>
        <v>dipirona, alergica al polen</v>
      </c>
      <c r="AD375" s="12" t="str">
        <f>IFERROR(__xludf.DUMMYFUNCTION("""COMPUTED_VALUE"""),"4B")</f>
        <v>4B</v>
      </c>
      <c r="AE375" s="12">
        <f>IFERROR(__xludf.DUMMYFUNCTION("""COMPUTED_VALUE"""),1.345282198E9)</f>
        <v>1345282198</v>
      </c>
      <c r="AF375" s="12" t="str">
        <f>IFERROR(__xludf.DUMMYFUNCTION("""COMPUTED_VALUE"""),"0706444035")</f>
        <v>0706444035</v>
      </c>
      <c r="AG375" s="12" t="str">
        <f>IFERROR(__xludf.DUMMYFUNCTION("""COMPUTED_VALUE"""),"Alejandra")</f>
        <v>Alejandra</v>
      </c>
      <c r="AH375" s="6"/>
      <c r="AI375" s="6" t="str">
        <f>IFERROR(__xludf.DUMMYFUNCTION("""COMPUTED_VALUE"""),"Aristizábal Riveros")</f>
        <v>Aristizábal Riveros</v>
      </c>
      <c r="AJ375" s="6" t="str">
        <f>IFERROR(__xludf.DUMMYFUNCTION("""COMPUTED_VALUE"""),"alejitaaristizabal26@hotmail.com")</f>
        <v>alejitaaristizabal26@hotmail.com</v>
      </c>
      <c r="AK375" s="6" t="str">
        <f>IFERROR(__xludf.DUMMYFUNCTION("""COMPUTED_VALUE"""),"Administradora de negocios internacionales")</f>
        <v>Administradora de negocios internacionales</v>
      </c>
      <c r="AL375" s="6"/>
      <c r="AM375" s="12" t="str">
        <f>IFERROR(__xludf.DUMMYFUNCTION("""COMPUTED_VALUE"""),"1115186585")</f>
        <v>1115186585</v>
      </c>
      <c r="AN375" s="12" t="str">
        <f>IFERROR(__xludf.DUMMYFUNCTION("""COMPUTED_VALUE"""),"3148634742")</f>
        <v>3148634742</v>
      </c>
      <c r="AO375" s="6" t="str">
        <f>IFERROR(__xludf.DUMMYFUNCTION("""COMPUTED_VALUE"""),"Madre")</f>
        <v>Madre</v>
      </c>
      <c r="AP375" s="6" t="str">
        <f>IFERROR(__xludf.DUMMYFUNCTION("""COMPUTED_VALUE"""),"Estudiante(s): Castaño Aristizábal")</f>
        <v>Estudiante(s): Castaño Aristizábal</v>
      </c>
      <c r="AQ375" s="6" t="str">
        <f>IFERROR(__xludf.DUMMYFUNCTION("""COMPUTED_VALUE"""),"130911*Gi")</f>
        <v>130911*Gi</v>
      </c>
      <c r="AR375" s="6" t="str">
        <f>IFERROR(__xludf.DUMMYFUNCTION("""COMPUTED_VALUE"""),"Javier")</f>
        <v>Javier</v>
      </c>
      <c r="AS375" s="6" t="str">
        <f>IFERROR(__xludf.DUMMYFUNCTION("""COMPUTED_VALUE"""),"Enrique")</f>
        <v>Enrique</v>
      </c>
      <c r="AT375" s="6" t="str">
        <f>IFERROR(__xludf.DUMMYFUNCTION("""COMPUTED_VALUE"""),"Castaño Quiceno")</f>
        <v>Castaño Quiceno</v>
      </c>
      <c r="AU375" s="6" t="str">
        <f>IFERROR(__xludf.DUMMYFUNCTION("""COMPUTED_VALUE"""),"javicas777@hotmail.com")</f>
        <v>javicas777@hotmail.com</v>
      </c>
      <c r="AV375" s="6" t="str">
        <f>IFERROR(__xludf.DUMMYFUNCTION("""COMPUTED_VALUE"""),"Importador /comerciante de autopartes")</f>
        <v>Importador /comerciante de autopartes</v>
      </c>
      <c r="AW375" s="6"/>
      <c r="AX375" s="12" t="str">
        <f>IFERROR(__xludf.DUMMYFUNCTION("""COMPUTED_VALUE"""),"94386117")</f>
        <v>94386117</v>
      </c>
      <c r="AY375" s="12" t="str">
        <f>IFERROR(__xludf.DUMMYFUNCTION("""COMPUTED_VALUE"""),"3178486195")</f>
        <v>3178486195</v>
      </c>
      <c r="AZ375" s="6" t="str">
        <f>IFERROR(__xludf.DUMMYFUNCTION("""COMPUTED_VALUE"""),"Padre")</f>
        <v>Padre</v>
      </c>
      <c r="BA375" s="6"/>
      <c r="BB375" s="6"/>
      <c r="BC375" s="6"/>
      <c r="BD375" s="12" t="str">
        <f>IFERROR(__xludf.DUMMYFUNCTION("""COMPUTED_VALUE"""),"cas0002")</f>
        <v>cas0002</v>
      </c>
      <c r="BE375" s="6" t="str">
        <f>IFERROR(__xludf.DUMMYFUNCTION("""COMPUTED_VALUE"""),"FALTAN FIRMAS")</f>
        <v>FALTAN FIRMAS</v>
      </c>
      <c r="BF375" s="6"/>
      <c r="BG375" s="6">
        <f>IFERROR(__xludf.DUMMYFUNCTION("""COMPUTED_VALUE"""),2035.0)</f>
        <v>2035</v>
      </c>
      <c r="BH375" s="15">
        <f>IFERROR(__xludf.DUMMYFUNCTION("""COMPUTED_VALUE"""),46230.33273148148)</f>
        <v>46230.33273</v>
      </c>
      <c r="BI375" s="6">
        <f>IFERROR(__xludf.DUMMYFUNCTION("""COMPUTED_VALUE"""),375.0)</f>
        <v>375</v>
      </c>
      <c r="BJ375" s="6"/>
      <c r="BK375" s="6"/>
      <c r="BL375" s="6" t="str">
        <f>IFERROR(__xludf.DUMMYFUNCTION("""COMPUTED_VALUE"""),"GISCAS0002")</f>
        <v>GISCAS0002</v>
      </c>
      <c r="BM375" s="6"/>
      <c r="BN375" s="6"/>
      <c r="BO375" s="6"/>
      <c r="BP375" s="6" t="str">
        <f>IFERROR(__xludf.DUMMYFUNCTION("""COMPUTED_VALUE"""),"XC_EL_Porras")</f>
        <v>XC_EL_Porras</v>
      </c>
      <c r="BQ375" s="6" t="str">
        <f>IFERROR(__xludf.DUMMYFUNCTION("""COMPUTED_VALUE"""),"XC_EL_Porras")</f>
        <v>XC_EL_Porras</v>
      </c>
      <c r="BR375" s="6" t="str">
        <f>IFERROR(__xludf.DUMMYFUNCTION("""COMPUTED_VALUE"""),"XC_EL_DanzaModerna")</f>
        <v>XC_EL_DanzaModerna</v>
      </c>
      <c r="BS375" s="6" t="str">
        <f>IFERROR(__xludf.DUMMYFUNCTION("""COMPUTED_VALUE"""),"XC_EL_Porras")</f>
        <v>XC_EL_Porras</v>
      </c>
      <c r="BT375" s="6"/>
      <c r="BU375" s="6" t="str">
        <f>IFERROR(__xludf.DUMMYFUNCTION("""COMPUTED_VALUE"""),"SI")</f>
        <v>SI</v>
      </c>
      <c r="BV375" s="6" t="str">
        <f>IFERROR(__xludf.DUMMYFUNCTION("""COMPUTED_VALUE"""),"paulina.ca2035")</f>
        <v>paulina.ca2035</v>
      </c>
      <c r="BW375" s="6"/>
      <c r="BX375" s="6"/>
      <c r="BY375" s="6"/>
      <c r="BZ375" s="6"/>
    </row>
    <row r="376">
      <c r="A376" s="12">
        <f>IFERROR(__xludf.DUMMYFUNCTION("""COMPUTED_VALUE"""),1.138031559E9)</f>
        <v>1138031559</v>
      </c>
      <c r="B376" s="6">
        <f>IFERROR(__xludf.DUMMYFUNCTION("""COMPUTED_VALUE"""),6.0)</f>
        <v>6</v>
      </c>
      <c r="C376" s="6" t="str">
        <f>IFERROR(__xludf.DUMMYFUNCTION("""COMPUTED_VALUE"""),"Juan")</f>
        <v>Juan</v>
      </c>
      <c r="D376" s="6" t="str">
        <f>IFERROR(__xludf.DUMMYFUNCTION("""COMPUTED_VALUE"""),"Felipe")</f>
        <v>Felipe</v>
      </c>
      <c r="E376" s="6" t="str">
        <f>IFERROR(__xludf.DUMMYFUNCTION("""COMPUTED_VALUE"""),"Daza Cañavera")</f>
        <v>Daza Cañavera</v>
      </c>
      <c r="F376" s="6" t="str">
        <f>IFERROR(__xludf.DUMMYFUNCTION("""COMPUTED_VALUE"""),"Colina del Parque Casa A5 - Cra 11 No9Nte - 01 La Castellana")</f>
        <v>Colina del Parque Casa A5 - Cra 11 No9Nte - 01 La Castellana</v>
      </c>
      <c r="G376" s="12" t="str">
        <f>IFERROR(__xludf.DUMMYFUNCTION("""COMPUTED_VALUE"""),"2017")</f>
        <v>2017</v>
      </c>
      <c r="H376" s="6" t="str">
        <f>IFERROR(__xludf.DUMMYFUNCTION("""COMPUTED_VALUE"""),"Enero")</f>
        <v>Enero</v>
      </c>
      <c r="I376" s="12" t="str">
        <f>IFERROR(__xludf.DUMMYFUNCTION("""COMPUTED_VALUE"""),"24")</f>
        <v>24</v>
      </c>
      <c r="J376" s="6" t="str">
        <f>IFERROR(__xludf.DUMMYFUNCTION("""COMPUTED_VALUE"""),"Montería")</f>
        <v>Montería</v>
      </c>
      <c r="K376" s="6" t="str">
        <f>IFERROR(__xludf.DUMMYFUNCTION("""COMPUTED_VALUE"""),"juan.d2035@gi.edu.co")</f>
        <v>juan.d2035@gi.edu.co</v>
      </c>
      <c r="L376" s="6" t="str">
        <f>IFERROR(__xludf.DUMMYFUNCTION("""COMPUTED_VALUE"""),"TI")</f>
        <v>TI</v>
      </c>
      <c r="M376" s="6" t="str">
        <f>IFERROR(__xludf.DUMMYFUNCTION("""COMPUTED_VALUE"""),"Armenia")</f>
        <v>Armenia</v>
      </c>
      <c r="N376" s="6" t="str">
        <f>IFERROR(__xludf.DUMMYFUNCTION("""COMPUTED_VALUE"""),"M")</f>
        <v>M</v>
      </c>
      <c r="O376" s="6" t="str">
        <f>IFERROR(__xludf.DUMMYFUNCTION("""COMPUTED_VALUE"""),"ACTIVE")</f>
        <v>ACTIVE</v>
      </c>
      <c r="P376" s="6"/>
      <c r="Q376" s="6" t="str">
        <f>IFERROR(__xludf.DUMMYFUNCTION("""COMPUTED_VALUE"""),"Armenia")</f>
        <v>Armenia</v>
      </c>
      <c r="R376" s="12" t="str">
        <f>IFERROR(__xludf.DUMMYFUNCTION("""COMPUTED_VALUE"""),"Gi7453xfg*")</f>
        <v>Gi7453xfg*</v>
      </c>
      <c r="S376" s="6" t="str">
        <f>IFERROR(__xludf.DUMMYFUNCTION("""COMPUTED_VALUE"""),"Daza Cañavera Juan Felipe")</f>
        <v>Daza Cañavera Juan Felipe</v>
      </c>
      <c r="T376" s="6" t="str">
        <f>IFERROR(__xludf.DUMMYFUNCTION("""COMPUTED_VALUE"""),"LUZ MARIA CAÑAVERA ARGUMEDO")</f>
        <v>LUZ MARIA CAÑAVERA ARGUMEDO</v>
      </c>
      <c r="U376" s="12" t="str">
        <f>IFERROR(__xludf.DUMMYFUNCTION("""COMPUTED_VALUE"""),"35011445")</f>
        <v>35011445</v>
      </c>
      <c r="V376" s="6">
        <f>IFERROR(__xludf.DUMMYFUNCTION("""COMPUTED_VALUE"""),3.155854973E9)</f>
        <v>3155854973</v>
      </c>
      <c r="W376" s="6" t="str">
        <f>IFERROR(__xludf.DUMMYFUNCTION("""COMPUTED_VALUE"""),"luchy19822110@hotmail.com")</f>
        <v>luchy19822110@hotmail.com</v>
      </c>
      <c r="X376" s="12" t="str">
        <f>IFERROR(__xludf.DUMMYFUNCTION("""COMPUTED_VALUE"""),"A+")</f>
        <v>A+</v>
      </c>
      <c r="Y376" s="12" t="str">
        <f>IFERROR(__xludf.DUMMYFUNCTION("""COMPUTED_VALUE"""),"4")</f>
        <v>4</v>
      </c>
      <c r="Z376" s="12">
        <f>IFERROR(__xludf.DUMMYFUNCTION("""COMPUTED_VALUE"""),103928.0)</f>
        <v>103928</v>
      </c>
      <c r="AA376" s="6" t="str">
        <f>IFERROR(__xludf.DUMMYFUNCTION("""COMPUTED_VALUE"""),"SURA")</f>
        <v>SURA</v>
      </c>
      <c r="AB376" s="6" t="str">
        <f>IFERROR(__xludf.DUMMYFUNCTION("""COMPUTED_VALUE"""),"EMI")</f>
        <v>EMI</v>
      </c>
      <c r="AC376" s="6"/>
      <c r="AD376" s="12" t="str">
        <f>IFERROR(__xludf.DUMMYFUNCTION("""COMPUTED_VALUE"""),"4B")</f>
        <v>4B</v>
      </c>
      <c r="AE376" s="12">
        <f>IFERROR(__xludf.DUMMYFUNCTION("""COMPUTED_VALUE"""),1.345281974E9)</f>
        <v>1345281974</v>
      </c>
      <c r="AF376" s="12" t="str">
        <f>IFERROR(__xludf.DUMMYFUNCTION("""COMPUTED_VALUE"""),"0697225699")</f>
        <v>0697225699</v>
      </c>
      <c r="AG376" s="12" t="str">
        <f>IFERROR(__xludf.DUMMYFUNCTION("""COMPUTED_VALUE"""),"Luz")</f>
        <v>Luz</v>
      </c>
      <c r="AH376" s="12" t="str">
        <f>IFERROR(__xludf.DUMMYFUNCTION("""COMPUTED_VALUE"""),"Maria")</f>
        <v>Maria</v>
      </c>
      <c r="AI376" s="6" t="str">
        <f>IFERROR(__xludf.DUMMYFUNCTION("""COMPUTED_VALUE"""),"Cañavera Argumedo")</f>
        <v>Cañavera Argumedo</v>
      </c>
      <c r="AJ376" s="6" t="str">
        <f>IFERROR(__xludf.DUMMYFUNCTION("""COMPUTED_VALUE"""),"dracanavera@gmail.com")</f>
        <v>dracanavera@gmail.com</v>
      </c>
      <c r="AK376" s="6" t="str">
        <f>IFERROR(__xludf.DUMMYFUNCTION("""COMPUTED_VALUE"""),"medico")</f>
        <v>medico</v>
      </c>
      <c r="AL376" s="6" t="str">
        <f>IFERROR(__xludf.DUMMYFUNCTION("""COMPUTED_VALUE"""),"independiente")</f>
        <v>independiente</v>
      </c>
      <c r="AM376" s="12" t="str">
        <f>IFERROR(__xludf.DUMMYFUNCTION("""COMPUTED_VALUE"""),"35011445")</f>
        <v>35011445</v>
      </c>
      <c r="AN376" s="12" t="str">
        <f>IFERROR(__xludf.DUMMYFUNCTION("""COMPUTED_VALUE"""),"3155854973")</f>
        <v>3155854973</v>
      </c>
      <c r="AO376" s="6" t="str">
        <f>IFERROR(__xludf.DUMMYFUNCTION("""COMPUTED_VALUE"""),"Madre")</f>
        <v>Madre</v>
      </c>
      <c r="AP376" s="6" t="str">
        <f>IFERROR(__xludf.DUMMYFUNCTION("""COMPUTED_VALUE"""),"Estudiante(s): Daza Cañavera")</f>
        <v>Estudiante(s): Daza Cañavera</v>
      </c>
      <c r="AQ376" s="6" t="str">
        <f>IFERROR(__xludf.DUMMYFUNCTION("""COMPUTED_VALUE"""),"103928*Gi")</f>
        <v>103928*Gi</v>
      </c>
      <c r="AR376" s="6" t="str">
        <f>IFERROR(__xludf.DUMMYFUNCTION("""COMPUTED_VALUE"""),"Francisco")</f>
        <v>Francisco</v>
      </c>
      <c r="AS376" s="6" t="str">
        <f>IFERROR(__xludf.DUMMYFUNCTION("""COMPUTED_VALUE"""),"Rafael")</f>
        <v>Rafael</v>
      </c>
      <c r="AT376" s="6" t="str">
        <f>IFERROR(__xludf.DUMMYFUNCTION("""COMPUTED_VALUE"""),"Daza Perez")</f>
        <v>Daza Perez</v>
      </c>
      <c r="AU376" s="6" t="str">
        <f>IFERROR(__xludf.DUMMYFUNCTION("""COMPUTED_VALUE"""),"pachodaza2000@gmail.com")</f>
        <v>pachodaza2000@gmail.com</v>
      </c>
      <c r="AV376" s="6" t="str">
        <f>IFERROR(__xludf.DUMMYFUNCTION("""COMPUTED_VALUE"""),"CIRUJANO")</f>
        <v>CIRUJANO</v>
      </c>
      <c r="AW376" s="6" t="str">
        <f>IFERROR(__xludf.DUMMYFUNCTION("""COMPUTED_VALUE"""),"INDEPENDIENTE")</f>
        <v>INDEPENDIENTE</v>
      </c>
      <c r="AX376" s="12" t="str">
        <f>IFERROR(__xludf.DUMMYFUNCTION("""COMPUTED_VALUE"""),"80137074")</f>
        <v>80137074</v>
      </c>
      <c r="AY376" s="12" t="str">
        <f>IFERROR(__xludf.DUMMYFUNCTION("""COMPUTED_VALUE"""),"3105720336")</f>
        <v>3105720336</v>
      </c>
      <c r="AZ376" s="6" t="str">
        <f>IFERROR(__xludf.DUMMYFUNCTION("""COMPUTED_VALUE"""),"Padre")</f>
        <v>Padre</v>
      </c>
      <c r="BA376" s="6"/>
      <c r="BB376" s="6"/>
      <c r="BC376" s="6"/>
      <c r="BD376" s="12" t="str">
        <f>IFERROR(__xludf.DUMMYFUNCTION("""COMPUTED_VALUE"""),"daz0010")</f>
        <v>daz0010</v>
      </c>
      <c r="BE376" s="6"/>
      <c r="BF376" s="6"/>
      <c r="BG376" s="6">
        <f>IFERROR(__xludf.DUMMYFUNCTION("""COMPUTED_VALUE"""),2035.0)</f>
        <v>2035</v>
      </c>
      <c r="BH376" s="15">
        <f>IFERROR(__xludf.DUMMYFUNCTION("""COMPUTED_VALUE"""),46206.911840277775)</f>
        <v>46206.91184</v>
      </c>
      <c r="BI376" s="6">
        <f>IFERROR(__xludf.DUMMYFUNCTION("""COMPUTED_VALUE"""),376.0)</f>
        <v>376</v>
      </c>
      <c r="BJ376" s="6"/>
      <c r="BK376" s="6"/>
      <c r="BL376" s="6" t="str">
        <f>IFERROR(__xludf.DUMMYFUNCTION("""COMPUTED_VALUE"""),"GISDAZ0010")</f>
        <v>GISDAZ0010</v>
      </c>
      <c r="BM376" s="6"/>
      <c r="BN376" s="6"/>
      <c r="BO376" s="6"/>
      <c r="BP376" s="6"/>
      <c r="BQ376" s="6"/>
      <c r="BR376" s="6"/>
      <c r="BS376" s="6"/>
      <c r="BT376" s="6"/>
      <c r="BU376" s="6" t="str">
        <f>IFERROR(__xludf.DUMMYFUNCTION("""COMPUTED_VALUE"""),"SI")</f>
        <v>SI</v>
      </c>
      <c r="BV376" s="6" t="str">
        <f>IFERROR(__xludf.DUMMYFUNCTION("""COMPUTED_VALUE"""),"juan.d2035")</f>
        <v>juan.d2035</v>
      </c>
      <c r="BW376" s="6"/>
      <c r="BX376" s="6"/>
      <c r="BY376" s="6"/>
      <c r="BZ376" s="6"/>
    </row>
    <row r="377">
      <c r="A377" s="12">
        <f>IFERROR(__xludf.DUMMYFUNCTION("""COMPUTED_VALUE"""),1.090281117E9)</f>
        <v>1090281117</v>
      </c>
      <c r="B377" s="6">
        <f>IFERROR(__xludf.DUMMYFUNCTION("""COMPUTED_VALUE"""),7.0)</f>
        <v>7</v>
      </c>
      <c r="C377" s="6" t="str">
        <f>IFERROR(__xludf.DUMMYFUNCTION("""COMPUTED_VALUE"""),"Emmanuel")</f>
        <v>Emmanuel</v>
      </c>
      <c r="D377" s="6"/>
      <c r="E377" s="6" t="str">
        <f>IFERROR(__xludf.DUMMYFUNCTION("""COMPUTED_VALUE"""),"García López")</f>
        <v>García López</v>
      </c>
      <c r="F377" s="6" t="str">
        <f>IFERROR(__xludf.DUMMYFUNCTION("""COMPUTED_VALUE"""),"Condominio Campestre La Reserva Casa 38 - Cra 5 No10Nte - 25 Av Centenario")</f>
        <v>Condominio Campestre La Reserva Casa 38 - Cra 5 No10Nte - 25 Av Centenario</v>
      </c>
      <c r="G377" s="12" t="str">
        <f>IFERROR(__xludf.DUMMYFUNCTION("""COMPUTED_VALUE"""),"2017")</f>
        <v>2017</v>
      </c>
      <c r="H377" s="6" t="str">
        <f>IFERROR(__xludf.DUMMYFUNCTION("""COMPUTED_VALUE"""),"Agosto")</f>
        <v>Agosto</v>
      </c>
      <c r="I377" s="12" t="str">
        <f>IFERROR(__xludf.DUMMYFUNCTION("""COMPUTED_VALUE"""),"29")</f>
        <v>29</v>
      </c>
      <c r="J377" s="6" t="str">
        <f>IFERROR(__xludf.DUMMYFUNCTION("""COMPUTED_VALUE"""),"Armenia")</f>
        <v>Armenia</v>
      </c>
      <c r="K377" s="6" t="str">
        <f>IFERROR(__xludf.DUMMYFUNCTION("""COMPUTED_VALUE"""),"emmanuel.g2035@gi.edu.co")</f>
        <v>emmanuel.g2035@gi.edu.co</v>
      </c>
      <c r="L377" s="6" t="str">
        <f>IFERROR(__xludf.DUMMYFUNCTION("""COMPUTED_VALUE"""),"TI")</f>
        <v>TI</v>
      </c>
      <c r="M377" s="6" t="str">
        <f>IFERROR(__xludf.DUMMYFUNCTION("""COMPUTED_VALUE"""),"Armenia")</f>
        <v>Armenia</v>
      </c>
      <c r="N377" s="6" t="str">
        <f>IFERROR(__xludf.DUMMYFUNCTION("""COMPUTED_VALUE"""),"M")</f>
        <v>M</v>
      </c>
      <c r="O377" s="6" t="str">
        <f>IFERROR(__xludf.DUMMYFUNCTION("""COMPUTED_VALUE"""),"ACTIVE")</f>
        <v>ACTIVE</v>
      </c>
      <c r="P377" s="6"/>
      <c r="Q377" s="6" t="str">
        <f>IFERROR(__xludf.DUMMYFUNCTION("""COMPUTED_VALUE"""),"Armenia")</f>
        <v>Armenia</v>
      </c>
      <c r="R377" s="12" t="str">
        <f>IFERROR(__xludf.DUMMYFUNCTION("""COMPUTED_VALUE"""),"Giefjvy73*")</f>
        <v>Giefjvy73*</v>
      </c>
      <c r="S377" s="6" t="str">
        <f>IFERROR(__xludf.DUMMYFUNCTION("""COMPUTED_VALUE"""),"García López Emmanuel ")</f>
        <v>García López Emmanuel </v>
      </c>
      <c r="T377" s="6" t="str">
        <f>IFERROR(__xludf.DUMMYFUNCTION("""COMPUTED_VALUE"""),"JOHN SEBASTIAN GARCIA MARTINEZ")</f>
        <v>JOHN SEBASTIAN GARCIA MARTINEZ</v>
      </c>
      <c r="U377" s="12" t="str">
        <f>IFERROR(__xludf.DUMMYFUNCTION("""COMPUTED_VALUE"""),"9773446")</f>
        <v>9773446</v>
      </c>
      <c r="V377" s="6">
        <f>IFERROR(__xludf.DUMMYFUNCTION("""COMPUTED_VALUE"""),3.108256901E9)</f>
        <v>3108256901</v>
      </c>
      <c r="W377" s="6" t="str">
        <f>IFERROR(__xludf.DUMMYFUNCTION("""COMPUTED_VALUE"""),"cebas1279@gmail.com")</f>
        <v>cebas1279@gmail.com</v>
      </c>
      <c r="X377" s="12" t="str">
        <f>IFERROR(__xludf.DUMMYFUNCTION("""COMPUTED_VALUE"""),"O+")</f>
        <v>O+</v>
      </c>
      <c r="Y377" s="12" t="str">
        <f>IFERROR(__xludf.DUMMYFUNCTION("""COMPUTED_VALUE"""),"4")</f>
        <v>4</v>
      </c>
      <c r="Z377" s="12">
        <f>IFERROR(__xludf.DUMMYFUNCTION("""COMPUTED_VALUE"""),103958.0)</f>
        <v>103958</v>
      </c>
      <c r="AA377" s="6" t="str">
        <f>IFERROR(__xludf.DUMMYFUNCTION("""COMPUTED_VALUE"""),"SURA")</f>
        <v>SURA</v>
      </c>
      <c r="AB377" s="6" t="str">
        <f>IFERROR(__xludf.DUMMYFUNCTION("""COMPUTED_VALUE"""),"Emi")</f>
        <v>Emi</v>
      </c>
      <c r="AC377" s="6" t="str">
        <f>IFERROR(__xludf.DUMMYFUNCTION("""COMPUTED_VALUE"""),"Piña se brota la boca")</f>
        <v>Piña se brota la boca</v>
      </c>
      <c r="AD377" s="12" t="str">
        <f>IFERROR(__xludf.DUMMYFUNCTION("""COMPUTED_VALUE"""),"4B")</f>
        <v>4B</v>
      </c>
      <c r="AE377" s="12">
        <f>IFERROR(__xludf.DUMMYFUNCTION("""COMPUTED_VALUE"""),1.345281982E9)</f>
        <v>1345281982</v>
      </c>
      <c r="AF377" s="12" t="str">
        <f>IFERROR(__xludf.DUMMYFUNCTION("""COMPUTED_VALUE"""),"2803037699")</f>
        <v>2803037699</v>
      </c>
      <c r="AG377" s="12" t="str">
        <f>IFERROR(__xludf.DUMMYFUNCTION("""COMPUTED_VALUE"""),"Lina")</f>
        <v>Lina</v>
      </c>
      <c r="AH377" s="12" t="str">
        <f>IFERROR(__xludf.DUMMYFUNCTION("""COMPUTED_VALUE"""),"Marcela")</f>
        <v>Marcela</v>
      </c>
      <c r="AI377" s="6" t="str">
        <f>IFERROR(__xludf.DUMMYFUNCTION("""COMPUTED_VALUE"""),"López Gil")</f>
        <v>López Gil</v>
      </c>
      <c r="AJ377" s="6" t="str">
        <f>IFERROR(__xludf.DUMMYFUNCTION("""COMPUTED_VALUE"""),"limalogi2008@hotmail.com")</f>
        <v>limalogi2008@hotmail.com</v>
      </c>
      <c r="AK377" s="6" t="str">
        <f>IFERROR(__xludf.DUMMYFUNCTION("""COMPUTED_VALUE"""),"Administradora de negocios internacionales")</f>
        <v>Administradora de negocios internacionales</v>
      </c>
      <c r="AL377" s="6"/>
      <c r="AM377" s="12" t="str">
        <f>IFERROR(__xludf.DUMMYFUNCTION("""COMPUTED_VALUE"""),"1094899861")</f>
        <v>1094899861</v>
      </c>
      <c r="AN377" s="12" t="str">
        <f>IFERROR(__xludf.DUMMYFUNCTION("""COMPUTED_VALUE"""),"3212881006")</f>
        <v>3212881006</v>
      </c>
      <c r="AO377" s="6" t="str">
        <f>IFERROR(__xludf.DUMMYFUNCTION("""COMPUTED_VALUE"""),"Madre")</f>
        <v>Madre</v>
      </c>
      <c r="AP377" s="6" t="str">
        <f>IFERROR(__xludf.DUMMYFUNCTION("""COMPUTED_VALUE"""),"Estudiante(s): García López")</f>
        <v>Estudiante(s): García López</v>
      </c>
      <c r="AQ377" s="6" t="str">
        <f>IFERROR(__xludf.DUMMYFUNCTION("""COMPUTED_VALUE"""),"103958*Gi")</f>
        <v>103958*Gi</v>
      </c>
      <c r="AR377" s="6" t="str">
        <f>IFERROR(__xludf.DUMMYFUNCTION("""COMPUTED_VALUE"""),"John")</f>
        <v>John</v>
      </c>
      <c r="AS377" s="6" t="str">
        <f>IFERROR(__xludf.DUMMYFUNCTION("""COMPUTED_VALUE"""),"Sebastián")</f>
        <v>Sebastián</v>
      </c>
      <c r="AT377" s="6" t="str">
        <f>IFERROR(__xludf.DUMMYFUNCTION("""COMPUTED_VALUE"""),"García Martínez")</f>
        <v>García Martínez</v>
      </c>
      <c r="AU377" s="6" t="str">
        <f>IFERROR(__xludf.DUMMYFUNCTION("""COMPUTED_VALUE"""),"cebas1279@gmail.com")</f>
        <v>cebas1279@gmail.com</v>
      </c>
      <c r="AV377" s="6" t="str">
        <f>IFERROR(__xludf.DUMMYFUNCTION("""COMPUTED_VALUE"""),"Abogado")</f>
        <v>Abogado</v>
      </c>
      <c r="AW377" s="6" t="str">
        <f>IFERROR(__xludf.DUMMYFUNCTION("""COMPUTED_VALUE"""),"innova arquitectura inmobiliaria")</f>
        <v>innova arquitectura inmobiliaria</v>
      </c>
      <c r="AX377" s="12" t="str">
        <f>IFERROR(__xludf.DUMMYFUNCTION("""COMPUTED_VALUE"""),"9773446")</f>
        <v>9773446</v>
      </c>
      <c r="AY377" s="12" t="str">
        <f>IFERROR(__xludf.DUMMYFUNCTION("""COMPUTED_VALUE"""),"3108256901")</f>
        <v>3108256901</v>
      </c>
      <c r="AZ377" s="6" t="str">
        <f>IFERROR(__xludf.DUMMYFUNCTION("""COMPUTED_VALUE"""),"Padre")</f>
        <v>Padre</v>
      </c>
      <c r="BA377" s="6"/>
      <c r="BB377" s="6"/>
      <c r="BC377" s="6"/>
      <c r="BD377" s="12" t="str">
        <f>IFERROR(__xludf.DUMMYFUNCTION("""COMPUTED_VALUE"""),"gar0016")</f>
        <v>gar0016</v>
      </c>
      <c r="BE377" s="6"/>
      <c r="BF377" s="6"/>
      <c r="BG377" s="6">
        <f>IFERROR(__xludf.DUMMYFUNCTION("""COMPUTED_VALUE"""),2035.0)</f>
        <v>2035</v>
      </c>
      <c r="BH377" s="15">
        <f>IFERROR(__xludf.DUMMYFUNCTION("""COMPUTED_VALUE"""),46213.48708333333)</f>
        <v>46213.48708</v>
      </c>
      <c r="BI377" s="6">
        <f>IFERROR(__xludf.DUMMYFUNCTION("""COMPUTED_VALUE"""),377.0)</f>
        <v>377</v>
      </c>
      <c r="BJ377" s="6"/>
      <c r="BK377" s="6"/>
      <c r="BL377" s="6" t="str">
        <f>IFERROR(__xludf.DUMMYFUNCTION("""COMPUTED_VALUE"""),"GISGAR0016")</f>
        <v>GISGAR0016</v>
      </c>
      <c r="BM377" s="6"/>
      <c r="BN377" s="6"/>
      <c r="BO377" s="6" t="str">
        <f>IFERROR(__xludf.DUMMYFUNCTION("""COMPUTED_VALUE"""),"XC_EL_ArtesPlasticas")</f>
        <v>XC_EL_ArtesPlasticas</v>
      </c>
      <c r="BP377" s="6" t="str">
        <f>IFERROR(__xludf.DUMMYFUNCTION("""COMPUTED_VALUE"""),"XC_45_Basquetbol")</f>
        <v>XC_45_Basquetbol</v>
      </c>
      <c r="BQ377" s="6"/>
      <c r="BR377" s="6"/>
      <c r="BS377" s="6" t="str">
        <f>IFERROR(__xludf.DUMMYFUNCTION("""COMPUTED_VALUE"""),"XC_45_Basquetbol")</f>
        <v>XC_45_Basquetbol</v>
      </c>
      <c r="BT377" s="6" t="str">
        <f>IFERROR(__xludf.DUMMYFUNCTION("""COMPUTED_VALUE"""),"XC_45_Basquetbol")</f>
        <v>XC_45_Basquetbol</v>
      </c>
      <c r="BU377" s="6" t="str">
        <f>IFERROR(__xludf.DUMMYFUNCTION("""COMPUTED_VALUE"""),"SI")</f>
        <v>SI</v>
      </c>
      <c r="BV377" s="6" t="str">
        <f>IFERROR(__xludf.DUMMYFUNCTION("""COMPUTED_VALUE"""),"emmanuel.g2035")</f>
        <v>emmanuel.g2035</v>
      </c>
      <c r="BW377" s="6"/>
      <c r="BX377" s="6"/>
      <c r="BY377" s="6"/>
      <c r="BZ377" s="6"/>
    </row>
    <row r="378">
      <c r="A378" s="12">
        <f>IFERROR(__xludf.DUMMYFUNCTION("""COMPUTED_VALUE"""),1.092861113E9)</f>
        <v>1092861113</v>
      </c>
      <c r="B378" s="6">
        <f>IFERROR(__xludf.DUMMYFUNCTION("""COMPUTED_VALUE"""),8.0)</f>
        <v>8</v>
      </c>
      <c r="C378" s="6" t="str">
        <f>IFERROR(__xludf.DUMMYFUNCTION("""COMPUTED_VALUE"""),"Juan")</f>
        <v>Juan</v>
      </c>
      <c r="D378" s="6" t="str">
        <f>IFERROR(__xludf.DUMMYFUNCTION("""COMPUTED_VALUE"""),"Martín")</f>
        <v>Martín</v>
      </c>
      <c r="E378" s="6" t="str">
        <f>IFERROR(__xludf.DUMMYFUNCTION("""COMPUTED_VALUE"""),"Giraldo Restrepo")</f>
        <v>Giraldo Restrepo</v>
      </c>
      <c r="F378" s="6" t="str">
        <f>IFERROR(__xludf.DUMMYFUNCTION("""COMPUTED_VALUE"""),"Cra 14 No1 - 133 Local 23 Centro Comercial Baleares")</f>
        <v>Cra 14 No1 - 133 Local 23 Centro Comercial Baleares</v>
      </c>
      <c r="G378" s="12" t="str">
        <f>IFERROR(__xludf.DUMMYFUNCTION("""COMPUTED_VALUE"""),"2017")</f>
        <v>2017</v>
      </c>
      <c r="H378" s="6" t="str">
        <f>IFERROR(__xludf.DUMMYFUNCTION("""COMPUTED_VALUE"""),"Junio")</f>
        <v>Junio</v>
      </c>
      <c r="I378" s="12" t="str">
        <f>IFERROR(__xludf.DUMMYFUNCTION("""COMPUTED_VALUE"""),"2")</f>
        <v>2</v>
      </c>
      <c r="J378" s="6" t="str">
        <f>IFERROR(__xludf.DUMMYFUNCTION("""COMPUTED_VALUE"""),"Armenia")</f>
        <v>Armenia</v>
      </c>
      <c r="K378" s="6" t="str">
        <f>IFERROR(__xludf.DUMMYFUNCTION("""COMPUTED_VALUE"""),"martin.g2035@gi.edu.co")</f>
        <v>martin.g2035@gi.edu.co</v>
      </c>
      <c r="L378" s="6" t="str">
        <f>IFERROR(__xludf.DUMMYFUNCTION("""COMPUTED_VALUE"""),"TI")</f>
        <v>TI</v>
      </c>
      <c r="M378" s="6" t="str">
        <f>IFERROR(__xludf.DUMMYFUNCTION("""COMPUTED_VALUE"""),"Calarcá")</f>
        <v>Calarcá</v>
      </c>
      <c r="N378" s="6" t="str">
        <f>IFERROR(__xludf.DUMMYFUNCTION("""COMPUTED_VALUE"""),"M")</f>
        <v>M</v>
      </c>
      <c r="O378" s="6" t="str">
        <f>IFERROR(__xludf.DUMMYFUNCTION("""COMPUTED_VALUE"""),"ACTIVE")</f>
        <v>ACTIVE</v>
      </c>
      <c r="P378" s="6"/>
      <c r="Q378" s="6" t="str">
        <f>IFERROR(__xludf.DUMMYFUNCTION("""COMPUTED_VALUE"""),"Armenia")</f>
        <v>Armenia</v>
      </c>
      <c r="R378" s="12" t="str">
        <f>IFERROR(__xludf.DUMMYFUNCTION("""COMPUTED_VALUE"""),"Gie2dh7u*")</f>
        <v>Gie2dh7u*</v>
      </c>
      <c r="S378" s="6" t="str">
        <f>IFERROR(__xludf.DUMMYFUNCTION("""COMPUTED_VALUE"""),"Giraldo Restrepo Juan Martín")</f>
        <v>Giraldo Restrepo Juan Martín</v>
      </c>
      <c r="T378" s="6" t="str">
        <f>IFERROR(__xludf.DUMMYFUNCTION("""COMPUTED_VALUE"""),"JUAN DAVID GIRALDO RINCÓN")</f>
        <v>JUAN DAVID GIRALDO RINCÓN</v>
      </c>
      <c r="U378" s="12" t="str">
        <f>IFERROR(__xludf.DUMMYFUNCTION("""COMPUTED_VALUE"""),"9725638")</f>
        <v>9725638</v>
      </c>
      <c r="V378" s="6">
        <f>IFERROR(__xludf.DUMMYFUNCTION("""COMPUTED_VALUE"""),3.146038071E9)</f>
        <v>3146038071</v>
      </c>
      <c r="W378" s="6" t="str">
        <f>IFERROR(__xludf.DUMMYFUNCTION("""COMPUTED_VALUE"""),"juandavidgr80@gmail.com")</f>
        <v>juandavidgr80@gmail.com</v>
      </c>
      <c r="X378" s="12" t="str">
        <f>IFERROR(__xludf.DUMMYFUNCTION("""COMPUTED_VALUE"""),"O+")</f>
        <v>O+</v>
      </c>
      <c r="Y378" s="12" t="str">
        <f>IFERROR(__xludf.DUMMYFUNCTION("""COMPUTED_VALUE"""),"4")</f>
        <v>4</v>
      </c>
      <c r="Z378" s="12">
        <f>IFERROR(__xludf.DUMMYFUNCTION("""COMPUTED_VALUE"""),120088.0)</f>
        <v>120088</v>
      </c>
      <c r="AA378" s="6" t="str">
        <f>IFERROR(__xludf.DUMMYFUNCTION("""COMPUTED_VALUE"""),"SURA")</f>
        <v>SURA</v>
      </c>
      <c r="AB378" s="6"/>
      <c r="AC378" s="6"/>
      <c r="AD378" s="12" t="str">
        <f>IFERROR(__xludf.DUMMYFUNCTION("""COMPUTED_VALUE"""),"4B")</f>
        <v>4B</v>
      </c>
      <c r="AE378" s="12">
        <f>IFERROR(__xludf.DUMMYFUNCTION("""COMPUTED_VALUE"""),1.345282092E9)</f>
        <v>1345282092</v>
      </c>
      <c r="AF378" s="12" t="str">
        <f>IFERROR(__xludf.DUMMYFUNCTION("""COMPUTED_VALUE"""),"0694487875")</f>
        <v>0694487875</v>
      </c>
      <c r="AG378" s="12" t="str">
        <f>IFERROR(__xludf.DUMMYFUNCTION("""COMPUTED_VALUE"""),"Carolina")</f>
        <v>Carolina</v>
      </c>
      <c r="AH378" s="6"/>
      <c r="AI378" s="6" t="str">
        <f>IFERROR(__xludf.DUMMYFUNCTION("""COMPUTED_VALUE"""),"Restrepo Nieto")</f>
        <v>Restrepo Nieto</v>
      </c>
      <c r="AJ378" s="6" t="str">
        <f>IFERROR(__xludf.DUMMYFUNCTION("""COMPUTED_VALUE"""),"restrepocaro88@gmail.com")</f>
        <v>restrepocaro88@gmail.com</v>
      </c>
      <c r="AK378" s="6" t="str">
        <f>IFERROR(__xludf.DUMMYFUNCTION("""COMPUTED_VALUE"""),"Odontóloga")</f>
        <v>Odontóloga</v>
      </c>
      <c r="AL378" s="6" t="str">
        <f>IFERROR(__xludf.DUMMYFUNCTION("""COMPUTED_VALUE"""),"salud total")</f>
        <v>salud total</v>
      </c>
      <c r="AM378" s="12" t="str">
        <f>IFERROR(__xludf.DUMMYFUNCTION("""COMPUTED_VALUE"""),"1094894156")</f>
        <v>1094894156</v>
      </c>
      <c r="AN378" s="12" t="str">
        <f>IFERROR(__xludf.DUMMYFUNCTION("""COMPUTED_VALUE"""),"3217520090")</f>
        <v>3217520090</v>
      </c>
      <c r="AO378" s="6" t="str">
        <f>IFERROR(__xludf.DUMMYFUNCTION("""COMPUTED_VALUE"""),"Madre")</f>
        <v>Madre</v>
      </c>
      <c r="AP378" s="6" t="str">
        <f>IFERROR(__xludf.DUMMYFUNCTION("""COMPUTED_VALUE"""),"Estudiante(s): Giraldo Restrepo")</f>
        <v>Estudiante(s): Giraldo Restrepo</v>
      </c>
      <c r="AQ378" s="6" t="str">
        <f>IFERROR(__xludf.DUMMYFUNCTION("""COMPUTED_VALUE"""),"120088*Gi")</f>
        <v>120088*Gi</v>
      </c>
      <c r="AR378" s="6" t="str">
        <f>IFERROR(__xludf.DUMMYFUNCTION("""COMPUTED_VALUE"""),"Juan")</f>
        <v>Juan</v>
      </c>
      <c r="AS378" s="6" t="str">
        <f>IFERROR(__xludf.DUMMYFUNCTION("""COMPUTED_VALUE"""),"David")</f>
        <v>David</v>
      </c>
      <c r="AT378" s="6" t="str">
        <f>IFERROR(__xludf.DUMMYFUNCTION("""COMPUTED_VALUE"""),"Giraldo Rincón")</f>
        <v>Giraldo Rincón</v>
      </c>
      <c r="AU378" s="6" t="str">
        <f>IFERROR(__xludf.DUMMYFUNCTION("""COMPUTED_VALUE"""),"juandavidgr80@gmail.com")</f>
        <v>juandavidgr80@gmail.com</v>
      </c>
      <c r="AV378" s="6" t="str">
        <f>IFERROR(__xludf.DUMMYFUNCTION("""COMPUTED_VALUE"""),"Odontólogo-Ortodoncista")</f>
        <v>Odontólogo-Ortodoncista</v>
      </c>
      <c r="AW378" s="6" t="str">
        <f>IFERROR(__xludf.DUMMYFUNCTION("""COMPUTED_VALUE"""),"Carrera 14 #1-133 local 23")</f>
        <v>Carrera 14 #1-133 local 23</v>
      </c>
      <c r="AX378" s="12" t="str">
        <f>IFERROR(__xludf.DUMMYFUNCTION("""COMPUTED_VALUE"""),"9725638")</f>
        <v>9725638</v>
      </c>
      <c r="AY378" s="12" t="str">
        <f>IFERROR(__xludf.DUMMYFUNCTION("""COMPUTED_VALUE"""),"3146038071")</f>
        <v>3146038071</v>
      </c>
      <c r="AZ378" s="6" t="str">
        <f>IFERROR(__xludf.DUMMYFUNCTION("""COMPUTED_VALUE"""),"Padre")</f>
        <v>Padre</v>
      </c>
      <c r="BA378" s="6"/>
      <c r="BB378" s="6"/>
      <c r="BC378" s="6"/>
      <c r="BD378" s="12" t="str">
        <f>IFERROR(__xludf.DUMMYFUNCTION("""COMPUTED_VALUE"""),"gir0014")</f>
        <v>gir0014</v>
      </c>
      <c r="BE378" s="6"/>
      <c r="BF378" s="6"/>
      <c r="BG378" s="6">
        <f>IFERROR(__xludf.DUMMYFUNCTION("""COMPUTED_VALUE"""),2035.0)</f>
        <v>2035</v>
      </c>
      <c r="BH378" s="15">
        <f>IFERROR(__xludf.DUMMYFUNCTION("""COMPUTED_VALUE"""),46206.82543981481)</f>
        <v>46206.82544</v>
      </c>
      <c r="BI378" s="6">
        <f>IFERROR(__xludf.DUMMYFUNCTION("""COMPUTED_VALUE"""),378.0)</f>
        <v>378</v>
      </c>
      <c r="BJ378" s="6"/>
      <c r="BK378" s="6"/>
      <c r="BL378" s="6" t="str">
        <f>IFERROR(__xludf.DUMMYFUNCTION("""COMPUTED_VALUE"""),"GISGIR0014")</f>
        <v>GISGIR0014</v>
      </c>
      <c r="BM378" s="6"/>
      <c r="BN378" s="6"/>
      <c r="BO378" s="6"/>
      <c r="BP378" s="6"/>
      <c r="BQ378" s="6"/>
      <c r="BR378" s="6"/>
      <c r="BS378" s="6"/>
      <c r="BT378" s="6"/>
      <c r="BU378" s="6" t="str">
        <f>IFERROR(__xludf.DUMMYFUNCTION("""COMPUTED_VALUE"""),"SI")</f>
        <v>SI</v>
      </c>
      <c r="BV378" s="6" t="str">
        <f>IFERROR(__xludf.DUMMYFUNCTION("""COMPUTED_VALUE"""),"martin.g2035")</f>
        <v>martin.g2035</v>
      </c>
      <c r="BW378" s="6"/>
      <c r="BX378" s="6"/>
      <c r="BY378" s="6"/>
      <c r="BZ378" s="6"/>
    </row>
    <row r="379">
      <c r="A379" s="12">
        <f>IFERROR(__xludf.DUMMYFUNCTION("""COMPUTED_VALUE"""),1.089630664E9)</f>
        <v>1089630664</v>
      </c>
      <c r="B379" s="6">
        <f>IFERROR(__xludf.DUMMYFUNCTION("""COMPUTED_VALUE"""),9.0)</f>
        <v>9</v>
      </c>
      <c r="C379" s="6" t="str">
        <f>IFERROR(__xludf.DUMMYFUNCTION("""COMPUTED_VALUE"""),"Nicolás")</f>
        <v>Nicolás</v>
      </c>
      <c r="D379" s="6"/>
      <c r="E379" s="6" t="str">
        <f>IFERROR(__xludf.DUMMYFUNCTION("""COMPUTED_VALUE"""),"Gómez Bravo")</f>
        <v>Gómez Bravo</v>
      </c>
      <c r="F379" s="6" t="str">
        <f>IFERROR(__xludf.DUMMYFUNCTION("""COMPUTED_VALUE"""),"Edificio Montebello Apto 501 Cra 10 No12Nte - 31 - La Castellana")</f>
        <v>Edificio Montebello Apto 501 Cra 10 No12Nte - 31 - La Castellana</v>
      </c>
      <c r="G379" s="12" t="str">
        <f>IFERROR(__xludf.DUMMYFUNCTION("""COMPUTED_VALUE"""),"2016")</f>
        <v>2016</v>
      </c>
      <c r="H379" s="6" t="str">
        <f>IFERROR(__xludf.DUMMYFUNCTION("""COMPUTED_VALUE"""),"Noviembre")</f>
        <v>Noviembre</v>
      </c>
      <c r="I379" s="12" t="str">
        <f>IFERROR(__xludf.DUMMYFUNCTION("""COMPUTED_VALUE"""),"28")</f>
        <v>28</v>
      </c>
      <c r="J379" s="6" t="str">
        <f>IFERROR(__xludf.DUMMYFUNCTION("""COMPUTED_VALUE"""),"Pereira")</f>
        <v>Pereira</v>
      </c>
      <c r="K379" s="6" t="str">
        <f>IFERROR(__xludf.DUMMYFUNCTION("""COMPUTED_VALUE"""),"nicolas.g2035@gi.edu.co")</f>
        <v>nicolas.g2035@gi.edu.co</v>
      </c>
      <c r="L379" s="6" t="str">
        <f>IFERROR(__xludf.DUMMYFUNCTION("""COMPUTED_VALUE"""),"TI")</f>
        <v>TI</v>
      </c>
      <c r="M379" s="6" t="str">
        <f>IFERROR(__xludf.DUMMYFUNCTION("""COMPUTED_VALUE"""),"Armenia")</f>
        <v>Armenia</v>
      </c>
      <c r="N379" s="6" t="str">
        <f>IFERROR(__xludf.DUMMYFUNCTION("""COMPUTED_VALUE"""),"M")</f>
        <v>M</v>
      </c>
      <c r="O379" s="6" t="str">
        <f>IFERROR(__xludf.DUMMYFUNCTION("""COMPUTED_VALUE"""),"ACTIVE")</f>
        <v>ACTIVE</v>
      </c>
      <c r="P379" s="6"/>
      <c r="Q379" s="6" t="str">
        <f>IFERROR(__xludf.DUMMYFUNCTION("""COMPUTED_VALUE"""),"Armenia")</f>
        <v>Armenia</v>
      </c>
      <c r="R379" s="12" t="str">
        <f>IFERROR(__xludf.DUMMYFUNCTION("""COMPUTED_VALUE"""),"Gin81y42x9*")</f>
        <v>Gin81y42x9*</v>
      </c>
      <c r="S379" s="6" t="str">
        <f>IFERROR(__xludf.DUMMYFUNCTION("""COMPUTED_VALUE"""),"Gómez Bravo Nicolás ")</f>
        <v>Gómez Bravo Nicolás </v>
      </c>
      <c r="T379" s="6" t="str">
        <f>IFERROR(__xludf.DUMMYFUNCTION("""COMPUTED_VALUE"""),"GABRIEL RODRIGO GOMEZ WILLIAMSON")</f>
        <v>GABRIEL RODRIGO GOMEZ WILLIAMSON</v>
      </c>
      <c r="U379" s="12" t="str">
        <f>IFERROR(__xludf.DUMMYFUNCTION("""COMPUTED_VALUE"""),"79984400")</f>
        <v>79984400</v>
      </c>
      <c r="V379" s="6">
        <f>IFERROR(__xludf.DUMMYFUNCTION("""COMPUTED_VALUE"""),3.20696854E9)</f>
        <v>3206968540</v>
      </c>
      <c r="W379" s="6" t="str">
        <f>IFERROR(__xludf.DUMMYFUNCTION("""COMPUTED_VALUE"""),"gabrielgomezw@gmail.com")</f>
        <v>gabrielgomezw@gmail.com</v>
      </c>
      <c r="X379" s="12" t="str">
        <f>IFERROR(__xludf.DUMMYFUNCTION("""COMPUTED_VALUE"""),"A+")</f>
        <v>A+</v>
      </c>
      <c r="Y379" s="12" t="str">
        <f>IFERROR(__xludf.DUMMYFUNCTION("""COMPUTED_VALUE"""),"4")</f>
        <v>4</v>
      </c>
      <c r="Z379" s="12">
        <f>IFERROR(__xludf.DUMMYFUNCTION("""COMPUTED_VALUE"""),103890.0)</f>
        <v>103890</v>
      </c>
      <c r="AA379" s="6" t="str">
        <f>IFERROR(__xludf.DUMMYFUNCTION("""COMPUTED_VALUE"""),"SANITAS")</f>
        <v>SANITAS</v>
      </c>
      <c r="AB379" s="6" t="str">
        <f>IFERROR(__xludf.DUMMYFUNCTION("""COMPUTED_VALUE"""),"HUMANIZAR - ALLIANZ MEDICALL GOLD")</f>
        <v>HUMANIZAR - ALLIANZ MEDICALL GOLD</v>
      </c>
      <c r="AC379" s="12" t="str">
        <f>IFERROR(__xludf.DUMMYFUNCTION("""COMPUTED_VALUE"""),"Rinitis")</f>
        <v>Rinitis</v>
      </c>
      <c r="AD379" s="12" t="str">
        <f>IFERROR(__xludf.DUMMYFUNCTION("""COMPUTED_VALUE"""),"4B")</f>
        <v>4B</v>
      </c>
      <c r="AE379" s="12">
        <f>IFERROR(__xludf.DUMMYFUNCTION("""COMPUTED_VALUE"""),1.345281951E9)</f>
        <v>1345281951</v>
      </c>
      <c r="AF379" s="12" t="str">
        <f>IFERROR(__xludf.DUMMYFUNCTION("""COMPUTED_VALUE"""),"0683145299")</f>
        <v>0683145299</v>
      </c>
      <c r="AG379" s="12" t="str">
        <f>IFERROR(__xludf.DUMMYFUNCTION("""COMPUTED_VALUE"""),"Ana")</f>
        <v>Ana</v>
      </c>
      <c r="AH379" s="12" t="str">
        <f>IFERROR(__xludf.DUMMYFUNCTION("""COMPUTED_VALUE"""),"María")</f>
        <v>María</v>
      </c>
      <c r="AI379" s="6" t="str">
        <f>IFERROR(__xludf.DUMMYFUNCTION("""COMPUTED_VALUE"""),"Bravo Escobar")</f>
        <v>Bravo Escobar</v>
      </c>
      <c r="AJ379" s="6" t="str">
        <f>IFERROR(__xludf.DUMMYFUNCTION("""COMPUTED_VALUE"""),"anabravoescobar@gmail.com")</f>
        <v>anabravoescobar@gmail.com</v>
      </c>
      <c r="AK379" s="6" t="str">
        <f>IFERROR(__xludf.DUMMYFUNCTION("""COMPUTED_VALUE"""),"Comunicadora Social")</f>
        <v>Comunicadora Social</v>
      </c>
      <c r="AL379" s="6" t="str">
        <f>IFERROR(__xludf.DUMMYFUNCTION("""COMPUTED_VALUE"""),"TRES NEVADOS SAS")</f>
        <v>TRES NEVADOS SAS</v>
      </c>
      <c r="AM379" s="12" t="str">
        <f>IFERROR(__xludf.DUMMYFUNCTION("""COMPUTED_VALUE"""),"52869113")</f>
        <v>52869113</v>
      </c>
      <c r="AN379" s="12" t="str">
        <f>IFERROR(__xludf.DUMMYFUNCTION("""COMPUTED_VALUE"""),"3102151273")</f>
        <v>3102151273</v>
      </c>
      <c r="AO379" s="6" t="str">
        <f>IFERROR(__xludf.DUMMYFUNCTION("""COMPUTED_VALUE"""),"Madre")</f>
        <v>Madre</v>
      </c>
      <c r="AP379" s="6" t="str">
        <f>IFERROR(__xludf.DUMMYFUNCTION("""COMPUTED_VALUE"""),"Estudiante(s): Gómez Bravo")</f>
        <v>Estudiante(s): Gómez Bravo</v>
      </c>
      <c r="AQ379" s="6" t="str">
        <f>IFERROR(__xludf.DUMMYFUNCTION("""COMPUTED_VALUE"""),"103351*Gi")</f>
        <v>103351*Gi</v>
      </c>
      <c r="AR379" s="6" t="str">
        <f>IFERROR(__xludf.DUMMYFUNCTION("""COMPUTED_VALUE"""),"Gabriel")</f>
        <v>Gabriel</v>
      </c>
      <c r="AS379" s="6" t="str">
        <f>IFERROR(__xludf.DUMMYFUNCTION("""COMPUTED_VALUE"""),"Rodrigo")</f>
        <v>Rodrigo</v>
      </c>
      <c r="AT379" s="6" t="str">
        <f>IFERROR(__xludf.DUMMYFUNCTION("""COMPUTED_VALUE"""),"Gómez Williamson")</f>
        <v>Gómez Williamson</v>
      </c>
      <c r="AU379" s="6" t="str">
        <f>IFERROR(__xludf.DUMMYFUNCTION("""COMPUTED_VALUE"""),"gabrielgomezw@gmail.com")</f>
        <v>gabrielgomezw@gmail.com</v>
      </c>
      <c r="AV379" s="6" t="str">
        <f>IFERROR(__xludf.DUMMYFUNCTION("""COMPUTED_VALUE"""),"Administrador de empresas")</f>
        <v>Administrador de empresas</v>
      </c>
      <c r="AW379" s="6" t="str">
        <f>IFERROR(__xludf.DUMMYFUNCTION("""COMPUTED_VALUE"""),"TRES NEVADOS SAS")</f>
        <v>TRES NEVADOS SAS</v>
      </c>
      <c r="AX379" s="12" t="str">
        <f>IFERROR(__xludf.DUMMYFUNCTION("""COMPUTED_VALUE"""),"79984400")</f>
        <v>79984400</v>
      </c>
      <c r="AY379" s="12" t="str">
        <f>IFERROR(__xludf.DUMMYFUNCTION("""COMPUTED_VALUE"""),"3206968540")</f>
        <v>3206968540</v>
      </c>
      <c r="AZ379" s="6" t="str">
        <f>IFERROR(__xludf.DUMMYFUNCTION("""COMPUTED_VALUE"""),"Padre")</f>
        <v>Padre</v>
      </c>
      <c r="BA379" s="6"/>
      <c r="BB379" s="6"/>
      <c r="BC379" s="6"/>
      <c r="BD379" s="12" t="str">
        <f>IFERROR(__xludf.DUMMYFUNCTION("""COMPUTED_VALUE"""),"gme0018")</f>
        <v>gme0018</v>
      </c>
      <c r="BE379" s="6"/>
      <c r="BF379" s="6"/>
      <c r="BG379" s="6">
        <f>IFERROR(__xludf.DUMMYFUNCTION("""COMPUTED_VALUE"""),2035.0)</f>
        <v>2035</v>
      </c>
      <c r="BH379" s="15">
        <f>IFERROR(__xludf.DUMMYFUNCTION("""COMPUTED_VALUE"""),46205.52302083333)</f>
        <v>46205.52302</v>
      </c>
      <c r="BI379" s="6">
        <f>IFERROR(__xludf.DUMMYFUNCTION("""COMPUTED_VALUE"""),379.0)</f>
        <v>379</v>
      </c>
      <c r="BJ379" s="6"/>
      <c r="BK379" s="6"/>
      <c r="BL379" s="6" t="str">
        <f>IFERROR(__xludf.DUMMYFUNCTION("""COMPUTED_VALUE"""),"GISGME0018")</f>
        <v>GISGME0018</v>
      </c>
      <c r="BM379" s="6"/>
      <c r="BN379" s="6"/>
      <c r="BO379" s="6"/>
      <c r="BP379" s="6" t="str">
        <f>IFERROR(__xludf.DUMMYFUNCTION("""COMPUTED_VALUE"""),"XC_45_Basquetbol")</f>
        <v>XC_45_Basquetbol</v>
      </c>
      <c r="BQ379" s="6"/>
      <c r="BR379" s="6"/>
      <c r="BS379" s="6" t="str">
        <f>IFERROR(__xludf.DUMMYFUNCTION("""COMPUTED_VALUE"""),"XC_45_Basquetbol")</f>
        <v>XC_45_Basquetbol</v>
      </c>
      <c r="BT379" s="6" t="str">
        <f>IFERROR(__xludf.DUMMYFUNCTION("""COMPUTED_VALUE"""),"XC_45_Basquetbol")</f>
        <v>XC_45_Basquetbol</v>
      </c>
      <c r="BU379" s="6" t="str">
        <f>IFERROR(__xludf.DUMMYFUNCTION("""COMPUTED_VALUE"""),"NO")</f>
        <v>NO</v>
      </c>
      <c r="BV379" s="6" t="str">
        <f>IFERROR(__xludf.DUMMYFUNCTION("""COMPUTED_VALUE"""),"nicolas.g2035")</f>
        <v>nicolas.g2035</v>
      </c>
      <c r="BW379" s="6"/>
      <c r="BX379" s="6"/>
      <c r="BY379" s="6"/>
      <c r="BZ379" s="6"/>
    </row>
    <row r="380">
      <c r="A380" s="12">
        <f>IFERROR(__xludf.DUMMYFUNCTION("""COMPUTED_VALUE"""),1.094972017E9)</f>
        <v>1094972017</v>
      </c>
      <c r="B380" s="6">
        <f>IFERROR(__xludf.DUMMYFUNCTION("""COMPUTED_VALUE"""),10.0)</f>
        <v>10</v>
      </c>
      <c r="C380" s="6" t="str">
        <f>IFERROR(__xludf.DUMMYFUNCTION("""COMPUTED_VALUE"""),"Dylan")</f>
        <v>Dylan</v>
      </c>
      <c r="D380" s="6"/>
      <c r="E380" s="6" t="str">
        <f>IFERROR(__xludf.DUMMYFUNCTION("""COMPUTED_VALUE"""),"Henao Henao")</f>
        <v>Henao Henao</v>
      </c>
      <c r="F380" s="6" t="str">
        <f>IFERROR(__xludf.DUMMYFUNCTION("""COMPUTED_VALUE"""),"Condominio Campestre La Reserva Torre Malpelo Apto 102 - Cra 5 No10Nte - 25 Av Centenario")</f>
        <v>Condominio Campestre La Reserva Torre Malpelo Apto 102 - Cra 5 No10Nte - 25 Av Centenario</v>
      </c>
      <c r="G380" s="12" t="str">
        <f>IFERROR(__xludf.DUMMYFUNCTION("""COMPUTED_VALUE"""),"2016")</f>
        <v>2016</v>
      </c>
      <c r="H380" s="6" t="str">
        <f>IFERROR(__xludf.DUMMYFUNCTION("""COMPUTED_VALUE"""),"Noviembre")</f>
        <v>Noviembre</v>
      </c>
      <c r="I380" s="12" t="str">
        <f>IFERROR(__xludf.DUMMYFUNCTION("""COMPUTED_VALUE"""),"19")</f>
        <v>19</v>
      </c>
      <c r="J380" s="6" t="str">
        <f>IFERROR(__xludf.DUMMYFUNCTION("""COMPUTED_VALUE"""),"Armenia")</f>
        <v>Armenia</v>
      </c>
      <c r="K380" s="6" t="str">
        <f>IFERROR(__xludf.DUMMYFUNCTION("""COMPUTED_VALUE"""),"dylan.h2035@gi.edu.co")</f>
        <v>dylan.h2035@gi.edu.co</v>
      </c>
      <c r="L380" s="6" t="str">
        <f>IFERROR(__xludf.DUMMYFUNCTION("""COMPUTED_VALUE"""),"TI")</f>
        <v>TI</v>
      </c>
      <c r="M380" s="6" t="str">
        <f>IFERROR(__xludf.DUMMYFUNCTION("""COMPUTED_VALUE"""),"Armenia")</f>
        <v>Armenia</v>
      </c>
      <c r="N380" s="6" t="str">
        <f>IFERROR(__xludf.DUMMYFUNCTION("""COMPUTED_VALUE"""),"M")</f>
        <v>M</v>
      </c>
      <c r="O380" s="6" t="str">
        <f>IFERROR(__xludf.DUMMYFUNCTION("""COMPUTED_VALUE"""),"ACTIVE")</f>
        <v>ACTIVE</v>
      </c>
      <c r="P380" s="6"/>
      <c r="Q380" s="6" t="str">
        <f>IFERROR(__xludf.DUMMYFUNCTION("""COMPUTED_VALUE"""),"Armenia")</f>
        <v>Armenia</v>
      </c>
      <c r="R380" s="12" t="str">
        <f>IFERROR(__xludf.DUMMYFUNCTION("""COMPUTED_VALUE"""),"Gi87823d99*")</f>
        <v>Gi87823d99*</v>
      </c>
      <c r="S380" s="6" t="str">
        <f>IFERROR(__xludf.DUMMYFUNCTION("""COMPUTED_VALUE"""),"Henao Henao Dylan ")</f>
        <v>Henao Henao Dylan </v>
      </c>
      <c r="T380" s="6" t="str">
        <f>IFERROR(__xludf.DUMMYFUNCTION("""COMPUTED_VALUE"""),"HERNAN HENAO RAMIREZ")</f>
        <v>HERNAN HENAO RAMIREZ</v>
      </c>
      <c r="U380" s="12" t="str">
        <f>IFERROR(__xludf.DUMMYFUNCTION("""COMPUTED_VALUE"""),"16362527")</f>
        <v>16362527</v>
      </c>
      <c r="V380" s="6">
        <f>IFERROR(__xludf.DUMMYFUNCTION("""COMPUTED_VALUE"""),3.217234963E9)</f>
        <v>3217234963</v>
      </c>
      <c r="W380" s="6" t="str">
        <f>IFERROR(__xludf.DUMMYFUNCTION("""COMPUTED_VALUE"""),"hhenao694@gmail.com")</f>
        <v>hhenao694@gmail.com</v>
      </c>
      <c r="X380" s="12" t="str">
        <f>IFERROR(__xludf.DUMMYFUNCTION("""COMPUTED_VALUE"""),"O+")</f>
        <v>O+</v>
      </c>
      <c r="Y380" s="12" t="str">
        <f>IFERROR(__xludf.DUMMYFUNCTION("""COMPUTED_VALUE"""),"4")</f>
        <v>4</v>
      </c>
      <c r="Z380" s="12" t="str">
        <f>IFERROR(__xludf.DUMMYFUNCTION("""COMPUTED_VALUE"""),"120003")</f>
        <v>120003</v>
      </c>
      <c r="AA380" s="6" t="str">
        <f>IFERROR(__xludf.DUMMYFUNCTION("""COMPUTED_VALUE"""),"SANITAS")</f>
        <v>SANITAS</v>
      </c>
      <c r="AB380" s="6"/>
      <c r="AC380" s="6"/>
      <c r="AD380" s="12" t="str">
        <f>IFERROR(__xludf.DUMMYFUNCTION("""COMPUTED_VALUE"""),"4B")</f>
        <v>4B</v>
      </c>
      <c r="AE380" s="12">
        <f>IFERROR(__xludf.DUMMYFUNCTION("""COMPUTED_VALUE"""),1.345282029E9)</f>
        <v>1345282029</v>
      </c>
      <c r="AF380" s="6"/>
      <c r="AG380" s="12" t="str">
        <f>IFERROR(__xludf.DUMMYFUNCTION("""COMPUTED_VALUE"""),"Mónica")</f>
        <v>Mónica</v>
      </c>
      <c r="AH380" s="12" t="str">
        <f>IFERROR(__xludf.DUMMYFUNCTION("""COMPUTED_VALUE"""),"Alexandra")</f>
        <v>Alexandra</v>
      </c>
      <c r="AI380" s="6" t="str">
        <f>IFERROR(__xludf.DUMMYFUNCTION("""COMPUTED_VALUE"""),"Henao Posso")</f>
        <v>Henao Posso</v>
      </c>
      <c r="AJ380" s="6" t="str">
        <f>IFERROR(__xludf.DUMMYFUNCTION("""COMPUTED_VALUE"""),"manika192207@gmail.com")</f>
        <v>manika192207@gmail.com</v>
      </c>
      <c r="AK380" s="6" t="str">
        <f>IFERROR(__xludf.DUMMYFUNCTION("""COMPUTED_VALUE"""),"Independiente")</f>
        <v>Independiente</v>
      </c>
      <c r="AL380" s="6"/>
      <c r="AM380" s="12" t="str">
        <f>IFERROR(__xludf.DUMMYFUNCTION("""COMPUTED_VALUE"""),"38879415")</f>
        <v>38879415</v>
      </c>
      <c r="AN380" s="12" t="str">
        <f>IFERROR(__xludf.DUMMYFUNCTION("""COMPUTED_VALUE"""),"3215097064")</f>
        <v>3215097064</v>
      </c>
      <c r="AO380" s="6" t="str">
        <f>IFERROR(__xludf.DUMMYFUNCTION("""COMPUTED_VALUE"""),"Madre")</f>
        <v>Madre</v>
      </c>
      <c r="AP380" s="6" t="str">
        <f>IFERROR(__xludf.DUMMYFUNCTION("""COMPUTED_VALUE"""),"Estudiante(s): Henao Henao")</f>
        <v>Estudiante(s): Henao Henao</v>
      </c>
      <c r="AQ380" s="6" t="str">
        <f>IFERROR(__xludf.DUMMYFUNCTION("""COMPUTED_VALUE"""),"120003*Gi")</f>
        <v>120003*Gi</v>
      </c>
      <c r="AR380" s="6" t="str">
        <f>IFERROR(__xludf.DUMMYFUNCTION("""COMPUTED_VALUE"""),"Hernán")</f>
        <v>Hernán</v>
      </c>
      <c r="AS380" s="6"/>
      <c r="AT380" s="6" t="str">
        <f>IFERROR(__xludf.DUMMYFUNCTION("""COMPUTED_VALUE"""),"Henao Ramírez")</f>
        <v>Henao Ramírez</v>
      </c>
      <c r="AU380" s="6" t="str">
        <f>IFERROR(__xludf.DUMMYFUNCTION("""COMPUTED_VALUE"""),"hhenao694@gmail.com")</f>
        <v>hhenao694@gmail.com</v>
      </c>
      <c r="AV380" s="6" t="str">
        <f>IFERROR(__xludf.DUMMYFUNCTION("""COMPUTED_VALUE"""),"Ingeniero Mecanico")</f>
        <v>Ingeniero Mecanico</v>
      </c>
      <c r="AW380" s="6" t="str">
        <f>IFERROR(__xludf.DUMMYFUNCTION("""COMPUTED_VALUE"""),"FIELDCORE SERVICES SOLUTIONS")</f>
        <v>FIELDCORE SERVICES SOLUTIONS</v>
      </c>
      <c r="AX380" s="12" t="str">
        <f>IFERROR(__xludf.DUMMYFUNCTION("""COMPUTED_VALUE"""),"16362527")</f>
        <v>16362527</v>
      </c>
      <c r="AY380" s="6">
        <f>IFERROR(__xludf.DUMMYFUNCTION("""COMPUTED_VALUE"""),3.217234963E9)</f>
        <v>3217234963</v>
      </c>
      <c r="AZ380" s="6" t="str">
        <f>IFERROR(__xludf.DUMMYFUNCTION("""COMPUTED_VALUE"""),"Padre")</f>
        <v>Padre</v>
      </c>
      <c r="BA380" s="6"/>
      <c r="BB380" s="6"/>
      <c r="BC380" s="6"/>
      <c r="BD380" s="12" t="str">
        <f>IFERROR(__xludf.DUMMYFUNCTION("""COMPUTED_VALUE"""),"hen0002")</f>
        <v>hen0002</v>
      </c>
      <c r="BE380" s="6"/>
      <c r="BF380" s="6"/>
      <c r="BG380" s="6">
        <f>IFERROR(__xludf.DUMMYFUNCTION("""COMPUTED_VALUE"""),2035.0)</f>
        <v>2035</v>
      </c>
      <c r="BH380" s="15">
        <f>IFERROR(__xludf.DUMMYFUNCTION("""COMPUTED_VALUE"""),46209.570972222224)</f>
        <v>46209.57097</v>
      </c>
      <c r="BI380" s="6">
        <f>IFERROR(__xludf.DUMMYFUNCTION("""COMPUTED_VALUE"""),380.0)</f>
        <v>380</v>
      </c>
      <c r="BJ380" s="6"/>
      <c r="BK380" s="6"/>
      <c r="BL380" s="6" t="str">
        <f>IFERROR(__xludf.DUMMYFUNCTION("""COMPUTED_VALUE"""),"GISHEN0002")</f>
        <v>GISHEN0002</v>
      </c>
      <c r="BM380" s="6"/>
      <c r="BN380" s="6"/>
      <c r="BO380" s="6"/>
      <c r="BP380" s="6" t="str">
        <f>IFERROR(__xludf.DUMMYFUNCTION("""COMPUTED_VALUE"""),"XC_EL_Taekwondo")</f>
        <v>XC_EL_Taekwondo</v>
      </c>
      <c r="BQ380" s="6" t="str">
        <f>IFERROR(__xludf.DUMMYFUNCTION("""COMPUTED_VALUE"""),"XC_EL_Taekwondo")</f>
        <v>XC_EL_Taekwondo</v>
      </c>
      <c r="BR380" s="6"/>
      <c r="BS380" s="6" t="str">
        <f>IFERROR(__xludf.DUMMYFUNCTION("""COMPUTED_VALUE"""),"XC_EL_Taekwondo")</f>
        <v>XC_EL_Taekwondo</v>
      </c>
      <c r="BT380" s="6"/>
      <c r="BU380" s="6" t="str">
        <f>IFERROR(__xludf.DUMMYFUNCTION("""COMPUTED_VALUE"""),"SI")</f>
        <v>SI</v>
      </c>
      <c r="BV380" s="6" t="str">
        <f>IFERROR(__xludf.DUMMYFUNCTION("""COMPUTED_VALUE"""),"dylan.h2035")</f>
        <v>dylan.h2035</v>
      </c>
      <c r="BW380" s="6"/>
      <c r="BX380" s="6"/>
      <c r="BY380" s="6"/>
      <c r="BZ380" s="6"/>
    </row>
    <row r="381">
      <c r="A381" s="12">
        <f>IFERROR(__xludf.DUMMYFUNCTION("""COMPUTED_VALUE"""),1.014894352E9)</f>
        <v>1014894352</v>
      </c>
      <c r="B381" s="6">
        <f>IFERROR(__xludf.DUMMYFUNCTION("""COMPUTED_VALUE"""),11.0)</f>
        <v>11</v>
      </c>
      <c r="C381" s="6" t="str">
        <f>IFERROR(__xludf.DUMMYFUNCTION("""COMPUTED_VALUE"""),"Luciana")</f>
        <v>Luciana</v>
      </c>
      <c r="D381" s="6"/>
      <c r="E381" s="6" t="str">
        <f>IFERROR(__xludf.DUMMYFUNCTION("""COMPUTED_VALUE"""),"Hoyos Arrastía")</f>
        <v>Hoyos Arrastía</v>
      </c>
      <c r="F381" s="6" t="str">
        <f>IFERROR(__xludf.DUMMYFUNCTION("""COMPUTED_VALUE"""),"Lagos de Iraka Casa 140 - Km 7 Via Armenia - El Caimo")</f>
        <v>Lagos de Iraka Casa 140 - Km 7 Via Armenia - El Caimo</v>
      </c>
      <c r="G381" s="12" t="str">
        <f>IFERROR(__xludf.DUMMYFUNCTION("""COMPUTED_VALUE"""),"2017")</f>
        <v>2017</v>
      </c>
      <c r="H381" s="6" t="str">
        <f>IFERROR(__xludf.DUMMYFUNCTION("""COMPUTED_VALUE"""),"Marzo")</f>
        <v>Marzo</v>
      </c>
      <c r="I381" s="12" t="str">
        <f>IFERROR(__xludf.DUMMYFUNCTION("""COMPUTED_VALUE"""),"16")</f>
        <v>16</v>
      </c>
      <c r="J381" s="6" t="str">
        <f>IFERROR(__xludf.DUMMYFUNCTION("""COMPUTED_VALUE"""),"Armenia")</f>
        <v>Armenia</v>
      </c>
      <c r="K381" s="6" t="str">
        <f>IFERROR(__xludf.DUMMYFUNCTION("""COMPUTED_VALUE"""),"luciana.h2035@gi.edu.co")</f>
        <v>luciana.h2035@gi.edu.co</v>
      </c>
      <c r="L381" s="6" t="str">
        <f>IFERROR(__xludf.DUMMYFUNCTION("""COMPUTED_VALUE"""),"TI")</f>
        <v>TI</v>
      </c>
      <c r="M381" s="6" t="str">
        <f>IFERROR(__xludf.DUMMYFUNCTION("""COMPUTED_VALUE"""),"Bogotá D.C.")</f>
        <v>Bogotá D.C.</v>
      </c>
      <c r="N381" s="6" t="str">
        <f>IFERROR(__xludf.DUMMYFUNCTION("""COMPUTED_VALUE"""),"F")</f>
        <v>F</v>
      </c>
      <c r="O381" s="6" t="str">
        <f>IFERROR(__xludf.DUMMYFUNCTION("""COMPUTED_VALUE"""),"ACTIVE")</f>
        <v>ACTIVE</v>
      </c>
      <c r="P381" s="6"/>
      <c r="Q381" s="6" t="str">
        <f>IFERROR(__xludf.DUMMYFUNCTION("""COMPUTED_VALUE"""),"Armenia")</f>
        <v>Armenia</v>
      </c>
      <c r="R381" s="12" t="str">
        <f>IFERROR(__xludf.DUMMYFUNCTION("""COMPUTED_VALUE"""),"Gir2S4js*")</f>
        <v>Gir2S4js*</v>
      </c>
      <c r="S381" s="6" t="str">
        <f>IFERROR(__xludf.DUMMYFUNCTION("""COMPUTED_VALUE"""),"Hoyos Arrastía Luciana ")</f>
        <v>Hoyos Arrastía Luciana </v>
      </c>
      <c r="T381" s="6" t="str">
        <f>IFERROR(__xludf.DUMMYFUNCTION("""COMPUTED_VALUE"""),"DANIEL HOYOS ZULUAGA")</f>
        <v>DANIEL HOYOS ZULUAGA</v>
      </c>
      <c r="U381" s="12" t="str">
        <f>IFERROR(__xludf.DUMMYFUNCTION("""COMPUTED_VALUE"""),"80196506")</f>
        <v>80196506</v>
      </c>
      <c r="V381" s="6">
        <f>IFERROR(__xludf.DUMMYFUNCTION("""COMPUTED_VALUE"""),3.102529561E9)</f>
        <v>3102529561</v>
      </c>
      <c r="W381" s="6" t="str">
        <f>IFERROR(__xludf.DUMMYFUNCTION("""COMPUTED_VALUE"""),"hoyosdaniel5@gmail.com")</f>
        <v>hoyosdaniel5@gmail.com</v>
      </c>
      <c r="X381" s="12" t="str">
        <f>IFERROR(__xludf.DUMMYFUNCTION("""COMPUTED_VALUE"""),"A+")</f>
        <v>A+</v>
      </c>
      <c r="Y381" s="12" t="str">
        <f>IFERROR(__xludf.DUMMYFUNCTION("""COMPUTED_VALUE"""),"4")</f>
        <v>4</v>
      </c>
      <c r="Z381" s="12">
        <f>IFERROR(__xludf.DUMMYFUNCTION("""COMPUTED_VALUE"""),120137.0)</f>
        <v>120137</v>
      </c>
      <c r="AA381" s="6" t="str">
        <f>IFERROR(__xludf.DUMMYFUNCTION("""COMPUTED_VALUE"""),"COLMEDICA")</f>
        <v>COLMEDICA</v>
      </c>
      <c r="AB381" s="6"/>
      <c r="AC381" s="6"/>
      <c r="AD381" s="12" t="str">
        <f>IFERROR(__xludf.DUMMYFUNCTION("""COMPUTED_VALUE"""),"4B")</f>
        <v>4B</v>
      </c>
      <c r="AE381" s="12">
        <f>IFERROR(__xludf.DUMMYFUNCTION("""COMPUTED_VALUE"""),1.345282164E9)</f>
        <v>1345282164</v>
      </c>
      <c r="AF381" s="12" t="str">
        <f>IFERROR(__xludf.DUMMYFUNCTION("""COMPUTED_VALUE"""),"0686896995")</f>
        <v>0686896995</v>
      </c>
      <c r="AG381" s="12" t="str">
        <f>IFERROR(__xludf.DUMMYFUNCTION("""COMPUTED_VALUE"""),"Juana")</f>
        <v>Juana</v>
      </c>
      <c r="AH381" s="6"/>
      <c r="AI381" s="6" t="str">
        <f>IFERROR(__xludf.DUMMYFUNCTION("""COMPUTED_VALUE"""),"Arrastía Calderón")</f>
        <v>Arrastía Calderón</v>
      </c>
      <c r="AJ381" s="6" t="str">
        <f>IFERROR(__xludf.DUMMYFUNCTION("""COMPUTED_VALUE"""),"juana.arrastia@gmail.com")</f>
        <v>juana.arrastia@gmail.com</v>
      </c>
      <c r="AK381" s="6" t="str">
        <f>IFERROR(__xludf.DUMMYFUNCTION("""COMPUTED_VALUE"""),"Administradora")</f>
        <v>Administradora</v>
      </c>
      <c r="AL381" s="6"/>
      <c r="AM381" s="12" t="str">
        <f>IFERROR(__xludf.DUMMYFUNCTION("""COMPUTED_VALUE"""),"1020740958")</f>
        <v>1020740958</v>
      </c>
      <c r="AN381" s="12" t="str">
        <f>IFERROR(__xludf.DUMMYFUNCTION("""COMPUTED_VALUE"""),"3107906687")</f>
        <v>3107906687</v>
      </c>
      <c r="AO381" s="6" t="str">
        <f>IFERROR(__xludf.DUMMYFUNCTION("""COMPUTED_VALUE"""),"Madre")</f>
        <v>Madre</v>
      </c>
      <c r="AP381" s="6" t="str">
        <f>IFERROR(__xludf.DUMMYFUNCTION("""COMPUTED_VALUE"""),"Estudiante(s): Hoyos Arrastía")</f>
        <v>Estudiante(s): Hoyos Arrastía</v>
      </c>
      <c r="AQ381" s="6" t="str">
        <f>IFERROR(__xludf.DUMMYFUNCTION("""COMPUTED_VALUE"""),"120119*Gi")</f>
        <v>120119*Gi</v>
      </c>
      <c r="AR381" s="6" t="str">
        <f>IFERROR(__xludf.DUMMYFUNCTION("""COMPUTED_VALUE"""),"Daniel")</f>
        <v>Daniel</v>
      </c>
      <c r="AS381" s="6"/>
      <c r="AT381" s="6" t="str">
        <f>IFERROR(__xludf.DUMMYFUNCTION("""COMPUTED_VALUE"""),"Hoyos Zuluaga")</f>
        <v>Hoyos Zuluaga</v>
      </c>
      <c r="AU381" s="6" t="str">
        <f>IFERROR(__xludf.DUMMYFUNCTION("""COMPUTED_VALUE"""),"hoyosdaniel5@gmail.com")</f>
        <v>hoyosdaniel5@gmail.com</v>
      </c>
      <c r="AV381" s="6" t="str">
        <f>IFERROR(__xludf.DUMMYFUNCTION("""COMPUTED_VALUE"""),"Economista")</f>
        <v>Economista</v>
      </c>
      <c r="AW381" s="6"/>
      <c r="AX381" s="12" t="str">
        <f>IFERROR(__xludf.DUMMYFUNCTION("""COMPUTED_VALUE"""),"80196506")</f>
        <v>80196506</v>
      </c>
      <c r="AY381" s="12" t="str">
        <f>IFERROR(__xludf.DUMMYFUNCTION("""COMPUTED_VALUE"""),"3102529561")</f>
        <v>3102529561</v>
      </c>
      <c r="AZ381" s="6" t="str">
        <f>IFERROR(__xludf.DUMMYFUNCTION("""COMPUTED_VALUE"""),"Padre")</f>
        <v>Padre</v>
      </c>
      <c r="BA381" s="6"/>
      <c r="BB381" s="6"/>
      <c r="BC381" s="6"/>
      <c r="BD381" s="12" t="str">
        <f>IFERROR(__xludf.DUMMYFUNCTION("""COMPUTED_VALUE"""),"hoy0002")</f>
        <v>hoy0002</v>
      </c>
      <c r="BE381" s="6"/>
      <c r="BF381" s="6"/>
      <c r="BG381" s="6">
        <f>IFERROR(__xludf.DUMMYFUNCTION("""COMPUTED_VALUE"""),2035.0)</f>
        <v>2035</v>
      </c>
      <c r="BH381" s="15">
        <f>IFERROR(__xludf.DUMMYFUNCTION("""COMPUTED_VALUE"""),46211.68283564815)</f>
        <v>46211.68284</v>
      </c>
      <c r="BI381" s="6">
        <f>IFERROR(__xludf.DUMMYFUNCTION("""COMPUTED_VALUE"""),381.0)</f>
        <v>381</v>
      </c>
      <c r="BJ381" s="6"/>
      <c r="BK381" s="6"/>
      <c r="BL381" s="6" t="str">
        <f>IFERROR(__xludf.DUMMYFUNCTION("""COMPUTED_VALUE"""),"GISHOY0002")</f>
        <v>GISHOY0002</v>
      </c>
      <c r="BM381" s="6"/>
      <c r="BN381" s="6"/>
      <c r="BO381" s="6"/>
      <c r="BP381" s="6" t="str">
        <f>IFERROR(__xludf.DUMMYFUNCTION("""COMPUTED_VALUE"""),"XC_45_Voleibol")</f>
        <v>XC_45_Voleibol</v>
      </c>
      <c r="BQ381" s="6"/>
      <c r="BR381" s="6"/>
      <c r="BS381" s="6" t="str">
        <f>IFERROR(__xludf.DUMMYFUNCTION("""COMPUTED_VALUE"""),"XC_45_Voleibol")</f>
        <v>XC_45_Voleibol</v>
      </c>
      <c r="BT381" s="6" t="str">
        <f>IFERROR(__xludf.DUMMYFUNCTION("""COMPUTED_VALUE"""),"XC_45_Voleibol")</f>
        <v>XC_45_Voleibol</v>
      </c>
      <c r="BU381" s="6" t="str">
        <f>IFERROR(__xludf.DUMMYFUNCTION("""COMPUTED_VALUE"""),"SI")</f>
        <v>SI</v>
      </c>
      <c r="BV381" s="6" t="str">
        <f>IFERROR(__xludf.DUMMYFUNCTION("""COMPUTED_VALUE"""),"luciana.h2035")</f>
        <v>luciana.h2035</v>
      </c>
      <c r="BW381" s="6"/>
      <c r="BX381" s="6"/>
      <c r="BY381" s="6"/>
      <c r="BZ381" s="6"/>
    </row>
    <row r="382">
      <c r="A382" s="12">
        <f>IFERROR(__xludf.DUMMYFUNCTION("""COMPUTED_VALUE"""),1.092861403E9)</f>
        <v>1092861403</v>
      </c>
      <c r="B382" s="6">
        <f>IFERROR(__xludf.DUMMYFUNCTION("""COMPUTED_VALUE"""),12.0)</f>
        <v>12</v>
      </c>
      <c r="C382" s="6" t="str">
        <f>IFERROR(__xludf.DUMMYFUNCTION("""COMPUTED_VALUE"""),"Samantha")</f>
        <v>Samantha</v>
      </c>
      <c r="D382" s="6"/>
      <c r="E382" s="6" t="str">
        <f>IFERROR(__xludf.DUMMYFUNCTION("""COMPUTED_VALUE"""),"Martínez Hernández")</f>
        <v>Martínez Hernández</v>
      </c>
      <c r="F382" s="6" t="str">
        <f>IFERROR(__xludf.DUMMYFUNCTION("""COMPUTED_VALUE"""),"Edificio Valdivia Apto. 402 - Cra 13 No10 - 60")</f>
        <v>Edificio Valdivia Apto. 402 - Cra 13 No10 - 60</v>
      </c>
      <c r="G382" s="12" t="str">
        <f>IFERROR(__xludf.DUMMYFUNCTION("""COMPUTED_VALUE"""),"2017")</f>
        <v>2017</v>
      </c>
      <c r="H382" s="6" t="str">
        <f>IFERROR(__xludf.DUMMYFUNCTION("""COMPUTED_VALUE"""),"Septiembre")</f>
        <v>Septiembre</v>
      </c>
      <c r="I382" s="12" t="str">
        <f>IFERROR(__xludf.DUMMYFUNCTION("""COMPUTED_VALUE"""),"7")</f>
        <v>7</v>
      </c>
      <c r="J382" s="6" t="str">
        <f>IFERROR(__xludf.DUMMYFUNCTION("""COMPUTED_VALUE"""),"Armenia")</f>
        <v>Armenia</v>
      </c>
      <c r="K382" s="6" t="str">
        <f>IFERROR(__xludf.DUMMYFUNCTION("""COMPUTED_VALUE"""),"samantha.m2035@gi.edu.co")</f>
        <v>samantha.m2035@gi.edu.co</v>
      </c>
      <c r="L382" s="6" t="str">
        <f>IFERROR(__xludf.DUMMYFUNCTION("""COMPUTED_VALUE"""),"RC")</f>
        <v>RC</v>
      </c>
      <c r="M382" s="6" t="str">
        <f>IFERROR(__xludf.DUMMYFUNCTION("""COMPUTED_VALUE"""),"Armenia")</f>
        <v>Armenia</v>
      </c>
      <c r="N382" s="6" t="str">
        <f>IFERROR(__xludf.DUMMYFUNCTION("""COMPUTED_VALUE"""),"F")</f>
        <v>F</v>
      </c>
      <c r="O382" s="6" t="str">
        <f>IFERROR(__xludf.DUMMYFUNCTION("""COMPUTED_VALUE"""),"ACTIVE")</f>
        <v>ACTIVE</v>
      </c>
      <c r="P382" s="6"/>
      <c r="Q382" s="6" t="str">
        <f>IFERROR(__xludf.DUMMYFUNCTION("""COMPUTED_VALUE"""),"Armenia")</f>
        <v>Armenia</v>
      </c>
      <c r="R382" s="12" t="str">
        <f>IFERROR(__xludf.DUMMYFUNCTION("""COMPUTED_VALUE"""),"Gi99347hf*")</f>
        <v>Gi99347hf*</v>
      </c>
      <c r="S382" s="6" t="str">
        <f>IFERROR(__xludf.DUMMYFUNCTION("""COMPUTED_VALUE"""),"Martínez Hernández Samantha ")</f>
        <v>Martínez Hernández Samantha </v>
      </c>
      <c r="T382" s="6" t="str">
        <f>IFERROR(__xludf.DUMMYFUNCTION("""COMPUTED_VALUE"""),"CAROLINA HERNANDEZ CARDENAS")</f>
        <v>CAROLINA HERNANDEZ CARDENAS</v>
      </c>
      <c r="U382" s="12" t="str">
        <f>IFERROR(__xludf.DUMMYFUNCTION("""COMPUTED_VALUE"""),"52513316")</f>
        <v>52513316</v>
      </c>
      <c r="V382" s="6">
        <f>IFERROR(__xludf.DUMMYFUNCTION("""COMPUTED_VALUE"""),3.156052414E9)</f>
        <v>3156052414</v>
      </c>
      <c r="W382" s="6" t="str">
        <f>IFERROR(__xludf.DUMMYFUNCTION("""COMPUTED_VALUE"""),"carolinah@gi.edu.co")</f>
        <v>carolinah@gi.edu.co</v>
      </c>
      <c r="X382" s="12" t="str">
        <f>IFERROR(__xludf.DUMMYFUNCTION("""COMPUTED_VALUE"""),"O+")</f>
        <v>O+</v>
      </c>
      <c r="Y382" s="12" t="str">
        <f>IFERROR(__xludf.DUMMYFUNCTION("""COMPUTED_VALUE"""),"4")</f>
        <v>4</v>
      </c>
      <c r="Z382" s="12">
        <f>IFERROR(__xludf.DUMMYFUNCTION("""COMPUTED_VALUE"""),103950.0)</f>
        <v>103950</v>
      </c>
      <c r="AA382" s="6" t="str">
        <f>IFERROR(__xludf.DUMMYFUNCTION("""COMPUTED_VALUE"""),"SURA")</f>
        <v>SURA</v>
      </c>
      <c r="AB382" s="6" t="str">
        <f>IFERROR(__xludf.DUMMYFUNCTION("""COMPUTED_VALUE"""),"EMI")</f>
        <v>EMI</v>
      </c>
      <c r="AC382" s="12" t="str">
        <f>IFERROR(__xludf.DUMMYFUNCTION("""COMPUTED_VALUE"""),"al polvo, acaros, frio")</f>
        <v>al polvo, acaros, frio</v>
      </c>
      <c r="AD382" s="12" t="str">
        <f>IFERROR(__xludf.DUMMYFUNCTION("""COMPUTED_VALUE"""),"4B")</f>
        <v>4B</v>
      </c>
      <c r="AE382" s="12">
        <f>IFERROR(__xludf.DUMMYFUNCTION("""COMPUTED_VALUE"""),1.34528199E9)</f>
        <v>1345281990</v>
      </c>
      <c r="AF382" s="12" t="str">
        <f>IFERROR(__xludf.DUMMYFUNCTION("""COMPUTED_VALUE"""),"0740942291")</f>
        <v>0740942291</v>
      </c>
      <c r="AG382" s="12" t="str">
        <f>IFERROR(__xludf.DUMMYFUNCTION("""COMPUTED_VALUE"""),"Carolina")</f>
        <v>Carolina</v>
      </c>
      <c r="AH382" s="6"/>
      <c r="AI382" s="6" t="str">
        <f>IFERROR(__xludf.DUMMYFUNCTION("""COMPUTED_VALUE"""),"Hernandez Cardenas")</f>
        <v>Hernandez Cardenas</v>
      </c>
      <c r="AJ382" s="6" t="str">
        <f>IFERROR(__xludf.DUMMYFUNCTION("""COMPUTED_VALUE"""),"carolinah@gi.edu.co")</f>
        <v>carolinah@gi.edu.co</v>
      </c>
      <c r="AK382" s="6" t="str">
        <f>IFERROR(__xludf.DUMMYFUNCTION("""COMPUTED_VALUE"""),"Bibliotecologa")</f>
        <v>Bibliotecologa</v>
      </c>
      <c r="AL382" s="6" t="str">
        <f>IFERROR(__xludf.DUMMYFUNCTION("""COMPUTED_VALUE"""),"Fundacion Gimnasio Ingles de Armenia")</f>
        <v>Fundacion Gimnasio Ingles de Armenia</v>
      </c>
      <c r="AM382" s="12" t="str">
        <f>IFERROR(__xludf.DUMMYFUNCTION("""COMPUTED_VALUE"""),"52513316")</f>
        <v>52513316</v>
      </c>
      <c r="AN382" s="12" t="str">
        <f>IFERROR(__xludf.DUMMYFUNCTION("""COMPUTED_VALUE"""),"3156052414")</f>
        <v>3156052414</v>
      </c>
      <c r="AO382" s="6" t="str">
        <f>IFERROR(__xludf.DUMMYFUNCTION("""COMPUTED_VALUE"""),"Madre")</f>
        <v>Madre</v>
      </c>
      <c r="AP382" s="6" t="str">
        <f>IFERROR(__xludf.DUMMYFUNCTION("""COMPUTED_VALUE"""),"Estudiante(s): Martínez Hernández")</f>
        <v>Estudiante(s): Martínez Hernández</v>
      </c>
      <c r="AQ382" s="6" t="str">
        <f>IFERROR(__xludf.DUMMYFUNCTION("""COMPUTED_VALUE"""),"103950*Gi")</f>
        <v>103950*Gi</v>
      </c>
      <c r="AR382" s="6" t="str">
        <f>IFERROR(__xludf.DUMMYFUNCTION("""COMPUTED_VALUE"""),"Giovanny")</f>
        <v>Giovanny</v>
      </c>
      <c r="AS382" s="6"/>
      <c r="AT382" s="6" t="str">
        <f>IFERROR(__xludf.DUMMYFUNCTION("""COMPUTED_VALUE"""),"Martínez Granada")</f>
        <v>Martínez Granada</v>
      </c>
      <c r="AU382" s="6" t="str">
        <f>IFERROR(__xludf.DUMMYFUNCTION("""COMPUTED_VALUE"""),"karolinahcm@gmail.com")</f>
        <v>karolinahcm@gmail.com</v>
      </c>
      <c r="AV382" s="6" t="str">
        <f>IFERROR(__xludf.DUMMYFUNCTION("""COMPUTED_VALUE"""),"Fotografo")</f>
        <v>Fotografo</v>
      </c>
      <c r="AW382" s="6" t="str">
        <f>IFERROR(__xludf.DUMMYFUNCTION("""COMPUTED_VALUE"""),"Studio fotografico Giovanny Martinez")</f>
        <v>Studio fotografico Giovanny Martinez</v>
      </c>
      <c r="AX382" s="12" t="str">
        <f>IFERROR(__xludf.DUMMYFUNCTION("""COMPUTED_VALUE"""),"9732009")</f>
        <v>9732009</v>
      </c>
      <c r="AY382" s="12" t="str">
        <f>IFERROR(__xludf.DUMMYFUNCTION("""COMPUTED_VALUE"""),"3137742087")</f>
        <v>3137742087</v>
      </c>
      <c r="AZ382" s="6" t="str">
        <f>IFERROR(__xludf.DUMMYFUNCTION("""COMPUTED_VALUE"""),"Padre")</f>
        <v>Padre</v>
      </c>
      <c r="BA382" s="6"/>
      <c r="BB382" s="6"/>
      <c r="BC382" s="6"/>
      <c r="BD382" s="12" t="str">
        <f>IFERROR(__xludf.DUMMYFUNCTION("""COMPUTED_VALUE"""),"mar0016")</f>
        <v>mar0016</v>
      </c>
      <c r="BE382" s="6"/>
      <c r="BF382" s="6"/>
      <c r="BG382" s="6">
        <f>IFERROR(__xludf.DUMMYFUNCTION("""COMPUTED_VALUE"""),2035.0)</f>
        <v>2035</v>
      </c>
      <c r="BH382" s="15">
        <f>IFERROR(__xludf.DUMMYFUNCTION("""COMPUTED_VALUE"""),46204.423171296294)</f>
        <v>46204.42317</v>
      </c>
      <c r="BI382" s="6">
        <f>IFERROR(__xludf.DUMMYFUNCTION("""COMPUTED_VALUE"""),382.0)</f>
        <v>382</v>
      </c>
      <c r="BJ382" s="6"/>
      <c r="BK382" s="6"/>
      <c r="BL382" s="6" t="str">
        <f>IFERROR(__xludf.DUMMYFUNCTION("""COMPUTED_VALUE"""),"GISMAR0016")</f>
        <v>GISMAR0016</v>
      </c>
      <c r="BM382" s="6"/>
      <c r="BN382" s="6"/>
      <c r="BO382" s="6"/>
      <c r="BP382" s="6"/>
      <c r="BQ382" s="6"/>
      <c r="BR382" s="6"/>
      <c r="BS382" s="6"/>
      <c r="BT382" s="6"/>
      <c r="BU382" s="6" t="str">
        <f>IFERROR(__xludf.DUMMYFUNCTION("""COMPUTED_VALUE"""),"NO")</f>
        <v>NO</v>
      </c>
      <c r="BV382" s="6" t="str">
        <f>IFERROR(__xludf.DUMMYFUNCTION("""COMPUTED_VALUE"""),"samantha.m2035")</f>
        <v>samantha.m2035</v>
      </c>
      <c r="BW382" s="6"/>
      <c r="BX382" s="6"/>
      <c r="BY382" s="6"/>
      <c r="BZ382" s="6"/>
    </row>
    <row r="383">
      <c r="A383" s="12">
        <f>IFERROR(__xludf.DUMMYFUNCTION("""COMPUTED_VALUE"""),1.092861332E9)</f>
        <v>1092861332</v>
      </c>
      <c r="B383" s="6">
        <f>IFERROR(__xludf.DUMMYFUNCTION("""COMPUTED_VALUE"""),13.0)</f>
        <v>13</v>
      </c>
      <c r="C383" s="6" t="str">
        <f>IFERROR(__xludf.DUMMYFUNCTION("""COMPUTED_VALUE"""),"Luciana")</f>
        <v>Luciana</v>
      </c>
      <c r="D383" s="6"/>
      <c r="E383" s="6" t="str">
        <f>IFERROR(__xludf.DUMMYFUNCTION("""COMPUTED_VALUE"""),"Montoya Espinosa")</f>
        <v>Montoya Espinosa</v>
      </c>
      <c r="F383" s="6" t="str">
        <f>IFERROR(__xludf.DUMMYFUNCTION("""COMPUTED_VALUE"""),"Tacuara Casa 1 - Km 7 Via Eden Entrada Policia Murillo")</f>
        <v>Tacuara Casa 1 - Km 7 Via Eden Entrada Policia Murillo</v>
      </c>
      <c r="G383" s="12" t="str">
        <f>IFERROR(__xludf.DUMMYFUNCTION("""COMPUTED_VALUE"""),"2017")</f>
        <v>2017</v>
      </c>
      <c r="H383" s="6" t="str">
        <f>IFERROR(__xludf.DUMMYFUNCTION("""COMPUTED_VALUE"""),"Agosto")</f>
        <v>Agosto</v>
      </c>
      <c r="I383" s="12" t="str">
        <f>IFERROR(__xludf.DUMMYFUNCTION("""COMPUTED_VALUE"""),"16")</f>
        <v>16</v>
      </c>
      <c r="J383" s="6" t="str">
        <f>IFERROR(__xludf.DUMMYFUNCTION("""COMPUTED_VALUE"""),"Armenia")</f>
        <v>Armenia</v>
      </c>
      <c r="K383" s="6" t="str">
        <f>IFERROR(__xludf.DUMMYFUNCTION("""COMPUTED_VALUE"""),"luciana.m2035@gi.edu.co")</f>
        <v>luciana.m2035@gi.edu.co</v>
      </c>
      <c r="L383" s="6" t="str">
        <f>IFERROR(__xludf.DUMMYFUNCTION("""COMPUTED_VALUE"""),"TI")</f>
        <v>TI</v>
      </c>
      <c r="M383" s="6" t="str">
        <f>IFERROR(__xludf.DUMMYFUNCTION("""COMPUTED_VALUE"""),"Armenia")</f>
        <v>Armenia</v>
      </c>
      <c r="N383" s="6" t="str">
        <f>IFERROR(__xludf.DUMMYFUNCTION("""COMPUTED_VALUE"""),"F")</f>
        <v>F</v>
      </c>
      <c r="O383" s="6" t="str">
        <f>IFERROR(__xludf.DUMMYFUNCTION("""COMPUTED_VALUE"""),"ACTIVE")</f>
        <v>ACTIVE</v>
      </c>
      <c r="P383" s="6"/>
      <c r="Q383" s="6" t="str">
        <f>IFERROR(__xludf.DUMMYFUNCTION("""COMPUTED_VALUE"""),"Armenia")</f>
        <v>Armenia</v>
      </c>
      <c r="R383" s="12" t="str">
        <f>IFERROR(__xludf.DUMMYFUNCTION("""COMPUTED_VALUE"""),"GippV9hy*")</f>
        <v>GippV9hy*</v>
      </c>
      <c r="S383" s="6" t="str">
        <f>IFERROR(__xludf.DUMMYFUNCTION("""COMPUTED_VALUE"""),"Montoya Espinosa Luciana ")</f>
        <v>Montoya Espinosa Luciana </v>
      </c>
      <c r="T383" s="6" t="str">
        <f>IFERROR(__xludf.DUMMYFUNCTION("""COMPUTED_VALUE"""),"GLORIA URIBE DE MONTOYA")</f>
        <v>GLORIA URIBE DE MONTOYA</v>
      </c>
      <c r="U383" s="12" t="str">
        <f>IFERROR(__xludf.DUMMYFUNCTION("""COMPUTED_VALUE"""),"41899592")</f>
        <v>41899592</v>
      </c>
      <c r="V383" s="6">
        <f>IFERROR(__xludf.DUMMYFUNCTION("""COMPUTED_VALUE"""),3.116216653E9)</f>
        <v>3116216653</v>
      </c>
      <c r="W383" s="6" t="str">
        <f>IFERROR(__xludf.DUMMYFUNCTION("""COMPUTED_VALUE"""),"gloriauribe937@gmail.com")</f>
        <v>gloriauribe937@gmail.com</v>
      </c>
      <c r="X383" s="12" t="str">
        <f>IFERROR(__xludf.DUMMYFUNCTION("""COMPUTED_VALUE"""),"A+")</f>
        <v>A+</v>
      </c>
      <c r="Y383" s="12" t="str">
        <f>IFERROR(__xludf.DUMMYFUNCTION("""COMPUTED_VALUE"""),"4")</f>
        <v>4</v>
      </c>
      <c r="Z383" s="12">
        <f>IFERROR(__xludf.DUMMYFUNCTION("""COMPUTED_VALUE"""),120211.0)</f>
        <v>120211</v>
      </c>
      <c r="AA383" s="6" t="str">
        <f>IFERROR(__xludf.DUMMYFUNCTION("""COMPUTED_VALUE"""),"SURA")</f>
        <v>SURA</v>
      </c>
      <c r="AB383" s="6"/>
      <c r="AC383" s="12" t="str">
        <f>IFERROR(__xludf.DUMMYFUNCTION("""COMPUTED_VALUE"""),"picaduras de avispa")</f>
        <v>picaduras de avispa</v>
      </c>
      <c r="AD383" s="12" t="str">
        <f>IFERROR(__xludf.DUMMYFUNCTION("""COMPUTED_VALUE"""),"4B")</f>
        <v>4B</v>
      </c>
      <c r="AE383" s="12">
        <f>IFERROR(__xludf.DUMMYFUNCTION("""COMPUTED_VALUE"""),1.345282197E9)</f>
        <v>1345282197</v>
      </c>
      <c r="AF383" s="12" t="str">
        <f>IFERROR(__xludf.DUMMYFUNCTION("""COMPUTED_VALUE"""),"0673368835")</f>
        <v>0673368835</v>
      </c>
      <c r="AG383" s="12" t="str">
        <f>IFERROR(__xludf.DUMMYFUNCTION("""COMPUTED_VALUE"""),"Natalia")</f>
        <v>Natalia</v>
      </c>
      <c r="AH383" s="12" t="str">
        <f>IFERROR(__xludf.DUMMYFUNCTION("""COMPUTED_VALUE"""),"Andrea")</f>
        <v>Andrea</v>
      </c>
      <c r="AI383" s="6" t="str">
        <f>IFERROR(__xludf.DUMMYFUNCTION("""COMPUTED_VALUE"""),"Espinosa Carmona")</f>
        <v>Espinosa Carmona</v>
      </c>
      <c r="AJ383" s="6" t="str">
        <f>IFERROR(__xludf.DUMMYFUNCTION("""COMPUTED_VALUE"""),"natyespinosa11@gmail.com")</f>
        <v>natyespinosa11@gmail.com</v>
      </c>
      <c r="AK383" s="6" t="str">
        <f>IFERROR(__xludf.DUMMYFUNCTION("""COMPUTED_VALUE"""),"SECRETARIADO EN AUXILIAR CONTABLE")</f>
        <v>SECRETARIADO EN AUXILIAR CONTABLE</v>
      </c>
      <c r="AL383" s="6" t="str">
        <f>IFERROR(__xludf.DUMMYFUNCTION("""COMPUTED_VALUE"""),"mi pollo sas")</f>
        <v>mi pollo sas</v>
      </c>
      <c r="AM383" s="12" t="str">
        <f>IFERROR(__xludf.DUMMYFUNCTION("""COMPUTED_VALUE"""),"1094945113")</f>
        <v>1094945113</v>
      </c>
      <c r="AN383" s="12" t="str">
        <f>IFERROR(__xludf.DUMMYFUNCTION("""COMPUTED_VALUE"""),"3122379262")</f>
        <v>3122379262</v>
      </c>
      <c r="AO383" s="6" t="str">
        <f>IFERROR(__xludf.DUMMYFUNCTION("""COMPUTED_VALUE"""),"Madre")</f>
        <v>Madre</v>
      </c>
      <c r="AP383" s="6" t="str">
        <f>IFERROR(__xludf.DUMMYFUNCTION("""COMPUTED_VALUE"""),"Estudiante(s): Montoya Espinosa")</f>
        <v>Estudiante(s): Montoya Espinosa</v>
      </c>
      <c r="AQ383" s="6" t="str">
        <f>IFERROR(__xludf.DUMMYFUNCTION("""COMPUTED_VALUE"""),"120211*Gi")</f>
        <v>120211*Gi</v>
      </c>
      <c r="AR383" s="6" t="str">
        <f>IFERROR(__xludf.DUMMYFUNCTION("""COMPUTED_VALUE"""),"Carlos")</f>
        <v>Carlos</v>
      </c>
      <c r="AS383" s="6" t="str">
        <f>IFERROR(__xludf.DUMMYFUNCTION("""COMPUTED_VALUE"""),"Alberto")</f>
        <v>Alberto</v>
      </c>
      <c r="AT383" s="6" t="str">
        <f>IFERROR(__xludf.DUMMYFUNCTION("""COMPUTED_VALUE"""),"Montoya Uribe")</f>
        <v>Montoya Uribe</v>
      </c>
      <c r="AU383" s="6" t="str">
        <f>IFERROR(__xludf.DUMMYFUNCTION("""COMPUTED_VALUE"""),"cabeto555@hotmail.com")</f>
        <v>cabeto555@hotmail.com</v>
      </c>
      <c r="AV383" s="6" t="str">
        <f>IFERROR(__xludf.DUMMYFUNCTION("""COMPUTED_VALUE"""),"AVICULTOR")</f>
        <v>AVICULTOR</v>
      </c>
      <c r="AW383" s="6" t="str">
        <f>IFERROR(__xludf.DUMMYFUNCTION("""COMPUTED_VALUE"""),"MI POLLO SAS")</f>
        <v>MI POLLO SAS</v>
      </c>
      <c r="AX383" s="12" t="str">
        <f>IFERROR(__xludf.DUMMYFUNCTION("""COMPUTED_VALUE"""),"1094898547")</f>
        <v>1094898547</v>
      </c>
      <c r="AY383" s="12" t="str">
        <f>IFERROR(__xludf.DUMMYFUNCTION("""COMPUTED_VALUE"""),"3122596026")</f>
        <v>3122596026</v>
      </c>
      <c r="AZ383" s="6" t="str">
        <f>IFERROR(__xludf.DUMMYFUNCTION("""COMPUTED_VALUE"""),"Padre")</f>
        <v>Padre</v>
      </c>
      <c r="BA383" s="6" t="str">
        <f>IFERROR(__xludf.DUMMYFUNCTION("""COMPUTED_VALUE"""),"GLORIA URIBE DE MONTOYA")</f>
        <v>GLORIA URIBE DE MONTOYA</v>
      </c>
      <c r="BB383" s="6">
        <f>IFERROR(__xludf.DUMMYFUNCTION("""COMPUTED_VALUE"""),3.116216653E9)</f>
        <v>3116216653</v>
      </c>
      <c r="BC383" s="6" t="str">
        <f>IFERROR(__xludf.DUMMYFUNCTION("""COMPUTED_VALUE"""),"Abuelo(a)")</f>
        <v>Abuelo(a)</v>
      </c>
      <c r="BD383" s="12" t="str">
        <f>IFERROR(__xludf.DUMMYFUNCTION("""COMPUTED_VALUE"""),"mon0003")</f>
        <v>mon0003</v>
      </c>
      <c r="BE383" s="6"/>
      <c r="BF383" s="6"/>
      <c r="BG383" s="6">
        <f>IFERROR(__xludf.DUMMYFUNCTION("""COMPUTED_VALUE"""),2035.0)</f>
        <v>2035</v>
      </c>
      <c r="BH383" s="15">
        <f>IFERROR(__xludf.DUMMYFUNCTION("""COMPUTED_VALUE"""),46211.6343287037)</f>
        <v>46211.63433</v>
      </c>
      <c r="BI383" s="6">
        <f>IFERROR(__xludf.DUMMYFUNCTION("""COMPUTED_VALUE"""),383.0)</f>
        <v>383</v>
      </c>
      <c r="BJ383" s="6"/>
      <c r="BK383" s="6"/>
      <c r="BL383" s="6" t="str">
        <f>IFERROR(__xludf.DUMMYFUNCTION("""COMPUTED_VALUE"""),"GISMON0003")</f>
        <v>GISMON0003</v>
      </c>
      <c r="BM383" s="6"/>
      <c r="BN383" s="6"/>
      <c r="BO383" s="6"/>
      <c r="BP383" s="6" t="str">
        <f>IFERROR(__xludf.DUMMYFUNCTION("""COMPUTED_VALUE"""),"XC_EL_Porras")</f>
        <v>XC_EL_Porras</v>
      </c>
      <c r="BQ383" s="6" t="str">
        <f>IFERROR(__xludf.DUMMYFUNCTION("""COMPUTED_VALUE"""),"XC_EL_Porras")</f>
        <v>XC_EL_Porras</v>
      </c>
      <c r="BR383" s="6"/>
      <c r="BS383" s="6" t="str">
        <f>IFERROR(__xludf.DUMMYFUNCTION("""COMPUTED_VALUE"""),"XC_EL_Porras")</f>
        <v>XC_EL_Porras</v>
      </c>
      <c r="BT383" s="6"/>
      <c r="BU383" s="6" t="str">
        <f>IFERROR(__xludf.DUMMYFUNCTION("""COMPUTED_VALUE"""),"SI")</f>
        <v>SI</v>
      </c>
      <c r="BV383" s="6" t="str">
        <f>IFERROR(__xludf.DUMMYFUNCTION("""COMPUTED_VALUE"""),"luciana.m2035")</f>
        <v>luciana.m2035</v>
      </c>
      <c r="BW383" s="6"/>
      <c r="BX383" s="6"/>
      <c r="BY383" s="6"/>
      <c r="BZ383" s="6"/>
    </row>
    <row r="384">
      <c r="A384" s="12">
        <f>IFERROR(__xludf.DUMMYFUNCTION("""COMPUTED_VALUE"""),1.090281165E9)</f>
        <v>1090281165</v>
      </c>
      <c r="B384" s="6">
        <f>IFERROR(__xludf.DUMMYFUNCTION("""COMPUTED_VALUE"""),14.0)</f>
        <v>14</v>
      </c>
      <c r="C384" s="6" t="str">
        <f>IFERROR(__xludf.DUMMYFUNCTION("""COMPUTED_VALUE"""),"Gabriel")</f>
        <v>Gabriel</v>
      </c>
      <c r="D384" s="6"/>
      <c r="E384" s="6" t="str">
        <f>IFERROR(__xludf.DUMMYFUNCTION("""COMPUTED_VALUE"""),"Morales Acero")</f>
        <v>Morales Acero</v>
      </c>
      <c r="F384" s="6" t="str">
        <f>IFERROR(__xludf.DUMMYFUNCTION("""COMPUTED_VALUE"""),"Lagos de Iraka Casa 110 - Km 7 Via Armenia - El Caimo")</f>
        <v>Lagos de Iraka Casa 110 - Km 7 Via Armenia - El Caimo</v>
      </c>
      <c r="G384" s="12" t="str">
        <f>IFERROR(__xludf.DUMMYFUNCTION("""COMPUTED_VALUE"""),"2017")</f>
        <v>2017</v>
      </c>
      <c r="H384" s="6" t="str">
        <f>IFERROR(__xludf.DUMMYFUNCTION("""COMPUTED_VALUE"""),"Septiembre")</f>
        <v>Septiembre</v>
      </c>
      <c r="I384" s="12" t="str">
        <f>IFERROR(__xludf.DUMMYFUNCTION("""COMPUTED_VALUE"""),"5")</f>
        <v>5</v>
      </c>
      <c r="J384" s="6" t="str">
        <f>IFERROR(__xludf.DUMMYFUNCTION("""COMPUTED_VALUE"""),"Armenia")</f>
        <v>Armenia</v>
      </c>
      <c r="K384" s="6" t="str">
        <f>IFERROR(__xludf.DUMMYFUNCTION("""COMPUTED_VALUE"""),"gabriel.m2035@gi.edu.co")</f>
        <v>gabriel.m2035@gi.edu.co</v>
      </c>
      <c r="L384" s="6" t="str">
        <f>IFERROR(__xludf.DUMMYFUNCTION("""COMPUTED_VALUE"""),"RC")</f>
        <v>RC</v>
      </c>
      <c r="M384" s="6" t="str">
        <f>IFERROR(__xludf.DUMMYFUNCTION("""COMPUTED_VALUE"""),"Armenia")</f>
        <v>Armenia</v>
      </c>
      <c r="N384" s="6" t="str">
        <f>IFERROR(__xludf.DUMMYFUNCTION("""COMPUTED_VALUE"""),"M")</f>
        <v>M</v>
      </c>
      <c r="O384" s="6" t="str">
        <f>IFERROR(__xludf.DUMMYFUNCTION("""COMPUTED_VALUE"""),"ACTIVE")</f>
        <v>ACTIVE</v>
      </c>
      <c r="P384" s="6"/>
      <c r="Q384" s="6" t="str">
        <f>IFERROR(__xludf.DUMMYFUNCTION("""COMPUTED_VALUE"""),"Armenia")</f>
        <v>Armenia</v>
      </c>
      <c r="R384" s="12" t="str">
        <f>IFERROR(__xludf.DUMMYFUNCTION("""COMPUTED_VALUE"""),"Gise322jf*")</f>
        <v>Gise322jf*</v>
      </c>
      <c r="S384" s="6" t="str">
        <f>IFERROR(__xludf.DUMMYFUNCTION("""COMPUTED_VALUE"""),"Morales Acero Gabriel ")</f>
        <v>Morales Acero Gabriel </v>
      </c>
      <c r="T384" s="6" t="str">
        <f>IFERROR(__xludf.DUMMYFUNCTION("""COMPUTED_VALUE"""),"JUAN SEBASTIAN MORALES CARDONA")</f>
        <v>JUAN SEBASTIAN MORALES CARDONA</v>
      </c>
      <c r="U384" s="12" t="str">
        <f>IFERROR(__xludf.DUMMYFUNCTION("""COMPUTED_VALUE"""),"1094881799")</f>
        <v>1094881799</v>
      </c>
      <c r="V384" s="6">
        <f>IFERROR(__xludf.DUMMYFUNCTION("""COMPUTED_VALUE"""),3.108241209E9)</f>
        <v>3108241209</v>
      </c>
      <c r="W384" s="6" t="str">
        <f>IFERROR(__xludf.DUMMYFUNCTION("""COMPUTED_VALUE"""),"jsebastianmorales@gmail.com")</f>
        <v>jsebastianmorales@gmail.com</v>
      </c>
      <c r="X384" s="12" t="str">
        <f>IFERROR(__xludf.DUMMYFUNCTION("""COMPUTED_VALUE"""),"A+")</f>
        <v>A+</v>
      </c>
      <c r="Y384" s="12" t="str">
        <f>IFERROR(__xludf.DUMMYFUNCTION("""COMPUTED_VALUE"""),"4")</f>
        <v>4</v>
      </c>
      <c r="Z384" s="12">
        <f>IFERROR(__xludf.DUMMYFUNCTION("""COMPUTED_VALUE"""),103929.0)</f>
        <v>103929</v>
      </c>
      <c r="AA384" s="6" t="str">
        <f>IFERROR(__xludf.DUMMYFUNCTION("""COMPUTED_VALUE"""),"SANITAS")</f>
        <v>SANITAS</v>
      </c>
      <c r="AB384" s="6" t="str">
        <f>IFERROR(__xludf.DUMMYFUNCTION("""COMPUTED_VALUE"""),"Colsanitas prepagada")</f>
        <v>Colsanitas prepagada</v>
      </c>
      <c r="AC384" s="6"/>
      <c r="AD384" s="12" t="str">
        <f>IFERROR(__xludf.DUMMYFUNCTION("""COMPUTED_VALUE"""),"4B")</f>
        <v>4B</v>
      </c>
      <c r="AE384" s="12">
        <f>IFERROR(__xludf.DUMMYFUNCTION("""COMPUTED_VALUE"""),1.345281975E9)</f>
        <v>1345281975</v>
      </c>
      <c r="AF384" s="12" t="str">
        <f>IFERROR(__xludf.DUMMYFUNCTION("""COMPUTED_VALUE"""),"0724534483")</f>
        <v>0724534483</v>
      </c>
      <c r="AG384" s="12" t="str">
        <f>IFERROR(__xludf.DUMMYFUNCTION("""COMPUTED_VALUE"""),"Nathalia")</f>
        <v>Nathalia</v>
      </c>
      <c r="AH384" s="6"/>
      <c r="AI384" s="6" t="str">
        <f>IFERROR(__xludf.DUMMYFUNCTION("""COMPUTED_VALUE"""),"Acero Cardona")</f>
        <v>Acero Cardona</v>
      </c>
      <c r="AJ384" s="6" t="str">
        <f>IFERROR(__xludf.DUMMYFUNCTION("""COMPUTED_VALUE"""),"nataliaacero@gmail.com")</f>
        <v>nataliaacero@gmail.com</v>
      </c>
      <c r="AK384" s="6" t="str">
        <f>IFERROR(__xludf.DUMMYFUNCTION("""COMPUTED_VALUE"""),"Ing civil")</f>
        <v>Ing civil</v>
      </c>
      <c r="AL384" s="6" t="str">
        <f>IFERROR(__xludf.DUMMYFUNCTION("""COMPUTED_VALUE"""),"A&amp;M CONSTRUCOL")</f>
        <v>A&amp;M CONSTRUCOL</v>
      </c>
      <c r="AM384" s="12" t="str">
        <f>IFERROR(__xludf.DUMMYFUNCTION("""COMPUTED_VALUE"""),"1094882892")</f>
        <v>1094882892</v>
      </c>
      <c r="AN384" s="12" t="str">
        <f>IFERROR(__xludf.DUMMYFUNCTION("""COMPUTED_VALUE"""),"3206135629")</f>
        <v>3206135629</v>
      </c>
      <c r="AO384" s="6" t="str">
        <f>IFERROR(__xludf.DUMMYFUNCTION("""COMPUTED_VALUE"""),"Madre")</f>
        <v>Madre</v>
      </c>
      <c r="AP384" s="6" t="str">
        <f>IFERROR(__xludf.DUMMYFUNCTION("""COMPUTED_VALUE"""),"Estudiante(s): Morales Acero")</f>
        <v>Estudiante(s): Morales Acero</v>
      </c>
      <c r="AQ384" s="6" t="str">
        <f>IFERROR(__xludf.DUMMYFUNCTION("""COMPUTED_VALUE"""),"103929*Gi")</f>
        <v>103929*Gi</v>
      </c>
      <c r="AR384" s="6" t="str">
        <f>IFERROR(__xludf.DUMMYFUNCTION("""COMPUTED_VALUE"""),"Juan")</f>
        <v>Juan</v>
      </c>
      <c r="AS384" s="6" t="str">
        <f>IFERROR(__xludf.DUMMYFUNCTION("""COMPUTED_VALUE"""),"Sebastian")</f>
        <v>Sebastian</v>
      </c>
      <c r="AT384" s="6" t="str">
        <f>IFERROR(__xludf.DUMMYFUNCTION("""COMPUTED_VALUE"""),"Morales Cardona")</f>
        <v>Morales Cardona</v>
      </c>
      <c r="AU384" s="6" t="str">
        <f>IFERROR(__xludf.DUMMYFUNCTION("""COMPUTED_VALUE"""),"jsebastianmorales@gmail.com")</f>
        <v>jsebastianmorales@gmail.com</v>
      </c>
      <c r="AV384" s="6" t="str">
        <f>IFERROR(__xludf.DUMMYFUNCTION("""COMPUTED_VALUE"""),"Ing civil")</f>
        <v>Ing civil</v>
      </c>
      <c r="AW384" s="6" t="str">
        <f>IFERROR(__xludf.DUMMYFUNCTION("""COMPUTED_VALUE"""),"A&amp;M CONSTRUCOL")</f>
        <v>A&amp;M CONSTRUCOL</v>
      </c>
      <c r="AX384" s="12" t="str">
        <f>IFERROR(__xludf.DUMMYFUNCTION("""COMPUTED_VALUE"""),"1094881799")</f>
        <v>1094881799</v>
      </c>
      <c r="AY384" s="12" t="str">
        <f>IFERROR(__xludf.DUMMYFUNCTION("""COMPUTED_VALUE"""),"3108241209")</f>
        <v>3108241209</v>
      </c>
      <c r="AZ384" s="6" t="str">
        <f>IFERROR(__xludf.DUMMYFUNCTION("""COMPUTED_VALUE"""),"Padre")</f>
        <v>Padre</v>
      </c>
      <c r="BA384" s="6"/>
      <c r="BB384" s="6"/>
      <c r="BC384" s="6"/>
      <c r="BD384" s="12" t="str">
        <f>IFERROR(__xludf.DUMMYFUNCTION("""COMPUTED_VALUE"""),"mor0010")</f>
        <v>mor0010</v>
      </c>
      <c r="BE384" s="6"/>
      <c r="BF384" s="6"/>
      <c r="BG384" s="6">
        <f>IFERROR(__xludf.DUMMYFUNCTION("""COMPUTED_VALUE"""),2035.0)</f>
        <v>2035</v>
      </c>
      <c r="BH384" s="15">
        <f>IFERROR(__xludf.DUMMYFUNCTION("""COMPUTED_VALUE"""),46212.42731481481)</f>
        <v>46212.42731</v>
      </c>
      <c r="BI384" s="6">
        <f>IFERROR(__xludf.DUMMYFUNCTION("""COMPUTED_VALUE"""),384.0)</f>
        <v>384</v>
      </c>
      <c r="BJ384" s="6"/>
      <c r="BK384" s="6"/>
      <c r="BL384" s="6" t="str">
        <f>IFERROR(__xludf.DUMMYFUNCTION("""COMPUTED_VALUE"""),"GISMOR0010")</f>
        <v>GISMOR0010</v>
      </c>
      <c r="BM384" s="6"/>
      <c r="BN384" s="6"/>
      <c r="BO384" s="6"/>
      <c r="BP384" s="6" t="str">
        <f>IFERROR(__xludf.DUMMYFUNCTION("""COMPUTED_VALUE"""),"XC_4_Futbol_M")</f>
        <v>XC_4_Futbol_M</v>
      </c>
      <c r="BQ384" s="6"/>
      <c r="BR384" s="6"/>
      <c r="BS384" s="6" t="str">
        <f>IFERROR(__xludf.DUMMYFUNCTION("""COMPUTED_VALUE"""),"XC_4_Futbol_M")</f>
        <v>XC_4_Futbol_M</v>
      </c>
      <c r="BT384" s="6" t="str">
        <f>IFERROR(__xludf.DUMMYFUNCTION("""COMPUTED_VALUE"""),"XC_4_Futbol_M")</f>
        <v>XC_4_Futbol_M</v>
      </c>
      <c r="BU384" s="6" t="str">
        <f>IFERROR(__xludf.DUMMYFUNCTION("""COMPUTED_VALUE"""),"SI")</f>
        <v>SI</v>
      </c>
      <c r="BV384" s="6" t="str">
        <f>IFERROR(__xludf.DUMMYFUNCTION("""COMPUTED_VALUE"""),"gabriel.m2035")</f>
        <v>gabriel.m2035</v>
      </c>
      <c r="BW384" s="6"/>
      <c r="BX384" s="6"/>
      <c r="BY384" s="6"/>
      <c r="BZ384" s="6"/>
    </row>
    <row r="385">
      <c r="A385" s="12">
        <f>IFERROR(__xludf.DUMMYFUNCTION("""COMPUTED_VALUE"""),1.092860989E9)</f>
        <v>1092860989</v>
      </c>
      <c r="B385" s="6">
        <f>IFERROR(__xludf.DUMMYFUNCTION("""COMPUTED_VALUE"""),15.0)</f>
        <v>15</v>
      </c>
      <c r="C385" s="6" t="str">
        <f>IFERROR(__xludf.DUMMYFUNCTION("""COMPUTED_VALUE"""),"Victoria")</f>
        <v>Victoria</v>
      </c>
      <c r="D385" s="6"/>
      <c r="E385" s="6" t="str">
        <f>IFERROR(__xludf.DUMMYFUNCTION("""COMPUTED_VALUE"""),"Murillo Giraldo")</f>
        <v>Murillo Giraldo</v>
      </c>
      <c r="F385" s="6" t="str">
        <f>IFERROR(__xludf.DUMMYFUNCTION("""COMPUTED_VALUE"""),"Portal de Alameda Apto 11-01 - Cra 19 No36Nte - 30")</f>
        <v>Portal de Alameda Apto 11-01 - Cra 19 No36Nte - 30</v>
      </c>
      <c r="G385" s="12" t="str">
        <f>IFERROR(__xludf.DUMMYFUNCTION("""COMPUTED_VALUE"""),"2016")</f>
        <v>2016</v>
      </c>
      <c r="H385" s="6" t="str">
        <f>IFERROR(__xludf.DUMMYFUNCTION("""COMPUTED_VALUE"""),"Diciembre")</f>
        <v>Diciembre</v>
      </c>
      <c r="I385" s="12" t="str">
        <f>IFERROR(__xludf.DUMMYFUNCTION("""COMPUTED_VALUE"""),"19")</f>
        <v>19</v>
      </c>
      <c r="J385" s="6" t="str">
        <f>IFERROR(__xludf.DUMMYFUNCTION("""COMPUTED_VALUE"""),"Hollywood")</f>
        <v>Hollywood</v>
      </c>
      <c r="K385" s="6" t="str">
        <f>IFERROR(__xludf.DUMMYFUNCTION("""COMPUTED_VALUE"""),"victoria.m2035@gi.edu.co")</f>
        <v>victoria.m2035@gi.edu.co</v>
      </c>
      <c r="L385" s="6" t="str">
        <f>IFERROR(__xludf.DUMMYFUNCTION("""COMPUTED_VALUE"""),"RC")</f>
        <v>RC</v>
      </c>
      <c r="M385" s="6" t="str">
        <f>IFERROR(__xludf.DUMMYFUNCTION("""COMPUTED_VALUE"""),"Armenia")</f>
        <v>Armenia</v>
      </c>
      <c r="N385" s="6" t="str">
        <f>IFERROR(__xludf.DUMMYFUNCTION("""COMPUTED_VALUE"""),"F")</f>
        <v>F</v>
      </c>
      <c r="O385" s="6" t="str">
        <f>IFERROR(__xludf.DUMMYFUNCTION("""COMPUTED_VALUE"""),"INACTIVE")</f>
        <v>INACTIVE</v>
      </c>
      <c r="P385" s="6"/>
      <c r="Q385" s="6" t="str">
        <f>IFERROR(__xludf.DUMMYFUNCTION("""COMPUTED_VALUE"""),"Armenia")</f>
        <v>Armenia</v>
      </c>
      <c r="R385" s="12" t="str">
        <f>IFERROR(__xludf.DUMMYFUNCTION("""COMPUTED_VALUE"""),"Gix7QgCC*")</f>
        <v>Gix7QgCC*</v>
      </c>
      <c r="S385" s="6" t="str">
        <f>IFERROR(__xludf.DUMMYFUNCTION("""COMPUTED_VALUE"""),"Murillo Giraldo Victoria ")</f>
        <v>Murillo Giraldo Victoria </v>
      </c>
      <c r="T385" s="6" t="str">
        <f>IFERROR(__xludf.DUMMYFUNCTION("""COMPUTED_VALUE"""),"CATALINA GIRALDO CANO")</f>
        <v>CATALINA GIRALDO CANO</v>
      </c>
      <c r="U385" s="12" t="str">
        <f>IFERROR(__xludf.DUMMYFUNCTION("""COMPUTED_VALUE"""),"1053802671")</f>
        <v>1053802671</v>
      </c>
      <c r="V385" s="6">
        <f>IFERROR(__xludf.DUMMYFUNCTION("""COMPUTED_VALUE"""),3.105001746E9)</f>
        <v>3105001746</v>
      </c>
      <c r="W385" s="6" t="str">
        <f>IFERROR(__xludf.DUMMYFUNCTION("""COMPUTED_VALUE"""),"catalinag2008@hotmail.com")</f>
        <v>catalinag2008@hotmail.com</v>
      </c>
      <c r="X385" s="12" t="str">
        <f>IFERROR(__xludf.DUMMYFUNCTION("""COMPUTED_VALUE"""),"A-")</f>
        <v>A-</v>
      </c>
      <c r="Y385" s="12" t="str">
        <f>IFERROR(__xludf.DUMMYFUNCTION("""COMPUTED_VALUE"""),"4")</f>
        <v>4</v>
      </c>
      <c r="Z385" s="12">
        <f>IFERROR(__xludf.DUMMYFUNCTION("""COMPUTED_VALUE"""),120142.0)</f>
        <v>120142</v>
      </c>
      <c r="AA385" s="6" t="str">
        <f>IFERROR(__xludf.DUMMYFUNCTION("""COMPUTED_VALUE"""),"SANITAS")</f>
        <v>SANITAS</v>
      </c>
      <c r="AB385" s="6"/>
      <c r="AC385" s="6" t="str">
        <f>IFERROR(__xludf.DUMMYFUNCTION("""COMPUTED_VALUE"""),"Huevo")</f>
        <v>Huevo</v>
      </c>
      <c r="AD385" s="12" t="str">
        <f>IFERROR(__xludf.DUMMYFUNCTION("""COMPUTED_VALUE"""),"4B")</f>
        <v>4B</v>
      </c>
      <c r="AE385" s="12">
        <f>IFERROR(__xludf.DUMMYFUNCTION("""COMPUTED_VALUE"""),1.345282157E9)</f>
        <v>1345282157</v>
      </c>
      <c r="AF385" s="12" t="str">
        <f>IFERROR(__xludf.DUMMYFUNCTION("""COMPUTED_VALUE"""),"0694621315")</f>
        <v>0694621315</v>
      </c>
      <c r="AG385" s="12" t="str">
        <f>IFERROR(__xludf.DUMMYFUNCTION("""COMPUTED_VALUE"""),"Catalina")</f>
        <v>Catalina</v>
      </c>
      <c r="AH385" s="6"/>
      <c r="AI385" s="6" t="str">
        <f>IFERROR(__xludf.DUMMYFUNCTION("""COMPUTED_VALUE"""),"Giraldo Cano")</f>
        <v>Giraldo Cano</v>
      </c>
      <c r="AJ385" s="6" t="str">
        <f>IFERROR(__xludf.DUMMYFUNCTION("""COMPUTED_VALUE"""),"catalinag2008@hotmail.com")</f>
        <v>catalinag2008@hotmail.com</v>
      </c>
      <c r="AK385" s="6" t="str">
        <f>IFERROR(__xludf.DUMMYFUNCTION("""COMPUTED_VALUE"""),"Psicologa")</f>
        <v>Psicologa</v>
      </c>
      <c r="AL385" s="6"/>
      <c r="AM385" s="12" t="str">
        <f>IFERROR(__xludf.DUMMYFUNCTION("""COMPUTED_VALUE"""),"1053802671")</f>
        <v>1053802671</v>
      </c>
      <c r="AN385" s="12" t="str">
        <f>IFERROR(__xludf.DUMMYFUNCTION("""COMPUTED_VALUE"""),"3105001746")</f>
        <v>3105001746</v>
      </c>
      <c r="AO385" s="6" t="str">
        <f>IFERROR(__xludf.DUMMYFUNCTION("""COMPUTED_VALUE"""),"Madre")</f>
        <v>Madre</v>
      </c>
      <c r="AP385" s="6" t="str">
        <f>IFERROR(__xludf.DUMMYFUNCTION("""COMPUTED_VALUE"""),"Estudiante(s): Murillo Giraldo")</f>
        <v>Estudiante(s): Murillo Giraldo</v>
      </c>
      <c r="AQ385" s="6" t="str">
        <f>IFERROR(__xludf.DUMMYFUNCTION("""COMPUTED_VALUE"""),"120142*Gi")</f>
        <v>120142*Gi</v>
      </c>
      <c r="AR385" s="6" t="str">
        <f>IFERROR(__xludf.DUMMYFUNCTION("""COMPUTED_VALUE"""),"John")</f>
        <v>John</v>
      </c>
      <c r="AS385" s="6" t="str">
        <f>IFERROR(__xludf.DUMMYFUNCTION("""COMPUTED_VALUE"""),"Alexander")</f>
        <v>Alexander</v>
      </c>
      <c r="AT385" s="6" t="str">
        <f>IFERROR(__xludf.DUMMYFUNCTION("""COMPUTED_VALUE"""),"Murillo Álvarez")</f>
        <v>Murillo Álvarez</v>
      </c>
      <c r="AU385" s="6" t="str">
        <f>IFERROR(__xludf.DUMMYFUNCTION("""COMPUTED_VALUE"""),"jama1990_2@hotmail.com")</f>
        <v>jama1990_2@hotmail.com</v>
      </c>
      <c r="AV385" s="6" t="str">
        <f>IFERROR(__xludf.DUMMYFUNCTION("""COMPUTED_VALUE"""),"Arquitecto")</f>
        <v>Arquitecto</v>
      </c>
      <c r="AW385" s="6" t="str">
        <f>IFERROR(__xludf.DUMMYFUNCTION("""COMPUTED_VALUE"""),"Mural ingenieros y arquitectos")</f>
        <v>Mural ingenieros y arquitectos</v>
      </c>
      <c r="AX385" s="12" t="str">
        <f>IFERROR(__xludf.DUMMYFUNCTION("""COMPUTED_VALUE"""),"1094913094")</f>
        <v>1094913094</v>
      </c>
      <c r="AY385" s="12" t="str">
        <f>IFERROR(__xludf.DUMMYFUNCTION("""COMPUTED_VALUE"""),"3137664959")</f>
        <v>3137664959</v>
      </c>
      <c r="AZ385" s="6" t="str">
        <f>IFERROR(__xludf.DUMMYFUNCTION("""COMPUTED_VALUE"""),"Padre")</f>
        <v>Padre</v>
      </c>
      <c r="BA385" s="6" t="str">
        <f>IFERROR(__xludf.DUMMYFUNCTION("""COMPUTED_VALUE"""),"MELISA GIRALDO CANO")</f>
        <v>MELISA GIRALDO CANO</v>
      </c>
      <c r="BB385" s="6">
        <f>IFERROR(__xludf.DUMMYFUNCTION("""COMPUTED_VALUE"""),3.017562074E9)</f>
        <v>3017562074</v>
      </c>
      <c r="BC385" s="6" t="str">
        <f>IFERROR(__xludf.DUMMYFUNCTION("""COMPUTED_VALUE"""),"Tio(a)")</f>
        <v>Tio(a)</v>
      </c>
      <c r="BD385" s="12" t="str">
        <f>IFERROR(__xludf.DUMMYFUNCTION("""COMPUTED_VALUE"""),"mur0001")</f>
        <v>mur0001</v>
      </c>
      <c r="BE385" s="6" t="str">
        <f>IFERROR(__xludf.DUMMYFUNCTION("""COMPUTED_VALUE"""),"FALTAN FIRMAS")</f>
        <v>FALTAN FIRMAS</v>
      </c>
      <c r="BF385" s="6"/>
      <c r="BG385" s="6">
        <f>IFERROR(__xludf.DUMMYFUNCTION("""COMPUTED_VALUE"""),2035.0)</f>
        <v>2035</v>
      </c>
      <c r="BH385" s="15">
        <f>IFERROR(__xludf.DUMMYFUNCTION("""COMPUTED_VALUE"""),46205.692928240744)</f>
        <v>46205.69293</v>
      </c>
      <c r="BI385" s="6">
        <f>IFERROR(__xludf.DUMMYFUNCTION("""COMPUTED_VALUE"""),385.0)</f>
        <v>385</v>
      </c>
      <c r="BJ385" s="6"/>
      <c r="BK385" s="6" t="str">
        <f>IFERROR(__xludf.DUMMYFUNCTION("""COMPUTED_VALUE"""),"Si: Rupatadina")</f>
        <v>Si: Rupatadina</v>
      </c>
      <c r="BL385" s="6" t="str">
        <f>IFERROR(__xludf.DUMMYFUNCTION("""COMPUTED_VALUE"""),"GISMUR0001")</f>
        <v>GISMUR0001</v>
      </c>
      <c r="BM385" s="6"/>
      <c r="BN385" s="6"/>
      <c r="BO385" s="6" t="str">
        <f>IFERROR(__xludf.DUMMYFUNCTION("""COMPUTED_VALUE"""),"XC_45_OlympMath")</f>
        <v>XC_45_OlympMath</v>
      </c>
      <c r="BP385" s="6" t="str">
        <f>IFERROR(__xludf.DUMMYFUNCTION("""COMPUTED_VALUE"""),"XC_45_Voleibol")</f>
        <v>XC_45_Voleibol</v>
      </c>
      <c r="BQ385" s="6"/>
      <c r="BR385" s="6"/>
      <c r="BS385" s="6" t="str">
        <f>IFERROR(__xludf.DUMMYFUNCTION("""COMPUTED_VALUE"""),"XC_45_Voleibol")</f>
        <v>XC_45_Voleibol</v>
      </c>
      <c r="BT385" s="6" t="str">
        <f>IFERROR(__xludf.DUMMYFUNCTION("""COMPUTED_VALUE"""),"XC_45_Voleibol")</f>
        <v>XC_45_Voleibol</v>
      </c>
      <c r="BU385" s="6" t="str">
        <f>IFERROR(__xludf.DUMMYFUNCTION("""COMPUTED_VALUE"""),"SI")</f>
        <v>SI</v>
      </c>
      <c r="BV385" s="6" t="str">
        <f>IFERROR(__xludf.DUMMYFUNCTION("""COMPUTED_VALUE"""),"victoria.m2035")</f>
        <v>victoria.m2035</v>
      </c>
      <c r="BW385" s="6"/>
      <c r="BX385" s="6"/>
      <c r="BY385" s="6"/>
      <c r="BZ385" s="6"/>
    </row>
    <row r="386">
      <c r="A386" s="12">
        <f>IFERROR(__xludf.DUMMYFUNCTION("""COMPUTED_VALUE"""),1.117031465E9)</f>
        <v>1117031465</v>
      </c>
      <c r="B386" s="6">
        <f>IFERROR(__xludf.DUMMYFUNCTION("""COMPUTED_VALUE"""),16.0)</f>
        <v>16</v>
      </c>
      <c r="C386" s="6" t="str">
        <f>IFERROR(__xludf.DUMMYFUNCTION("""COMPUTED_VALUE"""),"Danna")</f>
        <v>Danna</v>
      </c>
      <c r="D386" s="6" t="str">
        <f>IFERROR(__xludf.DUMMYFUNCTION("""COMPUTED_VALUE"""),"Sofía")</f>
        <v>Sofía</v>
      </c>
      <c r="E386" s="6" t="str">
        <f>IFERROR(__xludf.DUMMYFUNCTION("""COMPUTED_VALUE"""),"Nastur Maya")</f>
        <v>Nastur Maya</v>
      </c>
      <c r="F386" s="6" t="str">
        <f>IFERROR(__xludf.DUMMYFUNCTION("""COMPUTED_VALUE"""),"Bosque Residencial La Pradera Casa 21 - Cra 6 No50Nte - 1 Av Centenario")</f>
        <v>Bosque Residencial La Pradera Casa 21 - Cra 6 No50Nte - 1 Av Centenario</v>
      </c>
      <c r="G386" s="12" t="str">
        <f>IFERROR(__xludf.DUMMYFUNCTION("""COMPUTED_VALUE"""),"2016")</f>
        <v>2016</v>
      </c>
      <c r="H386" s="6" t="str">
        <f>IFERROR(__xludf.DUMMYFUNCTION("""COMPUTED_VALUE"""),"Julio")</f>
        <v>Julio</v>
      </c>
      <c r="I386" s="12" t="str">
        <f>IFERROR(__xludf.DUMMYFUNCTION("""COMPUTED_VALUE"""),"11")</f>
        <v>11</v>
      </c>
      <c r="J386" s="6" t="str">
        <f>IFERROR(__xludf.DUMMYFUNCTION("""COMPUTED_VALUE"""),"Tuluá")</f>
        <v>Tuluá</v>
      </c>
      <c r="K386" s="6" t="str">
        <f>IFERROR(__xludf.DUMMYFUNCTION("""COMPUTED_VALUE"""),"danna.n2035@gi.edu.co")</f>
        <v>danna.n2035@gi.edu.co</v>
      </c>
      <c r="L386" s="6" t="str">
        <f>IFERROR(__xludf.DUMMYFUNCTION("""COMPUTED_VALUE"""),"TI")</f>
        <v>TI</v>
      </c>
      <c r="M386" s="6" t="str">
        <f>IFERROR(__xludf.DUMMYFUNCTION("""COMPUTED_VALUE"""),"Armenia")</f>
        <v>Armenia</v>
      </c>
      <c r="N386" s="6" t="str">
        <f>IFERROR(__xludf.DUMMYFUNCTION("""COMPUTED_VALUE"""),"F")</f>
        <v>F</v>
      </c>
      <c r="O386" s="6" t="str">
        <f>IFERROR(__xludf.DUMMYFUNCTION("""COMPUTED_VALUE"""),"ACTIVE")</f>
        <v>ACTIVE</v>
      </c>
      <c r="P386" s="6"/>
      <c r="Q386" s="6" t="str">
        <f>IFERROR(__xludf.DUMMYFUNCTION("""COMPUTED_VALUE"""),"Armenia")</f>
        <v>Armenia</v>
      </c>
      <c r="R386" s="12" t="str">
        <f>IFERROR(__xludf.DUMMYFUNCTION("""COMPUTED_VALUE"""),"Giu868d*")</f>
        <v>Giu868d*</v>
      </c>
      <c r="S386" s="6" t="str">
        <f>IFERROR(__xludf.DUMMYFUNCTION("""COMPUTED_VALUE"""),"Nastur Maya Danna Sofía")</f>
        <v>Nastur Maya Danna Sofía</v>
      </c>
      <c r="T386" s="6" t="str">
        <f>IFERROR(__xludf.DUMMYFUNCTION("""COMPUTED_VALUE"""),"MARTA LILIANA NASTUR MAYA")</f>
        <v>MARTA LILIANA NASTUR MAYA</v>
      </c>
      <c r="U386" s="12" t="str">
        <f>IFERROR(__xludf.DUMMYFUNCTION("""COMPUTED_VALUE"""),"1123306158")</f>
        <v>1123306158</v>
      </c>
      <c r="V386" s="12" t="str">
        <f>IFERROR(__xludf.DUMMYFUNCTION("""COMPUTED_VALUE""")," +593981191022")</f>
        <v> +593981191022</v>
      </c>
      <c r="W386" s="6" t="str">
        <f>IFERROR(__xludf.DUMMYFUNCTION("""COMPUTED_VALUE"""),"mayaliliana57@gmail.com")</f>
        <v>mayaliliana57@gmail.com</v>
      </c>
      <c r="X386" s="12" t="str">
        <f>IFERROR(__xludf.DUMMYFUNCTION("""COMPUTED_VALUE"""),"O+")</f>
        <v>O+</v>
      </c>
      <c r="Y386" s="12" t="str">
        <f>IFERROR(__xludf.DUMMYFUNCTION("""COMPUTED_VALUE"""),"4")</f>
        <v>4</v>
      </c>
      <c r="Z386" s="12">
        <f>IFERROR(__xludf.DUMMYFUNCTION("""COMPUTED_VALUE"""),120390.0)</f>
        <v>120390</v>
      </c>
      <c r="AA386" s="6" t="str">
        <f>IFERROR(__xludf.DUMMYFUNCTION("""COMPUTED_VALUE"""),"SURA")</f>
        <v>SURA</v>
      </c>
      <c r="AB386" s="6"/>
      <c r="AC386" s="6"/>
      <c r="AD386" s="12" t="str">
        <f>IFERROR(__xludf.DUMMYFUNCTION("""COMPUTED_VALUE"""),"4B")</f>
        <v>4B</v>
      </c>
      <c r="AE386" s="12" t="str">
        <f>IFERROR(__xludf.DUMMYFUNCTION("""COMPUTED_VALUE"""),"1345282391")</f>
        <v>1345282391</v>
      </c>
      <c r="AF386" s="12" t="str">
        <f>IFERROR(__xludf.DUMMYFUNCTION("""COMPUTED_VALUE"""),"0666030595")</f>
        <v>0666030595</v>
      </c>
      <c r="AG386" s="12" t="str">
        <f>IFERROR(__xludf.DUMMYFUNCTION("""COMPUTED_VALUE"""),"Marta")</f>
        <v>Marta</v>
      </c>
      <c r="AH386" s="12" t="str">
        <f>IFERROR(__xludf.DUMMYFUNCTION("""COMPUTED_VALUE"""),"Liliana")</f>
        <v>Liliana</v>
      </c>
      <c r="AI386" s="6" t="str">
        <f>IFERROR(__xludf.DUMMYFUNCTION("""COMPUTED_VALUE"""),"Nastur Maya")</f>
        <v>Nastur Maya</v>
      </c>
      <c r="AJ386" s="6" t="str">
        <f>IFERROR(__xludf.DUMMYFUNCTION("""COMPUTED_VALUE"""),"mayaliliana57@gmail.com")</f>
        <v>mayaliliana57@gmail.com</v>
      </c>
      <c r="AK386" s="6" t="str">
        <f>IFERROR(__xludf.DUMMYFUNCTION("""COMPUTED_VALUE"""),"Medico")</f>
        <v>Medico</v>
      </c>
      <c r="AL386" s="6"/>
      <c r="AM386" s="12" t="str">
        <f>IFERROR(__xludf.DUMMYFUNCTION("""COMPUTED_VALUE"""),"1123306158")</f>
        <v>1123306158</v>
      </c>
      <c r="AN386" s="12" t="str">
        <f>IFERROR(__xludf.DUMMYFUNCTION("""COMPUTED_VALUE""")," +593981191022")</f>
        <v> +593981191022</v>
      </c>
      <c r="AO386" s="6" t="str">
        <f>IFERROR(__xludf.DUMMYFUNCTION("""COMPUTED_VALUE"""),"Madre")</f>
        <v>Madre</v>
      </c>
      <c r="AP386" s="6" t="str">
        <f>IFERROR(__xludf.DUMMYFUNCTION("""COMPUTED_VALUE"""),"Estudiante(s): Nastur Maya")</f>
        <v>Estudiante(s): Nastur Maya</v>
      </c>
      <c r="AQ386" s="6" t="str">
        <f>IFERROR(__xludf.DUMMYFUNCTION("""COMPUTED_VALUE"""),"120390*Gi")</f>
        <v>120390*Gi</v>
      </c>
      <c r="AR386" s="6" t="str">
        <f>IFERROR(__xludf.DUMMYFUNCTION("""COMPUTED_VALUE"""),"Ronald")</f>
        <v>Ronald</v>
      </c>
      <c r="AS386" s="6" t="str">
        <f>IFERROR(__xludf.DUMMYFUNCTION("""COMPUTED_VALUE"""),"Emilio")</f>
        <v>Emilio</v>
      </c>
      <c r="AT386" s="6" t="str">
        <f>IFERROR(__xludf.DUMMYFUNCTION("""COMPUTED_VALUE"""),"Coveña Barcia")</f>
        <v>Coveña Barcia</v>
      </c>
      <c r="AU386" s="6" t="str">
        <f>IFERROR(__xludf.DUMMYFUNCTION("""COMPUTED_VALUE"""),"marojasre@gmail.com")</f>
        <v>marojasre@gmail.com</v>
      </c>
      <c r="AV386" s="6" t="str">
        <f>IFERROR(__xludf.DUMMYFUNCTION("""COMPUTED_VALUE"""),"Ingeniero")</f>
        <v>Ingeniero</v>
      </c>
      <c r="AW386" s="6"/>
      <c r="AX386" s="12" t="str">
        <f>IFERROR(__xludf.DUMMYFUNCTION("""COMPUTED_VALUE"""),"6904497")</f>
        <v>6904497</v>
      </c>
      <c r="AY386" s="12" t="str">
        <f>IFERROR(__xludf.DUMMYFUNCTION("""COMPUTED_VALUE"""),"3132565468")</f>
        <v>3132565468</v>
      </c>
      <c r="AZ386" s="6" t="str">
        <f>IFERROR(__xludf.DUMMYFUNCTION("""COMPUTED_VALUE"""),"Padre")</f>
        <v>Padre</v>
      </c>
      <c r="BA386" s="6" t="str">
        <f>IFERROR(__xludf.DUMMYFUNCTION("""COMPUTED_VALUE"""),"Nanchy Nastur nasturmayanancy@gmail.com")</f>
        <v>Nanchy Nastur nasturmayanancy@gmail.com</v>
      </c>
      <c r="BB386" s="6" t="str">
        <f>IFERROR(__xludf.DUMMYFUNCTION("""COMPUTED_VALUE"""),"3157938345 y 3165469163")</f>
        <v>3157938345 y 3165469163</v>
      </c>
      <c r="BC386" s="6" t="str">
        <f>IFERROR(__xludf.DUMMYFUNCTION("""COMPUTED_VALUE"""),"Tia")</f>
        <v>Tia</v>
      </c>
      <c r="BD386" s="12" t="str">
        <f>IFERROR(__xludf.DUMMYFUNCTION("""COMPUTED_VALUE"""),"nas0001")</f>
        <v>nas0001</v>
      </c>
      <c r="BE386" s="6"/>
      <c r="BF386" s="6"/>
      <c r="BG386" s="6">
        <f>IFERROR(__xludf.DUMMYFUNCTION("""COMPUTED_VALUE"""),2035.0)</f>
        <v>2035</v>
      </c>
      <c r="BH386" s="15">
        <f>IFERROR(__xludf.DUMMYFUNCTION("""COMPUTED_VALUE"""),46230.64811342592)</f>
        <v>46230.64811</v>
      </c>
      <c r="BI386" s="6">
        <f>IFERROR(__xludf.DUMMYFUNCTION("""COMPUTED_VALUE"""),386.0)</f>
        <v>386</v>
      </c>
      <c r="BJ386" s="6"/>
      <c r="BK386" s="6"/>
      <c r="BL386" s="6" t="str">
        <f>IFERROR(__xludf.DUMMYFUNCTION("""COMPUTED_VALUE"""),"GISNAS0001")</f>
        <v>GISNAS0001</v>
      </c>
      <c r="BM386" s="6"/>
      <c r="BN386" s="6"/>
      <c r="BO386" s="6"/>
      <c r="BP386" s="6"/>
      <c r="BQ386" s="6"/>
      <c r="BR386" s="6"/>
      <c r="BS386" s="6"/>
      <c r="BT386" s="6"/>
      <c r="BU386" s="6" t="str">
        <f>IFERROR(__xludf.DUMMYFUNCTION("""COMPUTED_VALUE"""),"SI")</f>
        <v>SI</v>
      </c>
      <c r="BV386" s="6" t="str">
        <f>IFERROR(__xludf.DUMMYFUNCTION("""COMPUTED_VALUE"""),"danna.n2035")</f>
        <v>danna.n2035</v>
      </c>
      <c r="BW386" s="6"/>
      <c r="BX386" s="6"/>
      <c r="BY386" s="6"/>
      <c r="BZ386" s="6"/>
    </row>
    <row r="387">
      <c r="A387" s="12">
        <f>IFERROR(__xludf.DUMMYFUNCTION("""COMPUTED_VALUE"""),1.09286108E9)</f>
        <v>1092861080</v>
      </c>
      <c r="B387" s="6">
        <f>IFERROR(__xludf.DUMMYFUNCTION("""COMPUTED_VALUE"""),17.0)</f>
        <v>17</v>
      </c>
      <c r="C387" s="6" t="str">
        <f>IFERROR(__xludf.DUMMYFUNCTION("""COMPUTED_VALUE"""),"Simón")</f>
        <v>Simón</v>
      </c>
      <c r="D387" s="6"/>
      <c r="E387" s="6" t="str">
        <f>IFERROR(__xludf.DUMMYFUNCTION("""COMPUTED_VALUE"""),"Padilla Valencia")</f>
        <v>Padilla Valencia</v>
      </c>
      <c r="F387" s="6" t="str">
        <f>IFERROR(__xludf.DUMMYFUNCTION("""COMPUTED_VALUE"""),"Conjunto Campestre Portugal Casa 16 - Via Pueblo Tapao")</f>
        <v>Conjunto Campestre Portugal Casa 16 - Via Pueblo Tapao</v>
      </c>
      <c r="G387" s="12" t="str">
        <f>IFERROR(__xludf.DUMMYFUNCTION("""COMPUTED_VALUE"""),"2017")</f>
        <v>2017</v>
      </c>
      <c r="H387" s="6" t="str">
        <f>IFERROR(__xludf.DUMMYFUNCTION("""COMPUTED_VALUE"""),"Abril")</f>
        <v>Abril</v>
      </c>
      <c r="I387" s="12" t="str">
        <f>IFERROR(__xludf.DUMMYFUNCTION("""COMPUTED_VALUE"""),"19")</f>
        <v>19</v>
      </c>
      <c r="J387" s="6" t="str">
        <f>IFERROR(__xludf.DUMMYFUNCTION("""COMPUTED_VALUE"""),"Las Vegas")</f>
        <v>Las Vegas</v>
      </c>
      <c r="K387" s="6" t="str">
        <f>IFERROR(__xludf.DUMMYFUNCTION("""COMPUTED_VALUE"""),"simon.p2035@gi.edu.co")</f>
        <v>simon.p2035@gi.edu.co</v>
      </c>
      <c r="L387" s="6" t="str">
        <f>IFERROR(__xludf.DUMMYFUNCTION("""COMPUTED_VALUE"""),"RC")</f>
        <v>RC</v>
      </c>
      <c r="M387" s="6" t="str">
        <f>IFERROR(__xludf.DUMMYFUNCTION("""COMPUTED_VALUE"""),"Armenia")</f>
        <v>Armenia</v>
      </c>
      <c r="N387" s="6" t="str">
        <f>IFERROR(__xludf.DUMMYFUNCTION("""COMPUTED_VALUE"""),"M")</f>
        <v>M</v>
      </c>
      <c r="O387" s="6" t="str">
        <f>IFERROR(__xludf.DUMMYFUNCTION("""COMPUTED_VALUE"""),"ACTIVE")</f>
        <v>ACTIVE</v>
      </c>
      <c r="P387" s="6"/>
      <c r="Q387" s="6" t="str">
        <f>IFERROR(__xludf.DUMMYFUNCTION("""COMPUTED_VALUE"""),"Armenia")</f>
        <v>Armenia</v>
      </c>
      <c r="R387" s="12" t="str">
        <f>IFERROR(__xludf.DUMMYFUNCTION("""COMPUTED_VALUE"""),"Gin2k3L7*")</f>
        <v>Gin2k3L7*</v>
      </c>
      <c r="S387" s="6" t="str">
        <f>IFERROR(__xludf.DUMMYFUNCTION("""COMPUTED_VALUE"""),"Padilla Valencia Simón ")</f>
        <v>Padilla Valencia Simón </v>
      </c>
      <c r="T387" s="6" t="str">
        <f>IFERROR(__xludf.DUMMYFUNCTION("""COMPUTED_VALUE"""),"DIEGO ALEJANDRO PADILLA GAITAN")</f>
        <v>DIEGO ALEJANDRO PADILLA GAITAN</v>
      </c>
      <c r="U387" s="12" t="str">
        <f>IFERROR(__xludf.DUMMYFUNCTION("""COMPUTED_VALUE"""),"1094880857")</f>
        <v>1094880857</v>
      </c>
      <c r="V387" s="6">
        <f>IFERROR(__xludf.DUMMYFUNCTION("""COMPUTED_VALUE"""),3.176361667E9)</f>
        <v>3176361667</v>
      </c>
      <c r="W387" s="6" t="str">
        <f>IFERROR(__xludf.DUMMYFUNCTION("""COMPUTED_VALUE"""),"padilla341@hotmail.com")</f>
        <v>padilla341@hotmail.com</v>
      </c>
      <c r="X387" s="12" t="str">
        <f>IFERROR(__xludf.DUMMYFUNCTION("""COMPUTED_VALUE"""),"O+")</f>
        <v>O+</v>
      </c>
      <c r="Y387" s="12" t="str">
        <f>IFERROR(__xludf.DUMMYFUNCTION("""COMPUTED_VALUE"""),"4")</f>
        <v>4</v>
      </c>
      <c r="Z387" s="12">
        <f>IFERROR(__xludf.DUMMYFUNCTION("""COMPUTED_VALUE"""),120244.0)</f>
        <v>120244</v>
      </c>
      <c r="AA387" s="6" t="str">
        <f>IFERROR(__xludf.DUMMYFUNCTION("""COMPUTED_VALUE"""),"SURA")</f>
        <v>SURA</v>
      </c>
      <c r="AB387" s="6"/>
      <c r="AC387" s="6"/>
      <c r="AD387" s="12" t="str">
        <f>IFERROR(__xludf.DUMMYFUNCTION("""COMPUTED_VALUE"""),"4B")</f>
        <v>4B</v>
      </c>
      <c r="AE387" s="12">
        <f>IFERROR(__xludf.DUMMYFUNCTION("""COMPUTED_VALUE"""),1.345282231E9)</f>
        <v>1345282231</v>
      </c>
      <c r="AF387" s="12" t="str">
        <f>IFERROR(__xludf.DUMMYFUNCTION("""COMPUTED_VALUE"""),"0694386595")</f>
        <v>0694386595</v>
      </c>
      <c r="AG387" s="12" t="str">
        <f>IFERROR(__xludf.DUMMYFUNCTION("""COMPUTED_VALUE"""),"Lina")</f>
        <v>Lina</v>
      </c>
      <c r="AH387" s="12" t="str">
        <f>IFERROR(__xludf.DUMMYFUNCTION("""COMPUTED_VALUE"""),"Marcela")</f>
        <v>Marcela</v>
      </c>
      <c r="AI387" s="6" t="str">
        <f>IFERROR(__xludf.DUMMYFUNCTION("""COMPUTED_VALUE"""),"Valencia Montealegre")</f>
        <v>Valencia Montealegre</v>
      </c>
      <c r="AJ387" s="6" t="str">
        <f>IFERROR(__xludf.DUMMYFUNCTION("""COMPUTED_VALUE"""),"livalmo@hotmail.com")</f>
        <v>livalmo@hotmail.com</v>
      </c>
      <c r="AK387" s="6" t="str">
        <f>IFERROR(__xludf.DUMMYFUNCTION("""COMPUTED_VALUE"""),"ADMINISTRADORA DE MEPRESAS")</f>
        <v>ADMINISTRADORA DE MEPRESAS</v>
      </c>
      <c r="AL387" s="6" t="str">
        <f>IFERROR(__xludf.DUMMYFUNCTION("""COMPUTED_VALUE"""),"AGENCIA DE VIAJES UN SOLO MUNDO")</f>
        <v>AGENCIA DE VIAJES UN SOLO MUNDO</v>
      </c>
      <c r="AM387" s="12" t="str">
        <f>IFERROR(__xludf.DUMMYFUNCTION("""COMPUTED_VALUE"""),"1094883933")</f>
        <v>1094883933</v>
      </c>
      <c r="AN387" s="12" t="str">
        <f>IFERROR(__xludf.DUMMYFUNCTION("""COMPUTED_VALUE"""),"3103937091")</f>
        <v>3103937091</v>
      </c>
      <c r="AO387" s="6" t="str">
        <f>IFERROR(__xludf.DUMMYFUNCTION("""COMPUTED_VALUE"""),"Madre")</f>
        <v>Madre</v>
      </c>
      <c r="AP387" s="6" t="str">
        <f>IFERROR(__xludf.DUMMYFUNCTION("""COMPUTED_VALUE"""),"Estudiante(s): Padilla Valencia")</f>
        <v>Estudiante(s): Padilla Valencia</v>
      </c>
      <c r="AQ387" s="6" t="str">
        <f>IFERROR(__xludf.DUMMYFUNCTION("""COMPUTED_VALUE"""),"120243*Gi")</f>
        <v>120243*Gi</v>
      </c>
      <c r="AR387" s="6" t="str">
        <f>IFERROR(__xludf.DUMMYFUNCTION("""COMPUTED_VALUE"""),"Diego")</f>
        <v>Diego</v>
      </c>
      <c r="AS387" s="6" t="str">
        <f>IFERROR(__xludf.DUMMYFUNCTION("""COMPUTED_VALUE"""),"Alejandro")</f>
        <v>Alejandro</v>
      </c>
      <c r="AT387" s="6" t="str">
        <f>IFERROR(__xludf.DUMMYFUNCTION("""COMPUTED_VALUE"""),"Padilla Gaitán")</f>
        <v>Padilla Gaitán</v>
      </c>
      <c r="AU387" s="6" t="str">
        <f>IFERROR(__xludf.DUMMYFUNCTION("""COMPUTED_VALUE"""),"padilla341@hotmail.com")</f>
        <v>padilla341@hotmail.com</v>
      </c>
      <c r="AV387" s="6" t="str">
        <f>IFERROR(__xludf.DUMMYFUNCTION("""COMPUTED_VALUE"""),"ADMINISTRADOR DE EMPRESAS")</f>
        <v>ADMINISTRADOR DE EMPRESAS</v>
      </c>
      <c r="AW387" s="6"/>
      <c r="AX387" s="12" t="str">
        <f>IFERROR(__xludf.DUMMYFUNCTION("""COMPUTED_VALUE"""),"1094880857")</f>
        <v>1094880857</v>
      </c>
      <c r="AY387" s="12" t="str">
        <f>IFERROR(__xludf.DUMMYFUNCTION("""COMPUTED_VALUE"""),"3176361667")</f>
        <v>3176361667</v>
      </c>
      <c r="AZ387" s="6" t="str">
        <f>IFERROR(__xludf.DUMMYFUNCTION("""COMPUTED_VALUE"""),"Padre")</f>
        <v>Padre</v>
      </c>
      <c r="BA387" s="6"/>
      <c r="BB387" s="6"/>
      <c r="BC387" s="6"/>
      <c r="BD387" s="12" t="str">
        <f>IFERROR(__xludf.DUMMYFUNCTION("""COMPUTED_VALUE"""),"pad0001")</f>
        <v>pad0001</v>
      </c>
      <c r="BE387" s="6"/>
      <c r="BF387" s="6"/>
      <c r="BG387" s="6">
        <f>IFERROR(__xludf.DUMMYFUNCTION("""COMPUTED_VALUE"""),2035.0)</f>
        <v>2035</v>
      </c>
      <c r="BH387" s="15">
        <f>IFERROR(__xludf.DUMMYFUNCTION("""COMPUTED_VALUE"""),46204.38284722222)</f>
        <v>46204.38285</v>
      </c>
      <c r="BI387" s="6">
        <f>IFERROR(__xludf.DUMMYFUNCTION("""COMPUTED_VALUE"""),387.0)</f>
        <v>387</v>
      </c>
      <c r="BJ387" s="6"/>
      <c r="BK387" s="6"/>
      <c r="BL387" s="6" t="str">
        <f>IFERROR(__xludf.DUMMYFUNCTION("""COMPUTED_VALUE"""),"GISPAD0001")</f>
        <v>GISPAD0001</v>
      </c>
      <c r="BM387" s="6"/>
      <c r="BN387" s="6"/>
      <c r="BO387" s="6"/>
      <c r="BP387" s="6" t="str">
        <f>IFERROR(__xludf.DUMMYFUNCTION("""COMPUTED_VALUE"""),"XC_4_Futbol_M")</f>
        <v>XC_4_Futbol_M</v>
      </c>
      <c r="BQ387" s="6"/>
      <c r="BR387" s="6"/>
      <c r="BS387" s="6" t="str">
        <f>IFERROR(__xludf.DUMMYFUNCTION("""COMPUTED_VALUE"""),"XC_4_Futbol_M")</f>
        <v>XC_4_Futbol_M</v>
      </c>
      <c r="BT387" s="6" t="str">
        <f>IFERROR(__xludf.DUMMYFUNCTION("""COMPUTED_VALUE"""),"XC_4_Futbol_M")</f>
        <v>XC_4_Futbol_M</v>
      </c>
      <c r="BU387" s="6" t="str">
        <f>IFERROR(__xludf.DUMMYFUNCTION("""COMPUTED_VALUE"""),"SI")</f>
        <v>SI</v>
      </c>
      <c r="BV387" s="6" t="str">
        <f>IFERROR(__xludf.DUMMYFUNCTION("""COMPUTED_VALUE"""),"simon.p2035")</f>
        <v>simon.p2035</v>
      </c>
      <c r="BW387" s="6"/>
      <c r="BX387" s="6"/>
      <c r="BY387" s="6"/>
      <c r="BZ387" s="6"/>
    </row>
    <row r="388">
      <c r="A388" s="12">
        <f>IFERROR(__xludf.DUMMYFUNCTION("""COMPUTED_VALUE"""),1.070022772E9)</f>
        <v>1070022772</v>
      </c>
      <c r="B388" s="6">
        <f>IFERROR(__xludf.DUMMYFUNCTION("""COMPUTED_VALUE"""),18.0)</f>
        <v>18</v>
      </c>
      <c r="C388" s="6" t="str">
        <f>IFERROR(__xludf.DUMMYFUNCTION("""COMPUTED_VALUE"""),"Facundo")</f>
        <v>Facundo</v>
      </c>
      <c r="D388" s="6"/>
      <c r="E388" s="6" t="str">
        <f>IFERROR(__xludf.DUMMYFUNCTION("""COMPUTED_VALUE"""),"Pinzón Tamayo")</f>
        <v>Pinzón Tamayo</v>
      </c>
      <c r="F388" s="6" t="str">
        <f>IFERROR(__xludf.DUMMYFUNCTION("""COMPUTED_VALUE"""),"Conjunto Residencial Rio Alto Torre 1 Apto 408 - Av Centenario No26Nte - 21")</f>
        <v>Conjunto Residencial Rio Alto Torre 1 Apto 408 - Av Centenario No26Nte - 21</v>
      </c>
      <c r="G388" s="12" t="str">
        <f>IFERROR(__xludf.DUMMYFUNCTION("""COMPUTED_VALUE"""),"2017")</f>
        <v>2017</v>
      </c>
      <c r="H388" s="6" t="str">
        <f>IFERROR(__xludf.DUMMYFUNCTION("""COMPUTED_VALUE"""),"Mayo")</f>
        <v>Mayo</v>
      </c>
      <c r="I388" s="12" t="str">
        <f>IFERROR(__xludf.DUMMYFUNCTION("""COMPUTED_VALUE"""),"22")</f>
        <v>22</v>
      </c>
      <c r="J388" s="6" t="str">
        <f>IFERROR(__xludf.DUMMYFUNCTION("""COMPUTED_VALUE"""),"Bogotá D.C.")</f>
        <v>Bogotá D.C.</v>
      </c>
      <c r="K388" s="6" t="str">
        <f>IFERROR(__xludf.DUMMYFUNCTION("""COMPUTED_VALUE"""),"facundo.p2035@gi.edu.co")</f>
        <v>facundo.p2035@gi.edu.co</v>
      </c>
      <c r="L388" s="6" t="str">
        <f>IFERROR(__xludf.DUMMYFUNCTION("""COMPUTED_VALUE"""),"TI")</f>
        <v>TI</v>
      </c>
      <c r="M388" s="6" t="str">
        <f>IFERROR(__xludf.DUMMYFUNCTION("""COMPUTED_VALUE"""),"Armenia")</f>
        <v>Armenia</v>
      </c>
      <c r="N388" s="6" t="str">
        <f>IFERROR(__xludf.DUMMYFUNCTION("""COMPUTED_VALUE"""),"M")</f>
        <v>M</v>
      </c>
      <c r="O388" s="6" t="str">
        <f>IFERROR(__xludf.DUMMYFUNCTION("""COMPUTED_VALUE"""),"ACTIVE")</f>
        <v>ACTIVE</v>
      </c>
      <c r="P388" s="6"/>
      <c r="Q388" s="6" t="str">
        <f>IFERROR(__xludf.DUMMYFUNCTION("""COMPUTED_VALUE"""),"Armenia")</f>
        <v>Armenia</v>
      </c>
      <c r="R388" s="12" t="str">
        <f>IFERROR(__xludf.DUMMYFUNCTION("""COMPUTED_VALUE"""),"Gi3esf2q5*")</f>
        <v>Gi3esf2q5*</v>
      </c>
      <c r="S388" s="6" t="str">
        <f>IFERROR(__xludf.DUMMYFUNCTION("""COMPUTED_VALUE"""),"Pinzón Tamayo Facundo ")</f>
        <v>Pinzón Tamayo Facundo </v>
      </c>
      <c r="T388" s="6" t="str">
        <f>IFERROR(__xludf.DUMMYFUNCTION("""COMPUTED_VALUE"""),"JUAN CAMILO PINZÓN TRUJILLO")</f>
        <v>JUAN CAMILO PINZÓN TRUJILLO</v>
      </c>
      <c r="U388" s="12" t="str">
        <f>IFERROR(__xludf.DUMMYFUNCTION("""COMPUTED_VALUE"""),"11276050")</f>
        <v>11276050</v>
      </c>
      <c r="V388" s="6">
        <f>IFERROR(__xludf.DUMMYFUNCTION("""COMPUTED_VALUE"""),3.103411775E9)</f>
        <v>3103411775</v>
      </c>
      <c r="W388" s="6" t="str">
        <f>IFERROR(__xludf.DUMMYFUNCTION("""COMPUTED_VALUE"""),"jcpinzontrujillo@gmail.com")</f>
        <v>jcpinzontrujillo@gmail.com</v>
      </c>
      <c r="X388" s="12" t="str">
        <f>IFERROR(__xludf.DUMMYFUNCTION("""COMPUTED_VALUE"""),"O+")</f>
        <v>O+</v>
      </c>
      <c r="Y388" s="12" t="str">
        <f>IFERROR(__xludf.DUMMYFUNCTION("""COMPUTED_VALUE"""),"4")</f>
        <v>4</v>
      </c>
      <c r="Z388" s="12">
        <f>IFERROR(__xludf.DUMMYFUNCTION("""COMPUTED_VALUE"""),120039.0)</f>
        <v>120039</v>
      </c>
      <c r="AA388" s="6" t="str">
        <f>IFERROR(__xludf.DUMMYFUNCTION("""COMPUTED_VALUE"""),"SANITAS")</f>
        <v>SANITAS</v>
      </c>
      <c r="AB388" s="6"/>
      <c r="AC388" s="6"/>
      <c r="AD388" s="12" t="str">
        <f>IFERROR(__xludf.DUMMYFUNCTION("""COMPUTED_VALUE"""),"4B")</f>
        <v>4B</v>
      </c>
      <c r="AE388" s="12">
        <f>IFERROR(__xludf.DUMMYFUNCTION("""COMPUTED_VALUE"""),1.345282075E9)</f>
        <v>1345282075</v>
      </c>
      <c r="AF388" s="12" t="str">
        <f>IFERROR(__xludf.DUMMYFUNCTION("""COMPUTED_VALUE"""),"0673371027")</f>
        <v>0673371027</v>
      </c>
      <c r="AG388" s="12" t="str">
        <f>IFERROR(__xludf.DUMMYFUNCTION("""COMPUTED_VALUE"""),"Carolina")</f>
        <v>Carolina</v>
      </c>
      <c r="AH388" s="6"/>
      <c r="AI388" s="6" t="str">
        <f>IFERROR(__xludf.DUMMYFUNCTION("""COMPUTED_VALUE"""),"Tamayo Londoño")</f>
        <v>Tamayo Londoño</v>
      </c>
      <c r="AJ388" s="6" t="str">
        <f>IFERROR(__xludf.DUMMYFUNCTION("""COMPUTED_VALUE"""),"tamayocarolina20@gmail.com")</f>
        <v>tamayocarolina20@gmail.com</v>
      </c>
      <c r="AK388" s="6" t="str">
        <f>IFERROR(__xludf.DUMMYFUNCTION("""COMPUTED_VALUE"""),"Diseño")</f>
        <v>Diseño</v>
      </c>
      <c r="AL388" s="6"/>
      <c r="AM388" s="12" t="str">
        <f>IFERROR(__xludf.DUMMYFUNCTION("""COMPUTED_VALUE"""),"53177084")</f>
        <v>53177084</v>
      </c>
      <c r="AN388" s="12" t="str">
        <f>IFERROR(__xludf.DUMMYFUNCTION("""COMPUTED_VALUE"""),"3213944955")</f>
        <v>3213944955</v>
      </c>
      <c r="AO388" s="6" t="str">
        <f>IFERROR(__xludf.DUMMYFUNCTION("""COMPUTED_VALUE"""),"Madre")</f>
        <v>Madre</v>
      </c>
      <c r="AP388" s="6" t="str">
        <f>IFERROR(__xludf.DUMMYFUNCTION("""COMPUTED_VALUE"""),"Estudiante(s): Pinzón Tamayo")</f>
        <v>Estudiante(s): Pinzón Tamayo</v>
      </c>
      <c r="AQ388" s="6" t="str">
        <f>IFERROR(__xludf.DUMMYFUNCTION("""COMPUTED_VALUE"""),"120039*Gi")</f>
        <v>120039*Gi</v>
      </c>
      <c r="AR388" s="6" t="str">
        <f>IFERROR(__xludf.DUMMYFUNCTION("""COMPUTED_VALUE"""),"Juan")</f>
        <v>Juan</v>
      </c>
      <c r="AS388" s="6" t="str">
        <f>IFERROR(__xludf.DUMMYFUNCTION("""COMPUTED_VALUE"""),"Camilo")</f>
        <v>Camilo</v>
      </c>
      <c r="AT388" s="6" t="str">
        <f>IFERROR(__xludf.DUMMYFUNCTION("""COMPUTED_VALUE"""),"Pinzón Trujillo")</f>
        <v>Pinzón Trujillo</v>
      </c>
      <c r="AU388" s="6" t="str">
        <f>IFERROR(__xludf.DUMMYFUNCTION("""COMPUTED_VALUE"""),"jcpinzontrujillo@gmail.com")</f>
        <v>jcpinzontrujillo@gmail.com</v>
      </c>
      <c r="AV388" s="6" t="str">
        <f>IFERROR(__xludf.DUMMYFUNCTION("""COMPUTED_VALUE"""),"Administrador")</f>
        <v>Administrador</v>
      </c>
      <c r="AW388" s="6"/>
      <c r="AX388" s="12" t="str">
        <f>IFERROR(__xludf.DUMMYFUNCTION("""COMPUTED_VALUE"""),"11276050")</f>
        <v>11276050</v>
      </c>
      <c r="AY388" s="12" t="str">
        <f>IFERROR(__xludf.DUMMYFUNCTION("""COMPUTED_VALUE"""),"3103411775")</f>
        <v>3103411775</v>
      </c>
      <c r="AZ388" s="6" t="str">
        <f>IFERROR(__xludf.DUMMYFUNCTION("""COMPUTED_VALUE"""),"Padre")</f>
        <v>Padre</v>
      </c>
      <c r="BA388" s="6"/>
      <c r="BB388" s="6"/>
      <c r="BC388" s="6"/>
      <c r="BD388" s="12" t="str">
        <f>IFERROR(__xludf.DUMMYFUNCTION("""COMPUTED_VALUE"""),"pin0008")</f>
        <v>pin0008</v>
      </c>
      <c r="BE388" s="6"/>
      <c r="BF388" s="6"/>
      <c r="BG388" s="6">
        <f>IFERROR(__xludf.DUMMYFUNCTION("""COMPUTED_VALUE"""),2035.0)</f>
        <v>2035</v>
      </c>
      <c r="BH388" s="15">
        <f>IFERROR(__xludf.DUMMYFUNCTION("""COMPUTED_VALUE"""),46213.60224537037)</f>
        <v>46213.60225</v>
      </c>
      <c r="BI388" s="6">
        <f>IFERROR(__xludf.DUMMYFUNCTION("""COMPUTED_VALUE"""),388.0)</f>
        <v>388</v>
      </c>
      <c r="BJ388" s="6"/>
      <c r="BK388" s="6"/>
      <c r="BL388" s="6" t="str">
        <f>IFERROR(__xludf.DUMMYFUNCTION("""COMPUTED_VALUE"""),"GISPIN0008")</f>
        <v>GISPIN0008</v>
      </c>
      <c r="BM388" s="6"/>
      <c r="BN388" s="6"/>
      <c r="BO388" s="6"/>
      <c r="BP388" s="6"/>
      <c r="BQ388" s="6"/>
      <c r="BR388" s="6"/>
      <c r="BS388" s="6"/>
      <c r="BT388" s="6"/>
      <c r="BU388" s="6" t="str">
        <f>IFERROR(__xludf.DUMMYFUNCTION("""COMPUTED_VALUE"""),"SI")</f>
        <v>SI</v>
      </c>
      <c r="BV388" s="6" t="str">
        <f>IFERROR(__xludf.DUMMYFUNCTION("""COMPUTED_VALUE"""),"facundo.p2035")</f>
        <v>facundo.p2035</v>
      </c>
      <c r="BW388" s="6"/>
      <c r="BX388" s="6"/>
      <c r="BY388" s="6"/>
      <c r="BZ388" s="6"/>
    </row>
    <row r="389">
      <c r="A389" s="12">
        <f>IFERROR(__xludf.DUMMYFUNCTION("""COMPUTED_VALUE"""),1.092861244E9)</f>
        <v>1092861244</v>
      </c>
      <c r="B389" s="6">
        <f>IFERROR(__xludf.DUMMYFUNCTION("""COMPUTED_VALUE"""),19.0)</f>
        <v>19</v>
      </c>
      <c r="C389" s="6" t="str">
        <f>IFERROR(__xludf.DUMMYFUNCTION("""COMPUTED_VALUE"""),"Santiago")</f>
        <v>Santiago</v>
      </c>
      <c r="D389" s="6"/>
      <c r="E389" s="6" t="str">
        <f>IFERROR(__xludf.DUMMYFUNCTION("""COMPUTED_VALUE"""),"Quintero Toro")</f>
        <v>Quintero Toro</v>
      </c>
      <c r="F389" s="6" t="str">
        <f>IFERROR(__xludf.DUMMYFUNCTION("""COMPUTED_VALUE"""),"Floresta de San Juan Casa 6 - Cra 6 No47Nte - 20")</f>
        <v>Floresta de San Juan Casa 6 - Cra 6 No47Nte - 20</v>
      </c>
      <c r="G389" s="12" t="str">
        <f>IFERROR(__xludf.DUMMYFUNCTION("""COMPUTED_VALUE"""),"2017")</f>
        <v>2017</v>
      </c>
      <c r="H389" s="6" t="str">
        <f>IFERROR(__xludf.DUMMYFUNCTION("""COMPUTED_VALUE"""),"Julio")</f>
        <v>Julio</v>
      </c>
      <c r="I389" s="12" t="str">
        <f>IFERROR(__xludf.DUMMYFUNCTION("""COMPUTED_VALUE"""),"14")</f>
        <v>14</v>
      </c>
      <c r="J389" s="6" t="str">
        <f>IFERROR(__xludf.DUMMYFUNCTION("""COMPUTED_VALUE"""),"Armenia")</f>
        <v>Armenia</v>
      </c>
      <c r="K389" s="6" t="str">
        <f>IFERROR(__xludf.DUMMYFUNCTION("""COMPUTED_VALUE"""),"santiago.q2035@gi.edu.co")</f>
        <v>santiago.q2035@gi.edu.co</v>
      </c>
      <c r="L389" s="6" t="str">
        <f>IFERROR(__xludf.DUMMYFUNCTION("""COMPUTED_VALUE"""),"TI")</f>
        <v>TI</v>
      </c>
      <c r="M389" s="6" t="str">
        <f>IFERROR(__xludf.DUMMYFUNCTION("""COMPUTED_VALUE"""),"Armenia")</f>
        <v>Armenia</v>
      </c>
      <c r="N389" s="6" t="str">
        <f>IFERROR(__xludf.DUMMYFUNCTION("""COMPUTED_VALUE"""),"M")</f>
        <v>M</v>
      </c>
      <c r="O389" s="6" t="str">
        <f>IFERROR(__xludf.DUMMYFUNCTION("""COMPUTED_VALUE"""),"ACTIVE")</f>
        <v>ACTIVE</v>
      </c>
      <c r="P389" s="6"/>
      <c r="Q389" s="6" t="str">
        <f>IFERROR(__xludf.DUMMYFUNCTION("""COMPUTED_VALUE"""),"Armenia")</f>
        <v>Armenia</v>
      </c>
      <c r="R389" s="12" t="str">
        <f>IFERROR(__xludf.DUMMYFUNCTION("""COMPUTED_VALUE"""),"Gie73mc8*")</f>
        <v>Gie73mc8*</v>
      </c>
      <c r="S389" s="6" t="str">
        <f>IFERROR(__xludf.DUMMYFUNCTION("""COMPUTED_VALUE"""),"Quintero Toro Santiago ")</f>
        <v>Quintero Toro Santiago </v>
      </c>
      <c r="T389" s="6" t="str">
        <f>IFERROR(__xludf.DUMMYFUNCTION("""COMPUTED_VALUE"""),"DIANA TORO GIRALDO")</f>
        <v>DIANA TORO GIRALDO</v>
      </c>
      <c r="U389" s="12" t="str">
        <f>IFERROR(__xludf.DUMMYFUNCTION("""COMPUTED_VALUE"""),"43256417")</f>
        <v>43256417</v>
      </c>
      <c r="V389" s="6">
        <f>IFERROR(__xludf.DUMMYFUNCTION("""COMPUTED_VALUE"""),3.113894156E9)</f>
        <v>3113894156</v>
      </c>
      <c r="W389" s="6" t="str">
        <f>IFERROR(__xludf.DUMMYFUNCTION("""COMPUTED_VALUE"""),"dianatoro@hotmail.com")</f>
        <v>dianatoro@hotmail.com</v>
      </c>
      <c r="X389" s="12" t="str">
        <f>IFERROR(__xludf.DUMMYFUNCTION("""COMPUTED_VALUE"""),"A+")</f>
        <v>A+</v>
      </c>
      <c r="Y389" s="12" t="str">
        <f>IFERROR(__xludf.DUMMYFUNCTION("""COMPUTED_VALUE"""),"4")</f>
        <v>4</v>
      </c>
      <c r="Z389" s="12">
        <f>IFERROR(__xludf.DUMMYFUNCTION("""COMPUTED_VALUE"""),120210.0)</f>
        <v>120210</v>
      </c>
      <c r="AA389" s="6" t="str">
        <f>IFERROR(__xludf.DUMMYFUNCTION("""COMPUTED_VALUE"""),"SURA")</f>
        <v>SURA</v>
      </c>
      <c r="AB389" s="6"/>
      <c r="AC389" s="12" t="str">
        <f>IFERROR(__xludf.DUMMYFUNCTION("""COMPUTED_VALUE"""),"PICADURAS DE INSECTOS")</f>
        <v>PICADURAS DE INSECTOS</v>
      </c>
      <c r="AD389" s="12" t="str">
        <f>IFERROR(__xludf.DUMMYFUNCTION("""COMPUTED_VALUE"""),"4B")</f>
        <v>4B</v>
      </c>
      <c r="AE389" s="12">
        <f>IFERROR(__xludf.DUMMYFUNCTION("""COMPUTED_VALUE"""),1.345282195E9)</f>
        <v>1345282195</v>
      </c>
      <c r="AF389" s="12" t="str">
        <f>IFERROR(__xludf.DUMMYFUNCTION("""COMPUTED_VALUE"""),"0698073827")</f>
        <v>0698073827</v>
      </c>
      <c r="AG389" s="12" t="str">
        <f>IFERROR(__xludf.DUMMYFUNCTION("""COMPUTED_VALUE"""),"Diana")</f>
        <v>Diana</v>
      </c>
      <c r="AH389" s="6"/>
      <c r="AI389" s="6" t="str">
        <f>IFERROR(__xludf.DUMMYFUNCTION("""COMPUTED_VALUE"""),"Toro Giraldo")</f>
        <v>Toro Giraldo</v>
      </c>
      <c r="AJ389" s="6" t="str">
        <f>IFERROR(__xludf.DUMMYFUNCTION("""COMPUTED_VALUE"""),"dianatoro@hotmail.com")</f>
        <v>dianatoro@hotmail.com</v>
      </c>
      <c r="AK389" s="6" t="str">
        <f>IFERROR(__xludf.DUMMYFUNCTION("""COMPUTED_VALUE"""),"MEDICA OFTALMOLOGA")</f>
        <v>MEDICA OFTALMOLOGA</v>
      </c>
      <c r="AL389" s="6"/>
      <c r="AM389" s="12" t="str">
        <f>IFERROR(__xludf.DUMMYFUNCTION("""COMPUTED_VALUE"""),"43256417")</f>
        <v>43256417</v>
      </c>
      <c r="AN389" s="12" t="str">
        <f>IFERROR(__xludf.DUMMYFUNCTION("""COMPUTED_VALUE"""),"3113894156")</f>
        <v>3113894156</v>
      </c>
      <c r="AO389" s="6" t="str">
        <f>IFERROR(__xludf.DUMMYFUNCTION("""COMPUTED_VALUE"""),"Madre")</f>
        <v>Madre</v>
      </c>
      <c r="AP389" s="6" t="str">
        <f>IFERROR(__xludf.DUMMYFUNCTION("""COMPUTED_VALUE"""),"Estudiante(s): Quintero Toro")</f>
        <v>Estudiante(s): Quintero Toro</v>
      </c>
      <c r="AQ389" s="6" t="str">
        <f>IFERROR(__xludf.DUMMYFUNCTION("""COMPUTED_VALUE"""),"120210*Gi")</f>
        <v>120210*Gi</v>
      </c>
      <c r="AR389" s="6" t="str">
        <f>IFERROR(__xludf.DUMMYFUNCTION("""COMPUTED_VALUE"""),"Juan")</f>
        <v>Juan</v>
      </c>
      <c r="AS389" s="6" t="str">
        <f>IFERROR(__xludf.DUMMYFUNCTION("""COMPUTED_VALUE"""),"David")</f>
        <v>David</v>
      </c>
      <c r="AT389" s="6" t="str">
        <f>IFERROR(__xludf.DUMMYFUNCTION("""COMPUTED_VALUE"""),"Quintero Díaz")</f>
        <v>Quintero Díaz</v>
      </c>
      <c r="AU389" s="6" t="str">
        <f>IFERROR(__xludf.DUMMYFUNCTION("""COMPUTED_VALUE"""),"judaquidi@hotmail.com")</f>
        <v>judaquidi@hotmail.com</v>
      </c>
      <c r="AV389" s="6" t="str">
        <f>IFERROR(__xludf.DUMMYFUNCTION("""COMPUTED_VALUE"""),"ADMINIESTRADOR DE EMPRESAS")</f>
        <v>ADMINIESTRADOR DE EMPRESAS</v>
      </c>
      <c r="AW389" s="6"/>
      <c r="AX389" s="12" t="str">
        <f>IFERROR(__xludf.DUMMYFUNCTION("""COMPUTED_VALUE"""),"9736166")</f>
        <v>9736166</v>
      </c>
      <c r="AY389" s="12" t="str">
        <f>IFERROR(__xludf.DUMMYFUNCTION("""COMPUTED_VALUE"""),"3204857571")</f>
        <v>3204857571</v>
      </c>
      <c r="AZ389" s="6" t="str">
        <f>IFERROR(__xludf.DUMMYFUNCTION("""COMPUTED_VALUE"""),"Padre")</f>
        <v>Padre</v>
      </c>
      <c r="BA389" s="6"/>
      <c r="BB389" s="6"/>
      <c r="BC389" s="6"/>
      <c r="BD389" s="12" t="str">
        <f>IFERROR(__xludf.DUMMYFUNCTION("""COMPUTED_VALUE"""),"qui0005")</f>
        <v>qui0005</v>
      </c>
      <c r="BE389" s="6"/>
      <c r="BF389" s="6"/>
      <c r="BG389" s="6">
        <f>IFERROR(__xludf.DUMMYFUNCTION("""COMPUTED_VALUE"""),2035.0)</f>
        <v>2035</v>
      </c>
      <c r="BH389" s="15">
        <f>IFERROR(__xludf.DUMMYFUNCTION("""COMPUTED_VALUE"""),46212.6878125)</f>
        <v>46212.68781</v>
      </c>
      <c r="BI389" s="6">
        <f>IFERROR(__xludf.DUMMYFUNCTION("""COMPUTED_VALUE"""),389.0)</f>
        <v>389</v>
      </c>
      <c r="BJ389" s="6"/>
      <c r="BK389" s="6"/>
      <c r="BL389" s="6" t="str">
        <f>IFERROR(__xludf.DUMMYFUNCTION("""COMPUTED_VALUE"""),"GISQUI0005")</f>
        <v>GISQUI0005</v>
      </c>
      <c r="BM389" s="6"/>
      <c r="BN389" s="6"/>
      <c r="BO389" s="6"/>
      <c r="BP389" s="6" t="str">
        <f>IFERROR(__xludf.DUMMYFUNCTION("""COMPUTED_VALUE"""),"XC_EL_Taekwondo")</f>
        <v>XC_EL_Taekwondo</v>
      </c>
      <c r="BQ389" s="6" t="str">
        <f>IFERROR(__xludf.DUMMYFUNCTION("""COMPUTED_VALUE"""),"XC_EL_Taekwondo")</f>
        <v>XC_EL_Taekwondo</v>
      </c>
      <c r="BR389" s="6"/>
      <c r="BS389" s="6" t="str">
        <f>IFERROR(__xludf.DUMMYFUNCTION("""COMPUTED_VALUE"""),"XC_EL_Taekwondo")</f>
        <v>XC_EL_Taekwondo</v>
      </c>
      <c r="BT389" s="6"/>
      <c r="BU389" s="6" t="str">
        <f>IFERROR(__xludf.DUMMYFUNCTION("""COMPUTED_VALUE"""),"SI")</f>
        <v>SI</v>
      </c>
      <c r="BV389" s="6" t="str">
        <f>IFERROR(__xludf.DUMMYFUNCTION("""COMPUTED_VALUE"""),"santiago.q2035")</f>
        <v>santiago.q2035</v>
      </c>
      <c r="BW389" s="6"/>
      <c r="BX389" s="6"/>
      <c r="BY389" s="6"/>
      <c r="BZ389" s="6"/>
    </row>
    <row r="390">
      <c r="A390" s="12">
        <f>IFERROR(__xludf.DUMMYFUNCTION("""COMPUTED_VALUE"""),1.019913887E9)</f>
        <v>1019913887</v>
      </c>
      <c r="B390" s="6">
        <f>IFERROR(__xludf.DUMMYFUNCTION("""COMPUTED_VALUE"""),20.0)</f>
        <v>20</v>
      </c>
      <c r="C390" s="6" t="str">
        <f>IFERROR(__xludf.DUMMYFUNCTION("""COMPUTED_VALUE"""),"María")</f>
        <v>María</v>
      </c>
      <c r="D390" s="6" t="str">
        <f>IFERROR(__xludf.DUMMYFUNCTION("""COMPUTED_VALUE"""),"Guadalupe")</f>
        <v>Guadalupe</v>
      </c>
      <c r="E390" s="6" t="str">
        <f>IFERROR(__xludf.DUMMYFUNCTION("""COMPUTED_VALUE"""),"Rhenals Silva")</f>
        <v>Rhenals Silva</v>
      </c>
      <c r="F390" s="6" t="str">
        <f>IFERROR(__xludf.DUMMYFUNCTION("""COMPUTED_VALUE"""),"Conjunto Campestre Quintas de San Sebastian Casa 5 - Vereda Bonanza Km 5 No1Nte - 65")</f>
        <v>Conjunto Campestre Quintas de San Sebastian Casa 5 - Vereda Bonanza Km 5 No1Nte - 65</v>
      </c>
      <c r="G390" s="12" t="str">
        <f>IFERROR(__xludf.DUMMYFUNCTION("""COMPUTED_VALUE"""),"2016")</f>
        <v>2016</v>
      </c>
      <c r="H390" s="6" t="str">
        <f>IFERROR(__xludf.DUMMYFUNCTION("""COMPUTED_VALUE"""),"Noviembre")</f>
        <v>Noviembre</v>
      </c>
      <c r="I390" s="12" t="str">
        <f>IFERROR(__xludf.DUMMYFUNCTION("""COMPUTED_VALUE"""),"9")</f>
        <v>9</v>
      </c>
      <c r="J390" s="6" t="str">
        <f>IFERROR(__xludf.DUMMYFUNCTION("""COMPUTED_VALUE"""),"Bogotá D.C.")</f>
        <v>Bogotá D.C.</v>
      </c>
      <c r="K390" s="6" t="str">
        <f>IFERROR(__xludf.DUMMYFUNCTION("""COMPUTED_VALUE"""),"maria.r2035@gi.edu.co")</f>
        <v>maria.r2035@gi.edu.co</v>
      </c>
      <c r="L390" s="6" t="str">
        <f>IFERROR(__xludf.DUMMYFUNCTION("""COMPUTED_VALUE"""),"RC")</f>
        <v>RC</v>
      </c>
      <c r="M390" s="6" t="str">
        <f>IFERROR(__xludf.DUMMYFUNCTION("""COMPUTED_VALUE"""),"Bogotá D.C.")</f>
        <v>Bogotá D.C.</v>
      </c>
      <c r="N390" s="6" t="str">
        <f>IFERROR(__xludf.DUMMYFUNCTION("""COMPUTED_VALUE"""),"F")</f>
        <v>F</v>
      </c>
      <c r="O390" s="6" t="str">
        <f>IFERROR(__xludf.DUMMYFUNCTION("""COMPUTED_VALUE"""),"ACTIVE")</f>
        <v>ACTIVE</v>
      </c>
      <c r="P390" s="6"/>
      <c r="Q390" s="6" t="str">
        <f>IFERROR(__xludf.DUMMYFUNCTION("""COMPUTED_VALUE"""),"La Tebaida")</f>
        <v>La Tebaida</v>
      </c>
      <c r="R390" s="12" t="str">
        <f>IFERROR(__xludf.DUMMYFUNCTION("""COMPUTED_VALUE"""),"Gi28dnc7*")</f>
        <v>Gi28dnc7*</v>
      </c>
      <c r="S390" s="6" t="str">
        <f>IFERROR(__xludf.DUMMYFUNCTION("""COMPUTED_VALUE"""),"Rhenals Silva María Guadalupe")</f>
        <v>Rhenals Silva María Guadalupe</v>
      </c>
      <c r="T390" s="6" t="str">
        <f>IFERROR(__xludf.DUMMYFUNCTION("""COMPUTED_VALUE"""),"ALFONSO EMILIO RHENALS ANGULO")</f>
        <v>ALFONSO EMILIO RHENALS ANGULO</v>
      </c>
      <c r="U390" s="12" t="str">
        <f>IFERROR(__xludf.DUMMYFUNCTION("""COMPUTED_VALUE"""),"78031619")</f>
        <v>78031619</v>
      </c>
      <c r="V390" s="6">
        <f>IFERROR(__xludf.DUMMYFUNCTION("""COMPUTED_VALUE"""),3.017291917E9)</f>
        <v>3017291917</v>
      </c>
      <c r="W390" s="6" t="str">
        <f>IFERROR(__xludf.DUMMYFUNCTION("""COMPUTED_VALUE"""),"aerha_7@hotmail.com")</f>
        <v>aerha_7@hotmail.com</v>
      </c>
      <c r="X390" s="12" t="str">
        <f>IFERROR(__xludf.DUMMYFUNCTION("""COMPUTED_VALUE"""),"O+")</f>
        <v>O+</v>
      </c>
      <c r="Y390" s="12" t="str">
        <f>IFERROR(__xludf.DUMMYFUNCTION("""COMPUTED_VALUE"""),"4")</f>
        <v>4</v>
      </c>
      <c r="Z390" s="12">
        <f>IFERROR(__xludf.DUMMYFUNCTION("""COMPUTED_VALUE"""),120224.0)</f>
        <v>120224</v>
      </c>
      <c r="AA390" s="6" t="str">
        <f>IFERROR(__xludf.DUMMYFUNCTION("""COMPUTED_VALUE"""),"COLMEDICA")</f>
        <v>COLMEDICA</v>
      </c>
      <c r="AB390" s="6"/>
      <c r="AC390" s="6"/>
      <c r="AD390" s="12" t="str">
        <f>IFERROR(__xludf.DUMMYFUNCTION("""COMPUTED_VALUE"""),"4B")</f>
        <v>4B</v>
      </c>
      <c r="AE390" s="12">
        <f>IFERROR(__xludf.DUMMYFUNCTION("""COMPUTED_VALUE"""),1.345282215E9)</f>
        <v>1345282215</v>
      </c>
      <c r="AF390" s="12" t="str">
        <f>IFERROR(__xludf.DUMMYFUNCTION("""COMPUTED_VALUE"""),"0706399907")</f>
        <v>0706399907</v>
      </c>
      <c r="AG390" s="12" t="str">
        <f>IFERROR(__xludf.DUMMYFUNCTION("""COMPUTED_VALUE"""),"Martha")</f>
        <v>Martha</v>
      </c>
      <c r="AH390" s="12" t="str">
        <f>IFERROR(__xludf.DUMMYFUNCTION("""COMPUTED_VALUE"""),"Andrea")</f>
        <v>Andrea</v>
      </c>
      <c r="AI390" s="6" t="str">
        <f>IFERROR(__xludf.DUMMYFUNCTION("""COMPUTED_VALUE"""),"Silva Barreto")</f>
        <v>Silva Barreto</v>
      </c>
      <c r="AJ390" s="6" t="str">
        <f>IFERROR(__xludf.DUMMYFUNCTION("""COMPUTED_VALUE"""),"msilvabarreto@yahoo.com")</f>
        <v>msilvabarreto@yahoo.com</v>
      </c>
      <c r="AK390" s="6" t="str">
        <f>IFERROR(__xludf.DUMMYFUNCTION("""COMPUTED_VALUE"""),"Abogada")</f>
        <v>Abogada</v>
      </c>
      <c r="AL390" s="6"/>
      <c r="AM390" s="12" t="str">
        <f>IFERROR(__xludf.DUMMYFUNCTION("""COMPUTED_VALUE"""),"52159632")</f>
        <v>52159632</v>
      </c>
      <c r="AN390" s="12" t="str">
        <f>IFERROR(__xludf.DUMMYFUNCTION("""COMPUTED_VALUE"""),"3103258428")</f>
        <v>3103258428</v>
      </c>
      <c r="AO390" s="6" t="str">
        <f>IFERROR(__xludf.DUMMYFUNCTION("""COMPUTED_VALUE"""),"Madre")</f>
        <v>Madre</v>
      </c>
      <c r="AP390" s="6" t="str">
        <f>IFERROR(__xludf.DUMMYFUNCTION("""COMPUTED_VALUE"""),"Estudiante(s): Rhenals Silva")</f>
        <v>Estudiante(s): Rhenals Silva</v>
      </c>
      <c r="AQ390" s="6" t="str">
        <f>IFERROR(__xludf.DUMMYFUNCTION("""COMPUTED_VALUE"""),"120224*Gi")</f>
        <v>120224*Gi</v>
      </c>
      <c r="AR390" s="6" t="str">
        <f>IFERROR(__xludf.DUMMYFUNCTION("""COMPUTED_VALUE"""),"Alfonso")</f>
        <v>Alfonso</v>
      </c>
      <c r="AS390" s="6" t="str">
        <f>IFERROR(__xludf.DUMMYFUNCTION("""COMPUTED_VALUE"""),"Emilio")</f>
        <v>Emilio</v>
      </c>
      <c r="AT390" s="6" t="str">
        <f>IFERROR(__xludf.DUMMYFUNCTION("""COMPUTED_VALUE"""),"Rhenals Angulo")</f>
        <v>Rhenals Angulo</v>
      </c>
      <c r="AU390" s="6" t="str">
        <f>IFERROR(__xludf.DUMMYFUNCTION("""COMPUTED_VALUE"""),"aerha_7@hotmail.com")</f>
        <v>aerha_7@hotmail.com</v>
      </c>
      <c r="AV390" s="6" t="str">
        <f>IFERROR(__xludf.DUMMYFUNCTION("""COMPUTED_VALUE"""),"chef")</f>
        <v>chef</v>
      </c>
      <c r="AW390" s="6"/>
      <c r="AX390" s="12" t="str">
        <f>IFERROR(__xludf.DUMMYFUNCTION("""COMPUTED_VALUE"""),"78031619")</f>
        <v>78031619</v>
      </c>
      <c r="AY390" s="12" t="str">
        <f>IFERROR(__xludf.DUMMYFUNCTION("""COMPUTED_VALUE"""),"3017291917")</f>
        <v>3017291917</v>
      </c>
      <c r="AZ390" s="6" t="str">
        <f>IFERROR(__xludf.DUMMYFUNCTION("""COMPUTED_VALUE"""),"Padre")</f>
        <v>Padre</v>
      </c>
      <c r="BA390" s="6"/>
      <c r="BB390" s="6"/>
      <c r="BC390" s="6"/>
      <c r="BD390" s="12" t="str">
        <f>IFERROR(__xludf.DUMMYFUNCTION("""COMPUTED_VALUE"""),"rhe0001")</f>
        <v>rhe0001</v>
      </c>
      <c r="BE390" s="6"/>
      <c r="BF390" s="6"/>
      <c r="BG390" s="6">
        <f>IFERROR(__xludf.DUMMYFUNCTION("""COMPUTED_VALUE"""),2035.0)</f>
        <v>2035</v>
      </c>
      <c r="BH390" s="15">
        <f>IFERROR(__xludf.DUMMYFUNCTION("""COMPUTED_VALUE"""),46205.4596875)</f>
        <v>46205.45969</v>
      </c>
      <c r="BI390" s="6">
        <f>IFERROR(__xludf.DUMMYFUNCTION("""COMPUTED_VALUE"""),390.0)</f>
        <v>390</v>
      </c>
      <c r="BJ390" s="6"/>
      <c r="BK390" s="6"/>
      <c r="BL390" s="6" t="str">
        <f>IFERROR(__xludf.DUMMYFUNCTION("""COMPUTED_VALUE"""),"GISRHE0001")</f>
        <v>GISRHE0001</v>
      </c>
      <c r="BM390" s="6"/>
      <c r="BN390" s="6"/>
      <c r="BO390" s="6"/>
      <c r="BP390" s="6"/>
      <c r="BQ390" s="6"/>
      <c r="BR390" s="6"/>
      <c r="BS390" s="6"/>
      <c r="BT390" s="6"/>
      <c r="BU390" s="6" t="str">
        <f>IFERROR(__xludf.DUMMYFUNCTION("""COMPUTED_VALUE"""),"SI")</f>
        <v>SI</v>
      </c>
      <c r="BV390" s="6" t="str">
        <f>IFERROR(__xludf.DUMMYFUNCTION("""COMPUTED_VALUE"""),"maria.r2035")</f>
        <v>maria.r2035</v>
      </c>
      <c r="BW390" s="6"/>
      <c r="BX390" s="6"/>
      <c r="BY390" s="6"/>
      <c r="BZ390" s="6"/>
    </row>
    <row r="391">
      <c r="A391" s="12">
        <f>IFERROR(__xludf.DUMMYFUNCTION("""COMPUTED_VALUE"""),1.092860734E9)</f>
        <v>1092860734</v>
      </c>
      <c r="B391" s="6">
        <f>IFERROR(__xludf.DUMMYFUNCTION("""COMPUTED_VALUE"""),21.0)</f>
        <v>21</v>
      </c>
      <c r="C391" s="6" t="str">
        <f>IFERROR(__xludf.DUMMYFUNCTION("""COMPUTED_VALUE"""),"Juan")</f>
        <v>Juan</v>
      </c>
      <c r="D391" s="6" t="str">
        <f>IFERROR(__xludf.DUMMYFUNCTION("""COMPUTED_VALUE"""),"Martín")</f>
        <v>Martín</v>
      </c>
      <c r="E391" s="6" t="str">
        <f>IFERROR(__xludf.DUMMYFUNCTION("""COMPUTED_VALUE"""),"Roa Chica")</f>
        <v>Roa Chica</v>
      </c>
      <c r="F391" s="6" t="str">
        <f>IFERROR(__xludf.DUMMYFUNCTION("""COMPUTED_VALUE"""),"Calle 19Nte No10 - 42 Casa 32")</f>
        <v>Calle 19Nte No10 - 42 Casa 32</v>
      </c>
      <c r="G391" s="12" t="str">
        <f>IFERROR(__xludf.DUMMYFUNCTION("""COMPUTED_VALUE"""),"2017")</f>
        <v>2017</v>
      </c>
      <c r="H391" s="6" t="str">
        <f>IFERROR(__xludf.DUMMYFUNCTION("""COMPUTED_VALUE"""),"Enero")</f>
        <v>Enero</v>
      </c>
      <c r="I391" s="12" t="str">
        <f>IFERROR(__xludf.DUMMYFUNCTION("""COMPUTED_VALUE"""),"6")</f>
        <v>6</v>
      </c>
      <c r="J391" s="6" t="str">
        <f>IFERROR(__xludf.DUMMYFUNCTION("""COMPUTED_VALUE"""),"Armenia")</f>
        <v>Armenia</v>
      </c>
      <c r="K391" s="6" t="str">
        <f>IFERROR(__xludf.DUMMYFUNCTION("""COMPUTED_VALUE"""),"juanm.r2035@gi.edu.co")</f>
        <v>juanm.r2035@gi.edu.co</v>
      </c>
      <c r="L391" s="6" t="str">
        <f>IFERROR(__xludf.DUMMYFUNCTION("""COMPUTED_VALUE"""),"TI")</f>
        <v>TI</v>
      </c>
      <c r="M391" s="6" t="str">
        <f>IFERROR(__xludf.DUMMYFUNCTION("""COMPUTED_VALUE"""),"Armenia")</f>
        <v>Armenia</v>
      </c>
      <c r="N391" s="6" t="str">
        <f>IFERROR(__xludf.DUMMYFUNCTION("""COMPUTED_VALUE"""),"M")</f>
        <v>M</v>
      </c>
      <c r="O391" s="6" t="str">
        <f>IFERROR(__xludf.DUMMYFUNCTION("""COMPUTED_VALUE"""),"ACTIVE")</f>
        <v>ACTIVE</v>
      </c>
      <c r="P391" s="6"/>
      <c r="Q391" s="6" t="str">
        <f>IFERROR(__xludf.DUMMYFUNCTION("""COMPUTED_VALUE"""),"Armenia")</f>
        <v>Armenia</v>
      </c>
      <c r="R391" s="12" t="str">
        <f>IFERROR(__xludf.DUMMYFUNCTION("""COMPUTED_VALUE"""),"Gi6ty5vf*")</f>
        <v>Gi6ty5vf*</v>
      </c>
      <c r="S391" s="6" t="str">
        <f>IFERROR(__xludf.DUMMYFUNCTION("""COMPUTED_VALUE"""),"Roa Chica Juan Martín")</f>
        <v>Roa Chica Juan Martín</v>
      </c>
      <c r="T391" s="6" t="str">
        <f>IFERROR(__xludf.DUMMYFUNCTION("""COMPUTED_VALUE"""),"JORGE EMILIO ROA BARRETO")</f>
        <v>JORGE EMILIO ROA BARRETO</v>
      </c>
      <c r="U391" s="12" t="str">
        <f>IFERROR(__xludf.DUMMYFUNCTION("""COMPUTED_VALUE"""),"9737762")</f>
        <v>9737762</v>
      </c>
      <c r="V391" s="6">
        <f>IFERROR(__xludf.DUMMYFUNCTION("""COMPUTED_VALUE"""),3.192561559E9)</f>
        <v>3192561559</v>
      </c>
      <c r="W391" s="6" t="str">
        <f>IFERROR(__xludf.DUMMYFUNCTION("""COMPUTED_VALUE"""),"jorgemil@gmail.com")</f>
        <v>jorgemil@gmail.com</v>
      </c>
      <c r="X391" s="12" t="str">
        <f>IFERROR(__xludf.DUMMYFUNCTION("""COMPUTED_VALUE"""),"A+")</f>
        <v>A+</v>
      </c>
      <c r="Y391" s="12" t="str">
        <f>IFERROR(__xludf.DUMMYFUNCTION("""COMPUTED_VALUE"""),"4")</f>
        <v>4</v>
      </c>
      <c r="Z391" s="12">
        <f>IFERROR(__xludf.DUMMYFUNCTION("""COMPUTED_VALUE"""),120333.0)</f>
        <v>120333</v>
      </c>
      <c r="AA391" s="6" t="str">
        <f>IFERROR(__xludf.DUMMYFUNCTION("""COMPUTED_VALUE"""),"SANITAS")</f>
        <v>SANITAS</v>
      </c>
      <c r="AB391" s="6"/>
      <c r="AC391" s="6"/>
      <c r="AD391" s="12" t="str">
        <f>IFERROR(__xludf.DUMMYFUNCTION("""COMPUTED_VALUE"""),"4B")</f>
        <v>4B</v>
      </c>
      <c r="AE391" s="12">
        <f>IFERROR(__xludf.DUMMYFUNCTION("""COMPUTED_VALUE"""),1.345282334E9)</f>
        <v>1345282334</v>
      </c>
      <c r="AF391" s="12" t="str">
        <f>IFERROR(__xludf.DUMMYFUNCTION("""COMPUTED_VALUE"""),"0698487171")</f>
        <v>0698487171</v>
      </c>
      <c r="AG391" s="12" t="str">
        <f>IFERROR(__xludf.DUMMYFUNCTION("""COMPUTED_VALUE"""),"Mónica")</f>
        <v>Mónica</v>
      </c>
      <c r="AH391" s="12" t="str">
        <f>IFERROR(__xludf.DUMMYFUNCTION("""COMPUTED_VALUE"""),"Bibiana")</f>
        <v>Bibiana</v>
      </c>
      <c r="AI391" s="6" t="str">
        <f>IFERROR(__xludf.DUMMYFUNCTION("""COMPUTED_VALUE"""),"Chica Sierra")</f>
        <v>Chica Sierra</v>
      </c>
      <c r="AJ391" s="6" t="str">
        <f>IFERROR(__xludf.DUMMYFUNCTION("""COMPUTED_VALUE"""),"monicabibianachica@gmail.com")</f>
        <v>monicabibianachica@gmail.com</v>
      </c>
      <c r="AK391" s="6" t="str">
        <f>IFERROR(__xludf.DUMMYFUNCTION("""COMPUTED_VALUE"""),"Ingeniería de sistemas")</f>
        <v>Ingeniería de sistemas</v>
      </c>
      <c r="AL391" s="6"/>
      <c r="AM391" s="12" t="str">
        <f>IFERROR(__xludf.DUMMYFUNCTION("""COMPUTED_VALUE"""),"41942046")</f>
        <v>41942046</v>
      </c>
      <c r="AN391" s="12" t="str">
        <f>IFERROR(__xludf.DUMMYFUNCTION("""COMPUTED_VALUE"""),"3192522168")</f>
        <v>3192522168</v>
      </c>
      <c r="AO391" s="6" t="str">
        <f>IFERROR(__xludf.DUMMYFUNCTION("""COMPUTED_VALUE"""),"Madre")</f>
        <v>Madre</v>
      </c>
      <c r="AP391" s="6" t="str">
        <f>IFERROR(__xludf.DUMMYFUNCTION("""COMPUTED_VALUE"""),"Estudiante(s): Roa Chica")</f>
        <v>Estudiante(s): Roa Chica</v>
      </c>
      <c r="AQ391" s="6" t="str">
        <f>IFERROR(__xludf.DUMMYFUNCTION("""COMPUTED_VALUE"""),"120333*Gi")</f>
        <v>120333*Gi</v>
      </c>
      <c r="AR391" s="6" t="str">
        <f>IFERROR(__xludf.DUMMYFUNCTION("""COMPUTED_VALUE"""),"Jorge")</f>
        <v>Jorge</v>
      </c>
      <c r="AS391" s="6" t="str">
        <f>IFERROR(__xludf.DUMMYFUNCTION("""COMPUTED_VALUE"""),"Emilio")</f>
        <v>Emilio</v>
      </c>
      <c r="AT391" s="6" t="str">
        <f>IFERROR(__xludf.DUMMYFUNCTION("""COMPUTED_VALUE"""),"Roa Barreto")</f>
        <v>Roa Barreto</v>
      </c>
      <c r="AU391" s="6" t="str">
        <f>IFERROR(__xludf.DUMMYFUNCTION("""COMPUTED_VALUE"""),"jorgemil@gmail.com")</f>
        <v>jorgemil@gmail.com</v>
      </c>
      <c r="AV391" s="6" t="str">
        <f>IFERROR(__xludf.DUMMYFUNCTION("""COMPUTED_VALUE"""),"Ingeniería de sistemas")</f>
        <v>Ingeniería de sistemas</v>
      </c>
      <c r="AW391" s="6"/>
      <c r="AX391" s="12" t="str">
        <f>IFERROR(__xludf.DUMMYFUNCTION("""COMPUTED_VALUE"""),"9737762")</f>
        <v>9737762</v>
      </c>
      <c r="AY391" s="12" t="str">
        <f>IFERROR(__xludf.DUMMYFUNCTION("""COMPUTED_VALUE"""),"3192561559")</f>
        <v>3192561559</v>
      </c>
      <c r="AZ391" s="6" t="str">
        <f>IFERROR(__xludf.DUMMYFUNCTION("""COMPUTED_VALUE"""),"Padre")</f>
        <v>Padre</v>
      </c>
      <c r="BA391" s="6"/>
      <c r="BB391" s="6"/>
      <c r="BC391" s="6"/>
      <c r="BD391" s="12" t="str">
        <f>IFERROR(__xludf.DUMMYFUNCTION("""COMPUTED_VALUE"""),"roa0001")</f>
        <v>roa0001</v>
      </c>
      <c r="BE391" s="6"/>
      <c r="BF391" s="6"/>
      <c r="BG391" s="6">
        <f>IFERROR(__xludf.DUMMYFUNCTION("""COMPUTED_VALUE"""),2035.0)</f>
        <v>2035</v>
      </c>
      <c r="BH391" s="15">
        <f>IFERROR(__xludf.DUMMYFUNCTION("""COMPUTED_VALUE"""),46208.716770833336)</f>
        <v>46208.71677</v>
      </c>
      <c r="BI391" s="6">
        <f>IFERROR(__xludf.DUMMYFUNCTION("""COMPUTED_VALUE"""),391.0)</f>
        <v>391</v>
      </c>
      <c r="BJ391" s="6"/>
      <c r="BK391" s="6"/>
      <c r="BL391" s="6" t="str">
        <f>IFERROR(__xludf.DUMMYFUNCTION("""COMPUTED_VALUE"""),"GISROA0001")</f>
        <v>GISROA0001</v>
      </c>
      <c r="BM391" s="6"/>
      <c r="BN391" s="6"/>
      <c r="BO391" s="6"/>
      <c r="BP391" s="6" t="str">
        <f>IFERROR(__xludf.DUMMYFUNCTION("""COMPUTED_VALUE"""),"XC_4_Futbol_M")</f>
        <v>XC_4_Futbol_M</v>
      </c>
      <c r="BQ391" s="6"/>
      <c r="BR391" s="6"/>
      <c r="BS391" s="6" t="str">
        <f>IFERROR(__xludf.DUMMYFUNCTION("""COMPUTED_VALUE"""),"XC_4_Futbol_M")</f>
        <v>XC_4_Futbol_M</v>
      </c>
      <c r="BT391" s="6" t="str">
        <f>IFERROR(__xludf.DUMMYFUNCTION("""COMPUTED_VALUE"""),"XC_4_Futbol_M")</f>
        <v>XC_4_Futbol_M</v>
      </c>
      <c r="BU391" s="6" t="str">
        <f>IFERROR(__xludf.DUMMYFUNCTION("""COMPUTED_VALUE"""),"SI")</f>
        <v>SI</v>
      </c>
      <c r="BV391" s="6" t="str">
        <f>IFERROR(__xludf.DUMMYFUNCTION("""COMPUTED_VALUE"""),"juanm.r2035")</f>
        <v>juanm.r2035</v>
      </c>
      <c r="BW391" s="6"/>
      <c r="BX391" s="6"/>
      <c r="BY391" s="6"/>
      <c r="BZ391" s="6"/>
    </row>
    <row r="392">
      <c r="A392" s="12">
        <f>IFERROR(__xludf.DUMMYFUNCTION("""COMPUTED_VALUE"""),1.092464999E9)</f>
        <v>1092464999</v>
      </c>
      <c r="B392" s="6">
        <f>IFERROR(__xludf.DUMMYFUNCTION("""COMPUTED_VALUE"""),22.0)</f>
        <v>22</v>
      </c>
      <c r="C392" s="6" t="str">
        <f>IFERROR(__xludf.DUMMYFUNCTION("""COMPUTED_VALUE"""),"Sofía")</f>
        <v>Sofía</v>
      </c>
      <c r="D392" s="6"/>
      <c r="E392" s="6" t="str">
        <f>IFERROR(__xludf.DUMMYFUNCTION("""COMPUTED_VALUE"""),"Rodríguez Giraldo")</f>
        <v>Rodríguez Giraldo</v>
      </c>
      <c r="F392" s="6" t="str">
        <f>IFERROR(__xludf.DUMMYFUNCTION("""COMPUTED_VALUE"""),"Colina Del Parque - Cra 11 9Nte - 01 La Castellana")</f>
        <v>Colina Del Parque - Cra 11 9Nte - 01 La Castellana</v>
      </c>
      <c r="G392" s="12" t="str">
        <f>IFERROR(__xludf.DUMMYFUNCTION("""COMPUTED_VALUE"""),"2016")</f>
        <v>2016</v>
      </c>
      <c r="H392" s="6" t="str">
        <f>IFERROR(__xludf.DUMMYFUNCTION("""COMPUTED_VALUE"""),"Noviembre")</f>
        <v>Noviembre</v>
      </c>
      <c r="I392" s="12" t="str">
        <f>IFERROR(__xludf.DUMMYFUNCTION("""COMPUTED_VALUE"""),"22")</f>
        <v>22</v>
      </c>
      <c r="J392" s="6" t="str">
        <f>IFERROR(__xludf.DUMMYFUNCTION("""COMPUTED_VALUE"""),"Armenia")</f>
        <v>Armenia</v>
      </c>
      <c r="K392" s="6" t="str">
        <f>IFERROR(__xludf.DUMMYFUNCTION("""COMPUTED_VALUE"""),"sofia.r2035@gi.edu.co")</f>
        <v>sofia.r2035@gi.edu.co</v>
      </c>
      <c r="L392" s="6" t="str">
        <f>IFERROR(__xludf.DUMMYFUNCTION("""COMPUTED_VALUE"""),"TI")</f>
        <v>TI</v>
      </c>
      <c r="M392" s="6" t="str">
        <f>IFERROR(__xludf.DUMMYFUNCTION("""COMPUTED_VALUE"""),"Armenia")</f>
        <v>Armenia</v>
      </c>
      <c r="N392" s="6" t="str">
        <f>IFERROR(__xludf.DUMMYFUNCTION("""COMPUTED_VALUE"""),"F")</f>
        <v>F</v>
      </c>
      <c r="O392" s="6" t="str">
        <f>IFERROR(__xludf.DUMMYFUNCTION("""COMPUTED_VALUE"""),"ACTIVE")</f>
        <v>ACTIVE</v>
      </c>
      <c r="P392" s="6"/>
      <c r="Q392" s="6" t="str">
        <f>IFERROR(__xludf.DUMMYFUNCTION("""COMPUTED_VALUE"""),"Armenia")</f>
        <v>Armenia</v>
      </c>
      <c r="R392" s="12" t="str">
        <f>IFERROR(__xludf.DUMMYFUNCTION("""COMPUTED_VALUE"""),"Gid84ut9b*")</f>
        <v>Gid84ut9b*</v>
      </c>
      <c r="S392" s="6" t="str">
        <f>IFERROR(__xludf.DUMMYFUNCTION("""COMPUTED_VALUE"""),"Rodríguez Giraldo Sofía ")</f>
        <v>Rodríguez Giraldo Sofía </v>
      </c>
      <c r="T392" s="6" t="str">
        <f>IFERROR(__xludf.DUMMYFUNCTION("""COMPUTED_VALUE"""),"JUAN MANUEL RODRIGUEZ B")</f>
        <v>JUAN MANUEL RODRIGUEZ B</v>
      </c>
      <c r="U392" s="12" t="str">
        <f>IFERROR(__xludf.DUMMYFUNCTION("""COMPUTED_VALUE"""),"18471146")</f>
        <v>18471146</v>
      </c>
      <c r="V392" s="6">
        <f>IFERROR(__xludf.DUMMYFUNCTION("""COMPUTED_VALUE"""),3.103816519E9)</f>
        <v>3103816519</v>
      </c>
      <c r="W392" s="6" t="str">
        <f>IFERROR(__xludf.DUMMYFUNCTION("""COMPUTED_VALUE"""),"jmbrito00@hotmail.com")</f>
        <v>jmbrito00@hotmail.com</v>
      </c>
      <c r="X392" s="12" t="str">
        <f>IFERROR(__xludf.DUMMYFUNCTION("""COMPUTED_VALUE"""),"A+")</f>
        <v>A+</v>
      </c>
      <c r="Y392" s="12" t="str">
        <f>IFERROR(__xludf.DUMMYFUNCTION("""COMPUTED_VALUE"""),"4")</f>
        <v>4</v>
      </c>
      <c r="Z392" s="12">
        <f>IFERROR(__xludf.DUMMYFUNCTION("""COMPUTED_VALUE"""),120112.0)</f>
        <v>120112</v>
      </c>
      <c r="AA392" s="6" t="str">
        <f>IFERROR(__xludf.DUMMYFUNCTION("""COMPUTED_VALUE"""),"SANITAS")</f>
        <v>SANITAS</v>
      </c>
      <c r="AB392" s="6"/>
      <c r="AC392" s="6"/>
      <c r="AD392" s="12" t="str">
        <f>IFERROR(__xludf.DUMMYFUNCTION("""COMPUTED_VALUE"""),"4B")</f>
        <v>4B</v>
      </c>
      <c r="AE392" s="12">
        <f>IFERROR(__xludf.DUMMYFUNCTION("""COMPUTED_VALUE"""),1.345282128E9)</f>
        <v>1345282128</v>
      </c>
      <c r="AF392" s="12" t="str">
        <f>IFERROR(__xludf.DUMMYFUNCTION("""COMPUTED_VALUE"""),"0693612995")</f>
        <v>0693612995</v>
      </c>
      <c r="AG392" s="12" t="str">
        <f>IFERROR(__xludf.DUMMYFUNCTION("""COMPUTED_VALUE"""),"Isabel")</f>
        <v>Isabel</v>
      </c>
      <c r="AH392" s="12" t="str">
        <f>IFERROR(__xludf.DUMMYFUNCTION("""COMPUTED_VALUE"""),"Cristina")</f>
        <v>Cristina</v>
      </c>
      <c r="AI392" s="6" t="str">
        <f>IFERROR(__xludf.DUMMYFUNCTION("""COMPUTED_VALUE"""),"Giraldo Restrepo")</f>
        <v>Giraldo Restrepo</v>
      </c>
      <c r="AJ392" s="6" t="str">
        <f>IFERROR(__xludf.DUMMYFUNCTION("""COMPUTED_VALUE"""),"isagira2023@gmail.com")</f>
        <v>isagira2023@gmail.com</v>
      </c>
      <c r="AK392" s="6" t="str">
        <f>IFERROR(__xludf.DUMMYFUNCTION("""COMPUTED_VALUE"""),"Odontóloga")</f>
        <v>Odontóloga</v>
      </c>
      <c r="AL392" s="6" t="str">
        <f>IFERROR(__xludf.DUMMYFUNCTION("""COMPUTED_VALUE"""),"MARLON BECERRA ODONTOLOGÍA")</f>
        <v>MARLON BECERRA ODONTOLOGÍA</v>
      </c>
      <c r="AM392" s="12" t="str">
        <f>IFERROR(__xludf.DUMMYFUNCTION("""COMPUTED_VALUE"""),"25026457")</f>
        <v>25026457</v>
      </c>
      <c r="AN392" s="12" t="str">
        <f>IFERROR(__xludf.DUMMYFUNCTION("""COMPUTED_VALUE"""),"3164703109")</f>
        <v>3164703109</v>
      </c>
      <c r="AO392" s="6" t="str">
        <f>IFERROR(__xludf.DUMMYFUNCTION("""COMPUTED_VALUE"""),"Madre")</f>
        <v>Madre</v>
      </c>
      <c r="AP392" s="6" t="str">
        <f>IFERROR(__xludf.DUMMYFUNCTION("""COMPUTED_VALUE"""),"Estudiante(s): Rodríguez Giraldo")</f>
        <v>Estudiante(s): Rodríguez Giraldo</v>
      </c>
      <c r="AQ392" s="6" t="str">
        <f>IFERROR(__xludf.DUMMYFUNCTION("""COMPUTED_VALUE"""),"120112*Gi")</f>
        <v>120112*Gi</v>
      </c>
      <c r="AR392" s="6" t="str">
        <f>IFERROR(__xludf.DUMMYFUNCTION("""COMPUTED_VALUE"""),"Juan")</f>
        <v>Juan</v>
      </c>
      <c r="AS392" s="6" t="str">
        <f>IFERROR(__xludf.DUMMYFUNCTION("""COMPUTED_VALUE"""),"Manuel")</f>
        <v>Manuel</v>
      </c>
      <c r="AT392" s="6" t="str">
        <f>IFERROR(__xludf.DUMMYFUNCTION("""COMPUTED_VALUE"""),"Rodriguez Britto")</f>
        <v>Rodriguez Britto</v>
      </c>
      <c r="AU392" s="6" t="str">
        <f>IFERROR(__xludf.DUMMYFUNCTION("""COMPUTED_VALUE"""),"jmbrito00@hotmail.com")</f>
        <v>jmbrito00@hotmail.com</v>
      </c>
      <c r="AV392" s="6" t="str">
        <f>IFERROR(__xludf.DUMMYFUNCTION("""COMPUTED_VALUE"""),"Abogado")</f>
        <v>Abogado</v>
      </c>
      <c r="AW392" s="6" t="str">
        <f>IFERROR(__xludf.DUMMYFUNCTION("""COMPUTED_VALUE"""),"Gobernación del Quindío")</f>
        <v>Gobernación del Quindío</v>
      </c>
      <c r="AX392" s="12" t="str">
        <f>IFERROR(__xludf.DUMMYFUNCTION("""COMPUTED_VALUE"""),"18471146")</f>
        <v>18471146</v>
      </c>
      <c r="AY392" s="12" t="str">
        <f>IFERROR(__xludf.DUMMYFUNCTION("""COMPUTED_VALUE"""),"3103816519")</f>
        <v>3103816519</v>
      </c>
      <c r="AZ392" s="6" t="str">
        <f>IFERROR(__xludf.DUMMYFUNCTION("""COMPUTED_VALUE"""),"Padre")</f>
        <v>Padre</v>
      </c>
      <c r="BA392" s="6"/>
      <c r="BB392" s="6"/>
      <c r="BC392" s="6"/>
      <c r="BD392" s="12" t="str">
        <f>IFERROR(__xludf.DUMMYFUNCTION("""COMPUTED_VALUE"""),"rod0002")</f>
        <v>rod0002</v>
      </c>
      <c r="BE392" s="6"/>
      <c r="BF392" s="6"/>
      <c r="BG392" s="6">
        <f>IFERROR(__xludf.DUMMYFUNCTION("""COMPUTED_VALUE"""),2035.0)</f>
        <v>2035</v>
      </c>
      <c r="BH392" s="15">
        <f>IFERROR(__xludf.DUMMYFUNCTION("""COMPUTED_VALUE"""),46210.763333333336)</f>
        <v>46210.76333</v>
      </c>
      <c r="BI392" s="6">
        <f>IFERROR(__xludf.DUMMYFUNCTION("""COMPUTED_VALUE"""),392.0)</f>
        <v>392</v>
      </c>
      <c r="BJ392" s="6"/>
      <c r="BK392" s="6"/>
      <c r="BL392" s="6" t="str">
        <f>IFERROR(__xludf.DUMMYFUNCTION("""COMPUTED_VALUE"""),"GISROD0002")</f>
        <v>GISROD0002</v>
      </c>
      <c r="BM392" s="6"/>
      <c r="BN392" s="6"/>
      <c r="BO392" s="6"/>
      <c r="BP392" s="6"/>
      <c r="BQ392" s="6"/>
      <c r="BR392" s="6"/>
      <c r="BS392" s="6"/>
      <c r="BT392" s="6"/>
      <c r="BU392" s="6" t="str">
        <f>IFERROR(__xludf.DUMMYFUNCTION("""COMPUTED_VALUE"""),"SI")</f>
        <v>SI</v>
      </c>
      <c r="BV392" s="6" t="str">
        <f>IFERROR(__xludf.DUMMYFUNCTION("""COMPUTED_VALUE"""),"sofia.r2035")</f>
        <v>sofia.r2035</v>
      </c>
      <c r="BW392" s="6"/>
      <c r="BX392" s="6"/>
      <c r="BY392" s="6"/>
      <c r="BZ392" s="6"/>
    </row>
    <row r="393">
      <c r="A393" s="12">
        <f>IFERROR(__xludf.DUMMYFUNCTION("""COMPUTED_VALUE"""),8024967.0)</f>
        <v>8024967</v>
      </c>
      <c r="B393" s="6">
        <f>IFERROR(__xludf.DUMMYFUNCTION("""COMPUTED_VALUE"""),23.0)</f>
        <v>23</v>
      </c>
      <c r="C393" s="6" t="str">
        <f>IFERROR(__xludf.DUMMYFUNCTION("""COMPUTED_VALUE"""),"Paola")</f>
        <v>Paola</v>
      </c>
      <c r="D393" s="6" t="str">
        <f>IFERROR(__xludf.DUMMYFUNCTION("""COMPUTED_VALUE"""),"Sarah")</f>
        <v>Sarah</v>
      </c>
      <c r="E393" s="6" t="str">
        <f>IFERROR(__xludf.DUMMYFUNCTION("""COMPUTED_VALUE"""),"Ryanovna Togiaheulu")</f>
        <v>Ryanovna Togiaheulu</v>
      </c>
      <c r="F393" s="6" t="str">
        <f>IFERROR(__xludf.DUMMYFUNCTION("""COMPUTED_VALUE"""),"Hacienda Cortijo Imperial Parque Residencial Los Cedros Torre 1 Apto 501 - Calle 49Nte No14 - 09")</f>
        <v>Hacienda Cortijo Imperial Parque Residencial Los Cedros Torre 1 Apto 501 - Calle 49Nte No14 - 09</v>
      </c>
      <c r="G393" s="12" t="str">
        <f>IFERROR(__xludf.DUMMYFUNCTION("""COMPUTED_VALUE"""),"2017")</f>
        <v>2017</v>
      </c>
      <c r="H393" s="6" t="str">
        <f>IFERROR(__xludf.DUMMYFUNCTION("""COMPUTED_VALUE"""),"Enero")</f>
        <v>Enero</v>
      </c>
      <c r="I393" s="12" t="str">
        <f>IFERROR(__xludf.DUMMYFUNCTION("""COMPUTED_VALUE"""),"23")</f>
        <v>23</v>
      </c>
      <c r="J393" s="6" t="str">
        <f>IFERROR(__xludf.DUMMYFUNCTION("""COMPUTED_VALUE"""),"Saint-Petersburg")</f>
        <v>Saint-Petersburg</v>
      </c>
      <c r="K393" s="6" t="str">
        <f>IFERROR(__xludf.DUMMYFUNCTION("""COMPUTED_VALUE"""),"paola.r2035@gi.edu.co")</f>
        <v>paola.r2035@gi.edu.co</v>
      </c>
      <c r="L393" s="6" t="str">
        <f>IFERROR(__xludf.DUMMYFUNCTION("""COMPUTED_VALUE"""),"CE")</f>
        <v>CE</v>
      </c>
      <c r="M393" s="6" t="str">
        <f>IFERROR(__xludf.DUMMYFUNCTION("""COMPUTED_VALUE"""),"Saint-Petersburg")</f>
        <v>Saint-Petersburg</v>
      </c>
      <c r="N393" s="6" t="str">
        <f>IFERROR(__xludf.DUMMYFUNCTION("""COMPUTED_VALUE"""),"F")</f>
        <v>F</v>
      </c>
      <c r="O393" s="6" t="str">
        <f>IFERROR(__xludf.DUMMYFUNCTION("""COMPUTED_VALUE"""),"INACTIVE")</f>
        <v>INACTIVE</v>
      </c>
      <c r="P393" s="6"/>
      <c r="Q393" s="6" t="str">
        <f>IFERROR(__xludf.DUMMYFUNCTION("""COMPUTED_VALUE"""),"Armenia")</f>
        <v>Armenia</v>
      </c>
      <c r="R393" s="12" t="str">
        <f>IFERROR(__xludf.DUMMYFUNCTION("""COMPUTED_VALUE"""),"Gi2evf5q*")</f>
        <v>Gi2evf5q*</v>
      </c>
      <c r="S393" s="6" t="str">
        <f>IFERROR(__xludf.DUMMYFUNCTION("""COMPUTED_VALUE"""),"Ryanovna Togiaheulu Paola Sarah")</f>
        <v>Ryanovna Togiaheulu Paola Sarah</v>
      </c>
      <c r="T393" s="6"/>
      <c r="U393" s="6"/>
      <c r="V393" s="6"/>
      <c r="W393" s="6"/>
      <c r="X393" s="12" t="str">
        <f>IFERROR(__xludf.DUMMYFUNCTION("""COMPUTED_VALUE"""),"B+")</f>
        <v>B+</v>
      </c>
      <c r="Y393" s="12" t="str">
        <f>IFERROR(__xludf.DUMMYFUNCTION("""COMPUTED_VALUE"""),"4")</f>
        <v>4</v>
      </c>
      <c r="Z393" s="12">
        <f>IFERROR(__xludf.DUMMYFUNCTION("""COMPUTED_VALUE"""),120468.0)</f>
        <v>120468</v>
      </c>
      <c r="AA393" s="6" t="str">
        <f>IFERROR(__xludf.DUMMYFUNCTION("""COMPUTED_VALUE"""),"SURA")</f>
        <v>SURA</v>
      </c>
      <c r="AB393" s="6"/>
      <c r="AC393" s="6"/>
      <c r="AD393" s="12" t="str">
        <f>IFERROR(__xludf.DUMMYFUNCTION("""COMPUTED_VALUE"""),"4B")</f>
        <v>4B</v>
      </c>
      <c r="AE393" s="12" t="str">
        <f>IFERROR(__xludf.DUMMYFUNCTION("""COMPUTED_VALUE"""),"1345282466")</f>
        <v>1345282466</v>
      </c>
      <c r="AF393" s="12" t="str">
        <f>IFERROR(__xludf.DUMMYFUNCTION("""COMPUTED_VALUE"""),"0681448531")</f>
        <v>0681448531</v>
      </c>
      <c r="AG393" s="12" t="str">
        <f>IFERROR(__xludf.DUMMYFUNCTION("""COMPUTED_VALUE"""),"Aleksandra")</f>
        <v>Aleksandra</v>
      </c>
      <c r="AH393" s="6"/>
      <c r="AI393" s="6" t="str">
        <f>IFERROR(__xludf.DUMMYFUNCTION("""COMPUTED_VALUE"""),"Manucharova")</f>
        <v>Manucharova</v>
      </c>
      <c r="AJ393" s="6" t="str">
        <f>IFERROR(__xludf.DUMMYFUNCTION("""COMPUTED_VALUE"""),"sasha.manucharova@gmail.com")</f>
        <v>sasha.manucharova@gmail.com</v>
      </c>
      <c r="AK393" s="6" t="str">
        <f>IFERROR(__xludf.DUMMYFUNCTION("""COMPUTED_VALUE"""),"Teacher")</f>
        <v>Teacher</v>
      </c>
      <c r="AL393" s="6" t="str">
        <f>IFERROR(__xludf.DUMMYFUNCTION("""COMPUTED_VALUE"""),"GI School")</f>
        <v>GI School</v>
      </c>
      <c r="AM393" s="12" t="str">
        <f>IFERROR(__xludf.DUMMYFUNCTION("""COMPUTED_VALUE"""),"586331")</f>
        <v>586331</v>
      </c>
      <c r="AN393" s="12" t="str">
        <f>IFERROR(__xludf.DUMMYFUNCTION("""COMPUTED_VALUE"""),"3044427738")</f>
        <v>3044427738</v>
      </c>
      <c r="AO393" s="6" t="str">
        <f>IFERROR(__xludf.DUMMYFUNCTION("""COMPUTED_VALUE"""),"Madre")</f>
        <v>Madre</v>
      </c>
      <c r="AP393" s="6" t="str">
        <f>IFERROR(__xludf.DUMMYFUNCTION("""COMPUTED_VALUE"""),"Estudiante(s): Ryanovna Togiaheulu")</f>
        <v>Estudiante(s): Ryanovna Togiaheulu</v>
      </c>
      <c r="AQ393" s="6" t="str">
        <f>IFERROR(__xludf.DUMMYFUNCTION("""COMPUTED_VALUE"""),"120467*Gi")</f>
        <v>120467*Gi</v>
      </c>
      <c r="AR393" s="6" t="str">
        <f>IFERROR(__xludf.DUMMYFUNCTION("""COMPUTED_VALUE"""),"Tugi")</f>
        <v>Tugi</v>
      </c>
      <c r="AS393" s="6" t="str">
        <f>IFERROR(__xludf.DUMMYFUNCTION("""COMPUTED_VALUE"""),"Ryan")</f>
        <v>Ryan</v>
      </c>
      <c r="AT393" s="6" t="str">
        <f>IFERROR(__xludf.DUMMYFUNCTION("""COMPUTED_VALUE"""),"Togiaheuluu")</f>
        <v>Togiaheuluu</v>
      </c>
      <c r="AU393" s="6" t="str">
        <f>IFERROR(__xludf.DUMMYFUNCTION("""COMPUTED_VALUE"""),"tugitogiaheulu@hotmail.com")</f>
        <v>tugitogiaheulu@hotmail.com</v>
      </c>
      <c r="AV393" s="6" t="str">
        <f>IFERROR(__xludf.DUMMYFUNCTION("""COMPUTED_VALUE"""),"Teacher")</f>
        <v>Teacher</v>
      </c>
      <c r="AW393" s="6" t="str">
        <f>IFERROR(__xludf.DUMMYFUNCTION("""COMPUTED_VALUE"""),"GI School")</f>
        <v>GI School</v>
      </c>
      <c r="AX393" s="12" t="str">
        <f>IFERROR(__xludf.DUMMYFUNCTION("""COMPUTED_VALUE"""),"548825")</f>
        <v>548825</v>
      </c>
      <c r="AY393" s="12" t="str">
        <f>IFERROR(__xludf.DUMMYFUNCTION("""COMPUTED_VALUE"""),"3225432465")</f>
        <v>3225432465</v>
      </c>
      <c r="AZ393" s="6" t="str">
        <f>IFERROR(__xludf.DUMMYFUNCTION("""COMPUTED_VALUE"""),"Padre")</f>
        <v>Padre</v>
      </c>
      <c r="BA393" s="6"/>
      <c r="BB393" s="6"/>
      <c r="BC393" s="6"/>
      <c r="BD393" s="12" t="str">
        <f>IFERROR(__xludf.DUMMYFUNCTION("""COMPUTED_VALUE"""),"rya0001")</f>
        <v>rya0001</v>
      </c>
      <c r="BE393" s="6" t="str">
        <f>IFERROR(__xludf.DUMMYFUNCTION("""COMPUTED_VALUE"""),"FALTAN FIRMAS")</f>
        <v>FALTAN FIRMAS</v>
      </c>
      <c r="BF393" s="6"/>
      <c r="BG393" s="6">
        <f>IFERROR(__xludf.DUMMYFUNCTION("""COMPUTED_VALUE"""),2035.0)</f>
        <v>2035</v>
      </c>
      <c r="BH393" s="15">
        <f>IFERROR(__xludf.DUMMYFUNCTION("""COMPUTED_VALUE"""),46252.38447916666)</f>
        <v>46252.38448</v>
      </c>
      <c r="BI393" s="6">
        <f>IFERROR(__xludf.DUMMYFUNCTION("""COMPUTED_VALUE"""),393.0)</f>
        <v>393</v>
      </c>
      <c r="BJ393" s="6"/>
      <c r="BK393" s="6"/>
      <c r="BL393" s="6" t="str">
        <f>IFERROR(__xludf.DUMMYFUNCTION("""COMPUTED_VALUE"""),"GISRYA0001")</f>
        <v>GISRYA0001</v>
      </c>
      <c r="BM393" s="6"/>
      <c r="BN393" s="6"/>
      <c r="BO393" s="6" t="str">
        <f>IFERROR(__xludf.DUMMYFUNCTION("""COMPUTED_VALUE"""),"XC_EL_ArtesPlasticas")</f>
        <v>XC_EL_ArtesPlasticas</v>
      </c>
      <c r="BP393" s="6" t="str">
        <f>IFERROR(__xludf.DUMMYFUNCTION("""COMPUTED_VALUE"""),"XC_EL_Futbol_F")</f>
        <v>XC_EL_Futbol_F</v>
      </c>
      <c r="BQ393" s="6"/>
      <c r="BR393" s="6" t="str">
        <f>IFERROR(__xludf.DUMMYFUNCTION("""COMPUTED_VALUE"""),"XC_Robo_Lego")</f>
        <v>XC_Robo_Lego</v>
      </c>
      <c r="BS393" s="6" t="str">
        <f>IFERROR(__xludf.DUMMYFUNCTION("""COMPUTED_VALUE"""),"XC_EL_Futbol_F")</f>
        <v>XC_EL_Futbol_F</v>
      </c>
      <c r="BT393" s="6" t="str">
        <f>IFERROR(__xludf.DUMMYFUNCTION("""COMPUTED_VALUE"""),"XC_EL_Futbol_F")</f>
        <v>XC_EL_Futbol_F</v>
      </c>
      <c r="BU393" s="6" t="str">
        <f>IFERROR(__xludf.DUMMYFUNCTION("""COMPUTED_VALUE"""),"SI")</f>
        <v>SI</v>
      </c>
      <c r="BV393" s="6" t="str">
        <f>IFERROR(__xludf.DUMMYFUNCTION("""COMPUTED_VALUE"""),"paola.r2035")</f>
        <v>paola.r2035</v>
      </c>
      <c r="BW393" s="6"/>
      <c r="BX393" s="6"/>
      <c r="BY393" s="6"/>
      <c r="BZ393" s="6"/>
    </row>
    <row r="394">
      <c r="A394" s="12">
        <f>IFERROR(__xludf.DUMMYFUNCTION("""COMPUTED_VALUE"""),1.056136584E9)</f>
        <v>1056136584</v>
      </c>
      <c r="B394" s="6">
        <f>IFERROR(__xludf.DUMMYFUNCTION("""COMPUTED_VALUE"""),24.0)</f>
        <v>24</v>
      </c>
      <c r="C394" s="6" t="str">
        <f>IFERROR(__xludf.DUMMYFUNCTION("""COMPUTED_VALUE"""),"Rafael")</f>
        <v>Rafael</v>
      </c>
      <c r="D394" s="6"/>
      <c r="E394" s="6" t="str">
        <f>IFERROR(__xludf.DUMMYFUNCTION("""COMPUTED_VALUE"""),"Valencia González")</f>
        <v>Valencia González</v>
      </c>
      <c r="F394" s="6" t="str">
        <f>IFERROR(__xludf.DUMMYFUNCTION("""COMPUTED_VALUE"""),"Edificio Qbika Apto 701 - Cra 11A No10Nte - 48  La Castellana")</f>
        <v>Edificio Qbika Apto 701 - Cra 11A No10Nte - 48  La Castellana</v>
      </c>
      <c r="G394" s="12" t="str">
        <f>IFERROR(__xludf.DUMMYFUNCTION("""COMPUTED_VALUE"""),"2016")</f>
        <v>2016</v>
      </c>
      <c r="H394" s="6" t="str">
        <f>IFERROR(__xludf.DUMMYFUNCTION("""COMPUTED_VALUE"""),"Noviembre")</f>
        <v>Noviembre</v>
      </c>
      <c r="I394" s="12" t="str">
        <f>IFERROR(__xludf.DUMMYFUNCTION("""COMPUTED_VALUE"""),"20")</f>
        <v>20</v>
      </c>
      <c r="J394" s="6" t="str">
        <f>IFERROR(__xludf.DUMMYFUNCTION("""COMPUTED_VALUE"""),"Manizales")</f>
        <v>Manizales</v>
      </c>
      <c r="K394" s="6" t="str">
        <f>IFERROR(__xludf.DUMMYFUNCTION("""COMPUTED_VALUE"""),"rafael.v2034@gi.edu.co")</f>
        <v>rafael.v2034@gi.edu.co</v>
      </c>
      <c r="L394" s="6" t="str">
        <f>IFERROR(__xludf.DUMMYFUNCTION("""COMPUTED_VALUE"""),"TI")</f>
        <v>TI</v>
      </c>
      <c r="M394" s="6" t="str">
        <f>IFERROR(__xludf.DUMMYFUNCTION("""COMPUTED_VALUE"""),"Armenia")</f>
        <v>Armenia</v>
      </c>
      <c r="N394" s="6" t="str">
        <f>IFERROR(__xludf.DUMMYFUNCTION("""COMPUTED_VALUE"""),"M")</f>
        <v>M</v>
      </c>
      <c r="O394" s="6" t="str">
        <f>IFERROR(__xludf.DUMMYFUNCTION("""COMPUTED_VALUE"""),"ACTIVE")</f>
        <v>ACTIVE</v>
      </c>
      <c r="P394" s="6"/>
      <c r="Q394" s="6" t="str">
        <f>IFERROR(__xludf.DUMMYFUNCTION("""COMPUTED_VALUE"""),"Armenia")</f>
        <v>Armenia</v>
      </c>
      <c r="R394" s="12" t="str">
        <f>IFERROR(__xludf.DUMMYFUNCTION("""COMPUTED_VALUE"""),"Girujf6l*")</f>
        <v>Girujf6l*</v>
      </c>
      <c r="S394" s="6" t="str">
        <f>IFERROR(__xludf.DUMMYFUNCTION("""COMPUTED_VALUE"""),"Valencia González Rafael ")</f>
        <v>Valencia González Rafael </v>
      </c>
      <c r="T394" s="6" t="str">
        <f>IFERROR(__xludf.DUMMYFUNCTION("""COMPUTED_VALUE"""),"JULIANA ANDREA GONZALEZ VEGA")</f>
        <v>JULIANA ANDREA GONZALEZ VEGA</v>
      </c>
      <c r="U394" s="12" t="str">
        <f>IFERROR(__xludf.DUMMYFUNCTION("""COMPUTED_VALUE"""),"1053787719")</f>
        <v>1053787719</v>
      </c>
      <c r="V394" s="6">
        <f>IFERROR(__xludf.DUMMYFUNCTION("""COMPUTED_VALUE"""),3.154123418E9)</f>
        <v>3154123418</v>
      </c>
      <c r="W394" s="6" t="str">
        <f>IFERROR(__xludf.DUMMYFUNCTION("""COMPUTED_VALUE"""),"juliana.gove88@gmail.com")</f>
        <v>juliana.gove88@gmail.com</v>
      </c>
      <c r="X394" s="12" t="str">
        <f>IFERROR(__xludf.DUMMYFUNCTION("""COMPUTED_VALUE"""),"O+")</f>
        <v>O+</v>
      </c>
      <c r="Y394" s="12" t="str">
        <f>IFERROR(__xludf.DUMMYFUNCTION("""COMPUTED_VALUE"""),"4")</f>
        <v>4</v>
      </c>
      <c r="Z394" s="12">
        <f>IFERROR(__xludf.DUMMYFUNCTION("""COMPUTED_VALUE"""),120574.0)</f>
        <v>120574</v>
      </c>
      <c r="AA394" s="6" t="str">
        <f>IFERROR(__xludf.DUMMYFUNCTION("""COMPUTED_VALUE"""),"SURA")</f>
        <v>SURA</v>
      </c>
      <c r="AB394" s="6" t="str">
        <f>IFERROR(__xludf.DUMMYFUNCTION("""COMPUTED_VALUE"""),"COLSANITAS PREPAGADA")</f>
        <v>COLSANITAS PREPAGADA</v>
      </c>
      <c r="AC394" s="6"/>
      <c r="AD394" s="12" t="str">
        <f>IFERROR(__xludf.DUMMYFUNCTION("""COMPUTED_VALUE"""),"4B")</f>
        <v>4B</v>
      </c>
      <c r="AE394" s="12">
        <f>IFERROR(__xludf.DUMMYFUNCTION("""COMPUTED_VALUE"""),1.345282571E9)</f>
        <v>1345282571</v>
      </c>
      <c r="AF394" s="6"/>
      <c r="AG394" s="12" t="str">
        <f>IFERROR(__xludf.DUMMYFUNCTION("""COMPUTED_VALUE"""),"Juliana")</f>
        <v>Juliana</v>
      </c>
      <c r="AH394" s="12" t="str">
        <f>IFERROR(__xludf.DUMMYFUNCTION("""COMPUTED_VALUE"""),"Andrea")</f>
        <v>Andrea</v>
      </c>
      <c r="AI394" s="6" t="str">
        <f>IFERROR(__xludf.DUMMYFUNCTION("""COMPUTED_VALUE"""),"González Vega")</f>
        <v>González Vega</v>
      </c>
      <c r="AJ394" s="6" t="str">
        <f>IFERROR(__xludf.DUMMYFUNCTION("""COMPUTED_VALUE"""),"juliana.gove88@gmail.com")</f>
        <v>juliana.gove88@gmail.com</v>
      </c>
      <c r="AK394" s="6" t="str">
        <f>IFERROR(__xludf.DUMMYFUNCTION("""COMPUTED_VALUE"""),"Publicista")</f>
        <v>Publicista</v>
      </c>
      <c r="AL394" s="6" t="str">
        <f>IFERROR(__xludf.DUMMYFUNCTION("""COMPUTED_VALUE"""),"Hotel Campestre Santa Lucia")</f>
        <v>Hotel Campestre Santa Lucia</v>
      </c>
      <c r="AM394" s="12">
        <f>IFERROR(__xludf.DUMMYFUNCTION("""COMPUTED_VALUE"""),1.053787719E9)</f>
        <v>1053787719</v>
      </c>
      <c r="AN394" s="12">
        <f>IFERROR(__xludf.DUMMYFUNCTION("""COMPUTED_VALUE"""),3.154123418E9)</f>
        <v>3154123418</v>
      </c>
      <c r="AO394" s="6" t="str">
        <f>IFERROR(__xludf.DUMMYFUNCTION("""COMPUTED_VALUE"""),"Madre")</f>
        <v>Madre</v>
      </c>
      <c r="AP394" s="6" t="str">
        <f>IFERROR(__xludf.DUMMYFUNCTION("""COMPUTED_VALUE"""),"Estudiante(s): Valencia González Rafael &amp; Giraldo González Fátima")</f>
        <v>Estudiante(s): Valencia González Rafael &amp; Giraldo González Fátima</v>
      </c>
      <c r="AQ394" s="6" t="str">
        <f>IFERROR(__xludf.DUMMYFUNCTION("""COMPUTED_VALUE"""),"120574*Gi")</f>
        <v>120574*Gi</v>
      </c>
      <c r="AR394" s="6" t="str">
        <f>IFERROR(__xludf.DUMMYFUNCTION("""COMPUTED_VALUE"""),"Pablo")</f>
        <v>Pablo</v>
      </c>
      <c r="AS394" s="6" t="str">
        <f>IFERROR(__xludf.DUMMYFUNCTION("""COMPUTED_VALUE"""),"David")</f>
        <v>David</v>
      </c>
      <c r="AT394" s="6" t="str">
        <f>IFERROR(__xludf.DUMMYFUNCTION("""COMPUTED_VALUE"""),"Valencia Largo")</f>
        <v>Valencia Largo</v>
      </c>
      <c r="AU394" s="6" t="str">
        <f>IFERROR(__xludf.DUMMYFUNCTION("""COMPUTED_VALUE"""),"pablodavidvalencia@outlook.com")</f>
        <v>pablodavidvalencia@outlook.com</v>
      </c>
      <c r="AV394" s="6" t="str">
        <f>IFERROR(__xludf.DUMMYFUNCTION("""COMPUTED_VALUE"""),"ADMINISTRADOR DE EMPRESAS ")</f>
        <v>ADMINISTRADOR DE EMPRESAS </v>
      </c>
      <c r="AW394" s="6" t="str">
        <f>IFERROR(__xludf.DUMMYFUNCTION("""COMPUTED_VALUE"""),"INDEPENDIENTE")</f>
        <v>INDEPENDIENTE</v>
      </c>
      <c r="AX394" s="12">
        <f>IFERROR(__xludf.DUMMYFUNCTION("""COMPUTED_VALUE"""),7.5102341E7)</f>
        <v>75102341</v>
      </c>
      <c r="AY394" s="12">
        <f>IFERROR(__xludf.DUMMYFUNCTION("""COMPUTED_VALUE"""),3.182657995E9)</f>
        <v>3182657995</v>
      </c>
      <c r="AZ394" s="6" t="str">
        <f>IFERROR(__xludf.DUMMYFUNCTION("""COMPUTED_VALUE"""),"Padre")</f>
        <v>Padre</v>
      </c>
      <c r="BA394" s="6" t="str">
        <f>IFERROR(__xludf.DUMMYFUNCTION("""COMPUTED_VALUE"""),"César Andrés Giraldo Bedoya")</f>
        <v>César Andrés Giraldo Bedoya</v>
      </c>
      <c r="BB394" s="6">
        <f>IFERROR(__xludf.DUMMYFUNCTION("""COMPUTED_VALUE"""),3.212024981E9)</f>
        <v>3212024981</v>
      </c>
      <c r="BC394" s="6" t="str">
        <f>IFERROR(__xludf.DUMMYFUNCTION("""COMPUTED_VALUE"""),"Padrastro")</f>
        <v>Padrastro</v>
      </c>
      <c r="BD394" s="12" t="str">
        <f>IFERROR(__xludf.DUMMYFUNCTION("""COMPUTED_VALUE"""),"val0016")</f>
        <v>val0016</v>
      </c>
      <c r="BE394" s="6"/>
      <c r="BF394" s="6"/>
      <c r="BG394" s="6">
        <f>IFERROR(__xludf.DUMMYFUNCTION("""COMPUTED_VALUE"""),2034.0)</f>
        <v>2034</v>
      </c>
      <c r="BH394" s="15">
        <f>IFERROR(__xludf.DUMMYFUNCTION("""COMPUTED_VALUE"""),46211.34521990741)</f>
        <v>46211.34522</v>
      </c>
      <c r="BI394" s="6">
        <f>IFERROR(__xludf.DUMMYFUNCTION("""COMPUTED_VALUE"""),394.0)</f>
        <v>394</v>
      </c>
      <c r="BJ394" s="6"/>
      <c r="BK394" s="6"/>
      <c r="BL394" s="6" t="str">
        <f>IFERROR(__xludf.DUMMYFUNCTION("""COMPUTED_VALUE"""),"GISVAL0016")</f>
        <v>GISVAL0016</v>
      </c>
      <c r="BM394" s="6"/>
      <c r="BN394" s="6"/>
      <c r="BO394" s="6"/>
      <c r="BP394" s="6"/>
      <c r="BQ394" s="6"/>
      <c r="BR394" s="6"/>
      <c r="BS394" s="6"/>
      <c r="BT394" s="6"/>
      <c r="BU394" s="6" t="str">
        <f>IFERROR(__xludf.DUMMYFUNCTION("""COMPUTED_VALUE"""),"SI")</f>
        <v>SI</v>
      </c>
      <c r="BV394" s="6" t="str">
        <f>IFERROR(__xludf.DUMMYFUNCTION("""COMPUTED_VALUE"""),"rafael.v2034")</f>
        <v>rafael.v2034</v>
      </c>
      <c r="BW394" s="6"/>
      <c r="BX394" s="6"/>
      <c r="BY394" s="6"/>
      <c r="BZ394" s="6"/>
    </row>
    <row r="395">
      <c r="A395" s="12">
        <f>IFERROR(__xludf.DUMMYFUNCTION("""COMPUTED_VALUE"""),1.0928604E9)</f>
        <v>1092860400</v>
      </c>
      <c r="B395" s="6">
        <f>IFERROR(__xludf.DUMMYFUNCTION("""COMPUTED_VALUE"""),25.0)</f>
        <v>25</v>
      </c>
      <c r="C395" s="6" t="str">
        <f>IFERROR(__xludf.DUMMYFUNCTION("""COMPUTED_VALUE"""),"Emanuel")</f>
        <v>Emanuel</v>
      </c>
      <c r="D395" s="6"/>
      <c r="E395" s="6" t="str">
        <f>IFERROR(__xludf.DUMMYFUNCTION("""COMPUTED_VALUE"""),"Zuluaga Valencia")</f>
        <v>Zuluaga Valencia</v>
      </c>
      <c r="F395" s="6" t="str">
        <f>IFERROR(__xludf.DUMMYFUNCTION("""COMPUTED_VALUE"""),"Edificio Tacuara Apto 1101 - Cra 14 No4 - 15")</f>
        <v>Edificio Tacuara Apto 1101 - Cra 14 No4 - 15</v>
      </c>
      <c r="G395" s="12" t="str">
        <f>IFERROR(__xludf.DUMMYFUNCTION("""COMPUTED_VALUE"""),"2016")</f>
        <v>2016</v>
      </c>
      <c r="H395" s="6" t="str">
        <f>IFERROR(__xludf.DUMMYFUNCTION("""COMPUTED_VALUE"""),"Septiembre")</f>
        <v>Septiembre</v>
      </c>
      <c r="I395" s="12" t="str">
        <f>IFERROR(__xludf.DUMMYFUNCTION("""COMPUTED_VALUE"""),"7")</f>
        <v>7</v>
      </c>
      <c r="J395" s="6" t="str">
        <f>IFERROR(__xludf.DUMMYFUNCTION("""COMPUTED_VALUE"""),"Armenia")</f>
        <v>Armenia</v>
      </c>
      <c r="K395" s="6" t="str">
        <f>IFERROR(__xludf.DUMMYFUNCTION("""COMPUTED_VALUE"""),"emanuel.z2035@gi.edu.co")</f>
        <v>emanuel.z2035@gi.edu.co</v>
      </c>
      <c r="L395" s="6" t="str">
        <f>IFERROR(__xludf.DUMMYFUNCTION("""COMPUTED_VALUE"""),"RC")</f>
        <v>RC</v>
      </c>
      <c r="M395" s="6" t="str">
        <f>IFERROR(__xludf.DUMMYFUNCTION("""COMPUTED_VALUE"""),"Armenia")</f>
        <v>Armenia</v>
      </c>
      <c r="N395" s="6" t="str">
        <f>IFERROR(__xludf.DUMMYFUNCTION("""COMPUTED_VALUE"""),"M")</f>
        <v>M</v>
      </c>
      <c r="O395" s="6" t="str">
        <f>IFERROR(__xludf.DUMMYFUNCTION("""COMPUTED_VALUE"""),"INACTIVE")</f>
        <v>INACTIVE</v>
      </c>
      <c r="P395" s="6"/>
      <c r="Q395" s="6" t="str">
        <f>IFERROR(__xludf.DUMMYFUNCTION("""COMPUTED_VALUE"""),"Armenia")</f>
        <v>Armenia</v>
      </c>
      <c r="R395" s="12" t="str">
        <f>IFERROR(__xludf.DUMMYFUNCTION("""COMPUTED_VALUE"""),"GiB2pffs*")</f>
        <v>GiB2pffs*</v>
      </c>
      <c r="S395" s="6" t="str">
        <f>IFERROR(__xludf.DUMMYFUNCTION("""COMPUTED_VALUE"""),"Zuluaga Valencia Emanuel ")</f>
        <v>Zuluaga Valencia Emanuel </v>
      </c>
      <c r="T395" s="6" t="str">
        <f>IFERROR(__xludf.DUMMYFUNCTION("""COMPUTED_VALUE"""),"CLAUDIA MARCELA VALENCIA CUARTAS")</f>
        <v>CLAUDIA MARCELA VALENCIA CUARTAS</v>
      </c>
      <c r="U395" s="12" t="str">
        <f>IFERROR(__xludf.DUMMYFUNCTION("""COMPUTED_VALUE"""),"41951649")</f>
        <v>41951649</v>
      </c>
      <c r="V395" s="6">
        <f>IFERROR(__xludf.DUMMYFUNCTION("""COMPUTED_VALUE"""),3.216212065E9)</f>
        <v>3216212065</v>
      </c>
      <c r="W395" s="6" t="str">
        <f>IFERROR(__xludf.DUMMYFUNCTION("""COMPUTED_VALUE"""),"clax82_09@hotmail.com")</f>
        <v>clax82_09@hotmail.com</v>
      </c>
      <c r="X395" s="12" t="str">
        <f>IFERROR(__xludf.DUMMYFUNCTION("""COMPUTED_VALUE"""),"O+")</f>
        <v>O+</v>
      </c>
      <c r="Y395" s="12" t="str">
        <f>IFERROR(__xludf.DUMMYFUNCTION("""COMPUTED_VALUE"""),"4")</f>
        <v>4</v>
      </c>
      <c r="Z395" s="12">
        <f>IFERROR(__xludf.DUMMYFUNCTION("""COMPUTED_VALUE"""),120149.0)</f>
        <v>120149</v>
      </c>
      <c r="AA395" s="6" t="str">
        <f>IFERROR(__xludf.DUMMYFUNCTION("""COMPUTED_VALUE"""),"NUEVA EPS")</f>
        <v>NUEVA EPS</v>
      </c>
      <c r="AB395" s="6"/>
      <c r="AC395" s="12" t="str">
        <f>IFERROR(__xludf.DUMMYFUNCTION("""COMPUTED_VALUE"""),"asma, y es controlada rinitis")</f>
        <v>asma, y es controlada rinitis</v>
      </c>
      <c r="AD395" s="12" t="str">
        <f>IFERROR(__xludf.DUMMYFUNCTION("""COMPUTED_VALUE"""),"4B")</f>
        <v>4B</v>
      </c>
      <c r="AE395" s="12">
        <f>IFERROR(__xludf.DUMMYFUNCTION("""COMPUTED_VALUE"""),1.345282143E9)</f>
        <v>1345282143</v>
      </c>
      <c r="AF395" s="12" t="str">
        <f>IFERROR(__xludf.DUMMYFUNCTION("""COMPUTED_VALUE"""),"0666418499")</f>
        <v>0666418499</v>
      </c>
      <c r="AG395" s="12" t="str">
        <f>IFERROR(__xludf.DUMMYFUNCTION("""COMPUTED_VALUE"""),"Claudia")</f>
        <v>Claudia</v>
      </c>
      <c r="AH395" s="12" t="str">
        <f>IFERROR(__xludf.DUMMYFUNCTION("""COMPUTED_VALUE"""),"Marcela")</f>
        <v>Marcela</v>
      </c>
      <c r="AI395" s="6" t="str">
        <f>IFERROR(__xludf.DUMMYFUNCTION("""COMPUTED_VALUE"""),"Valencia Cuartas")</f>
        <v>Valencia Cuartas</v>
      </c>
      <c r="AJ395" s="6" t="str">
        <f>IFERROR(__xludf.DUMMYFUNCTION("""COMPUTED_VALUE"""),"clax82_09@hotmail.com")</f>
        <v>clax82_09@hotmail.com</v>
      </c>
      <c r="AK395" s="6" t="str">
        <f>IFERROR(__xludf.DUMMYFUNCTION("""COMPUTED_VALUE"""),"trabajo social")</f>
        <v>trabajo social</v>
      </c>
      <c r="AL395" s="6" t="str">
        <f>IFERROR(__xludf.DUMMYFUNCTION("""COMPUTED_VALUE"""),"Independiente")</f>
        <v>Independiente</v>
      </c>
      <c r="AM395" s="12" t="str">
        <f>IFERROR(__xludf.DUMMYFUNCTION("""COMPUTED_VALUE"""),"41951649")</f>
        <v>41951649</v>
      </c>
      <c r="AN395" s="12" t="str">
        <f>IFERROR(__xludf.DUMMYFUNCTION("""COMPUTED_VALUE"""),"3216212065")</f>
        <v>3216212065</v>
      </c>
      <c r="AO395" s="6" t="str">
        <f>IFERROR(__xludf.DUMMYFUNCTION("""COMPUTED_VALUE"""),"Madre")</f>
        <v>Madre</v>
      </c>
      <c r="AP395" s="6" t="str">
        <f>IFERROR(__xludf.DUMMYFUNCTION("""COMPUTED_VALUE"""),"Estudiante(s): Zuluaga Valencia")</f>
        <v>Estudiante(s): Zuluaga Valencia</v>
      </c>
      <c r="AQ395" s="6" t="str">
        <f>IFERROR(__xludf.DUMMYFUNCTION("""COMPUTED_VALUE"""),"120070*Gi")</f>
        <v>120070*Gi</v>
      </c>
      <c r="AR395" s="6" t="str">
        <f>IFERROR(__xludf.DUMMYFUNCTION("""COMPUTED_VALUE"""),"Ómar")</f>
        <v>Ómar</v>
      </c>
      <c r="AS395" s="6" t="str">
        <f>IFERROR(__xludf.DUMMYFUNCTION("""COMPUTED_VALUE"""),"Andrés")</f>
        <v>Andrés</v>
      </c>
      <c r="AT395" s="6" t="str">
        <f>IFERROR(__xludf.DUMMYFUNCTION("""COMPUTED_VALUE"""),"Zuluaga Castaño")</f>
        <v>Zuluaga Castaño</v>
      </c>
      <c r="AU395" s="6" t="str">
        <f>IFERROR(__xludf.DUMMYFUNCTION("""COMPUTED_VALUE"""),"oadrez1344@yahoo.com")</f>
        <v>oadrez1344@yahoo.com</v>
      </c>
      <c r="AV395" s="6"/>
      <c r="AW395" s="6"/>
      <c r="AX395" s="12" t="str">
        <f>IFERROR(__xludf.DUMMYFUNCTION("""COMPUTED_VALUE"""),"9730689")</f>
        <v>9730689</v>
      </c>
      <c r="AY395" s="12" t="str">
        <f>IFERROR(__xludf.DUMMYFUNCTION("""COMPUTED_VALUE"""),"3235461807")</f>
        <v>3235461807</v>
      </c>
      <c r="AZ395" s="6" t="str">
        <f>IFERROR(__xludf.DUMMYFUNCTION("""COMPUTED_VALUE"""),"Padre")</f>
        <v>Padre</v>
      </c>
      <c r="BA395" s="6"/>
      <c r="BB395" s="6"/>
      <c r="BC395" s="6"/>
      <c r="BD395" s="12" t="str">
        <f>IFERROR(__xludf.DUMMYFUNCTION("""COMPUTED_VALUE"""),"zul0002")</f>
        <v>zul0002</v>
      </c>
      <c r="BE395" s="6" t="str">
        <f>IFERROR(__xludf.DUMMYFUNCTION("""COMPUTED_VALUE"""),"FALTAN FIRMAS")</f>
        <v>FALTAN FIRMAS</v>
      </c>
      <c r="BF395" s="6"/>
      <c r="BG395" s="6">
        <f>IFERROR(__xludf.DUMMYFUNCTION("""COMPUTED_VALUE"""),2035.0)</f>
        <v>2035</v>
      </c>
      <c r="BH395" s="15">
        <f>IFERROR(__xludf.DUMMYFUNCTION("""COMPUTED_VALUE"""),46218.70233796296)</f>
        <v>46218.70234</v>
      </c>
      <c r="BI395" s="6">
        <f>IFERROR(__xludf.DUMMYFUNCTION("""COMPUTED_VALUE"""),395.0)</f>
        <v>395</v>
      </c>
      <c r="BJ395" s="6"/>
      <c r="BK395" s="6"/>
      <c r="BL395" s="6" t="str">
        <f>IFERROR(__xludf.DUMMYFUNCTION("""COMPUTED_VALUE"""),"GISZUL0002")</f>
        <v>GISZUL0002</v>
      </c>
      <c r="BM395" s="6"/>
      <c r="BN395" s="6"/>
      <c r="BO395" s="6"/>
      <c r="BP395" s="6" t="str">
        <f>IFERROR(__xludf.DUMMYFUNCTION("""COMPUTED_VALUE"""),"XC_45_Basquetbol")</f>
        <v>XC_45_Basquetbol</v>
      </c>
      <c r="BQ395" s="6"/>
      <c r="BR395" s="6"/>
      <c r="BS395" s="6" t="str">
        <f>IFERROR(__xludf.DUMMYFUNCTION("""COMPUTED_VALUE"""),"XC_45_Basquetbol")</f>
        <v>XC_45_Basquetbol</v>
      </c>
      <c r="BT395" s="6" t="str">
        <f>IFERROR(__xludf.DUMMYFUNCTION("""COMPUTED_VALUE"""),"XC_45_Basquetbol")</f>
        <v>XC_45_Basquetbol</v>
      </c>
      <c r="BU395" s="6" t="str">
        <f>IFERROR(__xludf.DUMMYFUNCTION("""COMPUTED_VALUE"""),"SI")</f>
        <v>SI</v>
      </c>
      <c r="BV395" s="6" t="str">
        <f>IFERROR(__xludf.DUMMYFUNCTION("""COMPUTED_VALUE"""),"emanuel.z2035")</f>
        <v>emanuel.z2035</v>
      </c>
      <c r="BW395" s="6"/>
      <c r="BX395" s="6"/>
      <c r="BY395" s="6"/>
      <c r="B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 t="str">
        <f>IFERROR(__xludf.DUMMYFUNCTION("""COMPUTED_VALUE"""),"Madre")</f>
        <v>Madre</v>
      </c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 t="str">
        <f>IFERROR(__xludf.DUMMYFUNCTION("""COMPUTED_VALUE"""),"Padre")</f>
        <v>Padre</v>
      </c>
      <c r="BA396" s="6"/>
      <c r="BB396" s="6"/>
      <c r="BC396" s="6"/>
      <c r="BD396" s="6"/>
      <c r="BE396" s="6"/>
      <c r="BF396" s="6"/>
      <c r="BG396" s="6"/>
      <c r="BH396" s="6"/>
      <c r="BI396" s="6">
        <f>IFERROR(__xludf.DUMMYFUNCTION("""COMPUTED_VALUE"""),396.0)</f>
        <v>396</v>
      </c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6"/>
      <c r="BW396" s="6"/>
      <c r="BX396" s="6"/>
      <c r="BY396" s="6"/>
      <c r="BZ396" s="6"/>
    </row>
    <row r="397">
      <c r="A397" s="12">
        <f>IFERROR(__xludf.DUMMYFUNCTION("""COMPUTED_VALUE"""),1.094965613E9)</f>
        <v>1094965613</v>
      </c>
      <c r="B397" s="6">
        <f>IFERROR(__xludf.DUMMYFUNCTION("""COMPUTED_VALUE"""),1.0)</f>
        <v>1</v>
      </c>
      <c r="C397" s="6" t="str">
        <f>IFERROR(__xludf.DUMMYFUNCTION("""COMPUTED_VALUE"""),"Simón")</f>
        <v>Simón</v>
      </c>
      <c r="D397" s="6"/>
      <c r="E397" s="6" t="str">
        <f>IFERROR(__xludf.DUMMYFUNCTION("""COMPUTED_VALUE"""),"Arango Pinilla")</f>
        <v>Arango Pinilla</v>
      </c>
      <c r="F397" s="6" t="str">
        <f>IFERROR(__xludf.DUMMYFUNCTION("""COMPUTED_VALUE"""),"Cra 19 No 30Nte - 65 Mz D Casa 4 Conjunto Residencial La Aurora")</f>
        <v>Cra 19 No 30Nte - 65 Mz D Casa 4 Conjunto Residencial La Aurora</v>
      </c>
      <c r="G397" s="12" t="str">
        <f>IFERROR(__xludf.DUMMYFUNCTION("""COMPUTED_VALUE"""),"2015")</f>
        <v>2015</v>
      </c>
      <c r="H397" s="6" t="str">
        <f>IFERROR(__xludf.DUMMYFUNCTION("""COMPUTED_VALUE"""),"Diciembre")</f>
        <v>Diciembre</v>
      </c>
      <c r="I397" s="12" t="str">
        <f>IFERROR(__xludf.DUMMYFUNCTION("""COMPUTED_VALUE"""),"4")</f>
        <v>4</v>
      </c>
      <c r="J397" s="6" t="str">
        <f>IFERROR(__xludf.DUMMYFUNCTION("""COMPUTED_VALUE"""),"Armenia")</f>
        <v>Armenia</v>
      </c>
      <c r="K397" s="6" t="str">
        <f>IFERROR(__xludf.DUMMYFUNCTION("""COMPUTED_VALUE"""),"simon.ap2034@gi.edu.co")</f>
        <v>simon.ap2034@gi.edu.co</v>
      </c>
      <c r="L397" s="6" t="str">
        <f>IFERROR(__xludf.DUMMYFUNCTION("""COMPUTED_VALUE"""),"TI")</f>
        <v>TI</v>
      </c>
      <c r="M397" s="6" t="str">
        <f>IFERROR(__xludf.DUMMYFUNCTION("""COMPUTED_VALUE"""),"Armenia")</f>
        <v>Armenia</v>
      </c>
      <c r="N397" s="6" t="str">
        <f>IFERROR(__xludf.DUMMYFUNCTION("""COMPUTED_VALUE"""),"M")</f>
        <v>M</v>
      </c>
      <c r="O397" s="6" t="str">
        <f>IFERROR(__xludf.DUMMYFUNCTION("""COMPUTED_VALUE"""),"INACTIVE")</f>
        <v>INACTIVE</v>
      </c>
      <c r="P397" s="6"/>
      <c r="Q397" s="6" t="str">
        <f>IFERROR(__xludf.DUMMYFUNCTION("""COMPUTED_VALUE"""),"Armenia")</f>
        <v>Armenia</v>
      </c>
      <c r="R397" s="12" t="str">
        <f>IFERROR(__xludf.DUMMYFUNCTION("""COMPUTED_VALUE"""),"Gi3d6b7J*")</f>
        <v>Gi3d6b7J*</v>
      </c>
      <c r="S397" s="6" t="str">
        <f>IFERROR(__xludf.DUMMYFUNCTION("""COMPUTED_VALUE"""),"Arango Pinilla Simón ")</f>
        <v>Arango Pinilla Simón </v>
      </c>
      <c r="T397" s="6" t="str">
        <f>IFERROR(__xludf.DUMMYFUNCTION("""COMPUTED_VALUE"""),"DIANA MARÍA PINILLA HERRERA")</f>
        <v>DIANA MARÍA PINILLA HERRERA</v>
      </c>
      <c r="U397" s="12" t="str">
        <f>IFERROR(__xludf.DUMMYFUNCTION("""COMPUTED_VALUE"""),"41958757")</f>
        <v>41958757</v>
      </c>
      <c r="V397" s="6">
        <f>IFERROR(__xludf.DUMMYFUNCTION("""COMPUTED_VALUE"""),3.217902601E9)</f>
        <v>3217902601</v>
      </c>
      <c r="W397" s="6" t="str">
        <f>IFERROR(__xludf.DUMMYFUNCTION("""COMPUTED_VALUE"""),"dianampinillah@gmail.com")</f>
        <v>dianampinillah@gmail.com</v>
      </c>
      <c r="X397" s="12" t="str">
        <f>IFERROR(__xludf.DUMMYFUNCTION("""COMPUTED_VALUE"""),"O+")</f>
        <v>O+</v>
      </c>
      <c r="Y397" s="12" t="str">
        <f>IFERROR(__xludf.DUMMYFUNCTION("""COMPUTED_VALUE"""),"5")</f>
        <v>5</v>
      </c>
      <c r="Z397" s="12">
        <f>IFERROR(__xludf.DUMMYFUNCTION("""COMPUTED_VALUE"""),120245.0)</f>
        <v>120245</v>
      </c>
      <c r="AA397" s="6" t="str">
        <f>IFERROR(__xludf.DUMMYFUNCTION("""COMPUTED_VALUE"""),"SURA")</f>
        <v>SURA</v>
      </c>
      <c r="AB397" s="6"/>
      <c r="AC397" s="6"/>
      <c r="AD397" s="12" t="str">
        <f>IFERROR(__xludf.DUMMYFUNCTION("""COMPUTED_VALUE"""),"5A")</f>
        <v>5A</v>
      </c>
      <c r="AE397" s="12">
        <f>IFERROR(__xludf.DUMMYFUNCTION("""COMPUTED_VALUE"""),1.345282232E9)</f>
        <v>1345282232</v>
      </c>
      <c r="AF397" s="12" t="str">
        <f>IFERROR(__xludf.DUMMYFUNCTION("""COMPUTED_VALUE"""),"0690137171")</f>
        <v>0690137171</v>
      </c>
      <c r="AG397" s="12" t="str">
        <f>IFERROR(__xludf.DUMMYFUNCTION("""COMPUTED_VALUE"""),"Diana")</f>
        <v>Diana</v>
      </c>
      <c r="AH397" s="12" t="str">
        <f>IFERROR(__xludf.DUMMYFUNCTION("""COMPUTED_VALUE"""),"María")</f>
        <v>María</v>
      </c>
      <c r="AI397" s="6" t="str">
        <f>IFERROR(__xludf.DUMMYFUNCTION("""COMPUTED_VALUE"""),"Pinilla Herrera")</f>
        <v>Pinilla Herrera</v>
      </c>
      <c r="AJ397" s="6" t="str">
        <f>IFERROR(__xludf.DUMMYFUNCTION("""COMPUTED_VALUE"""),"dianampinillah@gmail.com")</f>
        <v>dianampinillah@gmail.com</v>
      </c>
      <c r="AK397" s="6" t="str">
        <f>IFERROR(__xludf.DUMMYFUNCTION("""COMPUTED_VALUE"""),"Médica especialista en Emergencias")</f>
        <v>Médica especialista en Emergencias</v>
      </c>
      <c r="AL397" s="6" t="str">
        <f>IFERROR(__xludf.DUMMYFUNCTION("""COMPUTED_VALUE"""),"Hospital Universitario San Juan de Dios")</f>
        <v>Hospital Universitario San Juan de Dios</v>
      </c>
      <c r="AM397" s="12" t="str">
        <f>IFERROR(__xludf.DUMMYFUNCTION("""COMPUTED_VALUE"""),"41958757")</f>
        <v>41958757</v>
      </c>
      <c r="AN397" s="12" t="str">
        <f>IFERROR(__xludf.DUMMYFUNCTION("""COMPUTED_VALUE"""),"3217902601")</f>
        <v>3217902601</v>
      </c>
      <c r="AO397" s="6" t="str">
        <f>IFERROR(__xludf.DUMMYFUNCTION("""COMPUTED_VALUE"""),"Madre")</f>
        <v>Madre</v>
      </c>
      <c r="AP397" s="6" t="str">
        <f>IFERROR(__xludf.DUMMYFUNCTION("""COMPUTED_VALUE"""),"Estudiante(s): Arango Pinilla")</f>
        <v>Estudiante(s): Arango Pinilla</v>
      </c>
      <c r="AQ397" s="6" t="str">
        <f>IFERROR(__xludf.DUMMYFUNCTION("""COMPUTED_VALUE"""),"120245*Gi")</f>
        <v>120245*Gi</v>
      </c>
      <c r="AR397" s="6" t="str">
        <f>IFERROR(__xludf.DUMMYFUNCTION("""COMPUTED_VALUE"""),"Luis")</f>
        <v>Luis</v>
      </c>
      <c r="AS397" s="6" t="str">
        <f>IFERROR(__xludf.DUMMYFUNCTION("""COMPUTED_VALUE"""),"Alfonso")</f>
        <v>Alfonso</v>
      </c>
      <c r="AT397" s="6" t="str">
        <f>IFERROR(__xludf.DUMMYFUNCTION("""COMPUTED_VALUE"""),"Pinilla Hurtado")</f>
        <v>Pinilla Hurtado</v>
      </c>
      <c r="AU397" s="6" t="str">
        <f>IFERROR(__xludf.DUMMYFUNCTION("""COMPUTED_VALUE"""),"dianampinillah@gmail.com")</f>
        <v>dianampinillah@gmail.com</v>
      </c>
      <c r="AV397" s="6" t="str">
        <f>IFERROR(__xludf.DUMMYFUNCTION("""COMPUTED_VALUE"""),"Economista - Docente")</f>
        <v>Economista - Docente</v>
      </c>
      <c r="AW397" s="6" t="str">
        <f>IFERROR(__xludf.DUMMYFUNCTION("""COMPUTED_VALUE"""),"Magisterio")</f>
        <v>Magisterio</v>
      </c>
      <c r="AX397" s="12" t="str">
        <f>IFERROR(__xludf.DUMMYFUNCTION("""COMPUTED_VALUE"""),"1286682")</f>
        <v>1286682</v>
      </c>
      <c r="AY397" s="12" t="str">
        <f>IFERROR(__xludf.DUMMYFUNCTION("""COMPUTED_VALUE"""),"3147295269")</f>
        <v>3147295269</v>
      </c>
      <c r="AZ397" s="6" t="str">
        <f>IFERROR(__xludf.DUMMYFUNCTION("""COMPUTED_VALUE"""),"Padre")</f>
        <v>Padre</v>
      </c>
      <c r="BA397" s="6" t="str">
        <f>IFERROR(__xludf.DUMMYFUNCTION("""COMPUTED_VALUE"""),"JORGE OLMEDO ARANGO QUINTERO")</f>
        <v>JORGE OLMEDO ARANGO QUINTERO</v>
      </c>
      <c r="BB397" s="6">
        <f>IFERROR(__xludf.DUMMYFUNCTION("""COMPUTED_VALUE"""),3.22627448E9)</f>
        <v>3226274480</v>
      </c>
      <c r="BC397" s="6" t="str">
        <f>IFERROR(__xludf.DUMMYFUNCTION("""COMPUTED_VALUE"""),"Otro")</f>
        <v>Otro</v>
      </c>
      <c r="BD397" s="12" t="str">
        <f>IFERROR(__xludf.DUMMYFUNCTION("""COMPUTED_VALUE"""),"ara0011")</f>
        <v>ara0011</v>
      </c>
      <c r="BE397" s="6" t="str">
        <f>IFERROR(__xludf.DUMMYFUNCTION("""COMPUTED_VALUE"""),"FALTAN FIRMAS")</f>
        <v>FALTAN FIRMAS</v>
      </c>
      <c r="BF397" s="6"/>
      <c r="BG397" s="6">
        <f>IFERROR(__xludf.DUMMYFUNCTION("""COMPUTED_VALUE"""),2034.0)</f>
        <v>2034</v>
      </c>
      <c r="BH397" s="15">
        <f>IFERROR(__xludf.DUMMYFUNCTION("""COMPUTED_VALUE"""),46212.74996527778)</f>
        <v>46212.74997</v>
      </c>
      <c r="BI397" s="6">
        <f>IFERROR(__xludf.DUMMYFUNCTION("""COMPUTED_VALUE"""),397.0)</f>
        <v>397</v>
      </c>
      <c r="BJ397" s="6"/>
      <c r="BK397" s="6"/>
      <c r="BL397" s="6" t="str">
        <f>IFERROR(__xludf.DUMMYFUNCTION("""COMPUTED_VALUE"""),"GISARA0011")</f>
        <v>GISARA0011</v>
      </c>
      <c r="BM397" s="6"/>
      <c r="BN397" s="6"/>
      <c r="BO397" s="6"/>
      <c r="BP397" s="6" t="str">
        <f>IFERROR(__xludf.DUMMYFUNCTION("""COMPUTED_VALUE"""),"XC_5_Futbol_M")</f>
        <v>XC_5_Futbol_M</v>
      </c>
      <c r="BQ397" s="6"/>
      <c r="BR397" s="6"/>
      <c r="BS397" s="6" t="str">
        <f>IFERROR(__xludf.DUMMYFUNCTION("""COMPUTED_VALUE"""),"XC_5_Futbol_M")</f>
        <v>XC_5_Futbol_M</v>
      </c>
      <c r="BT397" s="6" t="str">
        <f>IFERROR(__xludf.DUMMYFUNCTION("""COMPUTED_VALUE"""),"XC_5_Futbol_M")</f>
        <v>XC_5_Futbol_M</v>
      </c>
      <c r="BU397" s="6" t="str">
        <f>IFERROR(__xludf.DUMMYFUNCTION("""COMPUTED_VALUE"""),"SI")</f>
        <v>SI</v>
      </c>
      <c r="BV397" s="6" t="str">
        <f>IFERROR(__xludf.DUMMYFUNCTION("""COMPUTED_VALUE"""),"simon.ap2034")</f>
        <v>simon.ap2034</v>
      </c>
      <c r="BW397" s="6"/>
      <c r="BX397" s="6"/>
      <c r="BY397" s="6"/>
      <c r="BZ397" s="6"/>
    </row>
    <row r="398">
      <c r="A398" s="12">
        <f>IFERROR(__xludf.DUMMYFUNCTION("""COMPUTED_VALUE"""),1.141525742E9)</f>
        <v>1141525742</v>
      </c>
      <c r="B398" s="6">
        <f>IFERROR(__xludf.DUMMYFUNCTION("""COMPUTED_VALUE"""),2.0)</f>
        <v>2</v>
      </c>
      <c r="C398" s="6" t="str">
        <f>IFERROR(__xludf.DUMMYFUNCTION("""COMPUTED_VALUE"""),"Juan")</f>
        <v>Juan</v>
      </c>
      <c r="D398" s="6" t="str">
        <f>IFERROR(__xludf.DUMMYFUNCTION("""COMPUTED_VALUE"""),"Martín")</f>
        <v>Martín</v>
      </c>
      <c r="E398" s="6" t="str">
        <f>IFERROR(__xludf.DUMMYFUNCTION("""COMPUTED_VALUE"""),"Campuzano Cadavid")</f>
        <v>Campuzano Cadavid</v>
      </c>
      <c r="F398" s="6" t="str">
        <f>IFERROR(__xludf.DUMMYFUNCTION("""COMPUTED_VALUE"""),"Bosque Residencial Zimbabwe Casa 4 - Calle 1 No16 - 205 Km 7 Via Armenia - Pereira")</f>
        <v>Bosque Residencial Zimbabwe Casa 4 - Calle 1 No16 - 205 Km 7 Via Armenia - Pereira</v>
      </c>
      <c r="G398" s="12" t="str">
        <f>IFERROR(__xludf.DUMMYFUNCTION("""COMPUTED_VALUE"""),"2015")</f>
        <v>2015</v>
      </c>
      <c r="H398" s="6" t="str">
        <f>IFERROR(__xludf.DUMMYFUNCTION("""COMPUTED_VALUE"""),"Noviembre")</f>
        <v>Noviembre</v>
      </c>
      <c r="I398" s="12" t="str">
        <f>IFERROR(__xludf.DUMMYFUNCTION("""COMPUTED_VALUE"""),"5")</f>
        <v>5</v>
      </c>
      <c r="J398" s="6" t="str">
        <f>IFERROR(__xludf.DUMMYFUNCTION("""COMPUTED_VALUE"""),"Bogotá D.C.")</f>
        <v>Bogotá D.C.</v>
      </c>
      <c r="K398" s="6" t="str">
        <f>IFERROR(__xludf.DUMMYFUNCTION("""COMPUTED_VALUE"""),"juan.c2034@gi.edu.co")</f>
        <v>juan.c2034@gi.edu.co</v>
      </c>
      <c r="L398" s="6" t="str">
        <f>IFERROR(__xludf.DUMMYFUNCTION("""COMPUTED_VALUE"""),"TI")</f>
        <v>TI</v>
      </c>
      <c r="M398" s="6" t="str">
        <f>IFERROR(__xludf.DUMMYFUNCTION("""COMPUTED_VALUE"""),"Circacia")</f>
        <v>Circacia</v>
      </c>
      <c r="N398" s="6" t="str">
        <f>IFERROR(__xludf.DUMMYFUNCTION("""COMPUTED_VALUE"""),"M")</f>
        <v>M</v>
      </c>
      <c r="O398" s="6" t="str">
        <f>IFERROR(__xludf.DUMMYFUNCTION("""COMPUTED_VALUE"""),"ACTIVE")</f>
        <v>ACTIVE</v>
      </c>
      <c r="P398" s="6"/>
      <c r="Q398" s="6" t="str">
        <f>IFERROR(__xludf.DUMMYFUNCTION("""COMPUTED_VALUE"""),"Circasia")</f>
        <v>Circasia</v>
      </c>
      <c r="R398" s="12" t="str">
        <f>IFERROR(__xludf.DUMMYFUNCTION("""COMPUTED_VALUE"""),"Gignx89*")</f>
        <v>Gignx89*</v>
      </c>
      <c r="S398" s="6" t="str">
        <f>IFERROR(__xludf.DUMMYFUNCTION("""COMPUTED_VALUE"""),"Campuzano Cadavid Juan Martín")</f>
        <v>Campuzano Cadavid Juan Martín</v>
      </c>
      <c r="T398" s="6" t="str">
        <f>IFERROR(__xludf.DUMMYFUNCTION("""COMPUTED_VALUE"""),"PEDRO PABLO CAMPUZANO RAMIREZ")</f>
        <v>PEDRO PABLO CAMPUZANO RAMIREZ</v>
      </c>
      <c r="U398" s="12" t="str">
        <f>IFERROR(__xludf.DUMMYFUNCTION("""COMPUTED_VALUE"""),"80177943")</f>
        <v>80177943</v>
      </c>
      <c r="V398" s="6">
        <f>IFERROR(__xludf.DUMMYFUNCTION("""COMPUTED_VALUE"""),3.144756045E9)</f>
        <v>3144756045</v>
      </c>
      <c r="W398" s="6" t="str">
        <f>IFERROR(__xludf.DUMMYFUNCTION("""COMPUTED_VALUE"""),"gerencia@c21abundanza.com")</f>
        <v>gerencia@c21abundanza.com</v>
      </c>
      <c r="X398" s="12" t="str">
        <f>IFERROR(__xludf.DUMMYFUNCTION("""COMPUTED_VALUE"""),"A+")</f>
        <v>A+</v>
      </c>
      <c r="Y398" s="12" t="str">
        <f>IFERROR(__xludf.DUMMYFUNCTION("""COMPUTED_VALUE"""),"5")</f>
        <v>5</v>
      </c>
      <c r="Z398" s="12">
        <f>IFERROR(__xludf.DUMMYFUNCTION("""COMPUTED_VALUE"""),120360.0)</f>
        <v>120360</v>
      </c>
      <c r="AA398" s="6" t="str">
        <f>IFERROR(__xludf.DUMMYFUNCTION("""COMPUTED_VALUE"""),"SANITAS")</f>
        <v>SANITAS</v>
      </c>
      <c r="AB398" s="6"/>
      <c r="AC398" s="12" t="str">
        <f>IFERROR(__xludf.DUMMYFUNCTION("""COMPUTED_VALUE"""),"Acaros")</f>
        <v>Acaros</v>
      </c>
      <c r="AD398" s="12" t="str">
        <f>IFERROR(__xludf.DUMMYFUNCTION("""COMPUTED_VALUE"""),"5A")</f>
        <v>5A</v>
      </c>
      <c r="AE398" s="12" t="str">
        <f>IFERROR(__xludf.DUMMYFUNCTION("""COMPUTED_VALUE"""),"1345282372")</f>
        <v>1345282372</v>
      </c>
      <c r="AF398" s="12" t="str">
        <f>IFERROR(__xludf.DUMMYFUNCTION("""COMPUTED_VALUE"""),"0692044627")</f>
        <v>0692044627</v>
      </c>
      <c r="AG398" s="12" t="str">
        <f>IFERROR(__xludf.DUMMYFUNCTION("""COMPUTED_VALUE"""),"Maria ")</f>
        <v>Maria </v>
      </c>
      <c r="AH398" s="12" t="str">
        <f>IFERROR(__xludf.DUMMYFUNCTION("""COMPUTED_VALUE"""),"Isabel")</f>
        <v>Isabel</v>
      </c>
      <c r="AI398" s="6" t="str">
        <f>IFERROR(__xludf.DUMMYFUNCTION("""COMPUTED_VALUE"""),"Cadavid Vega")</f>
        <v>Cadavid Vega</v>
      </c>
      <c r="AJ398" s="6" t="str">
        <f>IFERROR(__xludf.DUMMYFUNCTION("""COMPUTED_VALUE"""),"maricv1@gmail.com")</f>
        <v>maricv1@gmail.com</v>
      </c>
      <c r="AK398" s="6" t="str">
        <f>IFERROR(__xludf.DUMMYFUNCTION("""COMPUTED_VALUE"""),"Negocios Internacionales")</f>
        <v>Negocios Internacionales</v>
      </c>
      <c r="AL398" s="6" t="str">
        <f>IFERROR(__xludf.DUMMYFUNCTION("""COMPUTED_VALUE"""),"Century 21 Abundanza")</f>
        <v>Century 21 Abundanza</v>
      </c>
      <c r="AM398" s="12" t="str">
        <f>IFERROR(__xludf.DUMMYFUNCTION("""COMPUTED_VALUE"""),"52985087")</f>
        <v>52985087</v>
      </c>
      <c r="AN398" s="12" t="str">
        <f>IFERROR(__xludf.DUMMYFUNCTION("""COMPUTED_VALUE"""),"3505927255")</f>
        <v>3505927255</v>
      </c>
      <c r="AO398" s="6" t="str">
        <f>IFERROR(__xludf.DUMMYFUNCTION("""COMPUTED_VALUE"""),"Madre")</f>
        <v>Madre</v>
      </c>
      <c r="AP398" s="6" t="str">
        <f>IFERROR(__xludf.DUMMYFUNCTION("""COMPUTED_VALUE"""),"Estudiante(s): Campuzano Cadavid")</f>
        <v>Estudiante(s): Campuzano Cadavid</v>
      </c>
      <c r="AQ398" s="6" t="str">
        <f>IFERROR(__xludf.DUMMYFUNCTION("""COMPUTED_VALUE"""),"120230*Gi")</f>
        <v>120230*Gi</v>
      </c>
      <c r="AR398" s="6" t="str">
        <f>IFERROR(__xludf.DUMMYFUNCTION("""COMPUTED_VALUE"""),"Pedro ")</f>
        <v>Pedro </v>
      </c>
      <c r="AS398" s="6" t="str">
        <f>IFERROR(__xludf.DUMMYFUNCTION("""COMPUTED_VALUE"""),"Pablo")</f>
        <v>Pablo</v>
      </c>
      <c r="AT398" s="6" t="str">
        <f>IFERROR(__xludf.DUMMYFUNCTION("""COMPUTED_VALUE"""),"Campuzano Ramirez")</f>
        <v>Campuzano Ramirez</v>
      </c>
      <c r="AU398" s="6" t="str">
        <f>IFERROR(__xludf.DUMMYFUNCTION("""COMPUTED_VALUE"""),"gerencia@c21abundanza.com")</f>
        <v>gerencia@c21abundanza.com</v>
      </c>
      <c r="AV398" s="6" t="str">
        <f>IFERROR(__xludf.DUMMYFUNCTION("""COMPUTED_VALUE"""),"Negocios Internacionales")</f>
        <v>Negocios Internacionales</v>
      </c>
      <c r="AW398" s="6" t="str">
        <f>IFERROR(__xludf.DUMMYFUNCTION("""COMPUTED_VALUE"""),"Century 21 Abundanza")</f>
        <v>Century 21 Abundanza</v>
      </c>
      <c r="AX398" s="12" t="str">
        <f>IFERROR(__xludf.DUMMYFUNCTION("""COMPUTED_VALUE"""),"80177943")</f>
        <v>80177943</v>
      </c>
      <c r="AY398" s="12">
        <f>IFERROR(__xludf.DUMMYFUNCTION("""COMPUTED_VALUE"""),3.144756045E9)</f>
        <v>3144756045</v>
      </c>
      <c r="AZ398" s="6" t="str">
        <f>IFERROR(__xludf.DUMMYFUNCTION("""COMPUTED_VALUE"""),"Padre")</f>
        <v>Padre</v>
      </c>
      <c r="BA398" s="6"/>
      <c r="BB398" s="6"/>
      <c r="BC398" s="6"/>
      <c r="BD398" s="12" t="str">
        <f>IFERROR(__xludf.DUMMYFUNCTION("""COMPUTED_VALUE"""),"cam0002")</f>
        <v>cam0002</v>
      </c>
      <c r="BE398" s="6"/>
      <c r="BF398" s="6"/>
      <c r="BG398" s="6">
        <f>IFERROR(__xludf.DUMMYFUNCTION("""COMPUTED_VALUE"""),2034.0)</f>
        <v>2034</v>
      </c>
      <c r="BH398" s="15">
        <f>IFERROR(__xludf.DUMMYFUNCTION("""COMPUTED_VALUE"""),46209.51746527778)</f>
        <v>46209.51747</v>
      </c>
      <c r="BI398" s="6">
        <f>IFERROR(__xludf.DUMMYFUNCTION("""COMPUTED_VALUE"""),398.0)</f>
        <v>398</v>
      </c>
      <c r="BJ398" s="6"/>
      <c r="BK398" s="6" t="str">
        <f>IFERROR(__xludf.DUMMYFUNCTION("""COMPUTED_VALUE"""),"Si: flixotide")</f>
        <v>Si: flixotide</v>
      </c>
      <c r="BL398" s="6" t="str">
        <f>IFERROR(__xludf.DUMMYFUNCTION("""COMPUTED_VALUE"""),"GISCAM0002")</f>
        <v>GISCAM0002</v>
      </c>
      <c r="BM398" s="6"/>
      <c r="BN398" s="6"/>
      <c r="BO398" s="6"/>
      <c r="BP398" s="6"/>
      <c r="BQ398" s="6"/>
      <c r="BR398" s="6"/>
      <c r="BS398" s="6"/>
      <c r="BT398" s="6"/>
      <c r="BU398" s="6" t="str">
        <f>IFERROR(__xludf.DUMMYFUNCTION("""COMPUTED_VALUE"""),"NO")</f>
        <v>NO</v>
      </c>
      <c r="BV398" s="6" t="str">
        <f>IFERROR(__xludf.DUMMYFUNCTION("""COMPUTED_VALUE"""),"juan.c2034")</f>
        <v>juan.c2034</v>
      </c>
      <c r="BW398" s="6"/>
      <c r="BX398" s="6"/>
      <c r="BY398" s="6"/>
      <c r="BZ398" s="6"/>
    </row>
    <row r="399">
      <c r="A399" s="12">
        <f>IFERROR(__xludf.DUMMYFUNCTION("""COMPUTED_VALUE"""),1.108258249E9)</f>
        <v>1108258249</v>
      </c>
      <c r="B399" s="6">
        <f>IFERROR(__xludf.DUMMYFUNCTION("""COMPUTED_VALUE"""),3.0)</f>
        <v>3</v>
      </c>
      <c r="C399" s="6" t="str">
        <f>IFERROR(__xludf.DUMMYFUNCTION("""COMPUTED_VALUE"""),"Evaluna")</f>
        <v>Evaluna</v>
      </c>
      <c r="D399" s="6"/>
      <c r="E399" s="6" t="str">
        <f>IFERROR(__xludf.DUMMYFUNCTION("""COMPUTED_VALUE"""),"Cardona Echeverri")</f>
        <v>Cardona Echeverri</v>
      </c>
      <c r="F399" s="6" t="str">
        <f>IFERROR(__xludf.DUMMYFUNCTION("""COMPUTED_VALUE"""),"Parque Residencial Los Cedros Mz 3 Casa 2 - Calle 50Nte No15 - 1")</f>
        <v>Parque Residencial Los Cedros Mz 3 Casa 2 - Calle 50Nte No15 - 1</v>
      </c>
      <c r="G399" s="12" t="str">
        <f>IFERROR(__xludf.DUMMYFUNCTION("""COMPUTED_VALUE"""),"2015")</f>
        <v>2015</v>
      </c>
      <c r="H399" s="6" t="str">
        <f>IFERROR(__xludf.DUMMYFUNCTION("""COMPUTED_VALUE"""),"Noviembre")</f>
        <v>Noviembre</v>
      </c>
      <c r="I399" s="12" t="str">
        <f>IFERROR(__xludf.DUMMYFUNCTION("""COMPUTED_VALUE"""),"4")</f>
        <v>4</v>
      </c>
      <c r="J399" s="6" t="str">
        <f>IFERROR(__xludf.DUMMYFUNCTION("""COMPUTED_VALUE"""),"Cali")</f>
        <v>Cali</v>
      </c>
      <c r="K399" s="6" t="str">
        <f>IFERROR(__xludf.DUMMYFUNCTION("""COMPUTED_VALUE"""),"evaluna.c2034@gi.edu.co")</f>
        <v>evaluna.c2034@gi.edu.co</v>
      </c>
      <c r="L399" s="6" t="str">
        <f>IFERROR(__xludf.DUMMYFUNCTION("""COMPUTED_VALUE"""),"TI")</f>
        <v>TI</v>
      </c>
      <c r="M399" s="6" t="str">
        <f>IFERROR(__xludf.DUMMYFUNCTION("""COMPUTED_VALUE"""),"Armenia")</f>
        <v>Armenia</v>
      </c>
      <c r="N399" s="6" t="str">
        <f>IFERROR(__xludf.DUMMYFUNCTION("""COMPUTED_VALUE"""),"F")</f>
        <v>F</v>
      </c>
      <c r="O399" s="6" t="str">
        <f>IFERROR(__xludf.DUMMYFUNCTION("""COMPUTED_VALUE"""),"ACTIVE")</f>
        <v>ACTIVE</v>
      </c>
      <c r="P399" s="6"/>
      <c r="Q399" s="6" t="str">
        <f>IFERROR(__xludf.DUMMYFUNCTION("""COMPUTED_VALUE"""),"Armenia")</f>
        <v>Armenia</v>
      </c>
      <c r="R399" s="12" t="str">
        <f>IFERROR(__xludf.DUMMYFUNCTION("""COMPUTED_VALUE"""),"Gi32fh4*")</f>
        <v>Gi32fh4*</v>
      </c>
      <c r="S399" s="6" t="str">
        <f>IFERROR(__xludf.DUMMYFUNCTION("""COMPUTED_VALUE"""),"Cardona Echeverri Evaluna ")</f>
        <v>Cardona Echeverri Evaluna </v>
      </c>
      <c r="T399" s="6" t="str">
        <f>IFERROR(__xludf.DUMMYFUNCTION("""COMPUTED_VALUE"""),"CARLOS FERNANDO CARDONA BRICEÑO")</f>
        <v>CARLOS FERNANDO CARDONA BRICEÑO</v>
      </c>
      <c r="U399" s="12" t="str">
        <f>IFERROR(__xludf.DUMMYFUNCTION("""COMPUTED_VALUE"""),"1143834344")</f>
        <v>1143834344</v>
      </c>
      <c r="V399" s="6">
        <f>IFERROR(__xludf.DUMMYFUNCTION("""COMPUTED_VALUE"""),3.152885588E9)</f>
        <v>3152885588</v>
      </c>
      <c r="W399" s="6" t="str">
        <f>IFERROR(__xludf.DUMMYFUNCTION("""COMPUTED_VALUE"""),"ccardona90@hotmail.com")</f>
        <v>ccardona90@hotmail.com</v>
      </c>
      <c r="X399" s="12" t="str">
        <f>IFERROR(__xludf.DUMMYFUNCTION("""COMPUTED_VALUE"""),"O+")</f>
        <v>O+</v>
      </c>
      <c r="Y399" s="12" t="str">
        <f>IFERROR(__xludf.DUMMYFUNCTION("""COMPUTED_VALUE"""),"5")</f>
        <v>5</v>
      </c>
      <c r="Z399" s="12">
        <f>IFERROR(__xludf.DUMMYFUNCTION("""COMPUTED_VALUE"""),120291.0)</f>
        <v>120291</v>
      </c>
      <c r="AA399" s="6" t="str">
        <f>IFERROR(__xludf.DUMMYFUNCTION("""COMPUTED_VALUE"""),"SANITAS")</f>
        <v>SANITAS</v>
      </c>
      <c r="AB399" s="6"/>
      <c r="AC399" s="6"/>
      <c r="AD399" s="12" t="str">
        <f>IFERROR(__xludf.DUMMYFUNCTION("""COMPUTED_VALUE"""),"5A")</f>
        <v>5A</v>
      </c>
      <c r="AE399" s="12">
        <f>IFERROR(__xludf.DUMMYFUNCTION("""COMPUTED_VALUE"""),1.34528229E9)</f>
        <v>1345282290</v>
      </c>
      <c r="AF399" s="12" t="str">
        <f>IFERROR(__xludf.DUMMYFUNCTION("""COMPUTED_VALUE"""),"0705423107")</f>
        <v>0705423107</v>
      </c>
      <c r="AG399" s="12" t="str">
        <f>IFERROR(__xludf.DUMMYFUNCTION("""COMPUTED_VALUE"""),"Maria ")</f>
        <v>Maria </v>
      </c>
      <c r="AH399" s="12" t="str">
        <f>IFERROR(__xludf.DUMMYFUNCTION("""COMPUTED_VALUE"""),"Angélica")</f>
        <v>Angélica</v>
      </c>
      <c r="AI399" s="6" t="str">
        <f>IFERROR(__xludf.DUMMYFUNCTION("""COMPUTED_VALUE"""),"Echeverri Córdoba")</f>
        <v>Echeverri Córdoba</v>
      </c>
      <c r="AJ399" s="6" t="str">
        <f>IFERROR(__xludf.DUMMYFUNCTION("""COMPUTED_VALUE"""),"mangelicae90@gmail.com")</f>
        <v>mangelicae90@gmail.com</v>
      </c>
      <c r="AK399" s="6" t="str">
        <f>IFERROR(__xludf.DUMMYFUNCTION("""COMPUTED_VALUE"""),"SOCIOLOGA Y ANTROPOLOGA")</f>
        <v>SOCIOLOGA Y ANTROPOLOGA</v>
      </c>
      <c r="AL399" s="6" t="str">
        <f>IFERROR(__xludf.DUMMYFUNCTION("""COMPUTED_VALUE"""),"OJAIMAQ S.A")</f>
        <v>OJAIMAQ S.A</v>
      </c>
      <c r="AM399" s="12" t="str">
        <f>IFERROR(__xludf.DUMMYFUNCTION("""COMPUTED_VALUE"""),"1144033352")</f>
        <v>1144033352</v>
      </c>
      <c r="AN399" s="12" t="str">
        <f>IFERROR(__xludf.DUMMYFUNCTION("""COMPUTED_VALUE"""),"3175173244")</f>
        <v>3175173244</v>
      </c>
      <c r="AO399" s="6" t="str">
        <f>IFERROR(__xludf.DUMMYFUNCTION("""COMPUTED_VALUE"""),"Madre")</f>
        <v>Madre</v>
      </c>
      <c r="AP399" s="6" t="str">
        <f>IFERROR(__xludf.DUMMYFUNCTION("""COMPUTED_VALUE"""),"Estudiante(s): Cardona Echeverri")</f>
        <v>Estudiante(s): Cardona Echeverri</v>
      </c>
      <c r="AQ399" s="6" t="str">
        <f>IFERROR(__xludf.DUMMYFUNCTION("""COMPUTED_VALUE"""),"120268Gi*")</f>
        <v>120268Gi*</v>
      </c>
      <c r="AR399" s="6" t="str">
        <f>IFERROR(__xludf.DUMMYFUNCTION("""COMPUTED_VALUE"""),"Carlos")</f>
        <v>Carlos</v>
      </c>
      <c r="AS399" s="6" t="str">
        <f>IFERROR(__xludf.DUMMYFUNCTION("""COMPUTED_VALUE"""),"Fernando")</f>
        <v>Fernando</v>
      </c>
      <c r="AT399" s="6" t="str">
        <f>IFERROR(__xludf.DUMMYFUNCTION("""COMPUTED_VALUE"""),"Cardona Briceño")</f>
        <v>Cardona Briceño</v>
      </c>
      <c r="AU399" s="6" t="str">
        <f>IFERROR(__xludf.DUMMYFUNCTION("""COMPUTED_VALUE"""),"ccardona90@hotmail.com")</f>
        <v>ccardona90@hotmail.com</v>
      </c>
      <c r="AV399" s="6" t="str">
        <f>IFERROR(__xludf.DUMMYFUNCTION("""COMPUTED_VALUE"""),"TEOLOGO")</f>
        <v>TEOLOGO</v>
      </c>
      <c r="AW399" s="6"/>
      <c r="AX399" s="12" t="str">
        <f>IFERROR(__xludf.DUMMYFUNCTION("""COMPUTED_VALUE"""),"1143834344")</f>
        <v>1143834344</v>
      </c>
      <c r="AY399" s="12" t="str">
        <f>IFERROR(__xludf.DUMMYFUNCTION("""COMPUTED_VALUE"""),"3152885588")</f>
        <v>3152885588</v>
      </c>
      <c r="AZ399" s="6" t="str">
        <f>IFERROR(__xludf.DUMMYFUNCTION("""COMPUTED_VALUE"""),"Padre")</f>
        <v>Padre</v>
      </c>
      <c r="BA399" s="6"/>
      <c r="BB399" s="6"/>
      <c r="BC399" s="6"/>
      <c r="BD399" s="12" t="str">
        <f>IFERROR(__xludf.DUMMYFUNCTION("""COMPUTED_VALUE"""),"car0019")</f>
        <v>car0019</v>
      </c>
      <c r="BE399" s="6"/>
      <c r="BF399" s="6"/>
      <c r="BG399" s="6">
        <f>IFERROR(__xludf.DUMMYFUNCTION("""COMPUTED_VALUE"""),2034.0)</f>
        <v>2034</v>
      </c>
      <c r="BH399" s="15">
        <f>IFERROR(__xludf.DUMMYFUNCTION("""COMPUTED_VALUE"""),46211.527083333334)</f>
        <v>46211.52708</v>
      </c>
      <c r="BI399" s="6">
        <f>IFERROR(__xludf.DUMMYFUNCTION("""COMPUTED_VALUE"""),399.0)</f>
        <v>399</v>
      </c>
      <c r="BJ399" s="6"/>
      <c r="BK399" s="6"/>
      <c r="BL399" s="6" t="str">
        <f>IFERROR(__xludf.DUMMYFUNCTION("""COMPUTED_VALUE"""),"GISCAR0019")</f>
        <v>GISCAR0019</v>
      </c>
      <c r="BM399" s="6"/>
      <c r="BN399" s="6"/>
      <c r="BO399" s="6"/>
      <c r="BP399" s="6" t="str">
        <f>IFERROR(__xludf.DUMMYFUNCTION("""COMPUTED_VALUE"""),"XC_45_Voleibol")</f>
        <v>XC_45_Voleibol</v>
      </c>
      <c r="BQ399" s="6"/>
      <c r="BR399" s="6"/>
      <c r="BS399" s="6" t="str">
        <f>IFERROR(__xludf.DUMMYFUNCTION("""COMPUTED_VALUE"""),"XC_45_Voleibol")</f>
        <v>XC_45_Voleibol</v>
      </c>
      <c r="BT399" s="6" t="str">
        <f>IFERROR(__xludf.DUMMYFUNCTION("""COMPUTED_VALUE"""),"XC_45_Voleibol")</f>
        <v>XC_45_Voleibol</v>
      </c>
      <c r="BU399" s="6" t="str">
        <f>IFERROR(__xludf.DUMMYFUNCTION("""COMPUTED_VALUE"""),"SI")</f>
        <v>SI</v>
      </c>
      <c r="BV399" s="6" t="str">
        <f>IFERROR(__xludf.DUMMYFUNCTION("""COMPUTED_VALUE"""),"evaluna.c2034")</f>
        <v>evaluna.c2034</v>
      </c>
      <c r="BW399" s="6"/>
      <c r="BX399" s="6"/>
      <c r="BY399" s="6"/>
      <c r="BZ399" s="6"/>
    </row>
    <row r="400">
      <c r="A400" s="12">
        <f>IFERROR(__xludf.DUMMYFUNCTION("""COMPUTED_VALUE"""),1.092860347E9)</f>
        <v>1092860347</v>
      </c>
      <c r="B400" s="6">
        <f>IFERROR(__xludf.DUMMYFUNCTION("""COMPUTED_VALUE"""),4.0)</f>
        <v>4</v>
      </c>
      <c r="C400" s="6" t="str">
        <f>IFERROR(__xludf.DUMMYFUNCTION("""COMPUTED_VALUE"""),"Gabriel")</f>
        <v>Gabriel</v>
      </c>
      <c r="D400" s="6" t="str">
        <f>IFERROR(__xludf.DUMMYFUNCTION("""COMPUTED_VALUE"""),"Andrés")</f>
        <v>Andrés</v>
      </c>
      <c r="E400" s="6" t="str">
        <f>IFERROR(__xludf.DUMMYFUNCTION("""COMPUTED_VALUE"""),"Carvajal Suárez")</f>
        <v>Carvajal Suárez</v>
      </c>
      <c r="F400" s="6" t="str">
        <f>IFERROR(__xludf.DUMMYFUNCTION("""COMPUTED_VALUE"""),"Edificio Solaris Apto 503 - Cra13 No8Nte - 40  La Castellana")</f>
        <v>Edificio Solaris Apto 503 - Cra13 No8Nte - 40  La Castellana</v>
      </c>
      <c r="G400" s="12" t="str">
        <f>IFERROR(__xludf.DUMMYFUNCTION("""COMPUTED_VALUE"""),"2016")</f>
        <v>2016</v>
      </c>
      <c r="H400" s="6" t="str">
        <f>IFERROR(__xludf.DUMMYFUNCTION("""COMPUTED_VALUE"""),"Agosto")</f>
        <v>Agosto</v>
      </c>
      <c r="I400" s="12" t="str">
        <f>IFERROR(__xludf.DUMMYFUNCTION("""COMPUTED_VALUE"""),"20")</f>
        <v>20</v>
      </c>
      <c r="J400" s="6" t="str">
        <f>IFERROR(__xludf.DUMMYFUNCTION("""COMPUTED_VALUE"""),"Armenia")</f>
        <v>Armenia</v>
      </c>
      <c r="K400" s="6" t="str">
        <f>IFERROR(__xludf.DUMMYFUNCTION("""COMPUTED_VALUE"""),"gabriel.c2034@gi.edu.co")</f>
        <v>gabriel.c2034@gi.edu.co</v>
      </c>
      <c r="L400" s="6" t="str">
        <f>IFERROR(__xludf.DUMMYFUNCTION("""COMPUTED_VALUE"""),"TI")</f>
        <v>TI</v>
      </c>
      <c r="M400" s="6" t="str">
        <f>IFERROR(__xludf.DUMMYFUNCTION("""COMPUTED_VALUE"""),"Armenia")</f>
        <v>Armenia</v>
      </c>
      <c r="N400" s="6" t="str">
        <f>IFERROR(__xludf.DUMMYFUNCTION("""COMPUTED_VALUE"""),"M")</f>
        <v>M</v>
      </c>
      <c r="O400" s="6" t="str">
        <f>IFERROR(__xludf.DUMMYFUNCTION("""COMPUTED_VALUE"""),"INACTIVE")</f>
        <v>INACTIVE</v>
      </c>
      <c r="P400" s="6"/>
      <c r="Q400" s="6" t="str">
        <f>IFERROR(__xludf.DUMMYFUNCTION("""COMPUTED_VALUE"""),"Armenia")</f>
        <v>Armenia</v>
      </c>
      <c r="R400" s="12" t="str">
        <f>IFERROR(__xludf.DUMMYFUNCTION("""COMPUTED_VALUE"""),"Gi65ws34")</f>
        <v>Gi65ws34</v>
      </c>
      <c r="S400" s="6" t="str">
        <f>IFERROR(__xludf.DUMMYFUNCTION("""COMPUTED_VALUE"""),"Carvajal Suárez Gabriel Andrés")</f>
        <v>Carvajal Suárez Gabriel Andrés</v>
      </c>
      <c r="T400" s="6" t="str">
        <f>IFERROR(__xludf.DUMMYFUNCTION("""COMPUTED_VALUE"""),"OSCAR ALBERTO CARVAJAL MEJIA")</f>
        <v>OSCAR ALBERTO CARVAJAL MEJIA</v>
      </c>
      <c r="U400" s="12" t="str">
        <f>IFERROR(__xludf.DUMMYFUNCTION("""COMPUTED_VALUE"""),"7561388")</f>
        <v>7561388</v>
      </c>
      <c r="V400" s="6">
        <f>IFERROR(__xludf.DUMMYFUNCTION("""COMPUTED_VALUE"""),3.183609109E9)</f>
        <v>3183609109</v>
      </c>
      <c r="W400" s="6" t="str">
        <f>IFERROR(__xludf.DUMMYFUNCTION("""COMPUTED_VALUE"""),"oscarvajalmejia@gmail.com")</f>
        <v>oscarvajalmejia@gmail.com</v>
      </c>
      <c r="X400" s="12" t="str">
        <f>IFERROR(__xludf.DUMMYFUNCTION("""COMPUTED_VALUE"""),"B+")</f>
        <v>B+</v>
      </c>
      <c r="Y400" s="12" t="str">
        <f>IFERROR(__xludf.DUMMYFUNCTION("""COMPUTED_VALUE"""),"5")</f>
        <v>5</v>
      </c>
      <c r="Z400" s="12">
        <f>IFERROR(__xludf.DUMMYFUNCTION("""COMPUTED_VALUE"""),103787.0)</f>
        <v>103787</v>
      </c>
      <c r="AA400" s="6" t="str">
        <f>IFERROR(__xludf.DUMMYFUNCTION("""COMPUTED_VALUE"""),"SALUD TOTAL")</f>
        <v>SALUD TOTAL</v>
      </c>
      <c r="AB400" s="6"/>
      <c r="AC400" s="12" t="str">
        <f>IFERROR(__xludf.DUMMYFUNCTION("""COMPUTED_VALUE"""),"A picaduras de zancudos, al frío y picaduras hormigas")</f>
        <v>A picaduras de zancudos, al frío y picaduras hormigas</v>
      </c>
      <c r="AD400" s="12" t="str">
        <f>IFERROR(__xludf.DUMMYFUNCTION("""COMPUTED_VALUE"""),"5A")</f>
        <v>5A</v>
      </c>
      <c r="AE400" s="12">
        <f>IFERROR(__xludf.DUMMYFUNCTION("""COMPUTED_VALUE"""),1.345281916E9)</f>
        <v>1345281916</v>
      </c>
      <c r="AF400" s="12" t="str">
        <f>IFERROR(__xludf.DUMMYFUNCTION("""COMPUTED_VALUE"""),"0694435027")</f>
        <v>0694435027</v>
      </c>
      <c r="AG400" s="12" t="str">
        <f>IFERROR(__xludf.DUMMYFUNCTION("""COMPUTED_VALUE"""),"Anna")</f>
        <v>Anna</v>
      </c>
      <c r="AH400" s="12" t="str">
        <f>IFERROR(__xludf.DUMMYFUNCTION("""COMPUTED_VALUE"""),"Karina")</f>
        <v>Karina</v>
      </c>
      <c r="AI400" s="6" t="str">
        <f>IFERROR(__xludf.DUMMYFUNCTION("""COMPUTED_VALUE"""),"Suárez Cuadros")</f>
        <v>Suárez Cuadros</v>
      </c>
      <c r="AJ400" s="6" t="str">
        <f>IFERROR(__xludf.DUMMYFUNCTION("""COMPUTED_VALUE"""),"annakarenna@gmail.com")</f>
        <v>annakarenna@gmail.com</v>
      </c>
      <c r="AK400" s="6" t="str">
        <f>IFERROR(__xludf.DUMMYFUNCTION("""COMPUTED_VALUE"""),"Profesional en estudios literarios")</f>
        <v>Profesional en estudios literarios</v>
      </c>
      <c r="AL400" s="6"/>
      <c r="AM400" s="12" t="str">
        <f>IFERROR(__xludf.DUMMYFUNCTION("""COMPUTED_VALUE"""),"52619604")</f>
        <v>52619604</v>
      </c>
      <c r="AN400" s="12" t="str">
        <f>IFERROR(__xludf.DUMMYFUNCTION("""COMPUTED_VALUE"""),"3168764310")</f>
        <v>3168764310</v>
      </c>
      <c r="AO400" s="6" t="str">
        <f>IFERROR(__xludf.DUMMYFUNCTION("""COMPUTED_VALUE"""),"Madre")</f>
        <v>Madre</v>
      </c>
      <c r="AP400" s="6" t="str">
        <f>IFERROR(__xludf.DUMMYFUNCTION("""COMPUTED_VALUE"""),"Estudiante(s): Carvajal Suárez")</f>
        <v>Estudiante(s): Carvajal Suárez</v>
      </c>
      <c r="AQ400" s="6" t="str">
        <f>IFERROR(__xludf.DUMMYFUNCTION("""COMPUTED_VALUE"""),"102258*Gi")</f>
        <v>102258*Gi</v>
      </c>
      <c r="AR400" s="6" t="str">
        <f>IFERROR(__xludf.DUMMYFUNCTION("""COMPUTED_VALUE"""),"Oscar")</f>
        <v>Oscar</v>
      </c>
      <c r="AS400" s="6" t="str">
        <f>IFERROR(__xludf.DUMMYFUNCTION("""COMPUTED_VALUE"""),"Alberto")</f>
        <v>Alberto</v>
      </c>
      <c r="AT400" s="6" t="str">
        <f>IFERROR(__xludf.DUMMYFUNCTION("""COMPUTED_VALUE"""),"Carvajal Mejia")</f>
        <v>Carvajal Mejia</v>
      </c>
      <c r="AU400" s="6" t="str">
        <f>IFERROR(__xludf.DUMMYFUNCTION("""COMPUTED_VALUE"""),"oscarvajalmejia@gmail.com")</f>
        <v>oscarvajalmejia@gmail.com</v>
      </c>
      <c r="AV400" s="6" t="str">
        <f>IFERROR(__xludf.DUMMYFUNCTION("""COMPUTED_VALUE"""),"Médico neurólogo")</f>
        <v>Médico neurólogo</v>
      </c>
      <c r="AW400" s="6" t="str">
        <f>IFERROR(__xludf.DUMMYFUNCTION("""COMPUTED_VALUE"""),"Neuroimágenes")</f>
        <v>Neuroimágenes</v>
      </c>
      <c r="AX400" s="12" t="str">
        <f>IFERROR(__xludf.DUMMYFUNCTION("""COMPUTED_VALUE"""),"7561388")</f>
        <v>7561388</v>
      </c>
      <c r="AY400" s="12" t="str">
        <f>IFERROR(__xludf.DUMMYFUNCTION("""COMPUTED_VALUE"""),"3183609109")</f>
        <v>3183609109</v>
      </c>
      <c r="AZ400" s="6" t="str">
        <f>IFERROR(__xludf.DUMMYFUNCTION("""COMPUTED_VALUE"""),"Padre")</f>
        <v>Padre</v>
      </c>
      <c r="BA400" s="6"/>
      <c r="BB400" s="6"/>
      <c r="BC400" s="6"/>
      <c r="BD400" s="12" t="str">
        <f>IFERROR(__xludf.DUMMYFUNCTION("""COMPUTED_VALUE"""),"car0009")</f>
        <v>car0009</v>
      </c>
      <c r="BE400" s="6" t="str">
        <f>IFERROR(__xludf.DUMMYFUNCTION("""COMPUTED_VALUE"""),"FALTAN FIRMAS")</f>
        <v>FALTAN FIRMAS</v>
      </c>
      <c r="BF400" s="6"/>
      <c r="BG400" s="6">
        <f>IFERROR(__xludf.DUMMYFUNCTION("""COMPUTED_VALUE"""),2034.0)</f>
        <v>2034</v>
      </c>
      <c r="BH400" s="15">
        <f>IFERROR(__xludf.DUMMYFUNCTION("""COMPUTED_VALUE"""),46212.66258101852)</f>
        <v>46212.66258</v>
      </c>
      <c r="BI400" s="6">
        <f>IFERROR(__xludf.DUMMYFUNCTION("""COMPUTED_VALUE"""),400.0)</f>
        <v>400</v>
      </c>
      <c r="BJ400" s="6"/>
      <c r="BK400" s="6"/>
      <c r="BL400" s="6" t="str">
        <f>IFERROR(__xludf.DUMMYFUNCTION("""COMPUTED_VALUE"""),"GISCAR0009")</f>
        <v>GISCAR0009</v>
      </c>
      <c r="BM400" s="6"/>
      <c r="BN400" s="6"/>
      <c r="BO400" s="6"/>
      <c r="BP400" s="6" t="str">
        <f>IFERROR(__xludf.DUMMYFUNCTION("""COMPUTED_VALUE"""),"XC_EL_Taekwondo")</f>
        <v>XC_EL_Taekwondo</v>
      </c>
      <c r="BQ400" s="6" t="str">
        <f>IFERROR(__xludf.DUMMYFUNCTION("""COMPUTED_VALUE"""),"XC_EL_Taekwondo")</f>
        <v>XC_EL_Taekwondo</v>
      </c>
      <c r="BR400" s="6"/>
      <c r="BS400" s="6" t="str">
        <f>IFERROR(__xludf.DUMMYFUNCTION("""COMPUTED_VALUE"""),"XC_EL_Taekwondo")</f>
        <v>XC_EL_Taekwondo</v>
      </c>
      <c r="BT400" s="6"/>
      <c r="BU400" s="6" t="str">
        <f>IFERROR(__xludf.DUMMYFUNCTION("""COMPUTED_VALUE"""),"SI")</f>
        <v>SI</v>
      </c>
      <c r="BV400" s="6" t="str">
        <f>IFERROR(__xludf.DUMMYFUNCTION("""COMPUTED_VALUE"""),"gabriel.c2034")</f>
        <v>gabriel.c2034</v>
      </c>
      <c r="BW400" s="6"/>
      <c r="BX400" s="6"/>
      <c r="BY400" s="6"/>
      <c r="BZ400" s="6"/>
    </row>
    <row r="401">
      <c r="A401" s="12">
        <f>IFERROR(__xludf.DUMMYFUNCTION("""COMPUTED_VALUE"""),1.092860172E9)</f>
        <v>1092860172</v>
      </c>
      <c r="B401" s="6">
        <f>IFERROR(__xludf.DUMMYFUNCTION("""COMPUTED_VALUE"""),5.0)</f>
        <v>5</v>
      </c>
      <c r="C401" s="6" t="str">
        <f>IFERROR(__xludf.DUMMYFUNCTION("""COMPUTED_VALUE"""),"Cristobal")</f>
        <v>Cristobal</v>
      </c>
      <c r="D401" s="6"/>
      <c r="E401" s="6" t="str">
        <f>IFERROR(__xludf.DUMMYFUNCTION("""COMPUTED_VALUE"""),"Castañeda Mesa")</f>
        <v>Castañeda Mesa</v>
      </c>
      <c r="F401" s="6" t="str">
        <f>IFERROR(__xludf.DUMMYFUNCTION("""COMPUTED_VALUE"""),"Cra 13 No9ANte - 58 Torre 1 Apto 701 - La Castellana")</f>
        <v>Cra 13 No9ANte - 58 Torre 1 Apto 701 - La Castellana</v>
      </c>
      <c r="G401" s="12" t="str">
        <f>IFERROR(__xludf.DUMMYFUNCTION("""COMPUTED_VALUE"""),"2016")</f>
        <v>2016</v>
      </c>
      <c r="H401" s="6" t="str">
        <f>IFERROR(__xludf.DUMMYFUNCTION("""COMPUTED_VALUE"""),"Julio")</f>
        <v>Julio</v>
      </c>
      <c r="I401" s="12" t="str">
        <f>IFERROR(__xludf.DUMMYFUNCTION("""COMPUTED_VALUE"""),"2")</f>
        <v>2</v>
      </c>
      <c r="J401" s="6" t="str">
        <f>IFERROR(__xludf.DUMMYFUNCTION("""COMPUTED_VALUE"""),"Armenia")</f>
        <v>Armenia</v>
      </c>
      <c r="K401" s="6" t="str">
        <f>IFERROR(__xludf.DUMMYFUNCTION("""COMPUTED_VALUE"""),"cristobal.c2034@gi.edu.co")</f>
        <v>cristobal.c2034@gi.edu.co</v>
      </c>
      <c r="L401" s="6" t="str">
        <f>IFERROR(__xludf.DUMMYFUNCTION("""COMPUTED_VALUE"""),"TI")</f>
        <v>TI</v>
      </c>
      <c r="M401" s="6" t="str">
        <f>IFERROR(__xludf.DUMMYFUNCTION("""COMPUTED_VALUE"""),"Armenia")</f>
        <v>Armenia</v>
      </c>
      <c r="N401" s="6" t="str">
        <f>IFERROR(__xludf.DUMMYFUNCTION("""COMPUTED_VALUE"""),"M")</f>
        <v>M</v>
      </c>
      <c r="O401" s="6" t="str">
        <f>IFERROR(__xludf.DUMMYFUNCTION("""COMPUTED_VALUE"""),"ACTIVE")</f>
        <v>ACTIVE</v>
      </c>
      <c r="P401" s="6"/>
      <c r="Q401" s="6" t="str">
        <f>IFERROR(__xludf.DUMMYFUNCTION("""COMPUTED_VALUE"""),"Armenia")</f>
        <v>Armenia</v>
      </c>
      <c r="R401" s="12" t="str">
        <f>IFERROR(__xludf.DUMMYFUNCTION("""COMPUTED_VALUE"""),"Gidflreg8*")</f>
        <v>Gidflreg8*</v>
      </c>
      <c r="S401" s="6" t="str">
        <f>IFERROR(__xludf.DUMMYFUNCTION("""COMPUTED_VALUE"""),"Castañeda Mesa Cristobal ")</f>
        <v>Castañeda Mesa Cristobal </v>
      </c>
      <c r="T401" s="6" t="str">
        <f>IFERROR(__xludf.DUMMYFUNCTION("""COMPUTED_VALUE"""),"MARÍA FERNANDA MESA MAYA")</f>
        <v>MARÍA FERNANDA MESA MAYA</v>
      </c>
      <c r="U401" s="12" t="str">
        <f>IFERROR(__xludf.DUMMYFUNCTION("""COMPUTED_VALUE"""),"41952745")</f>
        <v>41952745</v>
      </c>
      <c r="V401" s="6">
        <f>IFERROR(__xludf.DUMMYFUNCTION("""COMPUTED_VALUE"""),3.153164927E9)</f>
        <v>3153164927</v>
      </c>
      <c r="W401" s="6" t="str">
        <f>IFERROR(__xludf.DUMMYFUNCTION("""COMPUTED_VALUE"""),"mariamesamaya@gmail.com")</f>
        <v>mariamesamaya@gmail.com</v>
      </c>
      <c r="X401" s="12" t="str">
        <f>IFERROR(__xludf.DUMMYFUNCTION("""COMPUTED_VALUE"""),"O+")</f>
        <v>O+</v>
      </c>
      <c r="Y401" s="12" t="str">
        <f>IFERROR(__xludf.DUMMYFUNCTION("""COMPUTED_VALUE"""),"5")</f>
        <v>5</v>
      </c>
      <c r="Z401" s="12">
        <f>IFERROR(__xludf.DUMMYFUNCTION("""COMPUTED_VALUE"""),103933.0)</f>
        <v>103933</v>
      </c>
      <c r="AA401" s="6" t="str">
        <f>IFERROR(__xludf.DUMMYFUNCTION("""COMPUTED_VALUE"""),"SURA")</f>
        <v>SURA</v>
      </c>
      <c r="AB401" s="6" t="str">
        <f>IFERROR(__xludf.DUMMYFUNCTION("""COMPUTED_VALUE"""),"EMI")</f>
        <v>EMI</v>
      </c>
      <c r="AC401" s="12" t="str">
        <f>IFERROR(__xludf.DUMMYFUNCTION("""COMPUTED_VALUE"""),"Rinittis")</f>
        <v>Rinittis</v>
      </c>
      <c r="AD401" s="12" t="str">
        <f>IFERROR(__xludf.DUMMYFUNCTION("""COMPUTED_VALUE"""),"5A")</f>
        <v>5A</v>
      </c>
      <c r="AE401" s="12">
        <f>IFERROR(__xludf.DUMMYFUNCTION("""COMPUTED_VALUE"""),1.345281967E9)</f>
        <v>1345281967</v>
      </c>
      <c r="AF401" s="12" t="str">
        <f>IFERROR(__xludf.DUMMYFUNCTION("""COMPUTED_VALUE"""),"0692572099")</f>
        <v>0692572099</v>
      </c>
      <c r="AG401" s="12" t="str">
        <f>IFERROR(__xludf.DUMMYFUNCTION("""COMPUTED_VALUE"""),"Maria")</f>
        <v>Maria</v>
      </c>
      <c r="AH401" s="12" t="str">
        <f>IFERROR(__xludf.DUMMYFUNCTION("""COMPUTED_VALUE"""),"Fernanda")</f>
        <v>Fernanda</v>
      </c>
      <c r="AI401" s="6" t="str">
        <f>IFERROR(__xludf.DUMMYFUNCTION("""COMPUTED_VALUE"""),"Mesa Maya")</f>
        <v>Mesa Maya</v>
      </c>
      <c r="AJ401" s="6" t="str">
        <f>IFERROR(__xludf.DUMMYFUNCTION("""COMPUTED_VALUE"""),"mariamesamaya@gmail.com")</f>
        <v>mariamesamaya@gmail.com</v>
      </c>
      <c r="AK401" s="6" t="str">
        <f>IFERROR(__xludf.DUMMYFUNCTION("""COMPUTED_VALUE"""),"Ingeniera industrial")</f>
        <v>Ingeniera industrial</v>
      </c>
      <c r="AL401" s="6" t="str">
        <f>IFERROR(__xludf.DUMMYFUNCTION("""COMPUTED_VALUE"""),"Viilegas MD")</f>
        <v>Viilegas MD</v>
      </c>
      <c r="AM401" s="12" t="str">
        <f>IFERROR(__xludf.DUMMYFUNCTION("""COMPUTED_VALUE"""),"41952745")</f>
        <v>41952745</v>
      </c>
      <c r="AN401" s="12" t="str">
        <f>IFERROR(__xludf.DUMMYFUNCTION("""COMPUTED_VALUE"""),"3153164927")</f>
        <v>3153164927</v>
      </c>
      <c r="AO401" s="6" t="str">
        <f>IFERROR(__xludf.DUMMYFUNCTION("""COMPUTED_VALUE"""),"Madre")</f>
        <v>Madre</v>
      </c>
      <c r="AP401" s="6" t="str">
        <f>IFERROR(__xludf.DUMMYFUNCTION("""COMPUTED_VALUE"""),"Estudiante(s): Cristobal Castañeda Mesa &amp; Samantha García Mesa")</f>
        <v>Estudiante(s): Cristobal Castañeda Mesa &amp; Samantha García Mesa</v>
      </c>
      <c r="AQ401" s="6" t="str">
        <f>IFERROR(__xludf.DUMMYFUNCTION("""COMPUTED_VALUE"""),"103933*Gi")</f>
        <v>103933*Gi</v>
      </c>
      <c r="AR401" s="6" t="str">
        <f>IFERROR(__xludf.DUMMYFUNCTION("""COMPUTED_VALUE"""),"Carlos")</f>
        <v>Carlos</v>
      </c>
      <c r="AS401" s="6" t="str">
        <f>IFERROR(__xludf.DUMMYFUNCTION("""COMPUTED_VALUE"""),"Eduardo")</f>
        <v>Eduardo</v>
      </c>
      <c r="AT401" s="6" t="str">
        <f>IFERROR(__xludf.DUMMYFUNCTION("""COMPUTED_VALUE"""),"Castañeda Gil")</f>
        <v>Castañeda Gil</v>
      </c>
      <c r="AU401" s="6" t="str">
        <f>IFERROR(__xludf.DUMMYFUNCTION("""COMPUTED_VALUE"""),"carloscastaneda@siloscem.com")</f>
        <v>carloscastaneda@siloscem.com</v>
      </c>
      <c r="AV401" s="6" t="str">
        <f>IFERROR(__xludf.DUMMYFUNCTION("""COMPUTED_VALUE"""),"Zootecnista")</f>
        <v>Zootecnista</v>
      </c>
      <c r="AW401" s="6" t="str">
        <f>IFERROR(__xludf.DUMMYFUNCTION("""COMPUTED_VALUE"""),"Silos CEM")</f>
        <v>Silos CEM</v>
      </c>
      <c r="AX401" s="12" t="str">
        <f>IFERROR(__xludf.DUMMYFUNCTION("""COMPUTED_VALUE"""),"9734879")</f>
        <v>9734879</v>
      </c>
      <c r="AY401" s="12" t="str">
        <f>IFERROR(__xludf.DUMMYFUNCTION("""COMPUTED_VALUE"""),"3148302853")</f>
        <v>3148302853</v>
      </c>
      <c r="AZ401" s="6" t="str">
        <f>IFERROR(__xludf.DUMMYFUNCTION("""COMPUTED_VALUE"""),"Padre")</f>
        <v>Padre</v>
      </c>
      <c r="BA401" s="6"/>
      <c r="BB401" s="6"/>
      <c r="BC401" s="6"/>
      <c r="BD401" s="12" t="str">
        <f>IFERROR(__xludf.DUMMYFUNCTION("""COMPUTED_VALUE"""),"cas0017")</f>
        <v>cas0017</v>
      </c>
      <c r="BE401" s="6"/>
      <c r="BF401" s="6"/>
      <c r="BG401" s="6">
        <f>IFERROR(__xludf.DUMMYFUNCTION("""COMPUTED_VALUE"""),2034.0)</f>
        <v>2034</v>
      </c>
      <c r="BH401" s="15">
        <f>IFERROR(__xludf.DUMMYFUNCTION("""COMPUTED_VALUE"""),46211.48993055556)</f>
        <v>46211.48993</v>
      </c>
      <c r="BI401" s="6">
        <f>IFERROR(__xludf.DUMMYFUNCTION("""COMPUTED_VALUE"""),401.0)</f>
        <v>401</v>
      </c>
      <c r="BJ401" s="6"/>
      <c r="BK401" s="6"/>
      <c r="BL401" s="6" t="str">
        <f>IFERROR(__xludf.DUMMYFUNCTION("""COMPUTED_VALUE"""),"GISCAS0017")</f>
        <v>GISCAS0017</v>
      </c>
      <c r="BM401" s="6"/>
      <c r="BN401" s="6"/>
      <c r="BO401" s="6"/>
      <c r="BP401" s="6" t="str">
        <f>IFERROR(__xludf.DUMMYFUNCTION("""COMPUTED_VALUE"""),"XC_EL_Taekwondo")</f>
        <v>XC_EL_Taekwondo</v>
      </c>
      <c r="BQ401" s="6" t="str">
        <f>IFERROR(__xludf.DUMMYFUNCTION("""COMPUTED_VALUE"""),"XC_EL_Taekwondo")</f>
        <v>XC_EL_Taekwondo</v>
      </c>
      <c r="BR401" s="6" t="str">
        <f>IFERROR(__xludf.DUMMYFUNCTION("""COMPUTED_VALUE"""),"XC_Robo_Lego")</f>
        <v>XC_Robo_Lego</v>
      </c>
      <c r="BS401" s="6" t="str">
        <f>IFERROR(__xludf.DUMMYFUNCTION("""COMPUTED_VALUE"""),"XC_EL_Taekwondo")</f>
        <v>XC_EL_Taekwondo</v>
      </c>
      <c r="BT401" s="6"/>
      <c r="BU401" s="6" t="str">
        <f>IFERROR(__xludf.DUMMYFUNCTION("""COMPUTED_VALUE"""),"SI")</f>
        <v>SI</v>
      </c>
      <c r="BV401" s="6" t="str">
        <f>IFERROR(__xludf.DUMMYFUNCTION("""COMPUTED_VALUE"""),"cristobal.c2034")</f>
        <v>cristobal.c2034</v>
      </c>
      <c r="BW401" s="6"/>
      <c r="BX401" s="6"/>
      <c r="BY401" s="6"/>
      <c r="BZ401" s="6"/>
    </row>
    <row r="402">
      <c r="A402" s="12">
        <f>IFERROR(__xludf.DUMMYFUNCTION("""COMPUTED_VALUE"""),1.092859994E9)</f>
        <v>1092859994</v>
      </c>
      <c r="B402" s="6">
        <f>IFERROR(__xludf.DUMMYFUNCTION("""COMPUTED_VALUE"""),6.0)</f>
        <v>6</v>
      </c>
      <c r="C402" s="6" t="str">
        <f>IFERROR(__xludf.DUMMYFUNCTION("""COMPUTED_VALUE"""),"Mar")</f>
        <v>Mar</v>
      </c>
      <c r="D402" s="6"/>
      <c r="E402" s="6" t="str">
        <f>IFERROR(__xludf.DUMMYFUNCTION("""COMPUTED_VALUE"""),"Castaño Baena")</f>
        <v>Castaño Baena</v>
      </c>
      <c r="F402" s="6" t="str">
        <f>IFERROR(__xludf.DUMMYFUNCTION("""COMPUTED_VALUE"""),"Conjunto Las Colinas Casa 3 - Km 5 Via Armenia Pereira")</f>
        <v>Conjunto Las Colinas Casa 3 - Km 5 Via Armenia Pereira</v>
      </c>
      <c r="G402" s="12" t="str">
        <f>IFERROR(__xludf.DUMMYFUNCTION("""COMPUTED_VALUE"""),"2016")</f>
        <v>2016</v>
      </c>
      <c r="H402" s="6" t="str">
        <f>IFERROR(__xludf.DUMMYFUNCTION("""COMPUTED_VALUE"""),"Abril")</f>
        <v>Abril</v>
      </c>
      <c r="I402" s="12" t="str">
        <f>IFERROR(__xludf.DUMMYFUNCTION("""COMPUTED_VALUE"""),"29")</f>
        <v>29</v>
      </c>
      <c r="J402" s="6" t="str">
        <f>IFERROR(__xludf.DUMMYFUNCTION("""COMPUTED_VALUE"""),"Armenia")</f>
        <v>Armenia</v>
      </c>
      <c r="K402" s="6" t="str">
        <f>IFERROR(__xludf.DUMMYFUNCTION("""COMPUTED_VALUE"""),"mar.cb2034@gi.edu.co")</f>
        <v>mar.cb2034@gi.edu.co</v>
      </c>
      <c r="L402" s="6" t="str">
        <f>IFERROR(__xludf.DUMMYFUNCTION("""COMPUTED_VALUE"""),"TI")</f>
        <v>TI</v>
      </c>
      <c r="M402" s="6" t="str">
        <f>IFERROR(__xludf.DUMMYFUNCTION("""COMPUTED_VALUE"""),"Armenia")</f>
        <v>Armenia</v>
      </c>
      <c r="N402" s="6" t="str">
        <f>IFERROR(__xludf.DUMMYFUNCTION("""COMPUTED_VALUE"""),"F")</f>
        <v>F</v>
      </c>
      <c r="O402" s="6" t="str">
        <f>IFERROR(__xludf.DUMMYFUNCTION("""COMPUTED_VALUE"""),"INACTIVE")</f>
        <v>INACTIVE</v>
      </c>
      <c r="P402" s="6"/>
      <c r="Q402" s="6" t="str">
        <f>IFERROR(__xludf.DUMMYFUNCTION("""COMPUTED_VALUE"""),"Armenia")</f>
        <v>Armenia</v>
      </c>
      <c r="R402" s="12" t="str">
        <f>IFERROR(__xludf.DUMMYFUNCTION("""COMPUTED_VALUE"""),"Gi432e56*")</f>
        <v>Gi432e56*</v>
      </c>
      <c r="S402" s="6" t="str">
        <f>IFERROR(__xludf.DUMMYFUNCTION("""COMPUTED_VALUE"""),"Castaño Baena Mar ")</f>
        <v>Castaño Baena Mar </v>
      </c>
      <c r="T402" s="6" t="str">
        <f>IFERROR(__xludf.DUMMYFUNCTION("""COMPUTED_VALUE"""),"VALENTINA BAENA BOTERO")</f>
        <v>VALENTINA BAENA BOTERO</v>
      </c>
      <c r="U402" s="12" t="str">
        <f>IFERROR(__xludf.DUMMYFUNCTION("""COMPUTED_VALUE"""),"41957248")</f>
        <v>41957248</v>
      </c>
      <c r="V402" s="6">
        <f>IFERROR(__xludf.DUMMYFUNCTION("""COMPUTED_VALUE"""),3.147714901E9)</f>
        <v>3147714901</v>
      </c>
      <c r="W402" s="6" t="str">
        <f>IFERROR(__xludf.DUMMYFUNCTION("""COMPUTED_VALUE"""),"valena13@hotmail.com")</f>
        <v>valena13@hotmail.com</v>
      </c>
      <c r="X402" s="12" t="str">
        <f>IFERROR(__xludf.DUMMYFUNCTION("""COMPUTED_VALUE"""),"B+")</f>
        <v>B+</v>
      </c>
      <c r="Y402" s="12" t="str">
        <f>IFERROR(__xludf.DUMMYFUNCTION("""COMPUTED_VALUE"""),"5")</f>
        <v>5</v>
      </c>
      <c r="Z402" s="12">
        <f>IFERROR(__xludf.DUMMYFUNCTION("""COMPUTED_VALUE"""),103793.0)</f>
        <v>103793</v>
      </c>
      <c r="AA402" s="6" t="str">
        <f>IFERROR(__xludf.DUMMYFUNCTION("""COMPUTED_VALUE"""),"SURA")</f>
        <v>SURA</v>
      </c>
      <c r="AB402" s="6" t="str">
        <f>IFERROR(__xludf.DUMMYFUNCTION("""COMPUTED_VALUE"""),"EMI con suramericana")</f>
        <v>EMI con suramericana</v>
      </c>
      <c r="AC402" s="6"/>
      <c r="AD402" s="12" t="str">
        <f>IFERROR(__xludf.DUMMYFUNCTION("""COMPUTED_VALUE"""),"5A")</f>
        <v>5A</v>
      </c>
      <c r="AE402" s="12">
        <f>IFERROR(__xludf.DUMMYFUNCTION("""COMPUTED_VALUE"""),1.345281859E9)</f>
        <v>1345281859</v>
      </c>
      <c r="AF402" s="12" t="str">
        <f>IFERROR(__xludf.DUMMYFUNCTION("""COMPUTED_VALUE"""),"0696485491")</f>
        <v>0696485491</v>
      </c>
      <c r="AG402" s="12" t="str">
        <f>IFERROR(__xludf.DUMMYFUNCTION("""COMPUTED_VALUE"""),"Valentina")</f>
        <v>Valentina</v>
      </c>
      <c r="AH402" s="6"/>
      <c r="AI402" s="6" t="str">
        <f>IFERROR(__xludf.DUMMYFUNCTION("""COMPUTED_VALUE"""),"Baena Botero")</f>
        <v>Baena Botero</v>
      </c>
      <c r="AJ402" s="6" t="str">
        <f>IFERROR(__xludf.DUMMYFUNCTION("""COMPUTED_VALUE"""),"valena13@hotmail.com")</f>
        <v>valena13@hotmail.com</v>
      </c>
      <c r="AK402" s="6" t="str">
        <f>IFERROR(__xludf.DUMMYFUNCTION("""COMPUTED_VALUE"""),"Administradora")</f>
        <v>Administradora</v>
      </c>
      <c r="AL402" s="6"/>
      <c r="AM402" s="12" t="str">
        <f>IFERROR(__xludf.DUMMYFUNCTION("""COMPUTED_VALUE"""),"41957248")</f>
        <v>41957248</v>
      </c>
      <c r="AN402" s="12" t="str">
        <f>IFERROR(__xludf.DUMMYFUNCTION("""COMPUTED_VALUE"""),"3147714901")</f>
        <v>3147714901</v>
      </c>
      <c r="AO402" s="6" t="str">
        <f>IFERROR(__xludf.DUMMYFUNCTION("""COMPUTED_VALUE"""),"Madre")</f>
        <v>Madre</v>
      </c>
      <c r="AP402" s="6" t="str">
        <f>IFERROR(__xludf.DUMMYFUNCTION("""COMPUTED_VALUE"""),"Estudiante(s): Castaño Baena")</f>
        <v>Estudiante(s): Castaño Baena</v>
      </c>
      <c r="AQ402" s="6" t="str">
        <f>IFERROR(__xludf.DUMMYFUNCTION("""COMPUTED_VALUE"""),"103326*Gi")</f>
        <v>103326*Gi</v>
      </c>
      <c r="AR402" s="6" t="str">
        <f>IFERROR(__xludf.DUMMYFUNCTION("""COMPUTED_VALUE"""),"Juan")</f>
        <v>Juan</v>
      </c>
      <c r="AS402" s="6" t="str">
        <f>IFERROR(__xludf.DUMMYFUNCTION("""COMPUTED_VALUE"""),"Carlos")</f>
        <v>Carlos</v>
      </c>
      <c r="AT402" s="6" t="str">
        <f>IFERROR(__xludf.DUMMYFUNCTION("""COMPUTED_VALUE"""),"Castaño Sarmiento")</f>
        <v>Castaño Sarmiento</v>
      </c>
      <c r="AU402" s="6" t="str">
        <f>IFERROR(__xludf.DUMMYFUNCTION("""COMPUTED_VALUE"""),"juancasta@hotmail.com")</f>
        <v>juancasta@hotmail.com</v>
      </c>
      <c r="AV402" s="6" t="str">
        <f>IFERROR(__xludf.DUMMYFUNCTION("""COMPUTED_VALUE"""),"Arquitecto")</f>
        <v>Arquitecto</v>
      </c>
      <c r="AW402" s="6" t="str">
        <f>IFERROR(__xludf.DUMMYFUNCTION("""COMPUTED_VALUE"""),"Independiente")</f>
        <v>Independiente</v>
      </c>
      <c r="AX402" s="12" t="str">
        <f>IFERROR(__xludf.DUMMYFUNCTION("""COMPUTED_VALUE"""),"89003551")</f>
        <v>89003551</v>
      </c>
      <c r="AY402" s="12" t="str">
        <f>IFERROR(__xludf.DUMMYFUNCTION("""COMPUTED_VALUE"""),"3104625885")</f>
        <v>3104625885</v>
      </c>
      <c r="AZ402" s="6" t="str">
        <f>IFERROR(__xludf.DUMMYFUNCTION("""COMPUTED_VALUE"""),"Padre")</f>
        <v>Padre</v>
      </c>
      <c r="BA402" s="6"/>
      <c r="BB402" s="6"/>
      <c r="BC402" s="6"/>
      <c r="BD402" s="12" t="str">
        <f>IFERROR(__xludf.DUMMYFUNCTION("""COMPUTED_VALUE"""),"cas0009")</f>
        <v>cas0009</v>
      </c>
      <c r="BE402" s="6" t="str">
        <f>IFERROR(__xludf.DUMMYFUNCTION("""COMPUTED_VALUE"""),"FALTAN FIRMAS")</f>
        <v>FALTAN FIRMAS</v>
      </c>
      <c r="BF402" s="6"/>
      <c r="BG402" s="6">
        <f>IFERROR(__xludf.DUMMYFUNCTION("""COMPUTED_VALUE"""),2034.0)</f>
        <v>2034</v>
      </c>
      <c r="BH402" s="15">
        <f>IFERROR(__xludf.DUMMYFUNCTION("""COMPUTED_VALUE"""),46207.47180555556)</f>
        <v>46207.47181</v>
      </c>
      <c r="BI402" s="6">
        <f>IFERROR(__xludf.DUMMYFUNCTION("""COMPUTED_VALUE"""),402.0)</f>
        <v>402</v>
      </c>
      <c r="BJ402" s="6"/>
      <c r="BK402" s="6"/>
      <c r="BL402" s="6" t="str">
        <f>IFERROR(__xludf.DUMMYFUNCTION("""COMPUTED_VALUE"""),"GISCAS0009")</f>
        <v>GISCAS0009</v>
      </c>
      <c r="BM402" s="6"/>
      <c r="BN402" s="6"/>
      <c r="BO402" s="6"/>
      <c r="BP402" s="6"/>
      <c r="BQ402" s="6"/>
      <c r="BR402" s="6"/>
      <c r="BS402" s="6"/>
      <c r="BT402" s="6"/>
      <c r="BU402" s="6" t="str">
        <f>IFERROR(__xludf.DUMMYFUNCTION("""COMPUTED_VALUE"""),"NO")</f>
        <v>NO</v>
      </c>
      <c r="BV402" s="6" t="str">
        <f>IFERROR(__xludf.DUMMYFUNCTION("""COMPUTED_VALUE"""),"mar.cb2034")</f>
        <v>mar.cb2034</v>
      </c>
      <c r="BW402" s="6"/>
      <c r="BX402" s="6"/>
      <c r="BY402" s="6"/>
      <c r="BZ402" s="6"/>
    </row>
    <row r="403">
      <c r="A403" s="12">
        <f>IFERROR(__xludf.DUMMYFUNCTION("""COMPUTED_VALUE"""),1.220469906E9)</f>
        <v>1220469906</v>
      </c>
      <c r="B403" s="6">
        <f>IFERROR(__xludf.DUMMYFUNCTION("""COMPUTED_VALUE"""),7.0)</f>
        <v>7</v>
      </c>
      <c r="C403" s="6" t="str">
        <f>IFERROR(__xludf.DUMMYFUNCTION("""COMPUTED_VALUE"""),"Emilio")</f>
        <v>Emilio</v>
      </c>
      <c r="D403" s="6"/>
      <c r="E403" s="6" t="str">
        <f>IFERROR(__xludf.DUMMYFUNCTION("""COMPUTED_VALUE"""),"De León Rodríguez")</f>
        <v>De León Rodríguez</v>
      </c>
      <c r="F403" s="6" t="str">
        <f>IFERROR(__xludf.DUMMYFUNCTION("""COMPUTED_VALUE"""),"Condominio Campestre La Reserva Casa 23 - Cra 5 No10Nte - 25 Av Centenario")</f>
        <v>Condominio Campestre La Reserva Casa 23 - Cra 5 No10Nte - 25 Av Centenario</v>
      </c>
      <c r="G403" s="12" t="str">
        <f>IFERROR(__xludf.DUMMYFUNCTION("""COMPUTED_VALUE"""),"2016")</f>
        <v>2016</v>
      </c>
      <c r="H403" s="6" t="str">
        <f>IFERROR(__xludf.DUMMYFUNCTION("""COMPUTED_VALUE"""),"Febrero")</f>
        <v>Febrero</v>
      </c>
      <c r="I403" s="12" t="str">
        <f>IFERROR(__xludf.DUMMYFUNCTION("""COMPUTED_VALUE"""),"16")</f>
        <v>16</v>
      </c>
      <c r="J403" s="6" t="str">
        <f>IFERROR(__xludf.DUMMYFUNCTION("""COMPUTED_VALUE"""),"Miami")</f>
        <v>Miami</v>
      </c>
      <c r="K403" s="6" t="str">
        <f>IFERROR(__xludf.DUMMYFUNCTION("""COMPUTED_VALUE"""),"emilio.dr2034@gi.edu.co")</f>
        <v>emilio.dr2034@gi.edu.co</v>
      </c>
      <c r="L403" s="6" t="str">
        <f>IFERROR(__xludf.DUMMYFUNCTION("""COMPUTED_VALUE"""),"TI")</f>
        <v>TI</v>
      </c>
      <c r="M403" s="6" t="str">
        <f>IFERROR(__xludf.DUMMYFUNCTION("""COMPUTED_VALUE"""),"Armenia")</f>
        <v>Armenia</v>
      </c>
      <c r="N403" s="6" t="str">
        <f>IFERROR(__xludf.DUMMYFUNCTION("""COMPUTED_VALUE"""),"M")</f>
        <v>M</v>
      </c>
      <c r="O403" s="6" t="str">
        <f>IFERROR(__xludf.DUMMYFUNCTION("""COMPUTED_VALUE"""),"INACTIVE")</f>
        <v>INACTIVE</v>
      </c>
      <c r="P403" s="6"/>
      <c r="Q403" s="6" t="str">
        <f>IFERROR(__xludf.DUMMYFUNCTION("""COMPUTED_VALUE"""),"Armenia")</f>
        <v>Armenia</v>
      </c>
      <c r="R403" s="12" t="str">
        <f>IFERROR(__xludf.DUMMYFUNCTION("""COMPUTED_VALUE"""),"Gi9nbv2f3*")</f>
        <v>Gi9nbv2f3*</v>
      </c>
      <c r="S403" s="6" t="str">
        <f>IFERROR(__xludf.DUMMYFUNCTION("""COMPUTED_VALUE"""),"De León Rodríguez Emilio ")</f>
        <v>De León Rodríguez Emilio </v>
      </c>
      <c r="T403" s="6" t="str">
        <f>IFERROR(__xludf.DUMMYFUNCTION("""COMPUTED_VALUE"""),"MAURICIO ANDRES DE LEON OSPINA")</f>
        <v>MAURICIO ANDRES DE LEON OSPINA</v>
      </c>
      <c r="U403" s="12" t="str">
        <f>IFERROR(__xludf.DUMMYFUNCTION("""COMPUTED_VALUE"""),"73144658")</f>
        <v>73144658</v>
      </c>
      <c r="V403" s="6">
        <f>IFERROR(__xludf.DUMMYFUNCTION("""COMPUTED_VALUE"""),3.107519019E9)</f>
        <v>3107519019</v>
      </c>
      <c r="W403" s="6" t="str">
        <f>IFERROR(__xludf.DUMMYFUNCTION("""COMPUTED_VALUE"""),"maodeleon@gmail.com")</f>
        <v>maodeleon@gmail.com</v>
      </c>
      <c r="X403" s="12" t="str">
        <f>IFERROR(__xludf.DUMMYFUNCTION("""COMPUTED_VALUE"""),"O+")</f>
        <v>O+</v>
      </c>
      <c r="Y403" s="12" t="str">
        <f>IFERROR(__xludf.DUMMYFUNCTION("""COMPUTED_VALUE"""),"5")</f>
        <v>5</v>
      </c>
      <c r="Z403" s="12">
        <f>IFERROR(__xludf.DUMMYFUNCTION("""COMPUTED_VALUE"""),120053.0)</f>
        <v>120053</v>
      </c>
      <c r="AA403" s="6" t="str">
        <f>IFERROR(__xludf.DUMMYFUNCTION("""COMPUTED_VALUE"""),"OTRA")</f>
        <v>OTRA</v>
      </c>
      <c r="AB403" s="6"/>
      <c r="AC403" s="6"/>
      <c r="AD403" s="12" t="str">
        <f>IFERROR(__xludf.DUMMYFUNCTION("""COMPUTED_VALUE"""),"5A")</f>
        <v>5A</v>
      </c>
      <c r="AE403" s="12">
        <f>IFERROR(__xludf.DUMMYFUNCTION("""COMPUTED_VALUE"""),1.345282083E9)</f>
        <v>1345282083</v>
      </c>
      <c r="AF403" s="12" t="str">
        <f>IFERROR(__xludf.DUMMYFUNCTION("""COMPUTED_VALUE"""),"0708503923")</f>
        <v>0708503923</v>
      </c>
      <c r="AG403" s="12" t="str">
        <f>IFERROR(__xludf.DUMMYFUNCTION("""COMPUTED_VALUE"""),"Ana")</f>
        <v>Ana</v>
      </c>
      <c r="AH403" s="12" t="str">
        <f>IFERROR(__xludf.DUMMYFUNCTION("""COMPUTED_VALUE"""),"Milena")</f>
        <v>Milena</v>
      </c>
      <c r="AI403" s="6" t="str">
        <f>IFERROR(__xludf.DUMMYFUNCTION("""COMPUTED_VALUE"""),"Rodríguez González")</f>
        <v>Rodríguez González</v>
      </c>
      <c r="AJ403" s="6" t="str">
        <f>IFERROR(__xludf.DUMMYFUNCTION("""COMPUTED_VALUE"""),"rogoam7@gmail.com")</f>
        <v>rogoam7@gmail.com</v>
      </c>
      <c r="AK403" s="6" t="str">
        <f>IFERROR(__xludf.DUMMYFUNCTION("""COMPUTED_VALUE"""),"Oficial Naval - Administrador Maritimo")</f>
        <v>Oficial Naval - Administrador Maritimo</v>
      </c>
      <c r="AL403" s="6" t="str">
        <f>IFERROR(__xludf.DUMMYFUNCTION("""COMPUTED_VALUE"""),"Armada Nacional")</f>
        <v>Armada Nacional</v>
      </c>
      <c r="AM403" s="12" t="str">
        <f>IFERROR(__xludf.DUMMYFUNCTION("""COMPUTED_VALUE"""),"37864856")</f>
        <v>37864856</v>
      </c>
      <c r="AN403" s="12" t="str">
        <f>IFERROR(__xludf.DUMMYFUNCTION("""COMPUTED_VALUE"""),"3125337393")</f>
        <v>3125337393</v>
      </c>
      <c r="AO403" s="6" t="str">
        <f>IFERROR(__xludf.DUMMYFUNCTION("""COMPUTED_VALUE"""),"Madre")</f>
        <v>Madre</v>
      </c>
      <c r="AP403" s="6" t="str">
        <f>IFERROR(__xludf.DUMMYFUNCTION("""COMPUTED_VALUE"""),"Estudiante(s): De León Rodríguez")</f>
        <v>Estudiante(s): De León Rodríguez</v>
      </c>
      <c r="AQ403" s="6" t="str">
        <f>IFERROR(__xludf.DUMMYFUNCTION("""COMPUTED_VALUE"""),"120053*Gi")</f>
        <v>120053*Gi</v>
      </c>
      <c r="AR403" s="6" t="str">
        <f>IFERROR(__xludf.DUMMYFUNCTION("""COMPUTED_VALUE"""),"Mauricio")</f>
        <v>Mauricio</v>
      </c>
      <c r="AS403" s="6" t="str">
        <f>IFERROR(__xludf.DUMMYFUNCTION("""COMPUTED_VALUE"""),"Andrés")</f>
        <v>Andrés</v>
      </c>
      <c r="AT403" s="6" t="str">
        <f>IFERROR(__xludf.DUMMYFUNCTION("""COMPUTED_VALUE"""),"De León Ospina")</f>
        <v>De León Ospina</v>
      </c>
      <c r="AU403" s="6" t="str">
        <f>IFERROR(__xludf.DUMMYFUNCTION("""COMPUTED_VALUE"""),"maodeleon@gmail.com")</f>
        <v>maodeleon@gmail.com</v>
      </c>
      <c r="AV403" s="6" t="str">
        <f>IFERROR(__xludf.DUMMYFUNCTION("""COMPUTED_VALUE"""),"Oficial Naval - Administrador Maritimo")</f>
        <v>Oficial Naval - Administrador Maritimo</v>
      </c>
      <c r="AW403" s="6" t="str">
        <f>IFERROR(__xludf.DUMMYFUNCTION("""COMPUTED_VALUE"""),"Armada Nacional")</f>
        <v>Armada Nacional</v>
      </c>
      <c r="AX403" s="12" t="str">
        <f>IFERROR(__xludf.DUMMYFUNCTION("""COMPUTED_VALUE"""),"73144658")</f>
        <v>73144658</v>
      </c>
      <c r="AY403" s="12" t="str">
        <f>IFERROR(__xludf.DUMMYFUNCTION("""COMPUTED_VALUE"""),"3107519019")</f>
        <v>3107519019</v>
      </c>
      <c r="AZ403" s="6" t="str">
        <f>IFERROR(__xludf.DUMMYFUNCTION("""COMPUTED_VALUE"""),"Padre")</f>
        <v>Padre</v>
      </c>
      <c r="BA403" s="6"/>
      <c r="BB403" s="6"/>
      <c r="BC403" s="6"/>
      <c r="BD403" s="12" t="str">
        <f>IFERROR(__xludf.DUMMYFUNCTION("""COMPUTED_VALUE"""),"del0002")</f>
        <v>del0002</v>
      </c>
      <c r="BE403" s="6" t="str">
        <f>IFERROR(__xludf.DUMMYFUNCTION("""COMPUTED_VALUE"""),"FALTAN FIRMAS")</f>
        <v>FALTAN FIRMAS</v>
      </c>
      <c r="BF403" s="6"/>
      <c r="BG403" s="6">
        <f>IFERROR(__xludf.DUMMYFUNCTION("""COMPUTED_VALUE"""),2034.0)</f>
        <v>2034</v>
      </c>
      <c r="BH403" s="15">
        <f>IFERROR(__xludf.DUMMYFUNCTION("""COMPUTED_VALUE"""),46213.58991898148)</f>
        <v>46213.58992</v>
      </c>
      <c r="BI403" s="6">
        <f>IFERROR(__xludf.DUMMYFUNCTION("""COMPUTED_VALUE"""),403.0)</f>
        <v>403</v>
      </c>
      <c r="BJ403" s="6"/>
      <c r="BK403" s="6"/>
      <c r="BL403" s="6" t="str">
        <f>IFERROR(__xludf.DUMMYFUNCTION("""COMPUTED_VALUE"""),"GISDEL0002")</f>
        <v>GISDEL0002</v>
      </c>
      <c r="BM403" s="6"/>
      <c r="BN403" s="6"/>
      <c r="BO403" s="6"/>
      <c r="BP403" s="6" t="str">
        <f>IFERROR(__xludf.DUMMYFUNCTION("""COMPUTED_VALUE"""),"XC_5_Futbol_M")</f>
        <v>XC_5_Futbol_M</v>
      </c>
      <c r="BQ403" s="6"/>
      <c r="BR403" s="6" t="str">
        <f>IFERROR(__xludf.DUMMYFUNCTION("""COMPUTED_VALUE"""),"XC_Robo_Lego")</f>
        <v>XC_Robo_Lego</v>
      </c>
      <c r="BS403" s="6" t="str">
        <f>IFERROR(__xludf.DUMMYFUNCTION("""COMPUTED_VALUE"""),"XC_5_Futbol_M")</f>
        <v>XC_5_Futbol_M</v>
      </c>
      <c r="BT403" s="6" t="str">
        <f>IFERROR(__xludf.DUMMYFUNCTION("""COMPUTED_VALUE"""),"XC_5_Futbol_M")</f>
        <v>XC_5_Futbol_M</v>
      </c>
      <c r="BU403" s="6" t="str">
        <f>IFERROR(__xludf.DUMMYFUNCTION("""COMPUTED_VALUE"""),"SI")</f>
        <v>SI</v>
      </c>
      <c r="BV403" s="6" t="str">
        <f>IFERROR(__xludf.DUMMYFUNCTION("""COMPUTED_VALUE"""),"emilio.dr2034")</f>
        <v>emilio.dr2034</v>
      </c>
      <c r="BW403" s="6"/>
      <c r="BX403" s="6"/>
      <c r="BY403" s="6"/>
      <c r="BZ403" s="6"/>
    </row>
    <row r="404">
      <c r="A404" s="12">
        <f>IFERROR(__xludf.DUMMYFUNCTION("""COMPUTED_VALUE"""),1.092858836E9)</f>
        <v>1092858836</v>
      </c>
      <c r="B404" s="6">
        <f>IFERROR(__xludf.DUMMYFUNCTION("""COMPUTED_VALUE"""),8.0)</f>
        <v>8</v>
      </c>
      <c r="C404" s="6" t="str">
        <f>IFERROR(__xludf.DUMMYFUNCTION("""COMPUTED_VALUE"""),"Santiago")</f>
        <v>Santiago</v>
      </c>
      <c r="D404" s="6"/>
      <c r="E404" s="6" t="str">
        <f>IFERROR(__xludf.DUMMYFUNCTION("""COMPUTED_VALUE"""),"Forero Álvarez")</f>
        <v>Forero Álvarez</v>
      </c>
      <c r="F404" s="6" t="str">
        <f>IFERROR(__xludf.DUMMYFUNCTION("""COMPUTED_VALUE"""),"Conjunto Reserva de Toledo Casa 14 - Calle 23 Nte No24 - 51")</f>
        <v>Conjunto Reserva de Toledo Casa 14 - Calle 23 Nte No24 - 51</v>
      </c>
      <c r="G404" s="12" t="str">
        <f>IFERROR(__xludf.DUMMYFUNCTION("""COMPUTED_VALUE"""),"2015")</f>
        <v>2015</v>
      </c>
      <c r="H404" s="6" t="str">
        <f>IFERROR(__xludf.DUMMYFUNCTION("""COMPUTED_VALUE"""),"Mayo")</f>
        <v>Mayo</v>
      </c>
      <c r="I404" s="12" t="str">
        <f>IFERROR(__xludf.DUMMYFUNCTION("""COMPUTED_VALUE"""),"14")</f>
        <v>14</v>
      </c>
      <c r="J404" s="6" t="str">
        <f>IFERROR(__xludf.DUMMYFUNCTION("""COMPUTED_VALUE"""),"Armenia")</f>
        <v>Armenia</v>
      </c>
      <c r="K404" s="6" t="str">
        <f>IFERROR(__xludf.DUMMYFUNCTION("""COMPUTED_VALUE"""),"santiago.f2034@gi.edu.co")</f>
        <v>santiago.f2034@gi.edu.co</v>
      </c>
      <c r="L404" s="6" t="str">
        <f>IFERROR(__xludf.DUMMYFUNCTION("""COMPUTED_VALUE"""),"TI")</f>
        <v>TI</v>
      </c>
      <c r="M404" s="6" t="str">
        <f>IFERROR(__xludf.DUMMYFUNCTION("""COMPUTED_VALUE"""),"Armenia")</f>
        <v>Armenia</v>
      </c>
      <c r="N404" s="6" t="str">
        <f>IFERROR(__xludf.DUMMYFUNCTION("""COMPUTED_VALUE"""),"M")</f>
        <v>M</v>
      </c>
      <c r="O404" s="6" t="str">
        <f>IFERROR(__xludf.DUMMYFUNCTION("""COMPUTED_VALUE"""),"ACTIVE")</f>
        <v>ACTIVE</v>
      </c>
      <c r="P404" s="6"/>
      <c r="Q404" s="6" t="str">
        <f>IFERROR(__xludf.DUMMYFUNCTION("""COMPUTED_VALUE"""),"Armenia")</f>
        <v>Armenia</v>
      </c>
      <c r="R404" s="12" t="str">
        <f>IFERROR(__xludf.DUMMYFUNCTION("""COMPUTED_VALUE"""),"GiTpGfhSZ*")</f>
        <v>GiTpGfhSZ*</v>
      </c>
      <c r="S404" s="6" t="str">
        <f>IFERROR(__xludf.DUMMYFUNCTION("""COMPUTED_VALUE"""),"Forero Álvarez Santiago ")</f>
        <v>Forero Álvarez Santiago </v>
      </c>
      <c r="T404" s="6" t="str">
        <f>IFERROR(__xludf.DUMMYFUNCTION("""COMPUTED_VALUE"""),"PATRICIA ALVAREZ BERRIO")</f>
        <v>PATRICIA ALVAREZ BERRIO</v>
      </c>
      <c r="U404" s="12" t="str">
        <f>IFERROR(__xludf.DUMMYFUNCTION("""COMPUTED_VALUE"""),"52862737")</f>
        <v>52862737</v>
      </c>
      <c r="V404" s="6">
        <f>IFERROR(__xludf.DUMMYFUNCTION("""COMPUTED_VALUE"""),3.10856538E9)</f>
        <v>3108565380</v>
      </c>
      <c r="W404" s="6" t="str">
        <f>IFERROR(__xludf.DUMMYFUNCTION("""COMPUTED_VALUE"""),"pattypat28@hotmail.com")</f>
        <v>pattypat28@hotmail.com</v>
      </c>
      <c r="X404" s="12" t="str">
        <f>IFERROR(__xludf.DUMMYFUNCTION("""COMPUTED_VALUE"""),"O+")</f>
        <v>O+</v>
      </c>
      <c r="Y404" s="12" t="str">
        <f>IFERROR(__xludf.DUMMYFUNCTION("""COMPUTED_VALUE"""),"5")</f>
        <v>5</v>
      </c>
      <c r="Z404" s="12">
        <f>IFERROR(__xludf.DUMMYFUNCTION("""COMPUTED_VALUE"""),120151.0)</f>
        <v>120151</v>
      </c>
      <c r="AA404" s="6" t="str">
        <f>IFERROR(__xludf.DUMMYFUNCTION("""COMPUTED_VALUE"""),"SANITAS")</f>
        <v>SANITAS</v>
      </c>
      <c r="AB404" s="6"/>
      <c r="AC404" s="12" t="str">
        <f>IFERROR(__xludf.DUMMYFUNCTION("""COMPUTED_VALUE"""),"Asma Alergica - Mani")</f>
        <v>Asma Alergica - Mani</v>
      </c>
      <c r="AD404" s="12" t="str">
        <f>IFERROR(__xludf.DUMMYFUNCTION("""COMPUTED_VALUE"""),"5A")</f>
        <v>5A</v>
      </c>
      <c r="AE404" s="12">
        <f>IFERROR(__xludf.DUMMYFUNCTION("""COMPUTED_VALUE"""),1.345282148E9)</f>
        <v>1345282148</v>
      </c>
      <c r="AF404" s="12" t="str">
        <f>IFERROR(__xludf.DUMMYFUNCTION("""COMPUTED_VALUE"""),"0687138691")</f>
        <v>0687138691</v>
      </c>
      <c r="AG404" s="12" t="str">
        <f>IFERROR(__xludf.DUMMYFUNCTION("""COMPUTED_VALUE"""),"Patricia")</f>
        <v>Patricia</v>
      </c>
      <c r="AH404" s="6"/>
      <c r="AI404" s="6" t="str">
        <f>IFERROR(__xludf.DUMMYFUNCTION("""COMPUTED_VALUE"""),"Álvarez Berrío")</f>
        <v>Álvarez Berrío</v>
      </c>
      <c r="AJ404" s="6" t="str">
        <f>IFERROR(__xludf.DUMMYFUNCTION("""COMPUTED_VALUE"""),"pattypat28@hotmail.com")</f>
        <v>pattypat28@hotmail.com</v>
      </c>
      <c r="AK404" s="6" t="str">
        <f>IFERROR(__xludf.DUMMYFUNCTION("""COMPUTED_VALUE"""),"Administradora de empresas")</f>
        <v>Administradora de empresas</v>
      </c>
      <c r="AL404" s="6" t="str">
        <f>IFERROR(__xludf.DUMMYFUNCTION("""COMPUTED_VALUE"""),"Agrobolsa SA Comisionista de Bolsa")</f>
        <v>Agrobolsa SA Comisionista de Bolsa</v>
      </c>
      <c r="AM404" s="12" t="str">
        <f>IFERROR(__xludf.DUMMYFUNCTION("""COMPUTED_VALUE"""),"52862737")</f>
        <v>52862737</v>
      </c>
      <c r="AN404" s="12" t="str">
        <f>IFERROR(__xludf.DUMMYFUNCTION("""COMPUTED_VALUE"""),"3108565380")</f>
        <v>3108565380</v>
      </c>
      <c r="AO404" s="6" t="str">
        <f>IFERROR(__xludf.DUMMYFUNCTION("""COMPUTED_VALUE"""),"Madre")</f>
        <v>Madre</v>
      </c>
      <c r="AP404" s="6" t="str">
        <f>IFERROR(__xludf.DUMMYFUNCTION("""COMPUTED_VALUE"""),"Estudiante(s): Forero Álvarez")</f>
        <v>Estudiante(s): Forero Álvarez</v>
      </c>
      <c r="AQ404" s="6" t="str">
        <f>IFERROR(__xludf.DUMMYFUNCTION("""COMPUTED_VALUE"""),"120151*Gi")</f>
        <v>120151*Gi</v>
      </c>
      <c r="AR404" s="6" t="str">
        <f>IFERROR(__xludf.DUMMYFUNCTION("""COMPUTED_VALUE"""),"Gustavo")</f>
        <v>Gustavo</v>
      </c>
      <c r="AS404" s="6" t="str">
        <f>IFERROR(__xludf.DUMMYFUNCTION("""COMPUTED_VALUE"""),"Enrique")</f>
        <v>Enrique</v>
      </c>
      <c r="AT404" s="6" t="str">
        <f>IFERROR(__xludf.DUMMYFUNCTION("""COMPUTED_VALUE"""),"Forero Barrera")</f>
        <v>Forero Barrera</v>
      </c>
      <c r="AU404" s="6" t="str">
        <f>IFERROR(__xludf.DUMMYFUNCTION("""COMPUTED_VALUE"""),"gforero2@hotmail.com")</f>
        <v>gforero2@hotmail.com</v>
      </c>
      <c r="AV404" s="6" t="str">
        <f>IFERROR(__xludf.DUMMYFUNCTION("""COMPUTED_VALUE"""),"Administrador de empresas")</f>
        <v>Administrador de empresas</v>
      </c>
      <c r="AW404" s="6" t="str">
        <f>IFERROR(__xludf.DUMMYFUNCTION("""COMPUTED_VALUE"""),"Agrobolsa SA Comisionista de Bolsa")</f>
        <v>Agrobolsa SA Comisionista de Bolsa</v>
      </c>
      <c r="AX404" s="12" t="str">
        <f>IFERROR(__xludf.DUMMYFUNCTION("""COMPUTED_VALUE"""),"79983002")</f>
        <v>79983002</v>
      </c>
      <c r="AY404" s="12" t="str">
        <f>IFERROR(__xludf.DUMMYFUNCTION("""COMPUTED_VALUE"""),"3212400028")</f>
        <v>3212400028</v>
      </c>
      <c r="AZ404" s="6" t="str">
        <f>IFERROR(__xludf.DUMMYFUNCTION("""COMPUTED_VALUE"""),"Padre")</f>
        <v>Padre</v>
      </c>
      <c r="BA404" s="6"/>
      <c r="BB404" s="6"/>
      <c r="BC404" s="6"/>
      <c r="BD404" s="12" t="str">
        <f>IFERROR(__xludf.DUMMYFUNCTION("""COMPUTED_VALUE"""),"for0001")</f>
        <v>for0001</v>
      </c>
      <c r="BE404" s="6"/>
      <c r="BF404" s="6"/>
      <c r="BG404" s="6">
        <f>IFERROR(__xludf.DUMMYFUNCTION("""COMPUTED_VALUE"""),2034.0)</f>
        <v>2034</v>
      </c>
      <c r="BH404" s="15">
        <f>IFERROR(__xludf.DUMMYFUNCTION("""COMPUTED_VALUE"""),46204.44398148148)</f>
        <v>46204.44398</v>
      </c>
      <c r="BI404" s="6">
        <f>IFERROR(__xludf.DUMMYFUNCTION("""COMPUTED_VALUE"""),404.0)</f>
        <v>404</v>
      </c>
      <c r="BJ404" s="6" t="str">
        <f>IFERROR(__xludf.DUMMYFUNCTION("""COMPUTED_VALUE"""),"SIMAT: trastorno por déficit de atención con o sin hiperactividad (Nov 13 2024)
Se le quitó Apoyo académico especial que había registrado, probablemente de antes")</f>
        <v>SIMAT: trastorno por déficit de atención con o sin hiperactividad (Nov 13 2024)
Se le quitó Apoyo académico especial que había registrado, probablemente de antes</v>
      </c>
      <c r="BK404" s="6" t="str">
        <f>IFERROR(__xludf.DUMMYFUNCTION("""COMPUTED_VALUE"""),"Si: Inhalador Floxotide 125mcg")</f>
        <v>Si: Inhalador Floxotide 125mcg</v>
      </c>
      <c r="BL404" s="6" t="str">
        <f>IFERROR(__xludf.DUMMYFUNCTION("""COMPUTED_VALUE"""),"GISFOR0001")</f>
        <v>GISFOR0001</v>
      </c>
      <c r="BM404" s="6"/>
      <c r="BN404" s="6"/>
      <c r="BO404" s="6"/>
      <c r="BP404" s="6"/>
      <c r="BQ404" s="6"/>
      <c r="BR404" s="6"/>
      <c r="BS404" s="6"/>
      <c r="BT404" s="6"/>
      <c r="BU404" s="6" t="str">
        <f>IFERROR(__xludf.DUMMYFUNCTION("""COMPUTED_VALUE"""),"SI")</f>
        <v>SI</v>
      </c>
      <c r="BV404" s="6" t="str">
        <f>IFERROR(__xludf.DUMMYFUNCTION("""COMPUTED_VALUE"""),"santiago.f2034")</f>
        <v>santiago.f2034</v>
      </c>
      <c r="BW404" s="6"/>
      <c r="BX404" s="6"/>
      <c r="BY404" s="6"/>
      <c r="BZ404" s="6"/>
    </row>
    <row r="405">
      <c r="A405" s="12">
        <f>IFERROR(__xludf.DUMMYFUNCTION("""COMPUTED_VALUE"""),1.019913337E9)</f>
        <v>1019913337</v>
      </c>
      <c r="B405" s="6">
        <f>IFERROR(__xludf.DUMMYFUNCTION("""COMPUTED_VALUE"""),9.0)</f>
        <v>9</v>
      </c>
      <c r="C405" s="6" t="str">
        <f>IFERROR(__xludf.DUMMYFUNCTION("""COMPUTED_VALUE"""),"Lorenzo")</f>
        <v>Lorenzo</v>
      </c>
      <c r="D405" s="6"/>
      <c r="E405" s="6" t="str">
        <f>IFERROR(__xludf.DUMMYFUNCTION("""COMPUTED_VALUE"""),"Giraldo Pinzón")</f>
        <v>Giraldo Pinzón</v>
      </c>
      <c r="F405" s="6" t="str">
        <f>IFERROR(__xludf.DUMMYFUNCTION("""COMPUTED_VALUE"""),"Lagos de Iraka Casa 53 - Km 7 Via Armenia - El Caimo")</f>
        <v>Lagos de Iraka Casa 53 - Km 7 Via Armenia - El Caimo</v>
      </c>
      <c r="G405" s="12" t="str">
        <f>IFERROR(__xludf.DUMMYFUNCTION("""COMPUTED_VALUE"""),"2016")</f>
        <v>2016</v>
      </c>
      <c r="H405" s="6" t="str">
        <f>IFERROR(__xludf.DUMMYFUNCTION("""COMPUTED_VALUE"""),"Septiembre")</f>
        <v>Septiembre</v>
      </c>
      <c r="I405" s="12" t="str">
        <f>IFERROR(__xludf.DUMMYFUNCTION("""COMPUTED_VALUE"""),"7")</f>
        <v>7</v>
      </c>
      <c r="J405" s="6" t="str">
        <f>IFERROR(__xludf.DUMMYFUNCTION("""COMPUTED_VALUE"""),"Bogotá D.C.")</f>
        <v>Bogotá D.C.</v>
      </c>
      <c r="K405" s="6" t="str">
        <f>IFERROR(__xludf.DUMMYFUNCTION("""COMPUTED_VALUE"""),"lorenzo.g2034@gi.edu.co")</f>
        <v>lorenzo.g2034@gi.edu.co</v>
      </c>
      <c r="L405" s="6" t="str">
        <f>IFERROR(__xludf.DUMMYFUNCTION("""COMPUTED_VALUE"""),"TI")</f>
        <v>TI</v>
      </c>
      <c r="M405" s="6" t="str">
        <f>IFERROR(__xludf.DUMMYFUNCTION("""COMPUTED_VALUE"""),"Bogotá D.C.")</f>
        <v>Bogotá D.C.</v>
      </c>
      <c r="N405" s="6" t="str">
        <f>IFERROR(__xludf.DUMMYFUNCTION("""COMPUTED_VALUE"""),"M")</f>
        <v>M</v>
      </c>
      <c r="O405" s="6" t="str">
        <f>IFERROR(__xludf.DUMMYFUNCTION("""COMPUTED_VALUE"""),"ACTIVE")</f>
        <v>ACTIVE</v>
      </c>
      <c r="P405" s="6"/>
      <c r="Q405" s="6" t="str">
        <f>IFERROR(__xludf.DUMMYFUNCTION("""COMPUTED_VALUE"""),"La Tebaida")</f>
        <v>La Tebaida</v>
      </c>
      <c r="R405" s="12" t="str">
        <f>IFERROR(__xludf.DUMMYFUNCTION("""COMPUTED_VALUE"""),"Gi2345pk*")</f>
        <v>Gi2345pk*</v>
      </c>
      <c r="S405" s="6" t="str">
        <f>IFERROR(__xludf.DUMMYFUNCTION("""COMPUTED_VALUE"""),"Giraldo Pinzón Lorenzo ")</f>
        <v>Giraldo Pinzón Lorenzo </v>
      </c>
      <c r="T405" s="6" t="str">
        <f>IFERROR(__xludf.DUMMYFUNCTION("""COMPUTED_VALUE"""),"CATALINA PINZÓN VINAZCO")</f>
        <v>CATALINA PINZÓN VINAZCO</v>
      </c>
      <c r="U405" s="12" t="str">
        <f>IFERROR(__xludf.DUMMYFUNCTION("""COMPUTED_VALUE"""),"52386620")</f>
        <v>52386620</v>
      </c>
      <c r="V405" s="6">
        <f>IFERROR(__xludf.DUMMYFUNCTION("""COMPUTED_VALUE"""),3.102167946E9)</f>
        <v>3102167946</v>
      </c>
      <c r="W405" s="6" t="str">
        <f>IFERROR(__xludf.DUMMYFUNCTION("""COMPUTED_VALUE"""),"catalinapinzon@hotmail.com")</f>
        <v>catalinapinzon@hotmail.com</v>
      </c>
      <c r="X405" s="12" t="str">
        <f>IFERROR(__xludf.DUMMYFUNCTION("""COMPUTED_VALUE"""),"O+")</f>
        <v>O+</v>
      </c>
      <c r="Y405" s="12" t="str">
        <f>IFERROR(__xludf.DUMMYFUNCTION("""COMPUTED_VALUE"""),"5")</f>
        <v>5</v>
      </c>
      <c r="Z405" s="12">
        <f>IFERROR(__xludf.DUMMYFUNCTION("""COMPUTED_VALUE"""),103784.0)</f>
        <v>103784</v>
      </c>
      <c r="AA405" s="6" t="str">
        <f>IFERROR(__xludf.DUMMYFUNCTION("""COMPUTED_VALUE"""),"SANITAS")</f>
        <v>SANITAS</v>
      </c>
      <c r="AB405" s="6"/>
      <c r="AC405" s="6"/>
      <c r="AD405" s="12" t="str">
        <f>IFERROR(__xludf.DUMMYFUNCTION("""COMPUTED_VALUE"""),"5A")</f>
        <v>5A</v>
      </c>
      <c r="AE405" s="12">
        <f>IFERROR(__xludf.DUMMYFUNCTION("""COMPUTED_VALUE"""),1.345281889E9)</f>
        <v>1345281889</v>
      </c>
      <c r="AF405" s="12" t="str">
        <f>IFERROR(__xludf.DUMMYFUNCTION("""COMPUTED_VALUE"""),"0691534579")</f>
        <v>0691534579</v>
      </c>
      <c r="AG405" s="12" t="str">
        <f>IFERROR(__xludf.DUMMYFUNCTION("""COMPUTED_VALUE"""),"Catalina")</f>
        <v>Catalina</v>
      </c>
      <c r="AH405" s="6"/>
      <c r="AI405" s="6" t="str">
        <f>IFERROR(__xludf.DUMMYFUNCTION("""COMPUTED_VALUE"""),"Pinzón Vinazco")</f>
        <v>Pinzón Vinazco</v>
      </c>
      <c r="AJ405" s="6" t="str">
        <f>IFERROR(__xludf.DUMMYFUNCTION("""COMPUTED_VALUE"""),"catalinapinzon@hotmail.com")</f>
        <v>catalinapinzon@hotmail.com</v>
      </c>
      <c r="AK405" s="6" t="str">
        <f>IFERROR(__xludf.DUMMYFUNCTION("""COMPUTED_VALUE"""),"Arquitecta")</f>
        <v>Arquitecta</v>
      </c>
      <c r="AL405" s="6"/>
      <c r="AM405" s="12" t="str">
        <f>IFERROR(__xludf.DUMMYFUNCTION("""COMPUTED_VALUE"""),"52386620")</f>
        <v>52386620</v>
      </c>
      <c r="AN405" s="12" t="str">
        <f>IFERROR(__xludf.DUMMYFUNCTION("""COMPUTED_VALUE"""),"3102167946")</f>
        <v>3102167946</v>
      </c>
      <c r="AO405" s="6" t="str">
        <f>IFERROR(__xludf.DUMMYFUNCTION("""COMPUTED_VALUE"""),"Madre")</f>
        <v>Madre</v>
      </c>
      <c r="AP405" s="6" t="str">
        <f>IFERROR(__xludf.DUMMYFUNCTION("""COMPUTED_VALUE"""),"Estudiante(s): Giraldo Pinzón")</f>
        <v>Estudiante(s): Giraldo Pinzón</v>
      </c>
      <c r="AQ405" s="6" t="str">
        <f>IFERROR(__xludf.DUMMYFUNCTION("""COMPUTED_VALUE"""),"103784*Gi")</f>
        <v>103784*Gi</v>
      </c>
      <c r="AR405" s="6" t="str">
        <f>IFERROR(__xludf.DUMMYFUNCTION("""COMPUTED_VALUE"""),"Germán")</f>
        <v>Germán</v>
      </c>
      <c r="AS405" s="6"/>
      <c r="AT405" s="6" t="str">
        <f>IFERROR(__xludf.DUMMYFUNCTION("""COMPUTED_VALUE"""),"Giraldo Gómez")</f>
        <v>Giraldo Gómez</v>
      </c>
      <c r="AU405" s="6" t="str">
        <f>IFERROR(__xludf.DUMMYFUNCTION("""COMPUTED_VALUE"""),"german.giraldo08@gmail.com")</f>
        <v>german.giraldo08@gmail.com</v>
      </c>
      <c r="AV405" s="6" t="str">
        <f>IFERROR(__xludf.DUMMYFUNCTION("""COMPUTED_VALUE"""),"publicista")</f>
        <v>publicista</v>
      </c>
      <c r="AW405" s="6" t="str">
        <f>IFERROR(__xludf.DUMMYFUNCTION("""COMPUTED_VALUE"""),"APA INGENIEROS")</f>
        <v>APA INGENIEROS</v>
      </c>
      <c r="AX405" s="12" t="str">
        <f>IFERROR(__xludf.DUMMYFUNCTION("""COMPUTED_VALUE"""),"79778690")</f>
        <v>79778690</v>
      </c>
      <c r="AY405" s="12" t="str">
        <f>IFERROR(__xludf.DUMMYFUNCTION("""COMPUTED_VALUE"""),"3102799711")</f>
        <v>3102799711</v>
      </c>
      <c r="AZ405" s="6" t="str">
        <f>IFERROR(__xludf.DUMMYFUNCTION("""COMPUTED_VALUE"""),"Padre")</f>
        <v>Padre</v>
      </c>
      <c r="BA405" s="6"/>
      <c r="BB405" s="6"/>
      <c r="BC405" s="6"/>
      <c r="BD405" s="12" t="str">
        <f>IFERROR(__xludf.DUMMYFUNCTION("""COMPUTED_VALUE"""),"gir0012")</f>
        <v>gir0012</v>
      </c>
      <c r="BE405" s="6"/>
      <c r="BF405" s="6"/>
      <c r="BG405" s="6">
        <f>IFERROR(__xludf.DUMMYFUNCTION("""COMPUTED_VALUE"""),2034.0)</f>
        <v>2034</v>
      </c>
      <c r="BH405" s="15">
        <f>IFERROR(__xludf.DUMMYFUNCTION("""COMPUTED_VALUE"""),46204.87605324074)</f>
        <v>46204.87605</v>
      </c>
      <c r="BI405" s="6">
        <f>IFERROR(__xludf.DUMMYFUNCTION("""COMPUTED_VALUE"""),405.0)</f>
        <v>405</v>
      </c>
      <c r="BJ405" s="6"/>
      <c r="BK405" s="6"/>
      <c r="BL405" s="6" t="str">
        <f>IFERROR(__xludf.DUMMYFUNCTION("""COMPUTED_VALUE"""),"GISGIR0012")</f>
        <v>GISGIR0012</v>
      </c>
      <c r="BM405" s="6"/>
      <c r="BN405" s="6"/>
      <c r="BO405" s="6"/>
      <c r="BP405" s="6" t="str">
        <f>IFERROR(__xludf.DUMMYFUNCTION("""COMPUTED_VALUE"""),"XC_5_Futbol_M")</f>
        <v>XC_5_Futbol_M</v>
      </c>
      <c r="BQ405" s="6"/>
      <c r="BR405" s="6"/>
      <c r="BS405" s="6" t="str">
        <f>IFERROR(__xludf.DUMMYFUNCTION("""COMPUTED_VALUE"""),"XC_5_Futbol_M")</f>
        <v>XC_5_Futbol_M</v>
      </c>
      <c r="BT405" s="6" t="str">
        <f>IFERROR(__xludf.DUMMYFUNCTION("""COMPUTED_VALUE"""),"XC_5_Futbol_M")</f>
        <v>XC_5_Futbol_M</v>
      </c>
      <c r="BU405" s="6" t="str">
        <f>IFERROR(__xludf.DUMMYFUNCTION("""COMPUTED_VALUE"""),"SI")</f>
        <v>SI</v>
      </c>
      <c r="BV405" s="6" t="str">
        <f>IFERROR(__xludf.DUMMYFUNCTION("""COMPUTED_VALUE"""),"lorenzo.g2034")</f>
        <v>lorenzo.g2034</v>
      </c>
      <c r="BW405" s="6"/>
      <c r="BX405" s="6"/>
      <c r="BY405" s="6"/>
      <c r="BZ405" s="6"/>
    </row>
    <row r="406">
      <c r="A406" s="12">
        <f>IFERROR(__xludf.DUMMYFUNCTION("""COMPUTED_VALUE"""),1.09286032E9)</f>
        <v>1092860320</v>
      </c>
      <c r="B406" s="6">
        <f>IFERROR(__xludf.DUMMYFUNCTION("""COMPUTED_VALUE"""),10.0)</f>
        <v>10</v>
      </c>
      <c r="C406" s="6" t="str">
        <f>IFERROR(__xludf.DUMMYFUNCTION("""COMPUTED_VALUE"""),"Isabella")</f>
        <v>Isabella</v>
      </c>
      <c r="D406" s="6"/>
      <c r="E406" s="6" t="str">
        <f>IFERROR(__xludf.DUMMYFUNCTION("""COMPUTED_VALUE"""),"Guerrero Ramírez")</f>
        <v>Guerrero Ramírez</v>
      </c>
      <c r="F406" s="6" t="str">
        <f>IFERROR(__xludf.DUMMYFUNCTION("""COMPUTED_VALUE"""),"Condominio Los Pinos Casa 3 Luna Park - Km 4 Vía Armenia")</f>
        <v>Condominio Los Pinos Casa 3 Luna Park - Km 4 Vía Armenia</v>
      </c>
      <c r="G406" s="12" t="str">
        <f>IFERROR(__xludf.DUMMYFUNCTION("""COMPUTED_VALUE"""),"2016")</f>
        <v>2016</v>
      </c>
      <c r="H406" s="6" t="str">
        <f>IFERROR(__xludf.DUMMYFUNCTION("""COMPUTED_VALUE"""),"Agosto")</f>
        <v>Agosto</v>
      </c>
      <c r="I406" s="12" t="str">
        <f>IFERROR(__xludf.DUMMYFUNCTION("""COMPUTED_VALUE"""),"12")</f>
        <v>12</v>
      </c>
      <c r="J406" s="6" t="str">
        <f>IFERROR(__xludf.DUMMYFUNCTION("""COMPUTED_VALUE"""),"Armenia")</f>
        <v>Armenia</v>
      </c>
      <c r="K406" s="6" t="str">
        <f>IFERROR(__xludf.DUMMYFUNCTION("""COMPUTED_VALUE"""),"isabella.g2034@gi.edu.co")</f>
        <v>isabella.g2034@gi.edu.co</v>
      </c>
      <c r="L406" s="6" t="str">
        <f>IFERROR(__xludf.DUMMYFUNCTION("""COMPUTED_VALUE"""),"TI")</f>
        <v>TI</v>
      </c>
      <c r="M406" s="6" t="str">
        <f>IFERROR(__xludf.DUMMYFUNCTION("""COMPUTED_VALUE"""),"Armenia")</f>
        <v>Armenia</v>
      </c>
      <c r="N406" s="6" t="str">
        <f>IFERROR(__xludf.DUMMYFUNCTION("""COMPUTED_VALUE"""),"F")</f>
        <v>F</v>
      </c>
      <c r="O406" s="6" t="str">
        <f>IFERROR(__xludf.DUMMYFUNCTION("""COMPUTED_VALUE"""),"ACTIVE")</f>
        <v>ACTIVE</v>
      </c>
      <c r="P406" s="6"/>
      <c r="Q406" s="6" t="str">
        <f>IFERROR(__xludf.DUMMYFUNCTION("""COMPUTED_VALUE"""),"Circasia")</f>
        <v>Circasia</v>
      </c>
      <c r="R406" s="12" t="str">
        <f>IFERROR(__xludf.DUMMYFUNCTION("""COMPUTED_VALUE"""),"Gi3gs5jr9*")</f>
        <v>Gi3gs5jr9*</v>
      </c>
      <c r="S406" s="6" t="str">
        <f>IFERROR(__xludf.DUMMYFUNCTION("""COMPUTED_VALUE"""),"Guerrero Ramírez Isabella ")</f>
        <v>Guerrero Ramírez Isabella </v>
      </c>
      <c r="T406" s="6" t="str">
        <f>IFERROR(__xludf.DUMMYFUNCTION("""COMPUTED_VALUE"""),"DIEGO FERNANDO GUERRERO LONDOÑO")</f>
        <v>DIEGO FERNANDO GUERRERO LONDOÑO</v>
      </c>
      <c r="U406" s="12" t="str">
        <f>IFERROR(__xludf.DUMMYFUNCTION("""COMPUTED_VALUE"""),"9730262")</f>
        <v>9730262</v>
      </c>
      <c r="V406" s="6">
        <f>IFERROR(__xludf.DUMMYFUNCTION("""COMPUTED_VALUE"""),3.006193279E9)</f>
        <v>3006193279</v>
      </c>
      <c r="W406" s="6" t="str">
        <f>IFERROR(__xludf.DUMMYFUNCTION("""COMPUTED_VALUE"""),"ingeguerrerol@gmail.com")</f>
        <v>ingeguerrerol@gmail.com</v>
      </c>
      <c r="X406" s="12" t="str">
        <f>IFERROR(__xludf.DUMMYFUNCTION("""COMPUTED_VALUE"""),"B+")</f>
        <v>B+</v>
      </c>
      <c r="Y406" s="12" t="str">
        <f>IFERROR(__xludf.DUMMYFUNCTION("""COMPUTED_VALUE"""),"5")</f>
        <v>5</v>
      </c>
      <c r="Z406" s="12">
        <f>IFERROR(__xludf.DUMMYFUNCTION("""COMPUTED_VALUE"""),103949.0)</f>
        <v>103949</v>
      </c>
      <c r="AA406" s="6" t="str">
        <f>IFERROR(__xludf.DUMMYFUNCTION("""COMPUTED_VALUE"""),"SURA")</f>
        <v>SURA</v>
      </c>
      <c r="AB406" s="6"/>
      <c r="AC406" s="12" t="str">
        <f>IFERROR(__xludf.DUMMYFUNCTION("""COMPUTED_VALUE"""),"Almendras")</f>
        <v>Almendras</v>
      </c>
      <c r="AD406" s="12" t="str">
        <f>IFERROR(__xludf.DUMMYFUNCTION("""COMPUTED_VALUE"""),"5A")</f>
        <v>5A</v>
      </c>
      <c r="AE406" s="12">
        <f>IFERROR(__xludf.DUMMYFUNCTION("""COMPUTED_VALUE"""),1.345281984E9)</f>
        <v>1345281984</v>
      </c>
      <c r="AF406" s="12" t="str">
        <f>IFERROR(__xludf.DUMMYFUNCTION("""COMPUTED_VALUE"""),"0650775107")</f>
        <v>0650775107</v>
      </c>
      <c r="AG406" s="12" t="str">
        <f>IFERROR(__xludf.DUMMYFUNCTION("""COMPUTED_VALUE"""),"Maria")</f>
        <v>Maria</v>
      </c>
      <c r="AH406" s="12" t="str">
        <f>IFERROR(__xludf.DUMMYFUNCTION("""COMPUTED_VALUE"""),"Luisa")</f>
        <v>Luisa</v>
      </c>
      <c r="AI406" s="6" t="str">
        <f>IFERROR(__xludf.DUMMYFUNCTION("""COMPUTED_VALUE"""),"Ramirez Londoño")</f>
        <v>Ramirez Londoño</v>
      </c>
      <c r="AJ406" s="6" t="str">
        <f>IFERROR(__xludf.DUMMYFUNCTION("""COMPUTED_VALUE"""),"marialuisaramirezl@gmail.com")</f>
        <v>marialuisaramirezl@gmail.com</v>
      </c>
      <c r="AK406" s="6" t="str">
        <f>IFERROR(__xludf.DUMMYFUNCTION("""COMPUTED_VALUE"""),"Abogada")</f>
        <v>Abogada</v>
      </c>
      <c r="AL406" s="6"/>
      <c r="AM406" s="12" t="str">
        <f>IFERROR(__xludf.DUMMYFUNCTION("""COMPUTED_VALUE"""),"30233820")</f>
        <v>30233820</v>
      </c>
      <c r="AN406" s="12" t="str">
        <f>IFERROR(__xludf.DUMMYFUNCTION("""COMPUTED_VALUE"""),"3006101959")</f>
        <v>3006101959</v>
      </c>
      <c r="AO406" s="6" t="str">
        <f>IFERROR(__xludf.DUMMYFUNCTION("""COMPUTED_VALUE"""),"Madre")</f>
        <v>Madre</v>
      </c>
      <c r="AP406" s="6" t="str">
        <f>IFERROR(__xludf.DUMMYFUNCTION("""COMPUTED_VALUE"""),"Estudiante(s): Guerrero Ramírez")</f>
        <v>Estudiante(s): Guerrero Ramírez</v>
      </c>
      <c r="AQ406" s="6" t="str">
        <f>IFERROR(__xludf.DUMMYFUNCTION("""COMPUTED_VALUE"""),"103949*Gi")</f>
        <v>103949*Gi</v>
      </c>
      <c r="AR406" s="6" t="str">
        <f>IFERROR(__xludf.DUMMYFUNCTION("""COMPUTED_VALUE"""),"Diego")</f>
        <v>Diego</v>
      </c>
      <c r="AS406" s="6" t="str">
        <f>IFERROR(__xludf.DUMMYFUNCTION("""COMPUTED_VALUE"""),"Fernando")</f>
        <v>Fernando</v>
      </c>
      <c r="AT406" s="6" t="str">
        <f>IFERROR(__xludf.DUMMYFUNCTION("""COMPUTED_VALUE"""),"Guerrero Londoño")</f>
        <v>Guerrero Londoño</v>
      </c>
      <c r="AU406" s="6" t="str">
        <f>IFERROR(__xludf.DUMMYFUNCTION("""COMPUTED_VALUE"""),"ingeguerrerol@gmail.com")</f>
        <v>ingeguerrerol@gmail.com</v>
      </c>
      <c r="AV406" s="6" t="str">
        <f>IFERROR(__xludf.DUMMYFUNCTION("""COMPUTED_VALUE"""),"Ingeniero Civil")</f>
        <v>Ingeniero Civil</v>
      </c>
      <c r="AW406" s="6"/>
      <c r="AX406" s="12" t="str">
        <f>IFERROR(__xludf.DUMMYFUNCTION("""COMPUTED_VALUE"""),"9730262")</f>
        <v>9730262</v>
      </c>
      <c r="AY406" s="12" t="str">
        <f>IFERROR(__xludf.DUMMYFUNCTION("""COMPUTED_VALUE"""),"3006193279")</f>
        <v>3006193279</v>
      </c>
      <c r="AZ406" s="6" t="str">
        <f>IFERROR(__xludf.DUMMYFUNCTION("""COMPUTED_VALUE"""),"Padre")</f>
        <v>Padre</v>
      </c>
      <c r="BA406" s="6"/>
      <c r="BB406" s="6"/>
      <c r="BC406" s="6"/>
      <c r="BD406" s="12" t="str">
        <f>IFERROR(__xludf.DUMMYFUNCTION("""COMPUTED_VALUE"""),"gue0004")</f>
        <v>gue0004</v>
      </c>
      <c r="BE406" s="6"/>
      <c r="BF406" s="6"/>
      <c r="BG406" s="6">
        <f>IFERROR(__xludf.DUMMYFUNCTION("""COMPUTED_VALUE"""),2034.0)</f>
        <v>2034</v>
      </c>
      <c r="BH406" s="15">
        <f>IFERROR(__xludf.DUMMYFUNCTION("""COMPUTED_VALUE"""),46211.37978009259)</f>
        <v>46211.37978</v>
      </c>
      <c r="BI406" s="6">
        <f>IFERROR(__xludf.DUMMYFUNCTION("""COMPUTED_VALUE"""),406.0)</f>
        <v>406</v>
      </c>
      <c r="BJ406" s="6"/>
      <c r="BK406" s="6"/>
      <c r="BL406" s="6" t="str">
        <f>IFERROR(__xludf.DUMMYFUNCTION("""COMPUTED_VALUE"""),"GISGUE0004")</f>
        <v>GISGUE0004</v>
      </c>
      <c r="BM406" s="6"/>
      <c r="BN406" s="6"/>
      <c r="BO406" s="6" t="str">
        <f>IFERROR(__xludf.DUMMYFUNCTION("""COMPUTED_VALUE"""),"XC_EL_BandaBS")</f>
        <v>XC_EL_BandaBS</v>
      </c>
      <c r="BP406" s="6"/>
      <c r="BQ406" s="6"/>
      <c r="BR406" s="6"/>
      <c r="BS406" s="6"/>
      <c r="BT406" s="6"/>
      <c r="BU406" s="6" t="str">
        <f>IFERROR(__xludf.DUMMYFUNCTION("""COMPUTED_VALUE"""),"SI")</f>
        <v>SI</v>
      </c>
      <c r="BV406" s="6" t="str">
        <f>IFERROR(__xludf.DUMMYFUNCTION("""COMPUTED_VALUE"""),"isabella.g2034")</f>
        <v>isabella.g2034</v>
      </c>
      <c r="BW406" s="6"/>
      <c r="BX406" s="6"/>
      <c r="BY406" s="6"/>
      <c r="BZ406" s="6"/>
    </row>
    <row r="407">
      <c r="A407" s="12">
        <f>IFERROR(__xludf.DUMMYFUNCTION("""COMPUTED_VALUE"""),1.092860571E9)</f>
        <v>1092860571</v>
      </c>
      <c r="B407" s="6">
        <f>IFERROR(__xludf.DUMMYFUNCTION("""COMPUTED_VALUE"""),11.0)</f>
        <v>11</v>
      </c>
      <c r="C407" s="6" t="str">
        <f>IFERROR(__xludf.DUMMYFUNCTION("""COMPUTED_VALUE"""),"Benjamin")</f>
        <v>Benjamin</v>
      </c>
      <c r="D407" s="6"/>
      <c r="E407" s="6" t="str">
        <f>IFERROR(__xludf.DUMMYFUNCTION("""COMPUTED_VALUE"""),"Herrera Pulecio")</f>
        <v>Herrera Pulecio</v>
      </c>
      <c r="F407" s="6" t="str">
        <f>IFERROR(__xludf.DUMMYFUNCTION("""COMPUTED_VALUE"""),"Cra 13 No8Nte - 58 - Tarragona La Castellana")</f>
        <v>Cra 13 No8Nte - 58 - Tarragona La Castellana</v>
      </c>
      <c r="G407" s="12" t="str">
        <f>IFERROR(__xludf.DUMMYFUNCTION("""COMPUTED_VALUE"""),"2016")</f>
        <v>2016</v>
      </c>
      <c r="H407" s="6" t="str">
        <f>IFERROR(__xludf.DUMMYFUNCTION("""COMPUTED_VALUE"""),"Noviembre")</f>
        <v>Noviembre</v>
      </c>
      <c r="I407" s="12" t="str">
        <f>IFERROR(__xludf.DUMMYFUNCTION("""COMPUTED_VALUE"""),"2")</f>
        <v>2</v>
      </c>
      <c r="J407" s="6" t="str">
        <f>IFERROR(__xludf.DUMMYFUNCTION("""COMPUTED_VALUE"""),"Armenia")</f>
        <v>Armenia</v>
      </c>
      <c r="K407" s="6" t="str">
        <f>IFERROR(__xludf.DUMMYFUNCTION("""COMPUTED_VALUE"""),"benjamin.h2034@gi.edu.co")</f>
        <v>benjamin.h2034@gi.edu.co</v>
      </c>
      <c r="L407" s="6" t="str">
        <f>IFERROR(__xludf.DUMMYFUNCTION("""COMPUTED_VALUE"""),"TI")</f>
        <v>TI</v>
      </c>
      <c r="M407" s="6" t="str">
        <f>IFERROR(__xludf.DUMMYFUNCTION("""COMPUTED_VALUE"""),"Armenia")</f>
        <v>Armenia</v>
      </c>
      <c r="N407" s="6" t="str">
        <f>IFERROR(__xludf.DUMMYFUNCTION("""COMPUTED_VALUE"""),"M")</f>
        <v>M</v>
      </c>
      <c r="O407" s="6" t="str">
        <f>IFERROR(__xludf.DUMMYFUNCTION("""COMPUTED_VALUE"""),"ACTIVE")</f>
        <v>ACTIVE</v>
      </c>
      <c r="P407" s="6"/>
      <c r="Q407" s="6" t="str">
        <f>IFERROR(__xludf.DUMMYFUNCTION("""COMPUTED_VALUE"""),"Armenia")</f>
        <v>Armenia</v>
      </c>
      <c r="R407" s="12" t="str">
        <f>IFERROR(__xludf.DUMMYFUNCTION("""COMPUTED_VALUE"""),"Gihj4f6sk*")</f>
        <v>Gihj4f6sk*</v>
      </c>
      <c r="S407" s="6" t="str">
        <f>IFERROR(__xludf.DUMMYFUNCTION("""COMPUTED_VALUE"""),"Herrera Pulecio Benjamin ")</f>
        <v>Herrera Pulecio Benjamin </v>
      </c>
      <c r="T407" s="6" t="str">
        <f>IFERROR(__xludf.DUMMYFUNCTION("""COMPUTED_VALUE"""),"KATHERINE PULECIO GOMEZ")</f>
        <v>KATHERINE PULECIO GOMEZ</v>
      </c>
      <c r="U407" s="12" t="str">
        <f>IFERROR(__xludf.DUMMYFUNCTION("""COMPUTED_VALUE"""),"41961810")</f>
        <v>41961810</v>
      </c>
      <c r="V407" s="6">
        <f>IFERROR(__xludf.DUMMYFUNCTION("""COMPUTED_VALUE"""),3.136490443E9)</f>
        <v>3136490443</v>
      </c>
      <c r="W407" s="6" t="str">
        <f>IFERROR(__xludf.DUMMYFUNCTION("""COMPUTED_VALUE"""),"abogada.pulecio@gmail.com")</f>
        <v>abogada.pulecio@gmail.com</v>
      </c>
      <c r="X407" s="12" t="str">
        <f>IFERROR(__xludf.DUMMYFUNCTION("""COMPUTED_VALUE"""),"A+")</f>
        <v>A+</v>
      </c>
      <c r="Y407" s="12" t="str">
        <f>IFERROR(__xludf.DUMMYFUNCTION("""COMPUTED_VALUE"""),"5")</f>
        <v>5</v>
      </c>
      <c r="Z407" s="12">
        <f>IFERROR(__xludf.DUMMYFUNCTION("""COMPUTED_VALUE"""),103959.0)</f>
        <v>103959</v>
      </c>
      <c r="AA407" s="6" t="str">
        <f>IFERROR(__xludf.DUMMYFUNCTION("""COMPUTED_VALUE"""),"SURA")</f>
        <v>SURA</v>
      </c>
      <c r="AB407" s="6" t="str">
        <f>IFERROR(__xludf.DUMMYFUNCTION("""COMPUTED_VALUE"""),"EMI")</f>
        <v>EMI</v>
      </c>
      <c r="AC407" s="6"/>
      <c r="AD407" s="12" t="str">
        <f>IFERROR(__xludf.DUMMYFUNCTION("""COMPUTED_VALUE"""),"5A")</f>
        <v>5A</v>
      </c>
      <c r="AE407" s="12">
        <f>IFERROR(__xludf.DUMMYFUNCTION("""COMPUTED_VALUE"""),1.345281981E9)</f>
        <v>1345281981</v>
      </c>
      <c r="AF407" s="12" t="str">
        <f>IFERROR(__xludf.DUMMYFUNCTION("""COMPUTED_VALUE"""),"0659495715")</f>
        <v>0659495715</v>
      </c>
      <c r="AG407" s="12" t="str">
        <f>IFERROR(__xludf.DUMMYFUNCTION("""COMPUTED_VALUE"""),"Katherine")</f>
        <v>Katherine</v>
      </c>
      <c r="AH407" s="6"/>
      <c r="AI407" s="6" t="str">
        <f>IFERROR(__xludf.DUMMYFUNCTION("""COMPUTED_VALUE"""),"Pulecio Gomez")</f>
        <v>Pulecio Gomez</v>
      </c>
      <c r="AJ407" s="6" t="str">
        <f>IFERROR(__xludf.DUMMYFUNCTION("""COMPUTED_VALUE"""),"abogada.pulecio@gmail.com")</f>
        <v>abogada.pulecio@gmail.com</v>
      </c>
      <c r="AK407" s="6" t="str">
        <f>IFERROR(__xludf.DUMMYFUNCTION("""COMPUTED_VALUE"""),"Abogada")</f>
        <v>Abogada</v>
      </c>
      <c r="AL407" s="6" t="str">
        <f>IFERROR(__xludf.DUMMYFUNCTION("""COMPUTED_VALUE"""),"Contraloria Municipal de Armenia")</f>
        <v>Contraloria Municipal de Armenia</v>
      </c>
      <c r="AM407" s="12" t="str">
        <f>IFERROR(__xludf.DUMMYFUNCTION("""COMPUTED_VALUE"""),"41961810")</f>
        <v>41961810</v>
      </c>
      <c r="AN407" s="12" t="str">
        <f>IFERROR(__xludf.DUMMYFUNCTION("""COMPUTED_VALUE"""),"3136490443")</f>
        <v>3136490443</v>
      </c>
      <c r="AO407" s="6" t="str">
        <f>IFERROR(__xludf.DUMMYFUNCTION("""COMPUTED_VALUE"""),"Madre")</f>
        <v>Madre</v>
      </c>
      <c r="AP407" s="6" t="str">
        <f>IFERROR(__xludf.DUMMYFUNCTION("""COMPUTED_VALUE"""),"Estudiante(s): Herrera Pulecio")</f>
        <v>Estudiante(s): Herrera Pulecio</v>
      </c>
      <c r="AQ407" s="6" t="str">
        <f>IFERROR(__xludf.DUMMYFUNCTION("""COMPUTED_VALUE"""),"103959*Gi")</f>
        <v>103959*Gi</v>
      </c>
      <c r="AR407" s="6" t="str">
        <f>IFERROR(__xludf.DUMMYFUNCTION("""COMPUTED_VALUE"""),"Nestor")</f>
        <v>Nestor</v>
      </c>
      <c r="AS407" s="6" t="str">
        <f>IFERROR(__xludf.DUMMYFUNCTION("""COMPUTED_VALUE"""),"Fabian")</f>
        <v>Fabian</v>
      </c>
      <c r="AT407" s="6" t="str">
        <f>IFERROR(__xludf.DUMMYFUNCTION("""COMPUTED_VALUE"""),"Herrera Fernandez")</f>
        <v>Herrera Fernandez</v>
      </c>
      <c r="AU407" s="6" t="str">
        <f>IFERROR(__xludf.DUMMYFUNCTION("""COMPUTED_VALUE"""),"fallecido@gi.edu.co")</f>
        <v>fallecido@gi.edu.co</v>
      </c>
      <c r="AV407" s="6" t="str">
        <f>IFERROR(__xludf.DUMMYFUNCTION("""COMPUTED_VALUE"""),"Abogada")</f>
        <v>Abogada</v>
      </c>
      <c r="AW407" s="6"/>
      <c r="AX407" s="12" t="str">
        <f>IFERROR(__xludf.DUMMYFUNCTION("""COMPUTED_VALUE"""),"4377730")</f>
        <v>4377730</v>
      </c>
      <c r="AY407" s="12" t="str">
        <f>IFERROR(__xludf.DUMMYFUNCTION("""COMPUTED_VALUE"""),"0")</f>
        <v>0</v>
      </c>
      <c r="AZ407" s="6" t="str">
        <f>IFERROR(__xludf.DUMMYFUNCTION("""COMPUTED_VALUE"""),"Padre")</f>
        <v>Padre</v>
      </c>
      <c r="BA407" s="6"/>
      <c r="BB407" s="6"/>
      <c r="BC407" s="6"/>
      <c r="BD407" s="12" t="str">
        <f>IFERROR(__xludf.DUMMYFUNCTION("""COMPUTED_VALUE"""),"her0007")</f>
        <v>her0007</v>
      </c>
      <c r="BE407" s="6"/>
      <c r="BF407" s="6"/>
      <c r="BG407" s="6">
        <f>IFERROR(__xludf.DUMMYFUNCTION("""COMPUTED_VALUE"""),2034.0)</f>
        <v>2034</v>
      </c>
      <c r="BH407" s="15">
        <f>IFERROR(__xludf.DUMMYFUNCTION("""COMPUTED_VALUE"""),46210.525196759256)</f>
        <v>46210.5252</v>
      </c>
      <c r="BI407" s="6">
        <f>IFERROR(__xludf.DUMMYFUNCTION("""COMPUTED_VALUE"""),407.0)</f>
        <v>407</v>
      </c>
      <c r="BJ407" s="6"/>
      <c r="BK407" s="6"/>
      <c r="BL407" s="6" t="str">
        <f>IFERROR(__xludf.DUMMYFUNCTION("""COMPUTED_VALUE"""),"GISHER0007")</f>
        <v>GISHER0007</v>
      </c>
      <c r="BM407" s="6"/>
      <c r="BN407" s="6"/>
      <c r="BO407" s="6"/>
      <c r="BP407" s="6" t="str">
        <f>IFERROR(__xludf.DUMMYFUNCTION("""COMPUTED_VALUE"""),"XC_EL_Taekwondo")</f>
        <v>XC_EL_Taekwondo</v>
      </c>
      <c r="BQ407" s="6" t="str">
        <f>IFERROR(__xludf.DUMMYFUNCTION("""COMPUTED_VALUE"""),"XC_EL_Taekwondo")</f>
        <v>XC_EL_Taekwondo</v>
      </c>
      <c r="BR407" s="6"/>
      <c r="BS407" s="6" t="str">
        <f>IFERROR(__xludf.DUMMYFUNCTION("""COMPUTED_VALUE"""),"XC_EL_Taekwondo")</f>
        <v>XC_EL_Taekwondo</v>
      </c>
      <c r="BT407" s="6"/>
      <c r="BU407" s="6" t="str">
        <f>IFERROR(__xludf.DUMMYFUNCTION("""COMPUTED_VALUE"""),"SI")</f>
        <v>SI</v>
      </c>
      <c r="BV407" s="6" t="str">
        <f>IFERROR(__xludf.DUMMYFUNCTION("""COMPUTED_VALUE"""),"benjamin.h2034")</f>
        <v>benjamin.h2034</v>
      </c>
      <c r="BW407" s="6"/>
      <c r="BX407" s="6"/>
      <c r="BY407" s="6"/>
      <c r="BZ407" s="6"/>
    </row>
    <row r="408">
      <c r="A408" s="12">
        <f>IFERROR(__xludf.DUMMYFUNCTION("""COMPUTED_VALUE"""),1.054886471E9)</f>
        <v>1054886471</v>
      </c>
      <c r="B408" s="6">
        <f>IFERROR(__xludf.DUMMYFUNCTION("""COMPUTED_VALUE"""),12.0)</f>
        <v>12</v>
      </c>
      <c r="C408" s="6" t="str">
        <f>IFERROR(__xludf.DUMMYFUNCTION("""COMPUTED_VALUE"""),"Jacinta")</f>
        <v>Jacinta</v>
      </c>
      <c r="D408" s="6"/>
      <c r="E408" s="6" t="str">
        <f>IFERROR(__xludf.DUMMYFUNCTION("""COMPUTED_VALUE"""),"Lozano Mejía")</f>
        <v>Lozano Mejía</v>
      </c>
      <c r="F408" s="6" t="str">
        <f>IFERROR(__xludf.DUMMYFUNCTION("""COMPUTED_VALUE"""),"Conjunto Los Rosales Casa 13 - Km 1 Via Circasia")</f>
        <v>Conjunto Los Rosales Casa 13 - Km 1 Via Circasia</v>
      </c>
      <c r="G408" s="12" t="str">
        <f>IFERROR(__xludf.DUMMYFUNCTION("""COMPUTED_VALUE"""),"2016")</f>
        <v>2016</v>
      </c>
      <c r="H408" s="6" t="str">
        <f>IFERROR(__xludf.DUMMYFUNCTION("""COMPUTED_VALUE"""),"Abril")</f>
        <v>Abril</v>
      </c>
      <c r="I408" s="12" t="str">
        <f>IFERROR(__xludf.DUMMYFUNCTION("""COMPUTED_VALUE"""),"25")</f>
        <v>25</v>
      </c>
      <c r="J408" s="6" t="str">
        <f>IFERROR(__xludf.DUMMYFUNCTION("""COMPUTED_VALUE"""),"Manizales")</f>
        <v>Manizales</v>
      </c>
      <c r="K408" s="6" t="str">
        <f>IFERROR(__xludf.DUMMYFUNCTION("""COMPUTED_VALUE"""),"jacinta.l2034@gi.edu.co")</f>
        <v>jacinta.l2034@gi.edu.co</v>
      </c>
      <c r="L408" s="6" t="str">
        <f>IFERROR(__xludf.DUMMYFUNCTION("""COMPUTED_VALUE"""),"TI")</f>
        <v>TI</v>
      </c>
      <c r="M408" s="6" t="str">
        <f>IFERROR(__xludf.DUMMYFUNCTION("""COMPUTED_VALUE"""),"Circasia")</f>
        <v>Circasia</v>
      </c>
      <c r="N408" s="6" t="str">
        <f>IFERROR(__xludf.DUMMYFUNCTION("""COMPUTED_VALUE"""),"F")</f>
        <v>F</v>
      </c>
      <c r="O408" s="6" t="str">
        <f>IFERROR(__xludf.DUMMYFUNCTION("""COMPUTED_VALUE"""),"ACTIVE")</f>
        <v>ACTIVE</v>
      </c>
      <c r="P408" s="6"/>
      <c r="Q408" s="6" t="str">
        <f>IFERROR(__xludf.DUMMYFUNCTION("""COMPUTED_VALUE"""),"Armenia")</f>
        <v>Armenia</v>
      </c>
      <c r="R408" s="12" t="str">
        <f>IFERROR(__xludf.DUMMYFUNCTION("""COMPUTED_VALUE"""),"Gied2a1c7*")</f>
        <v>Gied2a1c7*</v>
      </c>
      <c r="S408" s="6" t="str">
        <f>IFERROR(__xludf.DUMMYFUNCTION("""COMPUTED_VALUE"""),"Lozano Mejía Jacinta ")</f>
        <v>Lozano Mejía Jacinta </v>
      </c>
      <c r="T408" s="6" t="str">
        <f>IFERROR(__xludf.DUMMYFUNCTION("""COMPUTED_VALUE"""),"NICOLAS LOZANO BALCAZAR")</f>
        <v>NICOLAS LOZANO BALCAZAR</v>
      </c>
      <c r="U408" s="12" t="str">
        <f>IFERROR(__xludf.DUMMYFUNCTION("""COMPUTED_VALUE"""),"4375635")</f>
        <v>4375635</v>
      </c>
      <c r="V408" s="6">
        <f>IFERROR(__xludf.DUMMYFUNCTION("""COMPUTED_VALUE"""),3.206678558E9)</f>
        <v>3206678558</v>
      </c>
      <c r="W408" s="6" t="str">
        <f>IFERROR(__xludf.DUMMYFUNCTION("""COMPUTED_VALUE"""),"nicofrutales@gmail.com")</f>
        <v>nicofrutales@gmail.com</v>
      </c>
      <c r="X408" s="12" t="str">
        <f>IFERROR(__xludf.DUMMYFUNCTION("""COMPUTED_VALUE"""),"B+")</f>
        <v>B+</v>
      </c>
      <c r="Y408" s="12" t="str">
        <f>IFERROR(__xludf.DUMMYFUNCTION("""COMPUTED_VALUE"""),"5")</f>
        <v>5</v>
      </c>
      <c r="Z408" s="12">
        <f>IFERROR(__xludf.DUMMYFUNCTION("""COMPUTED_VALUE"""),103930.0)</f>
        <v>103930</v>
      </c>
      <c r="AA408" s="6" t="str">
        <f>IFERROR(__xludf.DUMMYFUNCTION("""COMPUTED_VALUE"""),"NUEVA EPS")</f>
        <v>NUEVA EPS</v>
      </c>
      <c r="AB408" s="6"/>
      <c r="AC408" s="12" t="str">
        <f>IFERROR(__xludf.DUMMYFUNCTION("""COMPUTED_VALUE"""),"bajo estudios, las picaduras de mosquitos son detonantes. - huevo crudo")</f>
        <v>bajo estudios, las picaduras de mosquitos son detonantes. - huevo crudo</v>
      </c>
      <c r="AD408" s="12" t="str">
        <f>IFERROR(__xludf.DUMMYFUNCTION("""COMPUTED_VALUE"""),"5A")</f>
        <v>5A</v>
      </c>
      <c r="AE408" s="12">
        <f>IFERROR(__xludf.DUMMYFUNCTION("""COMPUTED_VALUE"""),1.345281976E9)</f>
        <v>1345281976</v>
      </c>
      <c r="AF408" s="12" t="str">
        <f>IFERROR(__xludf.DUMMYFUNCTION("""COMPUTED_VALUE"""),"0681881283")</f>
        <v>0681881283</v>
      </c>
      <c r="AG408" s="12" t="str">
        <f>IFERROR(__xludf.DUMMYFUNCTION("""COMPUTED_VALUE"""),"Valentina")</f>
        <v>Valentina</v>
      </c>
      <c r="AH408" s="6"/>
      <c r="AI408" s="6" t="str">
        <f>IFERROR(__xludf.DUMMYFUNCTION("""COMPUTED_VALUE"""),"Mejía Estrada")</f>
        <v>Mejía Estrada</v>
      </c>
      <c r="AJ408" s="6" t="str">
        <f>IFERROR(__xludf.DUMMYFUNCTION("""COMPUTED_VALUE"""),"valentinamejiaestrada@gmail.com")</f>
        <v>valentinamejiaestrada@gmail.com</v>
      </c>
      <c r="AK408" s="6" t="str">
        <f>IFERROR(__xludf.DUMMYFUNCTION("""COMPUTED_VALUE"""),"Comunicadora Social")</f>
        <v>Comunicadora Social</v>
      </c>
      <c r="AL408" s="6"/>
      <c r="AM408" s="12" t="str">
        <f>IFERROR(__xludf.DUMMYFUNCTION("""COMPUTED_VALUE"""),"24335632")</f>
        <v>24335632</v>
      </c>
      <c r="AN408" s="12" t="str">
        <f>IFERROR(__xludf.DUMMYFUNCTION("""COMPUTED_VALUE"""),"3128553676")</f>
        <v>3128553676</v>
      </c>
      <c r="AO408" s="6" t="str">
        <f>IFERROR(__xludf.DUMMYFUNCTION("""COMPUTED_VALUE"""),"Madre")</f>
        <v>Madre</v>
      </c>
      <c r="AP408" s="6" t="str">
        <f>IFERROR(__xludf.DUMMYFUNCTION("""COMPUTED_VALUE"""),"Estudiante(s): Lozano Mejía")</f>
        <v>Estudiante(s): Lozano Mejía</v>
      </c>
      <c r="AQ408" s="6" t="str">
        <f>IFERROR(__xludf.DUMMYFUNCTION("""COMPUTED_VALUE"""),"103930*Gi")</f>
        <v>103930*Gi</v>
      </c>
      <c r="AR408" s="6" t="str">
        <f>IFERROR(__xludf.DUMMYFUNCTION("""COMPUTED_VALUE"""),"Nicolás")</f>
        <v>Nicolás</v>
      </c>
      <c r="AS408" s="6"/>
      <c r="AT408" s="6" t="str">
        <f>IFERROR(__xludf.DUMMYFUNCTION("""COMPUTED_VALUE"""),"Lozano Balcázar")</f>
        <v>Lozano Balcázar</v>
      </c>
      <c r="AU408" s="6" t="str">
        <f>IFERROR(__xludf.DUMMYFUNCTION("""COMPUTED_VALUE"""),"nicofrutales@gmail.com")</f>
        <v>nicofrutales@gmail.com</v>
      </c>
      <c r="AV408" s="6" t="str">
        <f>IFERROR(__xludf.DUMMYFUNCTION("""COMPUTED_VALUE"""),"Ing. Mecánico Msc. Ing. Agrícola")</f>
        <v>Ing. Mecánico Msc. Ing. Agrícola</v>
      </c>
      <c r="AW408" s="6" t="str">
        <f>IFERROR(__xludf.DUMMYFUNCTION("""COMPUTED_VALUE"""),"Ecofrutales S.A.S.")</f>
        <v>Ecofrutales S.A.S.</v>
      </c>
      <c r="AX408" s="12" t="str">
        <f>IFERROR(__xludf.DUMMYFUNCTION("""COMPUTED_VALUE"""),"4375635")</f>
        <v>4375635</v>
      </c>
      <c r="AY408" s="12" t="str">
        <f>IFERROR(__xludf.DUMMYFUNCTION("""COMPUTED_VALUE"""),"3206678558")</f>
        <v>3206678558</v>
      </c>
      <c r="AZ408" s="6" t="str">
        <f>IFERROR(__xludf.DUMMYFUNCTION("""COMPUTED_VALUE"""),"Padre")</f>
        <v>Padre</v>
      </c>
      <c r="BA408" s="6"/>
      <c r="BB408" s="6"/>
      <c r="BC408" s="6"/>
      <c r="BD408" s="12" t="str">
        <f>IFERROR(__xludf.DUMMYFUNCTION("""COMPUTED_VALUE"""),"loz0003")</f>
        <v>loz0003</v>
      </c>
      <c r="BE408" s="6"/>
      <c r="BF408" s="6"/>
      <c r="BG408" s="6">
        <f>IFERROR(__xludf.DUMMYFUNCTION("""COMPUTED_VALUE"""),2034.0)</f>
        <v>2034</v>
      </c>
      <c r="BH408" s="15">
        <f>IFERROR(__xludf.DUMMYFUNCTION("""COMPUTED_VALUE"""),46205.39710648148)</f>
        <v>46205.39711</v>
      </c>
      <c r="BI408" s="6">
        <f>IFERROR(__xludf.DUMMYFUNCTION("""COMPUTED_VALUE"""),408.0)</f>
        <v>408</v>
      </c>
      <c r="BJ408" s="6"/>
      <c r="BK408" s="6"/>
      <c r="BL408" s="6" t="str">
        <f>IFERROR(__xludf.DUMMYFUNCTION("""COMPUTED_VALUE"""),"GISLOZ0003")</f>
        <v>GISLOZ0003</v>
      </c>
      <c r="BM408" s="6"/>
      <c r="BN408" s="6"/>
      <c r="BO408" s="6"/>
      <c r="BP408" s="6" t="str">
        <f>IFERROR(__xludf.DUMMYFUNCTION("""COMPUTED_VALUE"""),"XC_EL_Futbol_F")</f>
        <v>XC_EL_Futbol_F</v>
      </c>
      <c r="BQ408" s="6"/>
      <c r="BR408" s="6"/>
      <c r="BS408" s="6" t="str">
        <f>IFERROR(__xludf.DUMMYFUNCTION("""COMPUTED_VALUE"""),"XC_EL_Futbol_F")</f>
        <v>XC_EL_Futbol_F</v>
      </c>
      <c r="BT408" s="6" t="str">
        <f>IFERROR(__xludf.DUMMYFUNCTION("""COMPUTED_VALUE"""),"XC_EL_Futbol_F")</f>
        <v>XC_EL_Futbol_F</v>
      </c>
      <c r="BU408" s="6" t="str">
        <f>IFERROR(__xludf.DUMMYFUNCTION("""COMPUTED_VALUE"""),"SI")</f>
        <v>SI</v>
      </c>
      <c r="BV408" s="6" t="str">
        <f>IFERROR(__xludf.DUMMYFUNCTION("""COMPUTED_VALUE"""),"jacinta.l2034")</f>
        <v>jacinta.l2034</v>
      </c>
      <c r="BW408" s="6"/>
      <c r="BX408" s="6"/>
      <c r="BY408" s="6"/>
      <c r="BZ408" s="6"/>
    </row>
    <row r="409">
      <c r="A409" s="12">
        <f>IFERROR(__xludf.DUMMYFUNCTION("""COMPUTED_VALUE"""),1.092860093E9)</f>
        <v>1092860093</v>
      </c>
      <c r="B409" s="6">
        <f>IFERROR(__xludf.DUMMYFUNCTION("""COMPUTED_VALUE"""),13.0)</f>
        <v>13</v>
      </c>
      <c r="C409" s="6" t="str">
        <f>IFERROR(__xludf.DUMMYFUNCTION("""COMPUTED_VALUE"""),"Eva")</f>
        <v>Eva</v>
      </c>
      <c r="D409" s="6" t="str">
        <f>IFERROR(__xludf.DUMMYFUNCTION("""COMPUTED_VALUE"""),"Gaia")</f>
        <v>Gaia</v>
      </c>
      <c r="E409" s="6" t="str">
        <f>IFERROR(__xludf.DUMMYFUNCTION("""COMPUTED_VALUE"""),"Montero Connabeer")</f>
        <v>Montero Connabeer</v>
      </c>
      <c r="F409" s="6" t="str">
        <f>IFERROR(__xludf.DUMMYFUNCTION("""COMPUTED_VALUE"""),"Finca El Sueño Palo Grande - Alto Via Juan Bosco")</f>
        <v>Finca El Sueño Palo Grande - Alto Via Juan Bosco</v>
      </c>
      <c r="G409" s="12" t="str">
        <f>IFERROR(__xludf.DUMMYFUNCTION("""COMPUTED_VALUE"""),"2016")</f>
        <v>2016</v>
      </c>
      <c r="H409" s="6" t="str">
        <f>IFERROR(__xludf.DUMMYFUNCTION("""COMPUTED_VALUE"""),"Junio")</f>
        <v>Junio</v>
      </c>
      <c r="I409" s="12" t="str">
        <f>IFERROR(__xludf.DUMMYFUNCTION("""COMPUTED_VALUE"""),"5")</f>
        <v>5</v>
      </c>
      <c r="J409" s="6" t="str">
        <f>IFERROR(__xludf.DUMMYFUNCTION("""COMPUTED_VALUE"""),"Armenia")</f>
        <v>Armenia</v>
      </c>
      <c r="K409" s="6" t="str">
        <f>IFERROR(__xludf.DUMMYFUNCTION("""COMPUTED_VALUE"""),"eva.m2034@gi.edu.co")</f>
        <v>eva.m2034@gi.edu.co</v>
      </c>
      <c r="L409" s="6" t="str">
        <f>IFERROR(__xludf.DUMMYFUNCTION("""COMPUTED_VALUE"""),"RC")</f>
        <v>RC</v>
      </c>
      <c r="M409" s="6" t="str">
        <f>IFERROR(__xludf.DUMMYFUNCTION("""COMPUTED_VALUE"""),"Armenia")</f>
        <v>Armenia</v>
      </c>
      <c r="N409" s="6" t="str">
        <f>IFERROR(__xludf.DUMMYFUNCTION("""COMPUTED_VALUE"""),"F")</f>
        <v>F</v>
      </c>
      <c r="O409" s="6" t="str">
        <f>IFERROR(__xludf.DUMMYFUNCTION("""COMPUTED_VALUE"""),"INACTIVE")</f>
        <v>INACTIVE</v>
      </c>
      <c r="P409" s="6"/>
      <c r="Q409" s="6" t="str">
        <f>IFERROR(__xludf.DUMMYFUNCTION("""COMPUTED_VALUE"""),"Armenia")</f>
        <v>Armenia</v>
      </c>
      <c r="R409" s="12" t="str">
        <f>IFERROR(__xludf.DUMMYFUNCTION("""COMPUTED_VALUE"""),"Gi1p57r439*")</f>
        <v>Gi1p57r439*</v>
      </c>
      <c r="S409" s="6" t="str">
        <f>IFERROR(__xludf.DUMMYFUNCTION("""COMPUTED_VALUE"""),"Montero Connabeer Eva Gaia")</f>
        <v>Montero Connabeer Eva Gaia</v>
      </c>
      <c r="T409" s="6" t="str">
        <f>IFERROR(__xludf.DUMMYFUNCTION("""COMPUTED_VALUE"""),"CHARLOTTE ELIZABETH CONNABEER")</f>
        <v>CHARLOTTE ELIZABETH CONNABEER</v>
      </c>
      <c r="U409" s="12" t="str">
        <f>IFERROR(__xludf.DUMMYFUNCTION("""COMPUTED_VALUE"""),"409145")</f>
        <v>409145</v>
      </c>
      <c r="V409" s="6">
        <f>IFERROR(__xludf.DUMMYFUNCTION("""COMPUTED_VALUE"""),3.145967305E9)</f>
        <v>3145967305</v>
      </c>
      <c r="W409" s="6" t="str">
        <f>IFERROR(__xludf.DUMMYFUNCTION("""COMPUTED_VALUE"""),"charlottec@gi.edu.co")</f>
        <v>charlottec@gi.edu.co</v>
      </c>
      <c r="X409" s="12" t="str">
        <f>IFERROR(__xludf.DUMMYFUNCTION("""COMPUTED_VALUE"""),"O+")</f>
        <v>O+</v>
      </c>
      <c r="Y409" s="12" t="str">
        <f>IFERROR(__xludf.DUMMYFUNCTION("""COMPUTED_VALUE"""),"5")</f>
        <v>5</v>
      </c>
      <c r="Z409" s="12">
        <f>IFERROR(__xludf.DUMMYFUNCTION("""COMPUTED_VALUE"""),103875.0)</f>
        <v>103875</v>
      </c>
      <c r="AA409" s="6" t="str">
        <f>IFERROR(__xludf.DUMMYFUNCTION("""COMPUTED_VALUE"""),"SURA")</f>
        <v>SURA</v>
      </c>
      <c r="AB409" s="6"/>
      <c r="AC409" s="6"/>
      <c r="AD409" s="12" t="str">
        <f>IFERROR(__xludf.DUMMYFUNCTION("""COMPUTED_VALUE"""),"5A")</f>
        <v>5A</v>
      </c>
      <c r="AE409" s="12">
        <f>IFERROR(__xludf.DUMMYFUNCTION("""COMPUTED_VALUE"""),1.345281946E9)</f>
        <v>1345281946</v>
      </c>
      <c r="AF409" s="12" t="str">
        <f>IFERROR(__xludf.DUMMYFUNCTION("""COMPUTED_VALUE"""),"0692243443")</f>
        <v>0692243443</v>
      </c>
      <c r="AG409" s="12" t="str">
        <f>IFERROR(__xludf.DUMMYFUNCTION("""COMPUTED_VALUE"""),"Charlotte")</f>
        <v>Charlotte</v>
      </c>
      <c r="AH409" s="12" t="str">
        <f>IFERROR(__xludf.DUMMYFUNCTION("""COMPUTED_VALUE"""),"Elizabeth")</f>
        <v>Elizabeth</v>
      </c>
      <c r="AI409" s="6" t="str">
        <f>IFERROR(__xludf.DUMMYFUNCTION("""COMPUTED_VALUE"""),"Connabeer")</f>
        <v>Connabeer</v>
      </c>
      <c r="AJ409" s="6" t="str">
        <f>IFERROR(__xludf.DUMMYFUNCTION("""COMPUTED_VALUE"""),"ceconnabeer89@gmail.com")</f>
        <v>ceconnabeer89@gmail.com</v>
      </c>
      <c r="AK409" s="6" t="str">
        <f>IFERROR(__xludf.DUMMYFUNCTION("""COMPUTED_VALUE"""),"docente")</f>
        <v>docente</v>
      </c>
      <c r="AL409" s="6" t="str">
        <f>IFERROR(__xludf.DUMMYFUNCTION("""COMPUTED_VALUE"""),"GI School")</f>
        <v>GI School</v>
      </c>
      <c r="AM409" s="12" t="str">
        <f>IFERROR(__xludf.DUMMYFUNCTION("""COMPUTED_VALUE"""),"409145")</f>
        <v>409145</v>
      </c>
      <c r="AN409" s="12" t="str">
        <f>IFERROR(__xludf.DUMMYFUNCTION("""COMPUTED_VALUE"""),"3145967305")</f>
        <v>3145967305</v>
      </c>
      <c r="AO409" s="6" t="str">
        <f>IFERROR(__xludf.DUMMYFUNCTION("""COMPUTED_VALUE"""),"Madre")</f>
        <v>Madre</v>
      </c>
      <c r="AP409" s="6" t="str">
        <f>IFERROR(__xludf.DUMMYFUNCTION("""COMPUTED_VALUE"""),"Estudiante(s): Montero Connabeer")</f>
        <v>Estudiante(s): Montero Connabeer</v>
      </c>
      <c r="AQ409" s="6" t="str">
        <f>IFERROR(__xludf.DUMMYFUNCTION("""COMPUTED_VALUE"""),"103875*Gi")</f>
        <v>103875*Gi</v>
      </c>
      <c r="AR409" s="6" t="str">
        <f>IFERROR(__xludf.DUMMYFUNCTION("""COMPUTED_VALUE"""),"Nicolas")</f>
        <v>Nicolas</v>
      </c>
      <c r="AS409" s="6"/>
      <c r="AT409" s="6" t="str">
        <f>IFERROR(__xludf.DUMMYFUNCTION("""COMPUTED_VALUE"""),"Montero Palacio")</f>
        <v>Montero Palacio</v>
      </c>
      <c r="AU409" s="6" t="str">
        <f>IFERROR(__xludf.DUMMYFUNCTION("""COMPUTED_VALUE"""),"cafe360grados@gmail.com")</f>
        <v>cafe360grados@gmail.com</v>
      </c>
      <c r="AV409" s="6" t="str">
        <f>IFERROR(__xludf.DUMMYFUNCTION("""COMPUTED_VALUE"""),"Administrador de Empresas")</f>
        <v>Administrador de Empresas</v>
      </c>
      <c r="AW409" s="6" t="str">
        <f>IFERROR(__xludf.DUMMYFUNCTION("""COMPUTED_VALUE"""),"Cafe 360 Grados")</f>
        <v>Cafe 360 Grados</v>
      </c>
      <c r="AX409" s="12" t="str">
        <f>IFERROR(__xludf.DUMMYFUNCTION("""COMPUTED_VALUE"""),"9772919")</f>
        <v>9772919</v>
      </c>
      <c r="AY409" s="12" t="str">
        <f>IFERROR(__xludf.DUMMYFUNCTION("""COMPUTED_VALUE"""),"3103984199")</f>
        <v>3103984199</v>
      </c>
      <c r="AZ409" s="6" t="str">
        <f>IFERROR(__xludf.DUMMYFUNCTION("""COMPUTED_VALUE"""),"Padre")</f>
        <v>Padre</v>
      </c>
      <c r="BA409" s="6"/>
      <c r="BB409" s="6"/>
      <c r="BC409" s="6"/>
      <c r="BD409" s="12" t="str">
        <f>IFERROR(__xludf.DUMMYFUNCTION("""COMPUTED_VALUE"""),"mon0015")</f>
        <v>mon0015</v>
      </c>
      <c r="BE409" s="6" t="str">
        <f>IFERROR(__xludf.DUMMYFUNCTION("""COMPUTED_VALUE"""),"FALTAN FIRMAS")</f>
        <v>FALTAN FIRMAS</v>
      </c>
      <c r="BF409" s="6"/>
      <c r="BG409" s="6">
        <f>IFERROR(__xludf.DUMMYFUNCTION("""COMPUTED_VALUE"""),2034.0)</f>
        <v>2034</v>
      </c>
      <c r="BH409" s="15">
        <f>IFERROR(__xludf.DUMMYFUNCTION("""COMPUTED_VALUE"""),46237.55568287037)</f>
        <v>46237.55568</v>
      </c>
      <c r="BI409" s="6">
        <f>IFERROR(__xludf.DUMMYFUNCTION("""COMPUTED_VALUE"""),409.0)</f>
        <v>409</v>
      </c>
      <c r="BJ409" s="6"/>
      <c r="BK409" s="6"/>
      <c r="BL409" s="6" t="str">
        <f>IFERROR(__xludf.DUMMYFUNCTION("""COMPUTED_VALUE"""),"GISMON0015")</f>
        <v>GISMON0015</v>
      </c>
      <c r="BM409" s="6"/>
      <c r="BN409" s="6"/>
      <c r="BO409" s="6"/>
      <c r="BP409" s="6" t="str">
        <f>IFERROR(__xludf.DUMMYFUNCTION("""COMPUTED_VALUE"""),"XC_EL_Futbol_F")</f>
        <v>XC_EL_Futbol_F</v>
      </c>
      <c r="BQ409" s="6"/>
      <c r="BR409" s="6"/>
      <c r="BS409" s="6" t="str">
        <f>IFERROR(__xludf.DUMMYFUNCTION("""COMPUTED_VALUE"""),"XC_EL_Futbol_F")</f>
        <v>XC_EL_Futbol_F</v>
      </c>
      <c r="BT409" s="6" t="str">
        <f>IFERROR(__xludf.DUMMYFUNCTION("""COMPUTED_VALUE"""),"XC_EL_Futbol_F")</f>
        <v>XC_EL_Futbol_F</v>
      </c>
      <c r="BU409" s="6" t="str">
        <f>IFERROR(__xludf.DUMMYFUNCTION("""COMPUTED_VALUE"""),"SI")</f>
        <v>SI</v>
      </c>
      <c r="BV409" s="6" t="str">
        <f>IFERROR(__xludf.DUMMYFUNCTION("""COMPUTED_VALUE"""),"eva.m2034")</f>
        <v>eva.m2034</v>
      </c>
      <c r="BW409" s="6"/>
      <c r="BX409" s="6"/>
      <c r="BY409" s="6"/>
      <c r="BZ409" s="6"/>
    </row>
    <row r="410">
      <c r="A410" s="12">
        <f>IFERROR(__xludf.DUMMYFUNCTION("""COMPUTED_VALUE"""),1.094966365E9)</f>
        <v>1094966365</v>
      </c>
      <c r="B410" s="6">
        <f>IFERROR(__xludf.DUMMYFUNCTION("""COMPUTED_VALUE"""),14.0)</f>
        <v>14</v>
      </c>
      <c r="C410" s="6" t="str">
        <f>IFERROR(__xludf.DUMMYFUNCTION("""COMPUTED_VALUE"""),"María")</f>
        <v>María</v>
      </c>
      <c r="D410" s="6" t="str">
        <f>IFERROR(__xludf.DUMMYFUNCTION("""COMPUTED_VALUE"""),"Alejandra")</f>
        <v>Alejandra</v>
      </c>
      <c r="E410" s="6" t="str">
        <f>IFERROR(__xludf.DUMMYFUNCTION("""COMPUTED_VALUE"""),"Murillas Manco")</f>
        <v>Murillas Manco</v>
      </c>
      <c r="F410" s="6" t="str">
        <f>IFERROR(__xludf.DUMMYFUNCTION("""COMPUTED_VALUE"""),"Calle 22Nte No17 - 15 Bloque 1 Apto 902 - Laureles")</f>
        <v>Calle 22Nte No17 - 15 Bloque 1 Apto 902 - Laureles</v>
      </c>
      <c r="G410" s="12" t="str">
        <f>IFERROR(__xludf.DUMMYFUNCTION("""COMPUTED_VALUE"""),"2016")</f>
        <v>2016</v>
      </c>
      <c r="H410" s="6" t="str">
        <f>IFERROR(__xludf.DUMMYFUNCTION("""COMPUTED_VALUE"""),"Enero")</f>
        <v>Enero</v>
      </c>
      <c r="I410" s="12" t="str">
        <f>IFERROR(__xludf.DUMMYFUNCTION("""COMPUTED_VALUE"""),"27")</f>
        <v>27</v>
      </c>
      <c r="J410" s="6" t="str">
        <f>IFERROR(__xludf.DUMMYFUNCTION("""COMPUTED_VALUE"""),"Armenia")</f>
        <v>Armenia</v>
      </c>
      <c r="K410" s="6" t="str">
        <f>IFERROR(__xludf.DUMMYFUNCTION("""COMPUTED_VALUE"""),"maria.m2034@gi.edu.co")</f>
        <v>maria.m2034@gi.edu.co</v>
      </c>
      <c r="L410" s="6" t="str">
        <f>IFERROR(__xludf.DUMMYFUNCTION("""COMPUTED_VALUE"""),"TI")</f>
        <v>TI</v>
      </c>
      <c r="M410" s="6" t="str">
        <f>IFERROR(__xludf.DUMMYFUNCTION("""COMPUTED_VALUE"""),"Armenia")</f>
        <v>Armenia</v>
      </c>
      <c r="N410" s="6" t="str">
        <f>IFERROR(__xludf.DUMMYFUNCTION("""COMPUTED_VALUE"""),"F")</f>
        <v>F</v>
      </c>
      <c r="O410" s="6" t="str">
        <f>IFERROR(__xludf.DUMMYFUNCTION("""COMPUTED_VALUE"""),"ACTIVE")</f>
        <v>ACTIVE</v>
      </c>
      <c r="P410" s="6"/>
      <c r="Q410" s="6" t="str">
        <f>IFERROR(__xludf.DUMMYFUNCTION("""COMPUTED_VALUE"""),"Armenia")</f>
        <v>Armenia</v>
      </c>
      <c r="R410" s="12" t="str">
        <f>IFERROR(__xludf.DUMMYFUNCTION("""COMPUTED_VALUE"""),"Gisd45rf*")</f>
        <v>Gisd45rf*</v>
      </c>
      <c r="S410" s="6" t="str">
        <f>IFERROR(__xludf.DUMMYFUNCTION("""COMPUTED_VALUE"""),"Murillas Manco María Alejandra")</f>
        <v>Murillas Manco María Alejandra</v>
      </c>
      <c r="T410" s="6" t="str">
        <f>IFERROR(__xludf.DUMMYFUNCTION("""COMPUTED_VALUE"""),"CARMEN ADRIANA MANCO JIMÉNEZ")</f>
        <v>CARMEN ADRIANA MANCO JIMÉNEZ</v>
      </c>
      <c r="U410" s="12" t="str">
        <f>IFERROR(__xludf.DUMMYFUNCTION("""COMPUTED_VALUE"""),"66660933")</f>
        <v>66660933</v>
      </c>
      <c r="V410" s="6">
        <f>IFERROR(__xludf.DUMMYFUNCTION("""COMPUTED_VALUE"""),3.214467959E9)</f>
        <v>3214467959</v>
      </c>
      <c r="W410" s="6" t="str">
        <f>IFERROR(__xludf.DUMMYFUNCTION("""COMPUTED_VALUE"""),"adrymanco@gmail.com")</f>
        <v>adrymanco@gmail.com</v>
      </c>
      <c r="X410" s="12" t="str">
        <f>IFERROR(__xludf.DUMMYFUNCTION("""COMPUTED_VALUE"""),"A+")</f>
        <v>A+</v>
      </c>
      <c r="Y410" s="12" t="str">
        <f>IFERROR(__xludf.DUMMYFUNCTION("""COMPUTED_VALUE"""),"5")</f>
        <v>5</v>
      </c>
      <c r="Z410" s="12">
        <f>IFERROR(__xludf.DUMMYFUNCTION("""COMPUTED_VALUE"""),103827.0)</f>
        <v>103827</v>
      </c>
      <c r="AA410" s="6" t="str">
        <f>IFERROR(__xludf.DUMMYFUNCTION("""COMPUTED_VALUE"""),"OTRA")</f>
        <v>OTRA</v>
      </c>
      <c r="AB410" s="6" t="str">
        <f>IFERROR(__xludf.DUMMYFUNCTION("""COMPUTED_VALUE"""),"Sanidad Militar")</f>
        <v>Sanidad Militar</v>
      </c>
      <c r="AC410" s="12" t="str">
        <f>IFERROR(__xludf.DUMMYFUNCTION("""COMPUTED_VALUE"""),"Ácaros, Corrientes de Aire Frias")</f>
        <v>Ácaros, Corrientes de Aire Frias</v>
      </c>
      <c r="AD410" s="12" t="str">
        <f>IFERROR(__xludf.DUMMYFUNCTION("""COMPUTED_VALUE"""),"5A")</f>
        <v>5A</v>
      </c>
      <c r="AE410" s="12">
        <f>IFERROR(__xludf.DUMMYFUNCTION("""COMPUTED_VALUE"""),1.345281943E9)</f>
        <v>1345281943</v>
      </c>
      <c r="AF410" s="12" t="str">
        <f>IFERROR(__xludf.DUMMYFUNCTION("""COMPUTED_VALUE"""),"0657425795")</f>
        <v>0657425795</v>
      </c>
      <c r="AG410" s="12" t="str">
        <f>IFERROR(__xludf.DUMMYFUNCTION("""COMPUTED_VALUE"""),"Carmen")</f>
        <v>Carmen</v>
      </c>
      <c r="AH410" s="12" t="str">
        <f>IFERROR(__xludf.DUMMYFUNCTION("""COMPUTED_VALUE"""),"Adriana")</f>
        <v>Adriana</v>
      </c>
      <c r="AI410" s="6" t="str">
        <f>IFERROR(__xludf.DUMMYFUNCTION("""COMPUTED_VALUE"""),"Manco Jiménez")</f>
        <v>Manco Jiménez</v>
      </c>
      <c r="AJ410" s="6" t="str">
        <f>IFERROR(__xludf.DUMMYFUNCTION("""COMPUTED_VALUE"""),"adrymanco@gmail.com")</f>
        <v>adrymanco@gmail.com</v>
      </c>
      <c r="AK410" s="6" t="str">
        <f>IFERROR(__xludf.DUMMYFUNCTION("""COMPUTED_VALUE"""),"Odontologa Periodoncista")</f>
        <v>Odontologa Periodoncista</v>
      </c>
      <c r="AL410" s="6" t="str">
        <f>IFERROR(__xludf.DUMMYFUNCTION("""COMPUTED_VALUE"""),"Odontologia Especializada Minimouth")</f>
        <v>Odontologia Especializada Minimouth</v>
      </c>
      <c r="AM410" s="12" t="str">
        <f>IFERROR(__xludf.DUMMYFUNCTION("""COMPUTED_VALUE"""),"66660933")</f>
        <v>66660933</v>
      </c>
      <c r="AN410" s="12" t="str">
        <f>IFERROR(__xludf.DUMMYFUNCTION("""COMPUTED_VALUE"""),"3214467959")</f>
        <v>3214467959</v>
      </c>
      <c r="AO410" s="6" t="str">
        <f>IFERROR(__xludf.DUMMYFUNCTION("""COMPUTED_VALUE"""),"Madre")</f>
        <v>Madre</v>
      </c>
      <c r="AP410" s="6" t="str">
        <f>IFERROR(__xludf.DUMMYFUNCTION("""COMPUTED_VALUE"""),"Estudiante(s): Murillas Manco")</f>
        <v>Estudiante(s): Murillas Manco</v>
      </c>
      <c r="AQ410" s="6" t="str">
        <f>IFERROR(__xludf.DUMMYFUNCTION("""COMPUTED_VALUE"""),"103827*Gi")</f>
        <v>103827*Gi</v>
      </c>
      <c r="AR410" s="6" t="str">
        <f>IFERROR(__xludf.DUMMYFUNCTION("""COMPUTED_VALUE"""),"Juan")</f>
        <v>Juan</v>
      </c>
      <c r="AS410" s="6" t="str">
        <f>IFERROR(__xludf.DUMMYFUNCTION("""COMPUTED_VALUE"""),"Carlos")</f>
        <v>Carlos</v>
      </c>
      <c r="AT410" s="6" t="str">
        <f>IFERROR(__xludf.DUMMYFUNCTION("""COMPUTED_VALUE"""),"Murillas Bedoya")</f>
        <v>Murillas Bedoya</v>
      </c>
      <c r="AU410" s="6" t="str">
        <f>IFERROR(__xludf.DUMMYFUNCTION("""COMPUTED_VALUE"""),"jucamube180267@hotmail.com")</f>
        <v>jucamube180267@hotmail.com</v>
      </c>
      <c r="AV410" s="6" t="str">
        <f>IFERROR(__xludf.DUMMYFUNCTION("""COMPUTED_VALUE"""),"Cirujando Maxilo")</f>
        <v>Cirujando Maxilo</v>
      </c>
      <c r="AW410" s="6" t="str">
        <f>IFERROR(__xludf.DUMMYFUNCTION("""COMPUTED_VALUE"""),"Consultorio Particular")</f>
        <v>Consultorio Particular</v>
      </c>
      <c r="AX410" s="12" t="str">
        <f>IFERROR(__xludf.DUMMYFUNCTION("""COMPUTED_VALUE"""),"18464097")</f>
        <v>18464097</v>
      </c>
      <c r="AY410" s="12" t="str">
        <f>IFERROR(__xludf.DUMMYFUNCTION("""COMPUTED_VALUE"""),"3146169083")</f>
        <v>3146169083</v>
      </c>
      <c r="AZ410" s="6" t="str">
        <f>IFERROR(__xludf.DUMMYFUNCTION("""COMPUTED_VALUE"""),"Padre")</f>
        <v>Padre</v>
      </c>
      <c r="BA410" s="6"/>
      <c r="BB410" s="6"/>
      <c r="BC410" s="6"/>
      <c r="BD410" s="12" t="str">
        <f>IFERROR(__xludf.DUMMYFUNCTION("""COMPUTED_VALUE"""),"mur0003")</f>
        <v>mur0003</v>
      </c>
      <c r="BE410" s="6"/>
      <c r="BF410" s="6"/>
      <c r="BG410" s="6">
        <f>IFERROR(__xludf.DUMMYFUNCTION("""COMPUTED_VALUE"""),2034.0)</f>
        <v>2034</v>
      </c>
      <c r="BH410" s="15">
        <f>IFERROR(__xludf.DUMMYFUNCTION("""COMPUTED_VALUE"""),46212.55569444445)</f>
        <v>46212.55569</v>
      </c>
      <c r="BI410" s="6">
        <f>IFERROR(__xludf.DUMMYFUNCTION("""COMPUTED_VALUE"""),410.0)</f>
        <v>410</v>
      </c>
      <c r="BJ410" s="6"/>
      <c r="BK410" s="6"/>
      <c r="BL410" s="6" t="str">
        <f>IFERROR(__xludf.DUMMYFUNCTION("""COMPUTED_VALUE"""),"GISMUR0003")</f>
        <v>GISMUR0003</v>
      </c>
      <c r="BM410" s="6"/>
      <c r="BN410" s="6"/>
      <c r="BO410" s="6"/>
      <c r="BP410" s="6" t="str">
        <f>IFERROR(__xludf.DUMMYFUNCTION("""COMPUTED_VALUE"""),"XC_45_Voleibol")</f>
        <v>XC_45_Voleibol</v>
      </c>
      <c r="BQ410" s="6"/>
      <c r="BR410" s="6"/>
      <c r="BS410" s="6" t="str">
        <f>IFERROR(__xludf.DUMMYFUNCTION("""COMPUTED_VALUE"""),"XC_45_Voleibol")</f>
        <v>XC_45_Voleibol</v>
      </c>
      <c r="BT410" s="6" t="str">
        <f>IFERROR(__xludf.DUMMYFUNCTION("""COMPUTED_VALUE"""),"XC_45_Voleibol")</f>
        <v>XC_45_Voleibol</v>
      </c>
      <c r="BU410" s="6" t="str">
        <f>IFERROR(__xludf.DUMMYFUNCTION("""COMPUTED_VALUE"""),"SI")</f>
        <v>SI</v>
      </c>
      <c r="BV410" s="6" t="str">
        <f>IFERROR(__xludf.DUMMYFUNCTION("""COMPUTED_VALUE"""),"maria.m2034")</f>
        <v>maria.m2034</v>
      </c>
      <c r="BW410" s="6"/>
      <c r="BX410" s="6"/>
      <c r="BY410" s="6"/>
      <c r="BZ410" s="6"/>
    </row>
    <row r="411">
      <c r="A411" s="12">
        <f>IFERROR(__xludf.DUMMYFUNCTION("""COMPUTED_VALUE"""),1.054886511E9)</f>
        <v>1054886511</v>
      </c>
      <c r="B411" s="6">
        <f>IFERROR(__xludf.DUMMYFUNCTION("""COMPUTED_VALUE"""),15.0)</f>
        <v>15</v>
      </c>
      <c r="C411" s="6" t="str">
        <f>IFERROR(__xludf.DUMMYFUNCTION("""COMPUTED_VALUE"""),"Matilde")</f>
        <v>Matilde</v>
      </c>
      <c r="D411" s="6"/>
      <c r="E411" s="6" t="str">
        <f>IFERROR(__xludf.DUMMYFUNCTION("""COMPUTED_VALUE"""),"Ospina Gómez")</f>
        <v>Ospina Gómez</v>
      </c>
      <c r="F411" s="6" t="str">
        <f>IFERROR(__xludf.DUMMYFUNCTION("""COMPUTED_VALUE"""),"Edificio La Castellana Apt 501 - Calle 14 Nte No10 - 49")</f>
        <v>Edificio La Castellana Apt 501 - Calle 14 Nte No10 - 49</v>
      </c>
      <c r="G411" s="12" t="str">
        <f>IFERROR(__xludf.DUMMYFUNCTION("""COMPUTED_VALUE"""),"2016")</f>
        <v>2016</v>
      </c>
      <c r="H411" s="6" t="str">
        <f>IFERROR(__xludf.DUMMYFUNCTION("""COMPUTED_VALUE"""),"Mayo")</f>
        <v>Mayo</v>
      </c>
      <c r="I411" s="12" t="str">
        <f>IFERROR(__xludf.DUMMYFUNCTION("""COMPUTED_VALUE"""),"5")</f>
        <v>5</v>
      </c>
      <c r="J411" s="6" t="str">
        <f>IFERROR(__xludf.DUMMYFUNCTION("""COMPUTED_VALUE"""),"Armenia")</f>
        <v>Armenia</v>
      </c>
      <c r="K411" s="6" t="str">
        <f>IFERROR(__xludf.DUMMYFUNCTION("""COMPUTED_VALUE"""),"matilde.o2034@gi.edu.co")</f>
        <v>matilde.o2034@gi.edu.co</v>
      </c>
      <c r="L411" s="6" t="str">
        <f>IFERROR(__xludf.DUMMYFUNCTION("""COMPUTED_VALUE"""),"TI")</f>
        <v>TI</v>
      </c>
      <c r="M411" s="6" t="str">
        <f>IFERROR(__xludf.DUMMYFUNCTION("""COMPUTED_VALUE"""),"Armenia")</f>
        <v>Armenia</v>
      </c>
      <c r="N411" s="6" t="str">
        <f>IFERROR(__xludf.DUMMYFUNCTION("""COMPUTED_VALUE"""),"F")</f>
        <v>F</v>
      </c>
      <c r="O411" s="6" t="str">
        <f>IFERROR(__xludf.DUMMYFUNCTION("""COMPUTED_VALUE"""),"ACTIVE")</f>
        <v>ACTIVE</v>
      </c>
      <c r="P411" s="6"/>
      <c r="Q411" s="6" t="str">
        <f>IFERROR(__xludf.DUMMYFUNCTION("""COMPUTED_VALUE"""),"Armenia")</f>
        <v>Armenia</v>
      </c>
      <c r="R411" s="12" t="str">
        <f>IFERROR(__xludf.DUMMYFUNCTION("""COMPUTED_VALUE"""),"Gidcfv4t*")</f>
        <v>Gidcfv4t*</v>
      </c>
      <c r="S411" s="6" t="str">
        <f>IFERROR(__xludf.DUMMYFUNCTION("""COMPUTED_VALUE"""),"Ospina Gómez Matilde ")</f>
        <v>Ospina Gómez Matilde </v>
      </c>
      <c r="T411" s="6" t="str">
        <f>IFERROR(__xludf.DUMMYFUNCTION("""COMPUTED_VALUE"""),"AGROPECUARIA BAMBUSA S.A.S.")</f>
        <v>AGROPECUARIA BAMBUSA S.A.S.</v>
      </c>
      <c r="U411" s="12" t="str">
        <f>IFERROR(__xludf.DUMMYFUNCTION("""COMPUTED_VALUE"""),"900771011")</f>
        <v>900771011</v>
      </c>
      <c r="V411" s="6">
        <f>IFERROR(__xludf.DUMMYFUNCTION("""COMPUTED_VALUE"""),3.160168236E9)</f>
        <v>3160168236</v>
      </c>
      <c r="W411" s="6" t="str">
        <f>IFERROR(__xludf.DUMMYFUNCTION("""COMPUTED_VALUE"""),"notificaciones@hsj.com.co")</f>
        <v>notificaciones@hsj.com.co</v>
      </c>
      <c r="X411" s="12" t="str">
        <f>IFERROR(__xludf.DUMMYFUNCTION("""COMPUTED_VALUE"""),"O+")</f>
        <v>O+</v>
      </c>
      <c r="Y411" s="12" t="str">
        <f>IFERROR(__xludf.DUMMYFUNCTION("""COMPUTED_VALUE"""),"5")</f>
        <v>5</v>
      </c>
      <c r="Z411" s="12">
        <f>IFERROR(__xludf.DUMMYFUNCTION("""COMPUTED_VALUE"""),103789.0)</f>
        <v>103789</v>
      </c>
      <c r="AA411" s="6" t="str">
        <f>IFERROR(__xludf.DUMMYFUNCTION("""COMPUTED_VALUE"""),"SURA")</f>
        <v>SURA</v>
      </c>
      <c r="AB411" s="6" t="str">
        <f>IFERROR(__xludf.DUMMYFUNCTION("""COMPUTED_VALUE"""),"ALLIANZ")</f>
        <v>ALLIANZ</v>
      </c>
      <c r="AC411" s="6"/>
      <c r="AD411" s="12" t="str">
        <f>IFERROR(__xludf.DUMMYFUNCTION("""COMPUTED_VALUE"""),"5A")</f>
        <v>5A</v>
      </c>
      <c r="AE411" s="12">
        <f>IFERROR(__xludf.DUMMYFUNCTION("""COMPUTED_VALUE"""),1.345281885E9)</f>
        <v>1345281885</v>
      </c>
      <c r="AF411" s="12" t="str">
        <f>IFERROR(__xludf.DUMMYFUNCTION("""COMPUTED_VALUE"""),"0695888787")</f>
        <v>0695888787</v>
      </c>
      <c r="AG411" s="12" t="str">
        <f>IFERROR(__xludf.DUMMYFUNCTION("""COMPUTED_VALUE"""),"Juliana")</f>
        <v>Juliana</v>
      </c>
      <c r="AH411" s="6"/>
      <c r="AI411" s="6" t="str">
        <f>IFERROR(__xludf.DUMMYFUNCTION("""COMPUTED_VALUE"""),"Gómez Jaramillo")</f>
        <v>Gómez Jaramillo</v>
      </c>
      <c r="AJ411" s="6" t="str">
        <f>IFERROR(__xludf.DUMMYFUNCTION("""COMPUTED_VALUE"""),"juligomezj@yahoo.com")</f>
        <v>juligomezj@yahoo.com</v>
      </c>
      <c r="AK411" s="6" t="str">
        <f>IFERROR(__xludf.DUMMYFUNCTION("""COMPUTED_VALUE"""),"Admon empresas")</f>
        <v>Admon empresas</v>
      </c>
      <c r="AL411" s="6" t="str">
        <f>IFERROR(__xludf.DUMMYFUNCTION("""COMPUTED_VALUE"""),"La fabrica de instantes")</f>
        <v>La fabrica de instantes</v>
      </c>
      <c r="AM411" s="12" t="str">
        <f>IFERROR(__xludf.DUMMYFUNCTION("""COMPUTED_VALUE"""),"41951392")</f>
        <v>41951392</v>
      </c>
      <c r="AN411" s="12" t="str">
        <f>IFERROR(__xludf.DUMMYFUNCTION("""COMPUTED_VALUE"""),"3176652298")</f>
        <v>3176652298</v>
      </c>
      <c r="AO411" s="6" t="str">
        <f>IFERROR(__xludf.DUMMYFUNCTION("""COMPUTED_VALUE"""),"Madre")</f>
        <v>Madre</v>
      </c>
      <c r="AP411" s="6" t="str">
        <f>IFERROR(__xludf.DUMMYFUNCTION("""COMPUTED_VALUE"""),"Estudiante(s): Ospina Gomez")</f>
        <v>Estudiante(s): Ospina Gomez</v>
      </c>
      <c r="AQ411" s="6" t="str">
        <f>IFERROR(__xludf.DUMMYFUNCTION("""COMPUTED_VALUE"""),"103491*Gi")</f>
        <v>103491*Gi</v>
      </c>
      <c r="AR411" s="6" t="str">
        <f>IFERROR(__xludf.DUMMYFUNCTION("""COMPUTED_VALUE"""),"Luciano")</f>
        <v>Luciano</v>
      </c>
      <c r="AS411" s="6"/>
      <c r="AT411" s="6" t="str">
        <f>IFERROR(__xludf.DUMMYFUNCTION("""COMPUTED_VALUE"""),"Ospina Jaramillo")</f>
        <v>Ospina Jaramillo</v>
      </c>
      <c r="AU411" s="6" t="str">
        <f>IFERROR(__xludf.DUMMYFUNCTION("""COMPUTED_VALUE"""),"lucianoospina@hotmail.com")</f>
        <v>lucianoospina@hotmail.com</v>
      </c>
      <c r="AV411" s="6" t="str">
        <f>IFERROR(__xludf.DUMMYFUNCTION("""COMPUTED_VALUE"""),"Admon Agropecuaria")</f>
        <v>Admon Agropecuaria</v>
      </c>
      <c r="AW411" s="6" t="str">
        <f>IFERROR(__xludf.DUMMYFUNCTION("""COMPUTED_VALUE"""),"Agropecuaria Bambusa")</f>
        <v>Agropecuaria Bambusa</v>
      </c>
      <c r="AX411" s="12" t="str">
        <f>IFERROR(__xludf.DUMMYFUNCTION("""COMPUTED_VALUE"""),"75075615")</f>
        <v>75075615</v>
      </c>
      <c r="AY411" s="12" t="str">
        <f>IFERROR(__xludf.DUMMYFUNCTION("""COMPUTED_VALUE"""),"3162422801")</f>
        <v>3162422801</v>
      </c>
      <c r="AZ411" s="6" t="str">
        <f>IFERROR(__xludf.DUMMYFUNCTION("""COMPUTED_VALUE"""),"Padre")</f>
        <v>Padre</v>
      </c>
      <c r="BA411" s="6"/>
      <c r="BB411" s="6"/>
      <c r="BC411" s="6"/>
      <c r="BD411" s="12" t="str">
        <f>IFERROR(__xludf.DUMMYFUNCTION("""COMPUTED_VALUE"""),"osp0008")</f>
        <v>osp0008</v>
      </c>
      <c r="BE411" s="6"/>
      <c r="BF411" s="6"/>
      <c r="BG411" s="6">
        <f>IFERROR(__xludf.DUMMYFUNCTION("""COMPUTED_VALUE"""),2034.0)</f>
        <v>2034</v>
      </c>
      <c r="BH411" s="15">
        <f>IFERROR(__xludf.DUMMYFUNCTION("""COMPUTED_VALUE"""),46210.65320601852)</f>
        <v>46210.65321</v>
      </c>
      <c r="BI411" s="6">
        <f>IFERROR(__xludf.DUMMYFUNCTION("""COMPUTED_VALUE"""),411.0)</f>
        <v>411</v>
      </c>
      <c r="BJ411" s="6"/>
      <c r="BK411" s="6"/>
      <c r="BL411" s="6" t="str">
        <f>IFERROR(__xludf.DUMMYFUNCTION("""COMPUTED_VALUE"""),"GISOSP0008")</f>
        <v>GISOSP0008</v>
      </c>
      <c r="BM411" s="6"/>
      <c r="BN411" s="6"/>
      <c r="BO411" s="6"/>
      <c r="BP411" s="6" t="str">
        <f>IFERROR(__xludf.DUMMYFUNCTION("""COMPUTED_VALUE"""),"XC_45_Voleibol")</f>
        <v>XC_45_Voleibol</v>
      </c>
      <c r="BQ411" s="6"/>
      <c r="BR411" s="6"/>
      <c r="BS411" s="6" t="str">
        <f>IFERROR(__xludf.DUMMYFUNCTION("""COMPUTED_VALUE"""),"XC_45_Voleibol")</f>
        <v>XC_45_Voleibol</v>
      </c>
      <c r="BT411" s="6" t="str">
        <f>IFERROR(__xludf.DUMMYFUNCTION("""COMPUTED_VALUE"""),"XC_45_Voleibol")</f>
        <v>XC_45_Voleibol</v>
      </c>
      <c r="BU411" s="6" t="str">
        <f>IFERROR(__xludf.DUMMYFUNCTION("""COMPUTED_VALUE"""),"SI")</f>
        <v>SI</v>
      </c>
      <c r="BV411" s="6" t="str">
        <f>IFERROR(__xludf.DUMMYFUNCTION("""COMPUTED_VALUE"""),"matilde.o2034")</f>
        <v>matilde.o2034</v>
      </c>
      <c r="BW411" s="6"/>
      <c r="BX411" s="6"/>
      <c r="BY411" s="6"/>
      <c r="BZ411" s="6"/>
    </row>
    <row r="412">
      <c r="A412" s="12">
        <f>IFERROR(__xludf.DUMMYFUNCTION("""COMPUTED_VALUE"""),1.14191543E9)</f>
        <v>1141915430</v>
      </c>
      <c r="B412" s="6">
        <f>IFERROR(__xludf.DUMMYFUNCTION("""COMPUTED_VALUE"""),16.0)</f>
        <v>16</v>
      </c>
      <c r="C412" s="6" t="str">
        <f>IFERROR(__xludf.DUMMYFUNCTION("""COMPUTED_VALUE"""),"Fabiana")</f>
        <v>Fabiana</v>
      </c>
      <c r="D412" s="6"/>
      <c r="E412" s="6" t="str">
        <f>IFERROR(__xludf.DUMMYFUNCTION("""COMPUTED_VALUE"""),"Riquelme Gómez")</f>
        <v>Riquelme Gómez</v>
      </c>
      <c r="F412" s="6" t="str">
        <f>IFERROR(__xludf.DUMMYFUNCTION("""COMPUTED_VALUE"""),"Condominio El Robledal Casa 3 - Calle 14Nte No10 - 05 La Castellana")</f>
        <v>Condominio El Robledal Casa 3 - Calle 14Nte No10 - 05 La Castellana</v>
      </c>
      <c r="G412" s="12" t="str">
        <f>IFERROR(__xludf.DUMMYFUNCTION("""COMPUTED_VALUE"""),"2016")</f>
        <v>2016</v>
      </c>
      <c r="H412" s="6" t="str">
        <f>IFERROR(__xludf.DUMMYFUNCTION("""COMPUTED_VALUE"""),"Marzo")</f>
        <v>Marzo</v>
      </c>
      <c r="I412" s="12" t="str">
        <f>IFERROR(__xludf.DUMMYFUNCTION("""COMPUTED_VALUE"""),"3")</f>
        <v>3</v>
      </c>
      <c r="J412" s="6" t="str">
        <f>IFERROR(__xludf.DUMMYFUNCTION("""COMPUTED_VALUE"""),"Bogotá D.C.")</f>
        <v>Bogotá D.C.</v>
      </c>
      <c r="K412" s="6" t="str">
        <f>IFERROR(__xludf.DUMMYFUNCTION("""COMPUTED_VALUE"""),"fabiana.r2034@gi.edu.co")</f>
        <v>fabiana.r2034@gi.edu.co</v>
      </c>
      <c r="L412" s="6" t="str">
        <f>IFERROR(__xludf.DUMMYFUNCTION("""COMPUTED_VALUE"""),"TI")</f>
        <v>TI</v>
      </c>
      <c r="M412" s="6" t="str">
        <f>IFERROR(__xludf.DUMMYFUNCTION("""COMPUTED_VALUE"""),"Armenia")</f>
        <v>Armenia</v>
      </c>
      <c r="N412" s="6" t="str">
        <f>IFERROR(__xludf.DUMMYFUNCTION("""COMPUTED_VALUE"""),"F")</f>
        <v>F</v>
      </c>
      <c r="O412" s="6" t="str">
        <f>IFERROR(__xludf.DUMMYFUNCTION("""COMPUTED_VALUE"""),"ACTIVE")</f>
        <v>ACTIVE</v>
      </c>
      <c r="P412" s="6"/>
      <c r="Q412" s="6" t="str">
        <f>IFERROR(__xludf.DUMMYFUNCTION("""COMPUTED_VALUE"""),"Armenia")</f>
        <v>Armenia</v>
      </c>
      <c r="R412" s="12" t="str">
        <f>IFERROR(__xludf.DUMMYFUNCTION("""COMPUTED_VALUE"""),"Gi98dk3*")</f>
        <v>Gi98dk3*</v>
      </c>
      <c r="S412" s="6" t="str">
        <f>IFERROR(__xludf.DUMMYFUNCTION("""COMPUTED_VALUE"""),"Riquelme Gómez Fabiana ")</f>
        <v>Riquelme Gómez Fabiana </v>
      </c>
      <c r="T412" s="6" t="str">
        <f>IFERROR(__xludf.DUMMYFUNCTION("""COMPUTED_VALUE"""),"FERNANDO RIQUELME SOBRÍN")</f>
        <v>FERNANDO RIQUELME SOBRÍN</v>
      </c>
      <c r="U412" s="12" t="str">
        <f>IFERROR(__xludf.DUMMYFUNCTION("""COMPUTED_VALUE"""),"455107")</f>
        <v>455107</v>
      </c>
      <c r="V412" s="6">
        <f>IFERROR(__xludf.DUMMYFUNCTION("""COMPUTED_VALUE"""),3.104728284E9)</f>
        <v>3104728284</v>
      </c>
      <c r="W412" s="6" t="str">
        <f>IFERROR(__xludf.DUMMYFUNCTION("""COMPUTED_VALUE"""),"friquelme@europagastronomie.com")</f>
        <v>friquelme@europagastronomie.com</v>
      </c>
      <c r="X412" s="12" t="str">
        <f>IFERROR(__xludf.DUMMYFUNCTION("""COMPUTED_VALUE"""),"A-")</f>
        <v>A-</v>
      </c>
      <c r="Y412" s="12" t="str">
        <f>IFERROR(__xludf.DUMMYFUNCTION("""COMPUTED_VALUE"""),"5")</f>
        <v>5</v>
      </c>
      <c r="Z412" s="12">
        <f>IFERROR(__xludf.DUMMYFUNCTION("""COMPUTED_VALUE"""),120401.0)</f>
        <v>120401</v>
      </c>
      <c r="AA412" s="6" t="str">
        <f>IFERROR(__xludf.DUMMYFUNCTION("""COMPUTED_VALUE"""),"SURA")</f>
        <v>SURA</v>
      </c>
      <c r="AB412" s="6"/>
      <c r="AC412" s="12" t="str">
        <f>IFERROR(__xludf.DUMMYFUNCTION("""COMPUTED_VALUE"""),"si: Urticaria-Urticaria-Cerdo y embutidos")</f>
        <v>si: Urticaria-Urticaria-Cerdo y embutidos</v>
      </c>
      <c r="AD412" s="12" t="str">
        <f>IFERROR(__xludf.DUMMYFUNCTION("""COMPUTED_VALUE"""),"5A")</f>
        <v>5A</v>
      </c>
      <c r="AE412" s="12" t="str">
        <f>IFERROR(__xludf.DUMMYFUNCTION("""COMPUTED_VALUE"""),"1345282403")</f>
        <v>1345282403</v>
      </c>
      <c r="AF412" s="12" t="str">
        <f>IFERROR(__xludf.DUMMYFUNCTION("""COMPUTED_VALUE"""),"0694484115")</f>
        <v>0694484115</v>
      </c>
      <c r="AG412" s="12" t="str">
        <f>IFERROR(__xludf.DUMMYFUNCTION("""COMPUTED_VALUE"""),"Claudia")</f>
        <v>Claudia</v>
      </c>
      <c r="AH412" s="12" t="str">
        <f>IFERROR(__xludf.DUMMYFUNCTION("""COMPUTED_VALUE"""),"Lorena")</f>
        <v>Lorena</v>
      </c>
      <c r="AI412" s="6" t="str">
        <f>IFERROR(__xludf.DUMMYFUNCTION("""COMPUTED_VALUE"""),"Gómez Moya")</f>
        <v>Gómez Moya</v>
      </c>
      <c r="AJ412" s="6" t="str">
        <f>IFERROR(__xludf.DUMMYFUNCTION("""COMPUTED_VALUE"""),"loregomez50@hotmail.com")</f>
        <v>loregomez50@hotmail.com</v>
      </c>
      <c r="AK412" s="6" t="str">
        <f>IFERROR(__xludf.DUMMYFUNCTION("""COMPUTED_VALUE"""),"Empresaria")</f>
        <v>Empresaria</v>
      </c>
      <c r="AL412" s="6" t="str">
        <f>IFERROR(__xludf.DUMMYFUNCTION("""COMPUTED_VALUE"""),"Kaizen Holdings SAS")</f>
        <v>Kaizen Holdings SAS</v>
      </c>
      <c r="AM412" s="12" t="str">
        <f>IFERROR(__xludf.DUMMYFUNCTION("""COMPUTED_VALUE"""),"38657264")</f>
        <v>38657264</v>
      </c>
      <c r="AN412" s="12" t="str">
        <f>IFERROR(__xludf.DUMMYFUNCTION("""COMPUTED_VALUE"""),"3105045820")</f>
        <v>3105045820</v>
      </c>
      <c r="AO412" s="6" t="str">
        <f>IFERROR(__xludf.DUMMYFUNCTION("""COMPUTED_VALUE"""),"Madre")</f>
        <v>Madre</v>
      </c>
      <c r="AP412" s="6" t="str">
        <f>IFERROR(__xludf.DUMMYFUNCTION("""COMPUTED_VALUE"""),"Estudiante(s): Riquelme Gomez")</f>
        <v>Estudiante(s): Riquelme Gomez</v>
      </c>
      <c r="AQ412" s="6" t="str">
        <f>IFERROR(__xludf.DUMMYFUNCTION("""COMPUTED_VALUE"""),"120350*Gi")</f>
        <v>120350*Gi</v>
      </c>
      <c r="AR412" s="6" t="str">
        <f>IFERROR(__xludf.DUMMYFUNCTION("""COMPUTED_VALUE"""),"Fernando")</f>
        <v>Fernando</v>
      </c>
      <c r="AS412" s="6"/>
      <c r="AT412" s="6" t="str">
        <f>IFERROR(__xludf.DUMMYFUNCTION("""COMPUTED_VALUE"""),"Riquelme Sobrín")</f>
        <v>Riquelme Sobrín</v>
      </c>
      <c r="AU412" s="6" t="str">
        <f>IFERROR(__xludf.DUMMYFUNCTION("""COMPUTED_VALUE"""),"friquelme@europagastronomie.com")</f>
        <v>friquelme@europagastronomie.com</v>
      </c>
      <c r="AV412" s="6" t="str">
        <f>IFERROR(__xludf.DUMMYFUNCTION("""COMPUTED_VALUE"""),"Empresario")</f>
        <v>Empresario</v>
      </c>
      <c r="AW412" s="6"/>
      <c r="AX412" s="12" t="str">
        <f>IFERROR(__xludf.DUMMYFUNCTION("""COMPUTED_VALUE"""),"455107")</f>
        <v>455107</v>
      </c>
      <c r="AY412" s="12">
        <f>IFERROR(__xludf.DUMMYFUNCTION("""COMPUTED_VALUE"""),3.104728284E9)</f>
        <v>3104728284</v>
      </c>
      <c r="AZ412" s="6" t="str">
        <f>IFERROR(__xludf.DUMMYFUNCTION("""COMPUTED_VALUE"""),"Padre")</f>
        <v>Padre</v>
      </c>
      <c r="BA412" s="6"/>
      <c r="BB412" s="6"/>
      <c r="BC412" s="6"/>
      <c r="BD412" s="12" t="str">
        <f>IFERROR(__xludf.DUMMYFUNCTION("""COMPUTED_VALUE"""),"riq0001")</f>
        <v>riq0001</v>
      </c>
      <c r="BE412" s="6"/>
      <c r="BF412" s="6"/>
      <c r="BG412" s="6">
        <f>IFERROR(__xludf.DUMMYFUNCTION("""COMPUTED_VALUE"""),2034.0)</f>
        <v>2034</v>
      </c>
      <c r="BH412" s="15">
        <f>IFERROR(__xludf.DUMMYFUNCTION("""COMPUTED_VALUE"""),46211.553298611114)</f>
        <v>46211.5533</v>
      </c>
      <c r="BI412" s="6">
        <f>IFERROR(__xludf.DUMMYFUNCTION("""COMPUTED_VALUE"""),412.0)</f>
        <v>412</v>
      </c>
      <c r="BJ412" s="6"/>
      <c r="BK412" s="6"/>
      <c r="BL412" s="6" t="str">
        <f>IFERROR(__xludf.DUMMYFUNCTION("""COMPUTED_VALUE"""),"GISRIQ0001")</f>
        <v>GISRIQ0001</v>
      </c>
      <c r="BM412" s="6"/>
      <c r="BN412" s="6"/>
      <c r="BO412" s="6"/>
      <c r="BP412" s="6"/>
      <c r="BQ412" s="6"/>
      <c r="BR412" s="6"/>
      <c r="BS412" s="6"/>
      <c r="BT412" s="6"/>
      <c r="BU412" s="6" t="str">
        <f>IFERROR(__xludf.DUMMYFUNCTION("""COMPUTED_VALUE"""),"NO")</f>
        <v>NO</v>
      </c>
      <c r="BV412" s="6" t="str">
        <f>IFERROR(__xludf.DUMMYFUNCTION("""COMPUTED_VALUE"""),"fabiana.r2034")</f>
        <v>fabiana.r2034</v>
      </c>
      <c r="BW412" s="6"/>
      <c r="BX412" s="6"/>
      <c r="BY412" s="6"/>
      <c r="BZ412" s="6"/>
    </row>
    <row r="413">
      <c r="A413" s="12">
        <f>IFERROR(__xludf.DUMMYFUNCTION("""COMPUTED_VALUE"""),1.092859718E9)</f>
        <v>1092859718</v>
      </c>
      <c r="B413" s="6">
        <f>IFERROR(__xludf.DUMMYFUNCTION("""COMPUTED_VALUE"""),17.0)</f>
        <v>17</v>
      </c>
      <c r="C413" s="6" t="str">
        <f>IFERROR(__xludf.DUMMYFUNCTION("""COMPUTED_VALUE"""),"Samuel")</f>
        <v>Samuel</v>
      </c>
      <c r="D413" s="6"/>
      <c r="E413" s="6" t="str">
        <f>IFERROR(__xludf.DUMMYFUNCTION("""COMPUTED_VALUE"""),"Rodríguez Santacruz")</f>
        <v>Rodríguez Santacruz</v>
      </c>
      <c r="F413" s="6" t="str">
        <f>IFERROR(__xludf.DUMMYFUNCTION("""COMPUTED_VALUE"""),"Condominio Santa María del Pinar Casa 33 - Km 5 Via al Aeropuerto")</f>
        <v>Condominio Santa María del Pinar Casa 33 - Km 5 Via al Aeropuerto</v>
      </c>
      <c r="G413" s="12" t="str">
        <f>IFERROR(__xludf.DUMMYFUNCTION("""COMPUTED_VALUE"""),"2016")</f>
        <v>2016</v>
      </c>
      <c r="H413" s="6" t="str">
        <f>IFERROR(__xludf.DUMMYFUNCTION("""COMPUTED_VALUE"""),"Enero")</f>
        <v>Enero</v>
      </c>
      <c r="I413" s="12" t="str">
        <f>IFERROR(__xludf.DUMMYFUNCTION("""COMPUTED_VALUE"""),"12")</f>
        <v>12</v>
      </c>
      <c r="J413" s="6" t="str">
        <f>IFERROR(__xludf.DUMMYFUNCTION("""COMPUTED_VALUE"""),"Armenia")</f>
        <v>Armenia</v>
      </c>
      <c r="K413" s="6" t="str">
        <f>IFERROR(__xludf.DUMMYFUNCTION("""COMPUTED_VALUE"""),"samuel.r2034@gi.edu.co")</f>
        <v>samuel.r2034@gi.edu.co</v>
      </c>
      <c r="L413" s="6" t="str">
        <f>IFERROR(__xludf.DUMMYFUNCTION("""COMPUTED_VALUE"""),"TI")</f>
        <v>TI</v>
      </c>
      <c r="M413" s="6" t="str">
        <f>IFERROR(__xludf.DUMMYFUNCTION("""COMPUTED_VALUE"""),"Armenia")</f>
        <v>Armenia</v>
      </c>
      <c r="N413" s="6" t="str">
        <f>IFERROR(__xludf.DUMMYFUNCTION("""COMPUTED_VALUE"""),"M")</f>
        <v>M</v>
      </c>
      <c r="O413" s="6" t="str">
        <f>IFERROR(__xludf.DUMMYFUNCTION("""COMPUTED_VALUE"""),"ACTIVE")</f>
        <v>ACTIVE</v>
      </c>
      <c r="P413" s="6"/>
      <c r="Q413" s="6" t="str">
        <f>IFERROR(__xludf.DUMMYFUNCTION("""COMPUTED_VALUE"""),"Armenia")</f>
        <v>Armenia</v>
      </c>
      <c r="R413" s="12" t="str">
        <f>IFERROR(__xludf.DUMMYFUNCTION("""COMPUTED_VALUE"""),"Giwesd34*")</f>
        <v>Giwesd34*</v>
      </c>
      <c r="S413" s="6" t="str">
        <f>IFERROR(__xludf.DUMMYFUNCTION("""COMPUTED_VALUE"""),"Rodríguez Santacruz Samuel ")</f>
        <v>Rodríguez Santacruz Samuel </v>
      </c>
      <c r="T413" s="6" t="str">
        <f>IFERROR(__xludf.DUMMYFUNCTION("""COMPUTED_VALUE"""),"ALEXANDER RODRÍGUEZ URIBE")</f>
        <v>ALEXANDER RODRÍGUEZ URIBE</v>
      </c>
      <c r="U413" s="12" t="str">
        <f>IFERROR(__xludf.DUMMYFUNCTION("""COMPUTED_VALUE"""),"9738186")</f>
        <v>9738186</v>
      </c>
      <c r="V413" s="6">
        <f>IFERROR(__xludf.DUMMYFUNCTION("""COMPUTED_VALUE"""),3.113344528E9)</f>
        <v>3113344528</v>
      </c>
      <c r="W413" s="6" t="str">
        <f>IFERROR(__xludf.DUMMYFUNCTION("""COMPUTED_VALUE"""),"arodriguez@mipollo.com.co")</f>
        <v>arodriguez@mipollo.com.co</v>
      </c>
      <c r="X413" s="12" t="str">
        <f>IFERROR(__xludf.DUMMYFUNCTION("""COMPUTED_VALUE"""),"A+")</f>
        <v>A+</v>
      </c>
      <c r="Y413" s="12" t="str">
        <f>IFERROR(__xludf.DUMMYFUNCTION("""COMPUTED_VALUE"""),"5")</f>
        <v>5</v>
      </c>
      <c r="Z413" s="12">
        <f>IFERROR(__xludf.DUMMYFUNCTION("""COMPUTED_VALUE"""),103826.0)</f>
        <v>103826</v>
      </c>
      <c r="AA413" s="6" t="str">
        <f>IFERROR(__xludf.DUMMYFUNCTION("""COMPUTED_VALUE"""),"SURA")</f>
        <v>SURA</v>
      </c>
      <c r="AB413" s="6"/>
      <c r="AC413" s="12" t="str">
        <f>IFERROR(__xludf.DUMMYFUNCTION("""COMPUTED_VALUE"""),"Renitis")</f>
        <v>Renitis</v>
      </c>
      <c r="AD413" s="12" t="str">
        <f>IFERROR(__xludf.DUMMYFUNCTION("""COMPUTED_VALUE"""),"5A")</f>
        <v>5A</v>
      </c>
      <c r="AE413" s="12">
        <f>IFERROR(__xludf.DUMMYFUNCTION("""COMPUTED_VALUE"""),1.345281929E9)</f>
        <v>1345281929</v>
      </c>
      <c r="AF413" s="12" t="str">
        <f>IFERROR(__xludf.DUMMYFUNCTION("""COMPUTED_VALUE"""),"0706003955")</f>
        <v>0706003955</v>
      </c>
      <c r="AG413" s="12" t="str">
        <f>IFERROR(__xludf.DUMMYFUNCTION("""COMPUTED_VALUE"""),"Diana")</f>
        <v>Diana</v>
      </c>
      <c r="AH413" s="12" t="str">
        <f>IFERROR(__xludf.DUMMYFUNCTION("""COMPUTED_VALUE"""),"Patricia")</f>
        <v>Patricia</v>
      </c>
      <c r="AI413" s="6" t="str">
        <f>IFERROR(__xludf.DUMMYFUNCTION("""COMPUTED_VALUE"""),"Santacruz Saraza")</f>
        <v>Santacruz Saraza</v>
      </c>
      <c r="AJ413" s="6" t="str">
        <f>IFERROR(__xludf.DUMMYFUNCTION("""COMPUTED_VALUE"""),"santacruz1201@hotmail.com")</f>
        <v>santacruz1201@hotmail.com</v>
      </c>
      <c r="AK413" s="6" t="str">
        <f>IFERROR(__xludf.DUMMYFUNCTION("""COMPUTED_VALUE"""),"Contadora Pública")</f>
        <v>Contadora Pública</v>
      </c>
      <c r="AL413" s="6"/>
      <c r="AM413" s="12" t="str">
        <f>IFERROR(__xludf.DUMMYFUNCTION("""COMPUTED_VALUE"""),"41951449")</f>
        <v>41951449</v>
      </c>
      <c r="AN413" s="12" t="str">
        <f>IFERROR(__xludf.DUMMYFUNCTION("""COMPUTED_VALUE"""),"3207204049")</f>
        <v>3207204049</v>
      </c>
      <c r="AO413" s="6" t="str">
        <f>IFERROR(__xludf.DUMMYFUNCTION("""COMPUTED_VALUE"""),"Madre")</f>
        <v>Madre</v>
      </c>
      <c r="AP413" s="6" t="str">
        <f>IFERROR(__xludf.DUMMYFUNCTION("""COMPUTED_VALUE"""),"Estudiante(s): Rodríguez Santacruz")</f>
        <v>Estudiante(s): Rodríguez Santacruz</v>
      </c>
      <c r="AQ413" s="6" t="str">
        <f>IFERROR(__xludf.DUMMYFUNCTION("""COMPUTED_VALUE"""),"103826*Gi")</f>
        <v>103826*Gi</v>
      </c>
      <c r="AR413" s="6" t="str">
        <f>IFERROR(__xludf.DUMMYFUNCTION("""COMPUTED_VALUE"""),"Alexander")</f>
        <v>Alexander</v>
      </c>
      <c r="AS413" s="6"/>
      <c r="AT413" s="6" t="str">
        <f>IFERROR(__xludf.DUMMYFUNCTION("""COMPUTED_VALUE"""),"Rodríguez Uribe")</f>
        <v>Rodríguez Uribe</v>
      </c>
      <c r="AU413" s="6" t="str">
        <f>IFERROR(__xludf.DUMMYFUNCTION("""COMPUTED_VALUE"""),"arodriguez@mipollo.com.co")</f>
        <v>arodriguez@mipollo.com.co</v>
      </c>
      <c r="AV413" s="6" t="str">
        <f>IFERROR(__xludf.DUMMYFUNCTION("""COMPUTED_VALUE"""),"ADMINISTRADOR")</f>
        <v>ADMINISTRADOR</v>
      </c>
      <c r="AW413" s="6" t="str">
        <f>IFERROR(__xludf.DUMMYFUNCTION("""COMPUTED_VALUE"""),"MI POLLO SAS")</f>
        <v>MI POLLO SAS</v>
      </c>
      <c r="AX413" s="12" t="str">
        <f>IFERROR(__xludf.DUMMYFUNCTION("""COMPUTED_VALUE"""),"9738186")</f>
        <v>9738186</v>
      </c>
      <c r="AY413" s="12" t="str">
        <f>IFERROR(__xludf.DUMMYFUNCTION("""COMPUTED_VALUE"""),"3113344528")</f>
        <v>3113344528</v>
      </c>
      <c r="AZ413" s="6" t="str">
        <f>IFERROR(__xludf.DUMMYFUNCTION("""COMPUTED_VALUE"""),"Padre")</f>
        <v>Padre</v>
      </c>
      <c r="BA413" s="6" t="str">
        <f>IFERROR(__xludf.DUMMYFUNCTION("""COMPUTED_VALUE"""),"MELVA INES URIBE LOPEZ")</f>
        <v>MELVA INES URIBE LOPEZ</v>
      </c>
      <c r="BB413" s="6">
        <f>IFERROR(__xludf.DUMMYFUNCTION("""COMPUTED_VALUE"""),3.113344526E9)</f>
        <v>3113344526</v>
      </c>
      <c r="BC413" s="6" t="str">
        <f>IFERROR(__xludf.DUMMYFUNCTION("""COMPUTED_VALUE"""),"Abuelo(a)")</f>
        <v>Abuelo(a)</v>
      </c>
      <c r="BD413" s="12" t="str">
        <f>IFERROR(__xludf.DUMMYFUNCTION("""COMPUTED_VALUE"""),"rod0012")</f>
        <v>rod0012</v>
      </c>
      <c r="BE413" s="6"/>
      <c r="BF413" s="6"/>
      <c r="BG413" s="6">
        <f>IFERROR(__xludf.DUMMYFUNCTION("""COMPUTED_VALUE"""),2034.0)</f>
        <v>2034</v>
      </c>
      <c r="BH413" s="15">
        <f>IFERROR(__xludf.DUMMYFUNCTION("""COMPUTED_VALUE"""),46210.40181712963)</f>
        <v>46210.40182</v>
      </c>
      <c r="BI413" s="6">
        <f>IFERROR(__xludf.DUMMYFUNCTION("""COMPUTED_VALUE"""),413.0)</f>
        <v>413</v>
      </c>
      <c r="BJ413" s="6"/>
      <c r="BK413" s="6"/>
      <c r="BL413" s="6" t="str">
        <f>IFERROR(__xludf.DUMMYFUNCTION("""COMPUTED_VALUE"""),"GISROD0012")</f>
        <v>GISROD0012</v>
      </c>
      <c r="BM413" s="6"/>
      <c r="BN413" s="6"/>
      <c r="BO413" s="6"/>
      <c r="BP413" s="6" t="str">
        <f>IFERROR(__xludf.DUMMYFUNCTION("""COMPUTED_VALUE"""),"XC_5_Futbol_M")</f>
        <v>XC_5_Futbol_M</v>
      </c>
      <c r="BQ413" s="6"/>
      <c r="BR413" s="6"/>
      <c r="BS413" s="6" t="str">
        <f>IFERROR(__xludf.DUMMYFUNCTION("""COMPUTED_VALUE"""),"XC_5_Futbol_M")</f>
        <v>XC_5_Futbol_M</v>
      </c>
      <c r="BT413" s="6" t="str">
        <f>IFERROR(__xludf.DUMMYFUNCTION("""COMPUTED_VALUE"""),"XC_5_Futbol_M")</f>
        <v>XC_5_Futbol_M</v>
      </c>
      <c r="BU413" s="6" t="str">
        <f>IFERROR(__xludf.DUMMYFUNCTION("""COMPUTED_VALUE"""),"SI")</f>
        <v>SI</v>
      </c>
      <c r="BV413" s="6" t="str">
        <f>IFERROR(__xludf.DUMMYFUNCTION("""COMPUTED_VALUE"""),"samuel.r2034")</f>
        <v>samuel.r2034</v>
      </c>
      <c r="BW413" s="6"/>
      <c r="BX413" s="6"/>
      <c r="BY413" s="6"/>
      <c r="BZ413" s="6"/>
    </row>
    <row r="414">
      <c r="A414" s="12">
        <f>IFERROR(__xludf.DUMMYFUNCTION("""COMPUTED_VALUE"""),1.035007144E9)</f>
        <v>1035007144</v>
      </c>
      <c r="B414" s="6">
        <f>IFERROR(__xludf.DUMMYFUNCTION("""COMPUTED_VALUE"""),18.0)</f>
        <v>18</v>
      </c>
      <c r="C414" s="6" t="str">
        <f>IFERROR(__xludf.DUMMYFUNCTION("""COMPUTED_VALUE"""),"Martina")</f>
        <v>Martina</v>
      </c>
      <c r="D414" s="6"/>
      <c r="E414" s="6" t="str">
        <f>IFERROR(__xludf.DUMMYFUNCTION("""COMPUTED_VALUE"""),"Sierra Bedoya")</f>
        <v>Sierra Bedoya</v>
      </c>
      <c r="F414" s="6" t="str">
        <f>IFERROR(__xludf.DUMMYFUNCTION("""COMPUTED_VALUE"""),"Condominio Cedro Negro Casa 15 - Km 2 Via Circasia Vereda El Congal")</f>
        <v>Condominio Cedro Negro Casa 15 - Km 2 Via Circasia Vereda El Congal</v>
      </c>
      <c r="G414" s="12" t="str">
        <f>IFERROR(__xludf.DUMMYFUNCTION("""COMPUTED_VALUE"""),"2015")</f>
        <v>2015</v>
      </c>
      <c r="H414" s="6" t="str">
        <f>IFERROR(__xludf.DUMMYFUNCTION("""COMPUTED_VALUE"""),"Diciembre")</f>
        <v>Diciembre</v>
      </c>
      <c r="I414" s="12" t="str">
        <f>IFERROR(__xludf.DUMMYFUNCTION("""COMPUTED_VALUE"""),"2")</f>
        <v>2</v>
      </c>
      <c r="J414" s="6" t="str">
        <f>IFERROR(__xludf.DUMMYFUNCTION("""COMPUTED_VALUE"""),"Medellín")</f>
        <v>Medellín</v>
      </c>
      <c r="K414" s="6" t="str">
        <f>IFERROR(__xludf.DUMMYFUNCTION("""COMPUTED_VALUE"""),"martina.s2034@gi.edu.co")</f>
        <v>martina.s2034@gi.edu.co</v>
      </c>
      <c r="L414" s="6" t="str">
        <f>IFERROR(__xludf.DUMMYFUNCTION("""COMPUTED_VALUE"""),"TI")</f>
        <v>TI</v>
      </c>
      <c r="M414" s="6" t="str">
        <f>IFERROR(__xludf.DUMMYFUNCTION("""COMPUTED_VALUE"""),"Circacia")</f>
        <v>Circacia</v>
      </c>
      <c r="N414" s="6" t="str">
        <f>IFERROR(__xludf.DUMMYFUNCTION("""COMPUTED_VALUE"""),"F")</f>
        <v>F</v>
      </c>
      <c r="O414" s="6" t="str">
        <f>IFERROR(__xludf.DUMMYFUNCTION("""COMPUTED_VALUE"""),"ACTIVE")</f>
        <v>ACTIVE</v>
      </c>
      <c r="P414" s="6"/>
      <c r="Q414" s="6" t="str">
        <f>IFERROR(__xludf.DUMMYFUNCTION("""COMPUTED_VALUE"""),"Circasia")</f>
        <v>Circasia</v>
      </c>
      <c r="R414" s="12" t="str">
        <f>IFERROR(__xludf.DUMMYFUNCTION("""COMPUTED_VALUE"""),"Gierdfty*")</f>
        <v>Gierdfty*</v>
      </c>
      <c r="S414" s="6" t="str">
        <f>IFERROR(__xludf.DUMMYFUNCTION("""COMPUTED_VALUE"""),"Sierra Bedoya Martina ")</f>
        <v>Sierra Bedoya Martina </v>
      </c>
      <c r="T414" s="6" t="str">
        <f>IFERROR(__xludf.DUMMYFUNCTION("""COMPUTED_VALUE"""),"JUAN ESTEBAN SIERRA OSORIO")</f>
        <v>JUAN ESTEBAN SIERRA OSORIO</v>
      </c>
      <c r="U414" s="12" t="str">
        <f>IFERROR(__xludf.DUMMYFUNCTION("""COMPUTED_VALUE"""),"1040031673")</f>
        <v>1040031673</v>
      </c>
      <c r="V414" s="6">
        <f>IFERROR(__xludf.DUMMYFUNCTION("""COMPUTED_VALUE"""),3.21710516E9)</f>
        <v>3217105160</v>
      </c>
      <c r="W414" s="6" t="str">
        <f>IFERROR(__xludf.DUMMYFUNCTION("""COMPUTED_VALUE"""),"juanestebansierraosorio@gmail.com")</f>
        <v>juanestebansierraosorio@gmail.com</v>
      </c>
      <c r="X414" s="12" t="str">
        <f>IFERROR(__xludf.DUMMYFUNCTION("""COMPUTED_VALUE"""),"A+")</f>
        <v>A+</v>
      </c>
      <c r="Y414" s="12" t="str">
        <f>IFERROR(__xludf.DUMMYFUNCTION("""COMPUTED_VALUE"""),"5")</f>
        <v>5</v>
      </c>
      <c r="Z414" s="12">
        <f>IFERROR(__xludf.DUMMYFUNCTION("""COMPUTED_VALUE"""),103825.0)</f>
        <v>103825</v>
      </c>
      <c r="AA414" s="6" t="str">
        <f>IFERROR(__xludf.DUMMYFUNCTION("""COMPUTED_VALUE"""),"SURA")</f>
        <v>SURA</v>
      </c>
      <c r="AB414" s="6" t="str">
        <f>IFERROR(__xludf.DUMMYFUNCTION("""COMPUTED_VALUE"""),"prepagada suramericana")</f>
        <v>prepagada suramericana</v>
      </c>
      <c r="AC414" s="12" t="str">
        <f>IFERROR(__xludf.DUMMYFUNCTION("""COMPUTED_VALUE"""),"a la carne de cerdo y los embutidos")</f>
        <v>a la carne de cerdo y los embutidos</v>
      </c>
      <c r="AD414" s="12" t="str">
        <f>IFERROR(__xludf.DUMMYFUNCTION("""COMPUTED_VALUE"""),"5A")</f>
        <v>5A</v>
      </c>
      <c r="AE414" s="12">
        <f>IFERROR(__xludf.DUMMYFUNCTION("""COMPUTED_VALUE"""),1.34528192E9)</f>
        <v>1345281920</v>
      </c>
      <c r="AF414" s="12" t="str">
        <f>IFERROR(__xludf.DUMMYFUNCTION("""COMPUTED_VALUE"""),"0741201875")</f>
        <v>0741201875</v>
      </c>
      <c r="AG414" s="12" t="str">
        <f>IFERROR(__xludf.DUMMYFUNCTION("""COMPUTED_VALUE"""),"Linda")</f>
        <v>Linda</v>
      </c>
      <c r="AH414" s="12" t="str">
        <f>IFERROR(__xludf.DUMMYFUNCTION("""COMPUTED_VALUE"""),"Julieta")</f>
        <v>Julieta</v>
      </c>
      <c r="AI414" s="6" t="str">
        <f>IFERROR(__xludf.DUMMYFUNCTION("""COMPUTED_VALUE"""),"Bedoya Cardona")</f>
        <v>Bedoya Cardona</v>
      </c>
      <c r="AJ414" s="6" t="str">
        <f>IFERROR(__xludf.DUMMYFUNCTION("""COMPUTED_VALUE"""),"julietabedoya0286@gmail.com")</f>
        <v>julietabedoya0286@gmail.com</v>
      </c>
      <c r="AK414" s="6" t="str">
        <f>IFERROR(__xludf.DUMMYFUNCTION("""COMPUTED_VALUE"""),"ADMINISTRADORA")</f>
        <v>ADMINISTRADORA</v>
      </c>
      <c r="AL414" s="6" t="str">
        <f>IFERROR(__xludf.DUMMYFUNCTION("""COMPUTED_VALUE"""),"sierra verde colombia sas")</f>
        <v>sierra verde colombia sas</v>
      </c>
      <c r="AM414" s="12" t="str">
        <f>IFERROR(__xludf.DUMMYFUNCTION("""COMPUTED_VALUE"""),"1037573605")</f>
        <v>1037573605</v>
      </c>
      <c r="AN414" s="12" t="str">
        <f>IFERROR(__xludf.DUMMYFUNCTION("""COMPUTED_VALUE"""),"3104581034")</f>
        <v>3104581034</v>
      </c>
      <c r="AO414" s="6" t="str">
        <f>IFERROR(__xludf.DUMMYFUNCTION("""COMPUTED_VALUE"""),"Madre")</f>
        <v>Madre</v>
      </c>
      <c r="AP414" s="6" t="str">
        <f>IFERROR(__xludf.DUMMYFUNCTION("""COMPUTED_VALUE"""),"Estudiante(s): Martina Sierra Bedoya &amp; Matteo Cortés Bedoya")</f>
        <v>Estudiante(s): Martina Sierra Bedoya &amp; Matteo Cortés Bedoya</v>
      </c>
      <c r="AQ414" s="6" t="str">
        <f>IFERROR(__xludf.DUMMYFUNCTION("""COMPUTED_VALUE"""),"103498*Gi")</f>
        <v>103498*Gi</v>
      </c>
      <c r="AR414" s="6" t="str">
        <f>IFERROR(__xludf.DUMMYFUNCTION("""COMPUTED_VALUE"""),"Juan")</f>
        <v>Juan</v>
      </c>
      <c r="AS414" s="6" t="str">
        <f>IFERROR(__xludf.DUMMYFUNCTION("""COMPUTED_VALUE"""),"Esteban")</f>
        <v>Esteban</v>
      </c>
      <c r="AT414" s="6" t="str">
        <f>IFERROR(__xludf.DUMMYFUNCTION("""COMPUTED_VALUE"""),"Sierra Osorio")</f>
        <v>Sierra Osorio</v>
      </c>
      <c r="AU414" s="6" t="str">
        <f>IFERROR(__xludf.DUMMYFUNCTION("""COMPUTED_VALUE"""),"juanestebansierraosorio@gmail.com")</f>
        <v>juanestebansierraosorio@gmail.com</v>
      </c>
      <c r="AV414" s="6" t="str">
        <f>IFERROR(__xludf.DUMMYFUNCTION("""COMPUTED_VALUE"""),"fisioterapeuta")</f>
        <v>fisioterapeuta</v>
      </c>
      <c r="AW414" s="6" t="str">
        <f>IFERROR(__xludf.DUMMYFUNCTION("""COMPUTED_VALUE"""),"sierra verde colombia sas")</f>
        <v>sierra verde colombia sas</v>
      </c>
      <c r="AX414" s="12" t="str">
        <f>IFERROR(__xludf.DUMMYFUNCTION("""COMPUTED_VALUE"""),"1040031673")</f>
        <v>1040031673</v>
      </c>
      <c r="AY414" s="12" t="str">
        <f>IFERROR(__xludf.DUMMYFUNCTION("""COMPUTED_VALUE"""),"3217105160")</f>
        <v>3217105160</v>
      </c>
      <c r="AZ414" s="6" t="str">
        <f>IFERROR(__xludf.DUMMYFUNCTION("""COMPUTED_VALUE"""),"Padre")</f>
        <v>Padre</v>
      </c>
      <c r="BA414" s="6"/>
      <c r="BB414" s="6"/>
      <c r="BC414" s="6"/>
      <c r="BD414" s="12" t="str">
        <f>IFERROR(__xludf.DUMMYFUNCTION("""COMPUTED_VALUE"""),"cor0007")</f>
        <v>cor0007</v>
      </c>
      <c r="BE414" s="6"/>
      <c r="BF414" s="12" t="str">
        <f>IFERROR(__xludf.DUMMYFUNCTION("""COMPUTED_VALUE"""),"PÓLIZA")</f>
        <v>PÓLIZA</v>
      </c>
      <c r="BG414" s="6">
        <f>IFERROR(__xludf.DUMMYFUNCTION("""COMPUTED_VALUE"""),2034.0)</f>
        <v>2034</v>
      </c>
      <c r="BH414" s="15">
        <f>IFERROR(__xludf.DUMMYFUNCTION("""COMPUTED_VALUE"""),46238.730405092596)</f>
        <v>46238.73041</v>
      </c>
      <c r="BI414" s="6">
        <f>IFERROR(__xludf.DUMMYFUNCTION("""COMPUTED_VALUE"""),414.0)</f>
        <v>414</v>
      </c>
      <c r="BJ414" s="6"/>
      <c r="BK414" s="6"/>
      <c r="BL414" s="6" t="str">
        <f>IFERROR(__xludf.DUMMYFUNCTION("""COMPUTED_VALUE"""),"GISCOR0007")</f>
        <v>GISCOR0007</v>
      </c>
      <c r="BM414" s="6"/>
      <c r="BN414" s="6"/>
      <c r="BO414" s="6"/>
      <c r="BP414" s="6"/>
      <c r="BQ414" s="6"/>
      <c r="BR414" s="6"/>
      <c r="BS414" s="6"/>
      <c r="BT414" s="6"/>
      <c r="BU414" s="6" t="str">
        <f>IFERROR(__xludf.DUMMYFUNCTION("""COMPUTED_VALUE"""),"NO")</f>
        <v>NO</v>
      </c>
      <c r="BV414" s="6" t="str">
        <f>IFERROR(__xludf.DUMMYFUNCTION("""COMPUTED_VALUE"""),"martina.s2034")</f>
        <v>martina.s2034</v>
      </c>
      <c r="BW414" s="6"/>
      <c r="BX414" s="6"/>
      <c r="BY414" s="6"/>
      <c r="BZ414" s="6"/>
    </row>
    <row r="415">
      <c r="A415" s="12">
        <f>IFERROR(__xludf.DUMMYFUNCTION("""COMPUTED_VALUE"""),1.092860524E9)</f>
        <v>1092860524</v>
      </c>
      <c r="B415" s="6">
        <f>IFERROR(__xludf.DUMMYFUNCTION("""COMPUTED_VALUE"""),19.0)</f>
        <v>19</v>
      </c>
      <c r="C415" s="6" t="str">
        <f>IFERROR(__xludf.DUMMYFUNCTION("""COMPUTED_VALUE"""),"Anacaona")</f>
        <v>Anacaona</v>
      </c>
      <c r="D415" s="6"/>
      <c r="E415" s="6" t="str">
        <f>IFERROR(__xludf.DUMMYFUNCTION("""COMPUTED_VALUE"""),"Suárez Suárez")</f>
        <v>Suárez Suárez</v>
      </c>
      <c r="F415" s="6" t="str">
        <f>IFERROR(__xludf.DUMMYFUNCTION("""COMPUTED_VALUE"""),"Condominio La Aldea - Km 8 Via Pereira")</f>
        <v>Condominio La Aldea - Km 8 Via Pereira</v>
      </c>
      <c r="G415" s="12" t="str">
        <f>IFERROR(__xludf.DUMMYFUNCTION("""COMPUTED_VALUE"""),"2016")</f>
        <v>2016</v>
      </c>
      <c r="H415" s="6" t="str">
        <f>IFERROR(__xludf.DUMMYFUNCTION("""COMPUTED_VALUE"""),"Octubre")</f>
        <v>Octubre</v>
      </c>
      <c r="I415" s="12" t="str">
        <f>IFERROR(__xludf.DUMMYFUNCTION("""COMPUTED_VALUE"""),"6")</f>
        <v>6</v>
      </c>
      <c r="J415" s="6" t="str">
        <f>IFERROR(__xludf.DUMMYFUNCTION("""COMPUTED_VALUE"""),"Armenia")</f>
        <v>Armenia</v>
      </c>
      <c r="K415" s="6" t="str">
        <f>IFERROR(__xludf.DUMMYFUNCTION("""COMPUTED_VALUE"""),"anacaona.s2034@gi.edu.co")</f>
        <v>anacaona.s2034@gi.edu.co</v>
      </c>
      <c r="L415" s="6" t="str">
        <f>IFERROR(__xludf.DUMMYFUNCTION("""COMPUTED_VALUE"""),"TI")</f>
        <v>TI</v>
      </c>
      <c r="M415" s="6" t="str">
        <f>IFERROR(__xludf.DUMMYFUNCTION("""COMPUTED_VALUE"""),"Armenia")</f>
        <v>Armenia</v>
      </c>
      <c r="N415" s="6" t="str">
        <f>IFERROR(__xludf.DUMMYFUNCTION("""COMPUTED_VALUE"""),"F")</f>
        <v>F</v>
      </c>
      <c r="O415" s="6" t="str">
        <f>IFERROR(__xludf.DUMMYFUNCTION("""COMPUTED_VALUE"""),"INACTIVE")</f>
        <v>INACTIVE</v>
      </c>
      <c r="P415" s="6"/>
      <c r="Q415" s="6" t="str">
        <f>IFERROR(__xludf.DUMMYFUNCTION("""COMPUTED_VALUE"""),"Armenia")</f>
        <v>Armenia</v>
      </c>
      <c r="R415" s="12" t="str">
        <f>IFERROR(__xludf.DUMMYFUNCTION("""COMPUTED_VALUE"""),"Gief27gw4*")</f>
        <v>Gief27gw4*</v>
      </c>
      <c r="S415" s="6" t="str">
        <f>IFERROR(__xludf.DUMMYFUNCTION("""COMPUTED_VALUE"""),"Suárez Suárez Anacaona ")</f>
        <v>Suárez Suárez Anacaona </v>
      </c>
      <c r="T415" s="6" t="str">
        <f>IFERROR(__xludf.DUMMYFUNCTION("""COMPUTED_VALUE"""),"CHRISTIAM SUAREZ GIRALDO")</f>
        <v>CHRISTIAM SUAREZ GIRALDO</v>
      </c>
      <c r="U415" s="12" t="str">
        <f>IFERROR(__xludf.DUMMYFUNCTION("""COMPUTED_VALUE"""),"14650142")</f>
        <v>14650142</v>
      </c>
      <c r="V415" s="6">
        <f>IFERROR(__xludf.DUMMYFUNCTION("""COMPUTED_VALUE"""),3.155513332E9)</f>
        <v>3155513332</v>
      </c>
      <c r="W415" s="6" t="str">
        <f>IFERROR(__xludf.DUMMYFUNCTION("""COMPUTED_VALUE"""),"christiamsuarez@yahoo.es")</f>
        <v>christiamsuarez@yahoo.es</v>
      </c>
      <c r="X415" s="12" t="str">
        <f>IFERROR(__xludf.DUMMYFUNCTION("""COMPUTED_VALUE"""),"A+")</f>
        <v>A+</v>
      </c>
      <c r="Y415" s="12" t="str">
        <f>IFERROR(__xludf.DUMMYFUNCTION("""COMPUTED_VALUE"""),"5")</f>
        <v>5</v>
      </c>
      <c r="Z415" s="12">
        <f>IFERROR(__xludf.DUMMYFUNCTION("""COMPUTED_VALUE"""),120035.0)</f>
        <v>120035</v>
      </c>
      <c r="AA415" s="6" t="str">
        <f>IFERROR(__xludf.DUMMYFUNCTION("""COMPUTED_VALUE"""),"SURA")</f>
        <v>SURA</v>
      </c>
      <c r="AB415" s="6"/>
      <c r="AC415" s="6"/>
      <c r="AD415" s="12" t="str">
        <f>IFERROR(__xludf.DUMMYFUNCTION("""COMPUTED_VALUE"""),"5A")</f>
        <v>5A</v>
      </c>
      <c r="AE415" s="12">
        <f>IFERROR(__xludf.DUMMYFUNCTION("""COMPUTED_VALUE"""),1.345282046E9)</f>
        <v>1345282046</v>
      </c>
      <c r="AF415" s="12" t="str">
        <f>IFERROR(__xludf.DUMMYFUNCTION("""COMPUTED_VALUE"""),"0688373683")</f>
        <v>0688373683</v>
      </c>
      <c r="AG415" s="12" t="str">
        <f>IFERROR(__xludf.DUMMYFUNCTION("""COMPUTED_VALUE"""),"Manuela")</f>
        <v>Manuela</v>
      </c>
      <c r="AH415" s="6"/>
      <c r="AI415" s="6" t="str">
        <f>IFERROR(__xludf.DUMMYFUNCTION("""COMPUTED_VALUE"""),"Suárez Pardo")</f>
        <v>Suárez Pardo</v>
      </c>
      <c r="AJ415" s="6" t="str">
        <f>IFERROR(__xludf.DUMMYFUNCTION("""COMPUTED_VALUE"""),"manu-0213@hotmail.com")</f>
        <v>manu-0213@hotmail.com</v>
      </c>
      <c r="AK415" s="6" t="str">
        <f>IFERROR(__xludf.DUMMYFUNCTION("""COMPUTED_VALUE"""),"abogada")</f>
        <v>abogada</v>
      </c>
      <c r="AL415" s="6" t="str">
        <f>IFERROR(__xludf.DUMMYFUNCTION("""COMPUTED_VALUE"""),"edificio loteria del quindio oficina 501")</f>
        <v>edificio loteria del quindio oficina 501</v>
      </c>
      <c r="AM415" s="12" t="str">
        <f>IFERROR(__xludf.DUMMYFUNCTION("""COMPUTED_VALUE"""),"1094957059")</f>
        <v>1094957059</v>
      </c>
      <c r="AN415" s="12" t="str">
        <f>IFERROR(__xludf.DUMMYFUNCTION("""COMPUTED_VALUE"""),"3187956593")</f>
        <v>3187956593</v>
      </c>
      <c r="AO415" s="6" t="str">
        <f>IFERROR(__xludf.DUMMYFUNCTION("""COMPUTED_VALUE"""),"Madre")</f>
        <v>Madre</v>
      </c>
      <c r="AP415" s="6" t="str">
        <f>IFERROR(__xludf.DUMMYFUNCTION("""COMPUTED_VALUE"""),"Estudiante(s): Suárez Suárez")</f>
        <v>Estudiante(s): Suárez Suárez</v>
      </c>
      <c r="AQ415" s="6" t="str">
        <f>IFERROR(__xludf.DUMMYFUNCTION("""COMPUTED_VALUE"""),"120035*Gi")</f>
        <v>120035*Gi</v>
      </c>
      <c r="AR415" s="6" t="str">
        <f>IFERROR(__xludf.DUMMYFUNCTION("""COMPUTED_VALUE"""),"Christiam")</f>
        <v>Christiam</v>
      </c>
      <c r="AS415" s="6"/>
      <c r="AT415" s="6" t="str">
        <f>IFERROR(__xludf.DUMMYFUNCTION("""COMPUTED_VALUE"""),"Suárez Giraldo")</f>
        <v>Suárez Giraldo</v>
      </c>
      <c r="AU415" s="6" t="str">
        <f>IFERROR(__xludf.DUMMYFUNCTION("""COMPUTED_VALUE"""),"christiamsuarez@yahoo.es")</f>
        <v>christiamsuarez@yahoo.es</v>
      </c>
      <c r="AV415" s="6" t="str">
        <f>IFERROR(__xludf.DUMMYFUNCTION("""COMPUTED_VALUE"""),"cirujano plastico")</f>
        <v>cirujano plastico</v>
      </c>
      <c r="AW415" s="6" t="str">
        <f>IFERROR(__xludf.DUMMYFUNCTION("""COMPUTED_VALUE"""),"clinica central")</f>
        <v>clinica central</v>
      </c>
      <c r="AX415" s="12" t="str">
        <f>IFERROR(__xludf.DUMMYFUNCTION("""COMPUTED_VALUE"""),"14650142")</f>
        <v>14650142</v>
      </c>
      <c r="AY415" s="12" t="str">
        <f>IFERROR(__xludf.DUMMYFUNCTION("""COMPUTED_VALUE"""),"3155513332")</f>
        <v>3155513332</v>
      </c>
      <c r="AZ415" s="6" t="str">
        <f>IFERROR(__xludf.DUMMYFUNCTION("""COMPUTED_VALUE"""),"Padre")</f>
        <v>Padre</v>
      </c>
      <c r="BA415" s="6"/>
      <c r="BB415" s="6"/>
      <c r="BC415" s="6"/>
      <c r="BD415" s="12" t="str">
        <f>IFERROR(__xludf.DUMMYFUNCTION("""COMPUTED_VALUE"""),"sua0002")</f>
        <v>sua0002</v>
      </c>
      <c r="BE415" s="6" t="str">
        <f>IFERROR(__xludf.DUMMYFUNCTION("""COMPUTED_VALUE"""),"FALTAN FIRMAS")</f>
        <v>FALTAN FIRMAS</v>
      </c>
      <c r="BF415" s="6"/>
      <c r="BG415" s="6">
        <f>IFERROR(__xludf.DUMMYFUNCTION("""COMPUTED_VALUE"""),2034.0)</f>
        <v>2034</v>
      </c>
      <c r="BH415" s="15">
        <f>IFERROR(__xludf.DUMMYFUNCTION("""COMPUTED_VALUE"""),46229.354375)</f>
        <v>46229.35438</v>
      </c>
      <c r="BI415" s="6">
        <f>IFERROR(__xludf.DUMMYFUNCTION("""COMPUTED_VALUE"""),415.0)</f>
        <v>415</v>
      </c>
      <c r="BJ415" s="6"/>
      <c r="BK415" s="6"/>
      <c r="BL415" s="6" t="str">
        <f>IFERROR(__xludf.DUMMYFUNCTION("""COMPUTED_VALUE"""),"GISSUA0002")</f>
        <v>GISSUA0002</v>
      </c>
      <c r="BM415" s="6"/>
      <c r="BN415" s="6"/>
      <c r="BO415" s="6" t="str">
        <f>IFERROR(__xludf.DUMMYFUNCTION("""COMPUTED_VALUE"""),"XC_45_OlympMath")</f>
        <v>XC_45_OlympMath</v>
      </c>
      <c r="BP415" s="6" t="str">
        <f>IFERROR(__xludf.DUMMYFUNCTION("""COMPUTED_VALUE"""),"XC_EL_Futbol_F")</f>
        <v>XC_EL_Futbol_F</v>
      </c>
      <c r="BQ415" s="6"/>
      <c r="BR415" s="6" t="str">
        <f>IFERROR(__xludf.DUMMYFUNCTION("""COMPUTED_VALUE"""),"XC_EL_DesaInstrumental")</f>
        <v>XC_EL_DesaInstrumental</v>
      </c>
      <c r="BS415" s="6" t="str">
        <f>IFERROR(__xludf.DUMMYFUNCTION("""COMPUTED_VALUE"""),"XC_EL_Futbol_F")</f>
        <v>XC_EL_Futbol_F</v>
      </c>
      <c r="BT415" s="6" t="str">
        <f>IFERROR(__xludf.DUMMYFUNCTION("""COMPUTED_VALUE"""),"XC_EL_Futbol_F")</f>
        <v>XC_EL_Futbol_F</v>
      </c>
      <c r="BU415" s="6" t="str">
        <f>IFERROR(__xludf.DUMMYFUNCTION("""COMPUTED_VALUE"""),"SI")</f>
        <v>SI</v>
      </c>
      <c r="BV415" s="6" t="str">
        <f>IFERROR(__xludf.DUMMYFUNCTION("""COMPUTED_VALUE"""),"anacaona.s2034")</f>
        <v>anacaona.s2034</v>
      </c>
      <c r="BW415" s="6"/>
      <c r="BX415" s="6"/>
      <c r="BY415" s="6"/>
      <c r="BZ415" s="6"/>
    </row>
    <row r="416">
      <c r="A416" s="12">
        <f>IFERROR(__xludf.DUMMYFUNCTION("""COMPUTED_VALUE"""),1.014891815E9)</f>
        <v>1014891815</v>
      </c>
      <c r="B416" s="6">
        <f>IFERROR(__xludf.DUMMYFUNCTION("""COMPUTED_VALUE"""),20.0)</f>
        <v>20</v>
      </c>
      <c r="C416" s="6" t="str">
        <f>IFERROR(__xludf.DUMMYFUNCTION("""COMPUTED_VALUE"""),"Isabel")</f>
        <v>Isabel</v>
      </c>
      <c r="D416" s="6"/>
      <c r="E416" s="6" t="str">
        <f>IFERROR(__xludf.DUMMYFUNCTION("""COMPUTED_VALUE"""),"Uribe Córdoba")</f>
        <v>Uribe Córdoba</v>
      </c>
      <c r="F416" s="6" t="str">
        <f>IFERROR(__xludf.DUMMYFUNCTION("""COMPUTED_VALUE"""),"Conjunto Santa Clara Casa 7 - Cra 19 No25Nte - 50")</f>
        <v>Conjunto Santa Clara Casa 7 - Cra 19 No25Nte - 50</v>
      </c>
      <c r="G416" s="12" t="str">
        <f>IFERROR(__xludf.DUMMYFUNCTION("""COMPUTED_VALUE"""),"2016")</f>
        <v>2016</v>
      </c>
      <c r="H416" s="6" t="str">
        <f>IFERROR(__xludf.DUMMYFUNCTION("""COMPUTED_VALUE"""),"Marzo")</f>
        <v>Marzo</v>
      </c>
      <c r="I416" s="12" t="str">
        <f>IFERROR(__xludf.DUMMYFUNCTION("""COMPUTED_VALUE"""),"19")</f>
        <v>19</v>
      </c>
      <c r="J416" s="6" t="str">
        <f>IFERROR(__xludf.DUMMYFUNCTION("""COMPUTED_VALUE"""),"Armenia")</f>
        <v>Armenia</v>
      </c>
      <c r="K416" s="6" t="str">
        <f>IFERROR(__xludf.DUMMYFUNCTION("""COMPUTED_VALUE"""),"isabel.u2034@gi.edu.co")</f>
        <v>isabel.u2034@gi.edu.co</v>
      </c>
      <c r="L416" s="6" t="str">
        <f>IFERROR(__xludf.DUMMYFUNCTION("""COMPUTED_VALUE"""),"TI")</f>
        <v>TI</v>
      </c>
      <c r="M416" s="6" t="str">
        <f>IFERROR(__xludf.DUMMYFUNCTION("""COMPUTED_VALUE"""),"Armenia")</f>
        <v>Armenia</v>
      </c>
      <c r="N416" s="6" t="str">
        <f>IFERROR(__xludf.DUMMYFUNCTION("""COMPUTED_VALUE"""),"F")</f>
        <v>F</v>
      </c>
      <c r="O416" s="6" t="str">
        <f>IFERROR(__xludf.DUMMYFUNCTION("""COMPUTED_VALUE"""),"ACTIVE")</f>
        <v>ACTIVE</v>
      </c>
      <c r="P416" s="6"/>
      <c r="Q416" s="6" t="str">
        <f>IFERROR(__xludf.DUMMYFUNCTION("""COMPUTED_VALUE"""),"Armenia")</f>
        <v>Armenia</v>
      </c>
      <c r="R416" s="12" t="str">
        <f>IFERROR(__xludf.DUMMYFUNCTION("""COMPUTED_VALUE"""),"Gixcsx3p*")</f>
        <v>Gixcsx3p*</v>
      </c>
      <c r="S416" s="6" t="str">
        <f>IFERROR(__xludf.DUMMYFUNCTION("""COMPUTED_VALUE"""),"Uribe Córdoba Isabel ")</f>
        <v>Uribe Córdoba Isabel </v>
      </c>
      <c r="T416" s="6" t="str">
        <f>IFERROR(__xludf.DUMMYFUNCTION("""COMPUTED_VALUE"""),"ALFONSO URIBE TORRES")</f>
        <v>ALFONSO URIBE TORRES</v>
      </c>
      <c r="U416" s="12" t="str">
        <f>IFERROR(__xludf.DUMMYFUNCTION("""COMPUTED_VALUE"""),"7563934")</f>
        <v>7563934</v>
      </c>
      <c r="V416" s="6">
        <f>IFERROR(__xludf.DUMMYFUNCTION("""COMPUTED_VALUE"""),3.212320056E9)</f>
        <v>3212320056</v>
      </c>
      <c r="W416" s="6" t="str">
        <f>IFERROR(__xludf.DUMMYFUNCTION("""COMPUTED_VALUE"""),"comercialelmundodelcampo@gmail.com")</f>
        <v>comercialelmundodelcampo@gmail.com</v>
      </c>
      <c r="X416" s="12" t="str">
        <f>IFERROR(__xludf.DUMMYFUNCTION("""COMPUTED_VALUE"""),"O+")</f>
        <v>O+</v>
      </c>
      <c r="Y416" s="12" t="str">
        <f>IFERROR(__xludf.DUMMYFUNCTION("""COMPUTED_VALUE"""),"5")</f>
        <v>5</v>
      </c>
      <c r="Z416" s="12">
        <f>IFERROR(__xludf.DUMMYFUNCTION("""COMPUTED_VALUE"""),103869.0)</f>
        <v>103869</v>
      </c>
      <c r="AA416" s="6" t="str">
        <f>IFERROR(__xludf.DUMMYFUNCTION("""COMPUTED_VALUE"""),"SALUD TOTAL")</f>
        <v>SALUD TOTAL</v>
      </c>
      <c r="AB416" s="6" t="str">
        <f>IFERROR(__xludf.DUMMYFUNCTION("""COMPUTED_VALUE"""),"Coomeva prepagada, ambulancias humanizar")</f>
        <v>Coomeva prepagada, ambulancias humanizar</v>
      </c>
      <c r="AC416" s="6"/>
      <c r="AD416" s="12" t="str">
        <f>IFERROR(__xludf.DUMMYFUNCTION("""COMPUTED_VALUE"""),"5A")</f>
        <v>5A</v>
      </c>
      <c r="AE416" s="12">
        <f>IFERROR(__xludf.DUMMYFUNCTION("""COMPUTED_VALUE"""),1.34528194E9)</f>
        <v>1345281940</v>
      </c>
      <c r="AF416" s="12" t="str">
        <f>IFERROR(__xludf.DUMMYFUNCTION("""COMPUTED_VALUE"""),"0707164019")</f>
        <v>0707164019</v>
      </c>
      <c r="AG416" s="12" t="str">
        <f>IFERROR(__xludf.DUMMYFUNCTION("""COMPUTED_VALUE"""),"Paola")</f>
        <v>Paola</v>
      </c>
      <c r="AH416" s="6"/>
      <c r="AI416" s="6" t="str">
        <f>IFERROR(__xludf.DUMMYFUNCTION("""COMPUTED_VALUE"""),"Córdoba Correa")</f>
        <v>Córdoba Correa</v>
      </c>
      <c r="AJ416" s="6" t="str">
        <f>IFERROR(__xludf.DUMMYFUNCTION("""COMPUTED_VALUE"""),"expressiondent@gmail.com")</f>
        <v>expressiondent@gmail.com</v>
      </c>
      <c r="AK416" s="6" t="str">
        <f>IFERROR(__xludf.DUMMYFUNCTION("""COMPUTED_VALUE"""),"odontologa")</f>
        <v>odontologa</v>
      </c>
      <c r="AL416" s="6"/>
      <c r="AM416" s="12" t="str">
        <f>IFERROR(__xludf.DUMMYFUNCTION("""COMPUTED_VALUE"""),"41936327")</f>
        <v>41936327</v>
      </c>
      <c r="AN416" s="12" t="str">
        <f>IFERROR(__xludf.DUMMYFUNCTION("""COMPUTED_VALUE"""),"3103041193")</f>
        <v>3103041193</v>
      </c>
      <c r="AO416" s="6" t="str">
        <f>IFERROR(__xludf.DUMMYFUNCTION("""COMPUTED_VALUE"""),"Madre")</f>
        <v>Madre</v>
      </c>
      <c r="AP416" s="6" t="str">
        <f>IFERROR(__xludf.DUMMYFUNCTION("""COMPUTED_VALUE"""),"Estudiante(s): Uribe Córdoba")</f>
        <v>Estudiante(s): Uribe Córdoba</v>
      </c>
      <c r="AQ416" s="6" t="str">
        <f>IFERROR(__xludf.DUMMYFUNCTION("""COMPUTED_VALUE"""),"103556*Gi")</f>
        <v>103556*Gi</v>
      </c>
      <c r="AR416" s="6" t="str">
        <f>IFERROR(__xludf.DUMMYFUNCTION("""COMPUTED_VALUE"""),"Alfonso")</f>
        <v>Alfonso</v>
      </c>
      <c r="AS416" s="6"/>
      <c r="AT416" s="6" t="str">
        <f>IFERROR(__xludf.DUMMYFUNCTION("""COMPUTED_VALUE"""),"Uribe Torres")</f>
        <v>Uribe Torres</v>
      </c>
      <c r="AU416" s="6" t="str">
        <f>IFERROR(__xludf.DUMMYFUNCTION("""COMPUTED_VALUE"""),"comercialelmundodelcampo@gmail.com")</f>
        <v>comercialelmundodelcampo@gmail.com</v>
      </c>
      <c r="AV416" s="6" t="str">
        <f>IFERROR(__xludf.DUMMYFUNCTION("""COMPUTED_VALUE"""),"Ingeniero Agroindustrial")</f>
        <v>Ingeniero Agroindustrial</v>
      </c>
      <c r="AW416" s="6" t="str">
        <f>IFERROR(__xludf.DUMMYFUNCTION("""COMPUTED_VALUE"""),"El Mundo del Campo")</f>
        <v>El Mundo del Campo</v>
      </c>
      <c r="AX416" s="12" t="str">
        <f>IFERROR(__xludf.DUMMYFUNCTION("""COMPUTED_VALUE"""),"7563934")</f>
        <v>7563934</v>
      </c>
      <c r="AY416" s="12" t="str">
        <f>IFERROR(__xludf.DUMMYFUNCTION("""COMPUTED_VALUE"""),"3212320056")</f>
        <v>3212320056</v>
      </c>
      <c r="AZ416" s="6" t="str">
        <f>IFERROR(__xludf.DUMMYFUNCTION("""COMPUTED_VALUE"""),"Padre")</f>
        <v>Padre</v>
      </c>
      <c r="BA416" s="6"/>
      <c r="BB416" s="6"/>
      <c r="BC416" s="6"/>
      <c r="BD416" s="12" t="str">
        <f>IFERROR(__xludf.DUMMYFUNCTION("""COMPUTED_VALUE"""),"uri0010")</f>
        <v>uri0010</v>
      </c>
      <c r="BE416" s="6"/>
      <c r="BF416" s="6"/>
      <c r="BG416" s="6">
        <f>IFERROR(__xludf.DUMMYFUNCTION("""COMPUTED_VALUE"""),2034.0)</f>
        <v>2034</v>
      </c>
      <c r="BH416" s="15">
        <f>IFERROR(__xludf.DUMMYFUNCTION("""COMPUTED_VALUE"""),46212.606527777774)</f>
        <v>46212.60653</v>
      </c>
      <c r="BI416" s="6">
        <f>IFERROR(__xludf.DUMMYFUNCTION("""COMPUTED_VALUE"""),416.0)</f>
        <v>416</v>
      </c>
      <c r="BJ416" s="6"/>
      <c r="BK416" s="6"/>
      <c r="BL416" s="6" t="str">
        <f>IFERROR(__xludf.DUMMYFUNCTION("""COMPUTED_VALUE"""),"GISURI0010")</f>
        <v>GISURI0010</v>
      </c>
      <c r="BM416" s="6"/>
      <c r="BN416" s="6"/>
      <c r="BO416" s="6" t="str">
        <f>IFERROR(__xludf.DUMMYFUNCTION("""COMPUTED_VALUE"""),"XC_EL_ArtesPlasticas")</f>
        <v>XC_EL_ArtesPlasticas</v>
      </c>
      <c r="BP416" s="6"/>
      <c r="BQ416" s="6"/>
      <c r="BR416" s="6"/>
      <c r="BS416" s="6"/>
      <c r="BT416" s="6"/>
      <c r="BU416" s="6" t="str">
        <f>IFERROR(__xludf.DUMMYFUNCTION("""COMPUTED_VALUE"""),"SI")</f>
        <v>SI</v>
      </c>
      <c r="BV416" s="6" t="str">
        <f>IFERROR(__xludf.DUMMYFUNCTION("""COMPUTED_VALUE"""),"isabel.u2034")</f>
        <v>isabel.u2034</v>
      </c>
      <c r="BW416" s="6"/>
      <c r="BX416" s="6"/>
      <c r="BY416" s="6"/>
      <c r="BZ416" s="6"/>
    </row>
    <row r="417">
      <c r="A417" s="12">
        <f>IFERROR(__xludf.DUMMYFUNCTION("""COMPUTED_VALUE"""),1.094966793E9)</f>
        <v>1094966793</v>
      </c>
      <c r="B417" s="6">
        <f>IFERROR(__xludf.DUMMYFUNCTION("""COMPUTED_VALUE"""),21.0)</f>
        <v>21</v>
      </c>
      <c r="C417" s="6" t="str">
        <f>IFERROR(__xludf.DUMMYFUNCTION("""COMPUTED_VALUE"""),"Martín")</f>
        <v>Martín</v>
      </c>
      <c r="D417" s="6"/>
      <c r="E417" s="6" t="str">
        <f>IFERROR(__xludf.DUMMYFUNCTION("""COMPUTED_VALUE"""),"Velásquez Giraldo")</f>
        <v>Velásquez Giraldo</v>
      </c>
      <c r="F417" s="6" t="str">
        <f>IFERROR(__xludf.DUMMYFUNCTION("""COMPUTED_VALUE"""),"Condominio Casa de Campo Casa 23 - Calle 23ANte No19 - 47")</f>
        <v>Condominio Casa de Campo Casa 23 - Calle 23ANte No19 - 47</v>
      </c>
      <c r="G417" s="12" t="str">
        <f>IFERROR(__xludf.DUMMYFUNCTION("""COMPUTED_VALUE"""),"2016")</f>
        <v>2016</v>
      </c>
      <c r="H417" s="6" t="str">
        <f>IFERROR(__xludf.DUMMYFUNCTION("""COMPUTED_VALUE"""),"Febrero")</f>
        <v>Febrero</v>
      </c>
      <c r="I417" s="12" t="str">
        <f>IFERROR(__xludf.DUMMYFUNCTION("""COMPUTED_VALUE"""),"6")</f>
        <v>6</v>
      </c>
      <c r="J417" s="6" t="str">
        <f>IFERROR(__xludf.DUMMYFUNCTION("""COMPUTED_VALUE"""),"Miami")</f>
        <v>Miami</v>
      </c>
      <c r="K417" s="6" t="str">
        <f>IFERROR(__xludf.DUMMYFUNCTION("""COMPUTED_VALUE"""),"martin.v2034@gi.edu.co")</f>
        <v>martin.v2034@gi.edu.co</v>
      </c>
      <c r="L417" s="6" t="str">
        <f>IFERROR(__xludf.DUMMYFUNCTION("""COMPUTED_VALUE"""),"TI")</f>
        <v>TI</v>
      </c>
      <c r="M417" s="6" t="str">
        <f>IFERROR(__xludf.DUMMYFUNCTION("""COMPUTED_VALUE"""),"Armenia")</f>
        <v>Armenia</v>
      </c>
      <c r="N417" s="6" t="str">
        <f>IFERROR(__xludf.DUMMYFUNCTION("""COMPUTED_VALUE"""),"M")</f>
        <v>M</v>
      </c>
      <c r="O417" s="6" t="str">
        <f>IFERROR(__xludf.DUMMYFUNCTION("""COMPUTED_VALUE"""),"ACTIVE")</f>
        <v>ACTIVE</v>
      </c>
      <c r="P417" s="6"/>
      <c r="Q417" s="6" t="str">
        <f>IFERROR(__xludf.DUMMYFUNCTION("""COMPUTED_VALUE"""),"Armenia")</f>
        <v>Armenia</v>
      </c>
      <c r="R417" s="12" t="str">
        <f>IFERROR(__xludf.DUMMYFUNCTION("""COMPUTED_VALUE"""),"Gi2z58u9s9*")</f>
        <v>Gi2z58u9s9*</v>
      </c>
      <c r="S417" s="6" t="str">
        <f>IFERROR(__xludf.DUMMYFUNCTION("""COMPUTED_VALUE"""),"Velásquez Giraldo Martín ")</f>
        <v>Velásquez Giraldo Martín </v>
      </c>
      <c r="T417" s="6" t="str">
        <f>IFERROR(__xludf.DUMMYFUNCTION("""COMPUTED_VALUE"""),"PABLO VELÁSQUEZ MEJÍA")</f>
        <v>PABLO VELÁSQUEZ MEJÍA</v>
      </c>
      <c r="U417" s="12" t="str">
        <f>IFERROR(__xludf.DUMMYFUNCTION("""COMPUTED_VALUE"""),"1094880176")</f>
        <v>1094880176</v>
      </c>
      <c r="V417" s="6">
        <f>IFERROR(__xludf.DUMMYFUNCTION("""COMPUTED_VALUE"""),3.207276347E9)</f>
        <v>3207276347</v>
      </c>
      <c r="W417" s="6" t="str">
        <f>IFERROR(__xludf.DUMMYFUNCTION("""COMPUTED_VALUE"""),"pablo@pablovelasquez.com")</f>
        <v>pablo@pablovelasquez.com</v>
      </c>
      <c r="X417" s="12" t="str">
        <f>IFERROR(__xludf.DUMMYFUNCTION("""COMPUTED_VALUE"""),"O+")</f>
        <v>O+</v>
      </c>
      <c r="Y417" s="12" t="str">
        <f>IFERROR(__xludf.DUMMYFUNCTION("""COMPUTED_VALUE"""),"5")</f>
        <v>5</v>
      </c>
      <c r="Z417" s="12">
        <f>IFERROR(__xludf.DUMMYFUNCTION("""COMPUTED_VALUE"""),103889.0)</f>
        <v>103889</v>
      </c>
      <c r="AA417" s="6" t="str">
        <f>IFERROR(__xludf.DUMMYFUNCTION("""COMPUTED_VALUE"""),"SANITAS")</f>
        <v>SANITAS</v>
      </c>
      <c r="AB417" s="6" t="str">
        <f>IFERROR(__xludf.DUMMYFUNCTION("""COMPUTED_VALUE"""),"EMI")</f>
        <v>EMI</v>
      </c>
      <c r="AC417" s="12" t="str">
        <f>IFERROR(__xludf.DUMMYFUNCTION("""COMPUTED_VALUE"""),"Polvo y frío")</f>
        <v>Polvo y frío</v>
      </c>
      <c r="AD417" s="12" t="str">
        <f>IFERROR(__xludf.DUMMYFUNCTION("""COMPUTED_VALUE"""),"5A")</f>
        <v>5A</v>
      </c>
      <c r="AE417" s="12">
        <f>IFERROR(__xludf.DUMMYFUNCTION("""COMPUTED_VALUE"""),1.345281952E9)</f>
        <v>1345281952</v>
      </c>
      <c r="AF417" s="12" t="str">
        <f>IFERROR(__xludf.DUMMYFUNCTION("""COMPUTED_VALUE"""),"0696632867")</f>
        <v>0696632867</v>
      </c>
      <c r="AG417" s="12" t="str">
        <f>IFERROR(__xludf.DUMMYFUNCTION("""COMPUTED_VALUE"""),"Laura")</f>
        <v>Laura</v>
      </c>
      <c r="AH417" s="12" t="str">
        <f>IFERROR(__xludf.DUMMYFUNCTION("""COMPUTED_VALUE"""),"Lucía")</f>
        <v>Lucía</v>
      </c>
      <c r="AI417" s="6" t="str">
        <f>IFERROR(__xludf.DUMMYFUNCTION("""COMPUTED_VALUE"""),"Giraldo Sánchez")</f>
        <v>Giraldo Sánchez</v>
      </c>
      <c r="AJ417" s="6" t="str">
        <f>IFERROR(__xludf.DUMMYFUNCTION("""COMPUTED_VALUE"""),"laura.giraldo@atlanticsoft.us")</f>
        <v>laura.giraldo@atlanticsoft.us</v>
      </c>
      <c r="AK417" s="6" t="str">
        <f>IFERROR(__xludf.DUMMYFUNCTION("""COMPUTED_VALUE"""),"Comunicadora Social y Periodista")</f>
        <v>Comunicadora Social y Periodista</v>
      </c>
      <c r="AL417" s="6" t="str">
        <f>IFERROR(__xludf.DUMMYFUNCTION("""COMPUTED_VALUE"""),"Atlanticsoft SAS")</f>
        <v>Atlanticsoft SAS</v>
      </c>
      <c r="AM417" s="12" t="str">
        <f>IFERROR(__xludf.DUMMYFUNCTION("""COMPUTED_VALUE"""),"25026699")</f>
        <v>25026699</v>
      </c>
      <c r="AN417" s="12" t="str">
        <f>IFERROR(__xludf.DUMMYFUNCTION("""COMPUTED_VALUE"""),"3045470658")</f>
        <v>3045470658</v>
      </c>
      <c r="AO417" s="6" t="str">
        <f>IFERROR(__xludf.DUMMYFUNCTION("""COMPUTED_VALUE"""),"Madre")</f>
        <v>Madre</v>
      </c>
      <c r="AP417" s="6" t="str">
        <f>IFERROR(__xludf.DUMMYFUNCTION("""COMPUTED_VALUE"""),"Estudiante(s): Velásquez Giraldo")</f>
        <v>Estudiante(s): Velásquez Giraldo</v>
      </c>
      <c r="AQ417" s="6" t="str">
        <f>IFERROR(__xludf.DUMMYFUNCTION("""COMPUTED_VALUE"""),"103889*Gi")</f>
        <v>103889*Gi</v>
      </c>
      <c r="AR417" s="6" t="str">
        <f>IFERROR(__xludf.DUMMYFUNCTION("""COMPUTED_VALUE"""),"Pablo")</f>
        <v>Pablo</v>
      </c>
      <c r="AS417" s="6"/>
      <c r="AT417" s="6" t="str">
        <f>IFERROR(__xludf.DUMMYFUNCTION("""COMPUTED_VALUE"""),"Velásquez Mejía")</f>
        <v>Velásquez Mejía</v>
      </c>
      <c r="AU417" s="6" t="str">
        <f>IFERROR(__xludf.DUMMYFUNCTION("""COMPUTED_VALUE"""),"pablo@pablovelasquez.com")</f>
        <v>pablo@pablovelasquez.com</v>
      </c>
      <c r="AV417" s="6" t="str">
        <f>IFERROR(__xludf.DUMMYFUNCTION("""COMPUTED_VALUE"""),"Ingeniero de Sistemas")</f>
        <v>Ingeniero de Sistemas</v>
      </c>
      <c r="AW417" s="6" t="str">
        <f>IFERROR(__xludf.DUMMYFUNCTION("""COMPUTED_VALUE"""),"Atlanticsoft")</f>
        <v>Atlanticsoft</v>
      </c>
      <c r="AX417" s="12" t="str">
        <f>IFERROR(__xludf.DUMMYFUNCTION("""COMPUTED_VALUE"""),"1094880176")</f>
        <v>1094880176</v>
      </c>
      <c r="AY417" s="12" t="str">
        <f>IFERROR(__xludf.DUMMYFUNCTION("""COMPUTED_VALUE"""),"3207276347")</f>
        <v>3207276347</v>
      </c>
      <c r="AZ417" s="6" t="str">
        <f>IFERROR(__xludf.DUMMYFUNCTION("""COMPUTED_VALUE"""),"Padre")</f>
        <v>Padre</v>
      </c>
      <c r="BA417" s="6"/>
      <c r="BB417" s="6"/>
      <c r="BC417" s="6"/>
      <c r="BD417" s="12" t="str">
        <f>IFERROR(__xludf.DUMMYFUNCTION("""COMPUTED_VALUE"""),"vel0014")</f>
        <v>vel0014</v>
      </c>
      <c r="BE417" s="6"/>
      <c r="BF417" s="6"/>
      <c r="BG417" s="6">
        <f>IFERROR(__xludf.DUMMYFUNCTION("""COMPUTED_VALUE"""),2034.0)</f>
        <v>2034</v>
      </c>
      <c r="BH417" s="15">
        <f>IFERROR(__xludf.DUMMYFUNCTION("""COMPUTED_VALUE"""),46204.839780092596)</f>
        <v>46204.83978</v>
      </c>
      <c r="BI417" s="6">
        <f>IFERROR(__xludf.DUMMYFUNCTION("""COMPUTED_VALUE"""),417.0)</f>
        <v>417</v>
      </c>
      <c r="BJ417" s="6"/>
      <c r="BK417" s="6"/>
      <c r="BL417" s="6" t="str">
        <f>IFERROR(__xludf.DUMMYFUNCTION("""COMPUTED_VALUE"""),"GISVEL0014")</f>
        <v>GISVEL0014</v>
      </c>
      <c r="BM417" s="6"/>
      <c r="BN417" s="6"/>
      <c r="BO417" s="6"/>
      <c r="BP417" s="6" t="str">
        <f>IFERROR(__xludf.DUMMYFUNCTION("""COMPUTED_VALUE"""),"XC_45_Basquetbol")</f>
        <v>XC_45_Basquetbol</v>
      </c>
      <c r="BQ417" s="6"/>
      <c r="BR417" s="6" t="str">
        <f>IFERROR(__xludf.DUMMYFUNCTION("""COMPUTED_VALUE"""),"XC_Robo_Lego")</f>
        <v>XC_Robo_Lego</v>
      </c>
      <c r="BS417" s="6" t="str">
        <f>IFERROR(__xludf.DUMMYFUNCTION("""COMPUTED_VALUE"""),"XC_45_Basquetbol")</f>
        <v>XC_45_Basquetbol</v>
      </c>
      <c r="BT417" s="6" t="str">
        <f>IFERROR(__xludf.DUMMYFUNCTION("""COMPUTED_VALUE"""),"XC_45_Basquetbol")</f>
        <v>XC_45_Basquetbol</v>
      </c>
      <c r="BU417" s="6" t="str">
        <f>IFERROR(__xludf.DUMMYFUNCTION("""COMPUTED_VALUE"""),"SI")</f>
        <v>SI</v>
      </c>
      <c r="BV417" s="6" t="str">
        <f>IFERROR(__xludf.DUMMYFUNCTION("""COMPUTED_VALUE"""),"martin.v2034")</f>
        <v>martin.v2034</v>
      </c>
      <c r="BW417" s="6"/>
      <c r="BX417" s="6"/>
      <c r="BY417" s="6"/>
      <c r="BZ417" s="6"/>
    </row>
    <row r="418">
      <c r="A418" s="12">
        <f>IFERROR(__xludf.DUMMYFUNCTION("""COMPUTED_VALUE"""),1.091206845E9)</f>
        <v>1091206845</v>
      </c>
      <c r="B418" s="6">
        <f>IFERROR(__xludf.DUMMYFUNCTION("""COMPUTED_VALUE"""),22.0)</f>
        <v>22</v>
      </c>
      <c r="C418" s="6" t="str">
        <f>IFERROR(__xludf.DUMMYFUNCTION("""COMPUTED_VALUE"""),"Emilio")</f>
        <v>Emilio</v>
      </c>
      <c r="D418" s="6"/>
      <c r="E418" s="6" t="str">
        <f>IFERROR(__xludf.DUMMYFUNCTION("""COMPUTED_VALUE"""),"Velásquez Mejía")</f>
        <v>Velásquez Mejía</v>
      </c>
      <c r="F418" s="6" t="str">
        <f>IFERROR(__xludf.DUMMYFUNCTION("""COMPUTED_VALUE"""),"Apartamentos Terra Torre 3 Apto 1403 - Cra 10 No11Nte - 05 La Castellana")</f>
        <v>Apartamentos Terra Torre 3 Apto 1403 - Cra 10 No11Nte - 05 La Castellana</v>
      </c>
      <c r="G418" s="12" t="str">
        <f>IFERROR(__xludf.DUMMYFUNCTION("""COMPUTED_VALUE"""),"2016")</f>
        <v>2016</v>
      </c>
      <c r="H418" s="6" t="str">
        <f>IFERROR(__xludf.DUMMYFUNCTION("""COMPUTED_VALUE"""),"Septiembre")</f>
        <v>Septiembre</v>
      </c>
      <c r="I418" s="12" t="str">
        <f>IFERROR(__xludf.DUMMYFUNCTION("""COMPUTED_VALUE"""),"7")</f>
        <v>7</v>
      </c>
      <c r="J418" s="6" t="str">
        <f>IFERROR(__xludf.DUMMYFUNCTION("""COMPUTED_VALUE"""),"Armenia")</f>
        <v>Armenia</v>
      </c>
      <c r="K418" s="6" t="str">
        <f>IFERROR(__xludf.DUMMYFUNCTION("""COMPUTED_VALUE"""),"emilio.v2034@gi.edu.co")</f>
        <v>emilio.v2034@gi.edu.co</v>
      </c>
      <c r="L418" s="6" t="str">
        <f>IFERROR(__xludf.DUMMYFUNCTION("""COMPUTED_VALUE"""),"TI")</f>
        <v>TI</v>
      </c>
      <c r="M418" s="6" t="str">
        <f>IFERROR(__xludf.DUMMYFUNCTION("""COMPUTED_VALUE"""),"Armenia")</f>
        <v>Armenia</v>
      </c>
      <c r="N418" s="6" t="str">
        <f>IFERROR(__xludf.DUMMYFUNCTION("""COMPUTED_VALUE"""),"M")</f>
        <v>M</v>
      </c>
      <c r="O418" s="6" t="str">
        <f>IFERROR(__xludf.DUMMYFUNCTION("""COMPUTED_VALUE"""),"INACTIVE")</f>
        <v>INACTIVE</v>
      </c>
      <c r="P418" s="6"/>
      <c r="Q418" s="6" t="str">
        <f>IFERROR(__xludf.DUMMYFUNCTION("""COMPUTED_VALUE"""),"Armenia")</f>
        <v>Armenia</v>
      </c>
      <c r="R418" s="12" t="str">
        <f>IFERROR(__xludf.DUMMYFUNCTION("""COMPUTED_VALUE"""),"Gifgsd89*")</f>
        <v>Gifgsd89*</v>
      </c>
      <c r="S418" s="6" t="str">
        <f>IFERROR(__xludf.DUMMYFUNCTION("""COMPUTED_VALUE"""),"Velásquez Mejía Emilio ")</f>
        <v>Velásquez Mejía Emilio </v>
      </c>
      <c r="T418" s="6" t="str">
        <f>IFERROR(__xludf.DUMMYFUNCTION("""COMPUTED_VALUE"""),"NICOLÁS VELÁSQUEZ MEJÍA")</f>
        <v>NICOLÁS VELÁSQUEZ MEJÍA</v>
      </c>
      <c r="U418" s="12" t="str">
        <f>IFERROR(__xludf.DUMMYFUNCTION("""COMPUTED_VALUE"""),"9772980")</f>
        <v>9772980</v>
      </c>
      <c r="V418" s="6">
        <f>IFERROR(__xludf.DUMMYFUNCTION("""COMPUTED_VALUE"""),3.18238025E9)</f>
        <v>3182380250</v>
      </c>
      <c r="W418" s="6" t="str">
        <f>IFERROR(__xludf.DUMMYFUNCTION("""COMPUTED_VALUE"""),"mvelasqueznicolas@yahoo.com")</f>
        <v>mvelasqueznicolas@yahoo.com</v>
      </c>
      <c r="X418" s="12" t="str">
        <f>IFERROR(__xludf.DUMMYFUNCTION("""COMPUTED_VALUE"""),"A+")</f>
        <v>A+</v>
      </c>
      <c r="Y418" s="12" t="str">
        <f>IFERROR(__xludf.DUMMYFUNCTION("""COMPUTED_VALUE"""),"5")</f>
        <v>5</v>
      </c>
      <c r="Z418" s="12">
        <f>IFERROR(__xludf.DUMMYFUNCTION("""COMPUTED_VALUE"""),103781.0)</f>
        <v>103781</v>
      </c>
      <c r="AA418" s="6" t="str">
        <f>IFERROR(__xludf.DUMMYFUNCTION("""COMPUTED_VALUE"""),"SURA")</f>
        <v>SURA</v>
      </c>
      <c r="AB418" s="6" t="str">
        <f>IFERROR(__xludf.DUMMYFUNCTION("""COMPUTED_VALUE"""),"EMI")</f>
        <v>EMI</v>
      </c>
      <c r="AC418" s="6"/>
      <c r="AD418" s="12" t="str">
        <f>IFERROR(__xludf.DUMMYFUNCTION("""COMPUTED_VALUE"""),"5A")</f>
        <v>5A</v>
      </c>
      <c r="AE418" s="12">
        <f>IFERROR(__xludf.DUMMYFUNCTION("""COMPUTED_VALUE"""),1.345281887E9)</f>
        <v>1345281887</v>
      </c>
      <c r="AF418" s="12" t="str">
        <f>IFERROR(__xludf.DUMMYFUNCTION("""COMPUTED_VALUE"""),"0687189027")</f>
        <v>0687189027</v>
      </c>
      <c r="AG418" s="12" t="str">
        <f>IFERROR(__xludf.DUMMYFUNCTION("""COMPUTED_VALUE"""),"Marcela")</f>
        <v>Marcela</v>
      </c>
      <c r="AH418" s="6"/>
      <c r="AI418" s="6" t="str">
        <f>IFERROR(__xludf.DUMMYFUNCTION("""COMPUTED_VALUE"""),"Mejía Gutiérrez")</f>
        <v>Mejía Gutiérrez</v>
      </c>
      <c r="AJ418" s="6" t="str">
        <f>IFERROR(__xludf.DUMMYFUNCTION("""COMPUTED_VALUE"""),"marchmejia@gmail.com")</f>
        <v>marchmejia@gmail.com</v>
      </c>
      <c r="AK418" s="6" t="str">
        <f>IFERROR(__xludf.DUMMYFUNCTION("""COMPUTED_VALUE"""),"Publicidad y Mercadeo")</f>
        <v>Publicidad y Mercadeo</v>
      </c>
      <c r="AL418" s="6"/>
      <c r="AM418" s="12" t="str">
        <f>IFERROR(__xludf.DUMMYFUNCTION("""COMPUTED_VALUE"""),"41963193")</f>
        <v>41963193</v>
      </c>
      <c r="AN418" s="12" t="str">
        <f>IFERROR(__xludf.DUMMYFUNCTION("""COMPUTED_VALUE"""),"3173725353")</f>
        <v>3173725353</v>
      </c>
      <c r="AO418" s="6" t="str">
        <f>IFERROR(__xludf.DUMMYFUNCTION("""COMPUTED_VALUE"""),"Madre")</f>
        <v>Madre</v>
      </c>
      <c r="AP418" s="6" t="str">
        <f>IFERROR(__xludf.DUMMYFUNCTION("""COMPUTED_VALUE"""),"Estudiante(s): Velásquez Mejía")</f>
        <v>Estudiante(s): Velásquez Mejía</v>
      </c>
      <c r="AQ418" s="6" t="str">
        <f>IFERROR(__xludf.DUMMYFUNCTION("""COMPUTED_VALUE"""),"103781*Gi")</f>
        <v>103781*Gi</v>
      </c>
      <c r="AR418" s="6" t="str">
        <f>IFERROR(__xludf.DUMMYFUNCTION("""COMPUTED_VALUE"""),"Nicolás")</f>
        <v>Nicolás</v>
      </c>
      <c r="AS418" s="6"/>
      <c r="AT418" s="6" t="str">
        <f>IFERROR(__xludf.DUMMYFUNCTION("""COMPUTED_VALUE"""),"Velásquez Mejía")</f>
        <v>Velásquez Mejía</v>
      </c>
      <c r="AU418" s="6" t="str">
        <f>IFERROR(__xludf.DUMMYFUNCTION("""COMPUTED_VALUE"""),"mvelasqueznicolas@yahoo.com")</f>
        <v>mvelasqueznicolas@yahoo.com</v>
      </c>
      <c r="AV418" s="6" t="str">
        <f>IFERROR(__xludf.DUMMYFUNCTION("""COMPUTED_VALUE"""),"Ingeniero Agrónomo")</f>
        <v>Ingeniero Agrónomo</v>
      </c>
      <c r="AW418" s="6" t="str">
        <f>IFERROR(__xludf.DUMMYFUNCTION("""COMPUTED_VALUE"""),"Finca")</f>
        <v>Finca</v>
      </c>
      <c r="AX418" s="12" t="str">
        <f>IFERROR(__xludf.DUMMYFUNCTION("""COMPUTED_VALUE"""),"9772980")</f>
        <v>9772980</v>
      </c>
      <c r="AY418" s="12" t="str">
        <f>IFERROR(__xludf.DUMMYFUNCTION("""COMPUTED_VALUE"""),"3182380250")</f>
        <v>3182380250</v>
      </c>
      <c r="AZ418" s="6" t="str">
        <f>IFERROR(__xludf.DUMMYFUNCTION("""COMPUTED_VALUE"""),"Padre")</f>
        <v>Padre</v>
      </c>
      <c r="BA418" s="6"/>
      <c r="BB418" s="6"/>
      <c r="BC418" s="6"/>
      <c r="BD418" s="12" t="str">
        <f>IFERROR(__xludf.DUMMYFUNCTION("""COMPUTED_VALUE"""),"vel0011")</f>
        <v>vel0011</v>
      </c>
      <c r="BE418" s="6" t="str">
        <f>IFERROR(__xludf.DUMMYFUNCTION("""COMPUTED_VALUE"""),"FALTAN FIRMAS")</f>
        <v>FALTAN FIRMAS</v>
      </c>
      <c r="BF418" s="12" t="str">
        <f>IFERROR(__xludf.DUMMYFUNCTION("""COMPUTED_VALUE"""),"PÓLIZA")</f>
        <v>PÓLIZA</v>
      </c>
      <c r="BG418" s="6">
        <f>IFERROR(__xludf.DUMMYFUNCTION("""COMPUTED_VALUE"""),2034.0)</f>
        <v>2034</v>
      </c>
      <c r="BH418" s="15">
        <f>IFERROR(__xludf.DUMMYFUNCTION("""COMPUTED_VALUE"""),46212.31990740741)</f>
        <v>46212.31991</v>
      </c>
      <c r="BI418" s="6">
        <f>IFERROR(__xludf.DUMMYFUNCTION("""COMPUTED_VALUE"""),418.0)</f>
        <v>418</v>
      </c>
      <c r="BJ418" s="6"/>
      <c r="BK418" s="6"/>
      <c r="BL418" s="6" t="str">
        <f>IFERROR(__xludf.DUMMYFUNCTION("""COMPUTED_VALUE"""),"GISVEL0011")</f>
        <v>GISVEL0011</v>
      </c>
      <c r="BM418" s="6"/>
      <c r="BN418" s="6"/>
      <c r="BO418" s="6"/>
      <c r="BP418" s="6" t="str">
        <f>IFERROR(__xludf.DUMMYFUNCTION("""COMPUTED_VALUE"""),"XC_5_Futbol_M")</f>
        <v>XC_5_Futbol_M</v>
      </c>
      <c r="BQ418" s="6"/>
      <c r="BR418" s="6"/>
      <c r="BS418" s="6" t="str">
        <f>IFERROR(__xludf.DUMMYFUNCTION("""COMPUTED_VALUE"""),"XC_5_Futbol_M")</f>
        <v>XC_5_Futbol_M</v>
      </c>
      <c r="BT418" s="6" t="str">
        <f>IFERROR(__xludf.DUMMYFUNCTION("""COMPUTED_VALUE"""),"XC_5_Futbol_M")</f>
        <v>XC_5_Futbol_M</v>
      </c>
      <c r="BU418" s="6" t="str">
        <f>IFERROR(__xludf.DUMMYFUNCTION("""COMPUTED_VALUE"""),"SI")</f>
        <v>SI</v>
      </c>
      <c r="BV418" s="6" t="str">
        <f>IFERROR(__xludf.DUMMYFUNCTION("""COMPUTED_VALUE"""),"emilio.v2034")</f>
        <v>emilio.v2034</v>
      </c>
      <c r="BW418" s="6"/>
      <c r="BX418" s="6"/>
      <c r="BY418" s="6"/>
      <c r="BZ418" s="6"/>
    </row>
    <row r="419">
      <c r="A419" s="12">
        <f>IFERROR(__xludf.DUMMYFUNCTION("""COMPUTED_VALUE"""),1.092859884E9)</f>
        <v>1092859884</v>
      </c>
      <c r="B419" s="6">
        <f>IFERROR(__xludf.DUMMYFUNCTION("""COMPUTED_VALUE"""),23.0)</f>
        <v>23</v>
      </c>
      <c r="C419" s="6" t="str">
        <f>IFERROR(__xludf.DUMMYFUNCTION("""COMPUTED_VALUE"""),"Juan")</f>
        <v>Juan</v>
      </c>
      <c r="D419" s="6"/>
      <c r="E419" s="6" t="str">
        <f>IFERROR(__xludf.DUMMYFUNCTION("""COMPUTED_VALUE"""),"Velásquez Restrepo")</f>
        <v>Velásquez Restrepo</v>
      </c>
      <c r="F419" s="6" t="str">
        <f>IFERROR(__xludf.DUMMYFUNCTION("""COMPUTED_VALUE"""),"Conjunto Los Rosales Casa 19 - Km 3 Via Circasia")</f>
        <v>Conjunto Los Rosales Casa 19 - Km 3 Via Circasia</v>
      </c>
      <c r="G419" s="12" t="str">
        <f>IFERROR(__xludf.DUMMYFUNCTION("""COMPUTED_VALUE"""),"2016")</f>
        <v>2016</v>
      </c>
      <c r="H419" s="6" t="str">
        <f>IFERROR(__xludf.DUMMYFUNCTION("""COMPUTED_VALUE"""),"Marzo")</f>
        <v>Marzo</v>
      </c>
      <c r="I419" s="12" t="str">
        <f>IFERROR(__xludf.DUMMYFUNCTION("""COMPUTED_VALUE"""),"19")</f>
        <v>19</v>
      </c>
      <c r="J419" s="6" t="str">
        <f>IFERROR(__xludf.DUMMYFUNCTION("""COMPUTED_VALUE"""),"Armenia")</f>
        <v>Armenia</v>
      </c>
      <c r="K419" s="6" t="str">
        <f>IFERROR(__xludf.DUMMYFUNCTION("""COMPUTED_VALUE"""),"juan.v2034@gi.edu.co")</f>
        <v>juan.v2034@gi.edu.co</v>
      </c>
      <c r="L419" s="6" t="str">
        <f>IFERROR(__xludf.DUMMYFUNCTION("""COMPUTED_VALUE"""),"TI")</f>
        <v>TI</v>
      </c>
      <c r="M419" s="6" t="str">
        <f>IFERROR(__xludf.DUMMYFUNCTION("""COMPUTED_VALUE"""),"Armenia")</f>
        <v>Armenia</v>
      </c>
      <c r="N419" s="6" t="str">
        <f>IFERROR(__xludf.DUMMYFUNCTION("""COMPUTED_VALUE"""),"M")</f>
        <v>M</v>
      </c>
      <c r="O419" s="6" t="str">
        <f>IFERROR(__xludf.DUMMYFUNCTION("""COMPUTED_VALUE"""),"ACTIVE")</f>
        <v>ACTIVE</v>
      </c>
      <c r="P419" s="6"/>
      <c r="Q419" s="6" t="str">
        <f>IFERROR(__xludf.DUMMYFUNCTION("""COMPUTED_VALUE"""),"Armenia")</f>
        <v>Armenia</v>
      </c>
      <c r="R419" s="12" t="str">
        <f>IFERROR(__xludf.DUMMYFUNCTION("""COMPUTED_VALUE"""),"Gi89er45*")</f>
        <v>Gi89er45*</v>
      </c>
      <c r="S419" s="6" t="str">
        <f>IFERROR(__xludf.DUMMYFUNCTION("""COMPUTED_VALUE"""),"Velásquez Restrepo Juan ")</f>
        <v>Velásquez Restrepo Juan </v>
      </c>
      <c r="T419" s="6" t="str">
        <f>IFERROR(__xludf.DUMMYFUNCTION("""COMPUTED_VALUE"""),"CAROLINA RESTREPO BONILLA")</f>
        <v>CAROLINA RESTREPO BONILLA</v>
      </c>
      <c r="U419" s="12" t="str">
        <f>IFERROR(__xludf.DUMMYFUNCTION("""COMPUTED_VALUE"""),"41950581")</f>
        <v>41950581</v>
      </c>
      <c r="V419" s="6">
        <f>IFERROR(__xludf.DUMMYFUNCTION("""COMPUTED_VALUE"""),3.104307207E9)</f>
        <v>3104307207</v>
      </c>
      <c r="W419" s="6" t="str">
        <f>IFERROR(__xludf.DUMMYFUNCTION("""COMPUTED_VALUE"""),"carolinarestrepobonilla@hotmail.com")</f>
        <v>carolinarestrepobonilla@hotmail.com</v>
      </c>
      <c r="X419" s="12" t="str">
        <f>IFERROR(__xludf.DUMMYFUNCTION("""COMPUTED_VALUE"""),"O+")</f>
        <v>O+</v>
      </c>
      <c r="Y419" s="12" t="str">
        <f>IFERROR(__xludf.DUMMYFUNCTION("""COMPUTED_VALUE"""),"5")</f>
        <v>5</v>
      </c>
      <c r="Z419" s="12">
        <f>IFERROR(__xludf.DUMMYFUNCTION("""COMPUTED_VALUE"""),103783.0)</f>
        <v>103783</v>
      </c>
      <c r="AA419" s="6" t="str">
        <f>IFERROR(__xludf.DUMMYFUNCTION("""COMPUTED_VALUE"""),"SURA")</f>
        <v>SURA</v>
      </c>
      <c r="AB419" s="6" t="str">
        <f>IFERROR(__xludf.DUMMYFUNCTION("""COMPUTED_VALUE"""),"Emi")</f>
        <v>Emi</v>
      </c>
      <c r="AC419" s="6"/>
      <c r="AD419" s="12" t="str">
        <f>IFERROR(__xludf.DUMMYFUNCTION("""COMPUTED_VALUE"""),"5A")</f>
        <v>5A</v>
      </c>
      <c r="AE419" s="12">
        <f>IFERROR(__xludf.DUMMYFUNCTION("""COMPUTED_VALUE"""),1.345281778E9)</f>
        <v>1345281778</v>
      </c>
      <c r="AF419" s="12" t="str">
        <f>IFERROR(__xludf.DUMMYFUNCTION("""COMPUTED_VALUE"""),"0696375923")</f>
        <v>0696375923</v>
      </c>
      <c r="AG419" s="12" t="str">
        <f>IFERROR(__xludf.DUMMYFUNCTION("""COMPUTED_VALUE"""),"Carolina")</f>
        <v>Carolina</v>
      </c>
      <c r="AH419" s="6"/>
      <c r="AI419" s="6" t="str">
        <f>IFERROR(__xludf.DUMMYFUNCTION("""COMPUTED_VALUE"""),"Restrepo Bonilla")</f>
        <v>Restrepo Bonilla</v>
      </c>
      <c r="AJ419" s="6" t="str">
        <f>IFERROR(__xludf.DUMMYFUNCTION("""COMPUTED_VALUE"""),"carolinarestrepobonilla@hotmail.com")</f>
        <v>carolinarestrepobonilla@hotmail.com</v>
      </c>
      <c r="AK419" s="6" t="str">
        <f>IFERROR(__xludf.DUMMYFUNCTION("""COMPUTED_VALUE"""),"Admon de empresas")</f>
        <v>Admon de empresas</v>
      </c>
      <c r="AL419" s="6"/>
      <c r="AM419" s="12" t="str">
        <f>IFERROR(__xludf.DUMMYFUNCTION("""COMPUTED_VALUE"""),"41950581")</f>
        <v>41950581</v>
      </c>
      <c r="AN419" s="12" t="str">
        <f>IFERROR(__xludf.DUMMYFUNCTION("""COMPUTED_VALUE"""),"3104307207")</f>
        <v>3104307207</v>
      </c>
      <c r="AO419" s="6" t="str">
        <f>IFERROR(__xludf.DUMMYFUNCTION("""COMPUTED_VALUE"""),"Madre")</f>
        <v>Madre</v>
      </c>
      <c r="AP419" s="6" t="str">
        <f>IFERROR(__xludf.DUMMYFUNCTION("""COMPUTED_VALUE"""),"Estudiante(s): Velásquez Restrepo")</f>
        <v>Estudiante(s): Velásquez Restrepo</v>
      </c>
      <c r="AQ419" s="6" t="str">
        <f>IFERROR(__xludf.DUMMYFUNCTION("""COMPUTED_VALUE"""),"103783*Gi")</f>
        <v>103783*Gi</v>
      </c>
      <c r="AR419" s="6" t="str">
        <f>IFERROR(__xludf.DUMMYFUNCTION("""COMPUTED_VALUE"""),"Eduardo")</f>
        <v>Eduardo</v>
      </c>
      <c r="AS419" s="6"/>
      <c r="AT419" s="6" t="str">
        <f>IFERROR(__xludf.DUMMYFUNCTION("""COMPUTED_VALUE"""),"Velásquez Arango")</f>
        <v>Velásquez Arango</v>
      </c>
      <c r="AU419" s="6" t="str">
        <f>IFERROR(__xludf.DUMMYFUNCTION("""COMPUTED_VALUE"""),"edvear@hotmail.com")</f>
        <v>edvear@hotmail.com</v>
      </c>
      <c r="AV419" s="6" t="str">
        <f>IFERROR(__xludf.DUMMYFUNCTION("""COMPUTED_VALUE"""),"Agricola")</f>
        <v>Agricola</v>
      </c>
      <c r="AW419" s="6"/>
      <c r="AX419" s="12" t="str">
        <f>IFERROR(__xludf.DUMMYFUNCTION("""COMPUTED_VALUE"""),"9730353")</f>
        <v>9730353</v>
      </c>
      <c r="AY419" s="12" t="str">
        <f>IFERROR(__xludf.DUMMYFUNCTION("""COMPUTED_VALUE"""),"3168331520")</f>
        <v>3168331520</v>
      </c>
      <c r="AZ419" s="6" t="str">
        <f>IFERROR(__xludf.DUMMYFUNCTION("""COMPUTED_VALUE"""),"Padre")</f>
        <v>Padre</v>
      </c>
      <c r="BA419" s="6"/>
      <c r="BB419" s="6"/>
      <c r="BC419" s="6"/>
      <c r="BD419" s="12" t="str">
        <f>IFERROR(__xludf.DUMMYFUNCTION("""COMPUTED_VALUE"""),"vel0013")</f>
        <v>vel0013</v>
      </c>
      <c r="BE419" s="6"/>
      <c r="BF419" s="6"/>
      <c r="BG419" s="6">
        <f>IFERROR(__xludf.DUMMYFUNCTION("""COMPUTED_VALUE"""),2034.0)</f>
        <v>2034</v>
      </c>
      <c r="BH419" s="15">
        <f>IFERROR(__xludf.DUMMYFUNCTION("""COMPUTED_VALUE"""),46208.57840277778)</f>
        <v>46208.5784</v>
      </c>
      <c r="BI419" s="6">
        <f>IFERROR(__xludf.DUMMYFUNCTION("""COMPUTED_VALUE"""),419.0)</f>
        <v>419</v>
      </c>
      <c r="BJ419" s="6"/>
      <c r="BK419" s="6"/>
      <c r="BL419" s="6" t="str">
        <f>IFERROR(__xludf.DUMMYFUNCTION("""COMPUTED_VALUE"""),"GISVEL0013")</f>
        <v>GISVEL0013</v>
      </c>
      <c r="BM419" s="6"/>
      <c r="BN419" s="6"/>
      <c r="BO419" s="6"/>
      <c r="BP419" s="6"/>
      <c r="BQ419" s="6"/>
      <c r="BR419" s="6" t="str">
        <f>IFERROR(__xludf.DUMMYFUNCTION("""COMPUTED_VALUE"""),"XC_Robo_Lego")</f>
        <v>XC_Robo_Lego</v>
      </c>
      <c r="BS419" s="6"/>
      <c r="BT419" s="6"/>
      <c r="BU419" s="6" t="str">
        <f>IFERROR(__xludf.DUMMYFUNCTION("""COMPUTED_VALUE"""),"SI")</f>
        <v>SI</v>
      </c>
      <c r="BV419" s="6" t="str">
        <f>IFERROR(__xludf.DUMMYFUNCTION("""COMPUTED_VALUE"""),"juan.v2034")</f>
        <v>juan.v2034</v>
      </c>
      <c r="BW419" s="6"/>
      <c r="BX419" s="6"/>
      <c r="BY419" s="6"/>
      <c r="BZ419" s="6"/>
    </row>
    <row r="420">
      <c r="A420" s="12">
        <f>IFERROR(__xludf.DUMMYFUNCTION("""COMPUTED_VALUE"""),1.019912923E9)</f>
        <v>1019912923</v>
      </c>
      <c r="B420" s="6">
        <f>IFERROR(__xludf.DUMMYFUNCTION("""COMPUTED_VALUE"""),24.0)</f>
        <v>24</v>
      </c>
      <c r="C420" s="6" t="str">
        <f>IFERROR(__xludf.DUMMYFUNCTION("""COMPUTED_VALUE"""),"Valentina")</f>
        <v>Valentina</v>
      </c>
      <c r="D420" s="6"/>
      <c r="E420" s="6" t="str">
        <f>IFERROR(__xludf.DUMMYFUNCTION("""COMPUTED_VALUE"""),"Villegas Castro")</f>
        <v>Villegas Castro</v>
      </c>
      <c r="F420" s="6" t="str">
        <f>IFERROR(__xludf.DUMMYFUNCTION("""COMPUTED_VALUE"""),"Condominio Haciendas el Rancho Casa 11 - Vereda la Argentina Km 2 Via Aeropuerto el Edén 633027")</f>
        <v>Condominio Haciendas el Rancho Casa 11 - Vereda la Argentina Km 2 Via Aeropuerto el Edén 633027</v>
      </c>
      <c r="G420" s="12" t="str">
        <f>IFERROR(__xludf.DUMMYFUNCTION("""COMPUTED_VALUE"""),"2016")</f>
        <v>2016</v>
      </c>
      <c r="H420" s="6" t="str">
        <f>IFERROR(__xludf.DUMMYFUNCTION("""COMPUTED_VALUE"""),"Mayo")</f>
        <v>Mayo</v>
      </c>
      <c r="I420" s="12" t="str">
        <f>IFERROR(__xludf.DUMMYFUNCTION("""COMPUTED_VALUE"""),"2")</f>
        <v>2</v>
      </c>
      <c r="J420" s="6" t="str">
        <f>IFERROR(__xludf.DUMMYFUNCTION("""COMPUTED_VALUE"""),"Bogotá D.C.")</f>
        <v>Bogotá D.C.</v>
      </c>
      <c r="K420" s="6" t="str">
        <f>IFERROR(__xludf.DUMMYFUNCTION("""COMPUTED_VALUE"""),"valentina.v2034@gi.edu.co")</f>
        <v>valentina.v2034@gi.edu.co</v>
      </c>
      <c r="L420" s="6" t="str">
        <f>IFERROR(__xludf.DUMMYFUNCTION("""COMPUTED_VALUE"""),"TI")</f>
        <v>TI</v>
      </c>
      <c r="M420" s="6" t="str">
        <f>IFERROR(__xludf.DUMMYFUNCTION("""COMPUTED_VALUE"""),"Armenia")</f>
        <v>Armenia</v>
      </c>
      <c r="N420" s="6" t="str">
        <f>IFERROR(__xludf.DUMMYFUNCTION("""COMPUTED_VALUE"""),"F")</f>
        <v>F</v>
      </c>
      <c r="O420" s="6" t="str">
        <f>IFERROR(__xludf.DUMMYFUNCTION("""COMPUTED_VALUE"""),"ACTIVE")</f>
        <v>ACTIVE</v>
      </c>
      <c r="P420" s="6"/>
      <c r="Q420" s="6" t="str">
        <f>IFERROR(__xludf.DUMMYFUNCTION("""COMPUTED_VALUE"""),"La Tebaida")</f>
        <v>La Tebaida</v>
      </c>
      <c r="R420" s="12" t="str">
        <f>IFERROR(__xludf.DUMMYFUNCTION("""COMPUTED_VALUE"""),"Gi8mRd8LH*")</f>
        <v>Gi8mRd8LH*</v>
      </c>
      <c r="S420" s="6" t="str">
        <f>IFERROR(__xludf.DUMMYFUNCTION("""COMPUTED_VALUE"""),"Villegas Castro Valentina ")</f>
        <v>Villegas Castro Valentina </v>
      </c>
      <c r="T420" s="6" t="str">
        <f>IFERROR(__xludf.DUMMYFUNCTION("""COMPUTED_VALUE"""),"ALVARO JOSE VILLEGAS TOBON")</f>
        <v>ALVARO JOSE VILLEGAS TOBON</v>
      </c>
      <c r="U420" s="12" t="str">
        <f>IFERROR(__xludf.DUMMYFUNCTION("""COMPUTED_VALUE"""),"80424016")</f>
        <v>80424016</v>
      </c>
      <c r="V420" s="6">
        <f>IFERROR(__xludf.DUMMYFUNCTION("""COMPUTED_VALUE"""),3.158363366E9)</f>
        <v>3158363366</v>
      </c>
      <c r="W420" s="6" t="str">
        <f>IFERROR(__xludf.DUMMYFUNCTION("""COMPUTED_VALUE"""),"alvaro2@hotmail.com")</f>
        <v>alvaro2@hotmail.com</v>
      </c>
      <c r="X420" s="12" t="str">
        <f>IFERROR(__xludf.DUMMYFUNCTION("""COMPUTED_VALUE"""),"A+")</f>
        <v>A+</v>
      </c>
      <c r="Y420" s="12" t="str">
        <f>IFERROR(__xludf.DUMMYFUNCTION("""COMPUTED_VALUE"""),"5")</f>
        <v>5</v>
      </c>
      <c r="Z420" s="12">
        <f>IFERROR(__xludf.DUMMYFUNCTION("""COMPUTED_VALUE"""),120153.0)</f>
        <v>120153</v>
      </c>
      <c r="AA420" s="6" t="str">
        <f>IFERROR(__xludf.DUMMYFUNCTION("""COMPUTED_VALUE"""),"SANITAS")</f>
        <v>SANITAS</v>
      </c>
      <c r="AB420" s="6"/>
      <c r="AC420" s="6"/>
      <c r="AD420" s="12" t="str">
        <f>IFERROR(__xludf.DUMMYFUNCTION("""COMPUTED_VALUE"""),"5A")</f>
        <v>5A</v>
      </c>
      <c r="AE420" s="12">
        <f>IFERROR(__xludf.DUMMYFUNCTION("""COMPUTED_VALUE"""),1.345282167E9)</f>
        <v>1345282167</v>
      </c>
      <c r="AF420" s="12" t="str">
        <f>IFERROR(__xludf.DUMMYFUNCTION("""COMPUTED_VALUE"""),"0672787267")</f>
        <v>0672787267</v>
      </c>
      <c r="AG420" s="12" t="str">
        <f>IFERROR(__xludf.DUMMYFUNCTION("""COMPUTED_VALUE"""),"Lina")</f>
        <v>Lina</v>
      </c>
      <c r="AH420" s="12" t="str">
        <f>IFERROR(__xludf.DUMMYFUNCTION("""COMPUTED_VALUE"""),"Maria")</f>
        <v>Maria</v>
      </c>
      <c r="AI420" s="6" t="str">
        <f>IFERROR(__xludf.DUMMYFUNCTION("""COMPUTED_VALUE"""),"Castro Díaz")</f>
        <v>Castro Díaz</v>
      </c>
      <c r="AJ420" s="6" t="str">
        <f>IFERROR(__xludf.DUMMYFUNCTION("""COMPUTED_VALUE"""),"linamcastro10@hotmail.com")</f>
        <v>linamcastro10@hotmail.com</v>
      </c>
      <c r="AK420" s="6" t="str">
        <f>IFERROR(__xludf.DUMMYFUNCTION("""COMPUTED_VALUE"""),"Abogada")</f>
        <v>Abogada</v>
      </c>
      <c r="AL420" s="6"/>
      <c r="AM420" s="12" t="str">
        <f>IFERROR(__xludf.DUMMYFUNCTION("""COMPUTED_VALUE"""),"41953196")</f>
        <v>41953196</v>
      </c>
      <c r="AN420" s="12" t="str">
        <f>IFERROR(__xludf.DUMMYFUNCTION("""COMPUTED_VALUE"""),"3116295491")</f>
        <v>3116295491</v>
      </c>
      <c r="AO420" s="6" t="str">
        <f>IFERROR(__xludf.DUMMYFUNCTION("""COMPUTED_VALUE"""),"Madre")</f>
        <v>Madre</v>
      </c>
      <c r="AP420" s="6" t="str">
        <f>IFERROR(__xludf.DUMMYFUNCTION("""COMPUTED_VALUE"""),"Estudiante(s): Villegas Castro")</f>
        <v>Estudiante(s): Villegas Castro</v>
      </c>
      <c r="AQ420" s="6" t="str">
        <f>IFERROR(__xludf.DUMMYFUNCTION("""COMPUTED_VALUE"""),"120153*Gi")</f>
        <v>120153*Gi</v>
      </c>
      <c r="AR420" s="6" t="str">
        <f>IFERROR(__xludf.DUMMYFUNCTION("""COMPUTED_VALUE"""),"Álvaro")</f>
        <v>Álvaro</v>
      </c>
      <c r="AS420" s="6" t="str">
        <f>IFERROR(__xludf.DUMMYFUNCTION("""COMPUTED_VALUE"""),"José")</f>
        <v>José</v>
      </c>
      <c r="AT420" s="6" t="str">
        <f>IFERROR(__xludf.DUMMYFUNCTION("""COMPUTED_VALUE"""),"Villegas Tobón")</f>
        <v>Villegas Tobón</v>
      </c>
      <c r="AU420" s="6" t="str">
        <f>IFERROR(__xludf.DUMMYFUNCTION("""COMPUTED_VALUE"""),"alvaro2@hotmail.com")</f>
        <v>alvaro2@hotmail.com</v>
      </c>
      <c r="AV420" s="6" t="str">
        <f>IFERROR(__xludf.DUMMYFUNCTION("""COMPUTED_VALUE"""),"Arquitecto")</f>
        <v>Arquitecto</v>
      </c>
      <c r="AW420" s="6" t="str">
        <f>IFERROR(__xludf.DUMMYFUNCTION("""COMPUTED_VALUE"""),"Global ICG")</f>
        <v>Global ICG</v>
      </c>
      <c r="AX420" s="12" t="str">
        <f>IFERROR(__xludf.DUMMYFUNCTION("""COMPUTED_VALUE"""),"80424016")</f>
        <v>80424016</v>
      </c>
      <c r="AY420" s="12" t="str">
        <f>IFERROR(__xludf.DUMMYFUNCTION("""COMPUTED_VALUE"""),"3158363366")</f>
        <v>3158363366</v>
      </c>
      <c r="AZ420" s="6" t="str">
        <f>IFERROR(__xludf.DUMMYFUNCTION("""COMPUTED_VALUE"""),"Padre")</f>
        <v>Padre</v>
      </c>
      <c r="BA420" s="6"/>
      <c r="BB420" s="6"/>
      <c r="BC420" s="6"/>
      <c r="BD420" s="12" t="str">
        <f>IFERROR(__xludf.DUMMYFUNCTION("""COMPUTED_VALUE"""),"vil0002")</f>
        <v>vil0002</v>
      </c>
      <c r="BE420" s="6"/>
      <c r="BF420" s="6"/>
      <c r="BG420" s="6">
        <f>IFERROR(__xludf.DUMMYFUNCTION("""COMPUTED_VALUE"""),2034.0)</f>
        <v>2034</v>
      </c>
      <c r="BH420" s="15">
        <f>IFERROR(__xludf.DUMMYFUNCTION("""COMPUTED_VALUE"""),46207.55986111111)</f>
        <v>46207.55986</v>
      </c>
      <c r="BI420" s="6">
        <f>IFERROR(__xludf.DUMMYFUNCTION("""COMPUTED_VALUE"""),420.0)</f>
        <v>420</v>
      </c>
      <c r="BJ420" s="6"/>
      <c r="BK420" s="6"/>
      <c r="BL420" s="6" t="str">
        <f>IFERROR(__xludf.DUMMYFUNCTION("""COMPUTED_VALUE"""),"GISVIL0002")</f>
        <v>GISVIL0002</v>
      </c>
      <c r="BM420" s="6"/>
      <c r="BN420" s="6"/>
      <c r="BO420" s="6"/>
      <c r="BP420" s="6"/>
      <c r="BQ420" s="6"/>
      <c r="BR420" s="6"/>
      <c r="BS420" s="6"/>
      <c r="BT420" s="6"/>
      <c r="BU420" s="6" t="str">
        <f>IFERROR(__xludf.DUMMYFUNCTION("""COMPUTED_VALUE"""),"SI")</f>
        <v>SI</v>
      </c>
      <c r="BV420" s="6" t="str">
        <f>IFERROR(__xludf.DUMMYFUNCTION("""COMPUTED_VALUE"""),"valentina.v2034")</f>
        <v>valentina.v2034</v>
      </c>
      <c r="BW420" s="6"/>
      <c r="BX420" s="6"/>
      <c r="BY420" s="6"/>
      <c r="B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 t="str">
        <f>IFERROR(__xludf.DUMMYFUNCTION("""COMPUTED_VALUE"""),"Madre")</f>
        <v>Madre</v>
      </c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 t="str">
        <f>IFERROR(__xludf.DUMMYFUNCTION("""COMPUTED_VALUE"""),"Padre")</f>
        <v>Padre</v>
      </c>
      <c r="BA421" s="6"/>
      <c r="BB421" s="6"/>
      <c r="BC421" s="6"/>
      <c r="BD421" s="6"/>
      <c r="BE421" s="6"/>
      <c r="BF421" s="6"/>
      <c r="BG421" s="6"/>
      <c r="BH421" s="6"/>
      <c r="BI421" s="6">
        <f>IFERROR(__xludf.DUMMYFUNCTION("""COMPUTED_VALUE"""),421.0)</f>
        <v>421</v>
      </c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6"/>
      <c r="BW421" s="6"/>
      <c r="BX421" s="6"/>
      <c r="BY421" s="6"/>
      <c r="BZ421" s="6"/>
    </row>
    <row r="422">
      <c r="A422" s="12">
        <f>IFERROR(__xludf.DUMMYFUNCTION("""COMPUTED_VALUE"""),1.092859677E9)</f>
        <v>1092859677</v>
      </c>
      <c r="B422" s="6">
        <f>IFERROR(__xludf.DUMMYFUNCTION("""COMPUTED_VALUE"""),1.0)</f>
        <v>1</v>
      </c>
      <c r="C422" s="6" t="str">
        <f>IFERROR(__xludf.DUMMYFUNCTION("""COMPUTED_VALUE"""),"Milagros")</f>
        <v>Milagros</v>
      </c>
      <c r="D422" s="6"/>
      <c r="E422" s="6" t="str">
        <f>IFERROR(__xludf.DUMMYFUNCTION("""COMPUTED_VALUE"""),"Agudelo León")</f>
        <v>Agudelo León</v>
      </c>
      <c r="F422" s="6" t="str">
        <f>IFERROR(__xludf.DUMMYFUNCTION("""COMPUTED_VALUE"""),"Parque Residencial Los Cedros - Calle 50Nte No15 - 1")</f>
        <v>Parque Residencial Los Cedros - Calle 50Nte No15 - 1</v>
      </c>
      <c r="G422" s="12" t="str">
        <f>IFERROR(__xludf.DUMMYFUNCTION("""COMPUTED_VALUE"""),"2015")</f>
        <v>2015</v>
      </c>
      <c r="H422" s="6" t="str">
        <f>IFERROR(__xludf.DUMMYFUNCTION("""COMPUTED_VALUE"""),"Diciembre")</f>
        <v>Diciembre</v>
      </c>
      <c r="I422" s="12" t="str">
        <f>IFERROR(__xludf.DUMMYFUNCTION("""COMPUTED_VALUE"""),"24")</f>
        <v>24</v>
      </c>
      <c r="J422" s="6" t="str">
        <f>IFERROR(__xludf.DUMMYFUNCTION("""COMPUTED_VALUE"""),"Armenia")</f>
        <v>Armenia</v>
      </c>
      <c r="K422" s="6" t="str">
        <f>IFERROR(__xludf.DUMMYFUNCTION("""COMPUTED_VALUE"""),"milagros.a2034@gi.edu.co")</f>
        <v>milagros.a2034@gi.edu.co</v>
      </c>
      <c r="L422" s="6" t="str">
        <f>IFERROR(__xludf.DUMMYFUNCTION("""COMPUTED_VALUE"""),"TI")</f>
        <v>TI</v>
      </c>
      <c r="M422" s="6" t="str">
        <f>IFERROR(__xludf.DUMMYFUNCTION("""COMPUTED_VALUE"""),"Armenia")</f>
        <v>Armenia</v>
      </c>
      <c r="N422" s="6" t="str">
        <f>IFERROR(__xludf.DUMMYFUNCTION("""COMPUTED_VALUE"""),"F")</f>
        <v>F</v>
      </c>
      <c r="O422" s="6" t="str">
        <f>IFERROR(__xludf.DUMMYFUNCTION("""COMPUTED_VALUE"""),"ACTIVE")</f>
        <v>ACTIVE</v>
      </c>
      <c r="P422" s="6"/>
      <c r="Q422" s="6" t="str">
        <f>IFERROR(__xludf.DUMMYFUNCTION("""COMPUTED_VALUE"""),"Armenia")</f>
        <v>Armenia</v>
      </c>
      <c r="R422" s="12" t="str">
        <f>IFERROR(__xludf.DUMMYFUNCTION("""COMPUTED_VALUE"""),"Gi34cvtg*")</f>
        <v>Gi34cvtg*</v>
      </c>
      <c r="S422" s="6" t="str">
        <f>IFERROR(__xludf.DUMMYFUNCTION("""COMPUTED_VALUE"""),"Agudelo León Milagros ")</f>
        <v>Agudelo León Milagros </v>
      </c>
      <c r="T422" s="6" t="str">
        <f>IFERROR(__xludf.DUMMYFUNCTION("""COMPUTED_VALUE"""),"LUISA FERNANDA LEÓN BETANCOURTH")</f>
        <v>LUISA FERNANDA LEÓN BETANCOURTH</v>
      </c>
      <c r="U422" s="12" t="str">
        <f>IFERROR(__xludf.DUMMYFUNCTION("""COMPUTED_VALUE"""),"41956004")</f>
        <v>41956004</v>
      </c>
      <c r="V422" s="6">
        <f>IFERROR(__xludf.DUMMYFUNCTION("""COMPUTED_VALUE"""),3.188642409E9)</f>
        <v>3188642409</v>
      </c>
      <c r="W422" s="6" t="str">
        <f>IFERROR(__xludf.DUMMYFUNCTION("""COMPUTED_VALUE"""),"luisa.leonbt@gmail.com")</f>
        <v>luisa.leonbt@gmail.com</v>
      </c>
      <c r="X422" s="12" t="str">
        <f>IFERROR(__xludf.DUMMYFUNCTION("""COMPUTED_VALUE"""),"A+")</f>
        <v>A+</v>
      </c>
      <c r="Y422" s="12" t="str">
        <f>IFERROR(__xludf.DUMMYFUNCTION("""COMPUTED_VALUE"""),"5")</f>
        <v>5</v>
      </c>
      <c r="Z422" s="12">
        <f>IFERROR(__xludf.DUMMYFUNCTION("""COMPUTED_VALUE"""),103791.0)</f>
        <v>103791</v>
      </c>
      <c r="AA422" s="6" t="str">
        <f>IFERROR(__xludf.DUMMYFUNCTION("""COMPUTED_VALUE"""),"SURA")</f>
        <v>SURA</v>
      </c>
      <c r="AB422" s="6" t="str">
        <f>IFERROR(__xludf.DUMMYFUNCTION("""COMPUTED_VALUE"""),"EMI")</f>
        <v>EMI</v>
      </c>
      <c r="AC422" s="6"/>
      <c r="AD422" s="12" t="str">
        <f>IFERROR(__xludf.DUMMYFUNCTION("""COMPUTED_VALUE"""),"5B")</f>
        <v>5B</v>
      </c>
      <c r="AE422" s="12">
        <f>IFERROR(__xludf.DUMMYFUNCTION("""COMPUTED_VALUE"""),1.345281888E9)</f>
        <v>1345281888</v>
      </c>
      <c r="AF422" s="12" t="str">
        <f>IFERROR(__xludf.DUMMYFUNCTION("""COMPUTED_VALUE"""),"0709548691")</f>
        <v>0709548691</v>
      </c>
      <c r="AG422" s="12" t="str">
        <f>IFERROR(__xludf.DUMMYFUNCTION("""COMPUTED_VALUE"""),"Luisa")</f>
        <v>Luisa</v>
      </c>
      <c r="AH422" s="12" t="str">
        <f>IFERROR(__xludf.DUMMYFUNCTION("""COMPUTED_VALUE"""),"Fernanda")</f>
        <v>Fernanda</v>
      </c>
      <c r="AI422" s="6" t="str">
        <f>IFERROR(__xludf.DUMMYFUNCTION("""COMPUTED_VALUE"""),"León Betancourth")</f>
        <v>León Betancourth</v>
      </c>
      <c r="AJ422" s="6" t="str">
        <f>IFERROR(__xludf.DUMMYFUNCTION("""COMPUTED_VALUE"""),"luisa.leonbt@gmail.com")</f>
        <v>luisa.leonbt@gmail.com</v>
      </c>
      <c r="AK422" s="6"/>
      <c r="AL422" s="6"/>
      <c r="AM422" s="12" t="str">
        <f>IFERROR(__xludf.DUMMYFUNCTION("""COMPUTED_VALUE"""),"41956004")</f>
        <v>41956004</v>
      </c>
      <c r="AN422" s="12" t="str">
        <f>IFERROR(__xludf.DUMMYFUNCTION("""COMPUTED_VALUE"""),"3188642409")</f>
        <v>3188642409</v>
      </c>
      <c r="AO422" s="6" t="str">
        <f>IFERROR(__xludf.DUMMYFUNCTION("""COMPUTED_VALUE"""),"Madre")</f>
        <v>Madre</v>
      </c>
      <c r="AP422" s="6" t="str">
        <f>IFERROR(__xludf.DUMMYFUNCTION("""COMPUTED_VALUE"""),"Estudiante(s): Milagros Agudelo Leon &amp; Paz Marin Leon")</f>
        <v>Estudiante(s): Milagros Agudelo Leon &amp; Paz Marin Leon</v>
      </c>
      <c r="AQ422" s="6" t="str">
        <f>IFERROR(__xludf.DUMMYFUNCTION("""COMPUTED_VALUE"""),"103791*Gi")</f>
        <v>103791*Gi</v>
      </c>
      <c r="AR422" s="6" t="str">
        <f>IFERROR(__xludf.DUMMYFUNCTION("""COMPUTED_VALUE"""),"Octavio")</f>
        <v>Octavio</v>
      </c>
      <c r="AS422" s="6" t="str">
        <f>IFERROR(__xludf.DUMMYFUNCTION("""COMPUTED_VALUE"""),"Alexander")</f>
        <v>Alexander</v>
      </c>
      <c r="AT422" s="6" t="str">
        <f>IFERROR(__xludf.DUMMYFUNCTION("""COMPUTED_VALUE"""),"Agudelo")</f>
        <v>Agudelo</v>
      </c>
      <c r="AU422" s="6" t="str">
        <f>IFERROR(__xludf.DUMMYFUNCTION("""COMPUTED_VALUE"""),"mkzagudelo@gmail.com")</f>
        <v>mkzagudelo@gmail.com</v>
      </c>
      <c r="AV422" s="6" t="str">
        <f>IFERROR(__xludf.DUMMYFUNCTION("""COMPUTED_VALUE"""),"administrador de empresas")</f>
        <v>administrador de empresas</v>
      </c>
      <c r="AW422" s="6" t="str">
        <f>IFERROR(__xludf.DUMMYFUNCTION("""COMPUTED_VALUE"""),"Independiente")</f>
        <v>Independiente</v>
      </c>
      <c r="AX422" s="12" t="str">
        <f>IFERROR(__xludf.DUMMYFUNCTION("""COMPUTED_VALUE"""),"18495288")</f>
        <v>18495288</v>
      </c>
      <c r="AY422" s="12" t="str">
        <f>IFERROR(__xludf.DUMMYFUNCTION("""COMPUTED_VALUE"""),"3146452800")</f>
        <v>3146452800</v>
      </c>
      <c r="AZ422" s="6" t="str">
        <f>IFERROR(__xludf.DUMMYFUNCTION("""COMPUTED_VALUE"""),"Padre")</f>
        <v>Padre</v>
      </c>
      <c r="BA422" s="6"/>
      <c r="BB422" s="6"/>
      <c r="BC422" s="6"/>
      <c r="BD422" s="12" t="str">
        <f>IFERROR(__xludf.DUMMYFUNCTION("""COMPUTED_VALUE"""),"agu0009")</f>
        <v>agu0009</v>
      </c>
      <c r="BE422" s="6"/>
      <c r="BF422" s="6"/>
      <c r="BG422" s="6">
        <f>IFERROR(__xludf.DUMMYFUNCTION("""COMPUTED_VALUE"""),2034.0)</f>
        <v>2034</v>
      </c>
      <c r="BH422" s="15">
        <f>IFERROR(__xludf.DUMMYFUNCTION("""COMPUTED_VALUE"""),46212.61548611111)</f>
        <v>46212.61549</v>
      </c>
      <c r="BI422" s="6">
        <f>IFERROR(__xludf.DUMMYFUNCTION("""COMPUTED_VALUE"""),422.0)</f>
        <v>422</v>
      </c>
      <c r="BJ422" s="6"/>
      <c r="BK422" s="6"/>
      <c r="BL422" s="6" t="str">
        <f>IFERROR(__xludf.DUMMYFUNCTION("""COMPUTED_VALUE"""),"GISAGU0009")</f>
        <v>GISAGU0009</v>
      </c>
      <c r="BM422" s="6"/>
      <c r="BN422" s="6"/>
      <c r="BO422" s="6"/>
      <c r="BP422" s="6"/>
      <c r="BQ422" s="6"/>
      <c r="BR422" s="6"/>
      <c r="BS422" s="6"/>
      <c r="BT422" s="6"/>
      <c r="BU422" s="6" t="str">
        <f>IFERROR(__xludf.DUMMYFUNCTION("""COMPUTED_VALUE"""),"SI")</f>
        <v>SI</v>
      </c>
      <c r="BV422" s="6" t="str">
        <f>IFERROR(__xludf.DUMMYFUNCTION("""COMPUTED_VALUE"""),"milagros.a2034")</f>
        <v>milagros.a2034</v>
      </c>
      <c r="BW422" s="6"/>
      <c r="BX422" s="6"/>
      <c r="BY422" s="6"/>
      <c r="BZ422" s="6"/>
    </row>
    <row r="423">
      <c r="A423" s="12">
        <f>IFERROR(__xludf.DUMMYFUNCTION("""COMPUTED_VALUE"""),1.095210818E9)</f>
        <v>1095210818</v>
      </c>
      <c r="B423" s="6">
        <f>IFERROR(__xludf.DUMMYFUNCTION("""COMPUTED_VALUE"""),2.0)</f>
        <v>2</v>
      </c>
      <c r="C423" s="6" t="str">
        <f>IFERROR(__xludf.DUMMYFUNCTION("""COMPUTED_VALUE"""),"Isabella")</f>
        <v>Isabella</v>
      </c>
      <c r="D423" s="6"/>
      <c r="E423" s="6" t="str">
        <f>IFERROR(__xludf.DUMMYFUNCTION("""COMPUTED_VALUE"""),"Aragón Hernández")</f>
        <v>Aragón Hernández</v>
      </c>
      <c r="F423" s="6" t="str">
        <f>IFERROR(__xludf.DUMMYFUNCTION("""COMPUTED_VALUE"""),"Km 10 Vía al Valle - El Refugio del Eden")</f>
        <v>Km 10 Vía al Valle - El Refugio del Eden</v>
      </c>
      <c r="G423" s="12" t="str">
        <f>IFERROR(__xludf.DUMMYFUNCTION("""COMPUTED_VALUE"""),"2016")</f>
        <v>2016</v>
      </c>
      <c r="H423" s="6" t="str">
        <f>IFERROR(__xludf.DUMMYFUNCTION("""COMPUTED_VALUE"""),"Septiembre")</f>
        <v>Septiembre</v>
      </c>
      <c r="I423" s="12" t="str">
        <f>IFERROR(__xludf.DUMMYFUNCTION("""COMPUTED_VALUE"""),"11")</f>
        <v>11</v>
      </c>
      <c r="J423" s="6" t="str">
        <f>IFERROR(__xludf.DUMMYFUNCTION("""COMPUTED_VALUE"""),"Armenia")</f>
        <v>Armenia</v>
      </c>
      <c r="K423" s="6" t="str">
        <f>IFERROR(__xludf.DUMMYFUNCTION("""COMPUTED_VALUE"""),"isabella.a2034@gi.edu.co")</f>
        <v>isabella.a2034@gi.edu.co</v>
      </c>
      <c r="L423" s="6" t="str">
        <f>IFERROR(__xludf.DUMMYFUNCTION("""COMPUTED_VALUE"""),"TI")</f>
        <v>TI</v>
      </c>
      <c r="M423" s="6" t="str">
        <f>IFERROR(__xludf.DUMMYFUNCTION("""COMPUTED_VALUE"""),"Armenia")</f>
        <v>Armenia</v>
      </c>
      <c r="N423" s="6" t="str">
        <f>IFERROR(__xludf.DUMMYFUNCTION("""COMPUTED_VALUE"""),"F")</f>
        <v>F</v>
      </c>
      <c r="O423" s="6" t="str">
        <f>IFERROR(__xludf.DUMMYFUNCTION("""COMPUTED_VALUE"""),"ACTIVE")</f>
        <v>ACTIVE</v>
      </c>
      <c r="P423" s="6"/>
      <c r="Q423" s="6" t="str">
        <f>IFERROR(__xludf.DUMMYFUNCTION("""COMPUTED_VALUE"""),"Armenia")</f>
        <v>Armenia</v>
      </c>
      <c r="R423" s="12" t="str">
        <f>IFERROR(__xludf.DUMMYFUNCTION("""COMPUTED_VALUE"""),"Gi3896rt*")</f>
        <v>Gi3896rt*</v>
      </c>
      <c r="S423" s="6" t="str">
        <f>IFERROR(__xludf.DUMMYFUNCTION("""COMPUTED_VALUE"""),"Aragón Hernández Isabella ")</f>
        <v>Aragón Hernández Isabella </v>
      </c>
      <c r="T423" s="6" t="str">
        <f>IFERROR(__xludf.DUMMYFUNCTION("""COMPUTED_VALUE"""),"CARLOS FELIPE ARAGÓN CABAL")</f>
        <v>CARLOS FELIPE ARAGÓN CABAL</v>
      </c>
      <c r="U423" s="12" t="str">
        <f>IFERROR(__xludf.DUMMYFUNCTION("""COMPUTED_VALUE"""),"4372663")</f>
        <v>4372663</v>
      </c>
      <c r="V423" s="6">
        <f>IFERROR(__xludf.DUMMYFUNCTION("""COMPUTED_VALUE"""),3.155487333E9)</f>
        <v>3155487333</v>
      </c>
      <c r="W423" s="6" t="str">
        <f>IFERROR(__xludf.DUMMYFUNCTION("""COMPUTED_VALUE"""),"carlosfaragon@hotmail.com")</f>
        <v>carlosfaragon@hotmail.com</v>
      </c>
      <c r="X423" s="12" t="str">
        <f>IFERROR(__xludf.DUMMYFUNCTION("""COMPUTED_VALUE"""),"O+")</f>
        <v>O+</v>
      </c>
      <c r="Y423" s="12" t="str">
        <f>IFERROR(__xludf.DUMMYFUNCTION("""COMPUTED_VALUE"""),"5")</f>
        <v>5</v>
      </c>
      <c r="Z423" s="12">
        <f>IFERROR(__xludf.DUMMYFUNCTION("""COMPUTED_VALUE"""),103896.0)</f>
        <v>103896</v>
      </c>
      <c r="AA423" s="6" t="str">
        <f>IFERROR(__xludf.DUMMYFUNCTION("""COMPUTED_VALUE"""),"SURA")</f>
        <v>SURA</v>
      </c>
      <c r="AB423" s="6"/>
      <c r="AC423" s="6"/>
      <c r="AD423" s="12" t="str">
        <f>IFERROR(__xludf.DUMMYFUNCTION("""COMPUTED_VALUE"""),"5B")</f>
        <v>5B</v>
      </c>
      <c r="AE423" s="12">
        <f>IFERROR(__xludf.DUMMYFUNCTION("""COMPUTED_VALUE"""),1.345281955E9)</f>
        <v>1345281955</v>
      </c>
      <c r="AF423" s="12" t="str">
        <f>IFERROR(__xludf.DUMMYFUNCTION("""COMPUTED_VALUE"""),"0674168803")</f>
        <v>0674168803</v>
      </c>
      <c r="AG423" s="12" t="str">
        <f>IFERROR(__xludf.DUMMYFUNCTION("""COMPUTED_VALUE"""),"Juliana")</f>
        <v>Juliana</v>
      </c>
      <c r="AH423" s="6"/>
      <c r="AI423" s="6" t="str">
        <f>IFERROR(__xludf.DUMMYFUNCTION("""COMPUTED_VALUE"""),"Hernandez Henao")</f>
        <v>Hernandez Henao</v>
      </c>
      <c r="AJ423" s="6" t="str">
        <f>IFERROR(__xludf.DUMMYFUNCTION("""COMPUTED_VALUE"""),"julihdez1@hotmail.com")</f>
        <v>julihdez1@hotmail.com</v>
      </c>
      <c r="AK423" s="6" t="str">
        <f>IFERROR(__xludf.DUMMYFUNCTION("""COMPUTED_VALUE"""),"Abogada")</f>
        <v>Abogada</v>
      </c>
      <c r="AL423" s="6"/>
      <c r="AM423" s="12" t="str">
        <f>IFERROR(__xludf.DUMMYFUNCTION("""COMPUTED_VALUE"""),"41957117")</f>
        <v>41957117</v>
      </c>
      <c r="AN423" s="12" t="str">
        <f>IFERROR(__xludf.DUMMYFUNCTION("""COMPUTED_VALUE"""),"3186901749")</f>
        <v>3186901749</v>
      </c>
      <c r="AO423" s="6" t="str">
        <f>IFERROR(__xludf.DUMMYFUNCTION("""COMPUTED_VALUE"""),"Madre")</f>
        <v>Madre</v>
      </c>
      <c r="AP423" s="6" t="str">
        <f>IFERROR(__xludf.DUMMYFUNCTION("""COMPUTED_VALUE"""),"Estudiante(s): Aragón Hernández")</f>
        <v>Estudiante(s): Aragón Hernández</v>
      </c>
      <c r="AQ423" s="6" t="str">
        <f>IFERROR(__xludf.DUMMYFUNCTION("""COMPUTED_VALUE"""),"103896*Gi")</f>
        <v>103896*Gi</v>
      </c>
      <c r="AR423" s="6" t="str">
        <f>IFERROR(__xludf.DUMMYFUNCTION("""COMPUTED_VALUE"""),"Carlos")</f>
        <v>Carlos</v>
      </c>
      <c r="AS423" s="6" t="str">
        <f>IFERROR(__xludf.DUMMYFUNCTION("""COMPUTED_VALUE"""),"Felipe")</f>
        <v>Felipe</v>
      </c>
      <c r="AT423" s="6" t="str">
        <f>IFERROR(__xludf.DUMMYFUNCTION("""COMPUTED_VALUE"""),"Aragon Cabal")</f>
        <v>Aragon Cabal</v>
      </c>
      <c r="AU423" s="6" t="str">
        <f>IFERROR(__xludf.DUMMYFUNCTION("""COMPUTED_VALUE"""),"carlosfaragon@hotmail.com")</f>
        <v>carlosfaragon@hotmail.com</v>
      </c>
      <c r="AV423" s="6" t="str">
        <f>IFERROR(__xludf.DUMMYFUNCTION("""COMPUTED_VALUE"""),"Agricultor")</f>
        <v>Agricultor</v>
      </c>
      <c r="AW423" s="6" t="str">
        <f>IFERROR(__xludf.DUMMYFUNCTION("""COMPUTED_VALUE"""),"Propia")</f>
        <v>Propia</v>
      </c>
      <c r="AX423" s="12" t="str">
        <f>IFERROR(__xludf.DUMMYFUNCTION("""COMPUTED_VALUE"""),"4372663")</f>
        <v>4372663</v>
      </c>
      <c r="AY423" s="12" t="str">
        <f>IFERROR(__xludf.DUMMYFUNCTION("""COMPUTED_VALUE"""),"3155487333")</f>
        <v>3155487333</v>
      </c>
      <c r="AZ423" s="6" t="str">
        <f>IFERROR(__xludf.DUMMYFUNCTION("""COMPUTED_VALUE"""),"Padre")</f>
        <v>Padre</v>
      </c>
      <c r="BA423" s="6"/>
      <c r="BB423" s="6"/>
      <c r="BC423" s="6"/>
      <c r="BD423" s="12" t="str">
        <f>IFERROR(__xludf.DUMMYFUNCTION("""COMPUTED_VALUE"""),"ara0010")</f>
        <v>ara0010</v>
      </c>
      <c r="BE423" s="6"/>
      <c r="BF423" s="6"/>
      <c r="BG423" s="6">
        <f>IFERROR(__xludf.DUMMYFUNCTION("""COMPUTED_VALUE"""),2034.0)</f>
        <v>2034</v>
      </c>
      <c r="BH423" s="15">
        <f>IFERROR(__xludf.DUMMYFUNCTION("""COMPUTED_VALUE"""),46210.92716435185)</f>
        <v>46210.92716</v>
      </c>
      <c r="BI423" s="6">
        <f>IFERROR(__xludf.DUMMYFUNCTION("""COMPUTED_VALUE"""),423.0)</f>
        <v>423</v>
      </c>
      <c r="BJ423" s="6"/>
      <c r="BK423" s="6"/>
      <c r="BL423" s="6" t="str">
        <f>IFERROR(__xludf.DUMMYFUNCTION("""COMPUTED_VALUE"""),"GISARA0010")</f>
        <v>GISARA0010</v>
      </c>
      <c r="BM423" s="6"/>
      <c r="BN423" s="6"/>
      <c r="BO423" s="6"/>
      <c r="BP423" s="6"/>
      <c r="BQ423" s="6"/>
      <c r="BR423" s="6"/>
      <c r="BS423" s="6"/>
      <c r="BT423" s="6"/>
      <c r="BU423" s="6" t="str">
        <f>IFERROR(__xludf.DUMMYFUNCTION("""COMPUTED_VALUE"""),"NO")</f>
        <v>NO</v>
      </c>
      <c r="BV423" s="6" t="str">
        <f>IFERROR(__xludf.DUMMYFUNCTION("""COMPUTED_VALUE"""),"isabella.a2034")</f>
        <v>isabella.a2034</v>
      </c>
      <c r="BW423" s="6"/>
      <c r="BX423" s="6"/>
      <c r="BY423" s="6"/>
      <c r="BZ423" s="6"/>
    </row>
    <row r="424">
      <c r="A424" s="12">
        <f>IFERROR(__xludf.DUMMYFUNCTION("""COMPUTED_VALUE"""),1.232795392E9)</f>
        <v>1232795392</v>
      </c>
      <c r="B424" s="6">
        <f>IFERROR(__xludf.DUMMYFUNCTION("""COMPUTED_VALUE"""),3.0)</f>
        <v>3</v>
      </c>
      <c r="C424" s="6" t="str">
        <f>IFERROR(__xludf.DUMMYFUNCTION("""COMPUTED_VALUE"""),"Guadalupe")</f>
        <v>Guadalupe</v>
      </c>
      <c r="D424" s="6"/>
      <c r="E424" s="6" t="str">
        <f>IFERROR(__xludf.DUMMYFUNCTION("""COMPUTED_VALUE"""),"Aristizábal Jaramillo")</f>
        <v>Aristizábal Jaramillo</v>
      </c>
      <c r="F424" s="6" t="str">
        <f>IFERROR(__xludf.DUMMYFUNCTION("""COMPUTED_VALUE"""),"Apartamentos Terra Torre  Apto  - Cra 10 No11Nte - 05 La Castellana")</f>
        <v>Apartamentos Terra Torre  Apto  - Cra 10 No11Nte - 05 La Castellana</v>
      </c>
      <c r="G424" s="12">
        <f>IFERROR(__xludf.DUMMYFUNCTION("""COMPUTED_VALUE"""),2015.0)</f>
        <v>2015</v>
      </c>
      <c r="H424" s="6" t="str">
        <f>IFERROR(__xludf.DUMMYFUNCTION("""COMPUTED_VALUE"""),"Diciembre")</f>
        <v>Diciembre</v>
      </c>
      <c r="I424" s="12">
        <f>IFERROR(__xludf.DUMMYFUNCTION("""COMPUTED_VALUE"""),22.0)</f>
        <v>22</v>
      </c>
      <c r="J424" s="6" t="str">
        <f>IFERROR(__xludf.DUMMYFUNCTION("""COMPUTED_VALUE"""),"Cali")</f>
        <v>Cali</v>
      </c>
      <c r="K424" s="6" t="str">
        <f>IFERROR(__xludf.DUMMYFUNCTION("""COMPUTED_VALUE"""),"guadalupe.a2034@gi.edu.co")</f>
        <v>guadalupe.a2034@gi.edu.co</v>
      </c>
      <c r="L424" s="6" t="str">
        <f>IFERROR(__xludf.DUMMYFUNCTION("""COMPUTED_VALUE"""),"TI")</f>
        <v>TI</v>
      </c>
      <c r="M424" s="6" t="str">
        <f>IFERROR(__xludf.DUMMYFUNCTION("""COMPUTED_VALUE"""),"Cali")</f>
        <v>Cali</v>
      </c>
      <c r="N424" s="6" t="str">
        <f>IFERROR(__xludf.DUMMYFUNCTION("""COMPUTED_VALUE"""),"F")</f>
        <v>F</v>
      </c>
      <c r="O424" s="6" t="str">
        <f>IFERROR(__xludf.DUMMYFUNCTION("""COMPUTED_VALUE"""),"INACTIVE")</f>
        <v>INACTIVE</v>
      </c>
      <c r="P424" s="6"/>
      <c r="Q424" s="6" t="str">
        <f>IFERROR(__xludf.DUMMYFUNCTION("""COMPUTED_VALUE"""),"Cali")</f>
        <v>Cali</v>
      </c>
      <c r="R424" s="12" t="str">
        <f>IFERROR(__xludf.DUMMYFUNCTION("""COMPUTED_VALUE"""),"Gi8b3k17*")</f>
        <v>Gi8b3k17*</v>
      </c>
      <c r="S424" s="6" t="str">
        <f>IFERROR(__xludf.DUMMYFUNCTION("""COMPUTED_VALUE"""),"Aristizábal Jaramillo Guadalupe ")</f>
        <v>Aristizábal Jaramillo Guadalupe </v>
      </c>
      <c r="T424" s="6" t="str">
        <f>IFERROR(__xludf.DUMMYFUNCTION("""COMPUTED_VALUE"""),"JULIO FABIO ARISTIZABAL SANCHEZ")</f>
        <v>JULIO FABIO ARISTIZABAL SANCHEZ</v>
      </c>
      <c r="U424" s="12" t="str">
        <f>IFERROR(__xludf.DUMMYFUNCTION("""COMPUTED_VALUE"""),"1144025329")</f>
        <v>1144025329</v>
      </c>
      <c r="V424" s="6">
        <f>IFERROR(__xludf.DUMMYFUNCTION("""COMPUTED_VALUE"""),3.12569748E9)</f>
        <v>3125697480</v>
      </c>
      <c r="W424" s="6" t="str">
        <f>IFERROR(__xludf.DUMMYFUNCTION("""COMPUTED_VALUE"""),"julio.aristizabal@icloud.com")</f>
        <v>julio.aristizabal@icloud.com</v>
      </c>
      <c r="X424" s="12" t="str">
        <f>IFERROR(__xludf.DUMMYFUNCTION("""COMPUTED_VALUE"""),"B+")</f>
        <v>B+</v>
      </c>
      <c r="Y424" s="12" t="str">
        <f>IFERROR(__xludf.DUMMYFUNCTION("""COMPUTED_VALUE"""),"5")</f>
        <v>5</v>
      </c>
      <c r="Z424" s="12">
        <f>IFERROR(__xludf.DUMMYFUNCTION("""COMPUTED_VALUE"""),120463.0)</f>
        <v>120463</v>
      </c>
      <c r="AA424" s="6" t="str">
        <f>IFERROR(__xludf.DUMMYFUNCTION("""COMPUTED_VALUE"""),"SANITAS")</f>
        <v>SANITAS</v>
      </c>
      <c r="AB424" s="6"/>
      <c r="AC424" s="6"/>
      <c r="AD424" s="12" t="str">
        <f>IFERROR(__xludf.DUMMYFUNCTION("""COMPUTED_VALUE"""),"5B")</f>
        <v>5B</v>
      </c>
      <c r="AE424" s="12" t="str">
        <f>IFERROR(__xludf.DUMMYFUNCTION("""COMPUTED_VALUE"""),"1345282455")</f>
        <v>1345282455</v>
      </c>
      <c r="AF424" s="12" t="str">
        <f>IFERROR(__xludf.DUMMYFUNCTION("""COMPUTED_VALUE"""),"0242400387")</f>
        <v>0242400387</v>
      </c>
      <c r="AG424" s="12" t="str">
        <f>IFERROR(__xludf.DUMMYFUNCTION("""COMPUTED_VALUE"""),"María")</f>
        <v>María</v>
      </c>
      <c r="AH424" s="12" t="str">
        <f>IFERROR(__xludf.DUMMYFUNCTION("""COMPUTED_VALUE"""),"Camila")</f>
        <v>Camila</v>
      </c>
      <c r="AI424" s="6" t="str">
        <f>IFERROR(__xludf.DUMMYFUNCTION("""COMPUTED_VALUE"""),"Jaramillo Márquez")</f>
        <v>Jaramillo Márquez</v>
      </c>
      <c r="AJ424" s="6" t="str">
        <f>IFERROR(__xludf.DUMMYFUNCTION("""COMPUTED_VALUE"""),"guarja15@gmail.com")</f>
        <v>guarja15@gmail.com</v>
      </c>
      <c r="AK424" s="6"/>
      <c r="AL424" s="6"/>
      <c r="AM424" s="12" t="str">
        <f>IFERROR(__xludf.DUMMYFUNCTION("""COMPUTED_VALUE"""),"1144082342")</f>
        <v>1144082342</v>
      </c>
      <c r="AN424" s="12">
        <f>IFERROR(__xludf.DUMMYFUNCTION("""COMPUTED_VALUE"""),3.137626716E9)</f>
        <v>3137626716</v>
      </c>
      <c r="AO424" s="6" t="str">
        <f>IFERROR(__xludf.DUMMYFUNCTION("""COMPUTED_VALUE"""),"Madre")</f>
        <v>Madre</v>
      </c>
      <c r="AP424" s="6" t="str">
        <f>IFERROR(__xludf.DUMMYFUNCTION("""COMPUTED_VALUE"""),"Estudiante(s): Aristizábal Jaramillo")</f>
        <v>Estudiante(s): Aristizábal Jaramillo</v>
      </c>
      <c r="AQ424" s="6" t="str">
        <f>IFERROR(__xludf.DUMMYFUNCTION("""COMPUTED_VALUE"""),"120463*Gi")</f>
        <v>120463*Gi</v>
      </c>
      <c r="AR424" s="6" t="str">
        <f>IFERROR(__xludf.DUMMYFUNCTION("""COMPUTED_VALUE"""),"Julio")</f>
        <v>Julio</v>
      </c>
      <c r="AS424" s="6" t="str">
        <f>IFERROR(__xludf.DUMMYFUNCTION("""COMPUTED_VALUE"""),"Fabio")</f>
        <v>Fabio</v>
      </c>
      <c r="AT424" s="6" t="str">
        <f>IFERROR(__xludf.DUMMYFUNCTION("""COMPUTED_VALUE"""),"Aristizábal Sánchez")</f>
        <v>Aristizábal Sánchez</v>
      </c>
      <c r="AU424" s="6" t="str">
        <f>IFERROR(__xludf.DUMMYFUNCTION("""COMPUTED_VALUE"""),"julio.aristizabal@icloud.com")</f>
        <v>julio.aristizabal@icloud.com</v>
      </c>
      <c r="AV424" s="6"/>
      <c r="AW424" s="6"/>
      <c r="AX424" s="12" t="str">
        <f>IFERROR(__xludf.DUMMYFUNCTION("""COMPUTED_VALUE"""),"1144025329")</f>
        <v>1144025329</v>
      </c>
      <c r="AY424" s="12" t="str">
        <f>IFERROR(__xludf.DUMMYFUNCTION("""COMPUTED_VALUE"""),"3125697480")</f>
        <v>3125697480</v>
      </c>
      <c r="AZ424" s="6" t="str">
        <f>IFERROR(__xludf.DUMMYFUNCTION("""COMPUTED_VALUE"""),"Padre")</f>
        <v>Padre</v>
      </c>
      <c r="BA424" s="6" t="str">
        <f>IFERROR(__xludf.DUMMYFUNCTION("""COMPUTED_VALUE"""),"NELI MARQUEZ RODRIGUEZ")</f>
        <v>NELI MARQUEZ RODRIGUEZ</v>
      </c>
      <c r="BB424" s="6">
        <f>IFERROR(__xludf.DUMMYFUNCTION("""COMPUTED_VALUE"""),3.136957479E9)</f>
        <v>3136957479</v>
      </c>
      <c r="BC424" s="6" t="str">
        <f>IFERROR(__xludf.DUMMYFUNCTION("""COMPUTED_VALUE"""),"Abuelo(a)")</f>
        <v>Abuelo(a)</v>
      </c>
      <c r="BD424" s="12" t="str">
        <f>IFERROR(__xludf.DUMMYFUNCTION("""COMPUTED_VALUE"""),"ari0037")</f>
        <v>ari0037</v>
      </c>
      <c r="BE424" s="6" t="str">
        <f>IFERROR(__xludf.DUMMYFUNCTION("""COMPUTED_VALUE"""),"FALTAN FIRMAS")</f>
        <v>FALTAN FIRMAS</v>
      </c>
      <c r="BF424" s="6"/>
      <c r="BG424" s="6">
        <f>IFERROR(__xludf.DUMMYFUNCTION("""COMPUTED_VALUE"""),2034.0)</f>
        <v>2034</v>
      </c>
      <c r="BH424" s="15">
        <f>IFERROR(__xludf.DUMMYFUNCTION("""COMPUTED_VALUE"""),46224.38774305556)</f>
        <v>46224.38774</v>
      </c>
      <c r="BI424" s="6">
        <f>IFERROR(__xludf.DUMMYFUNCTION("""COMPUTED_VALUE"""),424.0)</f>
        <v>424</v>
      </c>
      <c r="BJ424" s="6"/>
      <c r="BK424" s="6"/>
      <c r="BL424" s="6" t="str">
        <f>IFERROR(__xludf.DUMMYFUNCTION("""COMPUTED_VALUE"""),"GISARI0037")</f>
        <v>GISARI0037</v>
      </c>
      <c r="BM424" s="6"/>
      <c r="BN424" s="6"/>
      <c r="BO424" s="6"/>
      <c r="BP424" s="6" t="str">
        <f>IFERROR(__xludf.DUMMYFUNCTION("""COMPUTED_VALUE"""),"XC_45_Voleibol")</f>
        <v>XC_45_Voleibol</v>
      </c>
      <c r="BQ424" s="6"/>
      <c r="BR424" s="6"/>
      <c r="BS424" s="6" t="str">
        <f>IFERROR(__xludf.DUMMYFUNCTION("""COMPUTED_VALUE"""),"XC_45_Voleibol")</f>
        <v>XC_45_Voleibol</v>
      </c>
      <c r="BT424" s="6" t="str">
        <f>IFERROR(__xludf.DUMMYFUNCTION("""COMPUTED_VALUE"""),"XC_45_Voleibol")</f>
        <v>XC_45_Voleibol</v>
      </c>
      <c r="BU424" s="6" t="str">
        <f>IFERROR(__xludf.DUMMYFUNCTION("""COMPUTED_VALUE"""),"SI")</f>
        <v>SI</v>
      </c>
      <c r="BV424" s="6" t="str">
        <f>IFERROR(__xludf.DUMMYFUNCTION("""COMPUTED_VALUE"""),"guadalupe.a2034")</f>
        <v>guadalupe.a2034</v>
      </c>
      <c r="BW424" s="6"/>
      <c r="BX424" s="6"/>
      <c r="BY424" s="6"/>
      <c r="BZ424" s="6"/>
    </row>
    <row r="425">
      <c r="A425" s="12">
        <f>IFERROR(__xludf.DUMMYFUNCTION("""COMPUTED_VALUE"""),1.092464659E9)</f>
        <v>1092464659</v>
      </c>
      <c r="B425" s="6">
        <f>IFERROR(__xludf.DUMMYFUNCTION("""COMPUTED_VALUE"""),4.0)</f>
        <v>4</v>
      </c>
      <c r="C425" s="6" t="str">
        <f>IFERROR(__xludf.DUMMYFUNCTION("""COMPUTED_VALUE"""),"Mar")</f>
        <v>Mar</v>
      </c>
      <c r="D425" s="6"/>
      <c r="E425" s="6" t="str">
        <f>IFERROR(__xludf.DUMMYFUNCTION("""COMPUTED_VALUE"""),"Calderón Bueno")</f>
        <v>Calderón Bueno</v>
      </c>
      <c r="F425" s="6" t="str">
        <f>IFERROR(__xludf.DUMMYFUNCTION("""COMPUTED_VALUE"""),"Parque Residencial Los Cedros Mz 4 Casa 9 - Calle 50Nte No15 - 1")</f>
        <v>Parque Residencial Los Cedros Mz 4 Casa 9 - Calle 50Nte No15 - 1</v>
      </c>
      <c r="G425" s="12" t="str">
        <f>IFERROR(__xludf.DUMMYFUNCTION("""COMPUTED_VALUE"""),"2016")</f>
        <v>2016</v>
      </c>
      <c r="H425" s="6" t="str">
        <f>IFERROR(__xludf.DUMMYFUNCTION("""COMPUTED_VALUE"""),"Febrero")</f>
        <v>Febrero</v>
      </c>
      <c r="I425" s="12" t="str">
        <f>IFERROR(__xludf.DUMMYFUNCTION("""COMPUTED_VALUE"""),"24")</f>
        <v>24</v>
      </c>
      <c r="J425" s="6" t="str">
        <f>IFERROR(__xludf.DUMMYFUNCTION("""COMPUTED_VALUE"""),"Armenia")</f>
        <v>Armenia</v>
      </c>
      <c r="K425" s="6" t="str">
        <f>IFERROR(__xludf.DUMMYFUNCTION("""COMPUTED_VALUE"""),"mar.c2034@gi.edu.co")</f>
        <v>mar.c2034@gi.edu.co</v>
      </c>
      <c r="L425" s="6" t="str">
        <f>IFERROR(__xludf.DUMMYFUNCTION("""COMPUTED_VALUE"""),"RC")</f>
        <v>RC</v>
      </c>
      <c r="M425" s="6" t="str">
        <f>IFERROR(__xludf.DUMMYFUNCTION("""COMPUTED_VALUE"""),"Armenia")</f>
        <v>Armenia</v>
      </c>
      <c r="N425" s="6" t="str">
        <f>IFERROR(__xludf.DUMMYFUNCTION("""COMPUTED_VALUE"""),"F")</f>
        <v>F</v>
      </c>
      <c r="O425" s="6" t="str">
        <f>IFERROR(__xludf.DUMMYFUNCTION("""COMPUTED_VALUE"""),"ACTIVE")</f>
        <v>ACTIVE</v>
      </c>
      <c r="P425" s="6"/>
      <c r="Q425" s="6" t="str">
        <f>IFERROR(__xludf.DUMMYFUNCTION("""COMPUTED_VALUE"""),"Armenia")</f>
        <v>Armenia</v>
      </c>
      <c r="R425" s="12" t="str">
        <f>IFERROR(__xludf.DUMMYFUNCTION("""COMPUTED_VALUE"""),"Giet35w8*")</f>
        <v>Giet35w8*</v>
      </c>
      <c r="S425" s="6" t="str">
        <f>IFERROR(__xludf.DUMMYFUNCTION("""COMPUTED_VALUE"""),"Calderón Bueno Mar ")</f>
        <v>Calderón Bueno Mar </v>
      </c>
      <c r="T425" s="6" t="str">
        <f>IFERROR(__xludf.DUMMYFUNCTION("""COMPUTED_VALUE"""),"LUIS MIGUEL CALDERÓN MONTES")</f>
        <v>LUIS MIGUEL CALDERÓN MONTES</v>
      </c>
      <c r="U425" s="12" t="str">
        <f>IFERROR(__xludf.DUMMYFUNCTION("""COMPUTED_VALUE"""),"4377773")</f>
        <v>4377773</v>
      </c>
      <c r="V425" s="6">
        <f>IFERROR(__xludf.DUMMYFUNCTION("""COMPUTED_VALUE"""),3.154114924E9)</f>
        <v>3154114924</v>
      </c>
      <c r="W425" s="6" t="str">
        <f>IFERROR(__xludf.DUMMYFUNCTION("""COMPUTED_VALUE"""),"calderoso@gmail.com")</f>
        <v>calderoso@gmail.com</v>
      </c>
      <c r="X425" s="12" t="str">
        <f>IFERROR(__xludf.DUMMYFUNCTION("""COMPUTED_VALUE"""),"O+")</f>
        <v>O+</v>
      </c>
      <c r="Y425" s="12" t="str">
        <f>IFERROR(__xludf.DUMMYFUNCTION("""COMPUTED_VALUE"""),"5")</f>
        <v>5</v>
      </c>
      <c r="Z425" s="12">
        <f>IFERROR(__xludf.DUMMYFUNCTION("""COMPUTED_VALUE"""),103785.0)</f>
        <v>103785</v>
      </c>
      <c r="AA425" s="6" t="str">
        <f>IFERROR(__xludf.DUMMYFUNCTION("""COMPUTED_VALUE"""),"SURA")</f>
        <v>SURA</v>
      </c>
      <c r="AB425" s="6" t="str">
        <f>IFERROR(__xludf.DUMMYFUNCTION("""COMPUTED_VALUE"""),"Emi")</f>
        <v>Emi</v>
      </c>
      <c r="AC425" s="12" t="str">
        <f>IFERROR(__xludf.DUMMYFUNCTION("""COMPUTED_VALUE"""),"A los cambios de clima bruscos")</f>
        <v>A los cambios de clima bruscos</v>
      </c>
      <c r="AD425" s="12" t="str">
        <f>IFERROR(__xludf.DUMMYFUNCTION("""COMPUTED_VALUE"""),"5B")</f>
        <v>5B</v>
      </c>
      <c r="AE425" s="12">
        <f>IFERROR(__xludf.DUMMYFUNCTION("""COMPUTED_VALUE"""),1.34528178E9)</f>
        <v>1345281780</v>
      </c>
      <c r="AF425" s="12" t="str">
        <f>IFERROR(__xludf.DUMMYFUNCTION("""COMPUTED_VALUE"""),"0681296387")</f>
        <v>0681296387</v>
      </c>
      <c r="AG425" s="12" t="str">
        <f>IFERROR(__xludf.DUMMYFUNCTION("""COMPUTED_VALUE"""),"Daniela")</f>
        <v>Daniela</v>
      </c>
      <c r="AH425" s="6"/>
      <c r="AI425" s="6" t="str">
        <f>IFERROR(__xludf.DUMMYFUNCTION("""COMPUTED_VALUE"""),"Bueno Henao")</f>
        <v>Bueno Henao</v>
      </c>
      <c r="AJ425" s="6" t="str">
        <f>IFERROR(__xludf.DUMMYFUNCTION("""COMPUTED_VALUE"""),"danibueno46@gmail.com")</f>
        <v>danibueno46@gmail.com</v>
      </c>
      <c r="AK425" s="6" t="str">
        <f>IFERROR(__xludf.DUMMYFUNCTION("""COMPUTED_VALUE"""),"ADMINISTRADORA DE EMPRESAS")</f>
        <v>ADMINISTRADORA DE EMPRESAS</v>
      </c>
      <c r="AL425" s="6" t="str">
        <f>IFERROR(__xludf.DUMMYFUNCTION("""COMPUTED_VALUE"""),"Ruta Eden CEA S.A.S")</f>
        <v>Ruta Eden CEA S.A.S</v>
      </c>
      <c r="AM425" s="12" t="str">
        <f>IFERROR(__xludf.DUMMYFUNCTION("""COMPUTED_VALUE"""),"1094902790")</f>
        <v>1094902790</v>
      </c>
      <c r="AN425" s="12" t="str">
        <f>IFERROR(__xludf.DUMMYFUNCTION("""COMPUTED_VALUE"""),"3173812024")</f>
        <v>3173812024</v>
      </c>
      <c r="AO425" s="6" t="str">
        <f>IFERROR(__xludf.DUMMYFUNCTION("""COMPUTED_VALUE"""),"Madre")</f>
        <v>Madre</v>
      </c>
      <c r="AP425" s="6" t="str">
        <f>IFERROR(__xludf.DUMMYFUNCTION("""COMPUTED_VALUE"""),"Estudiante(s): Calderón Bueno")</f>
        <v>Estudiante(s): Calderón Bueno</v>
      </c>
      <c r="AQ425" s="6" t="str">
        <f>IFERROR(__xludf.DUMMYFUNCTION("""COMPUTED_VALUE"""),"103785*Gi")</f>
        <v>103785*Gi</v>
      </c>
      <c r="AR425" s="6" t="str">
        <f>IFERROR(__xludf.DUMMYFUNCTION("""COMPUTED_VALUE"""),"Luis")</f>
        <v>Luis</v>
      </c>
      <c r="AS425" s="6" t="str">
        <f>IFERROR(__xludf.DUMMYFUNCTION("""COMPUTED_VALUE"""),"Miguel")</f>
        <v>Miguel</v>
      </c>
      <c r="AT425" s="6" t="str">
        <f>IFERROR(__xludf.DUMMYFUNCTION("""COMPUTED_VALUE"""),"Calderón Montes")</f>
        <v>Calderón Montes</v>
      </c>
      <c r="AU425" s="6" t="str">
        <f>IFERROR(__xludf.DUMMYFUNCTION("""COMPUTED_VALUE"""),"calderoso@gmail.com")</f>
        <v>calderoso@gmail.com</v>
      </c>
      <c r="AV425" s="6" t="str">
        <f>IFERROR(__xludf.DUMMYFUNCTION("""COMPUTED_VALUE"""),"Administrator de negocios")</f>
        <v>Administrator de negocios</v>
      </c>
      <c r="AW425" s="6" t="str">
        <f>IFERROR(__xludf.DUMMYFUNCTION("""COMPUTED_VALUE"""),"Constructora CALCAMAR S.A.S")</f>
        <v>Constructora CALCAMAR S.A.S</v>
      </c>
      <c r="AX425" s="12" t="str">
        <f>IFERROR(__xludf.DUMMYFUNCTION("""COMPUTED_VALUE"""),"4377773")</f>
        <v>4377773</v>
      </c>
      <c r="AY425" s="12" t="str">
        <f>IFERROR(__xludf.DUMMYFUNCTION("""COMPUTED_VALUE"""),"3154114924")</f>
        <v>3154114924</v>
      </c>
      <c r="AZ425" s="6" t="str">
        <f>IFERROR(__xludf.DUMMYFUNCTION("""COMPUTED_VALUE"""),"Padre")</f>
        <v>Padre</v>
      </c>
      <c r="BA425" s="6"/>
      <c r="BB425" s="6"/>
      <c r="BC425" s="6"/>
      <c r="BD425" s="12" t="str">
        <f>IFERROR(__xludf.DUMMYFUNCTION("""COMPUTED_VALUE"""),"cal0002")</f>
        <v>cal0002</v>
      </c>
      <c r="BE425" s="6"/>
      <c r="BF425" s="6"/>
      <c r="BG425" s="6">
        <f>IFERROR(__xludf.DUMMYFUNCTION("""COMPUTED_VALUE"""),2034.0)</f>
        <v>2034</v>
      </c>
      <c r="BH425" s="15">
        <f>IFERROR(__xludf.DUMMYFUNCTION("""COMPUTED_VALUE"""),46212.43195601852)</f>
        <v>46212.43196</v>
      </c>
      <c r="BI425" s="6">
        <f>IFERROR(__xludf.DUMMYFUNCTION("""COMPUTED_VALUE"""),425.0)</f>
        <v>425</v>
      </c>
      <c r="BJ425" s="6"/>
      <c r="BK425" s="6"/>
      <c r="BL425" s="6" t="str">
        <f>IFERROR(__xludf.DUMMYFUNCTION("""COMPUTED_VALUE"""),"GISCAL0002")</f>
        <v>GISCAL0002</v>
      </c>
      <c r="BM425" s="6"/>
      <c r="BN425" s="6"/>
      <c r="BO425" s="6"/>
      <c r="BP425" s="6" t="str">
        <f>IFERROR(__xludf.DUMMYFUNCTION("""COMPUTED_VALUE"""),"XC_45_Voleibol")</f>
        <v>XC_45_Voleibol</v>
      </c>
      <c r="BQ425" s="6"/>
      <c r="BR425" s="6"/>
      <c r="BS425" s="6" t="str">
        <f>IFERROR(__xludf.DUMMYFUNCTION("""COMPUTED_VALUE"""),"XC_45_Voleibol")</f>
        <v>XC_45_Voleibol</v>
      </c>
      <c r="BT425" s="6" t="str">
        <f>IFERROR(__xludf.DUMMYFUNCTION("""COMPUTED_VALUE"""),"XC_45_Voleibol")</f>
        <v>XC_45_Voleibol</v>
      </c>
      <c r="BU425" s="6" t="str">
        <f>IFERROR(__xludf.DUMMYFUNCTION("""COMPUTED_VALUE"""),"SI")</f>
        <v>SI</v>
      </c>
      <c r="BV425" s="6" t="str">
        <f>IFERROR(__xludf.DUMMYFUNCTION("""COMPUTED_VALUE"""),"mar.c2034")</f>
        <v>mar.c2034</v>
      </c>
      <c r="BW425" s="6"/>
      <c r="BX425" s="6"/>
      <c r="BY425" s="6"/>
      <c r="BZ425" s="6"/>
    </row>
    <row r="426">
      <c r="A426" s="12">
        <f>IFERROR(__xludf.DUMMYFUNCTION("""COMPUTED_VALUE"""),1.091888317E9)</f>
        <v>1091888317</v>
      </c>
      <c r="B426" s="6">
        <f>IFERROR(__xludf.DUMMYFUNCTION("""COMPUTED_VALUE"""),5.0)</f>
        <v>5</v>
      </c>
      <c r="C426" s="6" t="str">
        <f>IFERROR(__xludf.DUMMYFUNCTION("""COMPUTED_VALUE"""),"María")</f>
        <v>María</v>
      </c>
      <c r="D426" s="6"/>
      <c r="E426" s="6" t="str">
        <f>IFERROR(__xludf.DUMMYFUNCTION("""COMPUTED_VALUE"""),"Castaño Urrea")</f>
        <v>Castaño Urrea</v>
      </c>
      <c r="F426" s="6" t="str">
        <f>IFERROR(__xludf.DUMMYFUNCTION("""COMPUTED_VALUE"""),"Cra 10 No 11Nte - 05 - La Castellana")</f>
        <v>Cra 10 No 11Nte - 05 - La Castellana</v>
      </c>
      <c r="G426" s="12" t="str">
        <f>IFERROR(__xludf.DUMMYFUNCTION("""COMPUTED_VALUE"""),"2016")</f>
        <v>2016</v>
      </c>
      <c r="H426" s="6" t="str">
        <f>IFERROR(__xludf.DUMMYFUNCTION("""COMPUTED_VALUE"""),"Octubre")</f>
        <v>Octubre</v>
      </c>
      <c r="I426" s="12" t="str">
        <f>IFERROR(__xludf.DUMMYFUNCTION("""COMPUTED_VALUE"""),"21")</f>
        <v>21</v>
      </c>
      <c r="J426" s="6" t="str">
        <f>IFERROR(__xludf.DUMMYFUNCTION("""COMPUTED_VALUE"""),"Cali")</f>
        <v>Cali</v>
      </c>
      <c r="K426" s="6" t="str">
        <f>IFERROR(__xludf.DUMMYFUNCTION("""COMPUTED_VALUE"""),"maria.c2034@gi.edu.co")</f>
        <v>maria.c2034@gi.edu.co</v>
      </c>
      <c r="L426" s="6" t="str">
        <f>IFERROR(__xludf.DUMMYFUNCTION("""COMPUTED_VALUE"""),"TI")</f>
        <v>TI</v>
      </c>
      <c r="M426" s="6" t="str">
        <f>IFERROR(__xludf.DUMMYFUNCTION("""COMPUTED_VALUE"""),"Armenia")</f>
        <v>Armenia</v>
      </c>
      <c r="N426" s="6" t="str">
        <f>IFERROR(__xludf.DUMMYFUNCTION("""COMPUTED_VALUE"""),"F")</f>
        <v>F</v>
      </c>
      <c r="O426" s="6" t="str">
        <f>IFERROR(__xludf.DUMMYFUNCTION("""COMPUTED_VALUE"""),"ACTIVE")</f>
        <v>ACTIVE</v>
      </c>
      <c r="P426" s="6"/>
      <c r="Q426" s="6" t="str">
        <f>IFERROR(__xludf.DUMMYFUNCTION("""COMPUTED_VALUE"""),"Armenia")</f>
        <v>Armenia</v>
      </c>
      <c r="R426" s="12" t="str">
        <f>IFERROR(__xludf.DUMMYFUNCTION("""COMPUTED_VALUE"""),"Gidf35wp*")</f>
        <v>Gidf35wp*</v>
      </c>
      <c r="S426" s="6" t="str">
        <f>IFERROR(__xludf.DUMMYFUNCTION("""COMPUTED_VALUE"""),"Castaño Urrea María ")</f>
        <v>Castaño Urrea María </v>
      </c>
      <c r="T426" s="6" t="str">
        <f>IFERROR(__xludf.DUMMYFUNCTION("""COMPUTED_VALUE"""),"ARMENIA HOTEL S.A.S.")</f>
        <v>ARMENIA HOTEL S.A.S.</v>
      </c>
      <c r="U426" s="12" t="str">
        <f>IFERROR(__xludf.DUMMYFUNCTION("""COMPUTED_VALUE"""),"801003278")</f>
        <v>801003278</v>
      </c>
      <c r="V426" s="6">
        <f>IFERROR(__xludf.DUMMYFUNCTION("""COMPUTED_VALUE"""),3.206969115E9)</f>
        <v>3206969115</v>
      </c>
      <c r="W426" s="6" t="str">
        <f>IFERROR(__xludf.DUMMYFUNCTION("""COMPUTED_VALUE"""),"contabilidad@armeniahotel.co")</f>
        <v>contabilidad@armeniahotel.co</v>
      </c>
      <c r="X426" s="12" t="str">
        <f>IFERROR(__xludf.DUMMYFUNCTION("""COMPUTED_VALUE"""),"O+")</f>
        <v>O+</v>
      </c>
      <c r="Y426" s="12" t="str">
        <f>IFERROR(__xludf.DUMMYFUNCTION("""COMPUTED_VALUE"""),"5")</f>
        <v>5</v>
      </c>
      <c r="Z426" s="12">
        <f>IFERROR(__xludf.DUMMYFUNCTION("""COMPUTED_VALUE"""),103786.0)</f>
        <v>103786</v>
      </c>
      <c r="AA426" s="6" t="str">
        <f>IFERROR(__xludf.DUMMYFUNCTION("""COMPUTED_VALUE"""),"SURA")</f>
        <v>SURA</v>
      </c>
      <c r="AB426" s="6" t="str">
        <f>IFERROR(__xludf.DUMMYFUNCTION("""COMPUTED_VALUE"""),"Emi, sura")</f>
        <v>Emi, sura</v>
      </c>
      <c r="AC426" s="6"/>
      <c r="AD426" s="12" t="str">
        <f>IFERROR(__xludf.DUMMYFUNCTION("""COMPUTED_VALUE"""),"5B")</f>
        <v>5B</v>
      </c>
      <c r="AE426" s="12">
        <f>IFERROR(__xludf.DUMMYFUNCTION("""COMPUTED_VALUE"""),1.345281762E9)</f>
        <v>1345281762</v>
      </c>
      <c r="AF426" s="12" t="str">
        <f>IFERROR(__xludf.DUMMYFUNCTION("""COMPUTED_VALUE"""),"0692776371")</f>
        <v>0692776371</v>
      </c>
      <c r="AG426" s="12" t="str">
        <f>IFERROR(__xludf.DUMMYFUNCTION("""COMPUTED_VALUE"""),"Lina")</f>
        <v>Lina</v>
      </c>
      <c r="AH426" s="12" t="str">
        <f>IFERROR(__xludf.DUMMYFUNCTION("""COMPUTED_VALUE"""),"Marcela")</f>
        <v>Marcela</v>
      </c>
      <c r="AI426" s="6" t="str">
        <f>IFERROR(__xludf.DUMMYFUNCTION("""COMPUTED_VALUE"""),"Urrea Giraldo")</f>
        <v>Urrea Giraldo</v>
      </c>
      <c r="AJ426" s="6" t="str">
        <f>IFERROR(__xludf.DUMMYFUNCTION("""COMPUTED_VALUE"""),"marceurreagi@hotmail.com")</f>
        <v>marceurreagi@hotmail.com</v>
      </c>
      <c r="AK426" s="6" t="str">
        <f>IFERROR(__xludf.DUMMYFUNCTION("""COMPUTED_VALUE"""),"administradora")</f>
        <v>administradora</v>
      </c>
      <c r="AL426" s="6" t="str">
        <f>IFERROR(__xludf.DUMMYFUNCTION("""COMPUTED_VALUE"""),"Bloom")</f>
        <v>Bloom</v>
      </c>
      <c r="AM426" s="12" t="str">
        <f>IFERROR(__xludf.DUMMYFUNCTION("""COMPUTED_VALUE"""),"41957759")</f>
        <v>41957759</v>
      </c>
      <c r="AN426" s="12" t="str">
        <f>IFERROR(__xludf.DUMMYFUNCTION("""COMPUTED_VALUE"""),"3116472581")</f>
        <v>3116472581</v>
      </c>
      <c r="AO426" s="6" t="str">
        <f>IFERROR(__xludf.DUMMYFUNCTION("""COMPUTED_VALUE"""),"Madre")</f>
        <v>Madre</v>
      </c>
      <c r="AP426" s="6" t="str">
        <f>IFERROR(__xludf.DUMMYFUNCTION("""COMPUTED_VALUE"""),"Estudiante(s): Castaño Urrea")</f>
        <v>Estudiante(s): Castaño Urrea</v>
      </c>
      <c r="AQ426" s="6" t="str">
        <f>IFERROR(__xludf.DUMMYFUNCTION("""COMPUTED_VALUE"""),"103786*Gi")</f>
        <v>103786*Gi</v>
      </c>
      <c r="AR426" s="6" t="str">
        <f>IFERROR(__xludf.DUMMYFUNCTION("""COMPUTED_VALUE"""),"Santiago")</f>
        <v>Santiago</v>
      </c>
      <c r="AS426" s="6"/>
      <c r="AT426" s="6" t="str">
        <f>IFERROR(__xludf.DUMMYFUNCTION("""COMPUTED_VALUE"""),"Castaño Velásquez")</f>
        <v>Castaño Velásquez</v>
      </c>
      <c r="AU426" s="6" t="str">
        <f>IFERROR(__xludf.DUMMYFUNCTION("""COMPUTED_VALUE"""),"santiagocv7@gmail.com")</f>
        <v>santiagocv7@gmail.com</v>
      </c>
      <c r="AV426" s="6" t="str">
        <f>IFERROR(__xludf.DUMMYFUNCTION("""COMPUTED_VALUE"""),"administrador")</f>
        <v>administrador</v>
      </c>
      <c r="AW426" s="6" t="str">
        <f>IFERROR(__xludf.DUMMYFUNCTION("""COMPUTED_VALUE"""),"Constructora Centenario")</f>
        <v>Constructora Centenario</v>
      </c>
      <c r="AX426" s="12" t="str">
        <f>IFERROR(__xludf.DUMMYFUNCTION("""COMPUTED_VALUE"""),"9739471")</f>
        <v>9739471</v>
      </c>
      <c r="AY426" s="12" t="str">
        <f>IFERROR(__xludf.DUMMYFUNCTION("""COMPUTED_VALUE"""),"3104598534")</f>
        <v>3104598534</v>
      </c>
      <c r="AZ426" s="6" t="str">
        <f>IFERROR(__xludf.DUMMYFUNCTION("""COMPUTED_VALUE"""),"Padre")</f>
        <v>Padre</v>
      </c>
      <c r="BA426" s="6" t="str">
        <f>IFERROR(__xludf.DUMMYFUNCTION("""COMPUTED_VALUE"""),"BELEN CASTAÑO URREA")</f>
        <v>BELEN CASTAÑO URREA</v>
      </c>
      <c r="BB426" s="6">
        <f>IFERROR(__xludf.DUMMYFUNCTION("""COMPUTED_VALUE"""),3.104598534E9)</f>
        <v>3104598534</v>
      </c>
      <c r="BC426" s="6" t="str">
        <f>IFERROR(__xludf.DUMMYFUNCTION("""COMPUTED_VALUE"""),"Otro")</f>
        <v>Otro</v>
      </c>
      <c r="BD426" s="12" t="str">
        <f>IFERROR(__xludf.DUMMYFUNCTION("""COMPUTED_VALUE"""),"cas0016")</f>
        <v>cas0016</v>
      </c>
      <c r="BE426" s="6"/>
      <c r="BF426" s="6"/>
      <c r="BG426" s="6">
        <f>IFERROR(__xludf.DUMMYFUNCTION("""COMPUTED_VALUE"""),2034.0)</f>
        <v>2034</v>
      </c>
      <c r="BH426" s="15">
        <f>IFERROR(__xludf.DUMMYFUNCTION("""COMPUTED_VALUE"""),46212.41087962963)</f>
        <v>46212.41088</v>
      </c>
      <c r="BI426" s="6">
        <f>IFERROR(__xludf.DUMMYFUNCTION("""COMPUTED_VALUE"""),426.0)</f>
        <v>426</v>
      </c>
      <c r="BJ426" s="6"/>
      <c r="BK426" s="6"/>
      <c r="BL426" s="6" t="str">
        <f>IFERROR(__xludf.DUMMYFUNCTION("""COMPUTED_VALUE"""),"GISCAS0016")</f>
        <v>GISCAS0016</v>
      </c>
      <c r="BM426" s="6"/>
      <c r="BN426" s="6"/>
      <c r="BO426" s="6"/>
      <c r="BP426" s="6" t="str">
        <f>IFERROR(__xludf.DUMMYFUNCTION("""COMPUTED_VALUE"""),"XC_45_Voleibol")</f>
        <v>XC_45_Voleibol</v>
      </c>
      <c r="BQ426" s="6"/>
      <c r="BR426" s="6"/>
      <c r="BS426" s="6" t="str">
        <f>IFERROR(__xludf.DUMMYFUNCTION("""COMPUTED_VALUE"""),"XC_45_Voleibol")</f>
        <v>XC_45_Voleibol</v>
      </c>
      <c r="BT426" s="6" t="str">
        <f>IFERROR(__xludf.DUMMYFUNCTION("""COMPUTED_VALUE"""),"XC_45_Voleibol")</f>
        <v>XC_45_Voleibol</v>
      </c>
      <c r="BU426" s="6" t="str">
        <f>IFERROR(__xludf.DUMMYFUNCTION("""COMPUTED_VALUE"""),"NO")</f>
        <v>NO</v>
      </c>
      <c r="BV426" s="6" t="str">
        <f>IFERROR(__xludf.DUMMYFUNCTION("""COMPUTED_VALUE"""),"maria.c2034")</f>
        <v>maria.c2034</v>
      </c>
      <c r="BW426" s="6"/>
      <c r="BX426" s="6"/>
      <c r="BY426" s="6"/>
      <c r="BZ426" s="6"/>
    </row>
    <row r="427">
      <c r="A427" s="12">
        <f>IFERROR(__xludf.DUMMYFUNCTION("""COMPUTED_VALUE"""),1.092859827E9)</f>
        <v>1092859827</v>
      </c>
      <c r="B427" s="6">
        <f>IFERROR(__xludf.DUMMYFUNCTION("""COMPUTED_VALUE"""),6.0)</f>
        <v>6</v>
      </c>
      <c r="C427" s="6" t="str">
        <f>IFERROR(__xludf.DUMMYFUNCTION("""COMPUTED_VALUE"""),"Emmanuel")</f>
        <v>Emmanuel</v>
      </c>
      <c r="D427" s="6"/>
      <c r="E427" s="6" t="str">
        <f>IFERROR(__xludf.DUMMYFUNCTION("""COMPUTED_VALUE"""),"De la Cruz Restrepo")</f>
        <v>De la Cruz Restrepo</v>
      </c>
      <c r="F427" s="6" t="str">
        <f>IFERROR(__xludf.DUMMYFUNCTION("""COMPUTED_VALUE"""),"Condominio Reserva de la Pastorita Casa 31 - Av 19 No23ANte - 21")</f>
        <v>Condominio Reserva de la Pastorita Casa 31 - Av 19 No23ANte - 21</v>
      </c>
      <c r="G427" s="12" t="str">
        <f>IFERROR(__xludf.DUMMYFUNCTION("""COMPUTED_VALUE"""),"2016")</f>
        <v>2016</v>
      </c>
      <c r="H427" s="6" t="str">
        <f>IFERROR(__xludf.DUMMYFUNCTION("""COMPUTED_VALUE"""),"Febrero")</f>
        <v>Febrero</v>
      </c>
      <c r="I427" s="12" t="str">
        <f>IFERROR(__xludf.DUMMYFUNCTION("""COMPUTED_VALUE"""),"28")</f>
        <v>28</v>
      </c>
      <c r="J427" s="6" t="str">
        <f>IFERROR(__xludf.DUMMYFUNCTION("""COMPUTED_VALUE"""),"Armenia")</f>
        <v>Armenia</v>
      </c>
      <c r="K427" s="6" t="str">
        <f>IFERROR(__xludf.DUMMYFUNCTION("""COMPUTED_VALUE"""),"emmanuel.d2034@gi.edu.co")</f>
        <v>emmanuel.d2034@gi.edu.co</v>
      </c>
      <c r="L427" s="6" t="str">
        <f>IFERROR(__xludf.DUMMYFUNCTION("""COMPUTED_VALUE"""),"TI")</f>
        <v>TI</v>
      </c>
      <c r="M427" s="6" t="str">
        <f>IFERROR(__xludf.DUMMYFUNCTION("""COMPUTED_VALUE"""),"Armenia")</f>
        <v>Armenia</v>
      </c>
      <c r="N427" s="6" t="str">
        <f>IFERROR(__xludf.DUMMYFUNCTION("""COMPUTED_VALUE"""),"M")</f>
        <v>M</v>
      </c>
      <c r="O427" s="6" t="str">
        <f>IFERROR(__xludf.DUMMYFUNCTION("""COMPUTED_VALUE"""),"ACTIVE")</f>
        <v>ACTIVE</v>
      </c>
      <c r="P427" s="6"/>
      <c r="Q427" s="6" t="str">
        <f>IFERROR(__xludf.DUMMYFUNCTION("""COMPUTED_VALUE"""),"Armenia")</f>
        <v>Armenia</v>
      </c>
      <c r="R427" s="12" t="str">
        <f>IFERROR(__xludf.DUMMYFUNCTION("""COMPUTED_VALUE"""),"G1d62jx*")</f>
        <v>G1d62jx*</v>
      </c>
      <c r="S427" s="6" t="str">
        <f>IFERROR(__xludf.DUMMYFUNCTION("""COMPUTED_VALUE"""),"De la Cruz Restrepo Emmanuel ")</f>
        <v>De la Cruz Restrepo Emmanuel </v>
      </c>
      <c r="T427" s="6" t="str">
        <f>IFERROR(__xludf.DUMMYFUNCTION("""COMPUTED_VALUE"""),"MAURICIO DE LA CRUZ TRUJILLO")</f>
        <v>MAURICIO DE LA CRUZ TRUJILLO</v>
      </c>
      <c r="U427" s="12" t="str">
        <f>IFERROR(__xludf.DUMMYFUNCTION("""COMPUTED_VALUE"""),"1114118122")</f>
        <v>1114118122</v>
      </c>
      <c r="V427" s="6">
        <f>IFERROR(__xludf.DUMMYFUNCTION("""COMPUTED_VALUE"""),3.148009705E9)</f>
        <v>3148009705</v>
      </c>
      <c r="W427" s="6" t="str">
        <f>IFERROR(__xludf.DUMMYFUNCTION("""COMPUTED_VALUE"""),"mauricioviva_18@gmail.com")</f>
        <v>mauricioviva_18@gmail.com</v>
      </c>
      <c r="X427" s="12" t="str">
        <f>IFERROR(__xludf.DUMMYFUNCTION("""COMPUTED_VALUE"""),"A+")</f>
        <v>A+</v>
      </c>
      <c r="Y427" s="12" t="str">
        <f>IFERROR(__xludf.DUMMYFUNCTION("""COMPUTED_VALUE"""),"5")</f>
        <v>5</v>
      </c>
      <c r="Z427" s="12">
        <f>IFERROR(__xludf.DUMMYFUNCTION("""COMPUTED_VALUE"""),120229.0)</f>
        <v>120229</v>
      </c>
      <c r="AA427" s="6" t="str">
        <f>IFERROR(__xludf.DUMMYFUNCTION("""COMPUTED_VALUE"""),"SANITAS")</f>
        <v>SANITAS</v>
      </c>
      <c r="AB427" s="6"/>
      <c r="AC427" s="6"/>
      <c r="AD427" s="12" t="str">
        <f>IFERROR(__xludf.DUMMYFUNCTION("""COMPUTED_VALUE"""),"5B")</f>
        <v>5B</v>
      </c>
      <c r="AE427" s="12">
        <f>IFERROR(__xludf.DUMMYFUNCTION("""COMPUTED_VALUE"""),1.345282224E9)</f>
        <v>1345282224</v>
      </c>
      <c r="AF427" s="12" t="str">
        <f>IFERROR(__xludf.DUMMYFUNCTION("""COMPUTED_VALUE"""),"0650618531")</f>
        <v>0650618531</v>
      </c>
      <c r="AG427" s="12" t="str">
        <f>IFERROR(__xludf.DUMMYFUNCTION("""COMPUTED_VALUE"""),"Marlén")</f>
        <v>Marlén</v>
      </c>
      <c r="AH427" s="12" t="str">
        <f>IFERROR(__xludf.DUMMYFUNCTION("""COMPUTED_VALUE"""),"Claudine")</f>
        <v>Claudine</v>
      </c>
      <c r="AI427" s="6" t="str">
        <f>IFERROR(__xludf.DUMMYFUNCTION("""COMPUTED_VALUE"""),"Restrepo Valencia")</f>
        <v>Restrepo Valencia</v>
      </c>
      <c r="AJ427" s="6" t="str">
        <f>IFERROR(__xludf.DUMMYFUNCTION("""COMPUTED_VALUE"""),"marlen750628@gmail.com")</f>
        <v>marlen750628@gmail.com</v>
      </c>
      <c r="AK427" s="6" t="str">
        <f>IFERROR(__xludf.DUMMYFUNCTION("""COMPUTED_VALUE"""),"Rentista de capital")</f>
        <v>Rentista de capital</v>
      </c>
      <c r="AL427" s="6"/>
      <c r="AM427" s="12" t="str">
        <f>IFERROR(__xludf.DUMMYFUNCTION("""COMPUTED_VALUE"""),"40436901")</f>
        <v>40436901</v>
      </c>
      <c r="AN427" s="12" t="str">
        <f>IFERROR(__xludf.DUMMYFUNCTION("""COMPUTED_VALUE"""),"3123819260")</f>
        <v>3123819260</v>
      </c>
      <c r="AO427" s="6" t="str">
        <f>IFERROR(__xludf.DUMMYFUNCTION("""COMPUTED_VALUE"""),"Madre")</f>
        <v>Madre</v>
      </c>
      <c r="AP427" s="6" t="str">
        <f>IFERROR(__xludf.DUMMYFUNCTION("""COMPUTED_VALUE"""),"Estudiante(s): De la Cruz Restrepo")</f>
        <v>Estudiante(s): De la Cruz Restrepo</v>
      </c>
      <c r="AQ427" s="6" t="str">
        <f>IFERROR(__xludf.DUMMYFUNCTION("""COMPUTED_VALUE"""),"120229*Gi")</f>
        <v>120229*Gi</v>
      </c>
      <c r="AR427" s="6" t="str">
        <f>IFERROR(__xludf.DUMMYFUNCTION("""COMPUTED_VALUE"""),"Mauricio")</f>
        <v>Mauricio</v>
      </c>
      <c r="AS427" s="6"/>
      <c r="AT427" s="6" t="str">
        <f>IFERROR(__xludf.DUMMYFUNCTION("""COMPUTED_VALUE"""),"De La Cruz Trujillo")</f>
        <v>De La Cruz Trujillo</v>
      </c>
      <c r="AU427" s="6" t="str">
        <f>IFERROR(__xludf.DUMMYFUNCTION("""COMPUTED_VALUE"""),"marlen750628@gmail.com")</f>
        <v>marlen750628@gmail.com</v>
      </c>
      <c r="AV427" s="6" t="str">
        <f>IFERROR(__xludf.DUMMYFUNCTION("""COMPUTED_VALUE"""),"Hotelería - Rentista de capital")</f>
        <v>Hotelería - Rentista de capital</v>
      </c>
      <c r="AW427" s="6"/>
      <c r="AX427" s="12" t="str">
        <f>IFERROR(__xludf.DUMMYFUNCTION("""COMPUTED_VALUE"""),"1114118122")</f>
        <v>1114118122</v>
      </c>
      <c r="AY427" s="12" t="str">
        <f>IFERROR(__xludf.DUMMYFUNCTION("""COMPUTED_VALUE"""),"3148009705")</f>
        <v>3148009705</v>
      </c>
      <c r="AZ427" s="6" t="str">
        <f>IFERROR(__xludf.DUMMYFUNCTION("""COMPUTED_VALUE"""),"Padre")</f>
        <v>Padre</v>
      </c>
      <c r="BA427" s="6"/>
      <c r="BB427" s="6"/>
      <c r="BC427" s="6"/>
      <c r="BD427" s="12" t="str">
        <f>IFERROR(__xludf.DUMMYFUNCTION("""COMPUTED_VALUE"""),"del0003")</f>
        <v>del0003</v>
      </c>
      <c r="BE427" s="6"/>
      <c r="BF427" s="6"/>
      <c r="BG427" s="6">
        <f>IFERROR(__xludf.DUMMYFUNCTION("""COMPUTED_VALUE"""),2034.0)</f>
        <v>2034</v>
      </c>
      <c r="BH427" s="15">
        <f>IFERROR(__xludf.DUMMYFUNCTION("""COMPUTED_VALUE"""),46211.458020833335)</f>
        <v>46211.45802</v>
      </c>
      <c r="BI427" s="6">
        <f>IFERROR(__xludf.DUMMYFUNCTION("""COMPUTED_VALUE"""),427.0)</f>
        <v>427</v>
      </c>
      <c r="BJ427" s="6"/>
      <c r="BK427" s="6"/>
      <c r="BL427" s="6" t="str">
        <f>IFERROR(__xludf.DUMMYFUNCTION("""COMPUTED_VALUE"""),"GISDEL0003")</f>
        <v>GISDEL0003</v>
      </c>
      <c r="BM427" s="6"/>
      <c r="BN427" s="6"/>
      <c r="BO427" s="6"/>
      <c r="BP427" s="6" t="str">
        <f>IFERROR(__xludf.DUMMYFUNCTION("""COMPUTED_VALUE"""),"XC_45_Basquetbol")</f>
        <v>XC_45_Basquetbol</v>
      </c>
      <c r="BQ427" s="6"/>
      <c r="BR427" s="6" t="str">
        <f>IFERROR(__xludf.DUMMYFUNCTION("""COMPUTED_VALUE"""),"XC_Robo_Lego")</f>
        <v>XC_Robo_Lego</v>
      </c>
      <c r="BS427" s="6" t="str">
        <f>IFERROR(__xludf.DUMMYFUNCTION("""COMPUTED_VALUE"""),"XC_45_Basquetbol")</f>
        <v>XC_45_Basquetbol</v>
      </c>
      <c r="BT427" s="6" t="str">
        <f>IFERROR(__xludf.DUMMYFUNCTION("""COMPUTED_VALUE"""),"XC_45_Basquetbol")</f>
        <v>XC_45_Basquetbol</v>
      </c>
      <c r="BU427" s="6" t="str">
        <f>IFERROR(__xludf.DUMMYFUNCTION("""COMPUTED_VALUE"""),"SI")</f>
        <v>SI</v>
      </c>
      <c r="BV427" s="6" t="str">
        <f>IFERROR(__xludf.DUMMYFUNCTION("""COMPUTED_VALUE"""),"emmanuel.d2034")</f>
        <v>emmanuel.d2034</v>
      </c>
      <c r="BW427" s="6"/>
      <c r="BX427" s="6"/>
      <c r="BY427" s="6"/>
      <c r="BZ427" s="6"/>
    </row>
    <row r="428">
      <c r="A428" s="12">
        <f>IFERROR(__xludf.DUMMYFUNCTION("""COMPUTED_VALUE"""),1.092860394E9)</f>
        <v>1092860394</v>
      </c>
      <c r="B428" s="6">
        <f>IFERROR(__xludf.DUMMYFUNCTION("""COMPUTED_VALUE"""),7.0)</f>
        <v>7</v>
      </c>
      <c r="C428" s="6" t="str">
        <f>IFERROR(__xludf.DUMMYFUNCTION("""COMPUTED_VALUE"""),"Miguel")</f>
        <v>Miguel</v>
      </c>
      <c r="D428" s="6"/>
      <c r="E428" s="6" t="str">
        <f>IFERROR(__xludf.DUMMYFUNCTION("""COMPUTED_VALUE"""),"Echeverry Duque")</f>
        <v>Echeverry Duque</v>
      </c>
      <c r="F428" s="6" t="str">
        <f>IFERROR(__xludf.DUMMYFUNCTION("""COMPUTED_VALUE"""),"Condominio Reserva de la Pastorita Casa 13 - Av 19 No23ANte - 21")</f>
        <v>Condominio Reserva de la Pastorita Casa 13 - Av 19 No23ANte - 21</v>
      </c>
      <c r="G428" s="12" t="str">
        <f>IFERROR(__xludf.DUMMYFUNCTION("""COMPUTED_VALUE"""),"2016")</f>
        <v>2016</v>
      </c>
      <c r="H428" s="6" t="str">
        <f>IFERROR(__xludf.DUMMYFUNCTION("""COMPUTED_VALUE"""),"Septiembre")</f>
        <v>Septiembre</v>
      </c>
      <c r="I428" s="12" t="str">
        <f>IFERROR(__xludf.DUMMYFUNCTION("""COMPUTED_VALUE"""),"7")</f>
        <v>7</v>
      </c>
      <c r="J428" s="6" t="str">
        <f>IFERROR(__xludf.DUMMYFUNCTION("""COMPUTED_VALUE"""),"Armenia")</f>
        <v>Armenia</v>
      </c>
      <c r="K428" s="6" t="str">
        <f>IFERROR(__xludf.DUMMYFUNCTION("""COMPUTED_VALUE"""),"miguel.e2034@gi.edu.co")</f>
        <v>miguel.e2034@gi.edu.co</v>
      </c>
      <c r="L428" s="6" t="str">
        <f>IFERROR(__xludf.DUMMYFUNCTION("""COMPUTED_VALUE"""),"TI")</f>
        <v>TI</v>
      </c>
      <c r="M428" s="6" t="str">
        <f>IFERROR(__xludf.DUMMYFUNCTION("""COMPUTED_VALUE"""),"Armenia")</f>
        <v>Armenia</v>
      </c>
      <c r="N428" s="6" t="str">
        <f>IFERROR(__xludf.DUMMYFUNCTION("""COMPUTED_VALUE"""),"M")</f>
        <v>M</v>
      </c>
      <c r="O428" s="6" t="str">
        <f>IFERROR(__xludf.DUMMYFUNCTION("""COMPUTED_VALUE"""),"INACTIVE")</f>
        <v>INACTIVE</v>
      </c>
      <c r="P428" s="6"/>
      <c r="Q428" s="6" t="str">
        <f>IFERROR(__xludf.DUMMYFUNCTION("""COMPUTED_VALUE"""),"Armenia")</f>
        <v>Armenia</v>
      </c>
      <c r="R428" s="12" t="str">
        <f>IFERROR(__xludf.DUMMYFUNCTION("""COMPUTED_VALUE"""),"Gi78fgpl*")</f>
        <v>Gi78fgpl*</v>
      </c>
      <c r="S428" s="6" t="str">
        <f>IFERROR(__xludf.DUMMYFUNCTION("""COMPUTED_VALUE"""),"Echeverry Duque Miguel ")</f>
        <v>Echeverry Duque Miguel </v>
      </c>
      <c r="T428" s="6" t="str">
        <f>IFERROR(__xludf.DUMMYFUNCTION("""COMPUTED_VALUE"""),"MAURICIO ECHEVERRY ALVAREZ")</f>
        <v>MAURICIO ECHEVERRY ALVAREZ</v>
      </c>
      <c r="U428" s="12" t="str">
        <f>IFERROR(__xludf.DUMMYFUNCTION("""COMPUTED_VALUE"""),"9770897")</f>
        <v>9770897</v>
      </c>
      <c r="V428" s="6">
        <f>IFERROR(__xludf.DUMMYFUNCTION("""COMPUTED_VALUE"""),3.113083669E9)</f>
        <v>3113083669</v>
      </c>
      <c r="W428" s="6" t="str">
        <f>IFERROR(__xludf.DUMMYFUNCTION("""COMPUTED_VALUE"""),"mauricio_echeverri_alvarez@hotmail.com")</f>
        <v>mauricio_echeverri_alvarez@hotmail.com</v>
      </c>
      <c r="X428" s="12" t="str">
        <f>IFERROR(__xludf.DUMMYFUNCTION("""COMPUTED_VALUE"""),"O+")</f>
        <v>O+</v>
      </c>
      <c r="Y428" s="12" t="str">
        <f>IFERROR(__xludf.DUMMYFUNCTION("""COMPUTED_VALUE"""),"5")</f>
        <v>5</v>
      </c>
      <c r="Z428" s="12">
        <f>IFERROR(__xludf.DUMMYFUNCTION("""COMPUTED_VALUE"""),103790.0)</f>
        <v>103790</v>
      </c>
      <c r="AA428" s="6" t="str">
        <f>IFERROR(__xludf.DUMMYFUNCTION("""COMPUTED_VALUE"""),"SURA")</f>
        <v>SURA</v>
      </c>
      <c r="AB428" s="6" t="str">
        <f>IFERROR(__xludf.DUMMYFUNCTION("""COMPUTED_VALUE"""),"EMI")</f>
        <v>EMI</v>
      </c>
      <c r="AC428" s="6"/>
      <c r="AD428" s="12" t="str">
        <f>IFERROR(__xludf.DUMMYFUNCTION("""COMPUTED_VALUE"""),"5B")</f>
        <v>5B</v>
      </c>
      <c r="AE428" s="12">
        <f>IFERROR(__xludf.DUMMYFUNCTION("""COMPUTED_VALUE"""),1.345281783E9)</f>
        <v>1345281783</v>
      </c>
      <c r="AF428" s="12" t="str">
        <f>IFERROR(__xludf.DUMMYFUNCTION("""COMPUTED_VALUE"""),"0695597859")</f>
        <v>0695597859</v>
      </c>
      <c r="AG428" s="12" t="str">
        <f>IFERROR(__xludf.DUMMYFUNCTION("""COMPUTED_VALUE"""),"Ana")</f>
        <v>Ana</v>
      </c>
      <c r="AH428" s="12" t="str">
        <f>IFERROR(__xludf.DUMMYFUNCTION("""COMPUTED_VALUE"""),"María")</f>
        <v>María</v>
      </c>
      <c r="AI428" s="6" t="str">
        <f>IFERROR(__xludf.DUMMYFUNCTION("""COMPUTED_VALUE"""),"Duque Duque")</f>
        <v>Duque Duque</v>
      </c>
      <c r="AJ428" s="6" t="str">
        <f>IFERROR(__xludf.DUMMYFUNCTION("""COMPUTED_VALUE"""),"nanisduque@hotmail.com")</f>
        <v>nanisduque@hotmail.com</v>
      </c>
      <c r="AK428" s="6" t="str">
        <f>IFERROR(__xludf.DUMMYFUNCTION("""COMPUTED_VALUE"""),"administrador de empresas")</f>
        <v>administrador de empresas</v>
      </c>
      <c r="AL428" s="6" t="str">
        <f>IFERROR(__xludf.DUMMYFUNCTION("""COMPUTED_VALUE"""),"Joyeria Brieva")</f>
        <v>Joyeria Brieva</v>
      </c>
      <c r="AM428" s="12" t="str">
        <f>IFERROR(__xludf.DUMMYFUNCTION("""COMPUTED_VALUE"""),"1037600690")</f>
        <v>1037600690</v>
      </c>
      <c r="AN428" s="12" t="str">
        <f>IFERROR(__xludf.DUMMYFUNCTION("""COMPUTED_VALUE"""),"3113060202")</f>
        <v>3113060202</v>
      </c>
      <c r="AO428" s="6" t="str">
        <f>IFERROR(__xludf.DUMMYFUNCTION("""COMPUTED_VALUE"""),"Madre")</f>
        <v>Madre</v>
      </c>
      <c r="AP428" s="6" t="str">
        <f>IFERROR(__xludf.DUMMYFUNCTION("""COMPUTED_VALUE"""),"Estudiante(s): Echeverry Duque")</f>
        <v>Estudiante(s): Echeverry Duque</v>
      </c>
      <c r="AQ428" s="6" t="str">
        <f>IFERROR(__xludf.DUMMYFUNCTION("""COMPUTED_VALUE"""),"103790*Gi")</f>
        <v>103790*Gi</v>
      </c>
      <c r="AR428" s="6" t="str">
        <f>IFERROR(__xludf.DUMMYFUNCTION("""COMPUTED_VALUE"""),"Mauricio")</f>
        <v>Mauricio</v>
      </c>
      <c r="AS428" s="6"/>
      <c r="AT428" s="6" t="str">
        <f>IFERROR(__xludf.DUMMYFUNCTION("""COMPUTED_VALUE"""),"Echeverry Álvarez")</f>
        <v>Echeverry Álvarez</v>
      </c>
      <c r="AU428" s="6" t="str">
        <f>IFERROR(__xludf.DUMMYFUNCTION("""COMPUTED_VALUE"""),"mauricio_echeverri_alvarez@hotmail.com")</f>
        <v>mauricio_echeverri_alvarez@hotmail.com</v>
      </c>
      <c r="AV428" s="6" t="str">
        <f>IFERROR(__xludf.DUMMYFUNCTION("""COMPUTED_VALUE"""),"ADMINISTRACION DE EMPRESAS")</f>
        <v>ADMINISTRACION DE EMPRESAS</v>
      </c>
      <c r="AW428" s="6" t="str">
        <f>IFERROR(__xludf.DUMMYFUNCTION("""COMPUTED_VALUE"""),"FINCAS")</f>
        <v>FINCAS</v>
      </c>
      <c r="AX428" s="12" t="str">
        <f>IFERROR(__xludf.DUMMYFUNCTION("""COMPUTED_VALUE"""),"9770897")</f>
        <v>9770897</v>
      </c>
      <c r="AY428" s="12" t="str">
        <f>IFERROR(__xludf.DUMMYFUNCTION("""COMPUTED_VALUE"""),"3113083669")</f>
        <v>3113083669</v>
      </c>
      <c r="AZ428" s="6" t="str">
        <f>IFERROR(__xludf.DUMMYFUNCTION("""COMPUTED_VALUE"""),"Padre")</f>
        <v>Padre</v>
      </c>
      <c r="BA428" s="6"/>
      <c r="BB428" s="6"/>
      <c r="BC428" s="6"/>
      <c r="BD428" s="12" t="str">
        <f>IFERROR(__xludf.DUMMYFUNCTION("""COMPUTED_VALUE"""),"ech0005")</f>
        <v>ech0005</v>
      </c>
      <c r="BE428" s="6" t="str">
        <f>IFERROR(__xludf.DUMMYFUNCTION("""COMPUTED_VALUE"""),"FALTAN FIRMAS")</f>
        <v>FALTAN FIRMAS</v>
      </c>
      <c r="BF428" s="6"/>
      <c r="BG428" s="6">
        <f>IFERROR(__xludf.DUMMYFUNCTION("""COMPUTED_VALUE"""),2034.0)</f>
        <v>2034</v>
      </c>
      <c r="BH428" s="15">
        <f>IFERROR(__xludf.DUMMYFUNCTION("""COMPUTED_VALUE"""),46212.515023148146)</f>
        <v>46212.51502</v>
      </c>
      <c r="BI428" s="6">
        <f>IFERROR(__xludf.DUMMYFUNCTION("""COMPUTED_VALUE"""),428.0)</f>
        <v>428</v>
      </c>
      <c r="BJ428" s="6"/>
      <c r="BK428" s="6"/>
      <c r="BL428" s="6" t="str">
        <f>IFERROR(__xludf.DUMMYFUNCTION("""COMPUTED_VALUE"""),"GISECH0005")</f>
        <v>GISECH0005</v>
      </c>
      <c r="BM428" s="6"/>
      <c r="BN428" s="6"/>
      <c r="BO428" s="6"/>
      <c r="BP428" s="6"/>
      <c r="BQ428" s="6"/>
      <c r="BR428" s="6"/>
      <c r="BS428" s="6"/>
      <c r="BT428" s="6"/>
      <c r="BU428" s="6" t="str">
        <f>IFERROR(__xludf.DUMMYFUNCTION("""COMPUTED_VALUE"""),"SI")</f>
        <v>SI</v>
      </c>
      <c r="BV428" s="6" t="str">
        <f>IFERROR(__xludf.DUMMYFUNCTION("""COMPUTED_VALUE"""),"miguel.e2034")</f>
        <v>miguel.e2034</v>
      </c>
      <c r="BW428" s="6"/>
      <c r="BX428" s="6"/>
      <c r="BY428" s="6"/>
      <c r="BZ428" s="6"/>
    </row>
    <row r="429">
      <c r="A429" s="12">
        <f>IFERROR(__xludf.DUMMYFUNCTION("""COMPUTED_VALUE"""),1.092859962E9)</f>
        <v>1092859962</v>
      </c>
      <c r="B429" s="6">
        <f>IFERROR(__xludf.DUMMYFUNCTION("""COMPUTED_VALUE"""),8.0)</f>
        <v>8</v>
      </c>
      <c r="C429" s="6" t="str">
        <f>IFERROR(__xludf.DUMMYFUNCTION("""COMPUTED_VALUE"""),"Santiago")</f>
        <v>Santiago</v>
      </c>
      <c r="D429" s="6"/>
      <c r="E429" s="6" t="str">
        <f>IFERROR(__xludf.DUMMYFUNCTION("""COMPUTED_VALUE"""),"Escobar Guinand")</f>
        <v>Escobar Guinand</v>
      </c>
      <c r="F429" s="6" t="str">
        <f>IFERROR(__xludf.DUMMYFUNCTION("""COMPUTED_VALUE"""),"Condominio Campestre Reserva del Bosque Casa 16 - Km 2 Via Armenia - Circasia")</f>
        <v>Condominio Campestre Reserva del Bosque Casa 16 - Km 2 Via Armenia - Circasia</v>
      </c>
      <c r="G429" s="12" t="str">
        <f>IFERROR(__xludf.DUMMYFUNCTION("""COMPUTED_VALUE"""),"2016")</f>
        <v>2016</v>
      </c>
      <c r="H429" s="6" t="str">
        <f>IFERROR(__xludf.DUMMYFUNCTION("""COMPUTED_VALUE"""),"Abril")</f>
        <v>Abril</v>
      </c>
      <c r="I429" s="12" t="str">
        <f>IFERROR(__xludf.DUMMYFUNCTION("""COMPUTED_VALUE"""),"14")</f>
        <v>14</v>
      </c>
      <c r="J429" s="6" t="str">
        <f>IFERROR(__xludf.DUMMYFUNCTION("""COMPUTED_VALUE"""),"Armenia")</f>
        <v>Armenia</v>
      </c>
      <c r="K429" s="6" t="str">
        <f>IFERROR(__xludf.DUMMYFUNCTION("""COMPUTED_VALUE"""),"santiago.e2034@gi.edu.co")</f>
        <v>santiago.e2034@gi.edu.co</v>
      </c>
      <c r="L429" s="6" t="str">
        <f>IFERROR(__xludf.DUMMYFUNCTION("""COMPUTED_VALUE"""),"TI")</f>
        <v>TI</v>
      </c>
      <c r="M429" s="6" t="str">
        <f>IFERROR(__xludf.DUMMYFUNCTION("""COMPUTED_VALUE"""),"Armenia")</f>
        <v>Armenia</v>
      </c>
      <c r="N429" s="6" t="str">
        <f>IFERROR(__xludf.DUMMYFUNCTION("""COMPUTED_VALUE"""),"M")</f>
        <v>M</v>
      </c>
      <c r="O429" s="6" t="str">
        <f>IFERROR(__xludf.DUMMYFUNCTION("""COMPUTED_VALUE"""),"ACTIVE")</f>
        <v>ACTIVE</v>
      </c>
      <c r="P429" s="6"/>
      <c r="Q429" s="6" t="str">
        <f>IFERROR(__xludf.DUMMYFUNCTION("""COMPUTED_VALUE"""),"Armenia")</f>
        <v>Armenia</v>
      </c>
      <c r="R429" s="12" t="str">
        <f>IFERROR(__xludf.DUMMYFUNCTION("""COMPUTED_VALUE"""),"Gi77yrtw*")</f>
        <v>Gi77yrtw*</v>
      </c>
      <c r="S429" s="6" t="str">
        <f>IFERROR(__xludf.DUMMYFUNCTION("""COMPUTED_VALUE"""),"Escobar Guinand Santiago ")</f>
        <v>Escobar Guinand Santiago </v>
      </c>
      <c r="T429" s="6" t="str">
        <f>IFERROR(__xludf.DUMMYFUNCTION("""COMPUTED_VALUE"""),"GLORIA HELENA GUINAND OROZCO")</f>
        <v>GLORIA HELENA GUINAND OROZCO</v>
      </c>
      <c r="U429" s="12" t="str">
        <f>IFERROR(__xludf.DUMMYFUNCTION("""COMPUTED_VALUE"""),"1094889916")</f>
        <v>1094889916</v>
      </c>
      <c r="V429" s="6">
        <f>IFERROR(__xludf.DUMMYFUNCTION("""COMPUTED_VALUE"""),3.146835912E9)</f>
        <v>3146835912</v>
      </c>
      <c r="W429" s="6" t="str">
        <f>IFERROR(__xludf.DUMMYFUNCTION("""COMPUTED_VALUE"""),"glo026@yahoo.com")</f>
        <v>glo026@yahoo.com</v>
      </c>
      <c r="X429" s="12" t="str">
        <f>IFERROR(__xludf.DUMMYFUNCTION("""COMPUTED_VALUE"""),"O+")</f>
        <v>O+</v>
      </c>
      <c r="Y429" s="12" t="str">
        <f>IFERROR(__xludf.DUMMYFUNCTION("""COMPUTED_VALUE"""),"5")</f>
        <v>5</v>
      </c>
      <c r="Z429" s="12">
        <f>IFERROR(__xludf.DUMMYFUNCTION("""COMPUTED_VALUE"""),120227.0)</f>
        <v>120227</v>
      </c>
      <c r="AA429" s="6" t="str">
        <f>IFERROR(__xludf.DUMMYFUNCTION("""COMPUTED_VALUE"""),"SALUD TOTAL")</f>
        <v>SALUD TOTAL</v>
      </c>
      <c r="AB429" s="6"/>
      <c r="AC429" s="6"/>
      <c r="AD429" s="12" t="str">
        <f>IFERROR(__xludf.DUMMYFUNCTION("""COMPUTED_VALUE"""),"5B")</f>
        <v>5B</v>
      </c>
      <c r="AE429" s="12">
        <f>IFERROR(__xludf.DUMMYFUNCTION("""COMPUTED_VALUE"""),1.345282221E9)</f>
        <v>1345282221</v>
      </c>
      <c r="AF429" s="12" t="str">
        <f>IFERROR(__xludf.DUMMYFUNCTION("""COMPUTED_VALUE"""),"0694148291")</f>
        <v>0694148291</v>
      </c>
      <c r="AG429" s="12" t="str">
        <f>IFERROR(__xludf.DUMMYFUNCTION("""COMPUTED_VALUE"""),"Gloria")</f>
        <v>Gloria</v>
      </c>
      <c r="AH429" s="12" t="str">
        <f>IFERROR(__xludf.DUMMYFUNCTION("""COMPUTED_VALUE"""),"Helena")</f>
        <v>Helena</v>
      </c>
      <c r="AI429" s="6" t="str">
        <f>IFERROR(__xludf.DUMMYFUNCTION("""COMPUTED_VALUE"""),"Guinand Orozco")</f>
        <v>Guinand Orozco</v>
      </c>
      <c r="AJ429" s="6" t="str">
        <f>IFERROR(__xludf.DUMMYFUNCTION("""COMPUTED_VALUE"""),"glo026@yahoo.com")</f>
        <v>glo026@yahoo.com</v>
      </c>
      <c r="AK429" s="6" t="str">
        <f>IFERROR(__xludf.DUMMYFUNCTION("""COMPUTED_VALUE"""),"Administradora de Empresas")</f>
        <v>Administradora de Empresas</v>
      </c>
      <c r="AL429" s="6" t="str">
        <f>IFERROR(__xludf.DUMMYFUNCTION("""COMPUTED_VALUE"""),"Dian")</f>
        <v>Dian</v>
      </c>
      <c r="AM429" s="12" t="str">
        <f>IFERROR(__xludf.DUMMYFUNCTION("""COMPUTED_VALUE"""),"1094889916")</f>
        <v>1094889916</v>
      </c>
      <c r="AN429" s="12" t="str">
        <f>IFERROR(__xludf.DUMMYFUNCTION("""COMPUTED_VALUE"""),"3146835912")</f>
        <v>3146835912</v>
      </c>
      <c r="AO429" s="6" t="str">
        <f>IFERROR(__xludf.DUMMYFUNCTION("""COMPUTED_VALUE"""),"Madre")</f>
        <v>Madre</v>
      </c>
      <c r="AP429" s="6" t="str">
        <f>IFERROR(__xludf.DUMMYFUNCTION("""COMPUTED_VALUE"""),"Estudiante(s): Escobar Guinand")</f>
        <v>Estudiante(s): Escobar Guinand</v>
      </c>
      <c r="AQ429" s="6" t="str">
        <f>IFERROR(__xludf.DUMMYFUNCTION("""COMPUTED_VALUE"""),"120227*Gi")</f>
        <v>120227*Gi</v>
      </c>
      <c r="AR429" s="6" t="str">
        <f>IFERROR(__xludf.DUMMYFUNCTION("""COMPUTED_VALUE"""),"Julio")</f>
        <v>Julio</v>
      </c>
      <c r="AS429" s="6" t="str">
        <f>IFERROR(__xludf.DUMMYFUNCTION("""COMPUTED_VALUE"""),"César")</f>
        <v>César</v>
      </c>
      <c r="AT429" s="6" t="str">
        <f>IFERROR(__xludf.DUMMYFUNCTION("""COMPUTED_VALUE"""),"Escobar Posada")</f>
        <v>Escobar Posada</v>
      </c>
      <c r="AU429" s="6" t="str">
        <f>IFERROR(__xludf.DUMMYFUNCTION("""COMPUTED_VALUE"""),"juesco15@gmail.com")</f>
        <v>juesco15@gmail.com</v>
      </c>
      <c r="AV429" s="6" t="str">
        <f>IFERROR(__xludf.DUMMYFUNCTION("""COMPUTED_VALUE"""),"Ingeniero Civil")</f>
        <v>Ingeniero Civil</v>
      </c>
      <c r="AW429" s="6" t="str">
        <f>IFERROR(__xludf.DUMMYFUNCTION("""COMPUTED_VALUE"""),"Independiente")</f>
        <v>Independiente</v>
      </c>
      <c r="AX429" s="12" t="str">
        <f>IFERROR(__xludf.DUMMYFUNCTION("""COMPUTED_VALUE"""),"71780835")</f>
        <v>71780835</v>
      </c>
      <c r="AY429" s="12" t="str">
        <f>IFERROR(__xludf.DUMMYFUNCTION("""COMPUTED_VALUE"""),"3206979002")</f>
        <v>3206979002</v>
      </c>
      <c r="AZ429" s="6" t="str">
        <f>IFERROR(__xludf.DUMMYFUNCTION("""COMPUTED_VALUE"""),"Padre")</f>
        <v>Padre</v>
      </c>
      <c r="BA429" s="6"/>
      <c r="BB429" s="6"/>
      <c r="BC429" s="6"/>
      <c r="BD429" s="12" t="str">
        <f>IFERROR(__xludf.DUMMYFUNCTION("""COMPUTED_VALUE"""),"esc0005")</f>
        <v>esc0005</v>
      </c>
      <c r="BE429" s="6"/>
      <c r="BF429" s="6"/>
      <c r="BG429" s="6">
        <f>IFERROR(__xludf.DUMMYFUNCTION("""COMPUTED_VALUE"""),2034.0)</f>
        <v>2034</v>
      </c>
      <c r="BH429" s="15">
        <f>IFERROR(__xludf.DUMMYFUNCTION("""COMPUTED_VALUE"""),46211.330034722225)</f>
        <v>46211.33003</v>
      </c>
      <c r="BI429" s="6">
        <f>IFERROR(__xludf.DUMMYFUNCTION("""COMPUTED_VALUE"""),429.0)</f>
        <v>429</v>
      </c>
      <c r="BJ429" s="6"/>
      <c r="BK429" s="6"/>
      <c r="BL429" s="6" t="str">
        <f>IFERROR(__xludf.DUMMYFUNCTION("""COMPUTED_VALUE"""),"GISESC0005")</f>
        <v>GISESC0005</v>
      </c>
      <c r="BM429" s="6"/>
      <c r="BN429" s="6"/>
      <c r="BO429" s="6"/>
      <c r="BP429" s="6" t="str">
        <f>IFERROR(__xludf.DUMMYFUNCTION("""COMPUTED_VALUE"""),"XC_5_Futbol_M")</f>
        <v>XC_5_Futbol_M</v>
      </c>
      <c r="BQ429" s="6"/>
      <c r="BR429" s="6" t="str">
        <f>IFERROR(__xludf.DUMMYFUNCTION("""COMPUTED_VALUE"""),"XC_Robo_Lego")</f>
        <v>XC_Robo_Lego</v>
      </c>
      <c r="BS429" s="6" t="str">
        <f>IFERROR(__xludf.DUMMYFUNCTION("""COMPUTED_VALUE"""),"XC_5_Futbol_M")</f>
        <v>XC_5_Futbol_M</v>
      </c>
      <c r="BT429" s="6" t="str">
        <f>IFERROR(__xludf.DUMMYFUNCTION("""COMPUTED_VALUE"""),"XC_5_Futbol_M")</f>
        <v>XC_5_Futbol_M</v>
      </c>
      <c r="BU429" s="6" t="str">
        <f>IFERROR(__xludf.DUMMYFUNCTION("""COMPUTED_VALUE"""),"SI")</f>
        <v>SI</v>
      </c>
      <c r="BV429" s="6" t="str">
        <f>IFERROR(__xludf.DUMMYFUNCTION("""COMPUTED_VALUE"""),"santiago.e2034")</f>
        <v>santiago.e2034</v>
      </c>
      <c r="BW429" s="6"/>
      <c r="BX429" s="6"/>
      <c r="BY429" s="6"/>
      <c r="BZ429" s="6"/>
    </row>
    <row r="430">
      <c r="A430" s="12" t="str">
        <f>IFERROR(__xludf.DUMMYFUNCTION("""COMPUTED_VALUE"""),"1084607399")</f>
        <v>1084607399</v>
      </c>
      <c r="B430" s="6">
        <f>IFERROR(__xludf.DUMMYFUNCTION("""COMPUTED_VALUE"""),9.0)</f>
        <v>9</v>
      </c>
      <c r="C430" s="6" t="str">
        <f>IFERROR(__xludf.DUMMYFUNCTION("""COMPUTED_VALUE"""),"Rania")</f>
        <v>Rania</v>
      </c>
      <c r="D430" s="6"/>
      <c r="E430" s="6" t="str">
        <f>IFERROR(__xludf.DUMMYFUNCTION("""COMPUTED_VALUE"""),"Fakih Dávila")</f>
        <v>Fakih Dávila</v>
      </c>
      <c r="F430" s="6" t="str">
        <f>IFERROR(__xludf.DUMMYFUNCTION("""COMPUTED_VALUE"""),"Cra 10 No 15Nte - 9 - La Castellana")</f>
        <v>Cra 10 No 15Nte - 9 - La Castellana</v>
      </c>
      <c r="G430" s="12">
        <f>IFERROR(__xludf.DUMMYFUNCTION("""COMPUTED_VALUE"""),2015.0)</f>
        <v>2015</v>
      </c>
      <c r="H430" s="12" t="str">
        <f>IFERROR(__xludf.DUMMYFUNCTION("""COMPUTED_VALUE"""),"Diciembre")</f>
        <v>Diciembre</v>
      </c>
      <c r="I430" s="12">
        <f>IFERROR(__xludf.DUMMYFUNCTION("""COMPUTED_VALUE"""),12.0)</f>
        <v>12</v>
      </c>
      <c r="J430" s="6" t="str">
        <f>IFERROR(__xludf.DUMMYFUNCTION("""COMPUTED_VALUE"""),"Santa Marta")</f>
        <v>Santa Marta</v>
      </c>
      <c r="K430" s="12" t="str">
        <f>IFERROR(__xludf.DUMMYFUNCTION("""COMPUTED_VALUE"""),"rania.f2034@gi.edu.co")</f>
        <v>rania.f2034@gi.edu.co</v>
      </c>
      <c r="L430" s="6" t="str">
        <f>IFERROR(__xludf.DUMMYFUNCTION("""COMPUTED_VALUE"""),"TI")</f>
        <v>TI</v>
      </c>
      <c r="M430" s="6" t="str">
        <f>IFERROR(__xludf.DUMMYFUNCTION("""COMPUTED_VALUE"""),"Santa Marta")</f>
        <v>Santa Marta</v>
      </c>
      <c r="N430" s="6" t="str">
        <f>IFERROR(__xludf.DUMMYFUNCTION("""COMPUTED_VALUE"""),"F")</f>
        <v>F</v>
      </c>
      <c r="O430" s="6" t="str">
        <f>IFERROR(__xludf.DUMMYFUNCTION("""COMPUTED_VALUE"""),"ACTIVE")</f>
        <v>ACTIVE</v>
      </c>
      <c r="P430" s="6" t="str">
        <f>IFERROR(__xludf.DUMMYFUNCTION("""COMPUTED_VALUE"""),"Nvos Hermanos")</f>
        <v>Nvos Hermanos</v>
      </c>
      <c r="Q430" s="6" t="str">
        <f>IFERROR(__xludf.DUMMYFUNCTION("""COMPUTED_VALUE"""),"Armenia")</f>
        <v>Armenia</v>
      </c>
      <c r="R430" s="12" t="str">
        <f>IFERROR(__xludf.DUMMYFUNCTION("""COMPUTED_VALUE"""),"GiN8jC5L*")</f>
        <v>GiN8jC5L*</v>
      </c>
      <c r="S430" s="6" t="str">
        <f>IFERROR(__xludf.DUMMYFUNCTION("""COMPUTED_VALUE"""),"Fakih Dávila Rania ")</f>
        <v>Fakih Dávila Rania </v>
      </c>
      <c r="T430" s="6" t="str">
        <f>IFERROR(__xludf.DUMMYFUNCTION("""COMPUTED_VALUE"""),"MARIANA DAVILA ALZAMORA")</f>
        <v>MARIANA DAVILA ALZAMORA</v>
      </c>
      <c r="U430" s="12" t="str">
        <f>IFERROR(__xludf.DUMMYFUNCTION("""COMPUTED_VALUE"""),"1020756318")</f>
        <v>1020756318</v>
      </c>
      <c r="V430" s="6">
        <f>IFERROR(__xludf.DUMMYFUNCTION("""COMPUTED_VALUE"""),3.215398347E9)</f>
        <v>3215398347</v>
      </c>
      <c r="W430" s="6" t="str">
        <f>IFERROR(__xludf.DUMMYFUNCTION("""COMPUTED_VALUE"""),"mona.dav.85@gmail.com")</f>
        <v>mona.dav.85@gmail.com</v>
      </c>
      <c r="X430" s="12" t="str">
        <f>IFERROR(__xludf.DUMMYFUNCTION("""COMPUTED_VALUE"""),"O-")</f>
        <v>O-</v>
      </c>
      <c r="Y430" s="12">
        <f>IFERROR(__xludf.DUMMYFUNCTION("""COMPUTED_VALUE"""),5.0)</f>
        <v>5</v>
      </c>
      <c r="Z430" s="6">
        <f>IFERROR(__xludf.DUMMYFUNCTION("""COMPUTED_VALUE"""),120638.0)</f>
        <v>120638</v>
      </c>
      <c r="AA430" s="6" t="str">
        <f>IFERROR(__xludf.DUMMYFUNCTION("""COMPUTED_VALUE"""),"SALUD TOTAL")</f>
        <v>SALUD TOTAL</v>
      </c>
      <c r="AB430" s="6"/>
      <c r="AC430" s="6"/>
      <c r="AD430" s="12" t="str">
        <f>IFERROR(__xludf.DUMMYFUNCTION("""COMPUTED_VALUE"""),"5B")</f>
        <v>5B</v>
      </c>
      <c r="AE430" s="12" t="str">
        <f>IFERROR(__xludf.DUMMYFUNCTION("""COMPUTED_VALUE"""),"1345282628")</f>
        <v>1345282628</v>
      </c>
      <c r="AF430" s="6"/>
      <c r="AG430" s="12" t="str">
        <f>IFERROR(__xludf.DUMMYFUNCTION("""COMPUTED_VALUE"""),"Mariana")</f>
        <v>Mariana</v>
      </c>
      <c r="AH430" s="12" t="str">
        <f>IFERROR(__xludf.DUMMYFUNCTION("""COMPUTED_VALUE"""),"del Rosario")</f>
        <v>del Rosario</v>
      </c>
      <c r="AI430" s="6" t="str">
        <f>IFERROR(__xludf.DUMMYFUNCTION("""COMPUTED_VALUE"""),"Dávila Alzamora")</f>
        <v>Dávila Alzamora</v>
      </c>
      <c r="AJ430" s="6" t="str">
        <f>IFERROR(__xludf.DUMMYFUNCTION("""COMPUTED_VALUE"""),"mona.dav.85@gmail.com")</f>
        <v>mona.dav.85@gmail.com</v>
      </c>
      <c r="AK430" s="6" t="str">
        <f>IFERROR(__xludf.DUMMYFUNCTION("""COMPUTED_VALUE"""),"LICENCIADA")</f>
        <v>LICENCIADA</v>
      </c>
      <c r="AL430" s="6" t="str">
        <f>IFERROR(__xludf.DUMMYFUNCTION("""COMPUTED_VALUE"""),"GI SCHOOL")</f>
        <v>GI SCHOOL</v>
      </c>
      <c r="AM430" s="12" t="str">
        <f>IFERROR(__xludf.DUMMYFUNCTION("""COMPUTED_VALUE"""),"1020756318")</f>
        <v>1020756318</v>
      </c>
      <c r="AN430" s="12" t="str">
        <f>IFERROR(__xludf.DUMMYFUNCTION("""COMPUTED_VALUE"""),"3215398347")</f>
        <v>3215398347</v>
      </c>
      <c r="AO430" s="6" t="str">
        <f>IFERROR(__xludf.DUMMYFUNCTION("""COMPUTED_VALUE"""),"Madre")</f>
        <v>Madre</v>
      </c>
      <c r="AP430" s="12" t="str">
        <f>IFERROR(__xludf.DUMMYFUNCTION("""COMPUTED_VALUE"""),"Estudiante(s): Fakih Dávila")</f>
        <v>Estudiante(s): Fakih Dávila</v>
      </c>
      <c r="AQ430" s="6" t="str">
        <f>IFERROR(__xludf.DUMMYFUNCTION("""COMPUTED_VALUE"""),"120637*Gi")</f>
        <v>120637*Gi</v>
      </c>
      <c r="AR430" s="6" t="str">
        <f>IFERROR(__xludf.DUMMYFUNCTION("""COMPUTED_VALUE"""),"Yijed")</f>
        <v>Yijed</v>
      </c>
      <c r="AS430" s="6"/>
      <c r="AT430" s="6" t="str">
        <f>IFERROR(__xludf.DUMMYFUNCTION("""COMPUTED_VALUE"""),"Fakih de León")</f>
        <v>Fakih de León</v>
      </c>
      <c r="AU430" s="6" t="str">
        <f>IFERROR(__xludf.DUMMYFUNCTION("""COMPUTED_VALUE"""),"yijed91@gmail.com")</f>
        <v>yijed91@gmail.com</v>
      </c>
      <c r="AV430" s="6" t="str">
        <f>IFERROR(__xludf.DUMMYFUNCTION("""COMPUTED_VALUE"""),"ABOGADO")</f>
        <v>ABOGADO</v>
      </c>
      <c r="AW430" s="6"/>
      <c r="AX430" s="12" t="str">
        <f>IFERROR(__xludf.DUMMYFUNCTION("""COMPUTED_VALUE"""),"1082948746")</f>
        <v>1082948746</v>
      </c>
      <c r="AY430" s="12" t="str">
        <f>IFERROR(__xludf.DUMMYFUNCTION("""COMPUTED_VALUE"""),"3164826591")</f>
        <v>3164826591</v>
      </c>
      <c r="AZ430" s="6" t="str">
        <f>IFERROR(__xludf.DUMMYFUNCTION("""COMPUTED_VALUE"""),"Padre")</f>
        <v>Padre</v>
      </c>
      <c r="BA430" s="6"/>
      <c r="BB430" s="6"/>
      <c r="BC430" s="6"/>
      <c r="BD430" s="12" t="str">
        <f>IFERROR(__xludf.DUMMYFUNCTION("""COMPUTED_VALUE"""),"fak0001")</f>
        <v>fak0001</v>
      </c>
      <c r="BE430" s="6" t="str">
        <f>IFERROR(__xludf.DUMMYFUNCTION("""COMPUTED_VALUE"""),"NUEVO(A)")</f>
        <v>NUEVO(A)</v>
      </c>
      <c r="BF430" s="6"/>
      <c r="BG430" s="6">
        <f>IFERROR(__xludf.DUMMYFUNCTION("""COMPUTED_VALUE"""),2034.0)</f>
        <v>2034</v>
      </c>
      <c r="BH430" s="15">
        <f>IFERROR(__xludf.DUMMYFUNCTION("""COMPUTED_VALUE"""),46233.57349537037)</f>
        <v>46233.5735</v>
      </c>
      <c r="BI430" s="6">
        <f>IFERROR(__xludf.DUMMYFUNCTION("""COMPUTED_VALUE"""),430.0)</f>
        <v>430</v>
      </c>
      <c r="BJ430" s="6"/>
      <c r="BK430" s="6"/>
      <c r="BL430" s="6" t="str">
        <f>IFERROR(__xludf.DUMMYFUNCTION("""COMPUTED_VALUE"""),"GISFAK0001")</f>
        <v>GISFAK0001</v>
      </c>
      <c r="BM430" s="6"/>
      <c r="BN430" s="6"/>
      <c r="BO430" s="6"/>
      <c r="BP430" s="6"/>
      <c r="BQ430" s="6"/>
      <c r="BR430" s="6"/>
      <c r="BS430" s="6"/>
      <c r="BT430" s="6"/>
      <c r="BU430" s="6" t="str">
        <f>IFERROR(__xludf.DUMMYFUNCTION("""COMPUTED_VALUE"""),"SI")</f>
        <v>SI</v>
      </c>
      <c r="BV430" s="6" t="str">
        <f>IFERROR(__xludf.DUMMYFUNCTION("""COMPUTED_VALUE"""),"rania.f2034")</f>
        <v>rania.f2034</v>
      </c>
      <c r="BW430" s="6"/>
      <c r="BX430" s="6"/>
      <c r="BY430" s="6"/>
      <c r="BZ430" s="6"/>
    </row>
    <row r="431">
      <c r="A431" s="12">
        <f>IFERROR(__xludf.DUMMYFUNCTION("""COMPUTED_VALUE"""),1.091888226E9)</f>
        <v>1091888226</v>
      </c>
      <c r="B431" s="6">
        <f>IFERROR(__xludf.DUMMYFUNCTION("""COMPUTED_VALUE"""),10.0)</f>
        <v>10</v>
      </c>
      <c r="C431" s="6" t="str">
        <f>IFERROR(__xludf.DUMMYFUNCTION("""COMPUTED_VALUE"""),"Joaquín")</f>
        <v>Joaquín</v>
      </c>
      <c r="D431" s="6"/>
      <c r="E431" s="6" t="str">
        <f>IFERROR(__xludf.DUMMYFUNCTION("""COMPUTED_VALUE"""),"Gallego Oquendo")</f>
        <v>Gallego Oquendo</v>
      </c>
      <c r="F431" s="6" t="str">
        <f>IFERROR(__xludf.DUMMYFUNCTION("""COMPUTED_VALUE"""),"Finca La Galana Vereda Pantanillo")</f>
        <v>Finca La Galana Vereda Pantanillo</v>
      </c>
      <c r="G431" s="12" t="str">
        <f>IFERROR(__xludf.DUMMYFUNCTION("""COMPUTED_VALUE"""),"2016")</f>
        <v>2016</v>
      </c>
      <c r="H431" s="6" t="str">
        <f>IFERROR(__xludf.DUMMYFUNCTION("""COMPUTED_VALUE"""),"Abril")</f>
        <v>Abril</v>
      </c>
      <c r="I431" s="12" t="str">
        <f>IFERROR(__xludf.DUMMYFUNCTION("""COMPUTED_VALUE"""),"19")</f>
        <v>19</v>
      </c>
      <c r="J431" s="6" t="str">
        <f>IFERROR(__xludf.DUMMYFUNCTION("""COMPUTED_VALUE"""),"Armenia")</f>
        <v>Armenia</v>
      </c>
      <c r="K431" s="6" t="str">
        <f>IFERROR(__xludf.DUMMYFUNCTION("""COMPUTED_VALUE"""),"joaquin.g2034@gi.edu.co")</f>
        <v>joaquin.g2034@gi.edu.co</v>
      </c>
      <c r="L431" s="6" t="str">
        <f>IFERROR(__xludf.DUMMYFUNCTION("""COMPUTED_VALUE"""),"TI")</f>
        <v>TI</v>
      </c>
      <c r="M431" s="6" t="str">
        <f>IFERROR(__xludf.DUMMYFUNCTION("""COMPUTED_VALUE"""),"Armenia")</f>
        <v>Armenia</v>
      </c>
      <c r="N431" s="6" t="str">
        <f>IFERROR(__xludf.DUMMYFUNCTION("""COMPUTED_VALUE"""),"M")</f>
        <v>M</v>
      </c>
      <c r="O431" s="6" t="str">
        <f>IFERROR(__xludf.DUMMYFUNCTION("""COMPUTED_VALUE"""),"ACTIVE")</f>
        <v>ACTIVE</v>
      </c>
      <c r="P431" s="6"/>
      <c r="Q431" s="6" t="str">
        <f>IFERROR(__xludf.DUMMYFUNCTION("""COMPUTED_VALUE"""),"Armenia")</f>
        <v>Armenia</v>
      </c>
      <c r="R431" s="12" t="str">
        <f>IFERROR(__xludf.DUMMYFUNCTION("""COMPUTED_VALUE"""),"Gidkcey34*")</f>
        <v>Gidkcey34*</v>
      </c>
      <c r="S431" s="6" t="str">
        <f>IFERROR(__xludf.DUMMYFUNCTION("""COMPUTED_VALUE"""),"Gallego Oquendo Joaquín ")</f>
        <v>Gallego Oquendo Joaquín </v>
      </c>
      <c r="T431" s="6" t="str">
        <f>IFERROR(__xludf.DUMMYFUNCTION("""COMPUTED_VALUE"""),"JOSE IGNACIO GALLEGO CANO")</f>
        <v>JOSE IGNACIO GALLEGO CANO</v>
      </c>
      <c r="U431" s="12" t="str">
        <f>IFERROR(__xludf.DUMMYFUNCTION("""COMPUTED_VALUE"""),"70518074")</f>
        <v>70518074</v>
      </c>
      <c r="V431" s="6">
        <f>IFERROR(__xludf.DUMMYFUNCTION("""COMPUTED_VALUE"""),3.116107209E9)</f>
        <v>3116107209</v>
      </c>
      <c r="W431" s="6" t="str">
        <f>IFERROR(__xludf.DUMMYFUNCTION("""COMPUTED_VALUE"""),"jose.gallego2008@hotmail.com")</f>
        <v>jose.gallego2008@hotmail.com</v>
      </c>
      <c r="X431" s="12" t="str">
        <f>IFERROR(__xludf.DUMMYFUNCTION("""COMPUTED_VALUE"""),"O+")</f>
        <v>O+</v>
      </c>
      <c r="Y431" s="12" t="str">
        <f>IFERROR(__xludf.DUMMYFUNCTION("""COMPUTED_VALUE"""),"5")</f>
        <v>5</v>
      </c>
      <c r="Z431" s="12">
        <f>IFERROR(__xludf.DUMMYFUNCTION("""COMPUTED_VALUE"""),120023.0)</f>
        <v>120023</v>
      </c>
      <c r="AA431" s="6" t="str">
        <f>IFERROR(__xludf.DUMMYFUNCTION("""COMPUTED_VALUE"""),"SURA")</f>
        <v>SURA</v>
      </c>
      <c r="AB431" s="6"/>
      <c r="AC431" s="6"/>
      <c r="AD431" s="12" t="str">
        <f>IFERROR(__xludf.DUMMYFUNCTION("""COMPUTED_VALUE"""),"5B")</f>
        <v>5B</v>
      </c>
      <c r="AE431" s="12">
        <f>IFERROR(__xludf.DUMMYFUNCTION("""COMPUTED_VALUE"""),1.345282034E9)</f>
        <v>1345282034</v>
      </c>
      <c r="AF431" s="12" t="str">
        <f>IFERROR(__xludf.DUMMYFUNCTION("""COMPUTED_VALUE"""),"0651233027")</f>
        <v>0651233027</v>
      </c>
      <c r="AG431" s="12" t="str">
        <f>IFERROR(__xludf.DUMMYFUNCTION("""COMPUTED_VALUE"""),"Yulieth")</f>
        <v>Yulieth</v>
      </c>
      <c r="AH431" s="12" t="str">
        <f>IFERROR(__xludf.DUMMYFUNCTION("""COMPUTED_VALUE"""),"Tatiana")</f>
        <v>Tatiana</v>
      </c>
      <c r="AI431" s="6" t="str">
        <f>IFERROR(__xludf.DUMMYFUNCTION("""COMPUTED_VALUE"""),"Oquendo Cartagena")</f>
        <v>Oquendo Cartagena</v>
      </c>
      <c r="AJ431" s="6" t="str">
        <f>IFERROR(__xludf.DUMMYFUNCTION("""COMPUTED_VALUE"""),"tatianaoquendo201995@gmail.com")</f>
        <v>tatianaoquendo201995@gmail.com</v>
      </c>
      <c r="AK431" s="6" t="str">
        <f>IFERROR(__xludf.DUMMYFUNCTION("""COMPUTED_VALUE"""),"ama de casa")</f>
        <v>ama de casa</v>
      </c>
      <c r="AL431" s="6"/>
      <c r="AM431" s="12" t="str">
        <f>IFERROR(__xludf.DUMMYFUNCTION("""COMPUTED_VALUE"""),"1020469614")</f>
        <v>1020469614</v>
      </c>
      <c r="AN431" s="12" t="str">
        <f>IFERROR(__xludf.DUMMYFUNCTION("""COMPUTED_VALUE"""),"3016309405")</f>
        <v>3016309405</v>
      </c>
      <c r="AO431" s="6" t="str">
        <f>IFERROR(__xludf.DUMMYFUNCTION("""COMPUTED_VALUE"""),"Madre")</f>
        <v>Madre</v>
      </c>
      <c r="AP431" s="6" t="str">
        <f>IFERROR(__xludf.DUMMYFUNCTION("""COMPUTED_VALUE"""),"Estudiante(s): Joaquín Gallego Oquendo &amp; Luciana Urrego Oquendo")</f>
        <v>Estudiante(s): Joaquín Gallego Oquendo &amp; Luciana Urrego Oquendo</v>
      </c>
      <c r="AQ431" s="6" t="str">
        <f>IFERROR(__xludf.DUMMYFUNCTION("""COMPUTED_VALUE"""),"103493*Gi")</f>
        <v>103493*Gi</v>
      </c>
      <c r="AR431" s="6" t="str">
        <f>IFERROR(__xludf.DUMMYFUNCTION("""COMPUTED_VALUE"""),"José")</f>
        <v>José</v>
      </c>
      <c r="AS431" s="6" t="str">
        <f>IFERROR(__xludf.DUMMYFUNCTION("""COMPUTED_VALUE"""),"Ignacio")</f>
        <v>Ignacio</v>
      </c>
      <c r="AT431" s="6" t="str">
        <f>IFERROR(__xludf.DUMMYFUNCTION("""COMPUTED_VALUE"""),"Gallego Cano")</f>
        <v>Gallego Cano</v>
      </c>
      <c r="AU431" s="6" t="str">
        <f>IFERROR(__xludf.DUMMYFUNCTION("""COMPUTED_VALUE"""),"jose.gallego2008@hotmail.com")</f>
        <v>jose.gallego2008@hotmail.com</v>
      </c>
      <c r="AV431" s="6" t="str">
        <f>IFERROR(__xludf.DUMMYFUNCTION("""COMPUTED_VALUE"""),"comerciante")</f>
        <v>comerciante</v>
      </c>
      <c r="AW431" s="6" t="str">
        <f>IFERROR(__xludf.DUMMYFUNCTION("""COMPUTED_VALUE"""),"facilisimo")</f>
        <v>facilisimo</v>
      </c>
      <c r="AX431" s="12" t="str">
        <f>IFERROR(__xludf.DUMMYFUNCTION("""COMPUTED_VALUE"""),"70518074")</f>
        <v>70518074</v>
      </c>
      <c r="AY431" s="12" t="str">
        <f>IFERROR(__xludf.DUMMYFUNCTION("""COMPUTED_VALUE"""),"3116107209")</f>
        <v>3116107209</v>
      </c>
      <c r="AZ431" s="6" t="str">
        <f>IFERROR(__xludf.DUMMYFUNCTION("""COMPUTED_VALUE"""),"Padre")</f>
        <v>Padre</v>
      </c>
      <c r="BA431" s="6"/>
      <c r="BB431" s="6"/>
      <c r="BC431" s="6"/>
      <c r="BD431" s="12" t="str">
        <f>IFERROR(__xludf.DUMMYFUNCTION("""COMPUTED_VALUE"""),"urr0004")</f>
        <v>urr0004</v>
      </c>
      <c r="BE431" s="6"/>
      <c r="BF431" s="6"/>
      <c r="BG431" s="6">
        <f>IFERROR(__xludf.DUMMYFUNCTION("""COMPUTED_VALUE"""),2034.0)</f>
        <v>2034</v>
      </c>
      <c r="BH431" s="15">
        <f>IFERROR(__xludf.DUMMYFUNCTION("""COMPUTED_VALUE"""),46211.49236111111)</f>
        <v>46211.49236</v>
      </c>
      <c r="BI431" s="6">
        <f>IFERROR(__xludf.DUMMYFUNCTION("""COMPUTED_VALUE"""),431.0)</f>
        <v>431</v>
      </c>
      <c r="BJ431" s="6"/>
      <c r="BK431" s="6" t="str">
        <f>IFERROR(__xludf.DUMMYFUNCTION("""COMPUTED_VALUE"""),"Si: Dolonime ( dolores o fiebre )")</f>
        <v>Si: Dolonime ( dolores o fiebre )</v>
      </c>
      <c r="BL431" s="6" t="str">
        <f>IFERROR(__xludf.DUMMYFUNCTION("""COMPUTED_VALUE"""),"GISURR0004")</f>
        <v>GISURR0004</v>
      </c>
      <c r="BM431" s="6"/>
      <c r="BN431" s="6"/>
      <c r="BO431" s="6"/>
      <c r="BP431" s="6" t="str">
        <f>IFERROR(__xludf.DUMMYFUNCTION("""COMPUTED_VALUE"""),"XC_5_Futbol_M")</f>
        <v>XC_5_Futbol_M</v>
      </c>
      <c r="BQ431" s="6"/>
      <c r="BR431" s="6"/>
      <c r="BS431" s="6" t="str">
        <f>IFERROR(__xludf.DUMMYFUNCTION("""COMPUTED_VALUE"""),"XC_5_Futbol_M")</f>
        <v>XC_5_Futbol_M</v>
      </c>
      <c r="BT431" s="6" t="str">
        <f>IFERROR(__xludf.DUMMYFUNCTION("""COMPUTED_VALUE"""),"XC_5_Futbol_M")</f>
        <v>XC_5_Futbol_M</v>
      </c>
      <c r="BU431" s="6" t="str">
        <f>IFERROR(__xludf.DUMMYFUNCTION("""COMPUTED_VALUE"""),"SI")</f>
        <v>SI</v>
      </c>
      <c r="BV431" s="6" t="str">
        <f>IFERROR(__xludf.DUMMYFUNCTION("""COMPUTED_VALUE"""),"joaquin.g2034")</f>
        <v>joaquin.g2034</v>
      </c>
      <c r="BW431" s="6"/>
      <c r="BX431" s="6"/>
      <c r="BY431" s="6"/>
      <c r="BZ431" s="6"/>
    </row>
    <row r="432">
      <c r="A432" s="12">
        <f>IFERROR(__xludf.DUMMYFUNCTION("""COMPUTED_VALUE"""),1.030101996E9)</f>
        <v>1030101996</v>
      </c>
      <c r="B432" s="6">
        <f>IFERROR(__xludf.DUMMYFUNCTION("""COMPUTED_VALUE"""),11.0)</f>
        <v>11</v>
      </c>
      <c r="C432" s="6" t="str">
        <f>IFERROR(__xludf.DUMMYFUNCTION("""COMPUTED_VALUE"""),"José")</f>
        <v>José</v>
      </c>
      <c r="D432" s="6" t="str">
        <f>IFERROR(__xludf.DUMMYFUNCTION("""COMPUTED_VALUE"""),"Luis")</f>
        <v>Luis</v>
      </c>
      <c r="E432" s="6" t="str">
        <f>IFERROR(__xludf.DUMMYFUNCTION("""COMPUTED_VALUE"""),"Gallo Díaz")</f>
        <v>Gallo Díaz</v>
      </c>
      <c r="F432" s="6" t="str">
        <f>IFERROR(__xludf.DUMMYFUNCTION("""COMPUTED_VALUE"""),"Lagos de Iraka Casa 23 - Km 12 Via Armenia - El Caimo")</f>
        <v>Lagos de Iraka Casa 23 - Km 12 Via Armenia - El Caimo</v>
      </c>
      <c r="G432" s="12" t="str">
        <f>IFERROR(__xludf.DUMMYFUNCTION("""COMPUTED_VALUE"""),"2016")</f>
        <v>2016</v>
      </c>
      <c r="H432" s="6" t="str">
        <f>IFERROR(__xludf.DUMMYFUNCTION("""COMPUTED_VALUE"""),"Abril")</f>
        <v>Abril</v>
      </c>
      <c r="I432" s="12" t="str">
        <f>IFERROR(__xludf.DUMMYFUNCTION("""COMPUTED_VALUE"""),"25")</f>
        <v>25</v>
      </c>
      <c r="J432" s="6" t="str">
        <f>IFERROR(__xludf.DUMMYFUNCTION("""COMPUTED_VALUE"""),"Armenia")</f>
        <v>Armenia</v>
      </c>
      <c r="K432" s="6" t="str">
        <f>IFERROR(__xludf.DUMMYFUNCTION("""COMPUTED_VALUE"""),"jose.g2034@gi.edu.co")</f>
        <v>jose.g2034@gi.edu.co</v>
      </c>
      <c r="L432" s="6" t="str">
        <f>IFERROR(__xludf.DUMMYFUNCTION("""COMPUTED_VALUE"""),"TI")</f>
        <v>TI</v>
      </c>
      <c r="M432" s="6" t="str">
        <f>IFERROR(__xludf.DUMMYFUNCTION("""COMPUTED_VALUE"""),"Armenia")</f>
        <v>Armenia</v>
      </c>
      <c r="N432" s="6" t="str">
        <f>IFERROR(__xludf.DUMMYFUNCTION("""COMPUTED_VALUE"""),"M")</f>
        <v>M</v>
      </c>
      <c r="O432" s="6" t="str">
        <f>IFERROR(__xludf.DUMMYFUNCTION("""COMPUTED_VALUE"""),"ACTIVE")</f>
        <v>ACTIVE</v>
      </c>
      <c r="P432" s="6"/>
      <c r="Q432" s="6" t="str">
        <f>IFERROR(__xludf.DUMMYFUNCTION("""COMPUTED_VALUE"""),"Armenia")</f>
        <v>Armenia</v>
      </c>
      <c r="R432" s="12" t="str">
        <f>IFERROR(__xludf.DUMMYFUNCTION("""COMPUTED_VALUE"""),"Giwert45*")</f>
        <v>Giwert45*</v>
      </c>
      <c r="S432" s="6" t="str">
        <f>IFERROR(__xludf.DUMMYFUNCTION("""COMPUTED_VALUE"""),"Gallo Díaz José Luis")</f>
        <v>Gallo Díaz José Luis</v>
      </c>
      <c r="T432" s="6" t="str">
        <f>IFERROR(__xludf.DUMMYFUNCTION("""COMPUTED_VALUE"""),"LUIS BERNARDO GALLO CAMPUZANO")</f>
        <v>LUIS BERNARDO GALLO CAMPUZANO</v>
      </c>
      <c r="U432" s="12" t="str">
        <f>IFERROR(__xludf.DUMMYFUNCTION("""COMPUTED_VALUE"""),"7561597")</f>
        <v>7561597</v>
      </c>
      <c r="V432" s="6">
        <f>IFERROR(__xludf.DUMMYFUNCTION("""COMPUTED_VALUE"""),3.155472368E9)</f>
        <v>3155472368</v>
      </c>
      <c r="W432" s="6" t="str">
        <f>IFERROR(__xludf.DUMMYFUNCTION("""COMPUTED_VALUE"""),"gerencia@latiendadelosmecatos.com")</f>
        <v>gerencia@latiendadelosmecatos.com</v>
      </c>
      <c r="X432" s="12" t="str">
        <f>IFERROR(__xludf.DUMMYFUNCTION("""COMPUTED_VALUE"""),"B+")</f>
        <v>B+</v>
      </c>
      <c r="Y432" s="12" t="str">
        <f>IFERROR(__xludf.DUMMYFUNCTION("""COMPUTED_VALUE"""),"5")</f>
        <v>5</v>
      </c>
      <c r="Z432" s="12">
        <f>IFERROR(__xludf.DUMMYFUNCTION("""COMPUTED_VALUE"""),103823.0)</f>
        <v>103823</v>
      </c>
      <c r="AA432" s="6" t="str">
        <f>IFERROR(__xludf.DUMMYFUNCTION("""COMPUTED_VALUE"""),"SURA")</f>
        <v>SURA</v>
      </c>
      <c r="AB432" s="6" t="str">
        <f>IFERROR(__xludf.DUMMYFUNCTION("""COMPUTED_VALUE"""),"EMI")</f>
        <v>EMI</v>
      </c>
      <c r="AC432" s="6"/>
      <c r="AD432" s="12" t="str">
        <f>IFERROR(__xludf.DUMMYFUNCTION("""COMPUTED_VALUE"""),"5B")</f>
        <v>5B</v>
      </c>
      <c r="AE432" s="12">
        <f>IFERROR(__xludf.DUMMYFUNCTION("""COMPUTED_VALUE"""),1.345281924E9)</f>
        <v>1345281924</v>
      </c>
      <c r="AF432" s="12" t="str">
        <f>IFERROR(__xludf.DUMMYFUNCTION("""COMPUTED_VALUE"""),"0699533923")</f>
        <v>0699533923</v>
      </c>
      <c r="AG432" s="12" t="str">
        <f>IFERROR(__xludf.DUMMYFUNCTION("""COMPUTED_VALUE"""),"Neyer")</f>
        <v>Neyer</v>
      </c>
      <c r="AH432" s="12" t="str">
        <f>IFERROR(__xludf.DUMMYFUNCTION("""COMPUTED_VALUE"""),"Catalina")</f>
        <v>Catalina</v>
      </c>
      <c r="AI432" s="6" t="str">
        <f>IFERROR(__xludf.DUMMYFUNCTION("""COMPUTED_VALUE"""),"Díaz Tafur")</f>
        <v>Díaz Tafur</v>
      </c>
      <c r="AJ432" s="6" t="str">
        <f>IFERROR(__xludf.DUMMYFUNCTION("""COMPUTED_VALUE"""),"almacenchicca@hotmail.com")</f>
        <v>almacenchicca@hotmail.com</v>
      </c>
      <c r="AK432" s="6" t="str">
        <f>IFERROR(__xludf.DUMMYFUNCTION("""COMPUTED_VALUE"""),"ADMINISTRADOR DE EMPRESAS")</f>
        <v>ADMINISTRADOR DE EMPRESAS</v>
      </c>
      <c r="AL432" s="6" t="str">
        <f>IFERROR(__xludf.DUMMYFUNCTION("""COMPUTED_VALUE"""),"COFFEE SHOP LA TIENDA DE LOS MECATOS")</f>
        <v>COFFEE SHOP LA TIENDA DE LOS MECATOS</v>
      </c>
      <c r="AM432" s="12" t="str">
        <f>IFERROR(__xludf.DUMMYFUNCTION("""COMPUTED_VALUE"""),"41945468")</f>
        <v>41945468</v>
      </c>
      <c r="AN432" s="12" t="str">
        <f>IFERROR(__xludf.DUMMYFUNCTION("""COMPUTED_VALUE"""),"3155063598")</f>
        <v>3155063598</v>
      </c>
      <c r="AO432" s="6" t="str">
        <f>IFERROR(__xludf.DUMMYFUNCTION("""COMPUTED_VALUE"""),"Madre")</f>
        <v>Madre</v>
      </c>
      <c r="AP432" s="6" t="str">
        <f>IFERROR(__xludf.DUMMYFUNCTION("""COMPUTED_VALUE"""),"Estudiante(s): Gallo Díaz")</f>
        <v>Estudiante(s): Gallo Díaz</v>
      </c>
      <c r="AQ432" s="6" t="str">
        <f>IFERROR(__xludf.DUMMYFUNCTION("""COMPUTED_VALUE"""),"102107*Gi")</f>
        <v>102107*Gi</v>
      </c>
      <c r="AR432" s="6" t="str">
        <f>IFERROR(__xludf.DUMMYFUNCTION("""COMPUTED_VALUE"""),"Luis")</f>
        <v>Luis</v>
      </c>
      <c r="AS432" s="6" t="str">
        <f>IFERROR(__xludf.DUMMYFUNCTION("""COMPUTED_VALUE"""),"Bernardo")</f>
        <v>Bernardo</v>
      </c>
      <c r="AT432" s="6" t="str">
        <f>IFERROR(__xludf.DUMMYFUNCTION("""COMPUTED_VALUE"""),"Gallo Campuzano")</f>
        <v>Gallo Campuzano</v>
      </c>
      <c r="AU432" s="6" t="str">
        <f>IFERROR(__xludf.DUMMYFUNCTION("""COMPUTED_VALUE"""),"gerencia@latiendadelosmecatos.com")</f>
        <v>gerencia@latiendadelosmecatos.com</v>
      </c>
      <c r="AV432" s="6" t="str">
        <f>IFERROR(__xludf.DUMMYFUNCTION("""COMPUTED_VALUE"""),"INGENIERO AGROINDUSTRIAL")</f>
        <v>INGENIERO AGROINDUSTRIAL</v>
      </c>
      <c r="AW432" s="6" t="str">
        <f>IFERROR(__xludf.DUMMYFUNCTION("""COMPUTED_VALUE"""),"COFFEE SHOP LA TIENDA DE LOS MECATOS")</f>
        <v>COFFEE SHOP LA TIENDA DE LOS MECATOS</v>
      </c>
      <c r="AX432" s="12" t="str">
        <f>IFERROR(__xludf.DUMMYFUNCTION("""COMPUTED_VALUE"""),"7561597")</f>
        <v>7561597</v>
      </c>
      <c r="AY432" s="12" t="str">
        <f>IFERROR(__xludf.DUMMYFUNCTION("""COMPUTED_VALUE"""),"3155472368")</f>
        <v>3155472368</v>
      </c>
      <c r="AZ432" s="6" t="str">
        <f>IFERROR(__xludf.DUMMYFUNCTION("""COMPUTED_VALUE"""),"Padre")</f>
        <v>Padre</v>
      </c>
      <c r="BA432" s="6"/>
      <c r="BB432" s="6"/>
      <c r="BC432" s="6"/>
      <c r="BD432" s="12" t="str">
        <f>IFERROR(__xludf.DUMMYFUNCTION("""COMPUTED_VALUE"""),"gal0003")</f>
        <v>gal0003</v>
      </c>
      <c r="BE432" s="6"/>
      <c r="BF432" s="6"/>
      <c r="BG432" s="6">
        <f>IFERROR(__xludf.DUMMYFUNCTION("""COMPUTED_VALUE"""),2034.0)</f>
        <v>2034</v>
      </c>
      <c r="BH432" s="15">
        <f>IFERROR(__xludf.DUMMYFUNCTION("""COMPUTED_VALUE"""),46257.678298611114)</f>
        <v>46257.6783</v>
      </c>
      <c r="BI432" s="6">
        <f>IFERROR(__xludf.DUMMYFUNCTION("""COMPUTED_VALUE"""),432.0)</f>
        <v>432</v>
      </c>
      <c r="BJ432" s="6"/>
      <c r="BK432" s="6"/>
      <c r="BL432" s="6" t="str">
        <f>IFERROR(__xludf.DUMMYFUNCTION("""COMPUTED_VALUE"""),"GISGAL0003")</f>
        <v>GISGAL0003</v>
      </c>
      <c r="BM432" s="6"/>
      <c r="BN432" s="6"/>
      <c r="BO432" s="6"/>
      <c r="BP432" s="6" t="str">
        <f>IFERROR(__xludf.DUMMYFUNCTION("""COMPUTED_VALUE"""),"XC_5_Futbol_M")</f>
        <v>XC_5_Futbol_M</v>
      </c>
      <c r="BQ432" s="6"/>
      <c r="BR432" s="6"/>
      <c r="BS432" s="6" t="str">
        <f>IFERROR(__xludf.DUMMYFUNCTION("""COMPUTED_VALUE"""),"XC_5_Futbol_M")</f>
        <v>XC_5_Futbol_M</v>
      </c>
      <c r="BT432" s="6" t="str">
        <f>IFERROR(__xludf.DUMMYFUNCTION("""COMPUTED_VALUE"""),"XC_5_Futbol_M")</f>
        <v>XC_5_Futbol_M</v>
      </c>
      <c r="BU432" s="6" t="str">
        <f>IFERROR(__xludf.DUMMYFUNCTION("""COMPUTED_VALUE"""),"SI")</f>
        <v>SI</v>
      </c>
      <c r="BV432" s="6" t="str">
        <f>IFERROR(__xludf.DUMMYFUNCTION("""COMPUTED_VALUE"""),"jose.g2034")</f>
        <v>jose.g2034</v>
      </c>
      <c r="BW432" s="6"/>
      <c r="BX432" s="6"/>
      <c r="BY432" s="6"/>
      <c r="BZ432" s="6"/>
    </row>
    <row r="433">
      <c r="A433" s="12">
        <f>IFERROR(__xludf.DUMMYFUNCTION("""COMPUTED_VALUE"""),1.09286064E9)</f>
        <v>1092860640</v>
      </c>
      <c r="B433" s="6">
        <f>IFERROR(__xludf.DUMMYFUNCTION("""COMPUTED_VALUE"""),12.0)</f>
        <v>12</v>
      </c>
      <c r="C433" s="6" t="str">
        <f>IFERROR(__xludf.DUMMYFUNCTION("""COMPUTED_VALUE"""),"Mariana")</f>
        <v>Mariana</v>
      </c>
      <c r="D433" s="6"/>
      <c r="E433" s="6" t="str">
        <f>IFERROR(__xludf.DUMMYFUNCTION("""COMPUTED_VALUE"""),"Gómez Gómez")</f>
        <v>Gómez Gómez</v>
      </c>
      <c r="F433" s="6" t="str">
        <f>IFERROR(__xludf.DUMMYFUNCTION("""COMPUTED_VALUE"""),"Condominio Casas de Campo Casa 26 - Calle 23ANte No19 - 47")</f>
        <v>Condominio Casas de Campo Casa 26 - Calle 23ANte No19 - 47</v>
      </c>
      <c r="G433" s="12" t="str">
        <f>IFERROR(__xludf.DUMMYFUNCTION("""COMPUTED_VALUE"""),"2016")</f>
        <v>2016</v>
      </c>
      <c r="H433" s="6" t="str">
        <f>IFERROR(__xludf.DUMMYFUNCTION("""COMPUTED_VALUE"""),"Diciembre")</f>
        <v>Diciembre</v>
      </c>
      <c r="I433" s="12" t="str">
        <f>IFERROR(__xludf.DUMMYFUNCTION("""COMPUTED_VALUE"""),"9")</f>
        <v>9</v>
      </c>
      <c r="J433" s="6" t="str">
        <f>IFERROR(__xludf.DUMMYFUNCTION("""COMPUTED_VALUE"""),"Armenia")</f>
        <v>Armenia</v>
      </c>
      <c r="K433" s="6" t="str">
        <f>IFERROR(__xludf.DUMMYFUNCTION("""COMPUTED_VALUE"""),"mariana.g2034@gi.edu.co")</f>
        <v>mariana.g2034@gi.edu.co</v>
      </c>
      <c r="L433" s="6" t="str">
        <f>IFERROR(__xludf.DUMMYFUNCTION("""COMPUTED_VALUE"""),"TI")</f>
        <v>TI</v>
      </c>
      <c r="M433" s="6" t="str">
        <f>IFERROR(__xludf.DUMMYFUNCTION("""COMPUTED_VALUE"""),"Armenia")</f>
        <v>Armenia</v>
      </c>
      <c r="N433" s="6" t="str">
        <f>IFERROR(__xludf.DUMMYFUNCTION("""COMPUTED_VALUE"""),"F")</f>
        <v>F</v>
      </c>
      <c r="O433" s="6" t="str">
        <f>IFERROR(__xludf.DUMMYFUNCTION("""COMPUTED_VALUE"""),"ACTIVE")</f>
        <v>ACTIVE</v>
      </c>
      <c r="P433" s="6"/>
      <c r="Q433" s="6" t="str">
        <f>IFERROR(__xludf.DUMMYFUNCTION("""COMPUTED_VALUE"""),"Armenia")</f>
        <v>Armenia</v>
      </c>
      <c r="R433" s="12" t="str">
        <f>IFERROR(__xludf.DUMMYFUNCTION("""COMPUTED_VALUE"""),"G765vbg8*")</f>
        <v>G765vbg8*</v>
      </c>
      <c r="S433" s="6" t="str">
        <f>IFERROR(__xludf.DUMMYFUNCTION("""COMPUTED_VALUE"""),"Gómez Gómez Mariana ")</f>
        <v>Gómez Gómez Mariana </v>
      </c>
      <c r="T433" s="6" t="str">
        <f>IFERROR(__xludf.DUMMYFUNCTION("""COMPUTED_VALUE"""),"NELSON ALEXANDER GOMEZ VILLEGAS")</f>
        <v>NELSON ALEXANDER GOMEZ VILLEGAS</v>
      </c>
      <c r="U433" s="12" t="str">
        <f>IFERROR(__xludf.DUMMYFUNCTION("""COMPUTED_VALUE"""),"71784701")</f>
        <v>71784701</v>
      </c>
      <c r="V433" s="6">
        <f>IFERROR(__xludf.DUMMYFUNCTION("""COMPUTED_VALUE"""),3.206935933E9)</f>
        <v>3206935933</v>
      </c>
      <c r="W433" s="6" t="str">
        <f>IFERROR(__xludf.DUMMYFUNCTION("""COMPUTED_VALUE"""),"nelson.gomez@gomvi.com")</f>
        <v>nelson.gomez@gomvi.com</v>
      </c>
      <c r="X433" s="12" t="str">
        <f>IFERROR(__xludf.DUMMYFUNCTION("""COMPUTED_VALUE"""),"A+")</f>
        <v>A+</v>
      </c>
      <c r="Y433" s="12" t="str">
        <f>IFERROR(__xludf.DUMMYFUNCTION("""COMPUTED_VALUE"""),"5")</f>
        <v>5</v>
      </c>
      <c r="Z433" s="12">
        <f>IFERROR(__xludf.DUMMYFUNCTION("""COMPUTED_VALUE"""),103844.0)</f>
        <v>103844</v>
      </c>
      <c r="AA433" s="6" t="str">
        <f>IFERROR(__xludf.DUMMYFUNCTION("""COMPUTED_VALUE"""),"SURA")</f>
        <v>SURA</v>
      </c>
      <c r="AB433" s="6" t="str">
        <f>IFERROR(__xludf.DUMMYFUNCTION("""COMPUTED_VALUE"""),"Sura")</f>
        <v>Sura</v>
      </c>
      <c r="AC433" s="6"/>
      <c r="AD433" s="12" t="str">
        <f>IFERROR(__xludf.DUMMYFUNCTION("""COMPUTED_VALUE"""),"5B")</f>
        <v>5B</v>
      </c>
      <c r="AE433" s="12">
        <f>IFERROR(__xludf.DUMMYFUNCTION("""COMPUTED_VALUE"""),1.345281935E9)</f>
        <v>1345281935</v>
      </c>
      <c r="AF433" s="12" t="str">
        <f>IFERROR(__xludf.DUMMYFUNCTION("""COMPUTED_VALUE"""),"0651891187")</f>
        <v>0651891187</v>
      </c>
      <c r="AG433" s="12" t="str">
        <f>IFERROR(__xludf.DUMMYFUNCTION("""COMPUTED_VALUE"""),"Angélica")</f>
        <v>Angélica</v>
      </c>
      <c r="AH433" s="12" t="str">
        <f>IFERROR(__xludf.DUMMYFUNCTION("""COMPUTED_VALUE"""),"María")</f>
        <v>María</v>
      </c>
      <c r="AI433" s="6" t="str">
        <f>IFERROR(__xludf.DUMMYFUNCTION("""COMPUTED_VALUE"""),"Gómez Leal")</f>
        <v>Gómez Leal</v>
      </c>
      <c r="AJ433" s="6" t="str">
        <f>IFERROR(__xludf.DUMMYFUNCTION("""COMPUTED_VALUE"""),"angelica.gomvi@gmail.com")</f>
        <v>angelica.gomvi@gmail.com</v>
      </c>
      <c r="AK433" s="6" t="str">
        <f>IFERROR(__xludf.DUMMYFUNCTION("""COMPUTED_VALUE"""),"Comerciante")</f>
        <v>Comerciante</v>
      </c>
      <c r="AL433" s="6" t="str">
        <f>IFERROR(__xludf.DUMMYFUNCTION("""COMPUTED_VALUE"""),"Gomvi Fashion")</f>
        <v>Gomvi Fashion</v>
      </c>
      <c r="AM433" s="12" t="str">
        <f>IFERROR(__xludf.DUMMYFUNCTION("""COMPUTED_VALUE"""),"38793176")</f>
        <v>38793176</v>
      </c>
      <c r="AN433" s="12" t="str">
        <f>IFERROR(__xludf.DUMMYFUNCTION("""COMPUTED_VALUE"""),"3137166445")</f>
        <v>3137166445</v>
      </c>
      <c r="AO433" s="6" t="str">
        <f>IFERROR(__xludf.DUMMYFUNCTION("""COMPUTED_VALUE"""),"Madre")</f>
        <v>Madre</v>
      </c>
      <c r="AP433" s="6" t="str">
        <f>IFERROR(__xludf.DUMMYFUNCTION("""COMPUTED_VALUE"""),"Estudiante(s): Gómez Gómez")</f>
        <v>Estudiante(s): Gómez Gómez</v>
      </c>
      <c r="AQ433" s="6" t="str">
        <f>IFERROR(__xludf.DUMMYFUNCTION("""COMPUTED_VALUE"""),"103013*Gi")</f>
        <v>103013*Gi</v>
      </c>
      <c r="AR433" s="6" t="str">
        <f>IFERROR(__xludf.DUMMYFUNCTION("""COMPUTED_VALUE"""),"Nelson")</f>
        <v>Nelson</v>
      </c>
      <c r="AS433" s="6" t="str">
        <f>IFERROR(__xludf.DUMMYFUNCTION("""COMPUTED_VALUE"""),"Alexander")</f>
        <v>Alexander</v>
      </c>
      <c r="AT433" s="6" t="str">
        <f>IFERROR(__xludf.DUMMYFUNCTION("""COMPUTED_VALUE"""),"Gómez Villegas")</f>
        <v>Gómez Villegas</v>
      </c>
      <c r="AU433" s="6" t="str">
        <f>IFERROR(__xludf.DUMMYFUNCTION("""COMPUTED_VALUE"""),"nelson.gomez@gomvi.com")</f>
        <v>nelson.gomez@gomvi.com</v>
      </c>
      <c r="AV433" s="6" t="str">
        <f>IFERROR(__xludf.DUMMYFUNCTION("""COMPUTED_VALUE"""),"Comerciante")</f>
        <v>Comerciante</v>
      </c>
      <c r="AW433" s="6" t="str">
        <f>IFERROR(__xludf.DUMMYFUNCTION("""COMPUTED_VALUE"""),"Gomvi Company Sas")</f>
        <v>Gomvi Company Sas</v>
      </c>
      <c r="AX433" s="12" t="str">
        <f>IFERROR(__xludf.DUMMYFUNCTION("""COMPUTED_VALUE"""),"71784701")</f>
        <v>71784701</v>
      </c>
      <c r="AY433" s="12" t="str">
        <f>IFERROR(__xludf.DUMMYFUNCTION("""COMPUTED_VALUE"""),"3206935933")</f>
        <v>3206935933</v>
      </c>
      <c r="AZ433" s="6" t="str">
        <f>IFERROR(__xludf.DUMMYFUNCTION("""COMPUTED_VALUE"""),"Padre")</f>
        <v>Padre</v>
      </c>
      <c r="BA433" s="6"/>
      <c r="BB433" s="6"/>
      <c r="BC433" s="6"/>
      <c r="BD433" s="12" t="str">
        <f>IFERROR(__xludf.DUMMYFUNCTION("""COMPUTED_VALUE"""),"gme0015")</f>
        <v>gme0015</v>
      </c>
      <c r="BE433" s="6"/>
      <c r="BF433" s="6"/>
      <c r="BG433" s="6">
        <f>IFERROR(__xludf.DUMMYFUNCTION("""COMPUTED_VALUE"""),2034.0)</f>
        <v>2034</v>
      </c>
      <c r="BH433" s="15">
        <f>IFERROR(__xludf.DUMMYFUNCTION("""COMPUTED_VALUE"""),46206.19701388889)</f>
        <v>46206.19701</v>
      </c>
      <c r="BI433" s="6">
        <f>IFERROR(__xludf.DUMMYFUNCTION("""COMPUTED_VALUE"""),433.0)</f>
        <v>433</v>
      </c>
      <c r="BJ433" s="6"/>
      <c r="BK433" s="6"/>
      <c r="BL433" s="6" t="str">
        <f>IFERROR(__xludf.DUMMYFUNCTION("""COMPUTED_VALUE"""),"GISGME0015")</f>
        <v>GISGME0015</v>
      </c>
      <c r="BM433" s="6"/>
      <c r="BN433" s="6"/>
      <c r="BO433" s="6"/>
      <c r="BP433" s="6"/>
      <c r="BQ433" s="6"/>
      <c r="BR433" s="6"/>
      <c r="BS433" s="6"/>
      <c r="BT433" s="6"/>
      <c r="BU433" s="6" t="str">
        <f>IFERROR(__xludf.DUMMYFUNCTION("""COMPUTED_VALUE"""),"SI")</f>
        <v>SI</v>
      </c>
      <c r="BV433" s="6" t="str">
        <f>IFERROR(__xludf.DUMMYFUNCTION("""COMPUTED_VALUE"""),"mariana.g2034")</f>
        <v>mariana.g2034</v>
      </c>
      <c r="BW433" s="6"/>
      <c r="BX433" s="6"/>
      <c r="BY433" s="6"/>
      <c r="BZ433" s="6"/>
    </row>
    <row r="434">
      <c r="A434" s="12">
        <f>IFERROR(__xludf.DUMMYFUNCTION("""COMPUTED_VALUE"""),1.019913613E9)</f>
        <v>1019913613</v>
      </c>
      <c r="B434" s="6">
        <f>IFERROR(__xludf.DUMMYFUNCTION("""COMPUTED_VALUE"""),13.0)</f>
        <v>13</v>
      </c>
      <c r="C434" s="6" t="str">
        <f>IFERROR(__xludf.DUMMYFUNCTION("""COMPUTED_VALUE"""),"Federico")</f>
        <v>Federico</v>
      </c>
      <c r="D434" s="6"/>
      <c r="E434" s="6" t="str">
        <f>IFERROR(__xludf.DUMMYFUNCTION("""COMPUTED_VALUE"""),"Guzmán Rodríguez")</f>
        <v>Guzmán Rodríguez</v>
      </c>
      <c r="F434" s="6" t="str">
        <f>IFERROR(__xludf.DUMMYFUNCTION("""COMPUTED_VALUE"""),"Campo Madero Villas Casa 59 - Km 1.2 Club Campestre El Caimo")</f>
        <v>Campo Madero Villas Casa 59 - Km 1.2 Club Campestre El Caimo</v>
      </c>
      <c r="G434" s="12" t="str">
        <f>IFERROR(__xludf.DUMMYFUNCTION("""COMPUTED_VALUE"""),"2016")</f>
        <v>2016</v>
      </c>
      <c r="H434" s="6" t="str">
        <f>IFERROR(__xludf.DUMMYFUNCTION("""COMPUTED_VALUE"""),"Septiembre")</f>
        <v>Septiembre</v>
      </c>
      <c r="I434" s="12" t="str">
        <f>IFERROR(__xludf.DUMMYFUNCTION("""COMPUTED_VALUE"""),"12")</f>
        <v>12</v>
      </c>
      <c r="J434" s="6" t="str">
        <f>IFERROR(__xludf.DUMMYFUNCTION("""COMPUTED_VALUE"""),"Bogotá D.C.")</f>
        <v>Bogotá D.C.</v>
      </c>
      <c r="K434" s="6" t="str">
        <f>IFERROR(__xludf.DUMMYFUNCTION("""COMPUTED_VALUE"""),"federico.g2034@gi.edu.co")</f>
        <v>federico.g2034@gi.edu.co</v>
      </c>
      <c r="L434" s="6" t="str">
        <f>IFERROR(__xludf.DUMMYFUNCTION("""COMPUTED_VALUE"""),"TI")</f>
        <v>TI</v>
      </c>
      <c r="M434" s="6" t="str">
        <f>IFERROR(__xludf.DUMMYFUNCTION("""COMPUTED_VALUE"""),"Bogotá D.C.")</f>
        <v>Bogotá D.C.</v>
      </c>
      <c r="N434" s="6" t="str">
        <f>IFERROR(__xludf.DUMMYFUNCTION("""COMPUTED_VALUE"""),"M")</f>
        <v>M</v>
      </c>
      <c r="O434" s="6" t="str">
        <f>IFERROR(__xludf.DUMMYFUNCTION("""COMPUTED_VALUE"""),"ACTIVE")</f>
        <v>ACTIVE</v>
      </c>
      <c r="P434" s="6"/>
      <c r="Q434" s="6" t="str">
        <f>IFERROR(__xludf.DUMMYFUNCTION("""COMPUTED_VALUE"""),"La Tebaida")</f>
        <v>La Tebaida</v>
      </c>
      <c r="R434" s="12" t="str">
        <f>IFERROR(__xludf.DUMMYFUNCTION("""COMPUTED_VALUE"""),"Gi74927h*")</f>
        <v>Gi74927h*</v>
      </c>
      <c r="S434" s="6" t="str">
        <f>IFERROR(__xludf.DUMMYFUNCTION("""COMPUTED_VALUE"""),"Guzmán Rodríguez Federico ")</f>
        <v>Guzmán Rodríguez Federico </v>
      </c>
      <c r="T434" s="6" t="str">
        <f>IFERROR(__xludf.DUMMYFUNCTION("""COMPUTED_VALUE"""),"ADRIANA ALEJANDRA RODRIGUEZ RUEDA")</f>
        <v>ADRIANA ALEJANDRA RODRIGUEZ RUEDA</v>
      </c>
      <c r="U434" s="12" t="str">
        <f>IFERROR(__xludf.DUMMYFUNCTION("""COMPUTED_VALUE"""),"1022333973")</f>
        <v>1022333973</v>
      </c>
      <c r="V434" s="6">
        <f>IFERROR(__xludf.DUMMYFUNCTION("""COMPUTED_VALUE"""),3.017710604E9)</f>
        <v>3017710604</v>
      </c>
      <c r="W434" s="6" t="str">
        <f>IFERROR(__xludf.DUMMYFUNCTION("""COMPUTED_VALUE"""),"adryaleja@gmail.com")</f>
        <v>adryaleja@gmail.com</v>
      </c>
      <c r="X434" s="12" t="str">
        <f>IFERROR(__xludf.DUMMYFUNCTION("""COMPUTED_VALUE"""),"A+")</f>
        <v>A+</v>
      </c>
      <c r="Y434" s="12" t="str">
        <f>IFERROR(__xludf.DUMMYFUNCTION("""COMPUTED_VALUE"""),"5")</f>
        <v>5</v>
      </c>
      <c r="Z434" s="12">
        <f>IFERROR(__xludf.DUMMYFUNCTION("""COMPUTED_VALUE"""),120226.0)</f>
        <v>120226</v>
      </c>
      <c r="AA434" s="6" t="str">
        <f>IFERROR(__xludf.DUMMYFUNCTION("""COMPUTED_VALUE"""),"OTRA")</f>
        <v>OTRA</v>
      </c>
      <c r="AB434" s="6"/>
      <c r="AC434" s="12" t="str">
        <f>IFERROR(__xludf.DUMMYFUNCTION("""COMPUTED_VALUE"""),"Rinitis alérgica, frío")</f>
        <v>Rinitis alérgica, frío</v>
      </c>
      <c r="AD434" s="12" t="str">
        <f>IFERROR(__xludf.DUMMYFUNCTION("""COMPUTED_VALUE"""),"5B")</f>
        <v>5B</v>
      </c>
      <c r="AE434" s="12">
        <f>IFERROR(__xludf.DUMMYFUNCTION("""COMPUTED_VALUE"""),1.345282206E9)</f>
        <v>1345282206</v>
      </c>
      <c r="AF434" s="12" t="str">
        <f>IFERROR(__xludf.DUMMYFUNCTION("""COMPUTED_VALUE"""),"0698933827")</f>
        <v>0698933827</v>
      </c>
      <c r="AG434" s="12" t="str">
        <f>IFERROR(__xludf.DUMMYFUNCTION("""COMPUTED_VALUE"""),"Adriana")</f>
        <v>Adriana</v>
      </c>
      <c r="AH434" s="12" t="str">
        <f>IFERROR(__xludf.DUMMYFUNCTION("""COMPUTED_VALUE"""),"Alejandra")</f>
        <v>Alejandra</v>
      </c>
      <c r="AI434" s="6" t="str">
        <f>IFERROR(__xludf.DUMMYFUNCTION("""COMPUTED_VALUE"""),"Rodríguez Rueda")</f>
        <v>Rodríguez Rueda</v>
      </c>
      <c r="AJ434" s="6" t="str">
        <f>IFERROR(__xludf.DUMMYFUNCTION("""COMPUTED_VALUE"""),"adryaleja@gmail.com")</f>
        <v>adryaleja@gmail.com</v>
      </c>
      <c r="AK434" s="6" t="str">
        <f>IFERROR(__xludf.DUMMYFUNCTION("""COMPUTED_VALUE"""),"Ingeniera civil")</f>
        <v>Ingeniera civil</v>
      </c>
      <c r="AL434" s="6"/>
      <c r="AM434" s="12" t="str">
        <f>IFERROR(__xludf.DUMMYFUNCTION("""COMPUTED_VALUE"""),"1022333973")</f>
        <v>1022333973</v>
      </c>
      <c r="AN434" s="12" t="str">
        <f>IFERROR(__xludf.DUMMYFUNCTION("""COMPUTED_VALUE"""),"3017710604")</f>
        <v>3017710604</v>
      </c>
      <c r="AO434" s="6" t="str">
        <f>IFERROR(__xludf.DUMMYFUNCTION("""COMPUTED_VALUE"""),"Madre")</f>
        <v>Madre</v>
      </c>
      <c r="AP434" s="6" t="str">
        <f>IFERROR(__xludf.DUMMYFUNCTION("""COMPUTED_VALUE"""),"Estudiante(s): Guzmán Rodríguez")</f>
        <v>Estudiante(s): Guzmán Rodríguez</v>
      </c>
      <c r="AQ434" s="6" t="str">
        <f>IFERROR(__xludf.DUMMYFUNCTION("""COMPUTED_VALUE"""),"120226*Gi")</f>
        <v>120226*Gi</v>
      </c>
      <c r="AR434" s="6" t="str">
        <f>IFERROR(__xludf.DUMMYFUNCTION("""COMPUTED_VALUE"""),"José")</f>
        <v>José</v>
      </c>
      <c r="AS434" s="6" t="str">
        <f>IFERROR(__xludf.DUMMYFUNCTION("""COMPUTED_VALUE"""),"Manuel")</f>
        <v>Manuel</v>
      </c>
      <c r="AT434" s="6" t="str">
        <f>IFERROR(__xludf.DUMMYFUNCTION("""COMPUTED_VALUE"""),"Guzman Claros")</f>
        <v>Guzman Claros</v>
      </c>
      <c r="AU434" s="6" t="str">
        <f>IFERROR(__xludf.DUMMYFUNCTION("""COMPUTED_VALUE"""),"josemayaleja@gmail.com")</f>
        <v>josemayaleja@gmail.com</v>
      </c>
      <c r="AV434" s="6" t="str">
        <f>IFERROR(__xludf.DUMMYFUNCTION("""COMPUTED_VALUE"""),"Ingeniero de petroleos")</f>
        <v>Ingeniero de petroleos</v>
      </c>
      <c r="AW434" s="6" t="str">
        <f>IFERROR(__xludf.DUMMYFUNCTION("""COMPUTED_VALUE"""),"Frontera Energy")</f>
        <v>Frontera Energy</v>
      </c>
      <c r="AX434" s="12" t="str">
        <f>IFERROR(__xludf.DUMMYFUNCTION("""COMPUTED_VALUE"""),"16509733")</f>
        <v>16509733</v>
      </c>
      <c r="AY434" s="12" t="str">
        <f>IFERROR(__xludf.DUMMYFUNCTION("""COMPUTED_VALUE"""),"3134139263")</f>
        <v>3134139263</v>
      </c>
      <c r="AZ434" s="6" t="str">
        <f>IFERROR(__xludf.DUMMYFUNCTION("""COMPUTED_VALUE"""),"Padre")</f>
        <v>Padre</v>
      </c>
      <c r="BA434" s="6"/>
      <c r="BB434" s="6"/>
      <c r="BC434" s="6"/>
      <c r="BD434" s="12" t="str">
        <f>IFERROR(__xludf.DUMMYFUNCTION("""COMPUTED_VALUE"""),"guz0002")</f>
        <v>guz0002</v>
      </c>
      <c r="BE434" s="6"/>
      <c r="BF434" s="6"/>
      <c r="BG434" s="6">
        <f>IFERROR(__xludf.DUMMYFUNCTION("""COMPUTED_VALUE"""),2034.0)</f>
        <v>2034</v>
      </c>
      <c r="BH434" s="15">
        <f>IFERROR(__xludf.DUMMYFUNCTION("""COMPUTED_VALUE"""),46204.29017361111)</f>
        <v>46204.29017</v>
      </c>
      <c r="BI434" s="6">
        <f>IFERROR(__xludf.DUMMYFUNCTION("""COMPUTED_VALUE"""),434.0)</f>
        <v>434</v>
      </c>
      <c r="BJ434" s="6"/>
      <c r="BK434" s="6"/>
      <c r="BL434" s="6" t="str">
        <f>IFERROR(__xludf.DUMMYFUNCTION("""COMPUTED_VALUE"""),"GISGUZ0002")</f>
        <v>GISGUZ0002</v>
      </c>
      <c r="BM434" s="6"/>
      <c r="BN434" s="6"/>
      <c r="BO434" s="6"/>
      <c r="BP434" s="6"/>
      <c r="BQ434" s="6"/>
      <c r="BR434" s="6"/>
      <c r="BS434" s="6"/>
      <c r="BT434" s="6"/>
      <c r="BU434" s="6" t="str">
        <f>IFERROR(__xludf.DUMMYFUNCTION("""COMPUTED_VALUE"""),"SI")</f>
        <v>SI</v>
      </c>
      <c r="BV434" s="6" t="str">
        <f>IFERROR(__xludf.DUMMYFUNCTION("""COMPUTED_VALUE"""),"federico.g2034")</f>
        <v>federico.g2034</v>
      </c>
      <c r="BW434" s="6"/>
      <c r="BX434" s="6"/>
      <c r="BY434" s="6"/>
      <c r="BZ434" s="6"/>
    </row>
    <row r="435">
      <c r="A435" s="12">
        <f>IFERROR(__xludf.DUMMYFUNCTION("""COMPUTED_VALUE"""),1.096672098E9)</f>
        <v>1096672098</v>
      </c>
      <c r="B435" s="6">
        <f>IFERROR(__xludf.DUMMYFUNCTION("""COMPUTED_VALUE"""),14.0)</f>
        <v>14</v>
      </c>
      <c r="C435" s="6" t="str">
        <f>IFERROR(__xludf.DUMMYFUNCTION("""COMPUTED_VALUE"""),"Pedro")</f>
        <v>Pedro</v>
      </c>
      <c r="D435" s="6"/>
      <c r="E435" s="6" t="str">
        <f>IFERROR(__xludf.DUMMYFUNCTION("""COMPUTED_VALUE"""),"Hoyos Barreneche")</f>
        <v>Hoyos Barreneche</v>
      </c>
      <c r="F435" s="6" t="str">
        <f>IFERROR(__xludf.DUMMYFUNCTION("""COMPUTED_VALUE"""),"Rancho la Soledad Casa 29 Etapa 2 - Km 1 Via Montenegro Armenia")</f>
        <v>Rancho la Soledad Casa 29 Etapa 2 - Km 1 Via Montenegro Armenia</v>
      </c>
      <c r="G435" s="12" t="str">
        <f>IFERROR(__xludf.DUMMYFUNCTION("""COMPUTED_VALUE"""),"2016")</f>
        <v>2016</v>
      </c>
      <c r="H435" s="6" t="str">
        <f>IFERROR(__xludf.DUMMYFUNCTION("""COMPUTED_VALUE"""),"Agosto")</f>
        <v>Agosto</v>
      </c>
      <c r="I435" s="12" t="str">
        <f>IFERROR(__xludf.DUMMYFUNCTION("""COMPUTED_VALUE"""),"23")</f>
        <v>23</v>
      </c>
      <c r="J435" s="6" t="str">
        <f>IFERROR(__xludf.DUMMYFUNCTION("""COMPUTED_VALUE"""),"Armenia")</f>
        <v>Armenia</v>
      </c>
      <c r="K435" s="6" t="str">
        <f>IFERROR(__xludf.DUMMYFUNCTION("""COMPUTED_VALUE"""),"pedro.h2034@gi.edu.co")</f>
        <v>pedro.h2034@gi.edu.co</v>
      </c>
      <c r="L435" s="6" t="str">
        <f>IFERROR(__xludf.DUMMYFUNCTION("""COMPUTED_VALUE"""),"TI")</f>
        <v>TI</v>
      </c>
      <c r="M435" s="6" t="str">
        <f>IFERROR(__xludf.DUMMYFUNCTION("""COMPUTED_VALUE"""),"Montenegro")</f>
        <v>Montenegro</v>
      </c>
      <c r="N435" s="6" t="str">
        <f>IFERROR(__xludf.DUMMYFUNCTION("""COMPUTED_VALUE"""),"M")</f>
        <v>M</v>
      </c>
      <c r="O435" s="6" t="str">
        <f>IFERROR(__xludf.DUMMYFUNCTION("""COMPUTED_VALUE"""),"ACTIVE")</f>
        <v>ACTIVE</v>
      </c>
      <c r="P435" s="6"/>
      <c r="Q435" s="6" t="str">
        <f>IFERROR(__xludf.DUMMYFUNCTION("""COMPUTED_VALUE"""),"Armenia")</f>
        <v>Armenia</v>
      </c>
      <c r="R435" s="12" t="str">
        <f>IFERROR(__xludf.DUMMYFUNCTION("""COMPUTED_VALUE"""),"Gicwa76ng*")</f>
        <v>Gicwa76ng*</v>
      </c>
      <c r="S435" s="6" t="str">
        <f>IFERROR(__xludf.DUMMYFUNCTION("""COMPUTED_VALUE"""),"Hoyos Barreneche Pedro ")</f>
        <v>Hoyos Barreneche Pedro </v>
      </c>
      <c r="T435" s="6" t="str">
        <f>IFERROR(__xludf.DUMMYFUNCTION("""COMPUTED_VALUE"""),"ALEJANDRO HOYOS VALLEJO")</f>
        <v>ALEJANDRO HOYOS VALLEJO</v>
      </c>
      <c r="U435" s="12" t="str">
        <f>IFERROR(__xludf.DUMMYFUNCTION("""COMPUTED_VALUE"""),"9728656")</f>
        <v>9728656</v>
      </c>
      <c r="V435" s="6">
        <f>IFERROR(__xludf.DUMMYFUNCTION("""COMPUTED_VALUE"""),3.155691556E9)</f>
        <v>3155691556</v>
      </c>
      <c r="W435" s="6" t="str">
        <f>IFERROR(__xludf.DUMMYFUNCTION("""COMPUTED_VALUE"""),"ahoyosv@gmail.com")</f>
        <v>ahoyosv@gmail.com</v>
      </c>
      <c r="X435" s="12" t="str">
        <f>IFERROR(__xludf.DUMMYFUNCTION("""COMPUTED_VALUE"""),"O-")</f>
        <v>O-</v>
      </c>
      <c r="Y435" s="12" t="str">
        <f>IFERROR(__xludf.DUMMYFUNCTION("""COMPUTED_VALUE"""),"5")</f>
        <v>5</v>
      </c>
      <c r="Z435" s="12">
        <f>IFERROR(__xludf.DUMMYFUNCTION("""COMPUTED_VALUE"""),120022.0)</f>
        <v>120022</v>
      </c>
      <c r="AA435" s="6" t="str">
        <f>IFERROR(__xludf.DUMMYFUNCTION("""COMPUTED_VALUE"""),"SURA")</f>
        <v>SURA</v>
      </c>
      <c r="AB435" s="6"/>
      <c r="AC435" s="6"/>
      <c r="AD435" s="12" t="str">
        <f>IFERROR(__xludf.DUMMYFUNCTION("""COMPUTED_VALUE"""),"5B")</f>
        <v>5B</v>
      </c>
      <c r="AE435" s="12">
        <f>IFERROR(__xludf.DUMMYFUNCTION("""COMPUTED_VALUE"""),1.345281987E9)</f>
        <v>1345281987</v>
      </c>
      <c r="AF435" s="12" t="str">
        <f>IFERROR(__xludf.DUMMYFUNCTION("""COMPUTED_VALUE"""),"0672764739")</f>
        <v>0672764739</v>
      </c>
      <c r="AG435" s="12" t="str">
        <f>IFERROR(__xludf.DUMMYFUNCTION("""COMPUTED_VALUE"""),"Marcela")</f>
        <v>Marcela</v>
      </c>
      <c r="AH435" s="6"/>
      <c r="AI435" s="6" t="str">
        <f>IFERROR(__xludf.DUMMYFUNCTION("""COMPUTED_VALUE"""),"Barreneche Zuleta")</f>
        <v>Barreneche Zuleta</v>
      </c>
      <c r="AJ435" s="6" t="str">
        <f>IFERROR(__xludf.DUMMYFUNCTION("""COMPUTED_VALUE"""),"barrenechemarcela@yahoo.com")</f>
        <v>barrenechemarcela@yahoo.com</v>
      </c>
      <c r="AK435" s="6" t="str">
        <f>IFERROR(__xludf.DUMMYFUNCTION("""COMPUTED_VALUE"""),"ADMINISTRADORA DE EMPRESAS")</f>
        <v>ADMINISTRADORA DE EMPRESAS</v>
      </c>
      <c r="AL435" s="6" t="str">
        <f>IFERROR(__xludf.DUMMYFUNCTION("""COMPUTED_VALUE"""),"NOVAVENTA")</f>
        <v>NOVAVENTA</v>
      </c>
      <c r="AM435" s="12" t="str">
        <f>IFERROR(__xludf.DUMMYFUNCTION("""COMPUTED_VALUE"""),"1094889674")</f>
        <v>1094889674</v>
      </c>
      <c r="AN435" s="12" t="str">
        <f>IFERROR(__xludf.DUMMYFUNCTION("""COMPUTED_VALUE"""),"3104034530")</f>
        <v>3104034530</v>
      </c>
      <c r="AO435" s="6" t="str">
        <f>IFERROR(__xludf.DUMMYFUNCTION("""COMPUTED_VALUE"""),"Madre")</f>
        <v>Madre</v>
      </c>
      <c r="AP435" s="6" t="str">
        <f>IFERROR(__xludf.DUMMYFUNCTION("""COMPUTED_VALUE"""),"Estudiante(s): Hoyos Barreneche")</f>
        <v>Estudiante(s): Hoyos Barreneche</v>
      </c>
      <c r="AQ435" s="6" t="str">
        <f>IFERROR(__xludf.DUMMYFUNCTION("""COMPUTED_VALUE"""),"120022*Gi")</f>
        <v>120022*Gi</v>
      </c>
      <c r="AR435" s="6" t="str">
        <f>IFERROR(__xludf.DUMMYFUNCTION("""COMPUTED_VALUE"""),"Alejandro")</f>
        <v>Alejandro</v>
      </c>
      <c r="AS435" s="6"/>
      <c r="AT435" s="6" t="str">
        <f>IFERROR(__xludf.DUMMYFUNCTION("""COMPUTED_VALUE"""),"Hoyos Vallejo")</f>
        <v>Hoyos Vallejo</v>
      </c>
      <c r="AU435" s="6" t="str">
        <f>IFERROR(__xludf.DUMMYFUNCTION("""COMPUTED_VALUE"""),"ahoyosv@gmail.com")</f>
        <v>ahoyosv@gmail.com</v>
      </c>
      <c r="AV435" s="6" t="str">
        <f>IFERROR(__xludf.DUMMYFUNCTION("""COMPUTED_VALUE"""),"ARQUITECTO")</f>
        <v>ARQUITECTO</v>
      </c>
      <c r="AW435" s="6"/>
      <c r="AX435" s="12" t="str">
        <f>IFERROR(__xludf.DUMMYFUNCTION("""COMPUTED_VALUE"""),"9728656")</f>
        <v>9728656</v>
      </c>
      <c r="AY435" s="12" t="str">
        <f>IFERROR(__xludf.DUMMYFUNCTION("""COMPUTED_VALUE"""),"3155691556")</f>
        <v>3155691556</v>
      </c>
      <c r="AZ435" s="6" t="str">
        <f>IFERROR(__xludf.DUMMYFUNCTION("""COMPUTED_VALUE"""),"Padre")</f>
        <v>Padre</v>
      </c>
      <c r="BA435" s="6"/>
      <c r="BB435" s="6"/>
      <c r="BC435" s="6"/>
      <c r="BD435" s="12" t="str">
        <f>IFERROR(__xludf.DUMMYFUNCTION("""COMPUTED_VALUE"""),"hoy0001")</f>
        <v>hoy0001</v>
      </c>
      <c r="BE435" s="6"/>
      <c r="BF435" s="6"/>
      <c r="BG435" s="6">
        <f>IFERROR(__xludf.DUMMYFUNCTION("""COMPUTED_VALUE"""),2034.0)</f>
        <v>2034</v>
      </c>
      <c r="BH435" s="15">
        <f>IFERROR(__xludf.DUMMYFUNCTION("""COMPUTED_VALUE"""),46204.54517361111)</f>
        <v>46204.54517</v>
      </c>
      <c r="BI435" s="6">
        <f>IFERROR(__xludf.DUMMYFUNCTION("""COMPUTED_VALUE"""),435.0)</f>
        <v>435</v>
      </c>
      <c r="BJ435" s="6"/>
      <c r="BK435" s="6"/>
      <c r="BL435" s="6" t="str">
        <f>IFERROR(__xludf.DUMMYFUNCTION("""COMPUTED_VALUE"""),"GISHOY0001")</f>
        <v>GISHOY0001</v>
      </c>
      <c r="BM435" s="6"/>
      <c r="BN435" s="6"/>
      <c r="BO435" s="6"/>
      <c r="BP435" s="6" t="str">
        <f>IFERROR(__xludf.DUMMYFUNCTION("""COMPUTED_VALUE"""),"XC_EL_Taekwondo")</f>
        <v>XC_EL_Taekwondo</v>
      </c>
      <c r="BQ435" s="6" t="str">
        <f>IFERROR(__xludf.DUMMYFUNCTION("""COMPUTED_VALUE"""),"XC_EL_Taekwondo")</f>
        <v>XC_EL_Taekwondo</v>
      </c>
      <c r="BR435" s="6"/>
      <c r="BS435" s="6" t="str">
        <f>IFERROR(__xludf.DUMMYFUNCTION("""COMPUTED_VALUE"""),"XC_EL_Taekwondo")</f>
        <v>XC_EL_Taekwondo</v>
      </c>
      <c r="BT435" s="6"/>
      <c r="BU435" s="6" t="str">
        <f>IFERROR(__xludf.DUMMYFUNCTION("""COMPUTED_VALUE"""),"SI")</f>
        <v>SI</v>
      </c>
      <c r="BV435" s="6" t="str">
        <f>IFERROR(__xludf.DUMMYFUNCTION("""COMPUTED_VALUE"""),"pedro.h2034")</f>
        <v>pedro.h2034</v>
      </c>
      <c r="BW435" s="6"/>
      <c r="BX435" s="6"/>
      <c r="BY435" s="6"/>
      <c r="BZ435" s="6"/>
    </row>
    <row r="436">
      <c r="A436" s="12">
        <f>IFERROR(__xludf.DUMMYFUNCTION("""COMPUTED_VALUE"""),1.092860554E9)</f>
        <v>1092860554</v>
      </c>
      <c r="B436" s="6">
        <f>IFERROR(__xludf.DUMMYFUNCTION("""COMPUTED_VALUE"""),15.0)</f>
        <v>15</v>
      </c>
      <c r="C436" s="6" t="str">
        <f>IFERROR(__xludf.DUMMYFUNCTION("""COMPUTED_VALUE"""),"Jerónimo")</f>
        <v>Jerónimo</v>
      </c>
      <c r="D436" s="6"/>
      <c r="E436" s="6" t="str">
        <f>IFERROR(__xludf.DUMMYFUNCTION("""COMPUTED_VALUE"""),"Hurtado Pérez")</f>
        <v>Hurtado Pérez</v>
      </c>
      <c r="F436" s="6" t="str">
        <f>IFERROR(__xludf.DUMMYFUNCTION("""COMPUTED_VALUE"""),"Condominio Toledo Campestre Casa 17 Sector 2 - Calle 23Nte No24 - 01")</f>
        <v>Condominio Toledo Campestre Casa 17 Sector 2 - Calle 23Nte No24 - 01</v>
      </c>
      <c r="G436" s="12" t="str">
        <f>IFERROR(__xludf.DUMMYFUNCTION("""COMPUTED_VALUE"""),"2016")</f>
        <v>2016</v>
      </c>
      <c r="H436" s="6" t="str">
        <f>IFERROR(__xludf.DUMMYFUNCTION("""COMPUTED_VALUE"""),"Octubre")</f>
        <v>Octubre</v>
      </c>
      <c r="I436" s="12" t="str">
        <f>IFERROR(__xludf.DUMMYFUNCTION("""COMPUTED_VALUE"""),"27")</f>
        <v>27</v>
      </c>
      <c r="J436" s="6" t="str">
        <f>IFERROR(__xludf.DUMMYFUNCTION("""COMPUTED_VALUE"""),"Armenia")</f>
        <v>Armenia</v>
      </c>
      <c r="K436" s="6" t="str">
        <f>IFERROR(__xludf.DUMMYFUNCTION("""COMPUTED_VALUE"""),"jeronimo.h2034@gi.edu.co")</f>
        <v>jeronimo.h2034@gi.edu.co</v>
      </c>
      <c r="L436" s="6" t="str">
        <f>IFERROR(__xludf.DUMMYFUNCTION("""COMPUTED_VALUE"""),"TI")</f>
        <v>TI</v>
      </c>
      <c r="M436" s="6" t="str">
        <f>IFERROR(__xludf.DUMMYFUNCTION("""COMPUTED_VALUE"""),"Armenia")</f>
        <v>Armenia</v>
      </c>
      <c r="N436" s="6" t="str">
        <f>IFERROR(__xludf.DUMMYFUNCTION("""COMPUTED_VALUE"""),"M")</f>
        <v>M</v>
      </c>
      <c r="O436" s="6" t="str">
        <f>IFERROR(__xludf.DUMMYFUNCTION("""COMPUTED_VALUE"""),"ACTIVE")</f>
        <v>ACTIVE</v>
      </c>
      <c r="P436" s="6"/>
      <c r="Q436" s="6" t="str">
        <f>IFERROR(__xludf.DUMMYFUNCTION("""COMPUTED_VALUE"""),"Armenia")</f>
        <v>Armenia</v>
      </c>
      <c r="R436" s="12" t="str">
        <f>IFERROR(__xludf.DUMMYFUNCTION("""COMPUTED_VALUE"""),"Gi5g6b7n8m*")</f>
        <v>Gi5g6b7n8m*</v>
      </c>
      <c r="S436" s="6" t="str">
        <f>IFERROR(__xludf.DUMMYFUNCTION("""COMPUTED_VALUE"""),"Hurtado Pérez Jerónimo ")</f>
        <v>Hurtado Pérez Jerónimo </v>
      </c>
      <c r="T436" s="6" t="str">
        <f>IFERROR(__xludf.DUMMYFUNCTION("""COMPUTED_VALUE"""),"ÓSCAR ANDRÉS HURTADO FERNÁNDEZ")</f>
        <v>ÓSCAR ANDRÉS HURTADO FERNÁNDEZ</v>
      </c>
      <c r="U436" s="12" t="str">
        <f>IFERROR(__xludf.DUMMYFUNCTION("""COMPUTED_VALUE"""),"89008186")</f>
        <v>89008186</v>
      </c>
      <c r="V436" s="6">
        <f>IFERROR(__xludf.DUMMYFUNCTION("""COMPUTED_VALUE"""),3.165209964E9)</f>
        <v>3165209964</v>
      </c>
      <c r="W436" s="6" t="str">
        <f>IFERROR(__xludf.DUMMYFUNCTION("""COMPUTED_VALUE"""),"oscarandres127@hotmail.com")</f>
        <v>oscarandres127@hotmail.com</v>
      </c>
      <c r="X436" s="12" t="str">
        <f>IFERROR(__xludf.DUMMYFUNCTION("""COMPUTED_VALUE"""),"A-")</f>
        <v>A-</v>
      </c>
      <c r="Y436" s="12" t="str">
        <f>IFERROR(__xludf.DUMMYFUNCTION("""COMPUTED_VALUE"""),"5")</f>
        <v>5</v>
      </c>
      <c r="Z436" s="12">
        <f>IFERROR(__xludf.DUMMYFUNCTION("""COMPUTED_VALUE"""),120098.0)</f>
        <v>120098</v>
      </c>
      <c r="AA436" s="6" t="str">
        <f>IFERROR(__xludf.DUMMYFUNCTION("""COMPUTED_VALUE"""),"OTRA")</f>
        <v>OTRA</v>
      </c>
      <c r="AB436" s="6"/>
      <c r="AC436" s="6"/>
      <c r="AD436" s="12" t="str">
        <f>IFERROR(__xludf.DUMMYFUNCTION("""COMPUTED_VALUE"""),"5B")</f>
        <v>5B</v>
      </c>
      <c r="AE436" s="12">
        <f>IFERROR(__xludf.DUMMYFUNCTION("""COMPUTED_VALUE"""),1.345282112E9)</f>
        <v>1345282112</v>
      </c>
      <c r="AF436" s="12" t="str">
        <f>IFERROR(__xludf.DUMMYFUNCTION("""COMPUTED_VALUE"""),"0651098003")</f>
        <v>0651098003</v>
      </c>
      <c r="AG436" s="12" t="str">
        <f>IFERROR(__xludf.DUMMYFUNCTION("""COMPUTED_VALUE"""),"Rosa")</f>
        <v>Rosa</v>
      </c>
      <c r="AH436" s="12" t="str">
        <f>IFERROR(__xludf.DUMMYFUNCTION("""COMPUTED_VALUE"""),"Judith")</f>
        <v>Judith</v>
      </c>
      <c r="AI436" s="6" t="str">
        <f>IFERROR(__xludf.DUMMYFUNCTION("""COMPUTED_VALUE"""),"Pérez Yucumá")</f>
        <v>Pérez Yucumá</v>
      </c>
      <c r="AJ436" s="6" t="str">
        <f>IFERROR(__xludf.DUMMYFUNCTION("""COMPUTED_VALUE"""),"rojuth@gmail.com")</f>
        <v>rojuth@gmail.com</v>
      </c>
      <c r="AK436" s="6" t="str">
        <f>IFERROR(__xludf.DUMMYFUNCTION("""COMPUTED_VALUE"""),"Directivo Docente")</f>
        <v>Directivo Docente</v>
      </c>
      <c r="AL436" s="6" t="str">
        <f>IFERROR(__xludf.DUMMYFUNCTION("""COMPUTED_VALUE"""),"Secretaría de Educación")</f>
        <v>Secretaría de Educación</v>
      </c>
      <c r="AM436" s="12" t="str">
        <f>IFERROR(__xludf.DUMMYFUNCTION("""COMPUTED_VALUE"""),"41935616")</f>
        <v>41935616</v>
      </c>
      <c r="AN436" s="12" t="str">
        <f>IFERROR(__xludf.DUMMYFUNCTION("""COMPUTED_VALUE"""),"3117690590")</f>
        <v>3117690590</v>
      </c>
      <c r="AO436" s="6" t="str">
        <f>IFERROR(__xludf.DUMMYFUNCTION("""COMPUTED_VALUE"""),"Madre")</f>
        <v>Madre</v>
      </c>
      <c r="AP436" s="6" t="str">
        <f>IFERROR(__xludf.DUMMYFUNCTION("""COMPUTED_VALUE"""),"Estudiante(s): Hurtado Pérez")</f>
        <v>Estudiante(s): Hurtado Pérez</v>
      </c>
      <c r="AQ436" s="6" t="str">
        <f>IFERROR(__xludf.DUMMYFUNCTION("""COMPUTED_VALUE"""),"120098*Gi")</f>
        <v>120098*Gi</v>
      </c>
      <c r="AR436" s="6" t="str">
        <f>IFERROR(__xludf.DUMMYFUNCTION("""COMPUTED_VALUE"""),"Óscar")</f>
        <v>Óscar</v>
      </c>
      <c r="AS436" s="6" t="str">
        <f>IFERROR(__xludf.DUMMYFUNCTION("""COMPUTED_VALUE"""),"Andrés")</f>
        <v>Andrés</v>
      </c>
      <c r="AT436" s="6" t="str">
        <f>IFERROR(__xludf.DUMMYFUNCTION("""COMPUTED_VALUE"""),"Hurtado Fernández")</f>
        <v>Hurtado Fernández</v>
      </c>
      <c r="AU436" s="6" t="str">
        <f>IFERROR(__xludf.DUMMYFUNCTION("""COMPUTED_VALUE"""),"oscarandres127@hotmail.com")</f>
        <v>oscarandres127@hotmail.com</v>
      </c>
      <c r="AV436" s="6" t="str">
        <f>IFERROR(__xludf.DUMMYFUNCTION("""COMPUTED_VALUE"""),"Ingeniero Civil")</f>
        <v>Ingeniero Civil</v>
      </c>
      <c r="AW436" s="6" t="str">
        <f>IFERROR(__xludf.DUMMYFUNCTION("""COMPUTED_VALUE"""),"Av. Centenario Vereda San Juan Casa 1 - FINCA EL REFUGIO")</f>
        <v>Av. Centenario Vereda San Juan Casa 1 - FINCA EL REFUGIO</v>
      </c>
      <c r="AX436" s="12" t="str">
        <f>IFERROR(__xludf.DUMMYFUNCTION("""COMPUTED_VALUE"""),"89008186")</f>
        <v>89008186</v>
      </c>
      <c r="AY436" s="12" t="str">
        <f>IFERROR(__xludf.DUMMYFUNCTION("""COMPUTED_VALUE"""),"3165209964")</f>
        <v>3165209964</v>
      </c>
      <c r="AZ436" s="6" t="str">
        <f>IFERROR(__xludf.DUMMYFUNCTION("""COMPUTED_VALUE"""),"Padre")</f>
        <v>Padre</v>
      </c>
      <c r="BA436" s="6"/>
      <c r="BB436" s="6"/>
      <c r="BC436" s="6"/>
      <c r="BD436" s="12" t="str">
        <f>IFERROR(__xludf.DUMMYFUNCTION("""COMPUTED_VALUE"""),"hur0001")</f>
        <v>hur0001</v>
      </c>
      <c r="BE436" s="6"/>
      <c r="BF436" s="6"/>
      <c r="BG436" s="6">
        <f>IFERROR(__xludf.DUMMYFUNCTION("""COMPUTED_VALUE"""),2034.0)</f>
        <v>2034</v>
      </c>
      <c r="BH436" s="15">
        <f>IFERROR(__xludf.DUMMYFUNCTION("""COMPUTED_VALUE"""),46231.86951388889)</f>
        <v>46231.86951</v>
      </c>
      <c r="BI436" s="6">
        <f>IFERROR(__xludf.DUMMYFUNCTION("""COMPUTED_VALUE"""),436.0)</f>
        <v>436</v>
      </c>
      <c r="BJ436" s="6"/>
      <c r="BK436" s="6"/>
      <c r="BL436" s="6" t="str">
        <f>IFERROR(__xludf.DUMMYFUNCTION("""COMPUTED_VALUE"""),"GISHUR0001")</f>
        <v>GISHUR0001</v>
      </c>
      <c r="BM436" s="6"/>
      <c r="BN436" s="6"/>
      <c r="BO436" s="6"/>
      <c r="BP436" s="6" t="str">
        <f>IFERROR(__xludf.DUMMYFUNCTION("""COMPUTED_VALUE"""),"XC_5_Futbol_M")</f>
        <v>XC_5_Futbol_M</v>
      </c>
      <c r="BQ436" s="6"/>
      <c r="BR436" s="6"/>
      <c r="BS436" s="6" t="str">
        <f>IFERROR(__xludf.DUMMYFUNCTION("""COMPUTED_VALUE"""),"XC_5_Futbol_M")</f>
        <v>XC_5_Futbol_M</v>
      </c>
      <c r="BT436" s="6" t="str">
        <f>IFERROR(__xludf.DUMMYFUNCTION("""COMPUTED_VALUE"""),"XC_5_Futbol_M")</f>
        <v>XC_5_Futbol_M</v>
      </c>
      <c r="BU436" s="6" t="str">
        <f>IFERROR(__xludf.DUMMYFUNCTION("""COMPUTED_VALUE"""),"SI")</f>
        <v>SI</v>
      </c>
      <c r="BV436" s="6" t="str">
        <f>IFERROR(__xludf.DUMMYFUNCTION("""COMPUTED_VALUE"""),"jeronimo.h2034")</f>
        <v>jeronimo.h2034</v>
      </c>
      <c r="BW436" s="6"/>
      <c r="BX436" s="6"/>
      <c r="BY436" s="6"/>
      <c r="BZ436" s="6"/>
    </row>
    <row r="437">
      <c r="A437" s="12">
        <f>IFERROR(__xludf.DUMMYFUNCTION("""COMPUTED_VALUE"""),1.09286031E9)</f>
        <v>1092860310</v>
      </c>
      <c r="B437" s="6">
        <f>IFERROR(__xludf.DUMMYFUNCTION("""COMPUTED_VALUE"""),16.0)</f>
        <v>16</v>
      </c>
      <c r="C437" s="6" t="str">
        <f>IFERROR(__xludf.DUMMYFUNCTION("""COMPUTED_VALUE"""),"Samuel")</f>
        <v>Samuel</v>
      </c>
      <c r="D437" s="6"/>
      <c r="E437" s="6" t="str">
        <f>IFERROR(__xludf.DUMMYFUNCTION("""COMPUTED_VALUE"""),"Jaramillo Velásquez")</f>
        <v>Jaramillo Velásquez</v>
      </c>
      <c r="F437" s="6" t="str">
        <f>IFERROR(__xludf.DUMMYFUNCTION("""COMPUTED_VALUE"""),"Condominio Pradera Boreal Casa 59 - Km. 5 Via Armenia Pereira")</f>
        <v>Condominio Pradera Boreal Casa 59 - Km. 5 Via Armenia Pereira</v>
      </c>
      <c r="G437" s="12" t="str">
        <f>IFERROR(__xludf.DUMMYFUNCTION("""COMPUTED_VALUE"""),"2016")</f>
        <v>2016</v>
      </c>
      <c r="H437" s="6" t="str">
        <f>IFERROR(__xludf.DUMMYFUNCTION("""COMPUTED_VALUE"""),"Agosto")</f>
        <v>Agosto</v>
      </c>
      <c r="I437" s="12" t="str">
        <f>IFERROR(__xludf.DUMMYFUNCTION("""COMPUTED_VALUE"""),"12")</f>
        <v>12</v>
      </c>
      <c r="J437" s="6" t="str">
        <f>IFERROR(__xludf.DUMMYFUNCTION("""COMPUTED_VALUE"""),"Armenia")</f>
        <v>Armenia</v>
      </c>
      <c r="K437" s="6" t="str">
        <f>IFERROR(__xludf.DUMMYFUNCTION("""COMPUTED_VALUE"""),"samuel.j2034@gi.edu.co")</f>
        <v>samuel.j2034@gi.edu.co</v>
      </c>
      <c r="L437" s="6" t="str">
        <f>IFERROR(__xludf.DUMMYFUNCTION("""COMPUTED_VALUE"""),"TI")</f>
        <v>TI</v>
      </c>
      <c r="M437" s="6" t="str">
        <f>IFERROR(__xludf.DUMMYFUNCTION("""COMPUTED_VALUE"""),"Armenia")</f>
        <v>Armenia</v>
      </c>
      <c r="N437" s="6" t="str">
        <f>IFERROR(__xludf.DUMMYFUNCTION("""COMPUTED_VALUE"""),"M")</f>
        <v>M</v>
      </c>
      <c r="O437" s="6" t="str">
        <f>IFERROR(__xludf.DUMMYFUNCTION("""COMPUTED_VALUE"""),"ACTIVE")</f>
        <v>ACTIVE</v>
      </c>
      <c r="P437" s="6"/>
      <c r="Q437" s="6" t="str">
        <f>IFERROR(__xludf.DUMMYFUNCTION("""COMPUTED_VALUE"""),"Armenia")</f>
        <v>Armenia</v>
      </c>
      <c r="R437" s="12" t="str">
        <f>IFERROR(__xludf.DUMMYFUNCTION("""COMPUTED_VALUE"""),"Girtfg45*")</f>
        <v>Girtfg45*</v>
      </c>
      <c r="S437" s="6" t="str">
        <f>IFERROR(__xludf.DUMMYFUNCTION("""COMPUTED_VALUE"""),"Jaramillo Velásquez Samuel ")</f>
        <v>Jaramillo Velásquez Samuel </v>
      </c>
      <c r="T437" s="6" t="str">
        <f>IFERROR(__xludf.DUMMYFUNCTION("""COMPUTED_VALUE"""),"MÓNICA VELÁSQUEZ HERRERA")</f>
        <v>MÓNICA VELÁSQUEZ HERRERA</v>
      </c>
      <c r="U437" s="12" t="str">
        <f>IFERROR(__xludf.DUMMYFUNCTION("""COMPUTED_VALUE"""),"1094889701")</f>
        <v>1094889701</v>
      </c>
      <c r="V437" s="6">
        <f>IFERROR(__xludf.DUMMYFUNCTION("""COMPUTED_VALUE"""),3.183832347E9)</f>
        <v>3183832347</v>
      </c>
      <c r="W437" s="6" t="str">
        <f>IFERROR(__xludf.DUMMYFUNCTION("""COMPUTED_VALUE"""),"velasquezh.monica@gmail.com")</f>
        <v>velasquezh.monica@gmail.com</v>
      </c>
      <c r="X437" s="12" t="str">
        <f>IFERROR(__xludf.DUMMYFUNCTION("""COMPUTED_VALUE"""),"O+")</f>
        <v>O+</v>
      </c>
      <c r="Y437" s="12" t="str">
        <f>IFERROR(__xludf.DUMMYFUNCTION("""COMPUTED_VALUE"""),"5")</f>
        <v>5</v>
      </c>
      <c r="Z437" s="12">
        <f>IFERROR(__xludf.DUMMYFUNCTION("""COMPUTED_VALUE"""),103792.0)</f>
        <v>103792</v>
      </c>
      <c r="AA437" s="6" t="str">
        <f>IFERROR(__xludf.DUMMYFUNCTION("""COMPUTED_VALUE"""),"SANITAS")</f>
        <v>SANITAS</v>
      </c>
      <c r="AB437" s="6"/>
      <c r="AC437" s="6"/>
      <c r="AD437" s="12" t="str">
        <f>IFERROR(__xludf.DUMMYFUNCTION("""COMPUTED_VALUE"""),"5B")</f>
        <v>5B</v>
      </c>
      <c r="AE437" s="12">
        <f>IFERROR(__xludf.DUMMYFUNCTION("""COMPUTED_VALUE"""),1.345281786E9)</f>
        <v>1345281786</v>
      </c>
      <c r="AF437" s="12" t="str">
        <f>IFERROR(__xludf.DUMMYFUNCTION("""COMPUTED_VALUE"""),"0674093763")</f>
        <v>0674093763</v>
      </c>
      <c r="AG437" s="12" t="str">
        <f>IFERROR(__xludf.DUMMYFUNCTION("""COMPUTED_VALUE"""),"Mónica")</f>
        <v>Mónica</v>
      </c>
      <c r="AH437" s="6"/>
      <c r="AI437" s="6" t="str">
        <f>IFERROR(__xludf.DUMMYFUNCTION("""COMPUTED_VALUE"""),"Velásquez Herrera")</f>
        <v>Velásquez Herrera</v>
      </c>
      <c r="AJ437" s="6" t="str">
        <f>IFERROR(__xludf.DUMMYFUNCTION("""COMPUTED_VALUE"""),"velasquezh.monica@gmail.com")</f>
        <v>velasquezh.monica@gmail.com</v>
      </c>
      <c r="AK437" s="6" t="str">
        <f>IFERROR(__xludf.DUMMYFUNCTION("""COMPUTED_VALUE"""),"Economista")</f>
        <v>Economista</v>
      </c>
      <c r="AL437" s="6" t="str">
        <f>IFERROR(__xludf.DUMMYFUNCTION("""COMPUTED_VALUE"""),"Sierra Morena Hotel")</f>
        <v>Sierra Morena Hotel</v>
      </c>
      <c r="AM437" s="12" t="str">
        <f>IFERROR(__xludf.DUMMYFUNCTION("""COMPUTED_VALUE"""),"1094889701")</f>
        <v>1094889701</v>
      </c>
      <c r="AN437" s="12" t="str">
        <f>IFERROR(__xludf.DUMMYFUNCTION("""COMPUTED_VALUE"""),"3183832347")</f>
        <v>3183832347</v>
      </c>
      <c r="AO437" s="6" t="str">
        <f>IFERROR(__xludf.DUMMYFUNCTION("""COMPUTED_VALUE"""),"Madre")</f>
        <v>Madre</v>
      </c>
      <c r="AP437" s="6" t="str">
        <f>IFERROR(__xludf.DUMMYFUNCTION("""COMPUTED_VALUE"""),"Estudiante(s): Jaramillo Velásquez")</f>
        <v>Estudiante(s): Jaramillo Velásquez</v>
      </c>
      <c r="AQ437" s="6" t="str">
        <f>IFERROR(__xludf.DUMMYFUNCTION("""COMPUTED_VALUE"""),"103792*Gi")</f>
        <v>103792*Gi</v>
      </c>
      <c r="AR437" s="6" t="str">
        <f>IFERROR(__xludf.DUMMYFUNCTION("""COMPUTED_VALUE"""),"Hugo")</f>
        <v>Hugo</v>
      </c>
      <c r="AS437" s="6"/>
      <c r="AT437" s="6" t="str">
        <f>IFERROR(__xludf.DUMMYFUNCTION("""COMPUTED_VALUE"""),"Jaramillo Botero")</f>
        <v>Jaramillo Botero</v>
      </c>
      <c r="AU437" s="6" t="str">
        <f>IFERROR(__xludf.DUMMYFUNCTION("""COMPUTED_VALUE"""),"hujaramillo@hotmail.com")</f>
        <v>hujaramillo@hotmail.com</v>
      </c>
      <c r="AV437" s="6" t="str">
        <f>IFERROR(__xludf.DUMMYFUNCTION("""COMPUTED_VALUE"""),"Agricultor")</f>
        <v>Agricultor</v>
      </c>
      <c r="AW437" s="6"/>
      <c r="AX437" s="12" t="str">
        <f>IFERROR(__xludf.DUMMYFUNCTION("""COMPUTED_VALUE"""),"9725981")</f>
        <v>9725981</v>
      </c>
      <c r="AY437" s="12" t="str">
        <f>IFERROR(__xludf.DUMMYFUNCTION("""COMPUTED_VALUE"""),"3216468397")</f>
        <v>3216468397</v>
      </c>
      <c r="AZ437" s="6" t="str">
        <f>IFERROR(__xludf.DUMMYFUNCTION("""COMPUTED_VALUE"""),"Padre")</f>
        <v>Padre</v>
      </c>
      <c r="BA437" s="6"/>
      <c r="BB437" s="6"/>
      <c r="BC437" s="6"/>
      <c r="BD437" s="12" t="str">
        <f>IFERROR(__xludf.DUMMYFUNCTION("""COMPUTED_VALUE"""),"jar0022")</f>
        <v>jar0022</v>
      </c>
      <c r="BE437" s="6"/>
      <c r="BF437" s="6"/>
      <c r="BG437" s="6">
        <f>IFERROR(__xludf.DUMMYFUNCTION("""COMPUTED_VALUE"""),2034.0)</f>
        <v>2034</v>
      </c>
      <c r="BH437" s="15">
        <f>IFERROR(__xludf.DUMMYFUNCTION("""COMPUTED_VALUE"""),46209.877650462964)</f>
        <v>46209.87765</v>
      </c>
      <c r="BI437" s="6">
        <f>IFERROR(__xludf.DUMMYFUNCTION("""COMPUTED_VALUE"""),437.0)</f>
        <v>437</v>
      </c>
      <c r="BJ437" s="6"/>
      <c r="BK437" s="6"/>
      <c r="BL437" s="6" t="str">
        <f>IFERROR(__xludf.DUMMYFUNCTION("""COMPUTED_VALUE"""),"GISJAR0022")</f>
        <v>GISJAR0022</v>
      </c>
      <c r="BM437" s="6"/>
      <c r="BN437" s="6"/>
      <c r="BO437" s="6"/>
      <c r="BP437" s="6"/>
      <c r="BQ437" s="6"/>
      <c r="BR437" s="6"/>
      <c r="BS437" s="6"/>
      <c r="BT437" s="6"/>
      <c r="BU437" s="6" t="str">
        <f>IFERROR(__xludf.DUMMYFUNCTION("""COMPUTED_VALUE"""),"SI")</f>
        <v>SI</v>
      </c>
      <c r="BV437" s="6" t="str">
        <f>IFERROR(__xludf.DUMMYFUNCTION("""COMPUTED_VALUE"""),"samuel.j2034")</f>
        <v>samuel.j2034</v>
      </c>
      <c r="BW437" s="6"/>
      <c r="BX437" s="6"/>
      <c r="BY437" s="6"/>
      <c r="BZ437" s="6"/>
    </row>
    <row r="438">
      <c r="A438" s="12">
        <f>IFERROR(__xludf.DUMMYFUNCTION("""COMPUTED_VALUE"""),1.092859582E9)</f>
        <v>1092859582</v>
      </c>
      <c r="B438" s="6">
        <f>IFERROR(__xludf.DUMMYFUNCTION("""COMPUTED_VALUE"""),17.0)</f>
        <v>17</v>
      </c>
      <c r="C438" s="6" t="str">
        <f>IFERROR(__xludf.DUMMYFUNCTION("""COMPUTED_VALUE"""),"Matias")</f>
        <v>Matias</v>
      </c>
      <c r="D438" s="6"/>
      <c r="E438" s="6" t="str">
        <f>IFERROR(__xludf.DUMMYFUNCTION("""COMPUTED_VALUE"""),"Lezama Sanint")</f>
        <v>Lezama Sanint</v>
      </c>
      <c r="F438" s="6" t="str">
        <f>IFERROR(__xludf.DUMMYFUNCTION("""COMPUTED_VALUE"""),"La Cabaña 2 Casa 8 - Km 4 Via el Eden")</f>
        <v>La Cabaña 2 Casa 8 - Km 4 Via el Eden</v>
      </c>
      <c r="G438" s="12" t="str">
        <f>IFERROR(__xludf.DUMMYFUNCTION("""COMPUTED_VALUE"""),"2015")</f>
        <v>2015</v>
      </c>
      <c r="H438" s="6" t="str">
        <f>IFERROR(__xludf.DUMMYFUNCTION("""COMPUTED_VALUE"""),"Diciembre")</f>
        <v>Diciembre</v>
      </c>
      <c r="I438" s="12" t="str">
        <f>IFERROR(__xludf.DUMMYFUNCTION("""COMPUTED_VALUE"""),"4")</f>
        <v>4</v>
      </c>
      <c r="J438" s="6" t="str">
        <f>IFERROR(__xludf.DUMMYFUNCTION("""COMPUTED_VALUE"""),"Armenia")</f>
        <v>Armenia</v>
      </c>
      <c r="K438" s="6" t="str">
        <f>IFERROR(__xludf.DUMMYFUNCTION("""COMPUTED_VALUE"""),"matias.l2034@gi.edu.co")</f>
        <v>matias.l2034@gi.edu.co</v>
      </c>
      <c r="L438" s="6" t="str">
        <f>IFERROR(__xludf.DUMMYFUNCTION("""COMPUTED_VALUE"""),"TI")</f>
        <v>TI</v>
      </c>
      <c r="M438" s="6" t="str">
        <f>IFERROR(__xludf.DUMMYFUNCTION("""COMPUTED_VALUE"""),"Armenia")</f>
        <v>Armenia</v>
      </c>
      <c r="N438" s="6" t="str">
        <f>IFERROR(__xludf.DUMMYFUNCTION("""COMPUTED_VALUE"""),"M")</f>
        <v>M</v>
      </c>
      <c r="O438" s="6" t="str">
        <f>IFERROR(__xludf.DUMMYFUNCTION("""COMPUTED_VALUE"""),"ACTIVE")</f>
        <v>ACTIVE</v>
      </c>
      <c r="P438" s="6"/>
      <c r="Q438" s="6" t="str">
        <f>IFERROR(__xludf.DUMMYFUNCTION("""COMPUTED_VALUE"""),"Armenia")</f>
        <v>Armenia</v>
      </c>
      <c r="R438" s="12" t="str">
        <f>IFERROR(__xludf.DUMMYFUNCTION("""COMPUTED_VALUE"""),"Gi67utrye*")</f>
        <v>Gi67utrye*</v>
      </c>
      <c r="S438" s="6" t="str">
        <f>IFERROR(__xludf.DUMMYFUNCTION("""COMPUTED_VALUE"""),"Lezama Sanint Matias ")</f>
        <v>Lezama Sanint Matias </v>
      </c>
      <c r="T438" s="6" t="str">
        <f>IFERROR(__xludf.DUMMYFUNCTION("""COMPUTED_VALUE"""),"JESSICA SANINT OROZCO")</f>
        <v>JESSICA SANINT OROZCO</v>
      </c>
      <c r="U438" s="12" t="str">
        <f>IFERROR(__xludf.DUMMYFUNCTION("""COMPUTED_VALUE"""),"24343721")</f>
        <v>24343721</v>
      </c>
      <c r="V438" s="6">
        <f>IFERROR(__xludf.DUMMYFUNCTION("""COMPUTED_VALUE"""),3.148631492E9)</f>
        <v>3148631492</v>
      </c>
      <c r="W438" s="6" t="str">
        <f>IFERROR(__xludf.DUMMYFUNCTION("""COMPUTED_VALUE"""),"jessi_sanint21@hotmail.com")</f>
        <v>jessi_sanint21@hotmail.com</v>
      </c>
      <c r="X438" s="12" t="str">
        <f>IFERROR(__xludf.DUMMYFUNCTION("""COMPUTED_VALUE"""),"O+")</f>
        <v>O+</v>
      </c>
      <c r="Y438" s="12" t="str">
        <f>IFERROR(__xludf.DUMMYFUNCTION("""COMPUTED_VALUE"""),"5")</f>
        <v>5</v>
      </c>
      <c r="Z438" s="12">
        <f>IFERROR(__xludf.DUMMYFUNCTION("""COMPUTED_VALUE"""),103741.0)</f>
        <v>103741</v>
      </c>
      <c r="AA438" s="6" t="str">
        <f>IFERROR(__xludf.DUMMYFUNCTION("""COMPUTED_VALUE"""),"SURA")</f>
        <v>SURA</v>
      </c>
      <c r="AB438" s="6" t="str">
        <f>IFERROR(__xludf.DUMMYFUNCTION("""COMPUTED_VALUE"""),"sura")</f>
        <v>sura</v>
      </c>
      <c r="AC438" s="6"/>
      <c r="AD438" s="12" t="str">
        <f>IFERROR(__xludf.DUMMYFUNCTION("""COMPUTED_VALUE"""),"5B")</f>
        <v>5B</v>
      </c>
      <c r="AE438" s="12">
        <f>IFERROR(__xludf.DUMMYFUNCTION("""COMPUTED_VALUE"""),1.345281863E9)</f>
        <v>1345281863</v>
      </c>
      <c r="AF438" s="12" t="str">
        <f>IFERROR(__xludf.DUMMYFUNCTION("""COMPUTED_VALUE"""),"0675306739")</f>
        <v>0675306739</v>
      </c>
      <c r="AG438" s="12" t="str">
        <f>IFERROR(__xludf.DUMMYFUNCTION("""COMPUTED_VALUE"""),"Jessica")</f>
        <v>Jessica</v>
      </c>
      <c r="AH438" s="6"/>
      <c r="AI438" s="6" t="str">
        <f>IFERROR(__xludf.DUMMYFUNCTION("""COMPUTED_VALUE"""),"Sanint Orozco")</f>
        <v>Sanint Orozco</v>
      </c>
      <c r="AJ438" s="6" t="str">
        <f>IFERROR(__xludf.DUMMYFUNCTION("""COMPUTED_VALUE"""),"gestoradecalidadgema@gmail.com")</f>
        <v>gestoradecalidadgema@gmail.com</v>
      </c>
      <c r="AK438" s="6" t="str">
        <f>IFERROR(__xludf.DUMMYFUNCTION("""COMPUTED_VALUE"""),"MEDICA")</f>
        <v>MEDICA</v>
      </c>
      <c r="AL438" s="6" t="str">
        <f>IFERROR(__xludf.DUMMYFUNCTION("""COMPUTED_VALUE"""),"Gestión y manejo en salud SAS")</f>
        <v>Gestión y manejo en salud SAS</v>
      </c>
      <c r="AM438" s="12" t="str">
        <f>IFERROR(__xludf.DUMMYFUNCTION("""COMPUTED_VALUE"""),"24343721")</f>
        <v>24343721</v>
      </c>
      <c r="AN438" s="12" t="str">
        <f>IFERROR(__xludf.DUMMYFUNCTION("""COMPUTED_VALUE"""),"3148631492")</f>
        <v>3148631492</v>
      </c>
      <c r="AO438" s="6" t="str">
        <f>IFERROR(__xludf.DUMMYFUNCTION("""COMPUTED_VALUE"""),"Madre")</f>
        <v>Madre</v>
      </c>
      <c r="AP438" s="6" t="str">
        <f>IFERROR(__xludf.DUMMYFUNCTION("""COMPUTED_VALUE"""),"Estudiante(s): Lezama Sanint")</f>
        <v>Estudiante(s): Lezama Sanint</v>
      </c>
      <c r="AQ438" s="6" t="str">
        <f>IFERROR(__xludf.DUMMYFUNCTION("""COMPUTED_VALUE"""),"103341*Gi")</f>
        <v>103341*Gi</v>
      </c>
      <c r="AR438" s="6" t="str">
        <f>IFERROR(__xludf.DUMMYFUNCTION("""COMPUTED_VALUE"""),"Néstor")</f>
        <v>Néstor</v>
      </c>
      <c r="AS438" s="6" t="str">
        <f>IFERROR(__xludf.DUMMYFUNCTION("""COMPUTED_VALUE"""),"Mauricio")</f>
        <v>Mauricio</v>
      </c>
      <c r="AT438" s="6" t="str">
        <f>IFERROR(__xludf.DUMMYFUNCTION("""COMPUTED_VALUE"""),"Lezama Velásquez")</f>
        <v>Lezama Velásquez</v>
      </c>
      <c r="AU438" s="6" t="str">
        <f>IFERROR(__xludf.DUMMYFUNCTION("""COMPUTED_VALUE"""),"nestorlezama@gmail.com")</f>
        <v>nestorlezama@gmail.com</v>
      </c>
      <c r="AV438" s="6" t="str">
        <f>IFERROR(__xludf.DUMMYFUNCTION("""COMPUTED_VALUE"""),"medico")</f>
        <v>medico</v>
      </c>
      <c r="AW438" s="6" t="str">
        <f>IFERROR(__xludf.DUMMYFUNCTION("""COMPUTED_VALUE"""),"gestión y manejo en salud sas")</f>
        <v>gestión y manejo en salud sas</v>
      </c>
      <c r="AX438" s="12" t="str">
        <f>IFERROR(__xludf.DUMMYFUNCTION("""COMPUTED_VALUE"""),"1094879229")</f>
        <v>1094879229</v>
      </c>
      <c r="AY438" s="12" t="str">
        <f>IFERROR(__xludf.DUMMYFUNCTION("""COMPUTED_VALUE"""),"3127912469")</f>
        <v>3127912469</v>
      </c>
      <c r="AZ438" s="6" t="str">
        <f>IFERROR(__xludf.DUMMYFUNCTION("""COMPUTED_VALUE"""),"Padre")</f>
        <v>Padre</v>
      </c>
      <c r="BA438" s="6"/>
      <c r="BB438" s="6"/>
      <c r="BC438" s="6"/>
      <c r="BD438" s="12" t="str">
        <f>IFERROR(__xludf.DUMMYFUNCTION("""COMPUTED_VALUE"""),"lez0001")</f>
        <v>lez0001</v>
      </c>
      <c r="BE438" s="6"/>
      <c r="BF438" s="6"/>
      <c r="BG438" s="6">
        <f>IFERROR(__xludf.DUMMYFUNCTION("""COMPUTED_VALUE"""),2034.0)</f>
        <v>2034</v>
      </c>
      <c r="BH438" s="15">
        <f>IFERROR(__xludf.DUMMYFUNCTION("""COMPUTED_VALUE"""),46209.321608796294)</f>
        <v>46209.32161</v>
      </c>
      <c r="BI438" s="6">
        <f>IFERROR(__xludf.DUMMYFUNCTION("""COMPUTED_VALUE"""),438.0)</f>
        <v>438</v>
      </c>
      <c r="BJ438" s="6"/>
      <c r="BK438" s="6"/>
      <c r="BL438" s="6" t="str">
        <f>IFERROR(__xludf.DUMMYFUNCTION("""COMPUTED_VALUE"""),"GISLEZ0001")</f>
        <v>GISLEZ0001</v>
      </c>
      <c r="BM438" s="6"/>
      <c r="BN438" s="6"/>
      <c r="BO438" s="6"/>
      <c r="BP438" s="6"/>
      <c r="BQ438" s="6"/>
      <c r="BR438" s="6" t="str">
        <f>IFERROR(__xludf.DUMMYFUNCTION("""COMPUTED_VALUE"""),"XC_Robo_Lego")</f>
        <v>XC_Robo_Lego</v>
      </c>
      <c r="BS438" s="6"/>
      <c r="BT438" s="6"/>
      <c r="BU438" s="6" t="str">
        <f>IFERROR(__xludf.DUMMYFUNCTION("""COMPUTED_VALUE"""),"SI")</f>
        <v>SI</v>
      </c>
      <c r="BV438" s="6" t="str">
        <f>IFERROR(__xludf.DUMMYFUNCTION("""COMPUTED_VALUE"""),"matias.l2034")</f>
        <v>matias.l2034</v>
      </c>
      <c r="BW438" s="6"/>
      <c r="BX438" s="6"/>
      <c r="BY438" s="6"/>
      <c r="BZ438" s="6"/>
    </row>
    <row r="439">
      <c r="A439" s="12">
        <f>IFERROR(__xludf.DUMMYFUNCTION("""COMPUTED_VALUE"""),1.013026619E9)</f>
        <v>1013026619</v>
      </c>
      <c r="B439" s="6">
        <f>IFERROR(__xludf.DUMMYFUNCTION("""COMPUTED_VALUE"""),18.0)</f>
        <v>18</v>
      </c>
      <c r="C439" s="6" t="str">
        <f>IFERROR(__xludf.DUMMYFUNCTION("""COMPUTED_VALUE"""),"Antonia")</f>
        <v>Antonia</v>
      </c>
      <c r="D439" s="6"/>
      <c r="E439" s="6" t="str">
        <f>IFERROR(__xludf.DUMMYFUNCTION("""COMPUTED_VALUE"""),"Molina González")</f>
        <v>Molina González</v>
      </c>
      <c r="F439" s="6" t="str">
        <f>IFERROR(__xludf.DUMMYFUNCTION("""COMPUTED_VALUE"""),"Condominio El Robledal Casa 6 - Calle 14Nte No10 - 05 La Castellana")</f>
        <v>Condominio El Robledal Casa 6 - Calle 14Nte No10 - 05 La Castellana</v>
      </c>
      <c r="G439" s="12" t="str">
        <f>IFERROR(__xludf.DUMMYFUNCTION("""COMPUTED_VALUE"""),"2016")</f>
        <v>2016</v>
      </c>
      <c r="H439" s="6" t="str">
        <f>IFERROR(__xludf.DUMMYFUNCTION("""COMPUTED_VALUE"""),"Mayo")</f>
        <v>Mayo</v>
      </c>
      <c r="I439" s="12" t="str">
        <f>IFERROR(__xludf.DUMMYFUNCTION("""COMPUTED_VALUE"""),"23")</f>
        <v>23</v>
      </c>
      <c r="J439" s="6" t="str">
        <f>IFERROR(__xludf.DUMMYFUNCTION("""COMPUTED_VALUE"""),"Bogotá D.C.")</f>
        <v>Bogotá D.C.</v>
      </c>
      <c r="K439" s="6" t="str">
        <f>IFERROR(__xludf.DUMMYFUNCTION("""COMPUTED_VALUE"""),"antonia.m2034@gi.edu.co")</f>
        <v>antonia.m2034@gi.edu.co</v>
      </c>
      <c r="L439" s="6" t="str">
        <f>IFERROR(__xludf.DUMMYFUNCTION("""COMPUTED_VALUE"""),"TI")</f>
        <v>TI</v>
      </c>
      <c r="M439" s="6" t="str">
        <f>IFERROR(__xludf.DUMMYFUNCTION("""COMPUTED_VALUE"""),"Armenia")</f>
        <v>Armenia</v>
      </c>
      <c r="N439" s="6" t="str">
        <f>IFERROR(__xludf.DUMMYFUNCTION("""COMPUTED_VALUE"""),"F")</f>
        <v>F</v>
      </c>
      <c r="O439" s="6" t="str">
        <f>IFERROR(__xludf.DUMMYFUNCTION("""COMPUTED_VALUE"""),"ACTIVE")</f>
        <v>ACTIVE</v>
      </c>
      <c r="P439" s="6"/>
      <c r="Q439" s="6" t="str">
        <f>IFERROR(__xludf.DUMMYFUNCTION("""COMPUTED_VALUE"""),"Armenia")</f>
        <v>Armenia</v>
      </c>
      <c r="R439" s="12" t="str">
        <f>IFERROR(__xludf.DUMMYFUNCTION("""COMPUTED_VALUE"""),"Giau48bn*")</f>
        <v>Giau48bn*</v>
      </c>
      <c r="S439" s="6" t="str">
        <f>IFERROR(__xludf.DUMMYFUNCTION("""COMPUTED_VALUE"""),"Molina González Antonia ")</f>
        <v>Molina González Antonia </v>
      </c>
      <c r="T439" s="6" t="str">
        <f>IFERROR(__xludf.DUMMYFUNCTION("""COMPUTED_VALUE"""),"JUAN PABLO MOLINA JIMENEZ")</f>
        <v>JUAN PABLO MOLINA JIMENEZ</v>
      </c>
      <c r="U439" s="12" t="str">
        <f>IFERROR(__xludf.DUMMYFUNCTION("""COMPUTED_VALUE"""),"9736813")</f>
        <v>9736813</v>
      </c>
      <c r="V439" s="6">
        <f>IFERROR(__xludf.DUMMYFUNCTION("""COMPUTED_VALUE"""),3.204187754E9)</f>
        <v>3204187754</v>
      </c>
      <c r="W439" s="6" t="str">
        <f>IFERROR(__xludf.DUMMYFUNCTION("""COMPUTED_VALUE"""),"juanitocirujano@hotmail.com")</f>
        <v>juanitocirujano@hotmail.com</v>
      </c>
      <c r="X439" s="12" t="str">
        <f>IFERROR(__xludf.DUMMYFUNCTION("""COMPUTED_VALUE"""),"O+")</f>
        <v>O+</v>
      </c>
      <c r="Y439" s="12" t="str">
        <f>IFERROR(__xludf.DUMMYFUNCTION("""COMPUTED_VALUE"""),"5")</f>
        <v>5</v>
      </c>
      <c r="Z439" s="12">
        <f>IFERROR(__xludf.DUMMYFUNCTION("""COMPUTED_VALUE"""),120172.0)</f>
        <v>120172</v>
      </c>
      <c r="AA439" s="6" t="str">
        <f>IFERROR(__xludf.DUMMYFUNCTION("""COMPUTED_VALUE"""),"SURA")</f>
        <v>SURA</v>
      </c>
      <c r="AB439" s="6"/>
      <c r="AC439" s="12" t="str">
        <f>IFERROR(__xludf.DUMMYFUNCTION("""COMPUTED_VALUE"""),"Camarones, Acaros, perros")</f>
        <v>Camarones, Acaros, perros</v>
      </c>
      <c r="AD439" s="12" t="str">
        <f>IFERROR(__xludf.DUMMYFUNCTION("""COMPUTED_VALUE"""),"5B")</f>
        <v>5B</v>
      </c>
      <c r="AE439" s="12">
        <f>IFERROR(__xludf.DUMMYFUNCTION("""COMPUTED_VALUE"""),1.345282175E9)</f>
        <v>1345282175</v>
      </c>
      <c r="AF439" s="12" t="str">
        <f>IFERROR(__xludf.DUMMYFUNCTION("""COMPUTED_VALUE"""),"0687137555")</f>
        <v>0687137555</v>
      </c>
      <c r="AG439" s="12" t="str">
        <f>IFERROR(__xludf.DUMMYFUNCTION("""COMPUTED_VALUE"""),"Mariana")</f>
        <v>Mariana</v>
      </c>
      <c r="AH439" s="6"/>
      <c r="AI439" s="6" t="str">
        <f>IFERROR(__xludf.DUMMYFUNCTION("""COMPUTED_VALUE"""),"González Rodríguez")</f>
        <v>González Rodríguez</v>
      </c>
      <c r="AJ439" s="6" t="str">
        <f>IFERROR(__xludf.DUMMYFUNCTION("""COMPUTED_VALUE"""),"mariana-gr@hotmail.com")</f>
        <v>mariana-gr@hotmail.com</v>
      </c>
      <c r="AK439" s="6" t="str">
        <f>IFERROR(__xludf.DUMMYFUNCTION("""COMPUTED_VALUE"""),"Profesional en Mercadeo")</f>
        <v>Profesional en Mercadeo</v>
      </c>
      <c r="AL439" s="6" t="str">
        <f>IFERROR(__xludf.DUMMYFUNCTION("""COMPUTED_VALUE"""),"Cirugia de Seno y Tejidos Blandos SAS")</f>
        <v>Cirugia de Seno y Tejidos Blandos SAS</v>
      </c>
      <c r="AM439" s="12" t="str">
        <f>IFERROR(__xludf.DUMMYFUNCTION("""COMPUTED_VALUE"""),"52489142")</f>
        <v>52489142</v>
      </c>
      <c r="AN439" s="12" t="str">
        <f>IFERROR(__xludf.DUMMYFUNCTION("""COMPUTED_VALUE"""),"3202113038")</f>
        <v>3202113038</v>
      </c>
      <c r="AO439" s="6" t="str">
        <f>IFERROR(__xludf.DUMMYFUNCTION("""COMPUTED_VALUE"""),"Madre")</f>
        <v>Madre</v>
      </c>
      <c r="AP439" s="6" t="str">
        <f>IFERROR(__xludf.DUMMYFUNCTION("""COMPUTED_VALUE"""),"Estudiante(s): Molina González")</f>
        <v>Estudiante(s): Molina González</v>
      </c>
      <c r="AQ439" s="6" t="str">
        <f>IFERROR(__xludf.DUMMYFUNCTION("""COMPUTED_VALUE"""),"120172*Gi")</f>
        <v>120172*Gi</v>
      </c>
      <c r="AR439" s="6" t="str">
        <f>IFERROR(__xludf.DUMMYFUNCTION("""COMPUTED_VALUE"""),"Juan")</f>
        <v>Juan</v>
      </c>
      <c r="AS439" s="6" t="str">
        <f>IFERROR(__xludf.DUMMYFUNCTION("""COMPUTED_VALUE"""),"Pablo")</f>
        <v>Pablo</v>
      </c>
      <c r="AT439" s="6" t="str">
        <f>IFERROR(__xludf.DUMMYFUNCTION("""COMPUTED_VALUE"""),"Molina Jiménez")</f>
        <v>Molina Jiménez</v>
      </c>
      <c r="AU439" s="6" t="str">
        <f>IFERROR(__xludf.DUMMYFUNCTION("""COMPUTED_VALUE"""),"juanitocirujano@hotmail.com")</f>
        <v>juanitocirujano@hotmail.com</v>
      </c>
      <c r="AV439" s="6" t="str">
        <f>IFERROR(__xludf.DUMMYFUNCTION("""COMPUTED_VALUE"""),"Medico Especialista")</f>
        <v>Medico Especialista</v>
      </c>
      <c r="AW439" s="6" t="str">
        <f>IFERROR(__xludf.DUMMYFUNCTION("""COMPUTED_VALUE"""),"Oncologos Del Occidente")</f>
        <v>Oncologos Del Occidente</v>
      </c>
      <c r="AX439" s="12" t="str">
        <f>IFERROR(__xludf.DUMMYFUNCTION("""COMPUTED_VALUE"""),"9736813")</f>
        <v>9736813</v>
      </c>
      <c r="AY439" s="12" t="str">
        <f>IFERROR(__xludf.DUMMYFUNCTION("""COMPUTED_VALUE"""),"3204187754")</f>
        <v>3204187754</v>
      </c>
      <c r="AZ439" s="6" t="str">
        <f>IFERROR(__xludf.DUMMYFUNCTION("""COMPUTED_VALUE"""),"Padre")</f>
        <v>Padre</v>
      </c>
      <c r="BA439" s="6"/>
      <c r="BB439" s="6"/>
      <c r="BC439" s="6"/>
      <c r="BD439" s="12" t="str">
        <f>IFERROR(__xludf.DUMMYFUNCTION("""COMPUTED_VALUE"""),"Mol0004")</f>
        <v>Mol0004</v>
      </c>
      <c r="BE439" s="6"/>
      <c r="BF439" s="6"/>
      <c r="BG439" s="6">
        <f>IFERROR(__xludf.DUMMYFUNCTION("""COMPUTED_VALUE"""),2034.0)</f>
        <v>2034</v>
      </c>
      <c r="BH439" s="15">
        <f>IFERROR(__xludf.DUMMYFUNCTION("""COMPUTED_VALUE"""),46205.51849537037)</f>
        <v>46205.5185</v>
      </c>
      <c r="BI439" s="6">
        <f>IFERROR(__xludf.DUMMYFUNCTION("""COMPUTED_VALUE"""),439.0)</f>
        <v>439</v>
      </c>
      <c r="BJ439" s="6"/>
      <c r="BK439" s="6"/>
      <c r="BL439" s="6" t="str">
        <f>IFERROR(__xludf.DUMMYFUNCTION("""COMPUTED_VALUE"""),"GISMOL0004")</f>
        <v>GISMOL0004</v>
      </c>
      <c r="BM439" s="6"/>
      <c r="BN439" s="6"/>
      <c r="BO439" s="6"/>
      <c r="BP439" s="6"/>
      <c r="BQ439" s="6"/>
      <c r="BR439" s="6" t="str">
        <f>IFERROR(__xludf.DUMMYFUNCTION("""COMPUTED_VALUE"""),"XC_EL_DanzaModerna")</f>
        <v>XC_EL_DanzaModerna</v>
      </c>
      <c r="BS439" s="6"/>
      <c r="BT439" s="6"/>
      <c r="BU439" s="6" t="str">
        <f>IFERROR(__xludf.DUMMYFUNCTION("""COMPUTED_VALUE"""),"SI")</f>
        <v>SI</v>
      </c>
      <c r="BV439" s="6" t="str">
        <f>IFERROR(__xludf.DUMMYFUNCTION("""COMPUTED_VALUE"""),"antonia.m2034")</f>
        <v>antonia.m2034</v>
      </c>
      <c r="BW439" s="6"/>
      <c r="BX439" s="6"/>
      <c r="BY439" s="6"/>
      <c r="BZ439" s="6"/>
    </row>
    <row r="440">
      <c r="A440" s="12">
        <f>IFERROR(__xludf.DUMMYFUNCTION("""COMPUTED_VALUE"""),1.092860064E9)</f>
        <v>1092860064</v>
      </c>
      <c r="B440" s="6">
        <f>IFERROR(__xludf.DUMMYFUNCTION("""COMPUTED_VALUE"""),19.0)</f>
        <v>19</v>
      </c>
      <c r="C440" s="6" t="str">
        <f>IFERROR(__xludf.DUMMYFUNCTION("""COMPUTED_VALUE"""),"Pablo")</f>
        <v>Pablo</v>
      </c>
      <c r="D440" s="6"/>
      <c r="E440" s="6" t="str">
        <f>IFERROR(__xludf.DUMMYFUNCTION("""COMPUTED_VALUE"""),"Montilla Pachón")</f>
        <v>Montilla Pachón</v>
      </c>
      <c r="F440" s="6" t="str">
        <f>IFERROR(__xludf.DUMMYFUNCTION("""COMPUTED_VALUE"""),"Condominio Casa de Campo Casa 13 - Calle 23ANte No19 - 47")</f>
        <v>Condominio Casa de Campo Casa 13 - Calle 23ANte No19 - 47</v>
      </c>
      <c r="G440" s="12" t="str">
        <f>IFERROR(__xludf.DUMMYFUNCTION("""COMPUTED_VALUE"""),"2016")</f>
        <v>2016</v>
      </c>
      <c r="H440" s="6" t="str">
        <f>IFERROR(__xludf.DUMMYFUNCTION("""COMPUTED_VALUE"""),"Mayo")</f>
        <v>Mayo</v>
      </c>
      <c r="I440" s="12" t="str">
        <f>IFERROR(__xludf.DUMMYFUNCTION("""COMPUTED_VALUE"""),"23")</f>
        <v>23</v>
      </c>
      <c r="J440" s="6" t="str">
        <f>IFERROR(__xludf.DUMMYFUNCTION("""COMPUTED_VALUE"""),"Armenia")</f>
        <v>Armenia</v>
      </c>
      <c r="K440" s="6" t="str">
        <f>IFERROR(__xludf.DUMMYFUNCTION("""COMPUTED_VALUE"""),"pablo.m2034@gi.edu.co")</f>
        <v>pablo.m2034@gi.edu.co</v>
      </c>
      <c r="L440" s="6" t="str">
        <f>IFERROR(__xludf.DUMMYFUNCTION("""COMPUTED_VALUE"""),"TI")</f>
        <v>TI</v>
      </c>
      <c r="M440" s="6" t="str">
        <f>IFERROR(__xludf.DUMMYFUNCTION("""COMPUTED_VALUE"""),"Armenia")</f>
        <v>Armenia</v>
      </c>
      <c r="N440" s="6" t="str">
        <f>IFERROR(__xludf.DUMMYFUNCTION("""COMPUTED_VALUE"""),"M")</f>
        <v>M</v>
      </c>
      <c r="O440" s="6" t="str">
        <f>IFERROR(__xludf.DUMMYFUNCTION("""COMPUTED_VALUE"""),"ACTIVE")</f>
        <v>ACTIVE</v>
      </c>
      <c r="P440" s="6"/>
      <c r="Q440" s="6" t="str">
        <f>IFERROR(__xludf.DUMMYFUNCTION("""COMPUTED_VALUE"""),"Armenia")</f>
        <v>Armenia</v>
      </c>
      <c r="R440" s="12" t="str">
        <f>IFERROR(__xludf.DUMMYFUNCTION("""COMPUTED_VALUE"""),"Gi3906pm*")</f>
        <v>Gi3906pm*</v>
      </c>
      <c r="S440" s="6" t="str">
        <f>IFERROR(__xludf.DUMMYFUNCTION("""COMPUTED_VALUE"""),"Montilla Pachón Pablo ")</f>
        <v>Montilla Pachón Pablo </v>
      </c>
      <c r="T440" s="6" t="str">
        <f>IFERROR(__xludf.DUMMYFUNCTION("""COMPUTED_VALUE"""),"LILIANA PACHÓN VIVAS")</f>
        <v>LILIANA PACHÓN VIVAS</v>
      </c>
      <c r="U440" s="12" t="str">
        <f>IFERROR(__xludf.DUMMYFUNCTION("""COMPUTED_VALUE"""),"41957821")</f>
        <v>41957821</v>
      </c>
      <c r="V440" s="6">
        <f>IFERROR(__xludf.DUMMYFUNCTION("""COMPUTED_VALUE"""),3.20727638E9)</f>
        <v>3207276380</v>
      </c>
      <c r="W440" s="6" t="str">
        <f>IFERROR(__xludf.DUMMYFUNCTION("""COMPUTED_VALUE"""),"pachonliliana@gmail.com")</f>
        <v>pachonliliana@gmail.com</v>
      </c>
      <c r="X440" s="12" t="str">
        <f>IFERROR(__xludf.DUMMYFUNCTION("""COMPUTED_VALUE"""),"O+")</f>
        <v>O+</v>
      </c>
      <c r="Y440" s="12" t="str">
        <f>IFERROR(__xludf.DUMMYFUNCTION("""COMPUTED_VALUE"""),"5")</f>
        <v>5</v>
      </c>
      <c r="Z440" s="12">
        <f>IFERROR(__xludf.DUMMYFUNCTION("""COMPUTED_VALUE"""),103906.0)</f>
        <v>103906</v>
      </c>
      <c r="AA440" s="6" t="str">
        <f>IFERROR(__xludf.DUMMYFUNCTION("""COMPUTED_VALUE"""),"SURA")</f>
        <v>SURA</v>
      </c>
      <c r="AB440" s="6"/>
      <c r="AC440" s="12" t="str">
        <f>IFERROR(__xludf.DUMMYFUNCTION("""COMPUTED_VALUE"""),"ACAROS - FRESAS, CAMARONES Y PIÑA")</f>
        <v>ACAROS - FRESAS, CAMARONES Y PIÑA</v>
      </c>
      <c r="AD440" s="12" t="str">
        <f>IFERROR(__xludf.DUMMYFUNCTION("""COMPUTED_VALUE"""),"5B")</f>
        <v>5B</v>
      </c>
      <c r="AE440" s="12">
        <f>IFERROR(__xludf.DUMMYFUNCTION("""COMPUTED_VALUE"""),1.345281958E9)</f>
        <v>1345281958</v>
      </c>
      <c r="AF440" s="12" t="str">
        <f>IFERROR(__xludf.DUMMYFUNCTION("""COMPUTED_VALUE"""),"0692248387")</f>
        <v>0692248387</v>
      </c>
      <c r="AG440" s="12" t="str">
        <f>IFERROR(__xludf.DUMMYFUNCTION("""COMPUTED_VALUE"""),"Liliana")</f>
        <v>Liliana</v>
      </c>
      <c r="AH440" s="6"/>
      <c r="AI440" s="6" t="str">
        <f>IFERROR(__xludf.DUMMYFUNCTION("""COMPUTED_VALUE"""),"Pachón Vivas")</f>
        <v>Pachón Vivas</v>
      </c>
      <c r="AJ440" s="6" t="str">
        <f>IFERROR(__xludf.DUMMYFUNCTION("""COMPUTED_VALUE"""),"pachonliliana@gmail.com")</f>
        <v>pachonliliana@gmail.com</v>
      </c>
      <c r="AK440" s="6" t="str">
        <f>IFERROR(__xludf.DUMMYFUNCTION("""COMPUTED_VALUE"""),"GINECOLOGO OBSTETRA")</f>
        <v>GINECOLOGO OBSTETRA</v>
      </c>
      <c r="AL440" s="6"/>
      <c r="AM440" s="12" t="str">
        <f>IFERROR(__xludf.DUMMYFUNCTION("""COMPUTED_VALUE"""),"41957821")</f>
        <v>41957821</v>
      </c>
      <c r="AN440" s="12" t="str">
        <f>IFERROR(__xludf.DUMMYFUNCTION("""COMPUTED_VALUE"""),"3207276380")</f>
        <v>3207276380</v>
      </c>
      <c r="AO440" s="6" t="str">
        <f>IFERROR(__xludf.DUMMYFUNCTION("""COMPUTED_VALUE"""),"Madre")</f>
        <v>Madre</v>
      </c>
      <c r="AP440" s="6" t="str">
        <f>IFERROR(__xludf.DUMMYFUNCTION("""COMPUTED_VALUE"""),"Estudiante(s): Montilla Pachón")</f>
        <v>Estudiante(s): Montilla Pachón</v>
      </c>
      <c r="AQ440" s="6" t="str">
        <f>IFERROR(__xludf.DUMMYFUNCTION("""COMPUTED_VALUE"""),"103906*Gi")</f>
        <v>103906*Gi</v>
      </c>
      <c r="AR440" s="6" t="str">
        <f>IFERROR(__xludf.DUMMYFUNCTION("""COMPUTED_VALUE"""),"Juan")</f>
        <v>Juan</v>
      </c>
      <c r="AS440" s="6" t="str">
        <f>IFERROR(__xludf.DUMMYFUNCTION("""COMPUTED_VALUE"""),"Carlos")</f>
        <v>Carlos</v>
      </c>
      <c r="AT440" s="6" t="str">
        <f>IFERROR(__xludf.DUMMYFUNCTION("""COMPUTED_VALUE"""),"Montilla Garzon")</f>
        <v>Montilla Garzon</v>
      </c>
      <c r="AU440" s="6" t="str">
        <f>IFERROR(__xludf.DUMMYFUNCTION("""COMPUTED_VALUE"""),"doc.montilla@gmail.com")</f>
        <v>doc.montilla@gmail.com</v>
      </c>
      <c r="AV440" s="6" t="str">
        <f>IFERROR(__xludf.DUMMYFUNCTION("""COMPUTED_VALUE"""),"GINECOLOGO OBSTETRA")</f>
        <v>GINECOLOGO OBSTETRA</v>
      </c>
      <c r="AW440" s="6" t="str">
        <f>IFERROR(__xludf.DUMMYFUNCTION("""COMPUTED_VALUE"""),"HAPPY MATERNITY")</f>
        <v>HAPPY MATERNITY</v>
      </c>
      <c r="AX440" s="12" t="str">
        <f>IFERROR(__xludf.DUMMYFUNCTION("""COMPUTED_VALUE"""),"18004330")</f>
        <v>18004330</v>
      </c>
      <c r="AY440" s="12" t="str">
        <f>IFERROR(__xludf.DUMMYFUNCTION("""COMPUTED_VALUE"""),"3108392032")</f>
        <v>3108392032</v>
      </c>
      <c r="AZ440" s="6" t="str">
        <f>IFERROR(__xludf.DUMMYFUNCTION("""COMPUTED_VALUE"""),"Padre")</f>
        <v>Padre</v>
      </c>
      <c r="BA440" s="6"/>
      <c r="BB440" s="6"/>
      <c r="BC440" s="6"/>
      <c r="BD440" s="12" t="str">
        <f>IFERROR(__xludf.DUMMYFUNCTION("""COMPUTED_VALUE"""),"man0002")</f>
        <v>man0002</v>
      </c>
      <c r="BE440" s="6"/>
      <c r="BF440" s="6"/>
      <c r="BG440" s="6">
        <f>IFERROR(__xludf.DUMMYFUNCTION("""COMPUTED_VALUE"""),2034.0)</f>
        <v>2034</v>
      </c>
      <c r="BH440" s="15">
        <f>IFERROR(__xludf.DUMMYFUNCTION("""COMPUTED_VALUE"""),46207.93320601852)</f>
        <v>46207.93321</v>
      </c>
      <c r="BI440" s="6">
        <f>IFERROR(__xludf.DUMMYFUNCTION("""COMPUTED_VALUE"""),440.0)</f>
        <v>440</v>
      </c>
      <c r="BJ440" s="6"/>
      <c r="BK440" s="6"/>
      <c r="BL440" s="6" t="str">
        <f>IFERROR(__xludf.DUMMYFUNCTION("""COMPUTED_VALUE"""),"GISMAN0002")</f>
        <v>GISMAN0002</v>
      </c>
      <c r="BM440" s="6"/>
      <c r="BN440" s="6"/>
      <c r="BO440" s="6"/>
      <c r="BP440" s="6" t="str">
        <f>IFERROR(__xludf.DUMMYFUNCTION("""COMPUTED_VALUE"""),"XC_EL_Taekwondo")</f>
        <v>XC_EL_Taekwondo</v>
      </c>
      <c r="BQ440" s="6" t="str">
        <f>IFERROR(__xludf.DUMMYFUNCTION("""COMPUTED_VALUE"""),"XC_EL_Taekwondo")</f>
        <v>XC_EL_Taekwondo</v>
      </c>
      <c r="BR440" s="6"/>
      <c r="BS440" s="6" t="str">
        <f>IFERROR(__xludf.DUMMYFUNCTION("""COMPUTED_VALUE"""),"XC_EL_Taekwondo")</f>
        <v>XC_EL_Taekwondo</v>
      </c>
      <c r="BT440" s="6"/>
      <c r="BU440" s="6" t="str">
        <f>IFERROR(__xludf.DUMMYFUNCTION("""COMPUTED_VALUE"""),"SI")</f>
        <v>SI</v>
      </c>
      <c r="BV440" s="6" t="str">
        <f>IFERROR(__xludf.DUMMYFUNCTION("""COMPUTED_VALUE"""),"pablo.m2034")</f>
        <v>pablo.m2034</v>
      </c>
      <c r="BW440" s="6"/>
      <c r="BX440" s="6"/>
      <c r="BY440" s="6"/>
      <c r="BZ440" s="6"/>
    </row>
    <row r="441">
      <c r="A441" s="12">
        <f>IFERROR(__xludf.DUMMYFUNCTION("""COMPUTED_VALUE"""),1.092859629E9)</f>
        <v>1092859629</v>
      </c>
      <c r="B441" s="6">
        <f>IFERROR(__xludf.DUMMYFUNCTION("""COMPUTED_VALUE"""),20.0)</f>
        <v>20</v>
      </c>
      <c r="C441" s="6" t="str">
        <f>IFERROR(__xludf.DUMMYFUNCTION("""COMPUTED_VALUE"""),"Samuel ")</f>
        <v>Samuel </v>
      </c>
      <c r="D441" s="6"/>
      <c r="E441" s="6" t="str">
        <f>IFERROR(__xludf.DUMMYFUNCTION("""COMPUTED_VALUE"""),"Nuñez Barbery")</f>
        <v>Nuñez Barbery</v>
      </c>
      <c r="F441" s="6" t="str">
        <f>IFERROR(__xludf.DUMMYFUNCTION("""COMPUTED_VALUE"""),"Conjunto Campestre Portugal Casa 25 - Via Pueblo Tapao")</f>
        <v>Conjunto Campestre Portugal Casa 25 - Via Pueblo Tapao</v>
      </c>
      <c r="G441" s="12" t="str">
        <f>IFERROR(__xludf.DUMMYFUNCTION("""COMPUTED_VALUE"""),"2015")</f>
        <v>2015</v>
      </c>
      <c r="H441" s="6" t="str">
        <f>IFERROR(__xludf.DUMMYFUNCTION("""COMPUTED_VALUE"""),"Octubre")</f>
        <v>Octubre</v>
      </c>
      <c r="I441" s="12" t="str">
        <f>IFERROR(__xludf.DUMMYFUNCTION("""COMPUTED_VALUE"""),"4")</f>
        <v>4</v>
      </c>
      <c r="J441" s="6" t="str">
        <f>IFERROR(__xludf.DUMMYFUNCTION("""COMPUTED_VALUE"""),"Plainsboro")</f>
        <v>Plainsboro</v>
      </c>
      <c r="K441" s="6" t="str">
        <f>IFERROR(__xludf.DUMMYFUNCTION("""COMPUTED_VALUE"""),"samuel.n2034@gi.edu.co")</f>
        <v>samuel.n2034@gi.edu.co</v>
      </c>
      <c r="L441" s="6" t="str">
        <f>IFERROR(__xludf.DUMMYFUNCTION("""COMPUTED_VALUE"""),"TI")</f>
        <v>TI</v>
      </c>
      <c r="M441" s="6" t="str">
        <f>IFERROR(__xludf.DUMMYFUNCTION("""COMPUTED_VALUE"""),"Armenia")</f>
        <v>Armenia</v>
      </c>
      <c r="N441" s="6" t="str">
        <f>IFERROR(__xludf.DUMMYFUNCTION("""COMPUTED_VALUE"""),"M")</f>
        <v>M</v>
      </c>
      <c r="O441" s="6" t="str">
        <f>IFERROR(__xludf.DUMMYFUNCTION("""COMPUTED_VALUE"""),"INACTIVE")</f>
        <v>INACTIVE</v>
      </c>
      <c r="P441" s="6"/>
      <c r="Q441" s="6" t="str">
        <f>IFERROR(__xludf.DUMMYFUNCTION("""COMPUTED_VALUE"""),"Armenia")</f>
        <v>Armenia</v>
      </c>
      <c r="R441" s="12" t="str">
        <f>IFERROR(__xludf.DUMMYFUNCTION("""COMPUTED_VALUE"""),"Gie788k*")</f>
        <v>Gie788k*</v>
      </c>
      <c r="S441" s="6" t="str">
        <f>IFERROR(__xludf.DUMMYFUNCTION("""COMPUTED_VALUE"""),"Nuñez Barbery Samuel  ")</f>
        <v>Nuñez Barbery Samuel  </v>
      </c>
      <c r="T441" s="6" t="str">
        <f>IFERROR(__xludf.DUMMYFUNCTION("""COMPUTED_VALUE"""),"IVON ASTRID BARBERY LOPEZ")</f>
        <v>IVON ASTRID BARBERY LOPEZ</v>
      </c>
      <c r="U441" s="12" t="str">
        <f>IFERROR(__xludf.DUMMYFUNCTION("""COMPUTED_VALUE"""),"41955560")</f>
        <v>41955560</v>
      </c>
      <c r="V441" s="6">
        <f>IFERROR(__xludf.DUMMYFUNCTION("""COMPUTED_VALUE"""),3.17367919E9)</f>
        <v>3173679190</v>
      </c>
      <c r="W441" s="6" t="str">
        <f>IFERROR(__xludf.DUMMYFUNCTION("""COMPUTED_VALUE"""),"ivonbarbery@aol.com")</f>
        <v>ivonbarbery@aol.com</v>
      </c>
      <c r="X441" s="12" t="str">
        <f>IFERROR(__xludf.DUMMYFUNCTION("""COMPUTED_VALUE"""),"B+")</f>
        <v>B+</v>
      </c>
      <c r="Y441" s="12" t="str">
        <f>IFERROR(__xludf.DUMMYFUNCTION("""COMPUTED_VALUE"""),"5")</f>
        <v>5</v>
      </c>
      <c r="Z441" s="12">
        <f>IFERROR(__xludf.DUMMYFUNCTION("""COMPUTED_VALUE"""),120290.0)</f>
        <v>120290</v>
      </c>
      <c r="AA441" s="6" t="str">
        <f>IFERROR(__xludf.DUMMYFUNCTION("""COMPUTED_VALUE"""),"SURA")</f>
        <v>SURA</v>
      </c>
      <c r="AB441" s="6"/>
      <c r="AC441" s="12" t="str">
        <f>IFERROR(__xludf.DUMMYFUNCTION("""COMPUTED_VALUE"""),"Cambios bruscos de temperatura generan tos")</f>
        <v>Cambios bruscos de temperatura generan tos</v>
      </c>
      <c r="AD441" s="12" t="str">
        <f>IFERROR(__xludf.DUMMYFUNCTION("""COMPUTED_VALUE"""),"5B")</f>
        <v>5B</v>
      </c>
      <c r="AE441" s="12">
        <f>IFERROR(__xludf.DUMMYFUNCTION("""COMPUTED_VALUE"""),1.345282261E9)</f>
        <v>1345282261</v>
      </c>
      <c r="AF441" s="12" t="str">
        <f>IFERROR(__xludf.DUMMYFUNCTION("""COMPUTED_VALUE"""),"0694795715")</f>
        <v>0694795715</v>
      </c>
      <c r="AG441" s="12" t="str">
        <f>IFERROR(__xludf.DUMMYFUNCTION("""COMPUTED_VALUE"""),"Ivon")</f>
        <v>Ivon</v>
      </c>
      <c r="AH441" s="12" t="str">
        <f>IFERROR(__xludf.DUMMYFUNCTION("""COMPUTED_VALUE"""),"Astrid")</f>
        <v>Astrid</v>
      </c>
      <c r="AI441" s="6" t="str">
        <f>IFERROR(__xludf.DUMMYFUNCTION("""COMPUTED_VALUE"""),"Barbery López")</f>
        <v>Barbery López</v>
      </c>
      <c r="AJ441" s="6" t="str">
        <f>IFERROR(__xludf.DUMMYFUNCTION("""COMPUTED_VALUE"""),"ivonbarbery@aol.com")</f>
        <v>ivonbarbery@aol.com</v>
      </c>
      <c r="AK441" s="6" t="str">
        <f>IFERROR(__xludf.DUMMYFUNCTION("""COMPUTED_VALUE"""),"administradora de empresas")</f>
        <v>administradora de empresas</v>
      </c>
      <c r="AL441" s="6" t="str">
        <f>IFERROR(__xludf.DUMMYFUNCTION("""COMPUTED_VALUE"""),"IMPORT CORPORAL MEDICAL SAS")</f>
        <v>IMPORT CORPORAL MEDICAL SAS</v>
      </c>
      <c r="AM441" s="12" t="str">
        <f>IFERROR(__xludf.DUMMYFUNCTION("""COMPUTED_VALUE"""),"41955560")</f>
        <v>41955560</v>
      </c>
      <c r="AN441" s="12" t="str">
        <f>IFERROR(__xludf.DUMMYFUNCTION("""COMPUTED_VALUE"""),"3173679190")</f>
        <v>3173679190</v>
      </c>
      <c r="AO441" s="6" t="str">
        <f>IFERROR(__xludf.DUMMYFUNCTION("""COMPUTED_VALUE"""),"Madre")</f>
        <v>Madre</v>
      </c>
      <c r="AP441" s="6" t="str">
        <f>IFERROR(__xludf.DUMMYFUNCTION("""COMPUTED_VALUE"""),"Estudiante(s): Nuñez Barbery")</f>
        <v>Estudiante(s): Nuñez Barbery</v>
      </c>
      <c r="AQ441" s="6" t="str">
        <f>IFERROR(__xludf.DUMMYFUNCTION("""COMPUTED_VALUE"""),"120262Gi*")</f>
        <v>120262Gi*</v>
      </c>
      <c r="AR441" s="6" t="str">
        <f>IFERROR(__xludf.DUMMYFUNCTION("""COMPUTED_VALUE"""),"Fabio")</f>
        <v>Fabio</v>
      </c>
      <c r="AS441" s="6" t="str">
        <f>IFERROR(__xludf.DUMMYFUNCTION("""COMPUTED_VALUE"""),"Alexander")</f>
        <v>Alexander</v>
      </c>
      <c r="AT441" s="6" t="str">
        <f>IFERROR(__xludf.DUMMYFUNCTION("""COMPUTED_VALUE"""),"Nuñez González")</f>
        <v>Nuñez González</v>
      </c>
      <c r="AU441" s="6" t="str">
        <f>IFERROR(__xludf.DUMMYFUNCTION("""COMPUTED_VALUE"""),"fabionunez2023@aol.com")</f>
        <v>fabionunez2023@aol.com</v>
      </c>
      <c r="AV441" s="6" t="str">
        <f>IFERROR(__xludf.DUMMYFUNCTION("""COMPUTED_VALUE"""),"ADMINISTRADOR DE EMPRESAS")</f>
        <v>ADMINISTRADOR DE EMPRESAS</v>
      </c>
      <c r="AW441" s="6" t="str">
        <f>IFERROR(__xludf.DUMMYFUNCTION("""COMPUTED_VALUE"""),"IMPORT CORPORAL MEDICAL SAS")</f>
        <v>IMPORT CORPORAL MEDICAL SAS</v>
      </c>
      <c r="AX441" s="12" t="str">
        <f>IFERROR(__xludf.DUMMYFUNCTION("""COMPUTED_VALUE"""),"7632332")</f>
        <v>7632332</v>
      </c>
      <c r="AY441" s="12" t="str">
        <f>IFERROR(__xludf.DUMMYFUNCTION("""COMPUTED_VALUE"""),"3173676720")</f>
        <v>3173676720</v>
      </c>
      <c r="AZ441" s="6" t="str">
        <f>IFERROR(__xludf.DUMMYFUNCTION("""COMPUTED_VALUE"""),"Padre")</f>
        <v>Padre</v>
      </c>
      <c r="BA441" s="6"/>
      <c r="BB441" s="6"/>
      <c r="BC441" s="6"/>
      <c r="BD441" s="12" t="str">
        <f>IFERROR(__xludf.DUMMYFUNCTION("""COMPUTED_VALUE"""),"nun0001")</f>
        <v>nun0001</v>
      </c>
      <c r="BE441" s="6" t="str">
        <f>IFERROR(__xludf.DUMMYFUNCTION("""COMPUTED_VALUE"""),"FALTAN FIRMAS")</f>
        <v>FALTAN FIRMAS</v>
      </c>
      <c r="BF441" s="6"/>
      <c r="BG441" s="6">
        <f>IFERROR(__xludf.DUMMYFUNCTION("""COMPUTED_VALUE"""),2034.0)</f>
        <v>2034</v>
      </c>
      <c r="BH441" s="15">
        <f>IFERROR(__xludf.DUMMYFUNCTION("""COMPUTED_VALUE"""),46211.604421296295)</f>
        <v>46211.60442</v>
      </c>
      <c r="BI441" s="6">
        <f>IFERROR(__xludf.DUMMYFUNCTION("""COMPUTED_VALUE"""),441.0)</f>
        <v>441</v>
      </c>
      <c r="BJ441" s="6"/>
      <c r="BK441" s="6"/>
      <c r="BL441" s="6" t="str">
        <f>IFERROR(__xludf.DUMMYFUNCTION("""COMPUTED_VALUE"""),"GISNUN0001")</f>
        <v>GISNUN0001</v>
      </c>
      <c r="BM441" s="6"/>
      <c r="BN441" s="6"/>
      <c r="BO441" s="6"/>
      <c r="BP441" s="6" t="str">
        <f>IFERROR(__xludf.DUMMYFUNCTION("""COMPUTED_VALUE"""),"XC_45_Basquetbol")</f>
        <v>XC_45_Basquetbol</v>
      </c>
      <c r="BQ441" s="6"/>
      <c r="BR441" s="6" t="str">
        <f>IFERROR(__xludf.DUMMYFUNCTION("""COMPUTED_VALUE"""),"XC_Robo_Lego")</f>
        <v>XC_Robo_Lego</v>
      </c>
      <c r="BS441" s="6" t="str">
        <f>IFERROR(__xludf.DUMMYFUNCTION("""COMPUTED_VALUE"""),"XC_45_Basquetbol")</f>
        <v>XC_45_Basquetbol</v>
      </c>
      <c r="BT441" s="6" t="str">
        <f>IFERROR(__xludf.DUMMYFUNCTION("""COMPUTED_VALUE"""),"XC_45_Basquetbol")</f>
        <v>XC_45_Basquetbol</v>
      </c>
      <c r="BU441" s="6" t="str">
        <f>IFERROR(__xludf.DUMMYFUNCTION("""COMPUTED_VALUE"""),"SI")</f>
        <v>SI</v>
      </c>
      <c r="BV441" s="6" t="str">
        <f>IFERROR(__xludf.DUMMYFUNCTION("""COMPUTED_VALUE"""),"samuel.n2034")</f>
        <v>samuel.n2034</v>
      </c>
      <c r="BW441" s="6"/>
      <c r="BX441" s="6"/>
      <c r="BY441" s="6"/>
      <c r="BZ441" s="6"/>
    </row>
    <row r="442">
      <c r="A442" s="12">
        <f>IFERROR(__xludf.DUMMYFUNCTION("""COMPUTED_VALUE"""),1.090280438E9)</f>
        <v>1090280438</v>
      </c>
      <c r="B442" s="6">
        <f>IFERROR(__xludf.DUMMYFUNCTION("""COMPUTED_VALUE"""),21.0)</f>
        <v>21</v>
      </c>
      <c r="C442" s="6" t="str">
        <f>IFERROR(__xludf.DUMMYFUNCTION("""COMPUTED_VALUE"""),"Celeste")</f>
        <v>Celeste</v>
      </c>
      <c r="D442" s="6"/>
      <c r="E442" s="6" t="str">
        <f>IFERROR(__xludf.DUMMYFUNCTION("""COMPUTED_VALUE"""),"Tamayo Arias")</f>
        <v>Tamayo Arias</v>
      </c>
      <c r="F442" s="6" t="str">
        <f>IFERROR(__xludf.DUMMYFUNCTION("""COMPUTED_VALUE"""),"Condominio Campestre La Reserva Casa 5 - Cra 5 No10Nte - 25 Av Centenario")</f>
        <v>Condominio Campestre La Reserva Casa 5 - Cra 5 No10Nte - 25 Av Centenario</v>
      </c>
      <c r="G442" s="12" t="str">
        <f>IFERROR(__xludf.DUMMYFUNCTION("""COMPUTED_VALUE"""),"2016")</f>
        <v>2016</v>
      </c>
      <c r="H442" s="6" t="str">
        <f>IFERROR(__xludf.DUMMYFUNCTION("""COMPUTED_VALUE"""),"Abril")</f>
        <v>Abril</v>
      </c>
      <c r="I442" s="12" t="str">
        <f>IFERROR(__xludf.DUMMYFUNCTION("""COMPUTED_VALUE"""),"29")</f>
        <v>29</v>
      </c>
      <c r="J442" s="6" t="str">
        <f>IFERROR(__xludf.DUMMYFUNCTION("""COMPUTED_VALUE"""),"Armenia")</f>
        <v>Armenia</v>
      </c>
      <c r="K442" s="6" t="str">
        <f>IFERROR(__xludf.DUMMYFUNCTION("""COMPUTED_VALUE"""),"celeste.t2034@gi.edu.co")</f>
        <v>celeste.t2034@gi.edu.co</v>
      </c>
      <c r="L442" s="6" t="str">
        <f>IFERROR(__xludf.DUMMYFUNCTION("""COMPUTED_VALUE"""),"RC")</f>
        <v>RC</v>
      </c>
      <c r="M442" s="6" t="str">
        <f>IFERROR(__xludf.DUMMYFUNCTION("""COMPUTED_VALUE"""),"Armenia")</f>
        <v>Armenia</v>
      </c>
      <c r="N442" s="6" t="str">
        <f>IFERROR(__xludf.DUMMYFUNCTION("""COMPUTED_VALUE"""),"F")</f>
        <v>F</v>
      </c>
      <c r="O442" s="6" t="str">
        <f>IFERROR(__xludf.DUMMYFUNCTION("""COMPUTED_VALUE"""),"ACTIVE")</f>
        <v>ACTIVE</v>
      </c>
      <c r="P442" s="6"/>
      <c r="Q442" s="6" t="str">
        <f>IFERROR(__xludf.DUMMYFUNCTION("""COMPUTED_VALUE"""),"Armenia")</f>
        <v>Armenia</v>
      </c>
      <c r="R442" s="12" t="str">
        <f>IFERROR(__xludf.DUMMYFUNCTION("""COMPUTED_VALUE"""),"Gi34fgnl*")</f>
        <v>Gi34fgnl*</v>
      </c>
      <c r="S442" s="6" t="str">
        <f>IFERROR(__xludf.DUMMYFUNCTION("""COMPUTED_VALUE"""),"Tamayo Arias Celeste ")</f>
        <v>Tamayo Arias Celeste </v>
      </c>
      <c r="T442" s="6" t="str">
        <f>IFERROR(__xludf.DUMMYFUNCTION("""COMPUTED_VALUE"""),"JOHANNA ARIAS CEBALLOS")</f>
        <v>JOHANNA ARIAS CEBALLOS</v>
      </c>
      <c r="U442" s="12" t="str">
        <f>IFERROR(__xludf.DUMMYFUNCTION("""COMPUTED_VALUE"""),"41947571")</f>
        <v>41947571</v>
      </c>
      <c r="V442" s="6">
        <f>IFERROR(__xludf.DUMMYFUNCTION("""COMPUTED_VALUE"""),3.137918358E9)</f>
        <v>3137918358</v>
      </c>
      <c r="W442" s="6" t="str">
        <f>IFERROR(__xludf.DUMMYFUNCTION("""COMPUTED_VALUE"""),"johanna0607@hotmail.com")</f>
        <v>johanna0607@hotmail.com</v>
      </c>
      <c r="X442" s="12" t="str">
        <f>IFERROR(__xludf.DUMMYFUNCTION("""COMPUTED_VALUE"""),"O+")</f>
        <v>O+</v>
      </c>
      <c r="Y442" s="12" t="str">
        <f>IFERROR(__xludf.DUMMYFUNCTION("""COMPUTED_VALUE"""),"5")</f>
        <v>5</v>
      </c>
      <c r="Z442" s="12">
        <f>IFERROR(__xludf.DUMMYFUNCTION("""COMPUTED_VALUE"""),103780.0)</f>
        <v>103780</v>
      </c>
      <c r="AA442" s="6" t="str">
        <f>IFERROR(__xludf.DUMMYFUNCTION("""COMPUTED_VALUE"""),"ALIANSALUD")</f>
        <v>ALIANSALUD</v>
      </c>
      <c r="AB442" s="6" t="str">
        <f>IFERROR(__xludf.DUMMYFUNCTION("""COMPUTED_VALUE"""),"Emi")</f>
        <v>Emi</v>
      </c>
      <c r="AC442" s="12" t="str">
        <f>IFERROR(__xludf.DUMMYFUNCTION("""COMPUTED_VALUE"""),"Pescado y mariscos")</f>
        <v>Pescado y mariscos</v>
      </c>
      <c r="AD442" s="12" t="str">
        <f>IFERROR(__xludf.DUMMYFUNCTION("""COMPUTED_VALUE"""),"5B")</f>
        <v>5B</v>
      </c>
      <c r="AE442" s="12">
        <f>IFERROR(__xludf.DUMMYFUNCTION("""COMPUTED_VALUE"""),1.345281771E9)</f>
        <v>1345281771</v>
      </c>
      <c r="AF442" s="12" t="str">
        <f>IFERROR(__xludf.DUMMYFUNCTION("""COMPUTED_VALUE"""),"0692039635")</f>
        <v>0692039635</v>
      </c>
      <c r="AG442" s="12" t="str">
        <f>IFERROR(__xludf.DUMMYFUNCTION("""COMPUTED_VALUE"""),"Johanna")</f>
        <v>Johanna</v>
      </c>
      <c r="AH442" s="6"/>
      <c r="AI442" s="6" t="str">
        <f>IFERROR(__xludf.DUMMYFUNCTION("""COMPUTED_VALUE"""),"Arias Ceballos")</f>
        <v>Arias Ceballos</v>
      </c>
      <c r="AJ442" s="6" t="str">
        <f>IFERROR(__xludf.DUMMYFUNCTION("""COMPUTED_VALUE"""),"johanna0607@hotmail.com")</f>
        <v>johanna0607@hotmail.com</v>
      </c>
      <c r="AK442" s="6" t="str">
        <f>IFERROR(__xludf.DUMMYFUNCTION("""COMPUTED_VALUE"""),"Diseñadora industrial")</f>
        <v>Diseñadora industrial</v>
      </c>
      <c r="AL442" s="6"/>
      <c r="AM442" s="12" t="str">
        <f>IFERROR(__xludf.DUMMYFUNCTION("""COMPUTED_VALUE"""),"41947571")</f>
        <v>41947571</v>
      </c>
      <c r="AN442" s="12" t="str">
        <f>IFERROR(__xludf.DUMMYFUNCTION("""COMPUTED_VALUE"""),"3137918358")</f>
        <v>3137918358</v>
      </c>
      <c r="AO442" s="6" t="str">
        <f>IFERROR(__xludf.DUMMYFUNCTION("""COMPUTED_VALUE"""),"Madre")</f>
        <v>Madre</v>
      </c>
      <c r="AP442" s="6" t="str">
        <f>IFERROR(__xludf.DUMMYFUNCTION("""COMPUTED_VALUE"""),"Estudiante(s): Tamayo Arias")</f>
        <v>Estudiante(s): Tamayo Arias</v>
      </c>
      <c r="AQ442" s="6" t="str">
        <f>IFERROR(__xludf.DUMMYFUNCTION("""COMPUTED_VALUE"""),"102948*Gi")</f>
        <v>102948*Gi</v>
      </c>
      <c r="AR442" s="6" t="str">
        <f>IFERROR(__xludf.DUMMYFUNCTION("""COMPUTED_VALUE"""),"Julio")</f>
        <v>Julio</v>
      </c>
      <c r="AS442" s="6" t="str">
        <f>IFERROR(__xludf.DUMMYFUNCTION("""COMPUTED_VALUE"""),"Cesar")</f>
        <v>Cesar</v>
      </c>
      <c r="AT442" s="6" t="str">
        <f>IFERROR(__xludf.DUMMYFUNCTION("""COMPUTED_VALUE"""),"Tamayo Restrepo")</f>
        <v>Tamayo Restrepo</v>
      </c>
      <c r="AU442" s="6" t="str">
        <f>IFERROR(__xludf.DUMMYFUNCTION("""COMPUTED_VALUE"""),"tamayo0127@gmail.com")</f>
        <v>tamayo0127@gmail.com</v>
      </c>
      <c r="AV442" s="6" t="str">
        <f>IFERROR(__xludf.DUMMYFUNCTION("""COMPUTED_VALUE"""),"Administrador de Negocios")</f>
        <v>Administrador de Negocios</v>
      </c>
      <c r="AW442" s="6" t="str">
        <f>IFERROR(__xludf.DUMMYFUNCTION("""COMPUTED_VALUE"""),"Independiente")</f>
        <v>Independiente</v>
      </c>
      <c r="AX442" s="12" t="str">
        <f>IFERROR(__xludf.DUMMYFUNCTION("""COMPUTED_VALUE"""),"9734813")</f>
        <v>9734813</v>
      </c>
      <c r="AY442" s="12" t="str">
        <f>IFERROR(__xludf.DUMMYFUNCTION("""COMPUTED_VALUE"""),"3104638487")</f>
        <v>3104638487</v>
      </c>
      <c r="AZ442" s="6" t="str">
        <f>IFERROR(__xludf.DUMMYFUNCTION("""COMPUTED_VALUE"""),"Padre")</f>
        <v>Padre</v>
      </c>
      <c r="BA442" s="6"/>
      <c r="BB442" s="6"/>
      <c r="BC442" s="6"/>
      <c r="BD442" s="12" t="str">
        <f>IFERROR(__xludf.DUMMYFUNCTION("""COMPUTED_VALUE"""),"jul0001")</f>
        <v>jul0001</v>
      </c>
      <c r="BE442" s="6"/>
      <c r="BF442" s="6"/>
      <c r="BG442" s="6">
        <f>IFERROR(__xludf.DUMMYFUNCTION("""COMPUTED_VALUE"""),2034.0)</f>
        <v>2034</v>
      </c>
      <c r="BH442" s="15">
        <f>IFERROR(__xludf.DUMMYFUNCTION("""COMPUTED_VALUE"""),46209.432071759256)</f>
        <v>46209.43207</v>
      </c>
      <c r="BI442" s="6">
        <f>IFERROR(__xludf.DUMMYFUNCTION("""COMPUTED_VALUE"""),442.0)</f>
        <v>442</v>
      </c>
      <c r="BJ442" s="6"/>
      <c r="BK442" s="6"/>
      <c r="BL442" s="6" t="str">
        <f>IFERROR(__xludf.DUMMYFUNCTION("""COMPUTED_VALUE"""),"GISJUL0001")</f>
        <v>GISJUL0001</v>
      </c>
      <c r="BM442" s="6"/>
      <c r="BN442" s="6"/>
      <c r="BO442" s="6"/>
      <c r="BP442" s="6" t="str">
        <f>IFERROR(__xludf.DUMMYFUNCTION("""COMPUTED_VALUE"""),"XC_45_Voleibol")</f>
        <v>XC_45_Voleibol</v>
      </c>
      <c r="BQ442" s="6"/>
      <c r="BR442" s="6"/>
      <c r="BS442" s="6" t="str">
        <f>IFERROR(__xludf.DUMMYFUNCTION("""COMPUTED_VALUE"""),"XC_45_Voleibol")</f>
        <v>XC_45_Voleibol</v>
      </c>
      <c r="BT442" s="6" t="str">
        <f>IFERROR(__xludf.DUMMYFUNCTION("""COMPUTED_VALUE"""),"XC_45_Voleibol")</f>
        <v>XC_45_Voleibol</v>
      </c>
      <c r="BU442" s="6" t="str">
        <f>IFERROR(__xludf.DUMMYFUNCTION("""COMPUTED_VALUE"""),"SI")</f>
        <v>SI</v>
      </c>
      <c r="BV442" s="6" t="str">
        <f>IFERROR(__xludf.DUMMYFUNCTION("""COMPUTED_VALUE"""),"celeste.t2034")</f>
        <v>celeste.t2034</v>
      </c>
      <c r="BW442" s="6"/>
      <c r="BX442" s="6"/>
      <c r="BY442" s="6"/>
      <c r="BZ442" s="6"/>
    </row>
    <row r="443">
      <c r="A443" s="12">
        <f>IFERROR(__xludf.DUMMYFUNCTION("""COMPUTED_VALUE"""),1.092860048E9)</f>
        <v>1092860048</v>
      </c>
      <c r="B443" s="6">
        <f>IFERROR(__xludf.DUMMYFUNCTION("""COMPUTED_VALUE"""),22.0)</f>
        <v>22</v>
      </c>
      <c r="C443" s="6" t="str">
        <f>IFERROR(__xludf.DUMMYFUNCTION("""COMPUTED_VALUE"""),"Gabriela")</f>
        <v>Gabriela</v>
      </c>
      <c r="D443" s="6"/>
      <c r="E443" s="6" t="str">
        <f>IFERROR(__xludf.DUMMYFUNCTION("""COMPUTED_VALUE"""),"Velásquez González")</f>
        <v>Velásquez González</v>
      </c>
      <c r="F443" s="6" t="str">
        <f>IFERROR(__xludf.DUMMYFUNCTION("""COMPUTED_VALUE"""),"Condominio Hacienda Horizontes Casa 29 - Km 3 Via Circasia Vereda la Florida")</f>
        <v>Condominio Hacienda Horizontes Casa 29 - Km 3 Via Circasia Vereda la Florida</v>
      </c>
      <c r="G443" s="12" t="str">
        <f>IFERROR(__xludf.DUMMYFUNCTION("""COMPUTED_VALUE"""),"2016")</f>
        <v>2016</v>
      </c>
      <c r="H443" s="6" t="str">
        <f>IFERROR(__xludf.DUMMYFUNCTION("""COMPUTED_VALUE"""),"Mayo")</f>
        <v>Mayo</v>
      </c>
      <c r="I443" s="12" t="str">
        <f>IFERROR(__xludf.DUMMYFUNCTION("""COMPUTED_VALUE"""),"20")</f>
        <v>20</v>
      </c>
      <c r="J443" s="6" t="str">
        <f>IFERROR(__xludf.DUMMYFUNCTION("""COMPUTED_VALUE"""),"Armenia")</f>
        <v>Armenia</v>
      </c>
      <c r="K443" s="6" t="str">
        <f>IFERROR(__xludf.DUMMYFUNCTION("""COMPUTED_VALUE"""),"gabriela.v2034@gi.edu.co")</f>
        <v>gabriela.v2034@gi.edu.co</v>
      </c>
      <c r="L443" s="6" t="str">
        <f>IFERROR(__xludf.DUMMYFUNCTION("""COMPUTED_VALUE"""),"TI")</f>
        <v>TI</v>
      </c>
      <c r="M443" s="6" t="str">
        <f>IFERROR(__xludf.DUMMYFUNCTION("""COMPUTED_VALUE"""),"Armenia")</f>
        <v>Armenia</v>
      </c>
      <c r="N443" s="6" t="str">
        <f>IFERROR(__xludf.DUMMYFUNCTION("""COMPUTED_VALUE"""),"F")</f>
        <v>F</v>
      </c>
      <c r="O443" s="6" t="str">
        <f>IFERROR(__xludf.DUMMYFUNCTION("""COMPUTED_VALUE"""),"ACTIVE")</f>
        <v>ACTIVE</v>
      </c>
      <c r="P443" s="6"/>
      <c r="Q443" s="6" t="str">
        <f>IFERROR(__xludf.DUMMYFUNCTION("""COMPUTED_VALUE"""),"Armenia")</f>
        <v>Armenia</v>
      </c>
      <c r="R443" s="12" t="str">
        <f>IFERROR(__xludf.DUMMYFUNCTION("""COMPUTED_VALUE"""),"Gi98dfgt*")</f>
        <v>Gi98dfgt*</v>
      </c>
      <c r="S443" s="6" t="str">
        <f>IFERROR(__xludf.DUMMYFUNCTION("""COMPUTED_VALUE"""),"Velásquez González Gabriela ")</f>
        <v>Velásquez González Gabriela </v>
      </c>
      <c r="T443" s="6" t="str">
        <f>IFERROR(__xludf.DUMMYFUNCTION("""COMPUTED_VALUE"""),"TATIANA PAOLA GONZÁLEZ VALENCIA")</f>
        <v>TATIANA PAOLA GONZÁLEZ VALENCIA</v>
      </c>
      <c r="U443" s="12" t="str">
        <f>IFERROR(__xludf.DUMMYFUNCTION("""COMPUTED_VALUE"""),"41955268")</f>
        <v>41955268</v>
      </c>
      <c r="V443" s="6">
        <f>IFERROR(__xludf.DUMMYFUNCTION("""COMPUTED_VALUE"""),3.15284698E9)</f>
        <v>3152846980</v>
      </c>
      <c r="W443" s="6" t="str">
        <f>IFERROR(__xludf.DUMMYFUNCTION("""COMPUTED_VALUE"""),"tati_tgv@hotmail.com")</f>
        <v>tati_tgv@hotmail.com</v>
      </c>
      <c r="X443" s="12" t="str">
        <f>IFERROR(__xludf.DUMMYFUNCTION("""COMPUTED_VALUE"""),"O-")</f>
        <v>O-</v>
      </c>
      <c r="Y443" s="12" t="str">
        <f>IFERROR(__xludf.DUMMYFUNCTION("""COMPUTED_VALUE"""),"5")</f>
        <v>5</v>
      </c>
      <c r="Z443" s="12">
        <f>IFERROR(__xludf.DUMMYFUNCTION("""COMPUTED_VALUE"""),103782.0)</f>
        <v>103782</v>
      </c>
      <c r="AA443" s="6" t="str">
        <f>IFERROR(__xludf.DUMMYFUNCTION("""COMPUTED_VALUE"""),"SURA")</f>
        <v>SURA</v>
      </c>
      <c r="AB443" s="6" t="str">
        <f>IFERROR(__xludf.DUMMYFUNCTION("""COMPUTED_VALUE"""),"Emi")</f>
        <v>Emi</v>
      </c>
      <c r="AC443" s="6"/>
      <c r="AD443" s="12" t="str">
        <f>IFERROR(__xludf.DUMMYFUNCTION("""COMPUTED_VALUE"""),"5B")</f>
        <v>5B</v>
      </c>
      <c r="AE443" s="12">
        <f>IFERROR(__xludf.DUMMYFUNCTION("""COMPUTED_VALUE"""),1.345281886E9)</f>
        <v>1345281886</v>
      </c>
      <c r="AF443" s="12" t="str">
        <f>IFERROR(__xludf.DUMMYFUNCTION("""COMPUTED_VALUE"""),"0689280195")</f>
        <v>0689280195</v>
      </c>
      <c r="AG443" s="12" t="str">
        <f>IFERROR(__xludf.DUMMYFUNCTION("""COMPUTED_VALUE"""),"Tatiana")</f>
        <v>Tatiana</v>
      </c>
      <c r="AH443" s="12" t="str">
        <f>IFERROR(__xludf.DUMMYFUNCTION("""COMPUTED_VALUE"""),"Paola")</f>
        <v>Paola</v>
      </c>
      <c r="AI443" s="6" t="str">
        <f>IFERROR(__xludf.DUMMYFUNCTION("""COMPUTED_VALUE"""),"González Valencia")</f>
        <v>González Valencia</v>
      </c>
      <c r="AJ443" s="6" t="str">
        <f>IFERROR(__xludf.DUMMYFUNCTION("""COMPUTED_VALUE"""),"tati_tgv@hotmail.com")</f>
        <v>tati_tgv@hotmail.com</v>
      </c>
      <c r="AK443" s="6" t="str">
        <f>IFERROR(__xludf.DUMMYFUNCTION("""COMPUTED_VALUE"""),"Ingeniera")</f>
        <v>Ingeniera</v>
      </c>
      <c r="AL443" s="6" t="str">
        <f>IFERROR(__xludf.DUMMYFUNCTION("""COMPUTED_VALUE"""),"ingespacio construcciones")</f>
        <v>ingespacio construcciones</v>
      </c>
      <c r="AM443" s="12" t="str">
        <f>IFERROR(__xludf.DUMMYFUNCTION("""COMPUTED_VALUE"""),"41955268")</f>
        <v>41955268</v>
      </c>
      <c r="AN443" s="12" t="str">
        <f>IFERROR(__xludf.DUMMYFUNCTION("""COMPUTED_VALUE"""),"3152846980")</f>
        <v>3152846980</v>
      </c>
      <c r="AO443" s="6" t="str">
        <f>IFERROR(__xludf.DUMMYFUNCTION("""COMPUTED_VALUE"""),"Madre")</f>
        <v>Madre</v>
      </c>
      <c r="AP443" s="6" t="str">
        <f>IFERROR(__xludf.DUMMYFUNCTION("""COMPUTED_VALUE"""),"Estudiante(s): Velásquez González")</f>
        <v>Estudiante(s): Velásquez González</v>
      </c>
      <c r="AQ443" s="6" t="str">
        <f>IFERROR(__xludf.DUMMYFUNCTION("""COMPUTED_VALUE"""),"103782*Gi")</f>
        <v>103782*Gi</v>
      </c>
      <c r="AR443" s="6" t="str">
        <f>IFERROR(__xludf.DUMMYFUNCTION("""COMPUTED_VALUE"""),"Jairo")</f>
        <v>Jairo</v>
      </c>
      <c r="AS443" s="6" t="str">
        <f>IFERROR(__xludf.DUMMYFUNCTION("""COMPUTED_VALUE"""),"Andrés")</f>
        <v>Andrés</v>
      </c>
      <c r="AT443" s="6" t="str">
        <f>IFERROR(__xludf.DUMMYFUNCTION("""COMPUTED_VALUE"""),"Velásquez Herrera")</f>
        <v>Velásquez Herrera</v>
      </c>
      <c r="AU443" s="6" t="str">
        <f>IFERROR(__xludf.DUMMYFUNCTION("""COMPUTED_VALUE"""),"jairo84@gmail.com")</f>
        <v>jairo84@gmail.com</v>
      </c>
      <c r="AV443" s="6" t="str">
        <f>IFERROR(__xludf.DUMMYFUNCTION("""COMPUTED_VALUE"""),"ingeniero")</f>
        <v>ingeniero</v>
      </c>
      <c r="AW443" s="6" t="str">
        <f>IFERROR(__xludf.DUMMYFUNCTION("""COMPUTED_VALUE"""),"Ingespacio Construcciones")</f>
        <v>Ingespacio Construcciones</v>
      </c>
      <c r="AX443" s="12" t="str">
        <f>IFERROR(__xludf.DUMMYFUNCTION("""COMPUTED_VALUE"""),"9739222")</f>
        <v>9739222</v>
      </c>
      <c r="AY443" s="12" t="str">
        <f>IFERROR(__xludf.DUMMYFUNCTION("""COMPUTED_VALUE"""),"3173710013")</f>
        <v>3173710013</v>
      </c>
      <c r="AZ443" s="6" t="str">
        <f>IFERROR(__xludf.DUMMYFUNCTION("""COMPUTED_VALUE"""),"Padre")</f>
        <v>Padre</v>
      </c>
      <c r="BA443" s="6"/>
      <c r="BB443" s="6"/>
      <c r="BC443" s="6"/>
      <c r="BD443" s="12" t="str">
        <f>IFERROR(__xludf.DUMMYFUNCTION("""COMPUTED_VALUE"""),"vel0012")</f>
        <v>vel0012</v>
      </c>
      <c r="BE443" s="6"/>
      <c r="BF443" s="6"/>
      <c r="BG443" s="6">
        <f>IFERROR(__xludf.DUMMYFUNCTION("""COMPUTED_VALUE"""),2034.0)</f>
        <v>2034</v>
      </c>
      <c r="BH443" s="15">
        <f>IFERROR(__xludf.DUMMYFUNCTION("""COMPUTED_VALUE"""),46211.37290509259)</f>
        <v>46211.37291</v>
      </c>
      <c r="BI443" s="6">
        <f>IFERROR(__xludf.DUMMYFUNCTION("""COMPUTED_VALUE"""),443.0)</f>
        <v>443</v>
      </c>
      <c r="BJ443" s="6"/>
      <c r="BK443" s="6"/>
      <c r="BL443" s="6" t="str">
        <f>IFERROR(__xludf.DUMMYFUNCTION("""COMPUTED_VALUE"""),"GISVEL0012")</f>
        <v>GISVEL0012</v>
      </c>
      <c r="BM443" s="6"/>
      <c r="BN443" s="6"/>
      <c r="BO443" s="6"/>
      <c r="BP443" s="6" t="str">
        <f>IFERROR(__xludf.DUMMYFUNCTION("""COMPUTED_VALUE"""),"XC_45_Voleibol")</f>
        <v>XC_45_Voleibol</v>
      </c>
      <c r="BQ443" s="6"/>
      <c r="BR443" s="6" t="str">
        <f>IFERROR(__xludf.DUMMYFUNCTION("""COMPUTED_VALUE"""),"XC_EL_DanzaModerna")</f>
        <v>XC_EL_DanzaModerna</v>
      </c>
      <c r="BS443" s="6" t="str">
        <f>IFERROR(__xludf.DUMMYFUNCTION("""COMPUTED_VALUE"""),"XC_45_Voleibol")</f>
        <v>XC_45_Voleibol</v>
      </c>
      <c r="BT443" s="6" t="str">
        <f>IFERROR(__xludf.DUMMYFUNCTION("""COMPUTED_VALUE"""),"XC_45_Voleibol")</f>
        <v>XC_45_Voleibol</v>
      </c>
      <c r="BU443" s="6" t="str">
        <f>IFERROR(__xludf.DUMMYFUNCTION("""COMPUTED_VALUE"""),"SI")</f>
        <v>SI</v>
      </c>
      <c r="BV443" s="6" t="str">
        <f>IFERROR(__xludf.DUMMYFUNCTION("""COMPUTED_VALUE"""),"gabriela.v2034")</f>
        <v>gabriela.v2034</v>
      </c>
      <c r="BW443" s="6"/>
      <c r="BX443" s="6"/>
      <c r="BY443" s="6"/>
      <c r="BZ443" s="6"/>
    </row>
    <row r="444">
      <c r="A444" s="12">
        <f>IFERROR(__xludf.DUMMYFUNCTION("""COMPUTED_VALUE"""),1.092860354E9)</f>
        <v>1092860354</v>
      </c>
      <c r="B444" s="6">
        <f>IFERROR(__xludf.DUMMYFUNCTION("""COMPUTED_VALUE"""),23.0)</f>
        <v>23</v>
      </c>
      <c r="C444" s="6" t="str">
        <f>IFERROR(__xludf.DUMMYFUNCTION("""COMPUTED_VALUE"""),"María")</f>
        <v>María</v>
      </c>
      <c r="D444" s="6" t="str">
        <f>IFERROR(__xludf.DUMMYFUNCTION("""COMPUTED_VALUE"""),"Antonia")</f>
        <v>Antonia</v>
      </c>
      <c r="E444" s="6" t="str">
        <f>IFERROR(__xludf.DUMMYFUNCTION("""COMPUTED_VALUE"""),"Villalobos Velásquez")</f>
        <v>Villalobos Velásquez</v>
      </c>
      <c r="F444" s="6" t="str">
        <f>IFERROR(__xludf.DUMMYFUNCTION("""COMPUTED_VALUE"""),"Condominio Reserva de la Pastorita Casa 11 - Av 19 No23ANte - 21")</f>
        <v>Condominio Reserva de la Pastorita Casa 11 - Av 19 No23ANte - 21</v>
      </c>
      <c r="G444" s="12" t="str">
        <f>IFERROR(__xludf.DUMMYFUNCTION("""COMPUTED_VALUE"""),"2016")</f>
        <v>2016</v>
      </c>
      <c r="H444" s="6" t="str">
        <f>IFERROR(__xludf.DUMMYFUNCTION("""COMPUTED_VALUE"""),"Agosto")</f>
        <v>Agosto</v>
      </c>
      <c r="I444" s="12" t="str">
        <f>IFERROR(__xludf.DUMMYFUNCTION("""COMPUTED_VALUE"""),"8")</f>
        <v>8</v>
      </c>
      <c r="J444" s="6" t="str">
        <f>IFERROR(__xludf.DUMMYFUNCTION("""COMPUTED_VALUE"""),"Armenia")</f>
        <v>Armenia</v>
      </c>
      <c r="K444" s="6" t="str">
        <f>IFERROR(__xludf.DUMMYFUNCTION("""COMPUTED_VALUE"""),"maria.v2034@gi.edu.co")</f>
        <v>maria.v2034@gi.edu.co</v>
      </c>
      <c r="L444" s="6" t="str">
        <f>IFERROR(__xludf.DUMMYFUNCTION("""COMPUTED_VALUE"""),"TI")</f>
        <v>TI</v>
      </c>
      <c r="M444" s="6" t="str">
        <f>IFERROR(__xludf.DUMMYFUNCTION("""COMPUTED_VALUE"""),"Armenia")</f>
        <v>Armenia</v>
      </c>
      <c r="N444" s="6" t="str">
        <f>IFERROR(__xludf.DUMMYFUNCTION("""COMPUTED_VALUE"""),"F")</f>
        <v>F</v>
      </c>
      <c r="O444" s="6" t="str">
        <f>IFERROR(__xludf.DUMMYFUNCTION("""COMPUTED_VALUE"""),"ACTIVE")</f>
        <v>ACTIVE</v>
      </c>
      <c r="P444" s="6"/>
      <c r="Q444" s="6" t="str">
        <f>IFERROR(__xludf.DUMMYFUNCTION("""COMPUTED_VALUE"""),"Armenia")</f>
        <v>Armenia</v>
      </c>
      <c r="R444" s="12" t="str">
        <f>IFERROR(__xludf.DUMMYFUNCTION("""COMPUTED_VALUE"""),"Gi78sd45*")</f>
        <v>Gi78sd45*</v>
      </c>
      <c r="S444" s="6" t="str">
        <f>IFERROR(__xludf.DUMMYFUNCTION("""COMPUTED_VALUE"""),"Villalobos Velásquez María Antonia")</f>
        <v>Villalobos Velásquez María Antonia</v>
      </c>
      <c r="T444" s="6" t="str">
        <f>IFERROR(__xludf.DUMMYFUNCTION("""COMPUTED_VALUE"""),"MARÍA ALEJANDRA VELÁSQUEZ LONDOÑO")</f>
        <v>MARÍA ALEJANDRA VELÁSQUEZ LONDOÑO</v>
      </c>
      <c r="U444" s="12" t="str">
        <f>IFERROR(__xludf.DUMMYFUNCTION("""COMPUTED_VALUE"""),"1094893094")</f>
        <v>1094893094</v>
      </c>
      <c r="V444" s="6">
        <f>IFERROR(__xludf.DUMMYFUNCTION("""COMPUTED_VALUE"""),3.104672797E9)</f>
        <v>3104672797</v>
      </c>
      <c r="W444" s="6" t="str">
        <f>IFERROR(__xludf.DUMMYFUNCTION("""COMPUTED_VALUE"""),"mariavela50@hotmail.com")</f>
        <v>mariavela50@hotmail.com</v>
      </c>
      <c r="X444" s="12" t="str">
        <f>IFERROR(__xludf.DUMMYFUNCTION("""COMPUTED_VALUE"""),"O-")</f>
        <v>O-</v>
      </c>
      <c r="Y444" s="12" t="str">
        <f>IFERROR(__xludf.DUMMYFUNCTION("""COMPUTED_VALUE"""),"5")</f>
        <v>5</v>
      </c>
      <c r="Z444" s="12">
        <f>IFERROR(__xludf.DUMMYFUNCTION("""COMPUTED_VALUE"""),103788.0)</f>
        <v>103788</v>
      </c>
      <c r="AA444" s="6" t="str">
        <f>IFERROR(__xludf.DUMMYFUNCTION("""COMPUTED_VALUE"""),"SURA")</f>
        <v>SURA</v>
      </c>
      <c r="AB444" s="6"/>
      <c r="AC444" s="6"/>
      <c r="AD444" s="12" t="str">
        <f>IFERROR(__xludf.DUMMYFUNCTION("""COMPUTED_VALUE"""),"5B")</f>
        <v>5B</v>
      </c>
      <c r="AE444" s="12">
        <f>IFERROR(__xludf.DUMMYFUNCTION("""COMPUTED_VALUE"""),1.345281883E9)</f>
        <v>1345281883</v>
      </c>
      <c r="AF444" s="12" t="str">
        <f>IFERROR(__xludf.DUMMYFUNCTION("""COMPUTED_VALUE"""),"0698472163")</f>
        <v>0698472163</v>
      </c>
      <c r="AG444" s="12" t="str">
        <f>IFERROR(__xludf.DUMMYFUNCTION("""COMPUTED_VALUE"""),"María")</f>
        <v>María</v>
      </c>
      <c r="AH444" s="12" t="str">
        <f>IFERROR(__xludf.DUMMYFUNCTION("""COMPUTED_VALUE"""),"Alejandra")</f>
        <v>Alejandra</v>
      </c>
      <c r="AI444" s="6" t="str">
        <f>IFERROR(__xludf.DUMMYFUNCTION("""COMPUTED_VALUE"""),"Velásquez Londoño")</f>
        <v>Velásquez Londoño</v>
      </c>
      <c r="AJ444" s="6" t="str">
        <f>IFERROR(__xludf.DUMMYFUNCTION("""COMPUTED_VALUE"""),"mariavela50@hotmail.com")</f>
        <v>mariavela50@hotmail.com</v>
      </c>
      <c r="AK444" s="6" t="str">
        <f>IFERROR(__xludf.DUMMYFUNCTION("""COMPUTED_VALUE"""),"medico general")</f>
        <v>medico general</v>
      </c>
      <c r="AL444" s="6" t="str">
        <f>IFERROR(__xludf.DUMMYFUNCTION("""COMPUTED_VALUE"""),"endos sas")</f>
        <v>endos sas</v>
      </c>
      <c r="AM444" s="12" t="str">
        <f>IFERROR(__xludf.DUMMYFUNCTION("""COMPUTED_VALUE"""),"1094893094")</f>
        <v>1094893094</v>
      </c>
      <c r="AN444" s="12" t="str">
        <f>IFERROR(__xludf.DUMMYFUNCTION("""COMPUTED_VALUE"""),"3104672797")</f>
        <v>3104672797</v>
      </c>
      <c r="AO444" s="6" t="str">
        <f>IFERROR(__xludf.DUMMYFUNCTION("""COMPUTED_VALUE"""),"Madre")</f>
        <v>Madre</v>
      </c>
      <c r="AP444" s="6" t="str">
        <f>IFERROR(__xludf.DUMMYFUNCTION("""COMPUTED_VALUE"""),"Estudiante(s): Villalobos Velásquez")</f>
        <v>Estudiante(s): Villalobos Velásquez</v>
      </c>
      <c r="AQ444" s="6" t="str">
        <f>IFERROR(__xludf.DUMMYFUNCTION("""COMPUTED_VALUE"""),"103388*Gi")</f>
        <v>103388*Gi</v>
      </c>
      <c r="AR444" s="6" t="str">
        <f>IFERROR(__xludf.DUMMYFUNCTION("""COMPUTED_VALUE"""),"Raúl")</f>
        <v>Raúl</v>
      </c>
      <c r="AS444" s="6" t="str">
        <f>IFERROR(__xludf.DUMMYFUNCTION("""COMPUTED_VALUE"""),"Alberto")</f>
        <v>Alberto</v>
      </c>
      <c r="AT444" s="6" t="str">
        <f>IFERROR(__xludf.DUMMYFUNCTION("""COMPUTED_VALUE"""),"Villalobos Monsalve")</f>
        <v>Villalobos Monsalve</v>
      </c>
      <c r="AU444" s="6" t="str">
        <f>IFERROR(__xludf.DUMMYFUNCTION("""COMPUTED_VALUE"""),"villalo4@yahoo.com")</f>
        <v>villalo4@yahoo.com</v>
      </c>
      <c r="AV444" s="6" t="str">
        <f>IFERROR(__xludf.DUMMYFUNCTION("""COMPUTED_VALUE"""),"medico cirujano")</f>
        <v>medico cirujano</v>
      </c>
      <c r="AW444" s="6" t="str">
        <f>IFERROR(__xludf.DUMMYFUNCTION("""COMPUTED_VALUE"""),"endos sas")</f>
        <v>endos sas</v>
      </c>
      <c r="AX444" s="12" t="str">
        <f>IFERROR(__xludf.DUMMYFUNCTION("""COMPUTED_VALUE"""),"79351195")</f>
        <v>79351195</v>
      </c>
      <c r="AY444" s="12" t="str">
        <f>IFERROR(__xludf.DUMMYFUNCTION("""COMPUTED_VALUE"""),"3113729281")</f>
        <v>3113729281</v>
      </c>
      <c r="AZ444" s="6" t="str">
        <f>IFERROR(__xludf.DUMMYFUNCTION("""COMPUTED_VALUE"""),"Padre")</f>
        <v>Padre</v>
      </c>
      <c r="BA444" s="6" t="str">
        <f>IFERROR(__xludf.DUMMYFUNCTION("""COMPUTED_VALUE"""),"OLGA PATRICIA LONDOÑO GUTIERREZ")</f>
        <v>OLGA PATRICIA LONDOÑO GUTIERREZ</v>
      </c>
      <c r="BB444" s="6">
        <f>IFERROR(__xludf.DUMMYFUNCTION("""COMPUTED_VALUE"""),3.113980562E9)</f>
        <v>3113980562</v>
      </c>
      <c r="BC444" s="6" t="str">
        <f>IFERROR(__xludf.DUMMYFUNCTION("""COMPUTED_VALUE"""),"Abuelo(a)")</f>
        <v>Abuelo(a)</v>
      </c>
      <c r="BD444" s="12" t="str">
        <f>IFERROR(__xludf.DUMMYFUNCTION("""COMPUTED_VALUE"""),"vil0007")</f>
        <v>vil0007</v>
      </c>
      <c r="BE444" s="6"/>
      <c r="BF444" s="6"/>
      <c r="BG444" s="6">
        <f>IFERROR(__xludf.DUMMYFUNCTION("""COMPUTED_VALUE"""),2034.0)</f>
        <v>2034</v>
      </c>
      <c r="BH444" s="15">
        <f>IFERROR(__xludf.DUMMYFUNCTION("""COMPUTED_VALUE"""),46212.395266203705)</f>
        <v>46212.39527</v>
      </c>
      <c r="BI444" s="6">
        <f>IFERROR(__xludf.DUMMYFUNCTION("""COMPUTED_VALUE"""),444.0)</f>
        <v>444</v>
      </c>
      <c r="BJ444" s="6"/>
      <c r="BK444" s="6"/>
      <c r="BL444" s="6" t="str">
        <f>IFERROR(__xludf.DUMMYFUNCTION("""COMPUTED_VALUE"""),"GISVIL0007")</f>
        <v>GISVIL0007</v>
      </c>
      <c r="BM444" s="6"/>
      <c r="BN444" s="6"/>
      <c r="BO444" s="6"/>
      <c r="BP444" s="6"/>
      <c r="BQ444" s="6"/>
      <c r="BR444" s="6"/>
      <c r="BS444" s="6"/>
      <c r="BT444" s="6"/>
      <c r="BU444" s="6" t="str">
        <f>IFERROR(__xludf.DUMMYFUNCTION("""COMPUTED_VALUE"""),"SI")</f>
        <v>SI</v>
      </c>
      <c r="BV444" s="6" t="str">
        <f>IFERROR(__xludf.DUMMYFUNCTION("""COMPUTED_VALUE"""),"maria.v2034")</f>
        <v>maria.v2034</v>
      </c>
      <c r="BW444" s="6"/>
      <c r="BX444" s="6"/>
      <c r="BY444" s="6"/>
      <c r="BZ444" s="6"/>
    </row>
    <row r="445">
      <c r="A445" s="12">
        <f>IFERROR(__xludf.DUMMYFUNCTION("""COMPUTED_VALUE"""),1.125351147E9)</f>
        <v>1125351147</v>
      </c>
      <c r="B445" s="6">
        <f>IFERROR(__xludf.DUMMYFUNCTION("""COMPUTED_VALUE"""),24.0)</f>
        <v>24</v>
      </c>
      <c r="C445" s="6" t="str">
        <f>IFERROR(__xludf.DUMMYFUNCTION("""COMPUTED_VALUE"""),"Danna")</f>
        <v>Danna</v>
      </c>
      <c r="D445" s="6" t="str">
        <f>IFERROR(__xludf.DUMMYFUNCTION("""COMPUTED_VALUE"""),"Carolina")</f>
        <v>Carolina</v>
      </c>
      <c r="E445" s="6" t="str">
        <f>IFERROR(__xludf.DUMMYFUNCTION("""COMPUTED_VALUE"""),"Zuluaga Cáceres")</f>
        <v>Zuluaga Cáceres</v>
      </c>
      <c r="F445" s="6" t="str">
        <f>IFERROR(__xludf.DUMMYFUNCTION("""COMPUTED_VALUE"""),"Cra 6 No 51Nte - 25 Apto 306 - La Castellana")</f>
        <v>Cra 6 No 51Nte - 25 Apto 306 - La Castellana</v>
      </c>
      <c r="G445" s="12" t="str">
        <f>IFERROR(__xludf.DUMMYFUNCTION("""COMPUTED_VALUE"""),"2016")</f>
        <v>2016</v>
      </c>
      <c r="H445" s="6" t="str">
        <f>IFERROR(__xludf.DUMMYFUNCTION("""COMPUTED_VALUE"""),"Julio")</f>
        <v>Julio</v>
      </c>
      <c r="I445" s="12" t="str">
        <f>IFERROR(__xludf.DUMMYFUNCTION("""COMPUTED_VALUE"""),"6")</f>
        <v>6</v>
      </c>
      <c r="J445" s="6" t="str">
        <f>IFERROR(__xludf.DUMMYFUNCTION("""COMPUTED_VALUE"""),"Miraflores")</f>
        <v>Miraflores</v>
      </c>
      <c r="K445" s="6" t="str">
        <f>IFERROR(__xludf.DUMMYFUNCTION("""COMPUTED_VALUE"""),"danna.z2034@gi.edu.co")</f>
        <v>danna.z2034@gi.edu.co</v>
      </c>
      <c r="L445" s="6" t="str">
        <f>IFERROR(__xludf.DUMMYFUNCTION("""COMPUTED_VALUE"""),"TI")</f>
        <v>TI</v>
      </c>
      <c r="M445" s="6" t="str">
        <f>IFERROR(__xludf.DUMMYFUNCTION("""COMPUTED_VALUE"""),"Bogotá D.C.")</f>
        <v>Bogotá D.C.</v>
      </c>
      <c r="N445" s="6" t="str">
        <f>IFERROR(__xludf.DUMMYFUNCTION("""COMPUTED_VALUE"""),"F")</f>
        <v>F</v>
      </c>
      <c r="O445" s="6" t="str">
        <f>IFERROR(__xludf.DUMMYFUNCTION("""COMPUTED_VALUE"""),"INACTIVE")</f>
        <v>INACTIVE</v>
      </c>
      <c r="P445" s="6"/>
      <c r="Q445" s="6" t="str">
        <f>IFERROR(__xludf.DUMMYFUNCTION("""COMPUTED_VALUE"""),"Armenia")</f>
        <v>Armenia</v>
      </c>
      <c r="R445" s="12" t="str">
        <f>IFERROR(__xludf.DUMMYFUNCTION("""COMPUTED_VALUE"""),"Gi239gd*")</f>
        <v>Gi239gd*</v>
      </c>
      <c r="S445" s="6" t="str">
        <f>IFERROR(__xludf.DUMMYFUNCTION("""COMPUTED_VALUE"""),"Zuluaga Cáceres Danna Carolina")</f>
        <v>Zuluaga Cáceres Danna Carolina</v>
      </c>
      <c r="T445" s="6" t="str">
        <f>IFERROR(__xludf.DUMMYFUNCTION("""COMPUTED_VALUE"""),"LUIS ARNOLDO ZULUAGA ZULUAGA")</f>
        <v>LUIS ARNOLDO ZULUAGA ZULUAGA</v>
      </c>
      <c r="U445" s="12" t="str">
        <f>IFERROR(__xludf.DUMMYFUNCTION("""COMPUTED_VALUE"""),"7516544")</f>
        <v>7516544</v>
      </c>
      <c r="V445" s="6">
        <f>IFERROR(__xludf.DUMMYFUNCTION("""COMPUTED_VALUE"""),3.138430296E9)</f>
        <v>3138430296</v>
      </c>
      <c r="W445" s="6" t="str">
        <f>IFERROR(__xludf.DUMMYFUNCTION("""COMPUTED_VALUE"""),"arnoldozuluaga@cerroccopane.com")</f>
        <v>arnoldozuluaga@cerroccopane.com</v>
      </c>
      <c r="X445" s="12" t="str">
        <f>IFERROR(__xludf.DUMMYFUNCTION("""COMPUTED_VALUE"""),"O+")</f>
        <v>O+</v>
      </c>
      <c r="Y445" s="12" t="str">
        <f>IFERROR(__xludf.DUMMYFUNCTION("""COMPUTED_VALUE"""),"5")</f>
        <v>5</v>
      </c>
      <c r="Z445" s="12">
        <f>IFERROR(__xludf.DUMMYFUNCTION("""COMPUTED_VALUE"""),120013.0)</f>
        <v>120013</v>
      </c>
      <c r="AA445" s="6" t="str">
        <f>IFERROR(__xludf.DUMMYFUNCTION("""COMPUTED_VALUE"""),"SANITAS")</f>
        <v>SANITAS</v>
      </c>
      <c r="AB445" s="6"/>
      <c r="AC445" s="6"/>
      <c r="AD445" s="12" t="str">
        <f>IFERROR(__xludf.DUMMYFUNCTION("""COMPUTED_VALUE"""),"5B")</f>
        <v>5B</v>
      </c>
      <c r="AE445" s="12">
        <f>IFERROR(__xludf.DUMMYFUNCTION("""COMPUTED_VALUE"""),1.345282015E9)</f>
        <v>1345282015</v>
      </c>
      <c r="AF445" s="12" t="str">
        <f>IFERROR(__xludf.DUMMYFUNCTION("""COMPUTED_VALUE"""),"0687041219")</f>
        <v>0687041219</v>
      </c>
      <c r="AG445" s="12" t="str">
        <f>IFERROR(__xludf.DUMMYFUNCTION("""COMPUTED_VALUE"""),"Carla")</f>
        <v>Carla</v>
      </c>
      <c r="AH445" s="12" t="str">
        <f>IFERROR(__xludf.DUMMYFUNCTION("""COMPUTED_VALUE"""),"Fiorella")</f>
        <v>Fiorella</v>
      </c>
      <c r="AI445" s="6" t="str">
        <f>IFERROR(__xludf.DUMMYFUNCTION("""COMPUTED_VALUE"""),"Cáceres Quispe")</f>
        <v>Cáceres Quispe</v>
      </c>
      <c r="AJ445" s="6" t="str">
        <f>IFERROR(__xludf.DUMMYFUNCTION("""COMPUTED_VALUE"""),"fiorelladezuluaga@hotmail.es")</f>
        <v>fiorelladezuluaga@hotmail.es</v>
      </c>
      <c r="AK445" s="6" t="str">
        <f>IFERROR(__xludf.DUMMYFUNCTION("""COMPUTED_VALUE"""),"Educadora")</f>
        <v>Educadora</v>
      </c>
      <c r="AL445" s="6"/>
      <c r="AM445" s="12" t="str">
        <f>IFERROR(__xludf.DUMMYFUNCTION("""COMPUTED_VALUE"""),"1144762")</f>
        <v>1144762</v>
      </c>
      <c r="AN445" s="12" t="str">
        <f>IFERROR(__xludf.DUMMYFUNCTION("""COMPUTED_VALUE"""),"3228511860")</f>
        <v>3228511860</v>
      </c>
      <c r="AO445" s="6" t="str">
        <f>IFERROR(__xludf.DUMMYFUNCTION("""COMPUTED_VALUE"""),"Madre")</f>
        <v>Madre</v>
      </c>
      <c r="AP445" s="6" t="str">
        <f>IFERROR(__xludf.DUMMYFUNCTION("""COMPUTED_VALUE"""),"Estudiante(s): Zuluaga Cáceres")</f>
        <v>Estudiante(s): Zuluaga Cáceres</v>
      </c>
      <c r="AQ445" s="6" t="str">
        <f>IFERROR(__xludf.DUMMYFUNCTION("""COMPUTED_VALUE"""),"120014*Gi")</f>
        <v>120014*Gi</v>
      </c>
      <c r="AR445" s="6" t="str">
        <f>IFERROR(__xludf.DUMMYFUNCTION("""COMPUTED_VALUE"""),"Luis")</f>
        <v>Luis</v>
      </c>
      <c r="AS445" s="6" t="str">
        <f>IFERROR(__xludf.DUMMYFUNCTION("""COMPUTED_VALUE"""),"Arnoldo")</f>
        <v>Arnoldo</v>
      </c>
      <c r="AT445" s="6" t="str">
        <f>IFERROR(__xludf.DUMMYFUNCTION("""COMPUTED_VALUE"""),"Zuluaga Zuluaga")</f>
        <v>Zuluaga Zuluaga</v>
      </c>
      <c r="AU445" s="6" t="str">
        <f>IFERROR(__xludf.DUMMYFUNCTION("""COMPUTED_VALUE"""),"arnoldozuluaga@cerroccopane.com")</f>
        <v>arnoldozuluaga@cerroccopane.com</v>
      </c>
      <c r="AV445" s="6" t="str">
        <f>IFERROR(__xludf.DUMMYFUNCTION("""COMPUTED_VALUE"""),"Administración de Empresas")</f>
        <v>Administración de Empresas</v>
      </c>
      <c r="AW445" s="6" t="str">
        <f>IFERROR(__xludf.DUMMYFUNCTION("""COMPUTED_VALUE"""),"cerroccopane")</f>
        <v>cerroccopane</v>
      </c>
      <c r="AX445" s="12" t="str">
        <f>IFERROR(__xludf.DUMMYFUNCTION("""COMPUTED_VALUE"""),"7516544")</f>
        <v>7516544</v>
      </c>
      <c r="AY445" s="12" t="str">
        <f>IFERROR(__xludf.DUMMYFUNCTION("""COMPUTED_VALUE"""),"3138430296")</f>
        <v>3138430296</v>
      </c>
      <c r="AZ445" s="6" t="str">
        <f>IFERROR(__xludf.DUMMYFUNCTION("""COMPUTED_VALUE"""),"Padre")</f>
        <v>Padre</v>
      </c>
      <c r="BA445" s="6"/>
      <c r="BB445" s="6"/>
      <c r="BC445" s="6"/>
      <c r="BD445" s="12" t="str">
        <f>IFERROR(__xludf.DUMMYFUNCTION("""COMPUTED_VALUE"""),"zul0009")</f>
        <v>zul0009</v>
      </c>
      <c r="BE445" s="6" t="str">
        <f>IFERROR(__xludf.DUMMYFUNCTION("""COMPUTED_VALUE"""),"FALTAN FIRMAS")</f>
        <v>FALTAN FIRMAS</v>
      </c>
      <c r="BF445" s="6"/>
      <c r="BG445" s="6">
        <f>IFERROR(__xludf.DUMMYFUNCTION("""COMPUTED_VALUE"""),2034.0)</f>
        <v>2034</v>
      </c>
      <c r="BH445" s="15">
        <f>IFERROR(__xludf.DUMMYFUNCTION("""COMPUTED_VALUE"""),46212.12005787037)</f>
        <v>46212.12006</v>
      </c>
      <c r="BI445" s="6">
        <f>IFERROR(__xludf.DUMMYFUNCTION("""COMPUTED_VALUE"""),445.0)</f>
        <v>445</v>
      </c>
      <c r="BJ445" s="6"/>
      <c r="BK445" s="6"/>
      <c r="BL445" s="6" t="str">
        <f>IFERROR(__xludf.DUMMYFUNCTION("""COMPUTED_VALUE"""),"GISZUL0009")</f>
        <v>GISZUL0009</v>
      </c>
      <c r="BM445" s="6"/>
      <c r="BN445" s="6"/>
      <c r="BO445" s="6"/>
      <c r="BP445" s="6" t="str">
        <f>IFERROR(__xludf.DUMMYFUNCTION("""COMPUTED_VALUE"""),"XC_EL_Futbol_F")</f>
        <v>XC_EL_Futbol_F</v>
      </c>
      <c r="BQ445" s="6"/>
      <c r="BR445" s="6" t="str">
        <f>IFERROR(__xludf.DUMMYFUNCTION("""COMPUTED_VALUE"""),"XC_EL_DanzaModerna")</f>
        <v>XC_EL_DanzaModerna</v>
      </c>
      <c r="BS445" s="6" t="str">
        <f>IFERROR(__xludf.DUMMYFUNCTION("""COMPUTED_VALUE"""),"XC_EL_Futbol_F")</f>
        <v>XC_EL_Futbol_F</v>
      </c>
      <c r="BT445" s="6" t="str">
        <f>IFERROR(__xludf.DUMMYFUNCTION("""COMPUTED_VALUE"""),"XC_EL_Futbol_F")</f>
        <v>XC_EL_Futbol_F</v>
      </c>
      <c r="BU445" s="6" t="str">
        <f>IFERROR(__xludf.DUMMYFUNCTION("""COMPUTED_VALUE"""),"SI")</f>
        <v>SI</v>
      </c>
      <c r="BV445" s="6" t="str">
        <f>IFERROR(__xludf.DUMMYFUNCTION("""COMPUTED_VALUE"""),"danna.z2034")</f>
        <v>danna.z2034</v>
      </c>
      <c r="BW445" s="6"/>
      <c r="BX445" s="6"/>
      <c r="BY445" s="6"/>
      <c r="BZ445" s="6"/>
    </row>
    <row r="446">
      <c r="A446" s="12">
        <f>IFERROR(__xludf.DUMMYFUNCTION("""COMPUTED_VALUE"""),1.109933441E9)</f>
        <v>1109933441</v>
      </c>
      <c r="B446" s="6">
        <f>IFERROR(__xludf.DUMMYFUNCTION("""COMPUTED_VALUE"""),25.0)</f>
        <v>25</v>
      </c>
      <c r="C446" s="6" t="str">
        <f>IFERROR(__xludf.DUMMYFUNCTION("""COMPUTED_VALUE"""),"Antonia")</f>
        <v>Antonia</v>
      </c>
      <c r="D446" s="6"/>
      <c r="E446" s="6" t="str">
        <f>IFERROR(__xludf.DUMMYFUNCTION("""COMPUTED_VALUE"""),"Zuluaga López")</f>
        <v>Zuluaga López</v>
      </c>
      <c r="F446" s="6" t="str">
        <f>IFERROR(__xludf.DUMMYFUNCTION("""COMPUTED_VALUE"""),"Calle 24Nte No5 - 07 - Av Centenario")</f>
        <v>Calle 24Nte No5 - 07 - Av Centenario</v>
      </c>
      <c r="G446" s="12" t="str">
        <f>IFERROR(__xludf.DUMMYFUNCTION("""COMPUTED_VALUE"""),"2015")</f>
        <v>2015</v>
      </c>
      <c r="H446" s="6" t="str">
        <f>IFERROR(__xludf.DUMMYFUNCTION("""COMPUTED_VALUE"""),"Diciembre")</f>
        <v>Diciembre</v>
      </c>
      <c r="I446" s="12" t="str">
        <f>IFERROR(__xludf.DUMMYFUNCTION("""COMPUTED_VALUE"""),"19")</f>
        <v>19</v>
      </c>
      <c r="J446" s="6" t="str">
        <f>IFERROR(__xludf.DUMMYFUNCTION("""COMPUTED_VALUE"""),"Cali")</f>
        <v>Cali</v>
      </c>
      <c r="K446" s="6" t="str">
        <f>IFERROR(__xludf.DUMMYFUNCTION("""COMPUTED_VALUE"""),"antonia.z2034@gi.edu.co")</f>
        <v>antonia.z2034@gi.edu.co</v>
      </c>
      <c r="L446" s="6" t="str">
        <f>IFERROR(__xludf.DUMMYFUNCTION("""COMPUTED_VALUE"""),"TI")</f>
        <v>TI</v>
      </c>
      <c r="M446" s="6" t="str">
        <f>IFERROR(__xludf.DUMMYFUNCTION("""COMPUTED_VALUE"""),"Armenia")</f>
        <v>Armenia</v>
      </c>
      <c r="N446" s="6" t="str">
        <f>IFERROR(__xludf.DUMMYFUNCTION("""COMPUTED_VALUE"""),"F")</f>
        <v>F</v>
      </c>
      <c r="O446" s="6" t="str">
        <f>IFERROR(__xludf.DUMMYFUNCTION("""COMPUTED_VALUE"""),"ACTIVE")</f>
        <v>ACTIVE</v>
      </c>
      <c r="P446" s="6"/>
      <c r="Q446" s="6" t="str">
        <f>IFERROR(__xludf.DUMMYFUNCTION("""COMPUTED_VALUE"""),"Armenia")</f>
        <v>Armenia</v>
      </c>
      <c r="R446" s="12" t="str">
        <f>IFERROR(__xludf.DUMMYFUNCTION("""COMPUTED_VALUE"""),"Gi23ws5c*")</f>
        <v>Gi23ws5c*</v>
      </c>
      <c r="S446" s="6" t="str">
        <f>IFERROR(__xludf.DUMMYFUNCTION("""COMPUTED_VALUE"""),"Zuluaga López Antonia ")</f>
        <v>Zuluaga López Antonia </v>
      </c>
      <c r="T446" s="6" t="str">
        <f>IFERROR(__xludf.DUMMYFUNCTION("""COMPUTED_VALUE"""),"ARLEY ANTONIO ZULUAGA GIRALDO")</f>
        <v>ARLEY ANTONIO ZULUAGA GIRALDO</v>
      </c>
      <c r="U446" s="12" t="str">
        <f>IFERROR(__xludf.DUMMYFUNCTION("""COMPUTED_VALUE"""),"94379372")</f>
        <v>94379372</v>
      </c>
      <c r="V446" s="6">
        <f>IFERROR(__xludf.DUMMYFUNCTION("""COMPUTED_VALUE"""),3.225397384E9)</f>
        <v>3225397384</v>
      </c>
      <c r="W446" s="6" t="str">
        <f>IFERROR(__xludf.DUMMYFUNCTION("""COMPUTED_VALUE"""),"zuluaga1772@gmail.com")</f>
        <v>zuluaga1772@gmail.com</v>
      </c>
      <c r="X446" s="12" t="str">
        <f>IFERROR(__xludf.DUMMYFUNCTION("""COMPUTED_VALUE"""),"A+")</f>
        <v>A+</v>
      </c>
      <c r="Y446" s="12" t="str">
        <f>IFERROR(__xludf.DUMMYFUNCTION("""COMPUTED_VALUE"""),"5")</f>
        <v>5</v>
      </c>
      <c r="Z446" s="12">
        <f>IFERROR(__xludf.DUMMYFUNCTION("""COMPUTED_VALUE"""),120184.0)</f>
        <v>120184</v>
      </c>
      <c r="AA446" s="6" t="str">
        <f>IFERROR(__xludf.DUMMYFUNCTION("""COMPUTED_VALUE"""),"OTRA")</f>
        <v>OTRA</v>
      </c>
      <c r="AB446" s="6"/>
      <c r="AC446" s="6"/>
      <c r="AD446" s="12" t="str">
        <f>IFERROR(__xludf.DUMMYFUNCTION("""COMPUTED_VALUE"""),"5B")</f>
        <v>5B</v>
      </c>
      <c r="AE446" s="12">
        <f>IFERROR(__xludf.DUMMYFUNCTION("""COMPUTED_VALUE"""),1.345282185E9)</f>
        <v>1345282185</v>
      </c>
      <c r="AF446" s="12" t="str">
        <f>IFERROR(__xludf.DUMMYFUNCTION("""COMPUTED_VALUE"""),"0681821651")</f>
        <v>0681821651</v>
      </c>
      <c r="AG446" s="12" t="str">
        <f>IFERROR(__xludf.DUMMYFUNCTION("""COMPUTED_VALUE"""),"Doreley")</f>
        <v>Doreley</v>
      </c>
      <c r="AH446" s="6"/>
      <c r="AI446" s="6" t="str">
        <f>IFERROR(__xludf.DUMMYFUNCTION("""COMPUTED_VALUE"""),"López Toro")</f>
        <v>López Toro</v>
      </c>
      <c r="AJ446" s="6" t="str">
        <f>IFERROR(__xludf.DUMMYFUNCTION("""COMPUTED_VALUE"""),"doreley19@hotmail.com")</f>
        <v>doreley19@hotmail.com</v>
      </c>
      <c r="AK446" s="6" t="str">
        <f>IFERROR(__xludf.DUMMYFUNCTION("""COMPUTED_VALUE"""),"comerciante")</f>
        <v>comerciante</v>
      </c>
      <c r="AL446" s="6" t="str">
        <f>IFERROR(__xludf.DUMMYFUNCTION("""COMPUTED_VALUE"""),"la casa del pandebono")</f>
        <v>la casa del pandebono</v>
      </c>
      <c r="AM446" s="12" t="str">
        <f>IFERROR(__xludf.DUMMYFUNCTION("""COMPUTED_VALUE"""),"29670680")</f>
        <v>29670680</v>
      </c>
      <c r="AN446" s="12" t="str">
        <f>IFERROR(__xludf.DUMMYFUNCTION("""COMPUTED_VALUE"""),"3218007466")</f>
        <v>3218007466</v>
      </c>
      <c r="AO446" s="6" t="str">
        <f>IFERROR(__xludf.DUMMYFUNCTION("""COMPUTED_VALUE"""),"Madre")</f>
        <v>Madre</v>
      </c>
      <c r="AP446" s="6" t="str">
        <f>IFERROR(__xludf.DUMMYFUNCTION("""COMPUTED_VALUE"""),"Estudiante(s): Zuluaga López")</f>
        <v>Estudiante(s): Zuluaga López</v>
      </c>
      <c r="AQ446" s="6" t="str">
        <f>IFERROR(__xludf.DUMMYFUNCTION("""COMPUTED_VALUE"""),"120099*Gi")</f>
        <v>120099*Gi</v>
      </c>
      <c r="AR446" s="6" t="str">
        <f>IFERROR(__xludf.DUMMYFUNCTION("""COMPUTED_VALUE"""),"Arley")</f>
        <v>Arley</v>
      </c>
      <c r="AS446" s="6" t="str">
        <f>IFERROR(__xludf.DUMMYFUNCTION("""COMPUTED_VALUE"""),"Antonio")</f>
        <v>Antonio</v>
      </c>
      <c r="AT446" s="6" t="str">
        <f>IFERROR(__xludf.DUMMYFUNCTION("""COMPUTED_VALUE"""),"Zuluaga Giraldo")</f>
        <v>Zuluaga Giraldo</v>
      </c>
      <c r="AU446" s="6" t="str">
        <f>IFERROR(__xludf.DUMMYFUNCTION("""COMPUTED_VALUE"""),"zuluaga1772@gmail.com")</f>
        <v>zuluaga1772@gmail.com</v>
      </c>
      <c r="AV446" s="6" t="str">
        <f>IFERROR(__xludf.DUMMYFUNCTION("""COMPUTED_VALUE"""),"comerciante")</f>
        <v>comerciante</v>
      </c>
      <c r="AW446" s="6" t="str">
        <f>IFERROR(__xludf.DUMMYFUNCTION("""COMPUTED_VALUE"""),"panaderia peter pan san jose")</f>
        <v>panaderia peter pan san jose</v>
      </c>
      <c r="AX446" s="12" t="str">
        <f>IFERROR(__xludf.DUMMYFUNCTION("""COMPUTED_VALUE"""),"94379372")</f>
        <v>94379372</v>
      </c>
      <c r="AY446" s="12" t="str">
        <f>IFERROR(__xludf.DUMMYFUNCTION("""COMPUTED_VALUE"""),"3225397384")</f>
        <v>3225397384</v>
      </c>
      <c r="AZ446" s="6" t="str">
        <f>IFERROR(__xludf.DUMMYFUNCTION("""COMPUTED_VALUE"""),"Padre")</f>
        <v>Padre</v>
      </c>
      <c r="BA446" s="6"/>
      <c r="BB446" s="6"/>
      <c r="BC446" s="6"/>
      <c r="BD446" s="12" t="str">
        <f>IFERROR(__xludf.DUMMYFUNCTION("""COMPUTED_VALUE"""),"zul0001")</f>
        <v>zul0001</v>
      </c>
      <c r="BE446" s="6"/>
      <c r="BF446" s="6"/>
      <c r="BG446" s="6">
        <f>IFERROR(__xludf.DUMMYFUNCTION("""COMPUTED_VALUE"""),2034.0)</f>
        <v>2034</v>
      </c>
      <c r="BH446" s="15">
        <f>IFERROR(__xludf.DUMMYFUNCTION("""COMPUTED_VALUE"""),46205.52488425926)</f>
        <v>46205.52488</v>
      </c>
      <c r="BI446" s="6">
        <f>IFERROR(__xludf.DUMMYFUNCTION("""COMPUTED_VALUE"""),446.0)</f>
        <v>446</v>
      </c>
      <c r="BJ446" s="6"/>
      <c r="BK446" s="6"/>
      <c r="BL446" s="6" t="str">
        <f>IFERROR(__xludf.DUMMYFUNCTION("""COMPUTED_VALUE"""),"GISZUL0001")</f>
        <v>GISZUL0001</v>
      </c>
      <c r="BM446" s="6"/>
      <c r="BN446" s="6"/>
      <c r="BO446" s="6"/>
      <c r="BP446" s="6" t="str">
        <f>IFERROR(__xludf.DUMMYFUNCTION("""COMPUTED_VALUE"""),"XC_45_Voleibol")</f>
        <v>XC_45_Voleibol</v>
      </c>
      <c r="BQ446" s="6"/>
      <c r="BR446" s="6" t="str">
        <f>IFERROR(__xludf.DUMMYFUNCTION("""COMPUTED_VALUE"""),"XC_EL_DanzaModerna")</f>
        <v>XC_EL_DanzaModerna</v>
      </c>
      <c r="BS446" s="6" t="str">
        <f>IFERROR(__xludf.DUMMYFUNCTION("""COMPUTED_VALUE"""),"XC_45_Voleibol")</f>
        <v>XC_45_Voleibol</v>
      </c>
      <c r="BT446" s="6" t="str">
        <f>IFERROR(__xludf.DUMMYFUNCTION("""COMPUTED_VALUE"""),"XC_45_Voleibol")</f>
        <v>XC_45_Voleibol</v>
      </c>
      <c r="BU446" s="6" t="str">
        <f>IFERROR(__xludf.DUMMYFUNCTION("""COMPUTED_VALUE"""),"SI")</f>
        <v>SI</v>
      </c>
      <c r="BV446" s="6" t="str">
        <f>IFERROR(__xludf.DUMMYFUNCTION("""COMPUTED_VALUE"""),"antonia.z2034")</f>
        <v>antonia.z2034</v>
      </c>
      <c r="BW446" s="6"/>
      <c r="BX446" s="6"/>
      <c r="BY446" s="6"/>
      <c r="B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 t="str">
        <f>IFERROR(__xludf.DUMMYFUNCTION("""COMPUTED_VALUE"""),"Madre")</f>
        <v>Madre</v>
      </c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 t="str">
        <f>IFERROR(__xludf.DUMMYFUNCTION("""COMPUTED_VALUE"""),"Padre")</f>
        <v>Padre</v>
      </c>
      <c r="BA447" s="6"/>
      <c r="BB447" s="6"/>
      <c r="BC447" s="6"/>
      <c r="BD447" s="6"/>
      <c r="BE447" s="6"/>
      <c r="BF447" s="6"/>
      <c r="BG447" s="6"/>
      <c r="BH447" s="6"/>
      <c r="BI447" s="6">
        <f>IFERROR(__xludf.DUMMYFUNCTION("""COMPUTED_VALUE"""),447.0)</f>
        <v>447</v>
      </c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  <c r="BU447" s="6"/>
      <c r="BV447" s="6"/>
      <c r="BW447" s="6"/>
      <c r="BX447" s="6"/>
      <c r="BY447" s="6"/>
      <c r="BZ447" s="6"/>
    </row>
    <row r="448">
      <c r="A448" s="12">
        <f>IFERROR(__xludf.DUMMYFUNCTION("""COMPUTED_VALUE"""),1.020319411E9)</f>
        <v>1020319411</v>
      </c>
      <c r="B448" s="6">
        <f>IFERROR(__xludf.DUMMYFUNCTION("""COMPUTED_VALUE"""),1.0)</f>
        <v>1</v>
      </c>
      <c r="C448" s="6" t="str">
        <f>IFERROR(__xludf.DUMMYFUNCTION("""COMPUTED_VALUE"""),"Juan")</f>
        <v>Juan</v>
      </c>
      <c r="D448" s="6" t="str">
        <f>IFERROR(__xludf.DUMMYFUNCTION("""COMPUTED_VALUE"""),"Martín")</f>
        <v>Martín</v>
      </c>
      <c r="E448" s="6" t="str">
        <f>IFERROR(__xludf.DUMMYFUNCTION("""COMPUTED_VALUE"""),"Acosta Berrío")</f>
        <v>Acosta Berrío</v>
      </c>
      <c r="F448" s="6" t="str">
        <f>IFERROR(__xludf.DUMMYFUNCTION("""COMPUTED_VALUE"""),"Bosque Residencial La Pradera Casa 12 - Cra 6 No50Nte - 1 Av Centenario")</f>
        <v>Bosque Residencial La Pradera Casa 12 - Cra 6 No50Nte - 1 Av Centenario</v>
      </c>
      <c r="G448" s="12" t="str">
        <f>IFERROR(__xludf.DUMMYFUNCTION("""COMPUTED_VALUE"""),"2014")</f>
        <v>2014</v>
      </c>
      <c r="H448" s="6" t="str">
        <f>IFERROR(__xludf.DUMMYFUNCTION("""COMPUTED_VALUE"""),"Noviembre")</f>
        <v>Noviembre</v>
      </c>
      <c r="I448" s="12" t="str">
        <f>IFERROR(__xludf.DUMMYFUNCTION("""COMPUTED_VALUE"""),"24")</f>
        <v>24</v>
      </c>
      <c r="J448" s="6" t="str">
        <f>IFERROR(__xludf.DUMMYFUNCTION("""COMPUTED_VALUE"""),"Medellín")</f>
        <v>Medellín</v>
      </c>
      <c r="K448" s="6" t="str">
        <f>IFERROR(__xludf.DUMMYFUNCTION("""COMPUTED_VALUE"""),"juanm.a2033@gi.edu.co")</f>
        <v>juanm.a2033@gi.edu.co</v>
      </c>
      <c r="L448" s="6" t="str">
        <f>IFERROR(__xludf.DUMMYFUNCTION("""COMPUTED_VALUE"""),"TI")</f>
        <v>TI</v>
      </c>
      <c r="M448" s="6" t="str">
        <f>IFERROR(__xludf.DUMMYFUNCTION("""COMPUTED_VALUE"""),"Armenia")</f>
        <v>Armenia</v>
      </c>
      <c r="N448" s="6" t="str">
        <f>IFERROR(__xludf.DUMMYFUNCTION("""COMPUTED_VALUE"""),"M")</f>
        <v>M</v>
      </c>
      <c r="O448" s="6" t="str">
        <f>IFERROR(__xludf.DUMMYFUNCTION("""COMPUTED_VALUE"""),"ACTIVE")</f>
        <v>ACTIVE</v>
      </c>
      <c r="P448" s="6"/>
      <c r="Q448" s="6" t="str">
        <f>IFERROR(__xludf.DUMMYFUNCTION("""COMPUTED_VALUE"""),"Armenia")</f>
        <v>Armenia</v>
      </c>
      <c r="R448" s="12" t="str">
        <f>IFERROR(__xludf.DUMMYFUNCTION("""COMPUTED_VALUE"""),"Gi7b6v5f2x*")</f>
        <v>Gi7b6v5f2x*</v>
      </c>
      <c r="S448" s="6" t="str">
        <f>IFERROR(__xludf.DUMMYFUNCTION("""COMPUTED_VALUE"""),"Acosta Berrío Juan Martín")</f>
        <v>Acosta Berrío Juan Martín</v>
      </c>
      <c r="T448" s="6" t="str">
        <f>IFERROR(__xludf.DUMMYFUNCTION("""COMPUTED_VALUE"""),"LILIANA MARCELA BERRÍO ALZATE")</f>
        <v>LILIANA MARCELA BERRÍO ALZATE</v>
      </c>
      <c r="U448" s="12" t="str">
        <f>IFERROR(__xludf.DUMMYFUNCTION("""COMPUTED_VALUE"""),"41956187")</f>
        <v>41956187</v>
      </c>
      <c r="V448" s="6">
        <f>IFERROR(__xludf.DUMMYFUNCTION("""COMPUTED_VALUE"""),3.122863398E9)</f>
        <v>3122863398</v>
      </c>
      <c r="W448" s="6" t="str">
        <f>IFERROR(__xludf.DUMMYFUNCTION("""COMPUTED_VALUE"""),"lmberrio@icloud.com")</f>
        <v>lmberrio@icloud.com</v>
      </c>
      <c r="X448" s="12" t="str">
        <f>IFERROR(__xludf.DUMMYFUNCTION("""COMPUTED_VALUE"""),"B+")</f>
        <v>B+</v>
      </c>
      <c r="Y448" s="12" t="str">
        <f>IFERROR(__xludf.DUMMYFUNCTION("""COMPUTED_VALUE"""),"6")</f>
        <v>6</v>
      </c>
      <c r="Z448" s="12">
        <f>IFERROR(__xludf.DUMMYFUNCTION("""COMPUTED_VALUE"""),103601.0)</f>
        <v>103601</v>
      </c>
      <c r="AA448" s="6" t="str">
        <f>IFERROR(__xludf.DUMMYFUNCTION("""COMPUTED_VALUE"""),"SURA")</f>
        <v>SURA</v>
      </c>
      <c r="AB448" s="6" t="str">
        <f>IFERROR(__xludf.DUMMYFUNCTION("""COMPUTED_VALUE"""),"EMI")</f>
        <v>EMI</v>
      </c>
      <c r="AC448" s="6"/>
      <c r="AD448" s="12" t="str">
        <f>IFERROR(__xludf.DUMMYFUNCTION("""COMPUTED_VALUE"""),"6A")</f>
        <v>6A</v>
      </c>
      <c r="AE448" s="12">
        <f>IFERROR(__xludf.DUMMYFUNCTION("""COMPUTED_VALUE"""),1.345281767E9)</f>
        <v>1345281767</v>
      </c>
      <c r="AF448" s="12" t="str">
        <f>IFERROR(__xludf.DUMMYFUNCTION("""COMPUTED_VALUE"""),"0686619507")</f>
        <v>0686619507</v>
      </c>
      <c r="AG448" s="12" t="str">
        <f>IFERROR(__xludf.DUMMYFUNCTION("""COMPUTED_VALUE"""),"Liliana")</f>
        <v>Liliana</v>
      </c>
      <c r="AH448" s="12" t="str">
        <f>IFERROR(__xludf.DUMMYFUNCTION("""COMPUTED_VALUE"""),"Marcela")</f>
        <v>Marcela</v>
      </c>
      <c r="AI448" s="6" t="str">
        <f>IFERROR(__xludf.DUMMYFUNCTION("""COMPUTED_VALUE"""),"Berrío Alzate")</f>
        <v>Berrío Alzate</v>
      </c>
      <c r="AJ448" s="6" t="str">
        <f>IFERROR(__xludf.DUMMYFUNCTION("""COMPUTED_VALUE"""),"lmberrio@icloud.com")</f>
        <v>lmberrio@icloud.com</v>
      </c>
      <c r="AK448" s="6" t="str">
        <f>IFERROR(__xludf.DUMMYFUNCTION("""COMPUTED_VALUE"""),"Contaduria Publica y Finanzas Int")</f>
        <v>Contaduria Publica y Finanzas Int</v>
      </c>
      <c r="AL448" s="6" t="str">
        <f>IFERROR(__xludf.DUMMYFUNCTION("""COMPUTED_VALUE"""),"Berhlan de Colombia")</f>
        <v>Berhlan de Colombia</v>
      </c>
      <c r="AM448" s="12" t="str">
        <f>IFERROR(__xludf.DUMMYFUNCTION("""COMPUTED_VALUE"""),"41956187")</f>
        <v>41956187</v>
      </c>
      <c r="AN448" s="12" t="str">
        <f>IFERROR(__xludf.DUMMYFUNCTION("""COMPUTED_VALUE"""),"3122863398")</f>
        <v>3122863398</v>
      </c>
      <c r="AO448" s="6" t="str">
        <f>IFERROR(__xludf.DUMMYFUNCTION("""COMPUTED_VALUE"""),"Madre")</f>
        <v>Madre</v>
      </c>
      <c r="AP448" s="6" t="str">
        <f>IFERROR(__xludf.DUMMYFUNCTION("""COMPUTED_VALUE"""),"Estudiante(s): Acosta Berrio")</f>
        <v>Estudiante(s): Acosta Berrio</v>
      </c>
      <c r="AQ448" s="6" t="str">
        <f>IFERROR(__xludf.DUMMYFUNCTION("""COMPUTED_VALUE"""),"103342*Gi")</f>
        <v>103342*Gi</v>
      </c>
      <c r="AR448" s="6" t="str">
        <f>IFERROR(__xludf.DUMMYFUNCTION("""COMPUTED_VALUE"""),"Andrés")</f>
        <v>Andrés</v>
      </c>
      <c r="AS448" s="6" t="str">
        <f>IFERROR(__xludf.DUMMYFUNCTION("""COMPUTED_VALUE"""),"Felipe")</f>
        <v>Felipe</v>
      </c>
      <c r="AT448" s="6" t="str">
        <f>IFERROR(__xludf.DUMMYFUNCTION("""COMPUTED_VALUE"""),"Acosta Mejía")</f>
        <v>Acosta Mejía</v>
      </c>
      <c r="AU448" s="6" t="str">
        <f>IFERROR(__xludf.DUMMYFUNCTION("""COMPUTED_VALUE"""),"andres.acosta.mejia@icloud.com")</f>
        <v>andres.acosta.mejia@icloud.com</v>
      </c>
      <c r="AV448" s="6" t="str">
        <f>IFERROR(__xludf.DUMMYFUNCTION("""COMPUTED_VALUE"""),"Piloto")</f>
        <v>Piloto</v>
      </c>
      <c r="AW448" s="6" t="str">
        <f>IFERROR(__xludf.DUMMYFUNCTION("""COMPUTED_VALUE"""),"Berhlan de Colombia")</f>
        <v>Berhlan de Colombia</v>
      </c>
      <c r="AX448" s="12" t="str">
        <f>IFERROR(__xludf.DUMMYFUNCTION("""COMPUTED_VALUE"""),"8162034")</f>
        <v>8162034</v>
      </c>
      <c r="AY448" s="12" t="str">
        <f>IFERROR(__xludf.DUMMYFUNCTION("""COMPUTED_VALUE"""),"3122863395")</f>
        <v>3122863395</v>
      </c>
      <c r="AZ448" s="6" t="str">
        <f>IFERROR(__xludf.DUMMYFUNCTION("""COMPUTED_VALUE"""),"Padre")</f>
        <v>Padre</v>
      </c>
      <c r="BA448" s="6"/>
      <c r="BB448" s="6"/>
      <c r="BC448" s="6"/>
      <c r="BD448" s="12" t="str">
        <f>IFERROR(__xludf.DUMMYFUNCTION("""COMPUTED_VALUE"""),"aco0007")</f>
        <v>aco0007</v>
      </c>
      <c r="BE448" s="6"/>
      <c r="BF448" s="6"/>
      <c r="BG448" s="6">
        <f>IFERROR(__xludf.DUMMYFUNCTION("""COMPUTED_VALUE"""),2033.0)</f>
        <v>2033</v>
      </c>
      <c r="BH448" s="15">
        <f>IFERROR(__xludf.DUMMYFUNCTION("""COMPUTED_VALUE"""),46212.80809027778)</f>
        <v>46212.80809</v>
      </c>
      <c r="BI448" s="6">
        <f>IFERROR(__xludf.DUMMYFUNCTION("""COMPUTED_VALUE"""),448.0)</f>
        <v>448</v>
      </c>
      <c r="BJ448" s="6"/>
      <c r="BK448" s="6"/>
      <c r="BL448" s="6" t="str">
        <f>IFERROR(__xludf.DUMMYFUNCTION("""COMPUTED_VALUE"""),"GISACO0007")</f>
        <v>GISACO0007</v>
      </c>
      <c r="BM448" s="6"/>
      <c r="BN448" s="6"/>
      <c r="BO448" s="6"/>
      <c r="BP448" s="6"/>
      <c r="BQ448" s="6"/>
      <c r="BR448" s="6"/>
      <c r="BS448" s="6"/>
      <c r="BT448" s="6"/>
      <c r="BU448" s="6" t="str">
        <f>IFERROR(__xludf.DUMMYFUNCTION("""COMPUTED_VALUE"""),"SI")</f>
        <v>SI</v>
      </c>
      <c r="BV448" s="6" t="str">
        <f>IFERROR(__xludf.DUMMYFUNCTION("""COMPUTED_VALUE"""),"juanm.a2033")</f>
        <v>juanm.a2033</v>
      </c>
      <c r="BW448" s="6"/>
      <c r="BX448" s="6"/>
      <c r="BY448" s="6"/>
      <c r="BZ448" s="6"/>
    </row>
    <row r="449">
      <c r="A449" s="12">
        <f>IFERROR(__xludf.DUMMYFUNCTION("""COMPUTED_VALUE"""),1.013023037E9)</f>
        <v>1013023037</v>
      </c>
      <c r="B449" s="6">
        <f>IFERROR(__xludf.DUMMYFUNCTION("""COMPUTED_VALUE"""),2.0)</f>
        <v>2</v>
      </c>
      <c r="C449" s="6" t="str">
        <f>IFERROR(__xludf.DUMMYFUNCTION("""COMPUTED_VALUE"""),"Martín")</f>
        <v>Martín</v>
      </c>
      <c r="D449" s="6" t="str">
        <f>IFERROR(__xludf.DUMMYFUNCTION("""COMPUTED_VALUE"""),"Javier")</f>
        <v>Javier</v>
      </c>
      <c r="E449" s="6" t="str">
        <f>IFERROR(__xludf.DUMMYFUNCTION("""COMPUTED_VALUE"""),"Albarracín Gutiérrez")</f>
        <v>Albarracín Gutiérrez</v>
      </c>
      <c r="F449" s="6" t="str">
        <f>IFERROR(__xludf.DUMMYFUNCTION("""COMPUTED_VALUE"""),"Condominio Entre Maderos Casa 34 - Vereda El Congal Km 1.2 Via Circasia - Armenia")</f>
        <v>Condominio Entre Maderos Casa 34 - Vereda El Congal Km 1.2 Via Circasia - Armenia</v>
      </c>
      <c r="G449" s="12" t="str">
        <f>IFERROR(__xludf.DUMMYFUNCTION("""COMPUTED_VALUE"""),"2015")</f>
        <v>2015</v>
      </c>
      <c r="H449" s="6" t="str">
        <f>IFERROR(__xludf.DUMMYFUNCTION("""COMPUTED_VALUE"""),"Abril")</f>
        <v>Abril</v>
      </c>
      <c r="I449" s="12" t="str">
        <f>IFERROR(__xludf.DUMMYFUNCTION("""COMPUTED_VALUE"""),"13")</f>
        <v>13</v>
      </c>
      <c r="J449" s="6" t="str">
        <f>IFERROR(__xludf.DUMMYFUNCTION("""COMPUTED_VALUE"""),"Bogotá D.C.")</f>
        <v>Bogotá D.C.</v>
      </c>
      <c r="K449" s="6" t="str">
        <f>IFERROR(__xludf.DUMMYFUNCTION("""COMPUTED_VALUE"""),"martinj.a2033@gi.edu.co")</f>
        <v>martinj.a2033@gi.edu.co</v>
      </c>
      <c r="L449" s="6" t="str">
        <f>IFERROR(__xludf.DUMMYFUNCTION("""COMPUTED_VALUE"""),"RC")</f>
        <v>RC</v>
      </c>
      <c r="M449" s="6" t="str">
        <f>IFERROR(__xludf.DUMMYFUNCTION("""COMPUTED_VALUE"""),"Bogotá D.C.")</f>
        <v>Bogotá D.C.</v>
      </c>
      <c r="N449" s="6" t="str">
        <f>IFERROR(__xludf.DUMMYFUNCTION("""COMPUTED_VALUE"""),"M")</f>
        <v>M</v>
      </c>
      <c r="O449" s="6" t="str">
        <f>IFERROR(__xludf.DUMMYFUNCTION("""COMPUTED_VALUE"""),"INACTIVE")</f>
        <v>INACTIVE</v>
      </c>
      <c r="P449" s="6"/>
      <c r="Q449" s="6" t="str">
        <f>IFERROR(__xludf.DUMMYFUNCTION("""COMPUTED_VALUE"""),"Circasia")</f>
        <v>Circasia</v>
      </c>
      <c r="R449" s="12" t="str">
        <f>IFERROR(__xludf.DUMMYFUNCTION("""COMPUTED_VALUE"""),"Gid8h3d*")</f>
        <v>Gid8h3d*</v>
      </c>
      <c r="S449" s="6" t="str">
        <f>IFERROR(__xludf.DUMMYFUNCTION("""COMPUTED_VALUE"""),"Albarracín Gutiérrez Martín Javier")</f>
        <v>Albarracín Gutiérrez Martín Javier</v>
      </c>
      <c r="T449" s="6" t="str">
        <f>IFERROR(__xludf.DUMMYFUNCTION("""COMPUTED_VALUE"""),"JAVIER MAURICIO ALBARRACIN ALMANZA")</f>
        <v>JAVIER MAURICIO ALBARRACIN ALMANZA</v>
      </c>
      <c r="U449" s="12" t="str">
        <f>IFERROR(__xludf.DUMMYFUNCTION("""COMPUTED_VALUE"""),"80162615")</f>
        <v>80162615</v>
      </c>
      <c r="V449" s="6">
        <f>IFERROR(__xludf.DUMMYFUNCTION("""COMPUTED_VALUE"""),3.164732883E9)</f>
        <v>3164732883</v>
      </c>
      <c r="W449" s="6" t="str">
        <f>IFERROR(__xludf.DUMMYFUNCTION("""COMPUTED_VALUE"""),"eldepublicidad@gmail.com")</f>
        <v>eldepublicidad@gmail.com</v>
      </c>
      <c r="X449" s="12" t="str">
        <f>IFERROR(__xludf.DUMMYFUNCTION("""COMPUTED_VALUE"""),"O+")</f>
        <v>O+</v>
      </c>
      <c r="Y449" s="12" t="str">
        <f>IFERROR(__xludf.DUMMYFUNCTION("""COMPUTED_VALUE"""),"6")</f>
        <v>6</v>
      </c>
      <c r="Z449" s="12">
        <f>IFERROR(__xludf.DUMMYFUNCTION("""COMPUTED_VALUE"""),120342.0)</f>
        <v>120342</v>
      </c>
      <c r="AA449" s="6" t="str">
        <f>IFERROR(__xludf.DUMMYFUNCTION("""COMPUTED_VALUE"""),"SANITAS")</f>
        <v>SANITAS</v>
      </c>
      <c r="AB449" s="6"/>
      <c r="AC449" s="6"/>
      <c r="AD449" s="12" t="str">
        <f>IFERROR(__xludf.DUMMYFUNCTION("""COMPUTED_VALUE"""),"6A")</f>
        <v>6A</v>
      </c>
      <c r="AE449" s="12" t="str">
        <f>IFERROR(__xludf.DUMMYFUNCTION("""COMPUTED_VALUE"""),"1345282323")</f>
        <v>1345282323</v>
      </c>
      <c r="AF449" s="12" t="str">
        <f>IFERROR(__xludf.DUMMYFUNCTION("""COMPUTED_VALUE"""),"0681490371")</f>
        <v>0681490371</v>
      </c>
      <c r="AG449" s="12" t="str">
        <f>IFERROR(__xludf.DUMMYFUNCTION("""COMPUTED_VALUE"""),"Ginna")</f>
        <v>Ginna</v>
      </c>
      <c r="AH449" s="12" t="str">
        <f>IFERROR(__xludf.DUMMYFUNCTION("""COMPUTED_VALUE"""),"Paola")</f>
        <v>Paola</v>
      </c>
      <c r="AI449" s="6" t="str">
        <f>IFERROR(__xludf.DUMMYFUNCTION("""COMPUTED_VALUE"""),"Gutiérrez Bustos")</f>
        <v>Gutiérrez Bustos</v>
      </c>
      <c r="AJ449" s="6" t="str">
        <f>IFERROR(__xludf.DUMMYFUNCTION("""COMPUTED_VALUE"""),"ginnapaolag@gmail.com")</f>
        <v>ginnapaolag@gmail.com</v>
      </c>
      <c r="AK449" s="6" t="str">
        <f>IFERROR(__xludf.DUMMYFUNCTION("""COMPUTED_VALUE"""),"PUBLICISTA")</f>
        <v>PUBLICISTA</v>
      </c>
      <c r="AL449" s="6"/>
      <c r="AM449" s="12" t="str">
        <f>IFERROR(__xludf.DUMMYFUNCTION("""COMPUTED_VALUE"""),"1015996336")</f>
        <v>1015996336</v>
      </c>
      <c r="AN449" s="12" t="str">
        <f>IFERROR(__xludf.DUMMYFUNCTION("""COMPUTED_VALUE"""),"3144858066")</f>
        <v>3144858066</v>
      </c>
      <c r="AO449" s="6" t="str">
        <f>IFERROR(__xludf.DUMMYFUNCTION("""COMPUTED_VALUE"""),"Madre")</f>
        <v>Madre</v>
      </c>
      <c r="AP449" s="6" t="str">
        <f>IFERROR(__xludf.DUMMYFUNCTION("""COMPUTED_VALUE"""),"Estudiante(s): Albarracín Gutiérrez")</f>
        <v>Estudiante(s): Albarracín Gutiérrez</v>
      </c>
      <c r="AQ449" s="6" t="str">
        <f>IFERROR(__xludf.DUMMYFUNCTION("""COMPUTED_VALUE"""),"134589*Gi")</f>
        <v>134589*Gi</v>
      </c>
      <c r="AR449" s="6" t="str">
        <f>IFERROR(__xludf.DUMMYFUNCTION("""COMPUTED_VALUE"""),"Javier")</f>
        <v>Javier</v>
      </c>
      <c r="AS449" s="6" t="str">
        <f>IFERROR(__xludf.DUMMYFUNCTION("""COMPUTED_VALUE"""),"Mauricio")</f>
        <v>Mauricio</v>
      </c>
      <c r="AT449" s="6" t="str">
        <f>IFERROR(__xludf.DUMMYFUNCTION("""COMPUTED_VALUE"""),"Albarracín Almanza")</f>
        <v>Albarracín Almanza</v>
      </c>
      <c r="AU449" s="6" t="str">
        <f>IFERROR(__xludf.DUMMYFUNCTION("""COMPUTED_VALUE"""),"eldepublicidad@gmail.com")</f>
        <v>eldepublicidad@gmail.com</v>
      </c>
      <c r="AV449" s="6" t="str">
        <f>IFERROR(__xludf.DUMMYFUNCTION("""COMPUTED_VALUE"""),"INGENIERO DE SISTEMAS")</f>
        <v>INGENIERO DE SISTEMAS</v>
      </c>
      <c r="AW449" s="6" t="str">
        <f>IFERROR(__xludf.DUMMYFUNCTION("""COMPUTED_VALUE"""),"NTTDATA")</f>
        <v>NTTDATA</v>
      </c>
      <c r="AX449" s="12" t="str">
        <f>IFERROR(__xludf.DUMMYFUNCTION("""COMPUTED_VALUE"""),"80162615")</f>
        <v>80162615</v>
      </c>
      <c r="AY449" s="12" t="str">
        <f>IFERROR(__xludf.DUMMYFUNCTION("""COMPUTED_VALUE"""),"3164732883")</f>
        <v>3164732883</v>
      </c>
      <c r="AZ449" s="6" t="str">
        <f>IFERROR(__xludf.DUMMYFUNCTION("""COMPUTED_VALUE"""),"Padre")</f>
        <v>Padre</v>
      </c>
      <c r="BA449" s="6"/>
      <c r="BB449" s="6"/>
      <c r="BC449" s="6"/>
      <c r="BD449" s="12" t="str">
        <f>IFERROR(__xludf.DUMMYFUNCTION("""COMPUTED_VALUE"""),"alb0002")</f>
        <v>alb0002</v>
      </c>
      <c r="BE449" s="6" t="str">
        <f>IFERROR(__xludf.DUMMYFUNCTION("""COMPUTED_VALUE"""),"FALTAN FIRMAS")</f>
        <v>FALTAN FIRMAS</v>
      </c>
      <c r="BF449" s="6"/>
      <c r="BG449" s="6">
        <f>IFERROR(__xludf.DUMMYFUNCTION("""COMPUTED_VALUE"""),2033.0)</f>
        <v>2033</v>
      </c>
      <c r="BH449" s="15">
        <f>IFERROR(__xludf.DUMMYFUNCTION("""COMPUTED_VALUE"""),46238.484351851854)</f>
        <v>46238.48435</v>
      </c>
      <c r="BI449" s="6">
        <f>IFERROR(__xludf.DUMMYFUNCTION("""COMPUTED_VALUE"""),449.0)</f>
        <v>449</v>
      </c>
      <c r="BJ449" s="6"/>
      <c r="BK449" s="6"/>
      <c r="BL449" s="6" t="str">
        <f>IFERROR(__xludf.DUMMYFUNCTION("""COMPUTED_VALUE"""),"GISALB0002")</f>
        <v>GISALB0002</v>
      </c>
      <c r="BM449" s="6"/>
      <c r="BN449" s="6"/>
      <c r="BO449" s="6" t="str">
        <f>IFERROR(__xludf.DUMMYFUNCTION("""COMPUTED_VALUE"""),"XC_MS_Futbol_M")</f>
        <v>XC_MS_Futbol_M</v>
      </c>
      <c r="BP449" s="6"/>
      <c r="BQ449" s="6" t="str">
        <f>IFERROR(__xludf.DUMMYFUNCTION("""COMPUTED_VALUE"""),"XC_MS_Futbol_M")</f>
        <v>XC_MS_Futbol_M</v>
      </c>
      <c r="BR449" s="6" t="str">
        <f>IFERROR(__xludf.DUMMYFUNCTION("""COMPUTED_VALUE"""),"XC_MS_Futbol_M")</f>
        <v>XC_MS_Futbol_M</v>
      </c>
      <c r="BS449" s="6"/>
      <c r="BT449" s="6" t="str">
        <f>IFERROR(__xludf.DUMMYFUNCTION("""COMPUTED_VALUE"""),"XC_MS_Futbol_M")</f>
        <v>XC_MS_Futbol_M</v>
      </c>
      <c r="BU449" s="6" t="str">
        <f>IFERROR(__xludf.DUMMYFUNCTION("""COMPUTED_VALUE"""),"SI")</f>
        <v>SI</v>
      </c>
      <c r="BV449" s="6" t="str">
        <f>IFERROR(__xludf.DUMMYFUNCTION("""COMPUTED_VALUE"""),"martinj.a2033")</f>
        <v>martinj.a2033</v>
      </c>
      <c r="BW449" s="6"/>
      <c r="BX449" s="6"/>
      <c r="BY449" s="6"/>
      <c r="BZ449" s="6"/>
    </row>
    <row r="450">
      <c r="A450" s="12">
        <f>IFERROR(__xludf.DUMMYFUNCTION("""COMPUTED_VALUE"""),1.092858514E9)</f>
        <v>1092858514</v>
      </c>
      <c r="B450" s="6">
        <f>IFERROR(__xludf.DUMMYFUNCTION("""COMPUTED_VALUE"""),3.0)</f>
        <v>3</v>
      </c>
      <c r="C450" s="6" t="str">
        <f>IFERROR(__xludf.DUMMYFUNCTION("""COMPUTED_VALUE"""),"Manuela")</f>
        <v>Manuela</v>
      </c>
      <c r="D450" s="6"/>
      <c r="E450" s="6" t="str">
        <f>IFERROR(__xludf.DUMMYFUNCTION("""COMPUTED_VALUE"""),"Arias Guerrero")</f>
        <v>Arias Guerrero</v>
      </c>
      <c r="F450" s="6" t="str">
        <f>IFERROR(__xludf.DUMMYFUNCTION("""COMPUTED_VALUE"""),"Cra 15 15Nte - 40 Bl C Apto 202 - U del Quindio")</f>
        <v>Cra 15 15Nte - 40 Bl C Apto 202 - U del Quindio</v>
      </c>
      <c r="G450" s="12" t="str">
        <f>IFERROR(__xludf.DUMMYFUNCTION("""COMPUTED_VALUE"""),"2015")</f>
        <v>2015</v>
      </c>
      <c r="H450" s="6" t="str">
        <f>IFERROR(__xludf.DUMMYFUNCTION("""COMPUTED_VALUE"""),"Febrero")</f>
        <v>Febrero</v>
      </c>
      <c r="I450" s="12" t="str">
        <f>IFERROR(__xludf.DUMMYFUNCTION("""COMPUTED_VALUE"""),"17")</f>
        <v>17</v>
      </c>
      <c r="J450" s="6" t="str">
        <f>IFERROR(__xludf.DUMMYFUNCTION("""COMPUTED_VALUE"""),"Armenia")</f>
        <v>Armenia</v>
      </c>
      <c r="K450" s="6" t="str">
        <f>IFERROR(__xludf.DUMMYFUNCTION("""COMPUTED_VALUE"""),"manuela.a2033@gi.edu.co")</f>
        <v>manuela.a2033@gi.edu.co</v>
      </c>
      <c r="L450" s="6" t="str">
        <f>IFERROR(__xludf.DUMMYFUNCTION("""COMPUTED_VALUE"""),"TI")</f>
        <v>TI</v>
      </c>
      <c r="M450" s="6" t="str">
        <f>IFERROR(__xludf.DUMMYFUNCTION("""COMPUTED_VALUE"""),"Armenia")</f>
        <v>Armenia</v>
      </c>
      <c r="N450" s="6" t="str">
        <f>IFERROR(__xludf.DUMMYFUNCTION("""COMPUTED_VALUE"""),"F")</f>
        <v>F</v>
      </c>
      <c r="O450" s="6" t="str">
        <f>IFERROR(__xludf.DUMMYFUNCTION("""COMPUTED_VALUE"""),"ACTIVE")</f>
        <v>ACTIVE</v>
      </c>
      <c r="P450" s="6"/>
      <c r="Q450" s="6" t="str">
        <f>IFERROR(__xludf.DUMMYFUNCTION("""COMPUTED_VALUE"""),"Armenia")</f>
        <v>Armenia</v>
      </c>
      <c r="R450" s="12" t="str">
        <f>IFERROR(__xludf.DUMMYFUNCTION("""COMPUTED_VALUE"""),"Gica34ft6*")</f>
        <v>Gica34ft6*</v>
      </c>
      <c r="S450" s="6" t="str">
        <f>IFERROR(__xludf.DUMMYFUNCTION("""COMPUTED_VALUE"""),"Arias Guerrero Manuela ")</f>
        <v>Arias Guerrero Manuela </v>
      </c>
      <c r="T450" s="6" t="str">
        <f>IFERROR(__xludf.DUMMYFUNCTION("""COMPUTED_VALUE"""),"GUSTAVO ADOLFO ARIAS JIMÉNEZ")</f>
        <v>GUSTAVO ADOLFO ARIAS JIMÉNEZ</v>
      </c>
      <c r="U450" s="12" t="str">
        <f>IFERROR(__xludf.DUMMYFUNCTION("""COMPUTED_VALUE"""),"9727503")</f>
        <v>9727503</v>
      </c>
      <c r="V450" s="6">
        <f>IFERROR(__xludf.DUMMYFUNCTION("""COMPUTED_VALUE"""),3.206915551E9)</f>
        <v>3206915551</v>
      </c>
      <c r="W450" s="6" t="str">
        <f>IFERROR(__xludf.DUMMYFUNCTION("""COMPUTED_VALUE"""),"gerenciajuridica1@gmail.com")</f>
        <v>gerenciajuridica1@gmail.com</v>
      </c>
      <c r="X450" s="12" t="str">
        <f>IFERROR(__xludf.DUMMYFUNCTION("""COMPUTED_VALUE"""),"O+")</f>
        <v>O+</v>
      </c>
      <c r="Y450" s="12" t="str">
        <f>IFERROR(__xludf.DUMMYFUNCTION("""COMPUTED_VALUE"""),"6")</f>
        <v>6</v>
      </c>
      <c r="Z450" s="12">
        <f>IFERROR(__xludf.DUMMYFUNCTION("""COMPUTED_VALUE"""),103932.0)</f>
        <v>103932</v>
      </c>
      <c r="AA450" s="6" t="str">
        <f>IFERROR(__xludf.DUMMYFUNCTION("""COMPUTED_VALUE"""),"SURA")</f>
        <v>SURA</v>
      </c>
      <c r="AB450" s="6"/>
      <c r="AC450" s="6"/>
      <c r="AD450" s="12" t="str">
        <f>IFERROR(__xludf.DUMMYFUNCTION("""COMPUTED_VALUE"""),"6A")</f>
        <v>6A</v>
      </c>
      <c r="AE450" s="12">
        <f>IFERROR(__xludf.DUMMYFUNCTION("""COMPUTED_VALUE"""),1.345281977E9)</f>
        <v>1345281977</v>
      </c>
      <c r="AF450" s="12" t="str">
        <f>IFERROR(__xludf.DUMMYFUNCTION("""COMPUTED_VALUE"""),"0694580627")</f>
        <v>0694580627</v>
      </c>
      <c r="AG450" s="12" t="str">
        <f>IFERROR(__xludf.DUMMYFUNCTION("""COMPUTED_VALUE"""),"Natalia")</f>
        <v>Natalia</v>
      </c>
      <c r="AH450" s="6"/>
      <c r="AI450" s="6" t="str">
        <f>IFERROR(__xludf.DUMMYFUNCTION("""COMPUTED_VALUE"""),"Guerrero Galeano")</f>
        <v>Guerrero Galeano</v>
      </c>
      <c r="AJ450" s="6" t="str">
        <f>IFERROR(__xludf.DUMMYFUNCTION("""COMPUTED_VALUE"""),"natalia.guerrero88@gmail.com")</f>
        <v>natalia.guerrero88@gmail.com</v>
      </c>
      <c r="AK450" s="6" t="str">
        <f>IFERROR(__xludf.DUMMYFUNCTION("""COMPUTED_VALUE"""),"abogada")</f>
        <v>abogada</v>
      </c>
      <c r="AL450" s="6"/>
      <c r="AM450" s="12" t="str">
        <f>IFERROR(__xludf.DUMMYFUNCTION("""COMPUTED_VALUE"""),"1094897329")</f>
        <v>1094897329</v>
      </c>
      <c r="AN450" s="12" t="str">
        <f>IFERROR(__xludf.DUMMYFUNCTION("""COMPUTED_VALUE"""),"3012188686")</f>
        <v>3012188686</v>
      </c>
      <c r="AO450" s="6" t="str">
        <f>IFERROR(__xludf.DUMMYFUNCTION("""COMPUTED_VALUE"""),"Madre")</f>
        <v>Madre</v>
      </c>
      <c r="AP450" s="6" t="str">
        <f>IFERROR(__xludf.DUMMYFUNCTION("""COMPUTED_VALUE"""),"Estudiante(s): Arias Guerrero")</f>
        <v>Estudiante(s): Arias Guerrero</v>
      </c>
      <c r="AQ450" s="6" t="str">
        <f>IFERROR(__xludf.DUMMYFUNCTION("""COMPUTED_VALUE"""),"103932*Gi")</f>
        <v>103932*Gi</v>
      </c>
      <c r="AR450" s="6" t="str">
        <f>IFERROR(__xludf.DUMMYFUNCTION("""COMPUTED_VALUE"""),"Gustavo")</f>
        <v>Gustavo</v>
      </c>
      <c r="AS450" s="6" t="str">
        <f>IFERROR(__xludf.DUMMYFUNCTION("""COMPUTED_VALUE"""),"Adolfo")</f>
        <v>Adolfo</v>
      </c>
      <c r="AT450" s="6" t="str">
        <f>IFERROR(__xludf.DUMMYFUNCTION("""COMPUTED_VALUE"""),"Arias Jimenez")</f>
        <v>Arias Jimenez</v>
      </c>
      <c r="AU450" s="6" t="str">
        <f>IFERROR(__xludf.DUMMYFUNCTION("""COMPUTED_VALUE"""),"gerenciajuridica1@gmail.com")</f>
        <v>gerenciajuridica1@gmail.com</v>
      </c>
      <c r="AV450" s="6" t="str">
        <f>IFERROR(__xludf.DUMMYFUNCTION("""COMPUTED_VALUE"""),"ABOGADO")</f>
        <v>ABOGADO</v>
      </c>
      <c r="AW450" s="6" t="str">
        <f>IFERROR(__xludf.DUMMYFUNCTION("""COMPUTED_VALUE"""),"independiente")</f>
        <v>independiente</v>
      </c>
      <c r="AX450" s="12" t="str">
        <f>IFERROR(__xludf.DUMMYFUNCTION("""COMPUTED_VALUE"""),"9727503")</f>
        <v>9727503</v>
      </c>
      <c r="AY450" s="12" t="str">
        <f>IFERROR(__xludf.DUMMYFUNCTION("""COMPUTED_VALUE"""),"3206915551")</f>
        <v>3206915551</v>
      </c>
      <c r="AZ450" s="6" t="str">
        <f>IFERROR(__xludf.DUMMYFUNCTION("""COMPUTED_VALUE"""),"Padre")</f>
        <v>Padre</v>
      </c>
      <c r="BA450" s="6"/>
      <c r="BB450" s="6"/>
      <c r="BC450" s="6"/>
      <c r="BD450" s="12" t="str">
        <f>IFERROR(__xludf.DUMMYFUNCTION("""COMPUTED_VALUE"""),"ari0034")</f>
        <v>ari0034</v>
      </c>
      <c r="BE450" s="6"/>
      <c r="BF450" s="6"/>
      <c r="BG450" s="6">
        <f>IFERROR(__xludf.DUMMYFUNCTION("""COMPUTED_VALUE"""),2033.0)</f>
        <v>2033</v>
      </c>
      <c r="BH450" s="15">
        <f>IFERROR(__xludf.DUMMYFUNCTION("""COMPUTED_VALUE"""),46210.52465277778)</f>
        <v>46210.52465</v>
      </c>
      <c r="BI450" s="6">
        <f>IFERROR(__xludf.DUMMYFUNCTION("""COMPUTED_VALUE"""),450.0)</f>
        <v>450</v>
      </c>
      <c r="BJ450" s="6"/>
      <c r="BK450" s="6"/>
      <c r="BL450" s="6" t="str">
        <f>IFERROR(__xludf.DUMMYFUNCTION("""COMPUTED_VALUE"""),"GISARI0034")</f>
        <v>GISARI0034</v>
      </c>
      <c r="BM450" s="6"/>
      <c r="BN450" s="6"/>
      <c r="BO450" s="6" t="str">
        <f>IFERROR(__xludf.DUMMYFUNCTION("""COMPUTED_VALUE"""),"XC_MS_Voleibol_F")</f>
        <v>XC_MS_Voleibol_F</v>
      </c>
      <c r="BP450" s="6"/>
      <c r="BQ450" s="6" t="str">
        <f>IFERROR(__xludf.DUMMYFUNCTION("""COMPUTED_VALUE"""),"XC_MS_Voleibol_F")</f>
        <v>XC_MS_Voleibol_F</v>
      </c>
      <c r="BR450" s="6" t="str">
        <f>IFERROR(__xludf.DUMMYFUNCTION("""COMPUTED_VALUE"""),"XC_MS_Voleibol_F")</f>
        <v>XC_MS_Voleibol_F</v>
      </c>
      <c r="BS450" s="6"/>
      <c r="BT450" s="6" t="str">
        <f>IFERROR(__xludf.DUMMYFUNCTION("""COMPUTED_VALUE"""),"XC_MS_Voleibol_F")</f>
        <v>XC_MS_Voleibol_F</v>
      </c>
      <c r="BU450" s="6" t="str">
        <f>IFERROR(__xludf.DUMMYFUNCTION("""COMPUTED_VALUE"""),"SI")</f>
        <v>SI</v>
      </c>
      <c r="BV450" s="6" t="str">
        <f>IFERROR(__xludf.DUMMYFUNCTION("""COMPUTED_VALUE"""),"manuela.a2033")</f>
        <v>manuela.a2033</v>
      </c>
      <c r="BW450" s="6"/>
      <c r="BX450" s="6"/>
      <c r="BY450" s="6"/>
      <c r="BZ450" s="6"/>
    </row>
    <row r="451">
      <c r="A451" s="12">
        <f>IFERROR(__xludf.DUMMYFUNCTION("""COMPUTED_VALUE"""),1.092857912E9)</f>
        <v>1092857912</v>
      </c>
      <c r="B451" s="6">
        <f>IFERROR(__xludf.DUMMYFUNCTION("""COMPUTED_VALUE"""),4.0)</f>
        <v>4</v>
      </c>
      <c r="C451" s="6" t="str">
        <f>IFERROR(__xludf.DUMMYFUNCTION("""COMPUTED_VALUE"""),"Gabriel")</f>
        <v>Gabriel</v>
      </c>
      <c r="D451" s="6"/>
      <c r="E451" s="6" t="str">
        <f>IFERROR(__xludf.DUMMYFUNCTION("""COMPUTED_VALUE"""),"Arias Isaza")</f>
        <v>Arias Isaza</v>
      </c>
      <c r="F451" s="6" t="str">
        <f>IFERROR(__xludf.DUMMYFUNCTION("""COMPUTED_VALUE"""),"Condominio Cedro Negro Casa 38 - Km 6 Via Circasia Vereda El Congal")</f>
        <v>Condominio Cedro Negro Casa 38 - Km 6 Via Circasia Vereda El Congal</v>
      </c>
      <c r="G451" s="12" t="str">
        <f>IFERROR(__xludf.DUMMYFUNCTION("""COMPUTED_VALUE"""),"2014")</f>
        <v>2014</v>
      </c>
      <c r="H451" s="6" t="str">
        <f>IFERROR(__xludf.DUMMYFUNCTION("""COMPUTED_VALUE"""),"Julio")</f>
        <v>Julio</v>
      </c>
      <c r="I451" s="12" t="str">
        <f>IFERROR(__xludf.DUMMYFUNCTION("""COMPUTED_VALUE"""),"26")</f>
        <v>26</v>
      </c>
      <c r="J451" s="6" t="str">
        <f>IFERROR(__xludf.DUMMYFUNCTION("""COMPUTED_VALUE"""),"Armenia")</f>
        <v>Armenia</v>
      </c>
      <c r="K451" s="6" t="str">
        <f>IFERROR(__xludf.DUMMYFUNCTION("""COMPUTED_VALUE"""),"gabriel.a2033@gi.edu.co")</f>
        <v>gabriel.a2033@gi.edu.co</v>
      </c>
      <c r="L451" s="6" t="str">
        <f>IFERROR(__xludf.DUMMYFUNCTION("""COMPUTED_VALUE"""),"TI")</f>
        <v>TI</v>
      </c>
      <c r="M451" s="6" t="str">
        <f>IFERROR(__xludf.DUMMYFUNCTION("""COMPUTED_VALUE"""),"Armenia")</f>
        <v>Armenia</v>
      </c>
      <c r="N451" s="6" t="str">
        <f>IFERROR(__xludf.DUMMYFUNCTION("""COMPUTED_VALUE"""),"M")</f>
        <v>M</v>
      </c>
      <c r="O451" s="6" t="str">
        <f>IFERROR(__xludf.DUMMYFUNCTION("""COMPUTED_VALUE"""),"INACTIVE")</f>
        <v>INACTIVE</v>
      </c>
      <c r="P451" s="6"/>
      <c r="Q451" s="6" t="str">
        <f>IFERROR(__xludf.DUMMYFUNCTION("""COMPUTED_VALUE"""),"Circasia")</f>
        <v>Circasia</v>
      </c>
      <c r="R451" s="12" t="str">
        <f>IFERROR(__xludf.DUMMYFUNCTION("""COMPUTED_VALUE"""),"Gi5q2w3e4r*")</f>
        <v>Gi5q2w3e4r*</v>
      </c>
      <c r="S451" s="6" t="str">
        <f>IFERROR(__xludf.DUMMYFUNCTION("""COMPUTED_VALUE"""),"Arias Isaza Gabriel ")</f>
        <v>Arias Isaza Gabriel </v>
      </c>
      <c r="T451" s="6" t="str">
        <f>IFERROR(__xludf.DUMMYFUNCTION("""COMPUTED_VALUE"""),"DANIEL ANDRES ARIAS ARIAS")</f>
        <v>DANIEL ANDRES ARIAS ARIAS</v>
      </c>
      <c r="U451" s="12" t="str">
        <f>IFERROR(__xludf.DUMMYFUNCTION("""COMPUTED_VALUE"""),"9728962")</f>
        <v>9728962</v>
      </c>
      <c r="V451" s="6">
        <f>IFERROR(__xludf.DUMMYFUNCTION("""COMPUTED_VALUE"""),3.108213324E9)</f>
        <v>3108213324</v>
      </c>
      <c r="W451" s="6" t="str">
        <f>IFERROR(__xludf.DUMMYFUNCTION("""COMPUTED_VALUE"""),"danielariasa@yahoo.es")</f>
        <v>danielariasa@yahoo.es</v>
      </c>
      <c r="X451" s="12" t="str">
        <f>IFERROR(__xludf.DUMMYFUNCTION("""COMPUTED_VALUE"""),"O+")</f>
        <v>O+</v>
      </c>
      <c r="Y451" s="12" t="str">
        <f>IFERROR(__xludf.DUMMYFUNCTION("""COMPUTED_VALUE"""),"6")</f>
        <v>6</v>
      </c>
      <c r="Z451" s="12">
        <f>IFERROR(__xludf.DUMMYFUNCTION("""COMPUTED_VALUE"""),103519.0)</f>
        <v>103519</v>
      </c>
      <c r="AA451" s="6" t="str">
        <f>IFERROR(__xludf.DUMMYFUNCTION("""COMPUTED_VALUE"""),"SURA")</f>
        <v>SURA</v>
      </c>
      <c r="AB451" s="6" t="str">
        <f>IFERROR(__xludf.DUMMYFUNCTION("""COMPUTED_VALUE"""),"EMI")</f>
        <v>EMI</v>
      </c>
      <c r="AC451" s="6"/>
      <c r="AD451" s="12" t="str">
        <f>IFERROR(__xludf.DUMMYFUNCTION("""COMPUTED_VALUE"""),"6A")</f>
        <v>6A</v>
      </c>
      <c r="AE451" s="12">
        <f>IFERROR(__xludf.DUMMYFUNCTION("""COMPUTED_VALUE"""),1.345281714E9)</f>
        <v>1345281714</v>
      </c>
      <c r="AF451" s="12" t="str">
        <f>IFERROR(__xludf.DUMMYFUNCTION("""COMPUTED_VALUE"""),"0691635555")</f>
        <v>0691635555</v>
      </c>
      <c r="AG451" s="12" t="str">
        <f>IFERROR(__xludf.DUMMYFUNCTION("""COMPUTED_VALUE"""),"Carolina")</f>
        <v>Carolina</v>
      </c>
      <c r="AH451" s="6"/>
      <c r="AI451" s="6" t="str">
        <f>IFERROR(__xludf.DUMMYFUNCTION("""COMPUTED_VALUE"""),"Isaza Toro")</f>
        <v>Isaza Toro</v>
      </c>
      <c r="AJ451" s="6" t="str">
        <f>IFERROR(__xludf.DUMMYFUNCTION("""COMPUTED_VALUE"""),"carolinaisazatoro@gmail.com")</f>
        <v>carolinaisazatoro@gmail.com</v>
      </c>
      <c r="AK451" s="6"/>
      <c r="AL451" s="6"/>
      <c r="AM451" s="12" t="str">
        <f>IFERROR(__xludf.DUMMYFUNCTION("""COMPUTED_VALUE"""),"41944793")</f>
        <v>41944793</v>
      </c>
      <c r="AN451" s="12" t="str">
        <f>IFERROR(__xludf.DUMMYFUNCTION("""COMPUTED_VALUE"""),"3217462799")</f>
        <v>3217462799</v>
      </c>
      <c r="AO451" s="6" t="str">
        <f>IFERROR(__xludf.DUMMYFUNCTION("""COMPUTED_VALUE"""),"Madre")</f>
        <v>Madre</v>
      </c>
      <c r="AP451" s="6" t="str">
        <f>IFERROR(__xludf.DUMMYFUNCTION("""COMPUTED_VALUE"""),"Estudiante(s): Arias Isaza")</f>
        <v>Estudiante(s): Arias Isaza</v>
      </c>
      <c r="AQ451" s="6" t="str">
        <f>IFERROR(__xludf.DUMMYFUNCTION("""COMPUTED_VALUE"""),"103519*Gi")</f>
        <v>103519*Gi</v>
      </c>
      <c r="AR451" s="6" t="str">
        <f>IFERROR(__xludf.DUMMYFUNCTION("""COMPUTED_VALUE"""),"Daniel")</f>
        <v>Daniel</v>
      </c>
      <c r="AS451" s="6" t="str">
        <f>IFERROR(__xludf.DUMMYFUNCTION("""COMPUTED_VALUE"""),"Andrés")</f>
        <v>Andrés</v>
      </c>
      <c r="AT451" s="6" t="str">
        <f>IFERROR(__xludf.DUMMYFUNCTION("""COMPUTED_VALUE"""),"Arias Arias")</f>
        <v>Arias Arias</v>
      </c>
      <c r="AU451" s="6" t="str">
        <f>IFERROR(__xludf.DUMMYFUNCTION("""COMPUTED_VALUE"""),"danielariasa@yahoo.es")</f>
        <v>danielariasa@yahoo.es</v>
      </c>
      <c r="AV451" s="6" t="str">
        <f>IFERROR(__xludf.DUMMYFUNCTION("""COMPUTED_VALUE"""),"Administrado de empresas")</f>
        <v>Administrado de empresas</v>
      </c>
      <c r="AW451" s="6" t="str">
        <f>IFERROR(__xludf.DUMMYFUNCTION("""COMPUTED_VALUE"""),"ALG Colombia SAS")</f>
        <v>ALG Colombia SAS</v>
      </c>
      <c r="AX451" s="12" t="str">
        <f>IFERROR(__xludf.DUMMYFUNCTION("""COMPUTED_VALUE"""),"9728962")</f>
        <v>9728962</v>
      </c>
      <c r="AY451" s="12" t="str">
        <f>IFERROR(__xludf.DUMMYFUNCTION("""COMPUTED_VALUE"""),"3108213324")</f>
        <v>3108213324</v>
      </c>
      <c r="AZ451" s="6" t="str">
        <f>IFERROR(__xludf.DUMMYFUNCTION("""COMPUTED_VALUE"""),"Padre")</f>
        <v>Padre</v>
      </c>
      <c r="BA451" s="6"/>
      <c r="BB451" s="6"/>
      <c r="BC451" s="6"/>
      <c r="BD451" s="12" t="str">
        <f>IFERROR(__xludf.DUMMYFUNCTION("""COMPUTED_VALUE"""),"ari0025")</f>
        <v>ari0025</v>
      </c>
      <c r="BE451" s="6" t="str">
        <f>IFERROR(__xludf.DUMMYFUNCTION("""COMPUTED_VALUE"""),"FALTAN FIRMAS")</f>
        <v>FALTAN FIRMAS</v>
      </c>
      <c r="BF451" s="6"/>
      <c r="BG451" s="6">
        <f>IFERROR(__xludf.DUMMYFUNCTION("""COMPUTED_VALUE"""),2033.0)</f>
        <v>2033</v>
      </c>
      <c r="BH451" s="15">
        <f>IFERROR(__xludf.DUMMYFUNCTION("""COMPUTED_VALUE"""),46240.43667824074)</f>
        <v>46240.43668</v>
      </c>
      <c r="BI451" s="6">
        <f>IFERROR(__xludf.DUMMYFUNCTION("""COMPUTED_VALUE"""),451.0)</f>
        <v>451</v>
      </c>
      <c r="BJ451" s="6"/>
      <c r="BK451" s="6"/>
      <c r="BL451" s="6" t="str">
        <f>IFERROR(__xludf.DUMMYFUNCTION("""COMPUTED_VALUE"""),"GISARI0025")</f>
        <v>GISARI0025</v>
      </c>
      <c r="BM451" s="6"/>
      <c r="BN451" s="6"/>
      <c r="BO451" s="6"/>
      <c r="BP451" s="6"/>
      <c r="BQ451" s="6"/>
      <c r="BR451" s="6"/>
      <c r="BS451" s="6"/>
      <c r="BT451" s="6"/>
      <c r="BU451" s="6" t="str">
        <f>IFERROR(__xludf.DUMMYFUNCTION("""COMPUTED_VALUE"""),"SI")</f>
        <v>SI</v>
      </c>
      <c r="BV451" s="6" t="str">
        <f>IFERROR(__xludf.DUMMYFUNCTION("""COMPUTED_VALUE"""),"gabriel.a2033")</f>
        <v>gabriel.a2033</v>
      </c>
      <c r="BW451" s="6"/>
      <c r="BX451" s="6"/>
      <c r="BY451" s="6"/>
      <c r="BZ451" s="6"/>
    </row>
    <row r="452">
      <c r="A452" s="12">
        <f>IFERROR(__xludf.DUMMYFUNCTION("""COMPUTED_VALUE"""),1.0928595E9)</f>
        <v>1092859500</v>
      </c>
      <c r="B452" s="6">
        <f>IFERROR(__xludf.DUMMYFUNCTION("""COMPUTED_VALUE"""),5.0)</f>
        <v>5</v>
      </c>
      <c r="C452" s="6" t="str">
        <f>IFERROR(__xludf.DUMMYFUNCTION("""COMPUTED_VALUE"""),"Jerónimo")</f>
        <v>Jerónimo</v>
      </c>
      <c r="D452" s="6"/>
      <c r="E452" s="6" t="str">
        <f>IFERROR(__xludf.DUMMYFUNCTION("""COMPUTED_VALUE"""),"Botero Correa")</f>
        <v>Botero Correa</v>
      </c>
      <c r="F452" s="6" t="str">
        <f>IFERROR(__xludf.DUMMYFUNCTION("""COMPUTED_VALUE"""),"Cra 13 No 8Nte - 40 Edificio Solaris Apt 804 - La Castellana")</f>
        <v>Cra 13 No 8Nte - 40 Edificio Solaris Apt 804 - La Castellana</v>
      </c>
      <c r="G452" s="12" t="str">
        <f>IFERROR(__xludf.DUMMYFUNCTION("""COMPUTED_VALUE"""),"2015")</f>
        <v>2015</v>
      </c>
      <c r="H452" s="6" t="str">
        <f>IFERROR(__xludf.DUMMYFUNCTION("""COMPUTED_VALUE"""),"Noviembre")</f>
        <v>Noviembre</v>
      </c>
      <c r="I452" s="12" t="str">
        <f>IFERROR(__xludf.DUMMYFUNCTION("""COMPUTED_VALUE"""),"4")</f>
        <v>4</v>
      </c>
      <c r="J452" s="6" t="str">
        <f>IFERROR(__xludf.DUMMYFUNCTION("""COMPUTED_VALUE"""),"Armenia")</f>
        <v>Armenia</v>
      </c>
      <c r="K452" s="6" t="str">
        <f>IFERROR(__xludf.DUMMYFUNCTION("""COMPUTED_VALUE"""),"jeronimo.b2033@gi.edu.co")</f>
        <v>jeronimo.b2033@gi.edu.co</v>
      </c>
      <c r="L452" s="6" t="str">
        <f>IFERROR(__xludf.DUMMYFUNCTION("""COMPUTED_VALUE"""),"TI")</f>
        <v>TI</v>
      </c>
      <c r="M452" s="6" t="str">
        <f>IFERROR(__xludf.DUMMYFUNCTION("""COMPUTED_VALUE"""),"Armenia")</f>
        <v>Armenia</v>
      </c>
      <c r="N452" s="6" t="str">
        <f>IFERROR(__xludf.DUMMYFUNCTION("""COMPUTED_VALUE"""),"M")</f>
        <v>M</v>
      </c>
      <c r="O452" s="6" t="str">
        <f>IFERROR(__xludf.DUMMYFUNCTION("""COMPUTED_VALUE"""),"iNACTIVE")</f>
        <v>iNACTIVE</v>
      </c>
      <c r="P452" s="6"/>
      <c r="Q452" s="6" t="str">
        <f>IFERROR(__xludf.DUMMYFUNCTION("""COMPUTED_VALUE"""),"Armenia")</f>
        <v>Armenia</v>
      </c>
      <c r="R452" s="12" t="str">
        <f>IFERROR(__xludf.DUMMYFUNCTION("""COMPUTED_VALUE"""),"Gi3909jb*")</f>
        <v>Gi3909jb*</v>
      </c>
      <c r="S452" s="6" t="str">
        <f>IFERROR(__xludf.DUMMYFUNCTION("""COMPUTED_VALUE"""),"Botero Correa Jerónimo ")</f>
        <v>Botero Correa Jerónimo </v>
      </c>
      <c r="T452" s="6" t="str">
        <f>IFERROR(__xludf.DUMMYFUNCTION("""COMPUTED_VALUE"""),"LUIS MIGUEL BOTERO OSPINA")</f>
        <v>LUIS MIGUEL BOTERO OSPINA</v>
      </c>
      <c r="U452" s="12" t="str">
        <f>IFERROR(__xludf.DUMMYFUNCTION("""COMPUTED_VALUE"""),"89001598")</f>
        <v>89001598</v>
      </c>
      <c r="V452" s="6">
        <f>IFERROR(__xludf.DUMMYFUNCTION("""COMPUTED_VALUE"""),3.117723085E9)</f>
        <v>3117723085</v>
      </c>
      <c r="W452" s="6" t="str">
        <f>IFERROR(__xludf.DUMMYFUNCTION("""COMPUTED_VALUE"""),"miguelbotero30@hotmail.com")</f>
        <v>miguelbotero30@hotmail.com</v>
      </c>
      <c r="X452" s="12" t="str">
        <f>IFERROR(__xludf.DUMMYFUNCTION("""COMPUTED_VALUE"""),"O+")</f>
        <v>O+</v>
      </c>
      <c r="Y452" s="12" t="str">
        <f>IFERROR(__xludf.DUMMYFUNCTION("""COMPUTED_VALUE"""),"6")</f>
        <v>6</v>
      </c>
      <c r="Z452" s="12">
        <f>IFERROR(__xludf.DUMMYFUNCTION("""COMPUTED_VALUE"""),103909.0)</f>
        <v>103909</v>
      </c>
      <c r="AA452" s="6" t="str">
        <f>IFERROR(__xludf.DUMMYFUNCTION("""COMPUTED_VALUE"""),"SANITAS")</f>
        <v>SANITAS</v>
      </c>
      <c r="AB452" s="6" t="str">
        <f>IFERROR(__xludf.DUMMYFUNCTION("""COMPUTED_VALUE"""),"Humanizar")</f>
        <v>Humanizar</v>
      </c>
      <c r="AC452" s="12" t="str">
        <f>IFERROR(__xludf.DUMMYFUNCTION("""COMPUTED_VALUE"""),"Alergia en la piel, rinitis")</f>
        <v>Alergia en la piel, rinitis</v>
      </c>
      <c r="AD452" s="12" t="str">
        <f>IFERROR(__xludf.DUMMYFUNCTION("""COMPUTED_VALUE"""),"6A")</f>
        <v>6A</v>
      </c>
      <c r="AE452" s="12">
        <f>IFERROR(__xludf.DUMMYFUNCTION("""COMPUTED_VALUE"""),1.345281959E9)</f>
        <v>1345281959</v>
      </c>
      <c r="AF452" s="12" t="str">
        <f>IFERROR(__xludf.DUMMYFUNCTION("""COMPUTED_VALUE"""),"0692487235")</f>
        <v>0692487235</v>
      </c>
      <c r="AG452" s="12" t="str">
        <f>IFERROR(__xludf.DUMMYFUNCTION("""COMPUTED_VALUE"""),"Adriana")</f>
        <v>Adriana</v>
      </c>
      <c r="AH452" s="6"/>
      <c r="AI452" s="6" t="str">
        <f>IFERROR(__xludf.DUMMYFUNCTION("""COMPUTED_VALUE"""),"Correa Díaz")</f>
        <v>Correa Díaz</v>
      </c>
      <c r="AJ452" s="6" t="str">
        <f>IFERROR(__xludf.DUMMYFUNCTION("""COMPUTED_VALUE"""),"acodiaz_7@hotmail.com")</f>
        <v>acodiaz_7@hotmail.com</v>
      </c>
      <c r="AK452" s="6" t="str">
        <f>IFERROR(__xludf.DUMMYFUNCTION("""COMPUTED_VALUE"""),"Administradora")</f>
        <v>Administradora</v>
      </c>
      <c r="AL452" s="6"/>
      <c r="AM452" s="12" t="str">
        <f>IFERROR(__xludf.DUMMYFUNCTION("""COMPUTED_VALUE"""),"1094893344")</f>
        <v>1094893344</v>
      </c>
      <c r="AN452" s="12" t="str">
        <f>IFERROR(__xludf.DUMMYFUNCTION("""COMPUTED_VALUE"""),"3150735940")</f>
        <v>3150735940</v>
      </c>
      <c r="AO452" s="6" t="str">
        <f>IFERROR(__xludf.DUMMYFUNCTION("""COMPUTED_VALUE"""),"Madre")</f>
        <v>Madre</v>
      </c>
      <c r="AP452" s="6" t="str">
        <f>IFERROR(__xludf.DUMMYFUNCTION("""COMPUTED_VALUE"""),"Estudiante(s): Botero Correa")</f>
        <v>Estudiante(s): Botero Correa</v>
      </c>
      <c r="AQ452" s="6" t="str">
        <f>IFERROR(__xludf.DUMMYFUNCTION("""COMPUTED_VALUE"""),"103909*Gi")</f>
        <v>103909*Gi</v>
      </c>
      <c r="AR452" s="6" t="str">
        <f>IFERROR(__xludf.DUMMYFUNCTION("""COMPUTED_VALUE"""),"Luis")</f>
        <v>Luis</v>
      </c>
      <c r="AS452" s="6" t="str">
        <f>IFERROR(__xludf.DUMMYFUNCTION("""COMPUTED_VALUE"""),"Miguel")</f>
        <v>Miguel</v>
      </c>
      <c r="AT452" s="6" t="str">
        <f>IFERROR(__xludf.DUMMYFUNCTION("""COMPUTED_VALUE"""),"Botero Ospina")</f>
        <v>Botero Ospina</v>
      </c>
      <c r="AU452" s="6" t="str">
        <f>IFERROR(__xludf.DUMMYFUNCTION("""COMPUTED_VALUE"""),"miguelbotero30@hotmail.com")</f>
        <v>miguelbotero30@hotmail.com</v>
      </c>
      <c r="AV452" s="6" t="str">
        <f>IFERROR(__xludf.DUMMYFUNCTION("""COMPUTED_VALUE"""),"Agricultor/Ganadero")</f>
        <v>Agricultor/Ganadero</v>
      </c>
      <c r="AW452" s="6"/>
      <c r="AX452" s="12" t="str">
        <f>IFERROR(__xludf.DUMMYFUNCTION("""COMPUTED_VALUE"""),"89001598")</f>
        <v>89001598</v>
      </c>
      <c r="AY452" s="12" t="str">
        <f>IFERROR(__xludf.DUMMYFUNCTION("""COMPUTED_VALUE"""),"3117723085")</f>
        <v>3117723085</v>
      </c>
      <c r="AZ452" s="6" t="str">
        <f>IFERROR(__xludf.DUMMYFUNCTION("""COMPUTED_VALUE"""),"Padre")</f>
        <v>Padre</v>
      </c>
      <c r="BA452" s="6"/>
      <c r="BB452" s="6"/>
      <c r="BC452" s="6"/>
      <c r="BD452" s="12" t="str">
        <f>IFERROR(__xludf.DUMMYFUNCTION("""COMPUTED_VALUE"""),"bot0017")</f>
        <v>bot0017</v>
      </c>
      <c r="BE452" s="6" t="str">
        <f>IFERROR(__xludf.DUMMYFUNCTION("""COMPUTED_VALUE"""),"FALTAN FIRMAS")</f>
        <v>FALTAN FIRMAS</v>
      </c>
      <c r="BF452" s="6"/>
      <c r="BG452" s="6">
        <f>IFERROR(__xludf.DUMMYFUNCTION("""COMPUTED_VALUE"""),2033.0)</f>
        <v>2033</v>
      </c>
      <c r="BH452" s="15">
        <f>IFERROR(__xludf.DUMMYFUNCTION("""COMPUTED_VALUE"""),46209.41380787037)</f>
        <v>46209.41381</v>
      </c>
      <c r="BI452" s="6">
        <f>IFERROR(__xludf.DUMMYFUNCTION("""COMPUTED_VALUE"""),452.0)</f>
        <v>452</v>
      </c>
      <c r="BJ452" s="6"/>
      <c r="BK452" s="6"/>
      <c r="BL452" s="6" t="str">
        <f>IFERROR(__xludf.DUMMYFUNCTION("""COMPUTED_VALUE"""),"GISBOT0017")</f>
        <v>GISBOT0017</v>
      </c>
      <c r="BM452" s="6"/>
      <c r="BN452" s="6"/>
      <c r="BO452" s="6"/>
      <c r="BP452" s="6"/>
      <c r="BQ452" s="6"/>
      <c r="BR452" s="6"/>
      <c r="BS452" s="6"/>
      <c r="BT452" s="6"/>
      <c r="BU452" s="6" t="str">
        <f>IFERROR(__xludf.DUMMYFUNCTION("""COMPUTED_VALUE"""),"SI")</f>
        <v>SI</v>
      </c>
      <c r="BV452" s="6" t="str">
        <f>IFERROR(__xludf.DUMMYFUNCTION("""COMPUTED_VALUE"""),"jeronimo.b2033")</f>
        <v>jeronimo.b2033</v>
      </c>
      <c r="BW452" s="6"/>
      <c r="BX452" s="6"/>
      <c r="BY452" s="6"/>
      <c r="BZ452" s="6"/>
    </row>
    <row r="453">
      <c r="A453" s="12">
        <f>IFERROR(__xludf.DUMMYFUNCTION("""COMPUTED_VALUE"""),1.092858842E9)</f>
        <v>1092858842</v>
      </c>
      <c r="B453" s="6">
        <f>IFERROR(__xludf.DUMMYFUNCTION("""COMPUTED_VALUE"""),6.0)</f>
        <v>6</v>
      </c>
      <c r="C453" s="6" t="str">
        <f>IFERROR(__xludf.DUMMYFUNCTION("""COMPUTED_VALUE"""),"Gabriel")</f>
        <v>Gabriel</v>
      </c>
      <c r="D453" s="6"/>
      <c r="E453" s="6" t="str">
        <f>IFERROR(__xludf.DUMMYFUNCTION("""COMPUTED_VALUE"""),"Castaño Hoyos")</f>
        <v>Castaño Hoyos</v>
      </c>
      <c r="F453" s="6" t="str">
        <f>IFERROR(__xludf.DUMMYFUNCTION("""COMPUTED_VALUE"""),"Condominio Horizonte No13 - Via Circasia")</f>
        <v>Condominio Horizonte No13 - Via Circasia</v>
      </c>
      <c r="G453" s="12" t="str">
        <f>IFERROR(__xludf.DUMMYFUNCTION("""COMPUTED_VALUE"""),"2015")</f>
        <v>2015</v>
      </c>
      <c r="H453" s="6" t="str">
        <f>IFERROR(__xludf.DUMMYFUNCTION("""COMPUTED_VALUE"""),"Mayo")</f>
        <v>Mayo</v>
      </c>
      <c r="I453" s="12" t="str">
        <f>IFERROR(__xludf.DUMMYFUNCTION("""COMPUTED_VALUE"""),"12")</f>
        <v>12</v>
      </c>
      <c r="J453" s="6" t="str">
        <f>IFERROR(__xludf.DUMMYFUNCTION("""COMPUTED_VALUE"""),"Armenia")</f>
        <v>Armenia</v>
      </c>
      <c r="K453" s="6" t="str">
        <f>IFERROR(__xludf.DUMMYFUNCTION("""COMPUTED_VALUE"""),"gabriel.c2033@gi.edu.co")</f>
        <v>gabriel.c2033@gi.edu.co</v>
      </c>
      <c r="L453" s="6" t="str">
        <f>IFERROR(__xludf.DUMMYFUNCTION("""COMPUTED_VALUE"""),"RC")</f>
        <v>RC</v>
      </c>
      <c r="M453" s="6" t="str">
        <f>IFERROR(__xludf.DUMMYFUNCTION("""COMPUTED_VALUE"""),"Armenia")</f>
        <v>Armenia</v>
      </c>
      <c r="N453" s="6" t="str">
        <f>IFERROR(__xludf.DUMMYFUNCTION("""COMPUTED_VALUE"""),"M")</f>
        <v>M</v>
      </c>
      <c r="O453" s="6" t="str">
        <f>IFERROR(__xludf.DUMMYFUNCTION("""COMPUTED_VALUE"""),"INACTIVE")</f>
        <v>INACTIVE</v>
      </c>
      <c r="P453" s="6"/>
      <c r="Q453" s="6" t="str">
        <f>IFERROR(__xludf.DUMMYFUNCTION("""COMPUTED_VALUE"""),"Armenia")</f>
        <v>Armenia</v>
      </c>
      <c r="R453" s="12" t="str">
        <f>IFERROR(__xludf.DUMMYFUNCTION("""COMPUTED_VALUE"""),"GIbasd239*")</f>
        <v>GIbasd239*</v>
      </c>
      <c r="S453" s="6" t="str">
        <f>IFERROR(__xludf.DUMMYFUNCTION("""COMPUTED_VALUE"""),"Castaño Hoyos Gabriel ")</f>
        <v>Castaño Hoyos Gabriel </v>
      </c>
      <c r="T453" s="6" t="str">
        <f>IFERROR(__xludf.DUMMYFUNCTION("""COMPUTED_VALUE"""),"VANESSA HOYOS LOPEZ")</f>
        <v>VANESSA HOYOS LOPEZ</v>
      </c>
      <c r="U453" s="12" t="str">
        <f>IFERROR(__xludf.DUMMYFUNCTION("""COMPUTED_VALUE"""),"41959000")</f>
        <v>41959000</v>
      </c>
      <c r="V453" s="6">
        <f>IFERROR(__xludf.DUMMYFUNCTION("""COMPUTED_VALUE"""),3.206875343E9)</f>
        <v>3206875343</v>
      </c>
      <c r="W453" s="6" t="str">
        <f>IFERROR(__xludf.DUMMYFUNCTION("""COMPUTED_VALUE"""),"vanessahoyoslopez@hotmail.com")</f>
        <v>vanessahoyoslopez@hotmail.com</v>
      </c>
      <c r="X453" s="12" t="str">
        <f>IFERROR(__xludf.DUMMYFUNCTION("""COMPUTED_VALUE"""),"B+")</f>
        <v>B+</v>
      </c>
      <c r="Y453" s="12" t="str">
        <f>IFERROR(__xludf.DUMMYFUNCTION("""COMPUTED_VALUE"""),"6")</f>
        <v>6</v>
      </c>
      <c r="Z453" s="12">
        <f>IFERROR(__xludf.DUMMYFUNCTION("""COMPUTED_VALUE"""),103686.0)</f>
        <v>103686</v>
      </c>
      <c r="AA453" s="6" t="str">
        <f>IFERROR(__xludf.DUMMYFUNCTION("""COMPUTED_VALUE"""),"SANITAS")</f>
        <v>SANITAS</v>
      </c>
      <c r="AB453" s="6" t="str">
        <f>IFERROR(__xludf.DUMMYFUNCTION("""COMPUTED_VALUE"""),"Sura")</f>
        <v>Sura</v>
      </c>
      <c r="AC453" s="12" t="str">
        <f>IFERROR(__xludf.DUMMYFUNCTION("""COMPUTED_VALUE"""),"renitis")</f>
        <v>renitis</v>
      </c>
      <c r="AD453" s="12" t="str">
        <f>IFERROR(__xludf.DUMMYFUNCTION("""COMPUTED_VALUE"""),"6A")</f>
        <v>6A</v>
      </c>
      <c r="AE453" s="12">
        <f>IFERROR(__xludf.DUMMYFUNCTION("""COMPUTED_VALUE"""),1.345281826E9)</f>
        <v>1345281826</v>
      </c>
      <c r="AF453" s="12" t="str">
        <f>IFERROR(__xludf.DUMMYFUNCTION("""COMPUTED_VALUE"""),"2834021235")</f>
        <v>2834021235</v>
      </c>
      <c r="AG453" s="12" t="str">
        <f>IFERROR(__xludf.DUMMYFUNCTION("""COMPUTED_VALUE"""),"Vanessa")</f>
        <v>Vanessa</v>
      </c>
      <c r="AH453" s="6"/>
      <c r="AI453" s="6" t="str">
        <f>IFERROR(__xludf.DUMMYFUNCTION("""COMPUTED_VALUE"""),"Hoyos López")</f>
        <v>Hoyos López</v>
      </c>
      <c r="AJ453" s="6" t="str">
        <f>IFERROR(__xludf.DUMMYFUNCTION("""COMPUTED_VALUE"""),"vanessahoyoslopez@hotmail.com")</f>
        <v>vanessahoyoslopez@hotmail.com</v>
      </c>
      <c r="AK453" s="6" t="str">
        <f>IFERROR(__xludf.DUMMYFUNCTION("""COMPUTED_VALUE"""),"administradora de empresas")</f>
        <v>administradora de empresas</v>
      </c>
      <c r="AL453" s="6" t="str">
        <f>IFERROR(__xludf.DUMMYFUNCTION("""COMPUTED_VALUE"""),"hoyos lopez cia")</f>
        <v>hoyos lopez cia</v>
      </c>
      <c r="AM453" s="12" t="str">
        <f>IFERROR(__xludf.DUMMYFUNCTION("""COMPUTED_VALUE"""),"41959000")</f>
        <v>41959000</v>
      </c>
      <c r="AN453" s="12" t="str">
        <f>IFERROR(__xludf.DUMMYFUNCTION("""COMPUTED_VALUE"""),"3206875343")</f>
        <v>3206875343</v>
      </c>
      <c r="AO453" s="6" t="str">
        <f>IFERROR(__xludf.DUMMYFUNCTION("""COMPUTED_VALUE"""),"Madre")</f>
        <v>Madre</v>
      </c>
      <c r="AP453" s="6" t="str">
        <f>IFERROR(__xludf.DUMMYFUNCTION("""COMPUTED_VALUE"""),"Estudiante(s): Castaño Hoyos")</f>
        <v>Estudiante(s): Castaño Hoyos</v>
      </c>
      <c r="AQ453" s="6" t="str">
        <f>IFERROR(__xludf.DUMMYFUNCTION("""COMPUTED_VALUE"""),"103686*Gi")</f>
        <v>103686*Gi</v>
      </c>
      <c r="AR453" s="6" t="str">
        <f>IFERROR(__xludf.DUMMYFUNCTION("""COMPUTED_VALUE"""),"Sebastian")</f>
        <v>Sebastian</v>
      </c>
      <c r="AS453" s="6"/>
      <c r="AT453" s="6" t="str">
        <f>IFERROR(__xludf.DUMMYFUNCTION("""COMPUTED_VALUE"""),"Castano Valencia")</f>
        <v>Castano Valencia</v>
      </c>
      <c r="AU453" s="6" t="str">
        <f>IFERROR(__xludf.DUMMYFUNCTION("""COMPUTED_VALUE"""),"dinamictech@hotmail.com")</f>
        <v>dinamictech@hotmail.com</v>
      </c>
      <c r="AV453" s="6" t="str">
        <f>IFERROR(__xludf.DUMMYFUNCTION("""COMPUTED_VALUE"""),"Administrador de empresas")</f>
        <v>Administrador de empresas</v>
      </c>
      <c r="AW453" s="6" t="str">
        <f>IFERROR(__xludf.DUMMYFUNCTION("""COMPUTED_VALUE"""),"Dinamic Tech")</f>
        <v>Dinamic Tech</v>
      </c>
      <c r="AX453" s="12" t="str">
        <f>IFERROR(__xludf.DUMMYFUNCTION("""COMPUTED_VALUE"""),"1094890187")</f>
        <v>1094890187</v>
      </c>
      <c r="AY453" s="12" t="str">
        <f>IFERROR(__xludf.DUMMYFUNCTION("""COMPUTED_VALUE"""),"3103816166")</f>
        <v>3103816166</v>
      </c>
      <c r="AZ453" s="6" t="str">
        <f>IFERROR(__xludf.DUMMYFUNCTION("""COMPUTED_VALUE"""),"Padre")</f>
        <v>Padre</v>
      </c>
      <c r="BA453" s="6"/>
      <c r="BB453" s="6"/>
      <c r="BC453" s="6"/>
      <c r="BD453" s="12" t="str">
        <f>IFERROR(__xludf.DUMMYFUNCTION("""COMPUTED_VALUE"""),"cas0012")</f>
        <v>cas0012</v>
      </c>
      <c r="BE453" s="6" t="str">
        <f>IFERROR(__xludf.DUMMYFUNCTION("""COMPUTED_VALUE"""),"FALTAN FIRMAS")</f>
        <v>FALTAN FIRMAS</v>
      </c>
      <c r="BF453" s="6"/>
      <c r="BG453" s="6">
        <f>IFERROR(__xludf.DUMMYFUNCTION("""COMPUTED_VALUE"""),2033.0)</f>
        <v>2033</v>
      </c>
      <c r="BH453" s="15">
        <f>IFERROR(__xludf.DUMMYFUNCTION("""COMPUTED_VALUE"""),46212.784780092596)</f>
        <v>46212.78478</v>
      </c>
      <c r="BI453" s="6">
        <f>IFERROR(__xludf.DUMMYFUNCTION("""COMPUTED_VALUE"""),453.0)</f>
        <v>453</v>
      </c>
      <c r="BJ453" s="6"/>
      <c r="BK453" s="6"/>
      <c r="BL453" s="6" t="str">
        <f>IFERROR(__xludf.DUMMYFUNCTION("""COMPUTED_VALUE"""),"GISCAS0012")</f>
        <v>GISCAS0012</v>
      </c>
      <c r="BM453" s="6"/>
      <c r="BN453" s="6"/>
      <c r="BO453" s="6" t="str">
        <f>IFERROR(__xludf.DUMMYFUNCTION("""COMPUTED_VALUE"""),"XC_MS_Futbol_M")</f>
        <v>XC_MS_Futbol_M</v>
      </c>
      <c r="BP453" s="6"/>
      <c r="BQ453" s="6" t="str">
        <f>IFERROR(__xludf.DUMMYFUNCTION("""COMPUTED_VALUE"""),"XC_MS_Futbol_M")</f>
        <v>XC_MS_Futbol_M</v>
      </c>
      <c r="BR453" s="6" t="str">
        <f>IFERROR(__xludf.DUMMYFUNCTION("""COMPUTED_VALUE"""),"XC_MS_Futbol_M")</f>
        <v>XC_MS_Futbol_M</v>
      </c>
      <c r="BS453" s="6"/>
      <c r="BT453" s="6" t="str">
        <f>IFERROR(__xludf.DUMMYFUNCTION("""COMPUTED_VALUE"""),"XC_MS_Futbol_M")</f>
        <v>XC_MS_Futbol_M</v>
      </c>
      <c r="BU453" s="6" t="str">
        <f>IFERROR(__xludf.DUMMYFUNCTION("""COMPUTED_VALUE"""),"SI")</f>
        <v>SI</v>
      </c>
      <c r="BV453" s="6" t="str">
        <f>IFERROR(__xludf.DUMMYFUNCTION("""COMPUTED_VALUE"""),"gabriel.c2033")</f>
        <v>gabriel.c2033</v>
      </c>
      <c r="BW453" s="6"/>
      <c r="BX453" s="6"/>
      <c r="BY453" s="6"/>
      <c r="BZ453" s="6"/>
    </row>
    <row r="454">
      <c r="A454" s="12">
        <f>IFERROR(__xludf.DUMMYFUNCTION("""COMPUTED_VALUE"""),1.092859444E9)</f>
        <v>1092859444</v>
      </c>
      <c r="B454" s="6">
        <f>IFERROR(__xludf.DUMMYFUNCTION("""COMPUTED_VALUE"""),7.0)</f>
        <v>7</v>
      </c>
      <c r="C454" s="6" t="str">
        <f>IFERROR(__xludf.DUMMYFUNCTION("""COMPUTED_VALUE"""),"Isabela")</f>
        <v>Isabela</v>
      </c>
      <c r="D454" s="6"/>
      <c r="E454" s="6" t="str">
        <f>IFERROR(__xludf.DUMMYFUNCTION("""COMPUTED_VALUE"""),"Duque Ruíz")</f>
        <v>Duque Ruíz</v>
      </c>
      <c r="F454" s="6" t="str">
        <f>IFERROR(__xludf.DUMMYFUNCTION("""COMPUTED_VALUE"""),"Condominio Casas de Campo Casa 39 - Calle 23ANte No19 - 47")</f>
        <v>Condominio Casas de Campo Casa 39 - Calle 23ANte No19 - 47</v>
      </c>
      <c r="G454" s="12" t="str">
        <f>IFERROR(__xludf.DUMMYFUNCTION("""COMPUTED_VALUE"""),"2015")</f>
        <v>2015</v>
      </c>
      <c r="H454" s="6" t="str">
        <f>IFERROR(__xludf.DUMMYFUNCTION("""COMPUTED_VALUE"""),"Octubre")</f>
        <v>Octubre</v>
      </c>
      <c r="I454" s="12" t="str">
        <f>IFERROR(__xludf.DUMMYFUNCTION("""COMPUTED_VALUE"""),"3")</f>
        <v>3</v>
      </c>
      <c r="J454" s="6" t="str">
        <f>IFERROR(__xludf.DUMMYFUNCTION("""COMPUTED_VALUE"""),"Armenia")</f>
        <v>Armenia</v>
      </c>
      <c r="K454" s="6" t="str">
        <f>IFERROR(__xludf.DUMMYFUNCTION("""COMPUTED_VALUE"""),"isabela.d2033@gi.edu.co")</f>
        <v>isabela.d2033@gi.edu.co</v>
      </c>
      <c r="L454" s="6" t="str">
        <f>IFERROR(__xludf.DUMMYFUNCTION("""COMPUTED_VALUE"""),"TI")</f>
        <v>TI</v>
      </c>
      <c r="M454" s="6" t="str">
        <f>IFERROR(__xludf.DUMMYFUNCTION("""COMPUTED_VALUE"""),"Armenia")</f>
        <v>Armenia</v>
      </c>
      <c r="N454" s="6" t="str">
        <f>IFERROR(__xludf.DUMMYFUNCTION("""COMPUTED_VALUE"""),"F")</f>
        <v>F</v>
      </c>
      <c r="O454" s="6" t="str">
        <f>IFERROR(__xludf.DUMMYFUNCTION("""COMPUTED_VALUE"""),"INACTIVE")</f>
        <v>INACTIVE</v>
      </c>
      <c r="P454" s="6"/>
      <c r="Q454" s="6" t="str">
        <f>IFERROR(__xludf.DUMMYFUNCTION("""COMPUTED_VALUE"""),"Armenia")</f>
        <v>Armenia</v>
      </c>
      <c r="R454" s="12" t="str">
        <f>IFERROR(__xludf.DUMMYFUNCTION("""COMPUTED_VALUE"""),"GiMnankwU*")</f>
        <v>GiMnankwU*</v>
      </c>
      <c r="S454" s="6" t="str">
        <f>IFERROR(__xludf.DUMMYFUNCTION("""COMPUTED_VALUE"""),"Duque Ruíz Isabela ")</f>
        <v>Duque Ruíz Isabela </v>
      </c>
      <c r="T454" s="6" t="str">
        <f>IFERROR(__xludf.DUMMYFUNCTION("""COMPUTED_VALUE"""),"MARIA YENIFER RUIZ CAMPUZANO")</f>
        <v>MARIA YENIFER RUIZ CAMPUZANO</v>
      </c>
      <c r="U454" s="12" t="str">
        <f>IFERROR(__xludf.DUMMYFUNCTION("""COMPUTED_VALUE"""),"30390659")</f>
        <v>30390659</v>
      </c>
      <c r="V454" s="6">
        <f>IFERROR(__xludf.DUMMYFUNCTION("""COMPUTED_VALUE"""),3.14828589E9)</f>
        <v>3148285890</v>
      </c>
      <c r="W454" s="6" t="str">
        <f>IFERROR(__xludf.DUMMYFUNCTION("""COMPUTED_VALUE"""),"ruizye@gmail.com")</f>
        <v>ruizye@gmail.com</v>
      </c>
      <c r="X454" s="12" t="str">
        <f>IFERROR(__xludf.DUMMYFUNCTION("""COMPUTED_VALUE"""),"A+")</f>
        <v>A+</v>
      </c>
      <c r="Y454" s="12" t="str">
        <f>IFERROR(__xludf.DUMMYFUNCTION("""COMPUTED_VALUE"""),"6")</f>
        <v>6</v>
      </c>
      <c r="Z454" s="12">
        <f>IFERROR(__xludf.DUMMYFUNCTION("""COMPUTED_VALUE"""),120154.0)</f>
        <v>120154</v>
      </c>
      <c r="AA454" s="6" t="str">
        <f>IFERROR(__xludf.DUMMYFUNCTION("""COMPUTED_VALUE"""),"COLMEDICA")</f>
        <v>COLMEDICA</v>
      </c>
      <c r="AB454" s="6"/>
      <c r="AC454" s="6"/>
      <c r="AD454" s="12" t="str">
        <f>IFERROR(__xludf.DUMMYFUNCTION("""COMPUTED_VALUE"""),"6A")</f>
        <v>6A</v>
      </c>
      <c r="AE454" s="12">
        <f>IFERROR(__xludf.DUMMYFUNCTION("""COMPUTED_VALUE"""),1.345282035E9)</f>
        <v>1345282035</v>
      </c>
      <c r="AF454" s="12" t="str">
        <f>IFERROR(__xludf.DUMMYFUNCTION("""COMPUTED_VALUE"""),"0705509875")</f>
        <v>0705509875</v>
      </c>
      <c r="AG454" s="12" t="str">
        <f>IFERROR(__xludf.DUMMYFUNCTION("""COMPUTED_VALUE"""),"Yenifer")</f>
        <v>Yenifer</v>
      </c>
      <c r="AH454" s="6"/>
      <c r="AI454" s="6" t="str">
        <f>IFERROR(__xludf.DUMMYFUNCTION("""COMPUTED_VALUE"""),"Ruíz Campuzano")</f>
        <v>Ruíz Campuzano</v>
      </c>
      <c r="AJ454" s="6" t="str">
        <f>IFERROR(__xludf.DUMMYFUNCTION("""COMPUTED_VALUE"""),"ruizye@gmail.com")</f>
        <v>ruizye@gmail.com</v>
      </c>
      <c r="AK454" s="6" t="str">
        <f>IFERROR(__xludf.DUMMYFUNCTION("""COMPUTED_VALUE"""),"Enfermera")</f>
        <v>Enfermera</v>
      </c>
      <c r="AL454" s="6" t="str">
        <f>IFERROR(__xludf.DUMMYFUNCTION("""COMPUTED_VALUE"""),"Hospital")</f>
        <v>Hospital</v>
      </c>
      <c r="AM454" s="12" t="str">
        <f>IFERROR(__xludf.DUMMYFUNCTION("""COMPUTED_VALUE"""),"30390659")</f>
        <v>30390659</v>
      </c>
      <c r="AN454" s="12" t="str">
        <f>IFERROR(__xludf.DUMMYFUNCTION("""COMPUTED_VALUE"""),"3148285890")</f>
        <v>3148285890</v>
      </c>
      <c r="AO454" s="6" t="str">
        <f>IFERROR(__xludf.DUMMYFUNCTION("""COMPUTED_VALUE"""),"Madre")</f>
        <v>Madre</v>
      </c>
      <c r="AP454" s="6" t="str">
        <f>IFERROR(__xludf.DUMMYFUNCTION("""COMPUTED_VALUE"""),"Estudiante(s): Duque Ruíz")</f>
        <v>Estudiante(s): Duque Ruíz</v>
      </c>
      <c r="AQ454" s="6" t="str">
        <f>IFERROR(__xludf.DUMMYFUNCTION("""COMPUTED_VALUE"""),"103286*Gi")</f>
        <v>103286*Gi</v>
      </c>
      <c r="AR454" s="6" t="str">
        <f>IFERROR(__xludf.DUMMYFUNCTION("""COMPUTED_VALUE"""),"Santiago")</f>
        <v>Santiago</v>
      </c>
      <c r="AS454" s="6"/>
      <c r="AT454" s="6" t="str">
        <f>IFERROR(__xludf.DUMMYFUNCTION("""COMPUTED_VALUE"""),"Duque Velásquez")</f>
        <v>Duque Velásquez</v>
      </c>
      <c r="AU454" s="6" t="str">
        <f>IFERROR(__xludf.DUMMYFUNCTION("""COMPUTED_VALUE"""),"santiagoduque.urologia@gmail.com")</f>
        <v>santiagoduque.urologia@gmail.com</v>
      </c>
      <c r="AV454" s="6" t="str">
        <f>IFERROR(__xludf.DUMMYFUNCTION("""COMPUTED_VALUE"""),"UROLOGO")</f>
        <v>UROLOGO</v>
      </c>
      <c r="AW454" s="6" t="str">
        <f>IFERROR(__xludf.DUMMYFUNCTION("""COMPUTED_VALUE"""),"CONSULTORIO")</f>
        <v>CONSULTORIO</v>
      </c>
      <c r="AX454" s="12" t="str">
        <f>IFERROR(__xludf.DUMMYFUNCTION("""COMPUTED_VALUE"""),"9731346")</f>
        <v>9731346</v>
      </c>
      <c r="AY454" s="12" t="str">
        <f>IFERROR(__xludf.DUMMYFUNCTION("""COMPUTED_VALUE"""),"3117642329")</f>
        <v>3117642329</v>
      </c>
      <c r="AZ454" s="6" t="str">
        <f>IFERROR(__xludf.DUMMYFUNCTION("""COMPUTED_VALUE"""),"Padre")</f>
        <v>Padre</v>
      </c>
      <c r="BA454" s="6"/>
      <c r="BB454" s="6"/>
      <c r="BC454" s="6"/>
      <c r="BD454" s="12" t="str">
        <f>IFERROR(__xludf.DUMMYFUNCTION("""COMPUTED_VALUE"""),"duq0004")</f>
        <v>duq0004</v>
      </c>
      <c r="BE454" s="6" t="str">
        <f>IFERROR(__xludf.DUMMYFUNCTION("""COMPUTED_VALUE"""),"FALTAN FIRMAS")</f>
        <v>FALTAN FIRMAS</v>
      </c>
      <c r="BF454" s="6"/>
      <c r="BG454" s="6">
        <f>IFERROR(__xludf.DUMMYFUNCTION("""COMPUTED_VALUE"""),2033.0)</f>
        <v>2033</v>
      </c>
      <c r="BH454" s="15">
        <f>IFERROR(__xludf.DUMMYFUNCTION("""COMPUTED_VALUE"""),46205.284479166665)</f>
        <v>46205.28448</v>
      </c>
      <c r="BI454" s="6">
        <f>IFERROR(__xludf.DUMMYFUNCTION("""COMPUTED_VALUE"""),454.0)</f>
        <v>454</v>
      </c>
      <c r="BJ454" s="6"/>
      <c r="BK454" s="6"/>
      <c r="BL454" s="6" t="str">
        <f>IFERROR(__xludf.DUMMYFUNCTION("""COMPUTED_VALUE"""),"GISDUQ0004")</f>
        <v>GISDUQ0004</v>
      </c>
      <c r="BM454" s="6"/>
      <c r="BN454" s="6"/>
      <c r="BO454" s="6"/>
      <c r="BP454" s="6"/>
      <c r="BQ454" s="6"/>
      <c r="BR454" s="6"/>
      <c r="BS454" s="6"/>
      <c r="BT454" s="6"/>
      <c r="BU454" s="6" t="str">
        <f>IFERROR(__xludf.DUMMYFUNCTION("""COMPUTED_VALUE"""),"NO")</f>
        <v>NO</v>
      </c>
      <c r="BV454" s="6" t="str">
        <f>IFERROR(__xludf.DUMMYFUNCTION("""COMPUTED_VALUE"""),"isabela.d2033")</f>
        <v>isabela.d2033</v>
      </c>
      <c r="BW454" s="6"/>
      <c r="BX454" s="6"/>
      <c r="BY454" s="6"/>
      <c r="BZ454" s="6"/>
    </row>
    <row r="455">
      <c r="A455" s="12">
        <f>IFERROR(__xludf.DUMMYFUNCTION("""COMPUTED_VALUE"""),1.092858891E9)</f>
        <v>1092858891</v>
      </c>
      <c r="B455" s="6">
        <f>IFERROR(__xludf.DUMMYFUNCTION("""COMPUTED_VALUE"""),8.0)</f>
        <v>8</v>
      </c>
      <c r="C455" s="6" t="str">
        <f>IFERROR(__xludf.DUMMYFUNCTION("""COMPUTED_VALUE"""),"Gabriela")</f>
        <v>Gabriela</v>
      </c>
      <c r="D455" s="6"/>
      <c r="E455" s="6" t="str">
        <f>IFERROR(__xludf.DUMMYFUNCTION("""COMPUTED_VALUE"""),"Duque Zambrano")</f>
        <v>Duque Zambrano</v>
      </c>
      <c r="F455" s="6" t="str">
        <f>IFERROR(__xludf.DUMMYFUNCTION("""COMPUTED_VALUE"""),"Condominio Casas de Campo Casa 40 - Calle 23ANte No19 - 47")</f>
        <v>Condominio Casas de Campo Casa 40 - Calle 23ANte No19 - 47</v>
      </c>
      <c r="G455" s="12" t="str">
        <f>IFERROR(__xludf.DUMMYFUNCTION("""COMPUTED_VALUE"""),"2015")</f>
        <v>2015</v>
      </c>
      <c r="H455" s="6" t="str">
        <f>IFERROR(__xludf.DUMMYFUNCTION("""COMPUTED_VALUE"""),"Junio")</f>
        <v>Junio</v>
      </c>
      <c r="I455" s="12" t="str">
        <f>IFERROR(__xludf.DUMMYFUNCTION("""COMPUTED_VALUE"""),"6")</f>
        <v>6</v>
      </c>
      <c r="J455" s="6" t="str">
        <f>IFERROR(__xludf.DUMMYFUNCTION("""COMPUTED_VALUE"""),"Armenia")</f>
        <v>Armenia</v>
      </c>
      <c r="K455" s="6" t="str">
        <f>IFERROR(__xludf.DUMMYFUNCTION("""COMPUTED_VALUE"""),"gabriela.d2033@gi.edu.co")</f>
        <v>gabriela.d2033@gi.edu.co</v>
      </c>
      <c r="L455" s="6" t="str">
        <f>IFERROR(__xludf.DUMMYFUNCTION("""COMPUTED_VALUE"""),"TI")</f>
        <v>TI</v>
      </c>
      <c r="M455" s="6" t="str">
        <f>IFERROR(__xludf.DUMMYFUNCTION("""COMPUTED_VALUE"""),"Armenia")</f>
        <v>Armenia</v>
      </c>
      <c r="N455" s="6" t="str">
        <f>IFERROR(__xludf.DUMMYFUNCTION("""COMPUTED_VALUE"""),"F")</f>
        <v>F</v>
      </c>
      <c r="O455" s="6" t="str">
        <f>IFERROR(__xludf.DUMMYFUNCTION("""COMPUTED_VALUE"""),"ACTIVE")</f>
        <v>ACTIVE</v>
      </c>
      <c r="P455" s="6"/>
      <c r="Q455" s="6" t="str">
        <f>IFERROR(__xludf.DUMMYFUNCTION("""COMPUTED_VALUE"""),"Armenia")</f>
        <v>Armenia</v>
      </c>
      <c r="R455" s="12" t="str">
        <f>IFERROR(__xludf.DUMMYFUNCTION("""COMPUTED_VALUE"""),"Gigi9hZ6mRp*")</f>
        <v>Gigi9hZ6mRp*</v>
      </c>
      <c r="S455" s="6" t="str">
        <f>IFERROR(__xludf.DUMMYFUNCTION("""COMPUTED_VALUE"""),"Duque Zambrano Gabriela ")</f>
        <v>Duque Zambrano Gabriela </v>
      </c>
      <c r="T455" s="6" t="str">
        <f>IFERROR(__xludf.DUMMYFUNCTION("""COMPUTED_VALUE"""),"JUAN JOSÉ DUQUE MEJIA")</f>
        <v>JUAN JOSÉ DUQUE MEJIA</v>
      </c>
      <c r="U455" s="12" t="str">
        <f>IFERROR(__xludf.DUMMYFUNCTION("""COMPUTED_VALUE"""),"88250618")</f>
        <v>88250618</v>
      </c>
      <c r="V455" s="6">
        <f>IFERROR(__xludf.DUMMYFUNCTION("""COMPUTED_VALUE"""),3.154188827E9)</f>
        <v>3154188827</v>
      </c>
      <c r="W455" s="6" t="str">
        <f>IFERROR(__xludf.DUMMYFUNCTION("""COMPUTED_VALUE"""),"juanjoduquem@hotmail.com")</f>
        <v>juanjoduquem@hotmail.com</v>
      </c>
      <c r="X455" s="12" t="str">
        <f>IFERROR(__xludf.DUMMYFUNCTION("""COMPUTED_VALUE"""),"O+")</f>
        <v>O+</v>
      </c>
      <c r="Y455" s="12" t="str">
        <f>IFERROR(__xludf.DUMMYFUNCTION("""COMPUTED_VALUE"""),"6")</f>
        <v>6</v>
      </c>
      <c r="Z455" s="12">
        <f>IFERROR(__xludf.DUMMYFUNCTION("""COMPUTED_VALUE"""),120155.0)</f>
        <v>120155</v>
      </c>
      <c r="AA455" s="6" t="str">
        <f>IFERROR(__xludf.DUMMYFUNCTION("""COMPUTED_VALUE"""),"SANITAS")</f>
        <v>SANITAS</v>
      </c>
      <c r="AB455" s="6"/>
      <c r="AC455" s="12" t="str">
        <f>IFERROR(__xludf.DUMMYFUNCTION("""COMPUTED_VALUE"""),"Picadura de hormiga")</f>
        <v>Picadura de hormiga</v>
      </c>
      <c r="AD455" s="12" t="str">
        <f>IFERROR(__xludf.DUMMYFUNCTION("""COMPUTED_VALUE"""),"6A")</f>
        <v>6A</v>
      </c>
      <c r="AE455" s="12">
        <f>IFERROR(__xludf.DUMMYFUNCTION("""COMPUTED_VALUE"""),1.345281774E9)</f>
        <v>1345281774</v>
      </c>
      <c r="AF455" s="12" t="str">
        <f>IFERROR(__xludf.DUMMYFUNCTION("""COMPUTED_VALUE"""),"0691072787")</f>
        <v>0691072787</v>
      </c>
      <c r="AG455" s="12" t="str">
        <f>IFERROR(__xludf.DUMMYFUNCTION("""COMPUTED_VALUE"""),"Viviana")</f>
        <v>Viviana</v>
      </c>
      <c r="AH455" s="6"/>
      <c r="AI455" s="6" t="str">
        <f>IFERROR(__xludf.DUMMYFUNCTION("""COMPUTED_VALUE"""),"Zambrano Guevara")</f>
        <v>Zambrano Guevara</v>
      </c>
      <c r="AJ455" s="6" t="str">
        <f>IFERROR(__xludf.DUMMYFUNCTION("""COMPUTED_VALUE"""),"vivizambi41@hotmail.com")</f>
        <v>vivizambi41@hotmail.com</v>
      </c>
      <c r="AK455" s="6" t="str">
        <f>IFERROR(__xludf.DUMMYFUNCTION("""COMPUTED_VALUE"""),"Odontologa Especialista")</f>
        <v>Odontologa Especialista</v>
      </c>
      <c r="AL455" s="6"/>
      <c r="AM455" s="12" t="str">
        <f>IFERROR(__xludf.DUMMYFUNCTION("""COMPUTED_VALUE"""),"52186146")</f>
        <v>52186146</v>
      </c>
      <c r="AN455" s="12" t="str">
        <f>IFERROR(__xludf.DUMMYFUNCTION("""COMPUTED_VALUE"""),"3218004240")</f>
        <v>3218004240</v>
      </c>
      <c r="AO455" s="6" t="str">
        <f>IFERROR(__xludf.DUMMYFUNCTION("""COMPUTED_VALUE"""),"Madre")</f>
        <v>Madre</v>
      </c>
      <c r="AP455" s="6" t="str">
        <f>IFERROR(__xludf.DUMMYFUNCTION("""COMPUTED_VALUE"""),"Estudiante(s): Duque Zambrano")</f>
        <v>Estudiante(s): Duque Zambrano</v>
      </c>
      <c r="AQ455" s="6" t="str">
        <f>IFERROR(__xludf.DUMMYFUNCTION("""COMPUTED_VALUE"""),"120155*Gi")</f>
        <v>120155*Gi</v>
      </c>
      <c r="AR455" s="6" t="str">
        <f>IFERROR(__xludf.DUMMYFUNCTION("""COMPUTED_VALUE"""),"Juan")</f>
        <v>Juan</v>
      </c>
      <c r="AS455" s="6" t="str">
        <f>IFERROR(__xludf.DUMMYFUNCTION("""COMPUTED_VALUE"""),"José")</f>
        <v>José</v>
      </c>
      <c r="AT455" s="6" t="str">
        <f>IFERROR(__xludf.DUMMYFUNCTION("""COMPUTED_VALUE"""),"Duque Mejía")</f>
        <v>Duque Mejía</v>
      </c>
      <c r="AU455" s="6" t="str">
        <f>IFERROR(__xludf.DUMMYFUNCTION("""COMPUTED_VALUE"""),"juanjoduquem@hotmail.com")</f>
        <v>juanjoduquem@hotmail.com</v>
      </c>
      <c r="AV455" s="6" t="str">
        <f>IFERROR(__xludf.DUMMYFUNCTION("""COMPUTED_VALUE"""),"Medico Veterinario Zootecnista")</f>
        <v>Medico Veterinario Zootecnista</v>
      </c>
      <c r="AW455" s="6" t="str">
        <f>IFERROR(__xludf.DUMMYFUNCTION("""COMPUTED_VALUE"""),"Mi Pollo S.A.S")</f>
        <v>Mi Pollo S.A.S</v>
      </c>
      <c r="AX455" s="12" t="str">
        <f>IFERROR(__xludf.DUMMYFUNCTION("""COMPUTED_VALUE"""),"88250618")</f>
        <v>88250618</v>
      </c>
      <c r="AY455" s="12" t="str">
        <f>IFERROR(__xludf.DUMMYFUNCTION("""COMPUTED_VALUE"""),"3154188827")</f>
        <v>3154188827</v>
      </c>
      <c r="AZ455" s="6" t="str">
        <f>IFERROR(__xludf.DUMMYFUNCTION("""COMPUTED_VALUE"""),"Padre")</f>
        <v>Padre</v>
      </c>
      <c r="BA455" s="6"/>
      <c r="BB455" s="6"/>
      <c r="BC455" s="6"/>
      <c r="BD455" s="12" t="str">
        <f>IFERROR(__xludf.DUMMYFUNCTION("""COMPUTED_VALUE"""),"duq0003")</f>
        <v>duq0003</v>
      </c>
      <c r="BE455" s="6"/>
      <c r="BF455" s="6"/>
      <c r="BG455" s="6">
        <f>IFERROR(__xludf.DUMMYFUNCTION("""COMPUTED_VALUE"""),2033.0)</f>
        <v>2033</v>
      </c>
      <c r="BH455" s="15">
        <f>IFERROR(__xludf.DUMMYFUNCTION("""COMPUTED_VALUE"""),46210.785474537035)</f>
        <v>46210.78547</v>
      </c>
      <c r="BI455" s="6">
        <f>IFERROR(__xludf.DUMMYFUNCTION("""COMPUTED_VALUE"""),455.0)</f>
        <v>455</v>
      </c>
      <c r="BJ455" s="6"/>
      <c r="BK455" s="6"/>
      <c r="BL455" s="6" t="str">
        <f>IFERROR(__xludf.DUMMYFUNCTION("""COMPUTED_VALUE"""),"GISDUQ0003")</f>
        <v>GISDUQ0003</v>
      </c>
      <c r="BM455" s="6"/>
      <c r="BN455" s="6"/>
      <c r="BO455" s="6" t="str">
        <f>IFERROR(__xludf.DUMMYFUNCTION("""COMPUTED_VALUE"""),"XC_MS_Futbol_M")</f>
        <v>XC_MS_Futbol_M</v>
      </c>
      <c r="BP455" s="6" t="str">
        <f>IFERROR(__xludf.DUMMYFUNCTION("""COMPUTED_VALUE"""),"XC_SEC_OlympMath")</f>
        <v>XC_SEC_OlympMath</v>
      </c>
      <c r="BQ455" s="6" t="str">
        <f>IFERROR(__xludf.DUMMYFUNCTION("""COMPUTED_VALUE"""),"XC_MS_Futbol_M")</f>
        <v>XC_MS_Futbol_M</v>
      </c>
      <c r="BR455" s="6" t="str">
        <f>IFERROR(__xludf.DUMMYFUNCTION("""COMPUTED_VALUE"""),"XC_MS_Futbol_M")</f>
        <v>XC_MS_Futbol_M</v>
      </c>
      <c r="BS455" s="6"/>
      <c r="BT455" s="6" t="str">
        <f>IFERROR(__xludf.DUMMYFUNCTION("""COMPUTED_VALUE"""),"XC_MS_Futbol_M")</f>
        <v>XC_MS_Futbol_M</v>
      </c>
      <c r="BU455" s="6" t="str">
        <f>IFERROR(__xludf.DUMMYFUNCTION("""COMPUTED_VALUE"""),"SI")</f>
        <v>SI</v>
      </c>
      <c r="BV455" s="6" t="str">
        <f>IFERROR(__xludf.DUMMYFUNCTION("""COMPUTED_VALUE"""),"gabriela.d2033")</f>
        <v>gabriela.d2033</v>
      </c>
      <c r="BW455" s="6"/>
      <c r="BX455" s="6"/>
      <c r="BY455" s="6"/>
      <c r="BZ455" s="6"/>
    </row>
    <row r="456">
      <c r="A456" s="12">
        <f>IFERROR(__xludf.DUMMYFUNCTION("""COMPUTED_VALUE"""),1.01991098E9)</f>
        <v>1019910980</v>
      </c>
      <c r="B456" s="6">
        <f>IFERROR(__xludf.DUMMYFUNCTION("""COMPUTED_VALUE"""),9.0)</f>
        <v>9</v>
      </c>
      <c r="C456" s="6" t="str">
        <f>IFERROR(__xludf.DUMMYFUNCTION("""COMPUTED_VALUE"""),"Frida")</f>
        <v>Frida</v>
      </c>
      <c r="D456" s="6"/>
      <c r="E456" s="6" t="str">
        <f>IFERROR(__xludf.DUMMYFUNCTION("""COMPUTED_VALUE"""),"Gómez Botero")</f>
        <v>Gómez Botero</v>
      </c>
      <c r="F456" s="6" t="str">
        <f>IFERROR(__xludf.DUMMYFUNCTION("""COMPUTED_VALUE"""),"El Bosque - Corregimiento El Caimo")</f>
        <v>El Bosque - Corregimiento El Caimo</v>
      </c>
      <c r="G456" s="12" t="str">
        <f>IFERROR(__xludf.DUMMYFUNCTION("""COMPUTED_VALUE"""),"2015")</f>
        <v>2015</v>
      </c>
      <c r="H456" s="6" t="str">
        <f>IFERROR(__xludf.DUMMYFUNCTION("""COMPUTED_VALUE"""),"Marzo")</f>
        <v>Marzo</v>
      </c>
      <c r="I456" s="12" t="str">
        <f>IFERROR(__xludf.DUMMYFUNCTION("""COMPUTED_VALUE"""),"14")</f>
        <v>14</v>
      </c>
      <c r="J456" s="6" t="str">
        <f>IFERROR(__xludf.DUMMYFUNCTION("""COMPUTED_VALUE"""),"Bogotá D.C.")</f>
        <v>Bogotá D.C.</v>
      </c>
      <c r="K456" s="6" t="str">
        <f>IFERROR(__xludf.DUMMYFUNCTION("""COMPUTED_VALUE"""),"frida.g2033@gi.edu.co")</f>
        <v>frida.g2033@gi.edu.co</v>
      </c>
      <c r="L456" s="6" t="str">
        <f>IFERROR(__xludf.DUMMYFUNCTION("""COMPUTED_VALUE"""),"RC")</f>
        <v>RC</v>
      </c>
      <c r="M456" s="6" t="str">
        <f>IFERROR(__xludf.DUMMYFUNCTION("""COMPUTED_VALUE"""),"Bogotá D.C.")</f>
        <v>Bogotá D.C.</v>
      </c>
      <c r="N456" s="6" t="str">
        <f>IFERROR(__xludf.DUMMYFUNCTION("""COMPUTED_VALUE"""),"F")</f>
        <v>F</v>
      </c>
      <c r="O456" s="6" t="str">
        <f>IFERROR(__xludf.DUMMYFUNCTION("""COMPUTED_VALUE"""),"ACTIVE")</f>
        <v>ACTIVE</v>
      </c>
      <c r="P456" s="6"/>
      <c r="Q456" s="6" t="str">
        <f>IFERROR(__xludf.DUMMYFUNCTION("""COMPUTED_VALUE"""),"Armenia")</f>
        <v>Armenia</v>
      </c>
      <c r="R456" s="12" t="str">
        <f>IFERROR(__xludf.DUMMYFUNCTION("""COMPUTED_VALUE"""),"Gi45df78*")</f>
        <v>Gi45df78*</v>
      </c>
      <c r="S456" s="6" t="str">
        <f>IFERROR(__xludf.DUMMYFUNCTION("""COMPUTED_VALUE"""),"Gómez Botero Frida ")</f>
        <v>Gómez Botero Frida </v>
      </c>
      <c r="T456" s="6" t="str">
        <f>IFERROR(__xludf.DUMMYFUNCTION("""COMPUTED_VALUE"""),"HERNAN BOTERO BOTERO")</f>
        <v>HERNAN BOTERO BOTERO</v>
      </c>
      <c r="U456" s="12" t="str">
        <f>IFERROR(__xludf.DUMMYFUNCTION("""COMPUTED_VALUE"""),"7506665")</f>
        <v>7506665</v>
      </c>
      <c r="V456" s="6">
        <f>IFERROR(__xludf.DUMMYFUNCTION("""COMPUTED_VALUE"""),3.182826316E9)</f>
        <v>3182826316</v>
      </c>
      <c r="W456" s="6" t="str">
        <f>IFERROR(__xludf.DUMMYFUNCTION("""COMPUTED_VALUE"""),"ganaderia49@hotmail.com")</f>
        <v>ganaderia49@hotmail.com</v>
      </c>
      <c r="X456" s="12" t="str">
        <f>IFERROR(__xludf.DUMMYFUNCTION("""COMPUTED_VALUE"""),"O-")</f>
        <v>O-</v>
      </c>
      <c r="Y456" s="12" t="str">
        <f>IFERROR(__xludf.DUMMYFUNCTION("""COMPUTED_VALUE"""),"6")</f>
        <v>6</v>
      </c>
      <c r="Z456" s="12">
        <f>IFERROR(__xludf.DUMMYFUNCTION("""COMPUTED_VALUE"""),103845.0)</f>
        <v>103845</v>
      </c>
      <c r="AA456" s="6" t="str">
        <f>IFERROR(__xludf.DUMMYFUNCTION("""COMPUTED_VALUE"""),"CAFESALUD")</f>
        <v>CAFESALUD</v>
      </c>
      <c r="AB456" s="6"/>
      <c r="AC456" s="12" t="str">
        <f>IFERROR(__xludf.DUMMYFUNCTION("""COMPUTED_VALUE"""),"Colorantes artificiales - plastilina, marcadores, Colorantes - caseina - leche - procesados, salchichas, jamon")</f>
        <v>Colorantes artificiales - plastilina, marcadores, Colorantes - caseina - leche - procesados, salchichas, jamon</v>
      </c>
      <c r="AD456" s="12" t="str">
        <f>IFERROR(__xludf.DUMMYFUNCTION("""COMPUTED_VALUE"""),"6A")</f>
        <v>6A</v>
      </c>
      <c r="AE456" s="12">
        <f>IFERROR(__xludf.DUMMYFUNCTION("""COMPUTED_VALUE"""),1.345281937E9)</f>
        <v>1345281937</v>
      </c>
      <c r="AF456" s="12" t="str">
        <f>IFERROR(__xludf.DUMMYFUNCTION("""COMPUTED_VALUE"""),"0681960595")</f>
        <v>0681960595</v>
      </c>
      <c r="AG456" s="12" t="str">
        <f>IFERROR(__xludf.DUMMYFUNCTION("""COMPUTED_VALUE"""),"Juliana")</f>
        <v>Juliana</v>
      </c>
      <c r="AH456" s="6"/>
      <c r="AI456" s="6" t="str">
        <f>IFERROR(__xludf.DUMMYFUNCTION("""COMPUTED_VALUE"""),"Botero Saffón")</f>
        <v>Botero Saffón</v>
      </c>
      <c r="AJ456" s="6" t="str">
        <f>IFERROR(__xludf.DUMMYFUNCTION("""COMPUTED_VALUE"""),"catfua@gmail.com")</f>
        <v>catfua@gmail.com</v>
      </c>
      <c r="AK456" s="6" t="str">
        <f>IFERROR(__xludf.DUMMYFUNCTION("""COMPUTED_VALUE"""),"ESCENOGRAFA")</f>
        <v>ESCENOGRAFA</v>
      </c>
      <c r="AL456" s="6" t="str">
        <f>IFERROR(__xludf.DUMMYFUNCTION("""COMPUTED_VALUE"""),"GANADERIA BOTERO")</f>
        <v>GANADERIA BOTERO</v>
      </c>
      <c r="AM456" s="12" t="str">
        <f>IFERROR(__xludf.DUMMYFUNCTION("""COMPUTED_VALUE"""),"32242289")</f>
        <v>32242289</v>
      </c>
      <c r="AN456" s="12" t="str">
        <f>IFERROR(__xludf.DUMMYFUNCTION("""COMPUTED_VALUE"""),"3104042287")</f>
        <v>3104042287</v>
      </c>
      <c r="AO456" s="6" t="str">
        <f>IFERROR(__xludf.DUMMYFUNCTION("""COMPUTED_VALUE"""),"Madre")</f>
        <v>Madre</v>
      </c>
      <c r="AP456" s="6" t="str">
        <f>IFERROR(__xludf.DUMMYFUNCTION("""COMPUTED_VALUE"""),"Estudiante(s): Gómez Botero")</f>
        <v>Estudiante(s): Gómez Botero</v>
      </c>
      <c r="AQ456" s="6" t="str">
        <f>IFERROR(__xludf.DUMMYFUNCTION("""COMPUTED_VALUE"""),"103965*Gi")</f>
        <v>103965*Gi</v>
      </c>
      <c r="AR456" s="6" t="str">
        <f>IFERROR(__xludf.DUMMYFUNCTION("""COMPUTED_VALUE"""),"Hernán")</f>
        <v>Hernán</v>
      </c>
      <c r="AS456" s="6"/>
      <c r="AT456" s="6" t="str">
        <f>IFERROR(__xludf.DUMMYFUNCTION("""COMPUTED_VALUE"""),"Botero")</f>
        <v>Botero</v>
      </c>
      <c r="AU456" s="6" t="str">
        <f>IFERROR(__xludf.DUMMYFUNCTION("""COMPUTED_VALUE"""),"ganaderia49@hotmail.com")</f>
        <v>ganaderia49@hotmail.com</v>
      </c>
      <c r="AV456" s="6" t="str">
        <f>IFERROR(__xludf.DUMMYFUNCTION("""COMPUTED_VALUE"""),"Publicista")</f>
        <v>Publicista</v>
      </c>
      <c r="AW456" s="6"/>
      <c r="AX456" s="12" t="str">
        <f>IFERROR(__xludf.DUMMYFUNCTION("""COMPUTED_VALUE"""),"7506665")</f>
        <v>7506665</v>
      </c>
      <c r="AY456" s="12" t="str">
        <f>IFERROR(__xludf.DUMMYFUNCTION("""COMPUTED_VALUE"""),"3104042287")</f>
        <v>3104042287</v>
      </c>
      <c r="AZ456" s="6" t="str">
        <f>IFERROR(__xludf.DUMMYFUNCTION("""COMPUTED_VALUE"""),"Padre")</f>
        <v>Padre</v>
      </c>
      <c r="BA456" s="6" t="str">
        <f>IFERROR(__xludf.DUMMYFUNCTION("""COMPUTED_VALUE"""),"HERNAN BOTERO BOTERO")</f>
        <v>HERNAN BOTERO BOTERO</v>
      </c>
      <c r="BB456" s="6">
        <f>IFERROR(__xludf.DUMMYFUNCTION("""COMPUTED_VALUE"""),3.182826316E9)</f>
        <v>3182826316</v>
      </c>
      <c r="BC456" s="6" t="str">
        <f>IFERROR(__xludf.DUMMYFUNCTION("""COMPUTED_VALUE"""),"Abuelo(a)")</f>
        <v>Abuelo(a)</v>
      </c>
      <c r="BD456" s="12" t="str">
        <f>IFERROR(__xludf.DUMMYFUNCTION("""COMPUTED_VALUE"""),"vill0001")</f>
        <v>vill0001</v>
      </c>
      <c r="BE456" s="6"/>
      <c r="BF456" s="6"/>
      <c r="BG456" s="6">
        <f>IFERROR(__xludf.DUMMYFUNCTION("""COMPUTED_VALUE"""),2033.0)</f>
        <v>2033</v>
      </c>
      <c r="BH456" s="15">
        <f>IFERROR(__xludf.DUMMYFUNCTION("""COMPUTED_VALUE"""),46230.67866898148)</f>
        <v>46230.67867</v>
      </c>
      <c r="BI456" s="6">
        <f>IFERROR(__xludf.DUMMYFUNCTION("""COMPUTED_VALUE"""),456.0)</f>
        <v>456</v>
      </c>
      <c r="BJ456" s="6"/>
      <c r="BK456" s="6"/>
      <c r="BL456" s="6" t="str">
        <f>IFERROR(__xludf.DUMMYFUNCTION("""COMPUTED_VALUE"""),"GISVILL0001")</f>
        <v>GISVILL0001</v>
      </c>
      <c r="BM456" s="6"/>
      <c r="BN456" s="6"/>
      <c r="BO456" s="6"/>
      <c r="BP456" s="6"/>
      <c r="BQ456" s="6"/>
      <c r="BR456" s="6"/>
      <c r="BS456" s="6"/>
      <c r="BT456" s="6"/>
      <c r="BU456" s="6" t="str">
        <f>IFERROR(__xludf.DUMMYFUNCTION("""COMPUTED_VALUE"""),"SI")</f>
        <v>SI</v>
      </c>
      <c r="BV456" s="6" t="str">
        <f>IFERROR(__xludf.DUMMYFUNCTION("""COMPUTED_VALUE"""),"frida.g2033")</f>
        <v>frida.g2033</v>
      </c>
      <c r="BW456" s="6"/>
      <c r="BX456" s="6"/>
      <c r="BY456" s="6"/>
      <c r="BZ456" s="6"/>
    </row>
    <row r="457">
      <c r="A457" s="12">
        <f>IFERROR(__xludf.DUMMYFUNCTION("""COMPUTED_VALUE"""),1.123814628E9)</f>
        <v>1123814628</v>
      </c>
      <c r="B457" s="6">
        <f>IFERROR(__xludf.DUMMYFUNCTION("""COMPUTED_VALUE"""),10.0)</f>
        <v>10</v>
      </c>
      <c r="C457" s="6" t="str">
        <f>IFERROR(__xludf.DUMMYFUNCTION("""COMPUTED_VALUE"""),"César")</f>
        <v>César</v>
      </c>
      <c r="D457" s="6" t="str">
        <f>IFERROR(__xludf.DUMMYFUNCTION("""COMPUTED_VALUE"""),"Emmanuel")</f>
        <v>Emmanuel</v>
      </c>
      <c r="E457" s="6" t="str">
        <f>IFERROR(__xludf.DUMMYFUNCTION("""COMPUTED_VALUE"""),"González Álvarez")</f>
        <v>González Álvarez</v>
      </c>
      <c r="F457" s="6" t="str">
        <f>IFERROR(__xludf.DUMMYFUNCTION("""COMPUTED_VALUE"""),"Condominio Casa de Campo Casa 29 - Calle 23ANte No19 - 47")</f>
        <v>Condominio Casa de Campo Casa 29 - Calle 23ANte No19 - 47</v>
      </c>
      <c r="G457" s="12" t="str">
        <f>IFERROR(__xludf.DUMMYFUNCTION("""COMPUTED_VALUE"""),"2015")</f>
        <v>2015</v>
      </c>
      <c r="H457" s="6" t="str">
        <f>IFERROR(__xludf.DUMMYFUNCTION("""COMPUTED_VALUE"""),"Enero")</f>
        <v>Enero</v>
      </c>
      <c r="I457" s="12" t="str">
        <f>IFERROR(__xludf.DUMMYFUNCTION("""COMPUTED_VALUE"""),"5")</f>
        <v>5</v>
      </c>
      <c r="J457" s="6" t="str">
        <f>IFERROR(__xludf.DUMMYFUNCTION("""COMPUTED_VALUE"""),"Villavicencio")</f>
        <v>Villavicencio</v>
      </c>
      <c r="K457" s="6" t="str">
        <f>IFERROR(__xludf.DUMMYFUNCTION("""COMPUTED_VALUE"""),"emmanuel.g2033@gi.edu.co")</f>
        <v>emmanuel.g2033@gi.edu.co</v>
      </c>
      <c r="L457" s="6" t="str">
        <f>IFERROR(__xludf.DUMMYFUNCTION("""COMPUTED_VALUE"""),"TI")</f>
        <v>TI</v>
      </c>
      <c r="M457" s="6" t="str">
        <f>IFERROR(__xludf.DUMMYFUNCTION("""COMPUTED_VALUE"""),"Armenia")</f>
        <v>Armenia</v>
      </c>
      <c r="N457" s="6" t="str">
        <f>IFERROR(__xludf.DUMMYFUNCTION("""COMPUTED_VALUE"""),"M")</f>
        <v>M</v>
      </c>
      <c r="O457" s="6" t="str">
        <f>IFERROR(__xludf.DUMMYFUNCTION("""COMPUTED_VALUE"""),"ACTIVE")</f>
        <v>ACTIVE</v>
      </c>
      <c r="P457" s="6"/>
      <c r="Q457" s="6" t="str">
        <f>IFERROR(__xludf.DUMMYFUNCTION("""COMPUTED_VALUE"""),"Armenia")</f>
        <v>Armenia</v>
      </c>
      <c r="R457" s="12" t="str">
        <f>IFERROR(__xludf.DUMMYFUNCTION("""COMPUTED_VALUE"""),"Gibncv43*")</f>
        <v>Gibncv43*</v>
      </c>
      <c r="S457" s="6" t="str">
        <f>IFERROR(__xludf.DUMMYFUNCTION("""COMPUTED_VALUE"""),"González Álvarez César Emmanuel")</f>
        <v>González Álvarez César Emmanuel</v>
      </c>
      <c r="T457" s="6" t="str">
        <f>IFERROR(__xludf.DUMMYFUNCTION("""COMPUTED_VALUE"""),"JAIME CESAR GONZALEZ PULIDO")</f>
        <v>JAIME CESAR GONZALEZ PULIDO</v>
      </c>
      <c r="U457" s="12" t="str">
        <f>IFERROR(__xludf.DUMMYFUNCTION("""COMPUTED_VALUE"""),"86058376")</f>
        <v>86058376</v>
      </c>
      <c r="V457" s="6">
        <f>IFERROR(__xludf.DUMMYFUNCTION("""COMPUTED_VALUE"""),3.157613907E9)</f>
        <v>3157613907</v>
      </c>
      <c r="W457" s="6" t="str">
        <f>IFERROR(__xludf.DUMMYFUNCTION("""COMPUTED_VALUE"""),"jaimecgp@hotmail.com")</f>
        <v>jaimecgp@hotmail.com</v>
      </c>
      <c r="X457" s="12" t="str">
        <f>IFERROR(__xludf.DUMMYFUNCTION("""COMPUTED_VALUE"""),"O+")</f>
        <v>O+</v>
      </c>
      <c r="Y457" s="12" t="str">
        <f>IFERROR(__xludf.DUMMYFUNCTION("""COMPUTED_VALUE"""),"6")</f>
        <v>6</v>
      </c>
      <c r="Z457" s="12">
        <f>IFERROR(__xludf.DUMMYFUNCTION("""COMPUTED_VALUE"""),103878.0)</f>
        <v>103878</v>
      </c>
      <c r="AA457" s="6" t="str">
        <f>IFERROR(__xludf.DUMMYFUNCTION("""COMPUTED_VALUE"""),"OTRA")</f>
        <v>OTRA</v>
      </c>
      <c r="AB457" s="6"/>
      <c r="AC457" s="6"/>
      <c r="AD457" s="12" t="str">
        <f>IFERROR(__xludf.DUMMYFUNCTION("""COMPUTED_VALUE"""),"6A")</f>
        <v>6A</v>
      </c>
      <c r="AE457" s="12">
        <f>IFERROR(__xludf.DUMMYFUNCTION("""COMPUTED_VALUE"""),1.345281947E9)</f>
        <v>1345281947</v>
      </c>
      <c r="AF457" s="12" t="str">
        <f>IFERROR(__xludf.DUMMYFUNCTION("""COMPUTED_VALUE"""),"2803037699")</f>
        <v>2803037699</v>
      </c>
      <c r="AG457" s="12" t="str">
        <f>IFERROR(__xludf.DUMMYFUNCTION("""COMPUTED_VALUE"""),"Esmeralda")</f>
        <v>Esmeralda</v>
      </c>
      <c r="AH457" s="6"/>
      <c r="AI457" s="6" t="str">
        <f>IFERROR(__xludf.DUMMYFUNCTION("""COMPUTED_VALUE"""),"Álvarez Castro")</f>
        <v>Álvarez Castro</v>
      </c>
      <c r="AJ457" s="6" t="str">
        <f>IFERROR(__xludf.DUMMYFUNCTION("""COMPUTED_VALUE"""),"esmeralvarez@hotmail.com")</f>
        <v>esmeralvarez@hotmail.com</v>
      </c>
      <c r="AK457" s="6" t="str">
        <f>IFERROR(__xludf.DUMMYFUNCTION("""COMPUTED_VALUE"""),"Abogada")</f>
        <v>Abogada</v>
      </c>
      <c r="AL457" s="6" t="str">
        <f>IFERROR(__xludf.DUMMYFUNCTION("""COMPUTED_VALUE"""),"Independiente")</f>
        <v>Independiente</v>
      </c>
      <c r="AM457" s="12" t="str">
        <f>IFERROR(__xludf.DUMMYFUNCTION("""COMPUTED_VALUE"""),"40440701")</f>
        <v>40440701</v>
      </c>
      <c r="AN457" s="12" t="str">
        <f>IFERROR(__xludf.DUMMYFUNCTION("""COMPUTED_VALUE"""),"3143346125")</f>
        <v>3143346125</v>
      </c>
      <c r="AO457" s="6" t="str">
        <f>IFERROR(__xludf.DUMMYFUNCTION("""COMPUTED_VALUE"""),"Madre")</f>
        <v>Madre</v>
      </c>
      <c r="AP457" s="6" t="str">
        <f>IFERROR(__xludf.DUMMYFUNCTION("""COMPUTED_VALUE"""),"Estudiante(s): González Álvarez")</f>
        <v>Estudiante(s): González Álvarez</v>
      </c>
      <c r="AQ457" s="6" t="str">
        <f>IFERROR(__xludf.DUMMYFUNCTION("""COMPUTED_VALUE"""),"103879*Gi")</f>
        <v>103879*Gi</v>
      </c>
      <c r="AR457" s="6" t="str">
        <f>IFERROR(__xludf.DUMMYFUNCTION("""COMPUTED_VALUE"""),"Jaime")</f>
        <v>Jaime</v>
      </c>
      <c r="AS457" s="6" t="str">
        <f>IFERROR(__xludf.DUMMYFUNCTION("""COMPUTED_VALUE"""),"César")</f>
        <v>César</v>
      </c>
      <c r="AT457" s="6" t="str">
        <f>IFERROR(__xludf.DUMMYFUNCTION("""COMPUTED_VALUE"""),"González Pulido")</f>
        <v>González Pulido</v>
      </c>
      <c r="AU457" s="6" t="str">
        <f>IFERROR(__xludf.DUMMYFUNCTION("""COMPUTED_VALUE"""),"jaimecgp@hotmail.com")</f>
        <v>jaimecgp@hotmail.com</v>
      </c>
      <c r="AV457" s="6" t="str">
        <f>IFERROR(__xludf.DUMMYFUNCTION("""COMPUTED_VALUE"""),"Ingeniero Civil")</f>
        <v>Ingeniero Civil</v>
      </c>
      <c r="AW457" s="6" t="str">
        <f>IFERROR(__xludf.DUMMYFUNCTION("""COMPUTED_VALUE"""),"S&amp;M BLESSED")</f>
        <v>S&amp;M BLESSED</v>
      </c>
      <c r="AX457" s="12" t="str">
        <f>IFERROR(__xludf.DUMMYFUNCTION("""COMPUTED_VALUE"""),"86058376")</f>
        <v>86058376</v>
      </c>
      <c r="AY457" s="12" t="str">
        <f>IFERROR(__xludf.DUMMYFUNCTION("""COMPUTED_VALUE"""),"3157613907")</f>
        <v>3157613907</v>
      </c>
      <c r="AZ457" s="6" t="str">
        <f>IFERROR(__xludf.DUMMYFUNCTION("""COMPUTED_VALUE"""),"Padre")</f>
        <v>Padre</v>
      </c>
      <c r="BA457" s="6"/>
      <c r="BB457" s="6"/>
      <c r="BC457" s="6"/>
      <c r="BD457" s="12" t="str">
        <f>IFERROR(__xludf.DUMMYFUNCTION("""COMPUTED_VALUE"""),"gon0016")</f>
        <v>gon0016</v>
      </c>
      <c r="BE457" s="6"/>
      <c r="BF457" s="6"/>
      <c r="BG457" s="6">
        <f>IFERROR(__xludf.DUMMYFUNCTION("""COMPUTED_VALUE"""),2033.0)</f>
        <v>2033</v>
      </c>
      <c r="BH457" s="15">
        <f>IFERROR(__xludf.DUMMYFUNCTION("""COMPUTED_VALUE"""),46212.582962962966)</f>
        <v>46212.58296</v>
      </c>
      <c r="BI457" s="6">
        <f>IFERROR(__xludf.DUMMYFUNCTION("""COMPUTED_VALUE"""),457.0)</f>
        <v>457</v>
      </c>
      <c r="BJ457" s="6"/>
      <c r="BK457" s="6"/>
      <c r="BL457" s="6" t="str">
        <f>IFERROR(__xludf.DUMMYFUNCTION("""COMPUTED_VALUE"""),"GISGON0016")</f>
        <v>GISGON0016</v>
      </c>
      <c r="BM457" s="6"/>
      <c r="BN457" s="6"/>
      <c r="BO457" s="6"/>
      <c r="BP457" s="6"/>
      <c r="BQ457" s="6"/>
      <c r="BR457" s="6"/>
      <c r="BS457" s="6"/>
      <c r="BT457" s="6"/>
      <c r="BU457" s="6" t="str">
        <f>IFERROR(__xludf.DUMMYFUNCTION("""COMPUTED_VALUE"""),"SI")</f>
        <v>SI</v>
      </c>
      <c r="BV457" s="6" t="str">
        <f>IFERROR(__xludf.DUMMYFUNCTION("""COMPUTED_VALUE"""),"emmanuel.g2033")</f>
        <v>emmanuel.g2033</v>
      </c>
      <c r="BW457" s="6"/>
      <c r="BX457" s="6"/>
      <c r="BY457" s="6"/>
      <c r="BZ457" s="6"/>
    </row>
    <row r="458">
      <c r="A458" s="12">
        <f>IFERROR(__xludf.DUMMYFUNCTION("""COMPUTED_VALUE"""),1.092464384E9)</f>
        <v>1092464384</v>
      </c>
      <c r="B458" s="6">
        <f>IFERROR(__xludf.DUMMYFUNCTION("""COMPUTED_VALUE"""),11.0)</f>
        <v>11</v>
      </c>
      <c r="C458" s="6" t="str">
        <f>IFERROR(__xludf.DUMMYFUNCTION("""COMPUTED_VALUE"""),"Celeste")</f>
        <v>Celeste</v>
      </c>
      <c r="D458" s="6"/>
      <c r="E458" s="6" t="str">
        <f>IFERROR(__xludf.DUMMYFUNCTION("""COMPUTED_VALUE"""),"González Bautista")</f>
        <v>González Bautista</v>
      </c>
      <c r="F458" s="6" t="str">
        <f>IFERROR(__xludf.DUMMYFUNCTION("""COMPUTED_VALUE"""),"Condominio Hacienda Horizontes Casa 51 - Km 3 Via Circasia Vereda la Florida")</f>
        <v>Condominio Hacienda Horizontes Casa 51 - Km 3 Via Circasia Vereda la Florida</v>
      </c>
      <c r="G458" s="12" t="str">
        <f>IFERROR(__xludf.DUMMYFUNCTION("""COMPUTED_VALUE"""),"2015")</f>
        <v>2015</v>
      </c>
      <c r="H458" s="6" t="str">
        <f>IFERROR(__xludf.DUMMYFUNCTION("""COMPUTED_VALUE"""),"Agosto")</f>
        <v>Agosto</v>
      </c>
      <c r="I458" s="12" t="str">
        <f>IFERROR(__xludf.DUMMYFUNCTION("""COMPUTED_VALUE"""),"30")</f>
        <v>30</v>
      </c>
      <c r="J458" s="6" t="str">
        <f>IFERROR(__xludf.DUMMYFUNCTION("""COMPUTED_VALUE"""),"Armenia")</f>
        <v>Armenia</v>
      </c>
      <c r="K458" s="6" t="str">
        <f>IFERROR(__xludf.DUMMYFUNCTION("""COMPUTED_VALUE"""),"celeste.g2033@gi.edu.co")</f>
        <v>celeste.g2033@gi.edu.co</v>
      </c>
      <c r="L458" s="6" t="str">
        <f>IFERROR(__xludf.DUMMYFUNCTION("""COMPUTED_VALUE"""),"TI")</f>
        <v>TI</v>
      </c>
      <c r="M458" s="6" t="str">
        <f>IFERROR(__xludf.DUMMYFUNCTION("""COMPUTED_VALUE"""),"Armenia")</f>
        <v>Armenia</v>
      </c>
      <c r="N458" s="6" t="str">
        <f>IFERROR(__xludf.DUMMYFUNCTION("""COMPUTED_VALUE"""),"F")</f>
        <v>F</v>
      </c>
      <c r="O458" s="6" t="str">
        <f>IFERROR(__xludf.DUMMYFUNCTION("""COMPUTED_VALUE"""),"INACTIVE")</f>
        <v>INACTIVE</v>
      </c>
      <c r="P458" s="6"/>
      <c r="Q458" s="6" t="str">
        <f>IFERROR(__xludf.DUMMYFUNCTION("""COMPUTED_VALUE"""),"Armenia")</f>
        <v>Armenia</v>
      </c>
      <c r="R458" s="12" t="str">
        <f>IFERROR(__xludf.DUMMYFUNCTION("""COMPUTED_VALUE"""),"Gi45ghh*")</f>
        <v>Gi45ghh*</v>
      </c>
      <c r="S458" s="6" t="str">
        <f>IFERROR(__xludf.DUMMYFUNCTION("""COMPUTED_VALUE"""),"González Bautista Celeste ")</f>
        <v>González Bautista Celeste </v>
      </c>
      <c r="T458" s="6" t="str">
        <f>IFERROR(__xludf.DUMMYFUNCTION("""COMPUTED_VALUE"""),"JORGE ANDRES GONZALEZ VALENCIA")</f>
        <v>JORGE ANDRES GONZALEZ VALENCIA</v>
      </c>
      <c r="U458" s="12" t="str">
        <f>IFERROR(__xludf.DUMMYFUNCTION("""COMPUTED_VALUE"""),"1094893542")</f>
        <v>1094893542</v>
      </c>
      <c r="V458" s="6">
        <f>IFERROR(__xludf.DUMMYFUNCTION("""COMPUTED_VALUE"""),3.206970808E9)</f>
        <v>3206970808</v>
      </c>
      <c r="W458" s="6" t="str">
        <f>IFERROR(__xludf.DUMMYFUNCTION("""COMPUTED_VALUE"""),"direccion@constructorabio.com")</f>
        <v>direccion@constructorabio.com</v>
      </c>
      <c r="X458" s="12" t="str">
        <f>IFERROR(__xludf.DUMMYFUNCTION("""COMPUTED_VALUE"""),"O+")</f>
        <v>O+</v>
      </c>
      <c r="Y458" s="12" t="str">
        <f>IFERROR(__xludf.DUMMYFUNCTION("""COMPUTED_VALUE"""),"6")</f>
        <v>6</v>
      </c>
      <c r="Z458" s="12">
        <f>IFERROR(__xludf.DUMMYFUNCTION("""COMPUTED_VALUE"""),103753.0)</f>
        <v>103753</v>
      </c>
      <c r="AA458" s="6" t="str">
        <f>IFERROR(__xludf.DUMMYFUNCTION("""COMPUTED_VALUE"""),"SURA")</f>
        <v>SURA</v>
      </c>
      <c r="AB458" s="6" t="str">
        <f>IFERROR(__xludf.DUMMYFUNCTION("""COMPUTED_VALUE"""),"emi")</f>
        <v>emi</v>
      </c>
      <c r="AC458" s="6"/>
      <c r="AD458" s="12" t="str">
        <f>IFERROR(__xludf.DUMMYFUNCTION("""COMPUTED_VALUE"""),"6A")</f>
        <v>6A</v>
      </c>
      <c r="AE458" s="12">
        <f>IFERROR(__xludf.DUMMYFUNCTION("""COMPUTED_VALUE"""),1.345281864E9)</f>
        <v>1345281864</v>
      </c>
      <c r="AF458" s="12" t="str">
        <f>IFERROR(__xludf.DUMMYFUNCTION("""COMPUTED_VALUE"""),"0708430003")</f>
        <v>0708430003</v>
      </c>
      <c r="AG458" s="12" t="str">
        <f>IFERROR(__xludf.DUMMYFUNCTION("""COMPUTED_VALUE"""),"Natalia")</f>
        <v>Natalia</v>
      </c>
      <c r="AH458" s="6"/>
      <c r="AI458" s="6" t="str">
        <f>IFERROR(__xludf.DUMMYFUNCTION("""COMPUTED_VALUE"""),"Bautista Mejia")</f>
        <v>Bautista Mejia</v>
      </c>
      <c r="AJ458" s="6" t="str">
        <f>IFERROR(__xludf.DUMMYFUNCTION("""COMPUTED_VALUE"""),"viverolaesmeralda@hotmail.com")</f>
        <v>viverolaesmeralda@hotmail.com</v>
      </c>
      <c r="AK458" s="6" t="str">
        <f>IFERROR(__xludf.DUMMYFUNCTION("""COMPUTED_VALUE"""),"paisajista")</f>
        <v>paisajista</v>
      </c>
      <c r="AL458" s="6" t="str">
        <f>IFERROR(__xludf.DUMMYFUNCTION("""COMPUTED_VALUE"""),"arte vivo paisajismo")</f>
        <v>arte vivo paisajismo</v>
      </c>
      <c r="AM458" s="12" t="str">
        <f>IFERROR(__xludf.DUMMYFUNCTION("""COMPUTED_VALUE"""),"41954120")</f>
        <v>41954120</v>
      </c>
      <c r="AN458" s="12" t="str">
        <f>IFERROR(__xludf.DUMMYFUNCTION("""COMPUTED_VALUE"""),"3162948304")</f>
        <v>3162948304</v>
      </c>
      <c r="AO458" s="6" t="str">
        <f>IFERROR(__xludf.DUMMYFUNCTION("""COMPUTED_VALUE"""),"Madre")</f>
        <v>Madre</v>
      </c>
      <c r="AP458" s="6" t="str">
        <f>IFERROR(__xludf.DUMMYFUNCTION("""COMPUTED_VALUE"""),"Estudiante(s): Celeste González Bautista &amp; Juanna Vallejo Bautista")</f>
        <v>Estudiante(s): Celeste González Bautista &amp; Juanna Vallejo Bautista</v>
      </c>
      <c r="AQ458" s="6" t="str">
        <f>IFERROR(__xludf.DUMMYFUNCTION("""COMPUTED_VALUE"""),"103753*Gi")</f>
        <v>103753*Gi</v>
      </c>
      <c r="AR458" s="6" t="str">
        <f>IFERROR(__xludf.DUMMYFUNCTION("""COMPUTED_VALUE"""),"Jorge")</f>
        <v>Jorge</v>
      </c>
      <c r="AS458" s="6" t="str">
        <f>IFERROR(__xludf.DUMMYFUNCTION("""COMPUTED_VALUE"""),"Andres")</f>
        <v>Andres</v>
      </c>
      <c r="AT458" s="6" t="str">
        <f>IFERROR(__xludf.DUMMYFUNCTION("""COMPUTED_VALUE"""),"Gonzalez Valencia")</f>
        <v>Gonzalez Valencia</v>
      </c>
      <c r="AU458" s="6" t="str">
        <f>IFERROR(__xludf.DUMMYFUNCTION("""COMPUTED_VALUE"""),"direccion@constructorabio.com")</f>
        <v>direccion@constructorabio.com</v>
      </c>
      <c r="AV458" s="6" t="str">
        <f>IFERROR(__xludf.DUMMYFUNCTION("""COMPUTED_VALUE"""),"ingeniero")</f>
        <v>ingeniero</v>
      </c>
      <c r="AW458" s="6" t="str">
        <f>IFERROR(__xludf.DUMMYFUNCTION("""COMPUTED_VALUE"""),"bio")</f>
        <v>bio</v>
      </c>
      <c r="AX458" s="12" t="str">
        <f>IFERROR(__xludf.DUMMYFUNCTION("""COMPUTED_VALUE"""),"1094893542")</f>
        <v>1094893542</v>
      </c>
      <c r="AY458" s="12" t="str">
        <f>IFERROR(__xludf.DUMMYFUNCTION("""COMPUTED_VALUE"""),"3206970808")</f>
        <v>3206970808</v>
      </c>
      <c r="AZ458" s="6" t="str">
        <f>IFERROR(__xludf.DUMMYFUNCTION("""COMPUTED_VALUE"""),"Padre")</f>
        <v>Padre</v>
      </c>
      <c r="BA458" s="6"/>
      <c r="BB458" s="6"/>
      <c r="BC458" s="6"/>
      <c r="BD458" s="12" t="str">
        <f>IFERROR(__xludf.DUMMYFUNCTION("""COMPUTED_VALUE"""),"val0006")</f>
        <v>val0006</v>
      </c>
      <c r="BE458" s="6" t="str">
        <f>IFERROR(__xludf.DUMMYFUNCTION("""COMPUTED_VALUE"""),"FALTAN FIRMAS")</f>
        <v>FALTAN FIRMAS</v>
      </c>
      <c r="BF458" s="6"/>
      <c r="BG458" s="6">
        <f>IFERROR(__xludf.DUMMYFUNCTION("""COMPUTED_VALUE"""),2033.0)</f>
        <v>2033</v>
      </c>
      <c r="BH458" s="15">
        <f>IFERROR(__xludf.DUMMYFUNCTION("""COMPUTED_VALUE"""),46212.65494212963)</f>
        <v>46212.65494</v>
      </c>
      <c r="BI458" s="6">
        <f>IFERROR(__xludf.DUMMYFUNCTION("""COMPUTED_VALUE"""),458.0)</f>
        <v>458</v>
      </c>
      <c r="BJ458" s="6"/>
      <c r="BK458" s="6"/>
      <c r="BL458" s="6" t="str">
        <f>IFERROR(__xludf.DUMMYFUNCTION("""COMPUTED_VALUE"""),"GISVAL0006")</f>
        <v>GISVAL0006</v>
      </c>
      <c r="BM458" s="6"/>
      <c r="BN458" s="6"/>
      <c r="BO458" s="6"/>
      <c r="BP458" s="6"/>
      <c r="BQ458" s="6"/>
      <c r="BR458" s="6"/>
      <c r="BS458" s="6"/>
      <c r="BT458" s="6"/>
      <c r="BU458" s="6" t="str">
        <f>IFERROR(__xludf.DUMMYFUNCTION("""COMPUTED_VALUE"""),"SI")</f>
        <v>SI</v>
      </c>
      <c r="BV458" s="6" t="str">
        <f>IFERROR(__xludf.DUMMYFUNCTION("""COMPUTED_VALUE"""),"celeste.g2033")</f>
        <v>celeste.g2033</v>
      </c>
      <c r="BW458" s="6"/>
      <c r="BX458" s="6"/>
      <c r="BY458" s="6"/>
      <c r="BZ458" s="6"/>
    </row>
    <row r="459">
      <c r="A459" s="12">
        <f>IFERROR(__xludf.DUMMYFUNCTION("""COMPUTED_VALUE"""),1.092859529E9)</f>
        <v>1092859529</v>
      </c>
      <c r="B459" s="6">
        <f>IFERROR(__xludf.DUMMYFUNCTION("""COMPUTED_VALUE"""),12.0)</f>
        <v>12</v>
      </c>
      <c r="C459" s="6" t="str">
        <f>IFERROR(__xludf.DUMMYFUNCTION("""COMPUTED_VALUE"""),"Emilia")</f>
        <v>Emilia</v>
      </c>
      <c r="D459" s="6"/>
      <c r="E459" s="6" t="str">
        <f>IFERROR(__xludf.DUMMYFUNCTION("""COMPUTED_VALUE"""),"Jaramillo Luna")</f>
        <v>Jaramillo Luna</v>
      </c>
      <c r="F459" s="6" t="str">
        <f>IFERROR(__xludf.DUMMYFUNCTION("""COMPUTED_VALUE"""),"Conjunto Reservas Del Bosque Casa 22 – Km 1.5 Via Armenia Circasia")</f>
        <v>Conjunto Reservas Del Bosque Casa 22 – Km 1.5 Via Armenia Circasia</v>
      </c>
      <c r="G459" s="12" t="str">
        <f>IFERROR(__xludf.DUMMYFUNCTION("""COMPUTED_VALUE"""),"2015")</f>
        <v>2015</v>
      </c>
      <c r="H459" s="6" t="str">
        <f>IFERROR(__xludf.DUMMYFUNCTION("""COMPUTED_VALUE"""),"Octubre")</f>
        <v>Octubre</v>
      </c>
      <c r="I459" s="12" t="str">
        <f>IFERROR(__xludf.DUMMYFUNCTION("""COMPUTED_VALUE"""),"19")</f>
        <v>19</v>
      </c>
      <c r="J459" s="6" t="str">
        <f>IFERROR(__xludf.DUMMYFUNCTION("""COMPUTED_VALUE"""),"Houston")</f>
        <v>Houston</v>
      </c>
      <c r="K459" s="6" t="str">
        <f>IFERROR(__xludf.DUMMYFUNCTION("""COMPUTED_VALUE"""),"emilia.j2033@gi.edu.co")</f>
        <v>emilia.j2033@gi.edu.co</v>
      </c>
      <c r="L459" s="6" t="str">
        <f>IFERROR(__xludf.DUMMYFUNCTION("""COMPUTED_VALUE"""),"RC")</f>
        <v>RC</v>
      </c>
      <c r="M459" s="6" t="str">
        <f>IFERROR(__xludf.DUMMYFUNCTION("""COMPUTED_VALUE"""),"Armenia")</f>
        <v>Armenia</v>
      </c>
      <c r="N459" s="6" t="str">
        <f>IFERROR(__xludf.DUMMYFUNCTION("""COMPUTED_VALUE"""),"F")</f>
        <v>F</v>
      </c>
      <c r="O459" s="6" t="str">
        <f>IFERROR(__xludf.DUMMYFUNCTION("""COMPUTED_VALUE"""),"INACTIVE")</f>
        <v>INACTIVE</v>
      </c>
      <c r="P459" s="6"/>
      <c r="Q459" s="6" t="str">
        <f>IFERROR(__xludf.DUMMYFUNCTION("""COMPUTED_VALUE"""),"Houston")</f>
        <v>Houston</v>
      </c>
      <c r="R459" s="12" t="str">
        <f>IFERROR(__xludf.DUMMYFUNCTION("""COMPUTED_VALUE"""),"Gi498gjf7*")</f>
        <v>Gi498gjf7*</v>
      </c>
      <c r="S459" s="6" t="str">
        <f>IFERROR(__xludf.DUMMYFUNCTION("""COMPUTED_VALUE"""),"Jaramillo Luna Emilia ")</f>
        <v>Jaramillo Luna Emilia </v>
      </c>
      <c r="T459" s="6" t="str">
        <f>IFERROR(__xludf.DUMMYFUNCTION("""COMPUTED_VALUE"""),"LUIS MIGUEL JARAMILLO MEJIA")</f>
        <v>LUIS MIGUEL JARAMILLO MEJIA</v>
      </c>
      <c r="U459" s="12" t="str">
        <f>IFERROR(__xludf.DUMMYFUNCTION("""COMPUTED_VALUE"""),"7559742")</f>
        <v>7559742</v>
      </c>
      <c r="V459" s="6">
        <f>IFERROR(__xludf.DUMMYFUNCTION("""COMPUTED_VALUE"""),3.176680333E9)</f>
        <v>3176680333</v>
      </c>
      <c r="W459" s="6" t="str">
        <f>IFERROR(__xludf.DUMMYFUNCTION("""COMPUTED_VALUE"""),"lmjm01@hotmail.com")</f>
        <v>lmjm01@hotmail.com</v>
      </c>
      <c r="X459" s="12" t="str">
        <f>IFERROR(__xludf.DUMMYFUNCTION("""COMPUTED_VALUE"""),"O+")</f>
        <v>O+</v>
      </c>
      <c r="Y459" s="12" t="str">
        <f>IFERROR(__xludf.DUMMYFUNCTION("""COMPUTED_VALUE"""),"6")</f>
        <v>6</v>
      </c>
      <c r="Z459" s="12">
        <f>IFERROR(__xludf.DUMMYFUNCTION("""COMPUTED_VALUE"""),103763.0)</f>
        <v>103763</v>
      </c>
      <c r="AA459" s="6" t="str">
        <f>IFERROR(__xludf.DUMMYFUNCTION("""COMPUTED_VALUE"""),"SANITAS")</f>
        <v>SANITAS</v>
      </c>
      <c r="AB459" s="6"/>
      <c r="AC459" s="6"/>
      <c r="AD459" s="12" t="str">
        <f>IFERROR(__xludf.DUMMYFUNCTION("""COMPUTED_VALUE"""),"6A")</f>
        <v>6A</v>
      </c>
      <c r="AE459" s="12">
        <f>IFERROR(__xludf.DUMMYFUNCTION("""COMPUTED_VALUE"""),1.345281876E9)</f>
        <v>1345281876</v>
      </c>
      <c r="AF459" s="12" t="str">
        <f>IFERROR(__xludf.DUMMYFUNCTION("""COMPUTED_VALUE"""),"0705708643")</f>
        <v>0705708643</v>
      </c>
      <c r="AG459" s="12" t="str">
        <f>IFERROR(__xludf.DUMMYFUNCTION("""COMPUTED_VALUE"""),"Judith")</f>
        <v>Judith</v>
      </c>
      <c r="AH459" s="12" t="str">
        <f>IFERROR(__xludf.DUMMYFUNCTION("""COMPUTED_VALUE"""),"Emilce")</f>
        <v>Emilce</v>
      </c>
      <c r="AI459" s="6" t="str">
        <f>IFERROR(__xludf.DUMMYFUNCTION("""COMPUTED_VALUE"""),"Luna Silebi")</f>
        <v>Luna Silebi</v>
      </c>
      <c r="AJ459" s="6" t="str">
        <f>IFERROR(__xludf.DUMMYFUNCTION("""COMPUTED_VALUE"""),"yudyluna@hotmail.com")</f>
        <v>yudyluna@hotmail.com</v>
      </c>
      <c r="AK459" s="6" t="str">
        <f>IFERROR(__xludf.DUMMYFUNCTION("""COMPUTED_VALUE"""),"INSTRUMENTADORA QUIRURGICA")</f>
        <v>INSTRUMENTADORA QUIRURGICA</v>
      </c>
      <c r="AL459" s="6"/>
      <c r="AM459" s="12" t="str">
        <f>IFERROR(__xludf.DUMMYFUNCTION("""COMPUTED_VALUE"""),"32614383")</f>
        <v>32614383</v>
      </c>
      <c r="AN459" s="12" t="str">
        <f>IFERROR(__xludf.DUMMYFUNCTION("""COMPUTED_VALUE"""),"3156917632")</f>
        <v>3156917632</v>
      </c>
      <c r="AO459" s="6" t="str">
        <f>IFERROR(__xludf.DUMMYFUNCTION("""COMPUTED_VALUE"""),"Madre")</f>
        <v>Madre</v>
      </c>
      <c r="AP459" s="6" t="str">
        <f>IFERROR(__xludf.DUMMYFUNCTION("""COMPUTED_VALUE"""),"Estudiante(s): Jaramillo Luna")</f>
        <v>Estudiante(s): Jaramillo Luna</v>
      </c>
      <c r="AQ459" s="6" t="str">
        <f>IFERROR(__xludf.DUMMYFUNCTION("""COMPUTED_VALUE"""),"102696*Gi")</f>
        <v>102696*Gi</v>
      </c>
      <c r="AR459" s="6" t="str">
        <f>IFERROR(__xludf.DUMMYFUNCTION("""COMPUTED_VALUE"""),"Luis")</f>
        <v>Luis</v>
      </c>
      <c r="AS459" s="6" t="str">
        <f>IFERROR(__xludf.DUMMYFUNCTION("""COMPUTED_VALUE"""),"Miguel")</f>
        <v>Miguel</v>
      </c>
      <c r="AT459" s="6" t="str">
        <f>IFERROR(__xludf.DUMMYFUNCTION("""COMPUTED_VALUE"""),"Jaramillo Mejía")</f>
        <v>Jaramillo Mejía</v>
      </c>
      <c r="AU459" s="6" t="str">
        <f>IFERROR(__xludf.DUMMYFUNCTION("""COMPUTED_VALUE"""),"lmjm01@hotmail.com")</f>
        <v>lmjm01@hotmail.com</v>
      </c>
      <c r="AV459" s="6" t="str">
        <f>IFERROR(__xludf.DUMMYFUNCTION("""COMPUTED_VALUE"""),"Administrador de Empresas")</f>
        <v>Administrador de Empresas</v>
      </c>
      <c r="AW459" s="6" t="str">
        <f>IFERROR(__xludf.DUMMYFUNCTION("""COMPUTED_VALUE"""),"Independiente")</f>
        <v>Independiente</v>
      </c>
      <c r="AX459" s="12" t="str">
        <f>IFERROR(__xludf.DUMMYFUNCTION("""COMPUTED_VALUE"""),"7559742")</f>
        <v>7559742</v>
      </c>
      <c r="AY459" s="12" t="str">
        <f>IFERROR(__xludf.DUMMYFUNCTION("""COMPUTED_VALUE"""),"3176680333")</f>
        <v>3176680333</v>
      </c>
      <c r="AZ459" s="6" t="str">
        <f>IFERROR(__xludf.DUMMYFUNCTION("""COMPUTED_VALUE"""),"Padre")</f>
        <v>Padre</v>
      </c>
      <c r="BA459" s="6"/>
      <c r="BB459" s="6"/>
      <c r="BC459" s="6"/>
      <c r="BD459" s="12" t="str">
        <f>IFERROR(__xludf.DUMMYFUNCTION("""COMPUTED_VALUE"""),"jar0017")</f>
        <v>jar0017</v>
      </c>
      <c r="BE459" s="6" t="str">
        <f>IFERROR(__xludf.DUMMYFUNCTION("""COMPUTED_VALUE"""),"FALTAN FIRMAS")</f>
        <v>FALTAN FIRMAS</v>
      </c>
      <c r="BF459" s="6"/>
      <c r="BG459" s="6">
        <f>IFERROR(__xludf.DUMMYFUNCTION("""COMPUTED_VALUE"""),2033.0)</f>
        <v>2033</v>
      </c>
      <c r="BH459" s="15">
        <f>IFERROR(__xludf.DUMMYFUNCTION("""COMPUTED_VALUE"""),46230.44440972222)</f>
        <v>46230.44441</v>
      </c>
      <c r="BI459" s="6">
        <f>IFERROR(__xludf.DUMMYFUNCTION("""COMPUTED_VALUE"""),459.0)</f>
        <v>459</v>
      </c>
      <c r="BJ459" s="6"/>
      <c r="BK459" s="6"/>
      <c r="BL459" s="6" t="str">
        <f>IFERROR(__xludf.DUMMYFUNCTION("""COMPUTED_VALUE"""),"GISJAR0017")</f>
        <v>GISJAR0017</v>
      </c>
      <c r="BM459" s="6"/>
      <c r="BN459" s="6"/>
      <c r="BO459" s="6" t="str">
        <f>IFERROR(__xludf.DUMMYFUNCTION("""COMPUTED_VALUE"""),"XC_MS_Voleibol_F")</f>
        <v>XC_MS_Voleibol_F</v>
      </c>
      <c r="BP459" s="6"/>
      <c r="BQ459" s="6" t="str">
        <f>IFERROR(__xludf.DUMMYFUNCTION("""COMPUTED_VALUE"""),"XC_MS_Voleibol_F")</f>
        <v>XC_MS_Voleibol_F</v>
      </c>
      <c r="BR459" s="6" t="str">
        <f>IFERROR(__xludf.DUMMYFUNCTION("""COMPUTED_VALUE"""),"XC_MS_Voleibol_F")</f>
        <v>XC_MS_Voleibol_F</v>
      </c>
      <c r="BS459" s="6"/>
      <c r="BT459" s="6" t="str">
        <f>IFERROR(__xludf.DUMMYFUNCTION("""COMPUTED_VALUE"""),"XC_MS_Voleibol_F")</f>
        <v>XC_MS_Voleibol_F</v>
      </c>
      <c r="BU459" s="6" t="str">
        <f>IFERROR(__xludf.DUMMYFUNCTION("""COMPUTED_VALUE"""),"SI")</f>
        <v>SI</v>
      </c>
      <c r="BV459" s="6" t="str">
        <f>IFERROR(__xludf.DUMMYFUNCTION("""COMPUTED_VALUE"""),"emilia.j2033")</f>
        <v>emilia.j2033</v>
      </c>
      <c r="BW459" s="6"/>
      <c r="BX459" s="6"/>
      <c r="BY459" s="6"/>
      <c r="BZ459" s="6"/>
    </row>
    <row r="460">
      <c r="A460" s="12">
        <f>IFERROR(__xludf.DUMMYFUNCTION("""COMPUTED_VALUE"""),1.220469006E9)</f>
        <v>1220469006</v>
      </c>
      <c r="B460" s="6">
        <f>IFERROR(__xludf.DUMMYFUNCTION("""COMPUTED_VALUE"""),13.0)</f>
        <v>13</v>
      </c>
      <c r="C460" s="6" t="str">
        <f>IFERROR(__xludf.DUMMYFUNCTION("""COMPUTED_VALUE"""),"Emmanuela")</f>
        <v>Emmanuela</v>
      </c>
      <c r="D460" s="6"/>
      <c r="E460" s="6" t="str">
        <f>IFERROR(__xludf.DUMMYFUNCTION("""COMPUTED_VALUE"""),"Montoya Molano")</f>
        <v>Montoya Molano</v>
      </c>
      <c r="F460" s="6" t="str">
        <f>IFERROR(__xludf.DUMMYFUNCTION("""COMPUTED_VALUE"""),"Condominio Campestre La Reserva Torre Malaga Apto 101 - Cra 5 No10Nte - 25 Av Centenario")</f>
        <v>Condominio Campestre La Reserva Torre Malaga Apto 101 - Cra 5 No10Nte - 25 Av Centenario</v>
      </c>
      <c r="G460" s="12" t="str">
        <f>IFERROR(__xludf.DUMMYFUNCTION("""COMPUTED_VALUE"""),"2015")</f>
        <v>2015</v>
      </c>
      <c r="H460" s="6" t="str">
        <f>IFERROR(__xludf.DUMMYFUNCTION("""COMPUTED_VALUE"""),"Agosto")</f>
        <v>Agosto</v>
      </c>
      <c r="I460" s="12" t="str">
        <f>IFERROR(__xludf.DUMMYFUNCTION("""COMPUTED_VALUE"""),"3")</f>
        <v>3</v>
      </c>
      <c r="J460" s="6" t="str">
        <f>IFERROR(__xludf.DUMMYFUNCTION("""COMPUTED_VALUE"""),"Miami")</f>
        <v>Miami</v>
      </c>
      <c r="K460" s="6" t="str">
        <f>IFERROR(__xludf.DUMMYFUNCTION("""COMPUTED_VALUE"""),"emmanuela.m2033@gi.edu.co")</f>
        <v>emmanuela.m2033@gi.edu.co</v>
      </c>
      <c r="L460" s="6" t="str">
        <f>IFERROR(__xludf.DUMMYFUNCTION("""COMPUTED_VALUE"""),"TI")</f>
        <v>TI</v>
      </c>
      <c r="M460" s="6" t="str">
        <f>IFERROR(__xludf.DUMMYFUNCTION("""COMPUTED_VALUE"""),"Bogotá D.C.")</f>
        <v>Bogotá D.C.</v>
      </c>
      <c r="N460" s="6" t="str">
        <f>IFERROR(__xludf.DUMMYFUNCTION("""COMPUTED_VALUE"""),"F")</f>
        <v>F</v>
      </c>
      <c r="O460" s="6" t="str">
        <f>IFERROR(__xludf.DUMMYFUNCTION("""COMPUTED_VALUE"""),"ACTIVE")</f>
        <v>ACTIVE</v>
      </c>
      <c r="P460" s="6"/>
      <c r="Q460" s="6" t="str">
        <f>IFERROR(__xludf.DUMMYFUNCTION("""COMPUTED_VALUE"""),"El Edén")</f>
        <v>El Edén</v>
      </c>
      <c r="R460" s="12" t="str">
        <f>IFERROR(__xludf.DUMMYFUNCTION("""COMPUTED_VALUE"""),"Ginb45fd4*")</f>
        <v>Ginb45fd4*</v>
      </c>
      <c r="S460" s="6" t="str">
        <f>IFERROR(__xludf.DUMMYFUNCTION("""COMPUTED_VALUE"""),"Montoya Molano Emmanuela ")</f>
        <v>Montoya Molano Emmanuela </v>
      </c>
      <c r="T460" s="6" t="str">
        <f>IFERROR(__xludf.DUMMYFUNCTION("""COMPUTED_VALUE"""),"LUISA FERNANDA MOLANO VEIRA")</f>
        <v>LUISA FERNANDA MOLANO VEIRA</v>
      </c>
      <c r="U460" s="12" t="str">
        <f>IFERROR(__xludf.DUMMYFUNCTION("""COMPUTED_VALUE"""),"1020783089")</f>
        <v>1020783089</v>
      </c>
      <c r="V460" s="6">
        <f>IFERROR(__xludf.DUMMYFUNCTION("""COMPUTED_VALUE"""),3.112223792E9)</f>
        <v>3112223792</v>
      </c>
      <c r="W460" s="6" t="str">
        <f>IFERROR(__xludf.DUMMYFUNCTION("""COMPUTED_VALUE"""),"luisamo_85@hotmail.com")</f>
        <v>luisamo_85@hotmail.com</v>
      </c>
      <c r="X460" s="12" t="str">
        <f>IFERROR(__xludf.DUMMYFUNCTION("""COMPUTED_VALUE"""),"O+")</f>
        <v>O+</v>
      </c>
      <c r="Y460" s="12" t="str">
        <f>IFERROR(__xludf.DUMMYFUNCTION("""COMPUTED_VALUE"""),"6")</f>
        <v>6</v>
      </c>
      <c r="Z460" s="12">
        <f>IFERROR(__xludf.DUMMYFUNCTION("""COMPUTED_VALUE"""),103691.0)</f>
        <v>103691</v>
      </c>
      <c r="AA460" s="6" t="str">
        <f>IFERROR(__xludf.DUMMYFUNCTION("""COMPUTED_VALUE"""),"SALUD TOTAL")</f>
        <v>SALUD TOTAL</v>
      </c>
      <c r="AB460" s="6" t="str">
        <f>IFERROR(__xludf.DUMMYFUNCTION("""COMPUTED_VALUE"""),"Allianz")</f>
        <v>Allianz</v>
      </c>
      <c r="AC460" s="6"/>
      <c r="AD460" s="12" t="str">
        <f>IFERROR(__xludf.DUMMYFUNCTION("""COMPUTED_VALUE"""),"6A")</f>
        <v>6A</v>
      </c>
      <c r="AE460" s="12">
        <f>IFERROR(__xludf.DUMMYFUNCTION("""COMPUTED_VALUE"""),1.345281787E9)</f>
        <v>1345281787</v>
      </c>
      <c r="AF460" s="12" t="str">
        <f>IFERROR(__xludf.DUMMYFUNCTION("""COMPUTED_VALUE"""),"0652143107")</f>
        <v>0652143107</v>
      </c>
      <c r="AG460" s="12" t="str">
        <f>IFERROR(__xludf.DUMMYFUNCTION("""COMPUTED_VALUE"""),"Luisa")</f>
        <v>Luisa</v>
      </c>
      <c r="AH460" s="12" t="str">
        <f>IFERROR(__xludf.DUMMYFUNCTION("""COMPUTED_VALUE"""),"Fernanda")</f>
        <v>Fernanda</v>
      </c>
      <c r="AI460" s="6" t="str">
        <f>IFERROR(__xludf.DUMMYFUNCTION("""COMPUTED_VALUE"""),"Molano Veira")</f>
        <v>Molano Veira</v>
      </c>
      <c r="AJ460" s="6" t="str">
        <f>IFERROR(__xludf.DUMMYFUNCTION("""COMPUTED_VALUE"""),"luisamo_85@hotmail.com")</f>
        <v>luisamo_85@hotmail.com</v>
      </c>
      <c r="AK460" s="6" t="str">
        <f>IFERROR(__xludf.DUMMYFUNCTION("""COMPUTED_VALUE"""),"Adm negocios internacionales")</f>
        <v>Adm negocios internacionales</v>
      </c>
      <c r="AL460" s="6" t="str">
        <f>IFERROR(__xludf.DUMMYFUNCTION("""COMPUTED_VALUE"""),"Lujumar")</f>
        <v>Lujumar</v>
      </c>
      <c r="AM460" s="12" t="str">
        <f>IFERROR(__xludf.DUMMYFUNCTION("""COMPUTED_VALUE"""),"1020783089")</f>
        <v>1020783089</v>
      </c>
      <c r="AN460" s="12" t="str">
        <f>IFERROR(__xludf.DUMMYFUNCTION("""COMPUTED_VALUE"""),"3112223792")</f>
        <v>3112223792</v>
      </c>
      <c r="AO460" s="6" t="str">
        <f>IFERROR(__xludf.DUMMYFUNCTION("""COMPUTED_VALUE"""),"Madre")</f>
        <v>Madre</v>
      </c>
      <c r="AP460" s="6" t="str">
        <f>IFERROR(__xludf.DUMMYFUNCTION("""COMPUTED_VALUE"""),"Estudiante(s): Montoya Molano")</f>
        <v>Estudiante(s): Montoya Molano</v>
      </c>
      <c r="AQ460" s="6" t="str">
        <f>IFERROR(__xludf.DUMMYFUNCTION("""COMPUTED_VALUE"""),"103691*Gi")</f>
        <v>103691*Gi</v>
      </c>
      <c r="AR460" s="6" t="str">
        <f>IFERROR(__xludf.DUMMYFUNCTION("""COMPUTED_VALUE"""),"Diego")</f>
        <v>Diego</v>
      </c>
      <c r="AS460" s="6"/>
      <c r="AT460" s="6" t="str">
        <f>IFERROR(__xludf.DUMMYFUNCTION("""COMPUTED_VALUE"""),"Montoya Pérez")</f>
        <v>Montoya Pérez</v>
      </c>
      <c r="AU460" s="6" t="str">
        <f>IFERROR(__xludf.DUMMYFUNCTION("""COMPUTED_VALUE"""),"diego_9027@hotmail.com")</f>
        <v>diego_9027@hotmail.com</v>
      </c>
      <c r="AV460" s="6" t="str">
        <f>IFERROR(__xludf.DUMMYFUNCTION("""COMPUTED_VALUE"""),"Med Veterinario")</f>
        <v>Med Veterinario</v>
      </c>
      <c r="AW460" s="6" t="str">
        <f>IFERROR(__xludf.DUMMYFUNCTION("""COMPUTED_VALUE"""),"Agen")</f>
        <v>Agen</v>
      </c>
      <c r="AX460" s="12" t="str">
        <f>IFERROR(__xludf.DUMMYFUNCTION("""COMPUTED_VALUE"""),"1020751688")</f>
        <v>1020751688</v>
      </c>
      <c r="AY460" s="12" t="str">
        <f>IFERROR(__xludf.DUMMYFUNCTION("""COMPUTED_VALUE"""),"3102348584")</f>
        <v>3102348584</v>
      </c>
      <c r="AZ460" s="6" t="str">
        <f>IFERROR(__xludf.DUMMYFUNCTION("""COMPUTED_VALUE"""),"Padre")</f>
        <v>Padre</v>
      </c>
      <c r="BA460" s="6"/>
      <c r="BB460" s="6"/>
      <c r="BC460" s="6"/>
      <c r="BD460" s="12" t="str">
        <f>IFERROR(__xludf.DUMMYFUNCTION("""COMPUTED_VALUE"""),"mon0014")</f>
        <v>mon0014</v>
      </c>
      <c r="BE460" s="6"/>
      <c r="BF460" s="6"/>
      <c r="BG460" s="6">
        <f>IFERROR(__xludf.DUMMYFUNCTION("""COMPUTED_VALUE"""),2033.0)</f>
        <v>2033</v>
      </c>
      <c r="BH460" s="15">
        <f>IFERROR(__xludf.DUMMYFUNCTION("""COMPUTED_VALUE"""),46240.42465277778)</f>
        <v>46240.42465</v>
      </c>
      <c r="BI460" s="6">
        <f>IFERROR(__xludf.DUMMYFUNCTION("""COMPUTED_VALUE"""),460.0)</f>
        <v>460</v>
      </c>
      <c r="BJ460" s="6"/>
      <c r="BK460" s="6"/>
      <c r="BL460" s="6" t="str">
        <f>IFERROR(__xludf.DUMMYFUNCTION("""COMPUTED_VALUE"""),"GISMON0014")</f>
        <v>GISMON0014</v>
      </c>
      <c r="BM460" s="6"/>
      <c r="BN460" s="6"/>
      <c r="BO460" s="6"/>
      <c r="BP460" s="6"/>
      <c r="BQ460" s="6"/>
      <c r="BR460" s="6"/>
      <c r="BS460" s="6"/>
      <c r="BT460" s="6"/>
      <c r="BU460" s="6" t="str">
        <f>IFERROR(__xludf.DUMMYFUNCTION("""COMPUTED_VALUE"""),"SI")</f>
        <v>SI</v>
      </c>
      <c r="BV460" s="6" t="str">
        <f>IFERROR(__xludf.DUMMYFUNCTION("""COMPUTED_VALUE"""),"emmanuela.m2033")</f>
        <v>emmanuela.m2033</v>
      </c>
      <c r="BW460" s="6"/>
      <c r="BX460" s="6"/>
      <c r="BY460" s="6"/>
      <c r="BZ460" s="6"/>
    </row>
    <row r="461">
      <c r="A461" s="12">
        <f>IFERROR(__xludf.DUMMYFUNCTION("""COMPUTED_VALUE"""),1.111485685E9)</f>
        <v>1111485685</v>
      </c>
      <c r="B461" s="6">
        <f>IFERROR(__xludf.DUMMYFUNCTION("""COMPUTED_VALUE"""),14.0)</f>
        <v>14</v>
      </c>
      <c r="C461" s="6" t="str">
        <f>IFERROR(__xludf.DUMMYFUNCTION("""COMPUTED_VALUE"""),"Martín")</f>
        <v>Martín</v>
      </c>
      <c r="D461" s="6"/>
      <c r="E461" s="6" t="str">
        <f>IFERROR(__xludf.DUMMYFUNCTION("""COMPUTED_VALUE"""),"Morales Acero")</f>
        <v>Morales Acero</v>
      </c>
      <c r="F461" s="6" t="str">
        <f>IFERROR(__xludf.DUMMYFUNCTION("""COMPUTED_VALUE"""),"Lagos de Iraka Casa 110 - Km 7 Via Armenia - El Caimo")</f>
        <v>Lagos de Iraka Casa 110 - Km 7 Via Armenia - El Caimo</v>
      </c>
      <c r="G461" s="12" t="str">
        <f>IFERROR(__xludf.DUMMYFUNCTION("""COMPUTED_VALUE"""),"2015")</f>
        <v>2015</v>
      </c>
      <c r="H461" s="6" t="str">
        <f>IFERROR(__xludf.DUMMYFUNCTION("""COMPUTED_VALUE"""),"Septiembre")</f>
        <v>Septiembre</v>
      </c>
      <c r="I461" s="12" t="str">
        <f>IFERROR(__xludf.DUMMYFUNCTION("""COMPUTED_VALUE"""),"2")</f>
        <v>2</v>
      </c>
      <c r="J461" s="6" t="str">
        <f>IFERROR(__xludf.DUMMYFUNCTION("""COMPUTED_VALUE"""),"Armenia")</f>
        <v>Armenia</v>
      </c>
      <c r="K461" s="6" t="str">
        <f>IFERROR(__xludf.DUMMYFUNCTION("""COMPUTED_VALUE"""),"martin.m2033@gi.edu.co")</f>
        <v>martin.m2033@gi.edu.co</v>
      </c>
      <c r="L461" s="6" t="str">
        <f>IFERROR(__xludf.DUMMYFUNCTION("""COMPUTED_VALUE"""),"TI")</f>
        <v>TI</v>
      </c>
      <c r="M461" s="6" t="str">
        <f>IFERROR(__xludf.DUMMYFUNCTION("""COMPUTED_VALUE"""),"Armenia")</f>
        <v>Armenia</v>
      </c>
      <c r="N461" s="6" t="str">
        <f>IFERROR(__xludf.DUMMYFUNCTION("""COMPUTED_VALUE"""),"M")</f>
        <v>M</v>
      </c>
      <c r="O461" s="6" t="str">
        <f>IFERROR(__xludf.DUMMYFUNCTION("""COMPUTED_VALUE"""),"ACTIVE")</f>
        <v>ACTIVE</v>
      </c>
      <c r="P461" s="6"/>
      <c r="Q461" s="6" t="str">
        <f>IFERROR(__xludf.DUMMYFUNCTION("""COMPUTED_VALUE"""),"Armenia")</f>
        <v>Armenia</v>
      </c>
      <c r="R461" s="12" t="str">
        <f>IFERROR(__xludf.DUMMYFUNCTION("""COMPUTED_VALUE"""),"Gi5412we*")</f>
        <v>Gi5412we*</v>
      </c>
      <c r="S461" s="6" t="str">
        <f>IFERROR(__xludf.DUMMYFUNCTION("""COMPUTED_VALUE"""),"Morales Acero Martín ")</f>
        <v>Morales Acero Martín </v>
      </c>
      <c r="T461" s="6" t="str">
        <f>IFERROR(__xludf.DUMMYFUNCTION("""COMPUTED_VALUE"""),"NATHALIA ACERO CARDONA")</f>
        <v>NATHALIA ACERO CARDONA</v>
      </c>
      <c r="U461" s="12" t="str">
        <f>IFERROR(__xludf.DUMMYFUNCTION("""COMPUTED_VALUE"""),"1094882892")</f>
        <v>1094882892</v>
      </c>
      <c r="V461" s="6">
        <f>IFERROR(__xludf.DUMMYFUNCTION("""COMPUTED_VALUE"""),3.206135629E9)</f>
        <v>3206135629</v>
      </c>
      <c r="W461" s="6" t="str">
        <f>IFERROR(__xludf.DUMMYFUNCTION("""COMPUTED_VALUE"""),"nataliaacero@gmail.com")</f>
        <v>nataliaacero@gmail.com</v>
      </c>
      <c r="X461" s="12" t="str">
        <f>IFERROR(__xludf.DUMMYFUNCTION("""COMPUTED_VALUE"""),"O+")</f>
        <v>O+</v>
      </c>
      <c r="Y461" s="12" t="str">
        <f>IFERROR(__xludf.DUMMYFUNCTION("""COMPUTED_VALUE"""),"6")</f>
        <v>6</v>
      </c>
      <c r="Z461" s="12">
        <f>IFERROR(__xludf.DUMMYFUNCTION("""COMPUTED_VALUE"""),103828.0)</f>
        <v>103828</v>
      </c>
      <c r="AA461" s="6" t="str">
        <f>IFERROR(__xludf.DUMMYFUNCTION("""COMPUTED_VALUE"""),"SANITAS")</f>
        <v>SANITAS</v>
      </c>
      <c r="AB461" s="6" t="str">
        <f>IFERROR(__xludf.DUMMYFUNCTION("""COMPUTED_VALUE"""),"PREPAGADA COLSANITAS")</f>
        <v>PREPAGADA COLSANITAS</v>
      </c>
      <c r="AC461" s="6"/>
      <c r="AD461" s="12" t="str">
        <f>IFERROR(__xludf.DUMMYFUNCTION("""COMPUTED_VALUE"""),"6A")</f>
        <v>6A</v>
      </c>
      <c r="AE461" s="12">
        <f>IFERROR(__xludf.DUMMYFUNCTION("""COMPUTED_VALUE"""),1.345281934E9)</f>
        <v>1345281934</v>
      </c>
      <c r="AF461" s="12" t="str">
        <f>IFERROR(__xludf.DUMMYFUNCTION("""COMPUTED_VALUE"""),"0650936771")</f>
        <v>0650936771</v>
      </c>
      <c r="AG461" s="12" t="str">
        <f>IFERROR(__xludf.DUMMYFUNCTION("""COMPUTED_VALUE"""),"Nathalia")</f>
        <v>Nathalia</v>
      </c>
      <c r="AH461" s="6"/>
      <c r="AI461" s="6" t="str">
        <f>IFERROR(__xludf.DUMMYFUNCTION("""COMPUTED_VALUE"""),"Acero Cardona")</f>
        <v>Acero Cardona</v>
      </c>
      <c r="AJ461" s="6" t="str">
        <f>IFERROR(__xludf.DUMMYFUNCTION("""COMPUTED_VALUE"""),"nataliaacero@gmail.com")</f>
        <v>nataliaacero@gmail.com</v>
      </c>
      <c r="AK461" s="6" t="str">
        <f>IFERROR(__xludf.DUMMYFUNCTION("""COMPUTED_VALUE"""),"Ing civil")</f>
        <v>Ing civil</v>
      </c>
      <c r="AL461" s="6" t="str">
        <f>IFERROR(__xludf.DUMMYFUNCTION("""COMPUTED_VALUE"""),"A&amp;M CONSTRUCOL")</f>
        <v>A&amp;M CONSTRUCOL</v>
      </c>
      <c r="AM461" s="12" t="str">
        <f>IFERROR(__xludf.DUMMYFUNCTION("""COMPUTED_VALUE"""),"1094882892")</f>
        <v>1094882892</v>
      </c>
      <c r="AN461" s="12" t="str">
        <f>IFERROR(__xludf.DUMMYFUNCTION("""COMPUTED_VALUE"""),"3206135629")</f>
        <v>3206135629</v>
      </c>
      <c r="AO461" s="6" t="str">
        <f>IFERROR(__xludf.DUMMYFUNCTION("""COMPUTED_VALUE"""),"Madre")</f>
        <v>Madre</v>
      </c>
      <c r="AP461" s="6" t="str">
        <f>IFERROR(__xludf.DUMMYFUNCTION("""COMPUTED_VALUE"""),"Estudiante(s): Morales Acero")</f>
        <v>Estudiante(s): Morales Acero</v>
      </c>
      <c r="AQ461" s="6" t="str">
        <f>IFERROR(__xludf.DUMMYFUNCTION("""COMPUTED_VALUE"""),"103929*Gi")</f>
        <v>103929*Gi</v>
      </c>
      <c r="AR461" s="6" t="str">
        <f>IFERROR(__xludf.DUMMYFUNCTION("""COMPUTED_VALUE"""),"Juan")</f>
        <v>Juan</v>
      </c>
      <c r="AS461" s="6" t="str">
        <f>IFERROR(__xludf.DUMMYFUNCTION("""COMPUTED_VALUE"""),"Sebastián")</f>
        <v>Sebastián</v>
      </c>
      <c r="AT461" s="6" t="str">
        <f>IFERROR(__xludf.DUMMYFUNCTION("""COMPUTED_VALUE"""),"Morales Cardona")</f>
        <v>Morales Cardona</v>
      </c>
      <c r="AU461" s="6" t="str">
        <f>IFERROR(__xludf.DUMMYFUNCTION("""COMPUTED_VALUE"""),"jsebastianmorales@gmail.com")</f>
        <v>jsebastianmorales@gmail.com</v>
      </c>
      <c r="AV461" s="6" t="str">
        <f>IFERROR(__xludf.DUMMYFUNCTION("""COMPUTED_VALUE"""),"Ing civil")</f>
        <v>Ing civil</v>
      </c>
      <c r="AW461" s="6" t="str">
        <f>IFERROR(__xludf.DUMMYFUNCTION("""COMPUTED_VALUE"""),"A&amp;M CONSTRUCOL")</f>
        <v>A&amp;M CONSTRUCOL</v>
      </c>
      <c r="AX461" s="12" t="str">
        <f>IFERROR(__xludf.DUMMYFUNCTION("""COMPUTED_VALUE"""),"1094881799")</f>
        <v>1094881799</v>
      </c>
      <c r="AY461" s="12" t="str">
        <f>IFERROR(__xludf.DUMMYFUNCTION("""COMPUTED_VALUE"""),"3108241209")</f>
        <v>3108241209</v>
      </c>
      <c r="AZ461" s="6" t="str">
        <f>IFERROR(__xludf.DUMMYFUNCTION("""COMPUTED_VALUE"""),"Padre")</f>
        <v>Padre</v>
      </c>
      <c r="BA461" s="6"/>
      <c r="BB461" s="6"/>
      <c r="BC461" s="6"/>
      <c r="BD461" s="12" t="str">
        <f>IFERROR(__xludf.DUMMYFUNCTION("""COMPUTED_VALUE"""),"mor0010")</f>
        <v>mor0010</v>
      </c>
      <c r="BE461" s="6"/>
      <c r="BF461" s="6"/>
      <c r="BG461" s="6">
        <f>IFERROR(__xludf.DUMMYFUNCTION("""COMPUTED_VALUE"""),2033.0)</f>
        <v>2033</v>
      </c>
      <c r="BH461" s="15">
        <f>IFERROR(__xludf.DUMMYFUNCTION("""COMPUTED_VALUE"""),46212.717777777776)</f>
        <v>46212.71778</v>
      </c>
      <c r="BI461" s="6">
        <f>IFERROR(__xludf.DUMMYFUNCTION("""COMPUTED_VALUE"""),461.0)</f>
        <v>461</v>
      </c>
      <c r="BJ461" s="6"/>
      <c r="BK461" s="6"/>
      <c r="BL461" s="6" t="str">
        <f>IFERROR(__xludf.DUMMYFUNCTION("""COMPUTED_VALUE"""),"GISMOR0010")</f>
        <v>GISMOR0010</v>
      </c>
      <c r="BM461" s="6"/>
      <c r="BN461" s="6"/>
      <c r="BO461" s="6" t="str">
        <f>IFERROR(__xludf.DUMMYFUNCTION("""COMPUTED_VALUE"""),"XC_MS_Futbol_M")</f>
        <v>XC_MS_Futbol_M</v>
      </c>
      <c r="BP461" s="6"/>
      <c r="BQ461" s="6" t="str">
        <f>IFERROR(__xludf.DUMMYFUNCTION("""COMPUTED_VALUE"""),"XC_MS_Futbol_M")</f>
        <v>XC_MS_Futbol_M</v>
      </c>
      <c r="BR461" s="6" t="str">
        <f>IFERROR(__xludf.DUMMYFUNCTION("""COMPUTED_VALUE"""),"XC_MS_Futbol_M")</f>
        <v>XC_MS_Futbol_M</v>
      </c>
      <c r="BS461" s="6"/>
      <c r="BT461" s="6" t="str">
        <f>IFERROR(__xludf.DUMMYFUNCTION("""COMPUTED_VALUE"""),"XC_MS_Futbol_M")</f>
        <v>XC_MS_Futbol_M</v>
      </c>
      <c r="BU461" s="6" t="str">
        <f>IFERROR(__xludf.DUMMYFUNCTION("""COMPUTED_VALUE"""),"SI")</f>
        <v>SI</v>
      </c>
      <c r="BV461" s="6" t="str">
        <f>IFERROR(__xludf.DUMMYFUNCTION("""COMPUTED_VALUE"""),"martin.m2033")</f>
        <v>martin.m2033</v>
      </c>
      <c r="BW461" s="6"/>
      <c r="BX461" s="6"/>
      <c r="BY461" s="6"/>
      <c r="BZ461" s="6"/>
    </row>
    <row r="462">
      <c r="A462" s="12">
        <f>IFERROR(__xludf.DUMMYFUNCTION("""COMPUTED_VALUE"""),1.092859481E9)</f>
        <v>1092859481</v>
      </c>
      <c r="B462" s="6">
        <f>IFERROR(__xludf.DUMMYFUNCTION("""COMPUTED_VALUE"""),15.0)</f>
        <v>15</v>
      </c>
      <c r="C462" s="6" t="str">
        <f>IFERROR(__xludf.DUMMYFUNCTION("""COMPUTED_VALUE"""),"Antonia")</f>
        <v>Antonia</v>
      </c>
      <c r="D462" s="6"/>
      <c r="E462" s="6" t="str">
        <f>IFERROR(__xludf.DUMMYFUNCTION("""COMPUTED_VALUE"""),"Ocampo Fernández")</f>
        <v>Ocampo Fernández</v>
      </c>
      <c r="F462" s="6" t="str">
        <f>IFERROR(__xludf.DUMMYFUNCTION("""COMPUTED_VALUE"""),"Cra 15 19aNte - 41 - Laureles")</f>
        <v>Cra 15 19aNte - 41 - Laureles</v>
      </c>
      <c r="G462" s="12" t="str">
        <f>IFERROR(__xludf.DUMMYFUNCTION("""COMPUTED_VALUE"""),"2015")</f>
        <v>2015</v>
      </c>
      <c r="H462" s="6" t="str">
        <f>IFERROR(__xludf.DUMMYFUNCTION("""COMPUTED_VALUE"""),"Noviembre")</f>
        <v>Noviembre</v>
      </c>
      <c r="I462" s="12" t="str">
        <f>IFERROR(__xludf.DUMMYFUNCTION("""COMPUTED_VALUE"""),"6")</f>
        <v>6</v>
      </c>
      <c r="J462" s="6" t="str">
        <f>IFERROR(__xludf.DUMMYFUNCTION("""COMPUTED_VALUE"""),"Armenia")</f>
        <v>Armenia</v>
      </c>
      <c r="K462" s="6" t="str">
        <f>IFERROR(__xludf.DUMMYFUNCTION("""COMPUTED_VALUE"""),"antonia.o2033@gi.edu.co")</f>
        <v>antonia.o2033@gi.edu.co</v>
      </c>
      <c r="L462" s="6" t="str">
        <f>IFERROR(__xludf.DUMMYFUNCTION("""COMPUTED_VALUE"""),"TI")</f>
        <v>TI</v>
      </c>
      <c r="M462" s="6" t="str">
        <f>IFERROR(__xludf.DUMMYFUNCTION("""COMPUTED_VALUE"""),"Armenia")</f>
        <v>Armenia</v>
      </c>
      <c r="N462" s="6" t="str">
        <f>IFERROR(__xludf.DUMMYFUNCTION("""COMPUTED_VALUE"""),"F")</f>
        <v>F</v>
      </c>
      <c r="O462" s="6" t="str">
        <f>IFERROR(__xludf.DUMMYFUNCTION("""COMPUTED_VALUE"""),"ACTIVE")</f>
        <v>ACTIVE</v>
      </c>
      <c r="P462" s="6"/>
      <c r="Q462" s="6" t="str">
        <f>IFERROR(__xludf.DUMMYFUNCTION("""COMPUTED_VALUE"""),"Armenia")</f>
        <v>Armenia</v>
      </c>
      <c r="R462" s="12" t="str">
        <f>IFERROR(__xludf.DUMMYFUNCTION("""COMPUTED_VALUE"""),"Gih5jj8y*")</f>
        <v>Gih5jj8y*</v>
      </c>
      <c r="S462" s="6" t="str">
        <f>IFERROR(__xludf.DUMMYFUNCTION("""COMPUTED_VALUE"""),"Ocampo Fernández Antonia ")</f>
        <v>Ocampo Fernández Antonia </v>
      </c>
      <c r="T462" s="6" t="str">
        <f>IFERROR(__xludf.DUMMYFUNCTION("""COMPUTED_VALUE"""),"MARIA ALEJANDRA FERNANDEZ BENAVIDES")</f>
        <v>MARIA ALEJANDRA FERNANDEZ BENAVIDES</v>
      </c>
      <c r="U462" s="12" t="str">
        <f>IFERROR(__xludf.DUMMYFUNCTION("""COMPUTED_VALUE"""),"1094948844")</f>
        <v>1094948844</v>
      </c>
      <c r="V462" s="6">
        <f>IFERROR(__xludf.DUMMYFUNCTION("""COMPUTED_VALUE"""),3.225275083E9)</f>
        <v>3225275083</v>
      </c>
      <c r="W462" s="6" t="str">
        <f>IFERROR(__xludf.DUMMYFUNCTION("""COMPUTED_VALUE"""),"mariafernandez452@hotmail.com")</f>
        <v>mariafernandez452@hotmail.com</v>
      </c>
      <c r="X462" s="12" t="str">
        <f>IFERROR(__xludf.DUMMYFUNCTION("""COMPUTED_VALUE"""),"O+")</f>
        <v>O+</v>
      </c>
      <c r="Y462" s="12" t="str">
        <f>IFERROR(__xludf.DUMMYFUNCTION("""COMPUTED_VALUE"""),"6")</f>
        <v>6</v>
      </c>
      <c r="Z462" s="12">
        <f>IFERROR(__xludf.DUMMYFUNCTION("""COMPUTED_VALUE"""),120573.0)</f>
        <v>120573</v>
      </c>
      <c r="AA462" s="6" t="str">
        <f>IFERROR(__xludf.DUMMYFUNCTION("""COMPUTED_VALUE"""),"SURA")</f>
        <v>SURA</v>
      </c>
      <c r="AB462" s="6"/>
      <c r="AC462" s="12" t="str">
        <f>IFERROR(__xludf.DUMMYFUNCTION("""COMPUTED_VALUE"""),"UNICAMENTE LECHE ( SI PUEDE CONSUMIR YOGOURTH O ALIMENTOS CONLACTEOS), MAS NO DEBE CONSUMIR UN VASO DE SOLO LECHE")</f>
        <v>UNICAMENTE LECHE ( SI PUEDE CONSUMIR YOGOURTH O ALIMENTOS CONLACTEOS), MAS NO DEBE CONSUMIR UN VASO DE SOLO LECHE</v>
      </c>
      <c r="AD462" s="12" t="str">
        <f>IFERROR(__xludf.DUMMYFUNCTION("""COMPUTED_VALUE"""),"6A")</f>
        <v>6A</v>
      </c>
      <c r="AE462" s="12">
        <f>IFERROR(__xludf.DUMMYFUNCTION("""COMPUTED_VALUE"""),1.345282134E9)</f>
        <v>1345282134</v>
      </c>
      <c r="AF462" s="6"/>
      <c r="AG462" s="12" t="str">
        <f>IFERROR(__xludf.DUMMYFUNCTION("""COMPUTED_VALUE"""),"María")</f>
        <v>María</v>
      </c>
      <c r="AH462" s="12" t="str">
        <f>IFERROR(__xludf.DUMMYFUNCTION("""COMPUTED_VALUE"""),"Alejandra")</f>
        <v>Alejandra</v>
      </c>
      <c r="AI462" s="6" t="str">
        <f>IFERROR(__xludf.DUMMYFUNCTION("""COMPUTED_VALUE"""),"Fernández Benavides")</f>
        <v>Fernández Benavides</v>
      </c>
      <c r="AJ462" s="6" t="str">
        <f>IFERROR(__xludf.DUMMYFUNCTION("""COMPUTED_VALUE"""),"mariafernandez452@hotmail.com")</f>
        <v>mariafernandez452@hotmail.com</v>
      </c>
      <c r="AK462" s="6" t="str">
        <f>IFERROR(__xludf.DUMMYFUNCTION("""COMPUTED_VALUE"""),"Médico Veterinario y Zootecnista")</f>
        <v>Médico Veterinario y Zootecnista</v>
      </c>
      <c r="AL462" s="6" t="str">
        <f>IFERROR(__xludf.DUMMYFUNCTION("""COMPUTED_VALUE"""),"Estados Unidos")</f>
        <v>Estados Unidos</v>
      </c>
      <c r="AM462" s="12">
        <f>IFERROR(__xludf.DUMMYFUNCTION("""COMPUTED_VALUE"""),1.094948844E9)</f>
        <v>1094948844</v>
      </c>
      <c r="AN462" s="12">
        <f>IFERROR(__xludf.DUMMYFUNCTION("""COMPUTED_VALUE"""),3.225275083E9)</f>
        <v>3225275083</v>
      </c>
      <c r="AO462" s="6" t="str">
        <f>IFERROR(__xludf.DUMMYFUNCTION("""COMPUTED_VALUE"""),"Madre")</f>
        <v>Madre</v>
      </c>
      <c r="AP462" s="6" t="str">
        <f>IFERROR(__xludf.DUMMYFUNCTION("""COMPUTED_VALUE"""),"Estudiante(s): Ocampo Fernández")</f>
        <v>Estudiante(s): Ocampo Fernández</v>
      </c>
      <c r="AQ462" s="6" t="str">
        <f>IFERROR(__xludf.DUMMYFUNCTION("""COMPUTED_VALUE"""),"120573*Gi")</f>
        <v>120573*Gi</v>
      </c>
      <c r="AR462" s="6" t="str">
        <f>IFERROR(__xludf.DUMMYFUNCTION("""COMPUTED_VALUE"""),"Samuel")</f>
        <v>Samuel</v>
      </c>
      <c r="AS462" s="6" t="str">
        <f>IFERROR(__xludf.DUMMYFUNCTION("""COMPUTED_VALUE"""),"Mauricio")</f>
        <v>Mauricio</v>
      </c>
      <c r="AT462" s="6" t="str">
        <f>IFERROR(__xludf.DUMMYFUNCTION("""COMPUTED_VALUE"""),"Fernández Vélez")</f>
        <v>Fernández Vélez</v>
      </c>
      <c r="AU462" s="6" t="str">
        <f>IFERROR(__xludf.DUMMYFUNCTION("""COMPUTED_VALUE"""),"lasubasta.armenia@gmail.com")</f>
        <v>lasubasta.armenia@gmail.com</v>
      </c>
      <c r="AV462" s="6" t="str">
        <f>IFERROR(__xludf.DUMMYFUNCTION("""COMPUTED_VALUE"""),"COMERCIANTE")</f>
        <v>COMERCIANTE</v>
      </c>
      <c r="AW462" s="6" t="str">
        <f>IFERROR(__xludf.DUMMYFUNCTION("""COMPUTED_VALUE"""),"LA SUBASTA")</f>
        <v>LA SUBASTA</v>
      </c>
      <c r="AX462" s="12" t="str">
        <f>IFERROR(__xludf.DUMMYFUNCTION("""COMPUTED_VALUE"""),"13501748")</f>
        <v>13501748</v>
      </c>
      <c r="AY462" s="12" t="str">
        <f>IFERROR(__xludf.DUMMYFUNCTION("""COMPUTED_VALUE"""),"3117697950")</f>
        <v>3117697950</v>
      </c>
      <c r="AZ462" s="6" t="str">
        <f>IFERROR(__xludf.DUMMYFUNCTION("""COMPUTED_VALUE"""),"Abuelo")</f>
        <v>Abuelo</v>
      </c>
      <c r="BA462" s="6"/>
      <c r="BB462" s="6"/>
      <c r="BC462" s="6"/>
      <c r="BD462" s="12" t="str">
        <f>IFERROR(__xludf.DUMMYFUNCTION("""COMPUTED_VALUE"""),"oca0006")</f>
        <v>oca0006</v>
      </c>
      <c r="BE462" s="6"/>
      <c r="BF462" s="6"/>
      <c r="BG462" s="6">
        <f>IFERROR(__xludf.DUMMYFUNCTION("""COMPUTED_VALUE"""),2033.0)</f>
        <v>2033</v>
      </c>
      <c r="BH462" s="15">
        <f>IFERROR(__xludf.DUMMYFUNCTION("""COMPUTED_VALUE"""),46203.86534722222)</f>
        <v>46203.86535</v>
      </c>
      <c r="BI462" s="6">
        <f>IFERROR(__xludf.DUMMYFUNCTION("""COMPUTED_VALUE"""),462.0)</f>
        <v>462</v>
      </c>
      <c r="BJ462" s="6"/>
      <c r="BK462" s="6"/>
      <c r="BL462" s="6" t="str">
        <f>IFERROR(__xludf.DUMMYFUNCTION("""COMPUTED_VALUE"""),"GISOCA0006")</f>
        <v>GISOCA0006</v>
      </c>
      <c r="BM462" s="6"/>
      <c r="BN462" s="6"/>
      <c r="BO462" s="6" t="str">
        <f>IFERROR(__xludf.DUMMYFUNCTION("""COMPUTED_VALUE"""),"XC_MS_Voleibol_F")</f>
        <v>XC_MS_Voleibol_F</v>
      </c>
      <c r="BP462" s="6"/>
      <c r="BQ462" s="6" t="str">
        <f>IFERROR(__xludf.DUMMYFUNCTION("""COMPUTED_VALUE"""),"XC_MS_Voleibol_F")</f>
        <v>XC_MS_Voleibol_F</v>
      </c>
      <c r="BR462" s="6" t="str">
        <f>IFERROR(__xludf.DUMMYFUNCTION("""COMPUTED_VALUE"""),"XC_MS_Voleibol_F")</f>
        <v>XC_MS_Voleibol_F</v>
      </c>
      <c r="BS462" s="6"/>
      <c r="BT462" s="6" t="str">
        <f>IFERROR(__xludf.DUMMYFUNCTION("""COMPUTED_VALUE"""),"XC_MS_Voleibol_F")</f>
        <v>XC_MS_Voleibol_F</v>
      </c>
      <c r="BU462" s="6" t="str">
        <f>IFERROR(__xludf.DUMMYFUNCTION("""COMPUTED_VALUE"""),"SI")</f>
        <v>SI</v>
      </c>
      <c r="BV462" s="6" t="str">
        <f>IFERROR(__xludf.DUMMYFUNCTION("""COMPUTED_VALUE"""),"antonia.o2033")</f>
        <v>antonia.o2033</v>
      </c>
      <c r="BW462" s="6"/>
      <c r="BX462" s="6"/>
      <c r="BY462" s="6"/>
      <c r="BZ462" s="6"/>
    </row>
    <row r="463">
      <c r="A463" s="12">
        <f>IFERROR(__xludf.DUMMYFUNCTION("""COMPUTED_VALUE"""),1.014886741E9)</f>
        <v>1014886741</v>
      </c>
      <c r="B463" s="6">
        <f>IFERROR(__xludf.DUMMYFUNCTION("""COMPUTED_VALUE"""),16.0)</f>
        <v>16</v>
      </c>
      <c r="C463" s="6" t="str">
        <f>IFERROR(__xludf.DUMMYFUNCTION("""COMPUTED_VALUE"""),"Samuel")</f>
        <v>Samuel</v>
      </c>
      <c r="D463" s="6"/>
      <c r="E463" s="6" t="str">
        <f>IFERROR(__xludf.DUMMYFUNCTION("""COMPUTED_VALUE"""),"Oñate Mayorga")</f>
        <v>Oñate Mayorga</v>
      </c>
      <c r="F463" s="6" t="str">
        <f>IFERROR(__xludf.DUMMYFUNCTION("""COMPUTED_VALUE"""),"Finca San Juan - Km 1.5 Via Club Campestre El Caimo Vereda Marmato")</f>
        <v>Finca San Juan - Km 1.5 Via Club Campestre El Caimo Vereda Marmato</v>
      </c>
      <c r="G463" s="12" t="str">
        <f>IFERROR(__xludf.DUMMYFUNCTION("""COMPUTED_VALUE"""),"2014")</f>
        <v>2014</v>
      </c>
      <c r="H463" s="6" t="str">
        <f>IFERROR(__xludf.DUMMYFUNCTION("""COMPUTED_VALUE"""),"Junio")</f>
        <v>Junio</v>
      </c>
      <c r="I463" s="12" t="str">
        <f>IFERROR(__xludf.DUMMYFUNCTION("""COMPUTED_VALUE"""),"17")</f>
        <v>17</v>
      </c>
      <c r="J463" s="6" t="str">
        <f>IFERROR(__xludf.DUMMYFUNCTION("""COMPUTED_VALUE"""),"Bogotá D.C.")</f>
        <v>Bogotá D.C.</v>
      </c>
      <c r="K463" s="6" t="str">
        <f>IFERROR(__xludf.DUMMYFUNCTION("""COMPUTED_VALUE"""),"samuel.o2033@gi.edu.co")</f>
        <v>samuel.o2033@gi.edu.co</v>
      </c>
      <c r="L463" s="6" t="str">
        <f>IFERROR(__xludf.DUMMYFUNCTION("""COMPUTED_VALUE"""),"RC")</f>
        <v>RC</v>
      </c>
      <c r="M463" s="6" t="str">
        <f>IFERROR(__xludf.DUMMYFUNCTION("""COMPUTED_VALUE"""),"Bogotá D.C.")</f>
        <v>Bogotá D.C.</v>
      </c>
      <c r="N463" s="6" t="str">
        <f>IFERROR(__xludf.DUMMYFUNCTION("""COMPUTED_VALUE"""),"M")</f>
        <v>M</v>
      </c>
      <c r="O463" s="6" t="str">
        <f>IFERROR(__xludf.DUMMYFUNCTION("""COMPUTED_VALUE"""),"ACTIVE")</f>
        <v>ACTIVE</v>
      </c>
      <c r="P463" s="6"/>
      <c r="Q463" s="6" t="str">
        <f>IFERROR(__xludf.DUMMYFUNCTION("""COMPUTED_VALUE"""),"El Edén")</f>
        <v>El Edén</v>
      </c>
      <c r="R463" s="12" t="str">
        <f>IFERROR(__xludf.DUMMYFUNCTION("""COMPUTED_VALUE"""),"Gi3sdkj85*")</f>
        <v>Gi3sdkj85*</v>
      </c>
      <c r="S463" s="6" t="str">
        <f>IFERROR(__xludf.DUMMYFUNCTION("""COMPUTED_VALUE"""),"Oñate Mayorga Samuel ")</f>
        <v>Oñate Mayorga Samuel </v>
      </c>
      <c r="T463" s="6" t="str">
        <f>IFERROR(__xludf.DUMMYFUNCTION("""COMPUTED_VALUE"""),"OSCAR MAURICIO OÑATE GONZALEZ")</f>
        <v>OSCAR MAURICIO OÑATE GONZALEZ</v>
      </c>
      <c r="U463" s="12" t="str">
        <f>IFERROR(__xludf.DUMMYFUNCTION("""COMPUTED_VALUE"""),"79950796")</f>
        <v>79950796</v>
      </c>
      <c r="V463" s="6">
        <f>IFERROR(__xludf.DUMMYFUNCTION("""COMPUTED_VALUE"""),3.203067725E9)</f>
        <v>3203067725</v>
      </c>
      <c r="W463" s="6" t="str">
        <f>IFERROR(__xludf.DUMMYFUNCTION("""COMPUTED_VALUE"""),"osnatin@hotmail.com")</f>
        <v>osnatin@hotmail.com</v>
      </c>
      <c r="X463" s="12" t="str">
        <f>IFERROR(__xludf.DUMMYFUNCTION("""COMPUTED_VALUE"""),"O+")</f>
        <v>O+</v>
      </c>
      <c r="Y463" s="12" t="str">
        <f>IFERROR(__xludf.DUMMYFUNCTION("""COMPUTED_VALUE"""),"6")</f>
        <v>6</v>
      </c>
      <c r="Z463" s="12">
        <f>IFERROR(__xludf.DUMMYFUNCTION("""COMPUTED_VALUE"""),120045.0)</f>
        <v>120045</v>
      </c>
      <c r="AA463" s="6" t="str">
        <f>IFERROR(__xludf.DUMMYFUNCTION("""COMPUTED_VALUE"""),"COMPENSAR")</f>
        <v>COMPENSAR</v>
      </c>
      <c r="AB463" s="6"/>
      <c r="AC463" s="6" t="str">
        <f>IFERROR(__xludf.DUMMYFUNCTION("""COMPUTED_VALUE"""),"atopicas y alimentarias atopicas y alimentarias lacteos y derivados, soya , lecitina de soya y productos con soyaa")</f>
        <v>atopicas y alimentarias atopicas y alimentarias lacteos y derivados, soya , lecitina de soya y productos con soyaa</v>
      </c>
      <c r="AD463" s="12" t="str">
        <f>IFERROR(__xludf.DUMMYFUNCTION("""COMPUTED_VALUE"""),"6A")</f>
        <v>6A</v>
      </c>
      <c r="AE463" s="12">
        <f>IFERROR(__xludf.DUMMYFUNCTION("""COMPUTED_VALUE"""),1.345282051E9)</f>
        <v>1345282051</v>
      </c>
      <c r="AF463" s="12" t="str">
        <f>IFERROR(__xludf.DUMMYFUNCTION("""COMPUTED_VALUE"""),"0671832755")</f>
        <v>0671832755</v>
      </c>
      <c r="AG463" s="12" t="str">
        <f>IFERROR(__xludf.DUMMYFUNCTION("""COMPUTED_VALUE"""),"Jaenme")</f>
        <v>Jaenme</v>
      </c>
      <c r="AH463" s="12" t="str">
        <f>IFERROR(__xludf.DUMMYFUNCTION("""COMPUTED_VALUE"""),"Wendy")</f>
        <v>Wendy</v>
      </c>
      <c r="AI463" s="6" t="str">
        <f>IFERROR(__xludf.DUMMYFUNCTION("""COMPUTED_VALUE"""),"Mayorga Velasco")</f>
        <v>Mayorga Velasco</v>
      </c>
      <c r="AJ463" s="6" t="str">
        <f>IFERROR(__xludf.DUMMYFUNCTION("""COMPUTED_VALUE"""),"velascomayorgawendy@gmail.com")</f>
        <v>velascomayorgawendy@gmail.com</v>
      </c>
      <c r="AK463" s="6" t="str">
        <f>IFERROR(__xludf.DUMMYFUNCTION("""COMPUTED_VALUE"""),"Administradora de empresas")</f>
        <v>Administradora de empresas</v>
      </c>
      <c r="AL463" s="6" t="str">
        <f>IFERROR(__xludf.DUMMYFUNCTION("""COMPUTED_VALUE"""),"Wenbrulee")</f>
        <v>Wenbrulee</v>
      </c>
      <c r="AM463" s="12" t="str">
        <f>IFERROR(__xludf.DUMMYFUNCTION("""COMPUTED_VALUE"""),"52992144")</f>
        <v>52992144</v>
      </c>
      <c r="AN463" s="12" t="str">
        <f>IFERROR(__xludf.DUMMYFUNCTION("""COMPUTED_VALUE"""),"3164479545")</f>
        <v>3164479545</v>
      </c>
      <c r="AO463" s="6" t="str">
        <f>IFERROR(__xludf.DUMMYFUNCTION("""COMPUTED_VALUE"""),"Madre")</f>
        <v>Madre</v>
      </c>
      <c r="AP463" s="6" t="str">
        <f>IFERROR(__xludf.DUMMYFUNCTION("""COMPUTED_VALUE"""),"Estudiante(s): Oñate Mayorga")</f>
        <v>Estudiante(s): Oñate Mayorga</v>
      </c>
      <c r="AQ463" s="6" t="str">
        <f>IFERROR(__xludf.DUMMYFUNCTION("""COMPUTED_VALUE"""),"120105*Gi")</f>
        <v>120105*Gi</v>
      </c>
      <c r="AR463" s="6" t="str">
        <f>IFERROR(__xludf.DUMMYFUNCTION("""COMPUTED_VALUE"""),"Óscar")</f>
        <v>Óscar</v>
      </c>
      <c r="AS463" s="6" t="str">
        <f>IFERROR(__xludf.DUMMYFUNCTION("""COMPUTED_VALUE"""),"Mauricio")</f>
        <v>Mauricio</v>
      </c>
      <c r="AT463" s="6" t="str">
        <f>IFERROR(__xludf.DUMMYFUNCTION("""COMPUTED_VALUE"""),"Oñate González")</f>
        <v>Oñate González</v>
      </c>
      <c r="AU463" s="6" t="str">
        <f>IFERROR(__xludf.DUMMYFUNCTION("""COMPUTED_VALUE"""),"osnatin@hotmail.com")</f>
        <v>osnatin@hotmail.com</v>
      </c>
      <c r="AV463" s="6" t="str">
        <f>IFERROR(__xludf.DUMMYFUNCTION("""COMPUTED_VALUE"""),"Administrador de empresas")</f>
        <v>Administrador de empresas</v>
      </c>
      <c r="AW463" s="6" t="str">
        <f>IFERROR(__xludf.DUMMYFUNCTION("""COMPUTED_VALUE"""),"Representaciones la Esmeralda")</f>
        <v>Representaciones la Esmeralda</v>
      </c>
      <c r="AX463" s="12" t="str">
        <f>IFERROR(__xludf.DUMMYFUNCTION("""COMPUTED_VALUE"""),"79950796")</f>
        <v>79950796</v>
      </c>
      <c r="AY463" s="12" t="str">
        <f>IFERROR(__xludf.DUMMYFUNCTION("""COMPUTED_VALUE"""),"3203067725")</f>
        <v>3203067725</v>
      </c>
      <c r="AZ463" s="6" t="str">
        <f>IFERROR(__xludf.DUMMYFUNCTION("""COMPUTED_VALUE"""),"Padre")</f>
        <v>Padre</v>
      </c>
      <c r="BA463" s="6"/>
      <c r="BB463" s="6"/>
      <c r="BC463" s="6"/>
      <c r="BD463" s="12" t="str">
        <f>IFERROR(__xludf.DUMMYFUNCTION("""COMPUTED_VALUE"""),"ona0001")</f>
        <v>ona0001</v>
      </c>
      <c r="BE463" s="6"/>
      <c r="BF463" s="6"/>
      <c r="BG463" s="6">
        <f>IFERROR(__xludf.DUMMYFUNCTION("""COMPUTED_VALUE"""),2033.0)</f>
        <v>2033</v>
      </c>
      <c r="BH463" s="15">
        <f>IFERROR(__xludf.DUMMYFUNCTION("""COMPUTED_VALUE"""),46206.45578703703)</f>
        <v>46206.45579</v>
      </c>
      <c r="BI463" s="6">
        <f>IFERROR(__xludf.DUMMYFUNCTION("""COMPUTED_VALUE"""),463.0)</f>
        <v>463</v>
      </c>
      <c r="BJ463" s="6"/>
      <c r="BK463" s="6"/>
      <c r="BL463" s="6" t="str">
        <f>IFERROR(__xludf.DUMMYFUNCTION("""COMPUTED_VALUE"""),"GISONA0001")</f>
        <v>GISONA0001</v>
      </c>
      <c r="BM463" s="6"/>
      <c r="BN463" s="6"/>
      <c r="BO463" s="6" t="str">
        <f>IFERROR(__xludf.DUMMYFUNCTION("""COMPUTED_VALUE"""),"XC_MS_Futbol_M")</f>
        <v>XC_MS_Futbol_M</v>
      </c>
      <c r="BP463" s="6"/>
      <c r="BQ463" s="6" t="str">
        <f>IFERROR(__xludf.DUMMYFUNCTION("""COMPUTED_VALUE"""),"XC_MS_Futbol_M")</f>
        <v>XC_MS_Futbol_M</v>
      </c>
      <c r="BR463" s="6" t="str">
        <f>IFERROR(__xludf.DUMMYFUNCTION("""COMPUTED_VALUE"""),"XC_MS_Futbol_M")</f>
        <v>XC_MS_Futbol_M</v>
      </c>
      <c r="BS463" s="6"/>
      <c r="BT463" s="6" t="str">
        <f>IFERROR(__xludf.DUMMYFUNCTION("""COMPUTED_VALUE"""),"XC_MS_Futbol_M")</f>
        <v>XC_MS_Futbol_M</v>
      </c>
      <c r="BU463" s="6" t="str">
        <f>IFERROR(__xludf.DUMMYFUNCTION("""COMPUTED_VALUE"""),"SI")</f>
        <v>SI</v>
      </c>
      <c r="BV463" s="6" t="str">
        <f>IFERROR(__xludf.DUMMYFUNCTION("""COMPUTED_VALUE"""),"samuel.o2033")</f>
        <v>samuel.o2033</v>
      </c>
      <c r="BW463" s="6"/>
      <c r="BX463" s="6"/>
      <c r="BY463" s="6"/>
      <c r="BZ463" s="6"/>
    </row>
    <row r="464">
      <c r="A464" s="12">
        <f>IFERROR(__xludf.DUMMYFUNCTION("""COMPUTED_VALUE"""),1.2217209E9)</f>
        <v>1221720900</v>
      </c>
      <c r="B464" s="6">
        <f>IFERROR(__xludf.DUMMYFUNCTION("""COMPUTED_VALUE"""),17.0)</f>
        <v>17</v>
      </c>
      <c r="C464" s="6" t="str">
        <f>IFERROR(__xludf.DUMMYFUNCTION("""COMPUTED_VALUE"""),"Felipe")</f>
        <v>Felipe</v>
      </c>
      <c r="D464" s="6"/>
      <c r="E464" s="6" t="str">
        <f>IFERROR(__xludf.DUMMYFUNCTION("""COMPUTED_VALUE"""),"Ordóñez Herrera")</f>
        <v>Ordóñez Herrera</v>
      </c>
      <c r="F464" s="6" t="str">
        <f>IFERROR(__xludf.DUMMYFUNCTION("""COMPUTED_VALUE"""),"Casa 3 - Getsemani Cra 19 No36Nte - 38")</f>
        <v>Casa 3 - Getsemani Cra 19 No36Nte - 38</v>
      </c>
      <c r="G464" s="12" t="str">
        <f>IFERROR(__xludf.DUMMYFUNCTION("""COMPUTED_VALUE"""),"2015")</f>
        <v>2015</v>
      </c>
      <c r="H464" s="6" t="str">
        <f>IFERROR(__xludf.DUMMYFUNCTION("""COMPUTED_VALUE"""),"Marzo")</f>
        <v>Marzo</v>
      </c>
      <c r="I464" s="12" t="str">
        <f>IFERROR(__xludf.DUMMYFUNCTION("""COMPUTED_VALUE"""),"7")</f>
        <v>7</v>
      </c>
      <c r="J464" s="6" t="str">
        <f>IFERROR(__xludf.DUMMYFUNCTION("""COMPUTED_VALUE"""),"Madrid")</f>
        <v>Madrid</v>
      </c>
      <c r="K464" s="6" t="str">
        <f>IFERROR(__xludf.DUMMYFUNCTION("""COMPUTED_VALUE"""),"felipe.o2033@gi.edu.co")</f>
        <v>felipe.o2033@gi.edu.co</v>
      </c>
      <c r="L464" s="6" t="str">
        <f>IFERROR(__xludf.DUMMYFUNCTION("""COMPUTED_VALUE"""),"TI")</f>
        <v>TI</v>
      </c>
      <c r="M464" s="6" t="str">
        <f>IFERROR(__xludf.DUMMYFUNCTION("""COMPUTED_VALUE"""),"Armenia")</f>
        <v>Armenia</v>
      </c>
      <c r="N464" s="6" t="str">
        <f>IFERROR(__xludf.DUMMYFUNCTION("""COMPUTED_VALUE"""),"M")</f>
        <v>M</v>
      </c>
      <c r="O464" s="6" t="str">
        <f>IFERROR(__xludf.DUMMYFUNCTION("""COMPUTED_VALUE"""),"INACTIVE")</f>
        <v>INACTIVE</v>
      </c>
      <c r="P464" s="6"/>
      <c r="Q464" s="6" t="str">
        <f>IFERROR(__xludf.DUMMYFUNCTION("""COMPUTED_VALUE"""),"Armenia")</f>
        <v>Armenia</v>
      </c>
      <c r="R464" s="12" t="str">
        <f>IFERROR(__xludf.DUMMYFUNCTION("""COMPUTED_VALUE"""),"Gietsg23*")</f>
        <v>Gietsg23*</v>
      </c>
      <c r="S464" s="6" t="str">
        <f>IFERROR(__xludf.DUMMYFUNCTION("""COMPUTED_VALUE"""),"Ordóñez Herrera Felipe ")</f>
        <v>Ordóñez Herrera Felipe </v>
      </c>
      <c r="T464" s="6" t="str">
        <f>IFERROR(__xludf.DUMMYFUNCTION("""COMPUTED_VALUE"""),"JUNIOR ORDOÑEZ RODRIGUEZ")</f>
        <v>JUNIOR ORDOÑEZ RODRIGUEZ</v>
      </c>
      <c r="U464" s="12" t="str">
        <f>IFERROR(__xludf.DUMMYFUNCTION("""COMPUTED_VALUE"""),"94375831")</f>
        <v>94375831</v>
      </c>
      <c r="V464" s="6">
        <f>IFERROR(__xludf.DUMMYFUNCTION("""COMPUTED_VALUE"""),3.182481233E9)</f>
        <v>3182481233</v>
      </c>
      <c r="W464" s="6" t="str">
        <f>IFERROR(__xludf.DUMMYFUNCTION("""COMPUTED_VALUE"""),"ordonezjunior@hotmail.com")</f>
        <v>ordonezjunior@hotmail.com</v>
      </c>
      <c r="X464" s="12" t="str">
        <f>IFERROR(__xludf.DUMMYFUNCTION("""COMPUTED_VALUE"""),"A+")</f>
        <v>A+</v>
      </c>
      <c r="Y464" s="12" t="str">
        <f>IFERROR(__xludf.DUMMYFUNCTION("""COMPUTED_VALUE"""),"6")</f>
        <v>6</v>
      </c>
      <c r="Z464" s="12">
        <f>IFERROR(__xludf.DUMMYFUNCTION("""COMPUTED_VALUE"""),103692.0)</f>
        <v>103692</v>
      </c>
      <c r="AA464" s="6" t="str">
        <f>IFERROR(__xludf.DUMMYFUNCTION("""COMPUTED_VALUE"""),"SANITAS")</f>
        <v>SANITAS</v>
      </c>
      <c r="AB464" s="6"/>
      <c r="AC464" s="6"/>
      <c r="AD464" s="12" t="str">
        <f>IFERROR(__xludf.DUMMYFUNCTION("""COMPUTED_VALUE"""),"6A")</f>
        <v>6A</v>
      </c>
      <c r="AE464" s="12">
        <f>IFERROR(__xludf.DUMMYFUNCTION("""COMPUTED_VALUE"""),1.345281801E9)</f>
        <v>1345281801</v>
      </c>
      <c r="AF464" s="12" t="str">
        <f>IFERROR(__xludf.DUMMYFUNCTION("""COMPUTED_VALUE"""),"0696485539")</f>
        <v>0696485539</v>
      </c>
      <c r="AG464" s="12" t="str">
        <f>IFERROR(__xludf.DUMMYFUNCTION("""COMPUTED_VALUE"""),"Margarita")</f>
        <v>Margarita</v>
      </c>
      <c r="AH464" s="12" t="str">
        <f>IFERROR(__xludf.DUMMYFUNCTION("""COMPUTED_VALUE"""),"Maria")</f>
        <v>Maria</v>
      </c>
      <c r="AI464" s="6" t="str">
        <f>IFERROR(__xludf.DUMMYFUNCTION("""COMPUTED_VALUE"""),"Herrera Herrera")</f>
        <v>Herrera Herrera</v>
      </c>
      <c r="AJ464" s="6" t="str">
        <f>IFERROR(__xludf.DUMMYFUNCTION("""COMPUTED_VALUE"""),"margaris19@hotmail.com")</f>
        <v>margaris19@hotmail.com</v>
      </c>
      <c r="AK464" s="6" t="str">
        <f>IFERROR(__xludf.DUMMYFUNCTION("""COMPUTED_VALUE"""),"administradora de empresas")</f>
        <v>administradora de empresas</v>
      </c>
      <c r="AL464" s="6" t="str">
        <f>IFERROR(__xludf.DUMMYFUNCTION("""COMPUTED_VALUE"""),"transportes el encinar")</f>
        <v>transportes el encinar</v>
      </c>
      <c r="AM464" s="12" t="str">
        <f>IFERROR(__xludf.DUMMYFUNCTION("""COMPUTED_VALUE"""),"1094888903")</f>
        <v>1094888903</v>
      </c>
      <c r="AN464" s="12" t="str">
        <f>IFERROR(__xludf.DUMMYFUNCTION("""COMPUTED_VALUE"""),"3175129896")</f>
        <v>3175129896</v>
      </c>
      <c r="AO464" s="6" t="str">
        <f>IFERROR(__xludf.DUMMYFUNCTION("""COMPUTED_VALUE"""),"Madre")</f>
        <v>Madre</v>
      </c>
      <c r="AP464" s="6" t="str">
        <f>IFERROR(__xludf.DUMMYFUNCTION("""COMPUTED_VALUE"""),"Estudiante(s): Ordóñez Herrera")</f>
        <v>Estudiante(s): Ordóñez Herrera</v>
      </c>
      <c r="AQ464" s="6" t="str">
        <f>IFERROR(__xludf.DUMMYFUNCTION("""COMPUTED_VALUE"""),"103692*Gi")</f>
        <v>103692*Gi</v>
      </c>
      <c r="AR464" s="6" t="str">
        <f>IFERROR(__xludf.DUMMYFUNCTION("""COMPUTED_VALUE"""),"Junior")</f>
        <v>Junior</v>
      </c>
      <c r="AS464" s="6"/>
      <c r="AT464" s="6" t="str">
        <f>IFERROR(__xludf.DUMMYFUNCTION("""COMPUTED_VALUE"""),"Ordoñez Rodriguez")</f>
        <v>Ordoñez Rodriguez</v>
      </c>
      <c r="AU464" s="6" t="str">
        <f>IFERROR(__xludf.DUMMYFUNCTION("""COMPUTED_VALUE"""),"ordonezjunior@hotmail.com")</f>
        <v>ordonezjunior@hotmail.com</v>
      </c>
      <c r="AV464" s="6" t="str">
        <f>IFERROR(__xludf.DUMMYFUNCTION("""COMPUTED_VALUE"""),"administrador de empresas")</f>
        <v>administrador de empresas</v>
      </c>
      <c r="AW464" s="6" t="str">
        <f>IFERROR(__xludf.DUMMYFUNCTION("""COMPUTED_VALUE"""),"transportes el encinar")</f>
        <v>transportes el encinar</v>
      </c>
      <c r="AX464" s="12" t="str">
        <f>IFERROR(__xludf.DUMMYFUNCTION("""COMPUTED_VALUE"""),"94375831")</f>
        <v>94375831</v>
      </c>
      <c r="AY464" s="12" t="str">
        <f>IFERROR(__xludf.DUMMYFUNCTION("""COMPUTED_VALUE"""),"3182481233")</f>
        <v>3182481233</v>
      </c>
      <c r="AZ464" s="6" t="str">
        <f>IFERROR(__xludf.DUMMYFUNCTION("""COMPUTED_VALUE"""),"Padre")</f>
        <v>Padre</v>
      </c>
      <c r="BA464" s="6"/>
      <c r="BB464" s="6"/>
      <c r="BC464" s="6"/>
      <c r="BD464" s="12" t="str">
        <f>IFERROR(__xludf.DUMMYFUNCTION("""COMPUTED_VALUE"""),"ord0001")</f>
        <v>ord0001</v>
      </c>
      <c r="BE464" s="6" t="str">
        <f>IFERROR(__xludf.DUMMYFUNCTION("""COMPUTED_VALUE"""),"FALTAN FIRMAS")</f>
        <v>FALTAN FIRMAS</v>
      </c>
      <c r="BF464" s="6"/>
      <c r="BG464" s="6">
        <f>IFERROR(__xludf.DUMMYFUNCTION("""COMPUTED_VALUE"""),2033.0)</f>
        <v>2033</v>
      </c>
      <c r="BH464" s="15">
        <f>IFERROR(__xludf.DUMMYFUNCTION("""COMPUTED_VALUE"""),46211.82876157408)</f>
        <v>46211.82876</v>
      </c>
      <c r="BI464" s="6">
        <f>IFERROR(__xludf.DUMMYFUNCTION("""COMPUTED_VALUE"""),464.0)</f>
        <v>464</v>
      </c>
      <c r="BJ464" s="6"/>
      <c r="BK464" s="6"/>
      <c r="BL464" s="6" t="str">
        <f>IFERROR(__xludf.DUMMYFUNCTION("""COMPUTED_VALUE"""),"GISORD0001")</f>
        <v>GISORD0001</v>
      </c>
      <c r="BM464" s="6"/>
      <c r="BN464" s="6"/>
      <c r="BO464" s="6" t="str">
        <f>IFERROR(__xludf.DUMMYFUNCTION("""COMPUTED_VALUE"""),"XC_EL_BandaBS")</f>
        <v>XC_EL_BandaBS</v>
      </c>
      <c r="BP464" s="6"/>
      <c r="BQ464" s="6"/>
      <c r="BR464" s="6"/>
      <c r="BS464" s="6"/>
      <c r="BT464" s="6"/>
      <c r="BU464" s="6" t="str">
        <f>IFERROR(__xludf.DUMMYFUNCTION("""COMPUTED_VALUE"""),"SI")</f>
        <v>SI</v>
      </c>
      <c r="BV464" s="6" t="str">
        <f>IFERROR(__xludf.DUMMYFUNCTION("""COMPUTED_VALUE"""),"felipe.o2033")</f>
        <v>felipe.o2033</v>
      </c>
      <c r="BW464" s="6"/>
      <c r="BX464" s="6"/>
      <c r="BY464" s="6"/>
      <c r="BZ464" s="6"/>
    </row>
    <row r="465">
      <c r="A465" s="12">
        <f>IFERROR(__xludf.DUMMYFUNCTION("""COMPUTED_VALUE"""),1.146133865E9)</f>
        <v>1146133865</v>
      </c>
      <c r="B465" s="6">
        <f>IFERROR(__xludf.DUMMYFUNCTION("""COMPUTED_VALUE"""),18.0)</f>
        <v>18</v>
      </c>
      <c r="C465" s="6" t="str">
        <f>IFERROR(__xludf.DUMMYFUNCTION("""COMPUTED_VALUE"""),"Santiago")</f>
        <v>Santiago</v>
      </c>
      <c r="D465" s="6"/>
      <c r="E465" s="6" t="str">
        <f>IFERROR(__xludf.DUMMYFUNCTION("""COMPUTED_VALUE"""),"Páez García")</f>
        <v>Páez García</v>
      </c>
      <c r="F465" s="6" t="str">
        <f>IFERROR(__xludf.DUMMYFUNCTION("""COMPUTED_VALUE"""),"Edificio La Riviera Apto 402 - Cra 14 No38Nte - 75 Av Bolivar antes del San Luis")</f>
        <v>Edificio La Riviera Apto 402 - Cra 14 No38Nte - 75 Av Bolivar antes del San Luis</v>
      </c>
      <c r="G465" s="12" t="str">
        <f>IFERROR(__xludf.DUMMYFUNCTION("""COMPUTED_VALUE"""),"2014")</f>
        <v>2014</v>
      </c>
      <c r="H465" s="6" t="str">
        <f>IFERROR(__xludf.DUMMYFUNCTION("""COMPUTED_VALUE"""),"Diciembre")</f>
        <v>Diciembre</v>
      </c>
      <c r="I465" s="12" t="str">
        <f>IFERROR(__xludf.DUMMYFUNCTION("""COMPUTED_VALUE"""),"6")</f>
        <v>6</v>
      </c>
      <c r="J465" s="6" t="str">
        <f>IFERROR(__xludf.DUMMYFUNCTION("""COMPUTED_VALUE"""),"Bogotá D.C.")</f>
        <v>Bogotá D.C.</v>
      </c>
      <c r="K465" s="6" t="str">
        <f>IFERROR(__xludf.DUMMYFUNCTION("""COMPUTED_VALUE"""),"santiago.p2033@gi.edu.co")</f>
        <v>santiago.p2033@gi.edu.co</v>
      </c>
      <c r="L465" s="6" t="str">
        <f>IFERROR(__xludf.DUMMYFUNCTION("""COMPUTED_VALUE"""),"TI")</f>
        <v>TI</v>
      </c>
      <c r="M465" s="6" t="str">
        <f>IFERROR(__xludf.DUMMYFUNCTION("""COMPUTED_VALUE"""),"Armenia")</f>
        <v>Armenia</v>
      </c>
      <c r="N465" s="6" t="str">
        <f>IFERROR(__xludf.DUMMYFUNCTION("""COMPUTED_VALUE"""),"M")</f>
        <v>M</v>
      </c>
      <c r="O465" s="6" t="str">
        <f>IFERROR(__xludf.DUMMYFUNCTION("""COMPUTED_VALUE"""),"ACTIVE")</f>
        <v>ACTIVE</v>
      </c>
      <c r="P465" s="6"/>
      <c r="Q465" s="6" t="str">
        <f>IFERROR(__xludf.DUMMYFUNCTION("""COMPUTED_VALUE"""),"Armenia")</f>
        <v>Armenia</v>
      </c>
      <c r="R465" s="12" t="str">
        <f>IFERROR(__xludf.DUMMYFUNCTION("""COMPUTED_VALUE"""),"Gi3917sp*")</f>
        <v>Gi3917sp*</v>
      </c>
      <c r="S465" s="6" t="str">
        <f>IFERROR(__xludf.DUMMYFUNCTION("""COMPUTED_VALUE"""),"Páez García Santiago ")</f>
        <v>Páez García Santiago </v>
      </c>
      <c r="T465" s="6" t="str">
        <f>IFERROR(__xludf.DUMMYFUNCTION("""COMPUTED_VALUE"""),"GABRIEL PAEZ VÉLEZ")</f>
        <v>GABRIEL PAEZ VÉLEZ</v>
      </c>
      <c r="U465" s="12" t="str">
        <f>IFERROR(__xludf.DUMMYFUNCTION("""COMPUTED_VALUE"""),"9735954")</f>
        <v>9735954</v>
      </c>
      <c r="V465" s="6">
        <f>IFERROR(__xludf.DUMMYFUNCTION("""COMPUTED_VALUE"""),3.163843815E9)</f>
        <v>3163843815</v>
      </c>
      <c r="W465" s="6" t="str">
        <f>IFERROR(__xludf.DUMMYFUNCTION("""COMPUTED_VALUE"""),"gabrielpaezvelez@gmail.com")</f>
        <v>gabrielpaezvelez@gmail.com</v>
      </c>
      <c r="X465" s="12" t="str">
        <f>IFERROR(__xludf.DUMMYFUNCTION("""COMPUTED_VALUE"""),"O+")</f>
        <v>O+</v>
      </c>
      <c r="Y465" s="12" t="str">
        <f>IFERROR(__xludf.DUMMYFUNCTION("""COMPUTED_VALUE"""),"6")</f>
        <v>6</v>
      </c>
      <c r="Z465" s="12">
        <f>IFERROR(__xludf.DUMMYFUNCTION("""COMPUTED_VALUE"""),103917.0)</f>
        <v>103917</v>
      </c>
      <c r="AA465" s="6" t="str">
        <f>IFERROR(__xludf.DUMMYFUNCTION("""COMPUTED_VALUE"""),"SANITAS")</f>
        <v>SANITAS</v>
      </c>
      <c r="AB465" s="6"/>
      <c r="AC465" s="6"/>
      <c r="AD465" s="12" t="str">
        <f>IFERROR(__xludf.DUMMYFUNCTION("""COMPUTED_VALUE"""),"6A")</f>
        <v>6A</v>
      </c>
      <c r="AE465" s="12">
        <f>IFERROR(__xludf.DUMMYFUNCTION("""COMPUTED_VALUE"""),1.345281968E9)</f>
        <v>1345281968</v>
      </c>
      <c r="AF465" s="12" t="str">
        <f>IFERROR(__xludf.DUMMYFUNCTION("""COMPUTED_VALUE"""),"0709304531")</f>
        <v>0709304531</v>
      </c>
      <c r="AG465" s="12" t="str">
        <f>IFERROR(__xludf.DUMMYFUNCTION("""COMPUTED_VALUE"""),"Sandra")</f>
        <v>Sandra</v>
      </c>
      <c r="AH465" s="12" t="str">
        <f>IFERROR(__xludf.DUMMYFUNCTION("""COMPUTED_VALUE"""),"Lorena")</f>
        <v>Lorena</v>
      </c>
      <c r="AI465" s="6" t="str">
        <f>IFERROR(__xludf.DUMMYFUNCTION("""COMPUTED_VALUE"""),"Garcia Marin")</f>
        <v>Garcia Marin</v>
      </c>
      <c r="AJ465" s="6" t="str">
        <f>IFERROR(__xludf.DUMMYFUNCTION("""COMPUTED_VALUE"""),"salogarciamarin@gmail.com")</f>
        <v>salogarciamarin@gmail.com</v>
      </c>
      <c r="AK465" s="6" t="str">
        <f>IFERROR(__xludf.DUMMYFUNCTION("""COMPUTED_VALUE"""),"Gerontologa")</f>
        <v>Gerontologa</v>
      </c>
      <c r="AL465" s="6" t="str">
        <f>IFERROR(__xludf.DUMMYFUNCTION("""COMPUTED_VALUE"""),"Amauta Silver Club")</f>
        <v>Amauta Silver Club</v>
      </c>
      <c r="AM465" s="12" t="str">
        <f>IFERROR(__xludf.DUMMYFUNCTION("""COMPUTED_VALUE"""),"1010224057")</f>
        <v>1010224057</v>
      </c>
      <c r="AN465" s="12" t="str">
        <f>IFERROR(__xludf.DUMMYFUNCTION("""COMPUTED_VALUE"""),"3164856135")</f>
        <v>3164856135</v>
      </c>
      <c r="AO465" s="6" t="str">
        <f>IFERROR(__xludf.DUMMYFUNCTION("""COMPUTED_VALUE"""),"Madre")</f>
        <v>Madre</v>
      </c>
      <c r="AP465" s="6" t="str">
        <f>IFERROR(__xludf.DUMMYFUNCTION("""COMPUTED_VALUE"""),"Estudiante(s): Paez Garcia")</f>
        <v>Estudiante(s): Paez Garcia</v>
      </c>
      <c r="AQ465" s="6" t="str">
        <f>IFERROR(__xludf.DUMMYFUNCTION("""COMPUTED_VALUE"""),"103917*Gi")</f>
        <v>103917*Gi</v>
      </c>
      <c r="AR465" s="6" t="str">
        <f>IFERROR(__xludf.DUMMYFUNCTION("""COMPUTED_VALUE"""),"Gabriel")</f>
        <v>Gabriel</v>
      </c>
      <c r="AS465" s="6"/>
      <c r="AT465" s="6" t="str">
        <f>IFERROR(__xludf.DUMMYFUNCTION("""COMPUTED_VALUE"""),"Paez Velez")</f>
        <v>Paez Velez</v>
      </c>
      <c r="AU465" s="6" t="str">
        <f>IFERROR(__xludf.DUMMYFUNCTION("""COMPUTED_VALUE"""),"gabrielpaezvelez@gmail.com")</f>
        <v>gabrielpaezvelez@gmail.com</v>
      </c>
      <c r="AV465" s="6" t="str">
        <f>IFERROR(__xludf.DUMMYFUNCTION("""COMPUTED_VALUE"""),"Ingeniero mecatronico")</f>
        <v>Ingeniero mecatronico</v>
      </c>
      <c r="AW465" s="6" t="str">
        <f>IFERROR(__xludf.DUMMYFUNCTION("""COMPUTED_VALUE"""),"Incolteca")</f>
        <v>Incolteca</v>
      </c>
      <c r="AX465" s="12" t="str">
        <f>IFERROR(__xludf.DUMMYFUNCTION("""COMPUTED_VALUE"""),"9735954")</f>
        <v>9735954</v>
      </c>
      <c r="AY465" s="12" t="str">
        <f>IFERROR(__xludf.DUMMYFUNCTION("""COMPUTED_VALUE"""),"3163843815")</f>
        <v>3163843815</v>
      </c>
      <c r="AZ465" s="6" t="str">
        <f>IFERROR(__xludf.DUMMYFUNCTION("""COMPUTED_VALUE"""),"Padre")</f>
        <v>Padre</v>
      </c>
      <c r="BA465" s="6"/>
      <c r="BB465" s="6"/>
      <c r="BC465" s="6"/>
      <c r="BD465" s="12" t="str">
        <f>IFERROR(__xludf.DUMMYFUNCTION("""COMPUTED_VALUE"""),"pae0001")</f>
        <v>pae0001</v>
      </c>
      <c r="BE465" s="6"/>
      <c r="BF465" s="6"/>
      <c r="BG465" s="6">
        <f>IFERROR(__xludf.DUMMYFUNCTION("""COMPUTED_VALUE"""),2033.0)</f>
        <v>2033</v>
      </c>
      <c r="BH465" s="15">
        <f>IFERROR(__xludf.DUMMYFUNCTION("""COMPUTED_VALUE"""),46216.79738425926)</f>
        <v>46216.79738</v>
      </c>
      <c r="BI465" s="6">
        <f>IFERROR(__xludf.DUMMYFUNCTION("""COMPUTED_VALUE"""),465.0)</f>
        <v>465</v>
      </c>
      <c r="BJ465" s="6"/>
      <c r="BK465" s="6"/>
      <c r="BL465" s="6" t="str">
        <f>IFERROR(__xludf.DUMMYFUNCTION("""COMPUTED_VALUE"""),"GISPAE0001")</f>
        <v>GISPAE0001</v>
      </c>
      <c r="BM465" s="6"/>
      <c r="BN465" s="6"/>
      <c r="BO465" s="6" t="str">
        <f>IFERROR(__xludf.DUMMYFUNCTION("""COMPUTED_VALUE"""),"XC_SEC_Basquetbol")</f>
        <v>XC_SEC_Basquetbol</v>
      </c>
      <c r="BP465" s="6"/>
      <c r="BQ465" s="6" t="str">
        <f>IFERROR(__xludf.DUMMYFUNCTION("""COMPUTED_VALUE"""),"XC_SEC_Basquetbol")</f>
        <v>XC_SEC_Basquetbol</v>
      </c>
      <c r="BR465" s="6" t="str">
        <f>IFERROR(__xludf.DUMMYFUNCTION("""COMPUTED_VALUE"""),"XC_SEC_Basquetbol")</f>
        <v>XC_SEC_Basquetbol</v>
      </c>
      <c r="BS465" s="6"/>
      <c r="BT465" s="6" t="str">
        <f>IFERROR(__xludf.DUMMYFUNCTION("""COMPUTED_VALUE"""),"XC_SEC_Basquetbol")</f>
        <v>XC_SEC_Basquetbol</v>
      </c>
      <c r="BU465" s="6" t="str">
        <f>IFERROR(__xludf.DUMMYFUNCTION("""COMPUTED_VALUE"""),"SI")</f>
        <v>SI</v>
      </c>
      <c r="BV465" s="6" t="str">
        <f>IFERROR(__xludf.DUMMYFUNCTION("""COMPUTED_VALUE"""),"santiago.p2033")</f>
        <v>santiago.p2033</v>
      </c>
      <c r="BW465" s="6"/>
      <c r="BX465" s="6"/>
      <c r="BY465" s="6"/>
      <c r="BZ465" s="6"/>
    </row>
    <row r="466">
      <c r="A466" s="12">
        <f>IFERROR(__xludf.DUMMYFUNCTION("""COMPUTED_VALUE"""),1.092858558E9)</f>
        <v>1092858558</v>
      </c>
      <c r="B466" s="6">
        <f>IFERROR(__xludf.DUMMYFUNCTION("""COMPUTED_VALUE"""),19.0)</f>
        <v>19</v>
      </c>
      <c r="C466" s="6" t="str">
        <f>IFERROR(__xludf.DUMMYFUNCTION("""COMPUTED_VALUE"""),"Brigitte")</f>
        <v>Brigitte</v>
      </c>
      <c r="D466" s="6"/>
      <c r="E466" s="6" t="str">
        <f>IFERROR(__xludf.DUMMYFUNCTION("""COMPUTED_VALUE"""),"Pérez Merchán")</f>
        <v>Pérez Merchán</v>
      </c>
      <c r="F466" s="6" t="str">
        <f>IFERROR(__xludf.DUMMYFUNCTION("""COMPUTED_VALUE"""),"Vereda Rio Bamba Casa Villa Rosita - Km 1 Via a Circasia")</f>
        <v>Vereda Rio Bamba Casa Villa Rosita - Km 1 Via a Circasia</v>
      </c>
      <c r="G466" s="12" t="str">
        <f>IFERROR(__xludf.DUMMYFUNCTION("""COMPUTED_VALUE"""),"2015")</f>
        <v>2015</v>
      </c>
      <c r="H466" s="6" t="str">
        <f>IFERROR(__xludf.DUMMYFUNCTION("""COMPUTED_VALUE"""),"Marzo")</f>
        <v>Marzo</v>
      </c>
      <c r="I466" s="12" t="str">
        <f>IFERROR(__xludf.DUMMYFUNCTION("""COMPUTED_VALUE"""),"13")</f>
        <v>13</v>
      </c>
      <c r="J466" s="6" t="str">
        <f>IFERROR(__xludf.DUMMYFUNCTION("""COMPUTED_VALUE"""),"Armenia")</f>
        <v>Armenia</v>
      </c>
      <c r="K466" s="6" t="str">
        <f>IFERROR(__xludf.DUMMYFUNCTION("""COMPUTED_VALUE"""),"brigitte.p2033@gi.edu.co")</f>
        <v>brigitte.p2033@gi.edu.co</v>
      </c>
      <c r="L466" s="6" t="str">
        <f>IFERROR(__xludf.DUMMYFUNCTION("""COMPUTED_VALUE"""),"TI")</f>
        <v>TI</v>
      </c>
      <c r="M466" s="6" t="str">
        <f>IFERROR(__xludf.DUMMYFUNCTION("""COMPUTED_VALUE"""),"Armenia")</f>
        <v>Armenia</v>
      </c>
      <c r="N466" s="6" t="str">
        <f>IFERROR(__xludf.DUMMYFUNCTION("""COMPUTED_VALUE"""),"F")</f>
        <v>F</v>
      </c>
      <c r="O466" s="6" t="str">
        <f>IFERROR(__xludf.DUMMYFUNCTION("""COMPUTED_VALUE"""),"ACTIVE")</f>
        <v>ACTIVE</v>
      </c>
      <c r="P466" s="6"/>
      <c r="Q466" s="6" t="str">
        <f>IFERROR(__xludf.DUMMYFUNCTION("""COMPUTED_VALUE"""),"Circasia")</f>
        <v>Circasia</v>
      </c>
      <c r="R466" s="12" t="str">
        <f>IFERROR(__xludf.DUMMYFUNCTION("""COMPUTED_VALUE"""),"Gi4ezbsr3*")</f>
        <v>Gi4ezbsr3*</v>
      </c>
      <c r="S466" s="6" t="str">
        <f>IFERROR(__xludf.DUMMYFUNCTION("""COMPUTED_VALUE"""),"Pérez Merchán Brigitte ")</f>
        <v>Pérez Merchán Brigitte </v>
      </c>
      <c r="T466" s="6" t="str">
        <f>IFERROR(__xludf.DUMMYFUNCTION("""COMPUTED_VALUE"""),"ANGÉLICA MARIA PÉREZ MERCHÁN")</f>
        <v>ANGÉLICA MARIA PÉREZ MERCHÁN</v>
      </c>
      <c r="U466" s="12" t="str">
        <f>IFERROR(__xludf.DUMMYFUNCTION("""COMPUTED_VALUE"""),"52960880")</f>
        <v>52960880</v>
      </c>
      <c r="V466" s="6">
        <f>IFERROR(__xludf.DUMMYFUNCTION("""COMPUTED_VALUE"""),3.122973016E9)</f>
        <v>3122973016</v>
      </c>
      <c r="W466" s="6" t="str">
        <f>IFERROR(__xludf.DUMMYFUNCTION("""COMPUTED_VALUE"""),"angelica.perezmerchan@gmail.com")</f>
        <v>angelica.perezmerchan@gmail.com</v>
      </c>
      <c r="X466" s="12" t="str">
        <f>IFERROR(__xludf.DUMMYFUNCTION("""COMPUTED_VALUE"""),"O+")</f>
        <v>O+</v>
      </c>
      <c r="Y466" s="12" t="str">
        <f>IFERROR(__xludf.DUMMYFUNCTION("""COMPUTED_VALUE"""),"6")</f>
        <v>6</v>
      </c>
      <c r="Z466" s="12">
        <f>IFERROR(__xludf.DUMMYFUNCTION("""COMPUTED_VALUE"""),103638.0)</f>
        <v>103638</v>
      </c>
      <c r="AA466" s="6" t="str">
        <f>IFERROR(__xludf.DUMMYFUNCTION("""COMPUTED_VALUE"""),"SURA")</f>
        <v>SURA</v>
      </c>
      <c r="AB466" s="6" t="str">
        <f>IFERROR(__xludf.DUMMYFUNCTION("""COMPUTED_VALUE"""),"EMI")</f>
        <v>EMI</v>
      </c>
      <c r="AC466" s="6"/>
      <c r="AD466" s="12" t="str">
        <f>IFERROR(__xludf.DUMMYFUNCTION("""COMPUTED_VALUE"""),"6A")</f>
        <v>6A</v>
      </c>
      <c r="AE466" s="12">
        <f>IFERROR(__xludf.DUMMYFUNCTION("""COMPUTED_VALUE"""),1.345281802E9)</f>
        <v>1345281802</v>
      </c>
      <c r="AF466" s="12" t="str">
        <f>IFERROR(__xludf.DUMMYFUNCTION("""COMPUTED_VALUE"""),"0650792307")</f>
        <v>0650792307</v>
      </c>
      <c r="AG466" s="12" t="str">
        <f>IFERROR(__xludf.DUMMYFUNCTION("""COMPUTED_VALUE"""),"Angélica")</f>
        <v>Angélica</v>
      </c>
      <c r="AH466" s="12" t="str">
        <f>IFERROR(__xludf.DUMMYFUNCTION("""COMPUTED_VALUE"""),"María")</f>
        <v>María</v>
      </c>
      <c r="AI466" s="6" t="str">
        <f>IFERROR(__xludf.DUMMYFUNCTION("""COMPUTED_VALUE"""),"Pérez Merchán")</f>
        <v>Pérez Merchán</v>
      </c>
      <c r="AJ466" s="6" t="str">
        <f>IFERROR(__xludf.DUMMYFUNCTION("""COMPUTED_VALUE"""),"angelica.perezmerchan@gmail.com")</f>
        <v>angelica.perezmerchan@gmail.com</v>
      </c>
      <c r="AK466" s="6" t="str">
        <f>IFERROR(__xludf.DUMMYFUNCTION("""COMPUTED_VALUE"""),"ABOGADA")</f>
        <v>ABOGADA</v>
      </c>
      <c r="AL466" s="6" t="str">
        <f>IFERROR(__xludf.DUMMYFUNCTION("""COMPUTED_VALUE"""),"ROSITA")</f>
        <v>ROSITA</v>
      </c>
      <c r="AM466" s="12" t="str">
        <f>IFERROR(__xludf.DUMMYFUNCTION("""COMPUTED_VALUE"""),"52960880")</f>
        <v>52960880</v>
      </c>
      <c r="AN466" s="12" t="str">
        <f>IFERROR(__xludf.DUMMYFUNCTION("""COMPUTED_VALUE"""),"3122973016")</f>
        <v>3122973016</v>
      </c>
      <c r="AO466" s="6" t="str">
        <f>IFERROR(__xludf.DUMMYFUNCTION("""COMPUTED_VALUE"""),"Madre")</f>
        <v>Madre</v>
      </c>
      <c r="AP466" s="6" t="str">
        <f>IFERROR(__xludf.DUMMYFUNCTION("""COMPUTED_VALUE"""),"Estudiante(s): Pérez Merchán")</f>
        <v>Estudiante(s): Pérez Merchán</v>
      </c>
      <c r="AQ466" s="6" t="str">
        <f>IFERROR(__xludf.DUMMYFUNCTION("""COMPUTED_VALUE"""),"103638*Gi")</f>
        <v>103638*Gi</v>
      </c>
      <c r="AR466" s="6" t="str">
        <f>IFERROR(__xludf.DUMMYFUNCTION("""COMPUTED_VALUE"""),"Juan")</f>
        <v>Juan</v>
      </c>
      <c r="AS466" s="6" t="str">
        <f>IFERROR(__xludf.DUMMYFUNCTION("""COMPUTED_VALUE"""),"Francisco")</f>
        <v>Francisco</v>
      </c>
      <c r="AT466" s="6" t="str">
        <f>IFERROR(__xludf.DUMMYFUNCTION("""COMPUTED_VALUE"""),"Pérez Fajardo")</f>
        <v>Pérez Fajardo</v>
      </c>
      <c r="AU466" s="6" t="str">
        <f>IFERROR(__xludf.DUMMYFUNCTION("""COMPUTED_VALUE"""),"jf.perezfajardo@gmail.com")</f>
        <v>jf.perezfajardo@gmail.com</v>
      </c>
      <c r="AV466" s="6" t="str">
        <f>IFERROR(__xludf.DUMMYFUNCTION("""COMPUTED_VALUE"""),"Ingeniero")</f>
        <v>Ingeniero</v>
      </c>
      <c r="AW466" s="6" t="str">
        <f>IFERROR(__xludf.DUMMYFUNCTION("""COMPUTED_VALUE"""),"Independiente")</f>
        <v>Independiente</v>
      </c>
      <c r="AX466" s="12" t="str">
        <f>IFERROR(__xludf.DUMMYFUNCTION("""COMPUTED_VALUE"""),"19212277")</f>
        <v>19212277</v>
      </c>
      <c r="AY466" s="12" t="str">
        <f>IFERROR(__xludf.DUMMYFUNCTION("""COMPUTED_VALUE"""),"3148798007")</f>
        <v>3148798007</v>
      </c>
      <c r="AZ466" s="6" t="str">
        <f>IFERROR(__xludf.DUMMYFUNCTION("""COMPUTED_VALUE"""),"Padre")</f>
        <v>Padre</v>
      </c>
      <c r="BA466" s="6" t="str">
        <f>IFERROR(__xludf.DUMMYFUNCTION("""COMPUTED_VALUE"""),"LUIS DAVID PEREZ MERCHAN")</f>
        <v>LUIS DAVID PEREZ MERCHAN</v>
      </c>
      <c r="BB466" s="6">
        <f>IFERROR(__xludf.DUMMYFUNCTION("""COMPUTED_VALUE"""),3.156702528E9)</f>
        <v>3156702528</v>
      </c>
      <c r="BC466" s="6" t="str">
        <f>IFERROR(__xludf.DUMMYFUNCTION("""COMPUTED_VALUE"""),"Tio(a)")</f>
        <v>Tio(a)</v>
      </c>
      <c r="BD466" s="12" t="str">
        <f>IFERROR(__xludf.DUMMYFUNCTION("""COMPUTED_VALUE"""),"pre0007")</f>
        <v>pre0007</v>
      </c>
      <c r="BE466" s="6"/>
      <c r="BF466" s="6"/>
      <c r="BG466" s="6">
        <f>IFERROR(__xludf.DUMMYFUNCTION("""COMPUTED_VALUE"""),2033.0)</f>
        <v>2033</v>
      </c>
      <c r="BH466" s="15">
        <f>IFERROR(__xludf.DUMMYFUNCTION("""COMPUTED_VALUE"""),46205.42457175926)</f>
        <v>46205.42457</v>
      </c>
      <c r="BI466" s="6">
        <f>IFERROR(__xludf.DUMMYFUNCTION("""COMPUTED_VALUE"""),466.0)</f>
        <v>466</v>
      </c>
      <c r="BJ466" s="6"/>
      <c r="BK466" s="6"/>
      <c r="BL466" s="6" t="str">
        <f>IFERROR(__xludf.DUMMYFUNCTION("""COMPUTED_VALUE"""),"GISPRE0007")</f>
        <v>GISPRE0007</v>
      </c>
      <c r="BM466" s="6"/>
      <c r="BN466" s="6"/>
      <c r="BO466" s="6"/>
      <c r="BP466" s="6"/>
      <c r="BQ466" s="6"/>
      <c r="BR466" s="6"/>
      <c r="BS466" s="6"/>
      <c r="BT466" s="6"/>
      <c r="BU466" s="6" t="str">
        <f>IFERROR(__xludf.DUMMYFUNCTION("""COMPUTED_VALUE"""),"SI")</f>
        <v>SI</v>
      </c>
      <c r="BV466" s="6" t="str">
        <f>IFERROR(__xludf.DUMMYFUNCTION("""COMPUTED_VALUE"""),"brigitte.p2033")</f>
        <v>brigitte.p2033</v>
      </c>
      <c r="BW466" s="6"/>
      <c r="BX466" s="6"/>
      <c r="BY466" s="6"/>
      <c r="BZ466" s="6"/>
    </row>
    <row r="467">
      <c r="A467" s="12">
        <f>IFERROR(__xludf.DUMMYFUNCTION("""COMPUTED_VALUE"""),1.091206431E9)</f>
        <v>1091206431</v>
      </c>
      <c r="B467" s="6">
        <f>IFERROR(__xludf.DUMMYFUNCTION("""COMPUTED_VALUE"""),20.0)</f>
        <v>20</v>
      </c>
      <c r="C467" s="6" t="str">
        <f>IFERROR(__xludf.DUMMYFUNCTION("""COMPUTED_VALUE"""),"Martín")</f>
        <v>Martín</v>
      </c>
      <c r="D467" s="6"/>
      <c r="E467" s="6" t="str">
        <f>IFERROR(__xludf.DUMMYFUNCTION("""COMPUTED_VALUE"""),"Salazar Ramírez")</f>
        <v>Salazar Ramírez</v>
      </c>
      <c r="F467" s="6" t="str">
        <f>IFERROR(__xludf.DUMMYFUNCTION("""COMPUTED_VALUE"""),"Urbanizacion Quintas del Bosque  Casa 18 - Km 3 Via Armenia - Circasia")</f>
        <v>Urbanizacion Quintas del Bosque  Casa 18 - Km 3 Via Armenia - Circasia</v>
      </c>
      <c r="G467" s="12" t="str">
        <f>IFERROR(__xludf.DUMMYFUNCTION("""COMPUTED_VALUE"""),"2015")</f>
        <v>2015</v>
      </c>
      <c r="H467" s="6" t="str">
        <f>IFERROR(__xludf.DUMMYFUNCTION("""COMPUTED_VALUE"""),"Marzo")</f>
        <v>Marzo</v>
      </c>
      <c r="I467" s="12" t="str">
        <f>IFERROR(__xludf.DUMMYFUNCTION("""COMPUTED_VALUE"""),"7")</f>
        <v>7</v>
      </c>
      <c r="J467" s="6" t="str">
        <f>IFERROR(__xludf.DUMMYFUNCTION("""COMPUTED_VALUE"""),"Armenia")</f>
        <v>Armenia</v>
      </c>
      <c r="K467" s="6" t="str">
        <f>IFERROR(__xludf.DUMMYFUNCTION("""COMPUTED_VALUE"""),"martin.s2033@gi.edu.co")</f>
        <v>martin.s2033@gi.edu.co</v>
      </c>
      <c r="L467" s="6" t="str">
        <f>IFERROR(__xludf.DUMMYFUNCTION("""COMPUTED_VALUE"""),"TI")</f>
        <v>TI</v>
      </c>
      <c r="M467" s="6" t="str">
        <f>IFERROR(__xludf.DUMMYFUNCTION("""COMPUTED_VALUE"""),"Armenia")</f>
        <v>Armenia</v>
      </c>
      <c r="N467" s="6" t="str">
        <f>IFERROR(__xludf.DUMMYFUNCTION("""COMPUTED_VALUE"""),"M")</f>
        <v>M</v>
      </c>
      <c r="O467" s="6" t="str">
        <f>IFERROR(__xludf.DUMMYFUNCTION("""COMPUTED_VALUE"""),"ACTIVE")</f>
        <v>ACTIVE</v>
      </c>
      <c r="P467" s="6"/>
      <c r="Q467" s="6" t="str">
        <f>IFERROR(__xludf.DUMMYFUNCTION("""COMPUTED_VALUE"""),"Armenia")</f>
        <v>Armenia</v>
      </c>
      <c r="R467" s="12" t="str">
        <f>IFERROR(__xludf.DUMMYFUNCTION("""COMPUTED_VALUE"""),"Gir54ty67*")</f>
        <v>Gir54ty67*</v>
      </c>
      <c r="S467" s="6" t="str">
        <f>IFERROR(__xludf.DUMMYFUNCTION("""COMPUTED_VALUE"""),"Salazar Ramírez Martín ")</f>
        <v>Salazar Ramírez Martín </v>
      </c>
      <c r="T467" s="6" t="str">
        <f>IFERROR(__xludf.DUMMYFUNCTION("""COMPUTED_VALUE"""),"LADY JESSENIA RAMÍREZ CASTAÑO")</f>
        <v>LADY JESSENIA RAMÍREZ CASTAÑO</v>
      </c>
      <c r="U467" s="12" t="str">
        <f>IFERROR(__xludf.DUMMYFUNCTION("""COMPUTED_VALUE"""),"1094889141")</f>
        <v>1094889141</v>
      </c>
      <c r="V467" s="6">
        <f>IFERROR(__xludf.DUMMYFUNCTION("""COMPUTED_VALUE"""),3.147689337E9)</f>
        <v>3147689337</v>
      </c>
      <c r="W467" s="6" t="str">
        <f>IFERROR(__xludf.DUMMYFUNCTION("""COMPUTED_VALUE"""),"ladyjr@gi.edu.co")</f>
        <v>ladyjr@gi.edu.co</v>
      </c>
      <c r="X467" s="12" t="str">
        <f>IFERROR(__xludf.DUMMYFUNCTION("""COMPUTED_VALUE"""),"O+")</f>
        <v>O+</v>
      </c>
      <c r="Y467" s="12" t="str">
        <f>IFERROR(__xludf.DUMMYFUNCTION("""COMPUTED_VALUE"""),"6")</f>
        <v>6</v>
      </c>
      <c r="Z467" s="12">
        <f>IFERROR(__xludf.DUMMYFUNCTION("""COMPUTED_VALUE"""),103636.0)</f>
        <v>103636</v>
      </c>
      <c r="AA467" s="6" t="str">
        <f>IFERROR(__xludf.DUMMYFUNCTION("""COMPUTED_VALUE"""),"SURA")</f>
        <v>SURA</v>
      </c>
      <c r="AB467" s="6" t="str">
        <f>IFERROR(__xludf.DUMMYFUNCTION("""COMPUTED_VALUE"""),"EMI")</f>
        <v>EMI</v>
      </c>
      <c r="AC467" s="12" t="str">
        <f>IFERROR(__xludf.DUMMYFUNCTION("""COMPUTED_VALUE"""),"al frio")</f>
        <v>al frio</v>
      </c>
      <c r="AD467" s="12" t="str">
        <f>IFERROR(__xludf.DUMMYFUNCTION("""COMPUTED_VALUE"""),"6A")</f>
        <v>6A</v>
      </c>
      <c r="AE467" s="12">
        <f>IFERROR(__xludf.DUMMYFUNCTION("""COMPUTED_VALUE"""),1.345281822E9)</f>
        <v>1345281822</v>
      </c>
      <c r="AF467" s="12" t="str">
        <f>IFERROR(__xludf.DUMMYFUNCTION("""COMPUTED_VALUE"""),"0677868771")</f>
        <v>0677868771</v>
      </c>
      <c r="AG467" s="12" t="str">
        <f>IFERROR(__xludf.DUMMYFUNCTION("""COMPUTED_VALUE"""),"Lady")</f>
        <v>Lady</v>
      </c>
      <c r="AH467" s="12" t="str">
        <f>IFERROR(__xludf.DUMMYFUNCTION("""COMPUTED_VALUE"""),"Jessenia")</f>
        <v>Jessenia</v>
      </c>
      <c r="AI467" s="6" t="str">
        <f>IFERROR(__xludf.DUMMYFUNCTION("""COMPUTED_VALUE"""),"Ramírez Castaño")</f>
        <v>Ramírez Castaño</v>
      </c>
      <c r="AJ467" s="6" t="str">
        <f>IFERROR(__xludf.DUMMYFUNCTION("""COMPUTED_VALUE"""),"ladyjr@gi.edu.co")</f>
        <v>ladyjr@gi.edu.co</v>
      </c>
      <c r="AK467" s="6" t="str">
        <f>IFERROR(__xludf.DUMMYFUNCTION("""COMPUTED_VALUE"""),"Docente")</f>
        <v>Docente</v>
      </c>
      <c r="AL467" s="6" t="str">
        <f>IFERROR(__xludf.DUMMYFUNCTION("""COMPUTED_VALUE"""),"GI School")</f>
        <v>GI School</v>
      </c>
      <c r="AM467" s="12" t="str">
        <f>IFERROR(__xludf.DUMMYFUNCTION("""COMPUTED_VALUE"""),"1094889141")</f>
        <v>1094889141</v>
      </c>
      <c r="AN467" s="12" t="str">
        <f>IFERROR(__xludf.DUMMYFUNCTION("""COMPUTED_VALUE"""),"3147689337")</f>
        <v>3147689337</v>
      </c>
      <c r="AO467" s="6" t="str">
        <f>IFERROR(__xludf.DUMMYFUNCTION("""COMPUTED_VALUE"""),"Madre")</f>
        <v>Madre</v>
      </c>
      <c r="AP467" s="6" t="str">
        <f>IFERROR(__xludf.DUMMYFUNCTION("""COMPUTED_VALUE"""),"Estudiante(s): Salazar Ramírez")</f>
        <v>Estudiante(s): Salazar Ramírez</v>
      </c>
      <c r="AQ467" s="6" t="str">
        <f>IFERROR(__xludf.DUMMYFUNCTION("""COMPUTED_VALUE"""),"103636*Gi")</f>
        <v>103636*Gi</v>
      </c>
      <c r="AR467" s="6" t="str">
        <f>IFERROR(__xludf.DUMMYFUNCTION("""COMPUTED_VALUE"""),"Marlon")</f>
        <v>Marlon</v>
      </c>
      <c r="AS467" s="6"/>
      <c r="AT467" s="6" t="str">
        <f>IFERROR(__xludf.DUMMYFUNCTION("""COMPUTED_VALUE"""),"Salazar Arboleda")</f>
        <v>Salazar Arboleda</v>
      </c>
      <c r="AU467" s="6" t="str">
        <f>IFERROR(__xludf.DUMMYFUNCTION("""COMPUTED_VALUE"""),"marlonsa74@gmail.com")</f>
        <v>marlonsa74@gmail.com</v>
      </c>
      <c r="AV467" s="6" t="str">
        <f>IFERROR(__xludf.DUMMYFUNCTION("""COMPUTED_VALUE"""),"Ingeniero Civil")</f>
        <v>Ingeniero Civil</v>
      </c>
      <c r="AW467" s="6" t="str">
        <f>IFERROR(__xludf.DUMMYFUNCTION("""COMPUTED_VALUE"""),"Inavanti Ingeniería Especializada")</f>
        <v>Inavanti Ingeniería Especializada</v>
      </c>
      <c r="AX467" s="12" t="str">
        <f>IFERROR(__xludf.DUMMYFUNCTION("""COMPUTED_VALUE"""),"1094879939")</f>
        <v>1094879939</v>
      </c>
      <c r="AY467" s="12" t="str">
        <f>IFERROR(__xludf.DUMMYFUNCTION("""COMPUTED_VALUE"""),"3113721103")</f>
        <v>3113721103</v>
      </c>
      <c r="AZ467" s="6" t="str">
        <f>IFERROR(__xludf.DUMMYFUNCTION("""COMPUTED_VALUE"""),"Padre")</f>
        <v>Padre</v>
      </c>
      <c r="BA467" s="6"/>
      <c r="BB467" s="6"/>
      <c r="BC467" s="6"/>
      <c r="BD467" s="12" t="str">
        <f>IFERROR(__xludf.DUMMYFUNCTION("""COMPUTED_VALUE"""),"sal0018")</f>
        <v>sal0018</v>
      </c>
      <c r="BE467" s="6"/>
      <c r="BF467" s="6"/>
      <c r="BG467" s="6">
        <f>IFERROR(__xludf.DUMMYFUNCTION("""COMPUTED_VALUE"""),2033.0)</f>
        <v>2033</v>
      </c>
      <c r="BH467" s="15">
        <f>IFERROR(__xludf.DUMMYFUNCTION("""COMPUTED_VALUE"""),46251.914305555554)</f>
        <v>46251.91431</v>
      </c>
      <c r="BI467" s="6">
        <f>IFERROR(__xludf.DUMMYFUNCTION("""COMPUTED_VALUE"""),467.0)</f>
        <v>467</v>
      </c>
      <c r="BJ467" s="6" t="str">
        <f>IFERROR(__xludf.DUMMYFUNCTION("""COMPUTED_VALUE"""),"Mar 9/26 Se retira por parte del comite
SIMAT: trastorno por déficit de atención con o sin hiperactividad (Nov 13 2024)")</f>
        <v>Mar 9/26 Se retira por parte del comite
SIMAT: trastorno por déficit de atención con o sin hiperactividad (Nov 13 2024)</v>
      </c>
      <c r="BK467" s="6"/>
      <c r="BL467" s="6" t="str">
        <f>IFERROR(__xludf.DUMMYFUNCTION("""COMPUTED_VALUE"""),"GISSAL0018")</f>
        <v>GISSAL0018</v>
      </c>
      <c r="BM467" s="6"/>
      <c r="BN467" s="6"/>
      <c r="BO467" s="6"/>
      <c r="BP467" s="6"/>
      <c r="BQ467" s="6"/>
      <c r="BR467" s="6"/>
      <c r="BS467" s="6"/>
      <c r="BT467" s="6"/>
      <c r="BU467" s="6" t="str">
        <f>IFERROR(__xludf.DUMMYFUNCTION("""COMPUTED_VALUE"""),"SI")</f>
        <v>SI</v>
      </c>
      <c r="BV467" s="6" t="str">
        <f>IFERROR(__xludf.DUMMYFUNCTION("""COMPUTED_VALUE"""),"martin.s2033")</f>
        <v>martin.s2033</v>
      </c>
      <c r="BW467" s="6"/>
      <c r="BX467" s="6"/>
      <c r="BY467" s="6"/>
      <c r="BZ467" s="6"/>
    </row>
    <row r="468">
      <c r="A468" s="12">
        <f>IFERROR(__xludf.DUMMYFUNCTION("""COMPUTED_VALUE"""),1.092858077E9)</f>
        <v>1092858077</v>
      </c>
      <c r="B468" s="6">
        <f>IFERROR(__xludf.DUMMYFUNCTION("""COMPUTED_VALUE"""),21.0)</f>
        <v>21</v>
      </c>
      <c r="C468" s="6" t="str">
        <f>IFERROR(__xludf.DUMMYFUNCTION("""COMPUTED_VALUE"""),"Matías")</f>
        <v>Matías</v>
      </c>
      <c r="D468" s="6"/>
      <c r="E468" s="6" t="str">
        <f>IFERROR(__xludf.DUMMYFUNCTION("""COMPUTED_VALUE"""),"Santa Peláez")</f>
        <v>Santa Peláez</v>
      </c>
      <c r="F468" s="6" t="str">
        <f>IFERROR(__xludf.DUMMYFUNCTION("""COMPUTED_VALUE"""),"Condominio Galicia Casa 29 - Av 19 No24Nte - 04")</f>
        <v>Condominio Galicia Casa 29 - Av 19 No24Nte - 04</v>
      </c>
      <c r="G468" s="12" t="str">
        <f>IFERROR(__xludf.DUMMYFUNCTION("""COMPUTED_VALUE"""),"2014")</f>
        <v>2014</v>
      </c>
      <c r="H468" s="6" t="str">
        <f>IFERROR(__xludf.DUMMYFUNCTION("""COMPUTED_VALUE"""),"Octubre")</f>
        <v>Octubre</v>
      </c>
      <c r="I468" s="12" t="str">
        <f>IFERROR(__xludf.DUMMYFUNCTION("""COMPUTED_VALUE"""),"31")</f>
        <v>31</v>
      </c>
      <c r="J468" s="6" t="str">
        <f>IFERROR(__xludf.DUMMYFUNCTION("""COMPUTED_VALUE"""),"Armenia")</f>
        <v>Armenia</v>
      </c>
      <c r="K468" s="6" t="str">
        <f>IFERROR(__xludf.DUMMYFUNCTION("""COMPUTED_VALUE"""),"matias.s2033@gi.edu.co")</f>
        <v>matias.s2033@gi.edu.co</v>
      </c>
      <c r="L468" s="6" t="str">
        <f>IFERROR(__xludf.DUMMYFUNCTION("""COMPUTED_VALUE"""),"TI")</f>
        <v>TI</v>
      </c>
      <c r="M468" s="6" t="str">
        <f>IFERROR(__xludf.DUMMYFUNCTION("""COMPUTED_VALUE"""),"Bogotá D.C.")</f>
        <v>Bogotá D.C.</v>
      </c>
      <c r="N468" s="6" t="str">
        <f>IFERROR(__xludf.DUMMYFUNCTION("""COMPUTED_VALUE"""),"M")</f>
        <v>M</v>
      </c>
      <c r="O468" s="6" t="str">
        <f>IFERROR(__xludf.DUMMYFUNCTION("""COMPUTED_VALUE"""),"ACTIVE")</f>
        <v>ACTIVE</v>
      </c>
      <c r="P468" s="6"/>
      <c r="Q468" s="6" t="str">
        <f>IFERROR(__xludf.DUMMYFUNCTION("""COMPUTED_VALUE"""),"Armenia")</f>
        <v>Armenia</v>
      </c>
      <c r="R468" s="12" t="str">
        <f>IFERROR(__xludf.DUMMYFUNCTION("""COMPUTED_VALUE"""),"Gi76hg875f*")</f>
        <v>Gi76hg875f*</v>
      </c>
      <c r="S468" s="6" t="str">
        <f>IFERROR(__xludf.DUMMYFUNCTION("""COMPUTED_VALUE"""),"Santa Peláez Matías ")</f>
        <v>Santa Peláez Matías </v>
      </c>
      <c r="T468" s="6" t="str">
        <f>IFERROR(__xludf.DUMMYFUNCTION("""COMPUTED_VALUE"""),"LUCENITH PELÁEZ GAVIRIA")</f>
        <v>LUCENITH PELÁEZ GAVIRIA</v>
      </c>
      <c r="U468" s="12" t="str">
        <f>IFERROR(__xludf.DUMMYFUNCTION("""COMPUTED_VALUE"""),"42146219")</f>
        <v>42146219</v>
      </c>
      <c r="V468" s="6">
        <f>IFERROR(__xludf.DUMMYFUNCTION("""COMPUTED_VALUE"""),3.103752015E9)</f>
        <v>3103752015</v>
      </c>
      <c r="W468" s="6" t="str">
        <f>IFERROR(__xludf.DUMMYFUNCTION("""COMPUTED_VALUE"""),"lucenith2007@hotmail.com")</f>
        <v>lucenith2007@hotmail.com</v>
      </c>
      <c r="X468" s="12" t="str">
        <f>IFERROR(__xludf.DUMMYFUNCTION("""COMPUTED_VALUE"""),"O+")</f>
        <v>O+</v>
      </c>
      <c r="Y468" s="12" t="str">
        <f>IFERROR(__xludf.DUMMYFUNCTION("""COMPUTED_VALUE"""),"6")</f>
        <v>6</v>
      </c>
      <c r="Z468" s="12">
        <f>IFERROR(__xludf.DUMMYFUNCTION("""COMPUTED_VALUE"""),103604.0)</f>
        <v>103604</v>
      </c>
      <c r="AA468" s="6" t="str">
        <f>IFERROR(__xludf.DUMMYFUNCTION("""COMPUTED_VALUE"""),"SANITAS")</f>
        <v>SANITAS</v>
      </c>
      <c r="AB468" s="6" t="str">
        <f>IFERROR(__xludf.DUMMYFUNCTION("""COMPUTED_VALUE"""),"Sanitas Medicina Prepagada")</f>
        <v>Sanitas Medicina Prepagada</v>
      </c>
      <c r="AC468" s="6"/>
      <c r="AD468" s="12" t="str">
        <f>IFERROR(__xludf.DUMMYFUNCTION("""COMPUTED_VALUE"""),"6A")</f>
        <v>6A</v>
      </c>
      <c r="AE468" s="12">
        <f>IFERROR(__xludf.DUMMYFUNCTION("""COMPUTED_VALUE"""),1.345281793E9)</f>
        <v>1345281793</v>
      </c>
      <c r="AF468" s="12" t="str">
        <f>IFERROR(__xludf.DUMMYFUNCTION("""COMPUTED_VALUE"""),"0737382403")</f>
        <v>0737382403</v>
      </c>
      <c r="AG468" s="12" t="str">
        <f>IFERROR(__xludf.DUMMYFUNCTION("""COMPUTED_VALUE"""),"Lucenith")</f>
        <v>Lucenith</v>
      </c>
      <c r="AH468" s="6"/>
      <c r="AI468" s="6" t="str">
        <f>IFERROR(__xludf.DUMMYFUNCTION("""COMPUTED_VALUE"""),"Peláez Gaviria")</f>
        <v>Peláez Gaviria</v>
      </c>
      <c r="AJ468" s="6" t="str">
        <f>IFERROR(__xludf.DUMMYFUNCTION("""COMPUTED_VALUE"""),"lucenith2007@hotmail.com")</f>
        <v>lucenith2007@hotmail.com</v>
      </c>
      <c r="AK468" s="6" t="str">
        <f>IFERROR(__xludf.DUMMYFUNCTION("""COMPUTED_VALUE"""),"Independiente")</f>
        <v>Independiente</v>
      </c>
      <c r="AL468" s="6" t="str">
        <f>IFERROR(__xludf.DUMMYFUNCTION("""COMPUTED_VALUE"""),"Independiente")</f>
        <v>Independiente</v>
      </c>
      <c r="AM468" s="12" t="str">
        <f>IFERROR(__xludf.DUMMYFUNCTION("""COMPUTED_VALUE"""),"42146219")</f>
        <v>42146219</v>
      </c>
      <c r="AN468" s="12" t="str">
        <f>IFERROR(__xludf.DUMMYFUNCTION("""COMPUTED_VALUE"""),"3103752015")</f>
        <v>3103752015</v>
      </c>
      <c r="AO468" s="6" t="str">
        <f>IFERROR(__xludf.DUMMYFUNCTION("""COMPUTED_VALUE"""),"Madre")</f>
        <v>Madre</v>
      </c>
      <c r="AP468" s="6" t="str">
        <f>IFERROR(__xludf.DUMMYFUNCTION("""COMPUTED_VALUE"""),"Estudiante(s): Santa Peláez")</f>
        <v>Estudiante(s): Santa Peláez</v>
      </c>
      <c r="AQ468" s="6" t="str">
        <f>IFERROR(__xludf.DUMMYFUNCTION("""COMPUTED_VALUE"""),"103604*Gi")</f>
        <v>103604*Gi</v>
      </c>
      <c r="AR468" s="6" t="str">
        <f>IFERROR(__xludf.DUMMYFUNCTION("""COMPUTED_VALUE"""),"Juan")</f>
        <v>Juan</v>
      </c>
      <c r="AS468" s="6" t="str">
        <f>IFERROR(__xludf.DUMMYFUNCTION("""COMPUTED_VALUE"""),"Camilo")</f>
        <v>Camilo</v>
      </c>
      <c r="AT468" s="6" t="str">
        <f>IFERROR(__xludf.DUMMYFUNCTION("""COMPUTED_VALUE"""),"Santa Moyano")</f>
        <v>Santa Moyano</v>
      </c>
      <c r="AU468" s="6" t="str">
        <f>IFERROR(__xludf.DUMMYFUNCTION("""COMPUTED_VALUE"""),"juansanta78@hotmail.com")</f>
        <v>juansanta78@hotmail.com</v>
      </c>
      <c r="AV468" s="6" t="str">
        <f>IFERROR(__xludf.DUMMYFUNCTION("""COMPUTED_VALUE"""),"Administrador de Empresas")</f>
        <v>Administrador de Empresas</v>
      </c>
      <c r="AW468" s="6" t="str">
        <f>IFERROR(__xludf.DUMMYFUNCTION("""COMPUTED_VALUE"""),"Ecsi S.A.S")</f>
        <v>Ecsi S.A.S</v>
      </c>
      <c r="AX468" s="12" t="str">
        <f>IFERROR(__xludf.DUMMYFUNCTION("""COMPUTED_VALUE"""),"79979514")</f>
        <v>79979514</v>
      </c>
      <c r="AY468" s="12" t="str">
        <f>IFERROR(__xludf.DUMMYFUNCTION("""COMPUTED_VALUE"""),"3118869478")</f>
        <v>3118869478</v>
      </c>
      <c r="AZ468" s="6" t="str">
        <f>IFERROR(__xludf.DUMMYFUNCTION("""COMPUTED_VALUE"""),"Padre")</f>
        <v>Padre</v>
      </c>
      <c r="BA468" s="6"/>
      <c r="BB468" s="6"/>
      <c r="BC468" s="6"/>
      <c r="BD468" s="12" t="str">
        <f>IFERROR(__xludf.DUMMYFUNCTION("""COMPUTED_VALUE"""),"san0006")</f>
        <v>san0006</v>
      </c>
      <c r="BE468" s="6"/>
      <c r="BF468" s="6"/>
      <c r="BG468" s="6">
        <f>IFERROR(__xludf.DUMMYFUNCTION("""COMPUTED_VALUE"""),2033.0)</f>
        <v>2033</v>
      </c>
      <c r="BH468" s="15">
        <f>IFERROR(__xludf.DUMMYFUNCTION("""COMPUTED_VALUE"""),46212.46633101852)</f>
        <v>46212.46633</v>
      </c>
      <c r="BI468" s="6">
        <f>IFERROR(__xludf.DUMMYFUNCTION("""COMPUTED_VALUE"""),468.0)</f>
        <v>468</v>
      </c>
      <c r="BJ468" s="6"/>
      <c r="BK468" s="6"/>
      <c r="BL468" s="6" t="str">
        <f>IFERROR(__xludf.DUMMYFUNCTION("""COMPUTED_VALUE"""),"GISSAN0006")</f>
        <v>GISSAN0006</v>
      </c>
      <c r="BM468" s="6"/>
      <c r="BN468" s="6"/>
      <c r="BO468" s="6" t="str">
        <f>IFERROR(__xludf.DUMMYFUNCTION("""COMPUTED_VALUE"""),"XC_MS_Futbol_M")</f>
        <v>XC_MS_Futbol_M</v>
      </c>
      <c r="BP468" s="6"/>
      <c r="BQ468" s="6" t="str">
        <f>IFERROR(__xludf.DUMMYFUNCTION("""COMPUTED_VALUE"""),"XC_MS_Futbol_M")</f>
        <v>XC_MS_Futbol_M</v>
      </c>
      <c r="BR468" s="6" t="str">
        <f>IFERROR(__xludf.DUMMYFUNCTION("""COMPUTED_VALUE"""),"XC_MS_Futbol_M")</f>
        <v>XC_MS_Futbol_M</v>
      </c>
      <c r="BS468" s="6"/>
      <c r="BT468" s="6" t="str">
        <f>IFERROR(__xludf.DUMMYFUNCTION("""COMPUTED_VALUE"""),"XC_MS_Futbol_M")</f>
        <v>XC_MS_Futbol_M</v>
      </c>
      <c r="BU468" s="6" t="str">
        <f>IFERROR(__xludf.DUMMYFUNCTION("""COMPUTED_VALUE"""),"SI")</f>
        <v>SI</v>
      </c>
      <c r="BV468" s="6" t="str">
        <f>IFERROR(__xludf.DUMMYFUNCTION("""COMPUTED_VALUE"""),"matias.s2033")</f>
        <v>matias.s2033</v>
      </c>
      <c r="BW468" s="6"/>
      <c r="BX468" s="6"/>
      <c r="BY468" s="6"/>
      <c r="BZ468" s="6"/>
    </row>
    <row r="469">
      <c r="A469" s="12">
        <f>IFERROR(__xludf.DUMMYFUNCTION("""COMPUTED_VALUE"""),1.014887489E9)</f>
        <v>1014887489</v>
      </c>
      <c r="B469" s="6">
        <f>IFERROR(__xludf.DUMMYFUNCTION("""COMPUTED_VALUE"""),22.0)</f>
        <v>22</v>
      </c>
      <c r="C469" s="6" t="str">
        <f>IFERROR(__xludf.DUMMYFUNCTION("""COMPUTED_VALUE"""),"Nicolás")</f>
        <v>Nicolás</v>
      </c>
      <c r="D469" s="6"/>
      <c r="E469" s="6" t="str">
        <f>IFERROR(__xludf.DUMMYFUNCTION("""COMPUTED_VALUE"""),"Torres Giraldo")</f>
        <v>Torres Giraldo</v>
      </c>
      <c r="F469" s="6" t="str">
        <f>IFERROR(__xludf.DUMMYFUNCTION("""COMPUTED_VALUE"""),"Condominio Cedro Negro Casa 40 - Km 6 Via Circasia Vereda El Congal")</f>
        <v>Condominio Cedro Negro Casa 40 - Km 6 Via Circasia Vereda El Congal</v>
      </c>
      <c r="G469" s="12" t="str">
        <f>IFERROR(__xludf.DUMMYFUNCTION("""COMPUTED_VALUE"""),"2014")</f>
        <v>2014</v>
      </c>
      <c r="H469" s="6" t="str">
        <f>IFERROR(__xludf.DUMMYFUNCTION("""COMPUTED_VALUE"""),"Septiembre")</f>
        <v>Septiembre</v>
      </c>
      <c r="I469" s="12" t="str">
        <f>IFERROR(__xludf.DUMMYFUNCTION("""COMPUTED_VALUE"""),"19")</f>
        <v>19</v>
      </c>
      <c r="J469" s="6" t="str">
        <f>IFERROR(__xludf.DUMMYFUNCTION("""COMPUTED_VALUE"""),"Bogotá D.C.")</f>
        <v>Bogotá D.C.</v>
      </c>
      <c r="K469" s="6" t="str">
        <f>IFERROR(__xludf.DUMMYFUNCTION("""COMPUTED_VALUE"""),"nicolas.t2033@gi.edu.co")</f>
        <v>nicolas.t2033@gi.edu.co</v>
      </c>
      <c r="L469" s="6" t="str">
        <f>IFERROR(__xludf.DUMMYFUNCTION("""COMPUTED_VALUE"""),"TI")</f>
        <v>TI</v>
      </c>
      <c r="M469" s="6" t="str">
        <f>IFERROR(__xludf.DUMMYFUNCTION("""COMPUTED_VALUE"""),"Circasia")</f>
        <v>Circasia</v>
      </c>
      <c r="N469" s="6" t="str">
        <f>IFERROR(__xludf.DUMMYFUNCTION("""COMPUTED_VALUE"""),"M")</f>
        <v>M</v>
      </c>
      <c r="O469" s="6" t="str">
        <f>IFERROR(__xludf.DUMMYFUNCTION("""COMPUTED_VALUE"""),"INACTIVE")</f>
        <v>INACTIVE</v>
      </c>
      <c r="P469" s="6"/>
      <c r="Q469" s="6" t="str">
        <f>IFERROR(__xludf.DUMMYFUNCTION("""COMPUTED_VALUE"""),"Circasia")</f>
        <v>Circasia</v>
      </c>
      <c r="R469" s="12" t="str">
        <f>IFERROR(__xludf.DUMMYFUNCTION("""COMPUTED_VALUE"""),"Gi7b6v5cx4*")</f>
        <v>Gi7b6v5cx4*</v>
      </c>
      <c r="S469" s="6" t="str">
        <f>IFERROR(__xludf.DUMMYFUNCTION("""COMPUTED_VALUE"""),"Torres Giraldo Nicolás ")</f>
        <v>Torres Giraldo Nicolás </v>
      </c>
      <c r="T469" s="6" t="str">
        <f>IFERROR(__xludf.DUMMYFUNCTION("""COMPUTED_VALUE"""),"PAOLA ANDREA GIRALDO ZULUAGA")</f>
        <v>PAOLA ANDREA GIRALDO ZULUAGA</v>
      </c>
      <c r="U469" s="12" t="str">
        <f>IFERROR(__xludf.DUMMYFUNCTION("""COMPUTED_VALUE"""),"52695938")</f>
        <v>52695938</v>
      </c>
      <c r="V469" s="6">
        <f>IFERROR(__xludf.DUMMYFUNCTION("""COMPUTED_VALUE"""),3.106803157E9)</f>
        <v>3106803157</v>
      </c>
      <c r="W469" s="6" t="str">
        <f>IFERROR(__xludf.DUMMYFUNCTION("""COMPUTED_VALUE"""),"giraldo_paola@hotmail.com")</f>
        <v>giraldo_paola@hotmail.com</v>
      </c>
      <c r="X469" s="12" t="str">
        <f>IFERROR(__xludf.DUMMYFUNCTION("""COMPUTED_VALUE"""),"B+")</f>
        <v>B+</v>
      </c>
      <c r="Y469" s="12" t="str">
        <f>IFERROR(__xludf.DUMMYFUNCTION("""COMPUTED_VALUE"""),"6")</f>
        <v>6</v>
      </c>
      <c r="Z469" s="12">
        <f>IFERROR(__xludf.DUMMYFUNCTION("""COMPUTED_VALUE"""),103610.0)</f>
        <v>103610</v>
      </c>
      <c r="AA469" s="6" t="str">
        <f>IFERROR(__xludf.DUMMYFUNCTION("""COMPUTED_VALUE"""),"SALUD TOTAL")</f>
        <v>SALUD TOTAL</v>
      </c>
      <c r="AB469" s="6" t="str">
        <f>IFERROR(__xludf.DUMMYFUNCTION("""COMPUTED_VALUE"""),"EMI - Med Plus")</f>
        <v>EMI - Med Plus</v>
      </c>
      <c r="AC469" s="6"/>
      <c r="AD469" s="12" t="str">
        <f>IFERROR(__xludf.DUMMYFUNCTION("""COMPUTED_VALUE"""),"6A")</f>
        <v>6A</v>
      </c>
      <c r="AE469" s="12">
        <f>IFERROR(__xludf.DUMMYFUNCTION("""COMPUTED_VALUE"""),1.345281796E9)</f>
        <v>1345281796</v>
      </c>
      <c r="AF469" s="12" t="str">
        <f>IFERROR(__xludf.DUMMYFUNCTION("""COMPUTED_VALUE"""),"0696459043")</f>
        <v>0696459043</v>
      </c>
      <c r="AG469" s="12" t="str">
        <f>IFERROR(__xludf.DUMMYFUNCTION("""COMPUTED_VALUE"""),"Paola")</f>
        <v>Paola</v>
      </c>
      <c r="AH469" s="12" t="str">
        <f>IFERROR(__xludf.DUMMYFUNCTION("""COMPUTED_VALUE"""),"Andrea")</f>
        <v>Andrea</v>
      </c>
      <c r="AI469" s="6" t="str">
        <f>IFERROR(__xludf.DUMMYFUNCTION("""COMPUTED_VALUE"""),"Giraldo Zuluaga")</f>
        <v>Giraldo Zuluaga</v>
      </c>
      <c r="AJ469" s="6" t="str">
        <f>IFERROR(__xludf.DUMMYFUNCTION("""COMPUTED_VALUE"""),"giraldo_paola@hotmail.com")</f>
        <v>giraldo_paola@hotmail.com</v>
      </c>
      <c r="AK469" s="6" t="str">
        <f>IFERROR(__xludf.DUMMYFUNCTION("""COMPUTED_VALUE"""),"PROFESIONAL EN FINANZAS Y COMERCIO EXTERIOR")</f>
        <v>PROFESIONAL EN FINANZAS Y COMERCIO EXTERIOR</v>
      </c>
      <c r="AL469" s="6" t="str">
        <f>IFERROR(__xludf.DUMMYFUNCTION("""COMPUTED_VALUE"""),"PROCOLOMBIA")</f>
        <v>PROCOLOMBIA</v>
      </c>
      <c r="AM469" s="12" t="str">
        <f>IFERROR(__xludf.DUMMYFUNCTION("""COMPUTED_VALUE"""),"52695938")</f>
        <v>52695938</v>
      </c>
      <c r="AN469" s="12" t="str">
        <f>IFERROR(__xludf.DUMMYFUNCTION("""COMPUTED_VALUE"""),"3106803157")</f>
        <v>3106803157</v>
      </c>
      <c r="AO469" s="6" t="str">
        <f>IFERROR(__xludf.DUMMYFUNCTION("""COMPUTED_VALUE"""),"Madre")</f>
        <v>Madre</v>
      </c>
      <c r="AP469" s="6" t="str">
        <f>IFERROR(__xludf.DUMMYFUNCTION("""COMPUTED_VALUE"""),"Estudiante(s): Torres Giraldo")</f>
        <v>Estudiante(s): Torres Giraldo</v>
      </c>
      <c r="AQ469" s="6" t="str">
        <f>IFERROR(__xludf.DUMMYFUNCTION("""COMPUTED_VALUE"""),"103387*Gi")</f>
        <v>103387*Gi</v>
      </c>
      <c r="AR469" s="6" t="str">
        <f>IFERROR(__xludf.DUMMYFUNCTION("""COMPUTED_VALUE"""),"Marcel")</f>
        <v>Marcel</v>
      </c>
      <c r="AS469" s="6" t="str">
        <f>IFERROR(__xludf.DUMMYFUNCTION("""COMPUTED_VALUE"""),"Andrés")</f>
        <v>Andrés</v>
      </c>
      <c r="AT469" s="6" t="str">
        <f>IFERROR(__xludf.DUMMYFUNCTION("""COMPUTED_VALUE"""),"Torres Sanmiguel")</f>
        <v>Torres Sanmiguel</v>
      </c>
      <c r="AU469" s="6" t="str">
        <f>IFERROR(__xludf.DUMMYFUNCTION("""COMPUTED_VALUE"""),"totalmedic@netscape.net")</f>
        <v>totalmedic@netscape.net</v>
      </c>
      <c r="AV469" s="6" t="str">
        <f>IFERROR(__xludf.DUMMYFUNCTION("""COMPUTED_VALUE"""),"INTERNACIONALISTA")</f>
        <v>INTERNACIONALISTA</v>
      </c>
      <c r="AW469" s="6" t="str">
        <f>IFERROR(__xludf.DUMMYFUNCTION("""COMPUTED_VALUE"""),"TOTAL MEDICAL ASSISTANCE S.A")</f>
        <v>TOTAL MEDICAL ASSISTANCE S.A</v>
      </c>
      <c r="AX469" s="12" t="str">
        <f>IFERROR(__xludf.DUMMYFUNCTION("""COMPUTED_VALUE"""),"79946976")</f>
        <v>79946976</v>
      </c>
      <c r="AY469" s="12" t="str">
        <f>IFERROR(__xludf.DUMMYFUNCTION("""COMPUTED_VALUE"""),"3102477932")</f>
        <v>3102477932</v>
      </c>
      <c r="AZ469" s="6" t="str">
        <f>IFERROR(__xludf.DUMMYFUNCTION("""COMPUTED_VALUE"""),"Padre")</f>
        <v>Padre</v>
      </c>
      <c r="BA469" s="6" t="str">
        <f>IFERROR(__xludf.DUMMYFUNCTION("""COMPUTED_VALUE"""),"CAMILO GIRALDO ARCILA")</f>
        <v>CAMILO GIRALDO ARCILA</v>
      </c>
      <c r="BB469" s="6">
        <f>IFERROR(__xludf.DUMMYFUNCTION("""COMPUTED_VALUE"""),3.106802081E9)</f>
        <v>3106802081</v>
      </c>
      <c r="BC469" s="6" t="str">
        <f>IFERROR(__xludf.DUMMYFUNCTION("""COMPUTED_VALUE"""),"Abuelo(a)")</f>
        <v>Abuelo(a)</v>
      </c>
      <c r="BD469" s="12" t="str">
        <f>IFERROR(__xludf.DUMMYFUNCTION("""COMPUTED_VALUE"""),"tor0008")</f>
        <v>tor0008</v>
      </c>
      <c r="BE469" s="6" t="str">
        <f>IFERROR(__xludf.DUMMYFUNCTION("""COMPUTED_VALUE"""),"FALTAN FIRMAS")</f>
        <v>FALTAN FIRMAS</v>
      </c>
      <c r="BF469" s="6"/>
      <c r="BG469" s="6">
        <f>IFERROR(__xludf.DUMMYFUNCTION("""COMPUTED_VALUE"""),2033.0)</f>
        <v>2033</v>
      </c>
      <c r="BH469" s="15">
        <f>IFERROR(__xludf.DUMMYFUNCTION("""COMPUTED_VALUE"""),46256.89142361111)</f>
        <v>46256.89142</v>
      </c>
      <c r="BI469" s="6">
        <f>IFERROR(__xludf.DUMMYFUNCTION("""COMPUTED_VALUE"""),469.0)</f>
        <v>469</v>
      </c>
      <c r="BJ469" s="6"/>
      <c r="BK469" s="6"/>
      <c r="BL469" s="6" t="str">
        <f>IFERROR(__xludf.DUMMYFUNCTION("""COMPUTED_VALUE"""),"GISTOR0008")</f>
        <v>GISTOR0008</v>
      </c>
      <c r="BM469" s="6"/>
      <c r="BN469" s="6"/>
      <c r="BO469" s="6" t="str">
        <f>IFERROR(__xludf.DUMMYFUNCTION("""COMPUTED_VALUE"""),"XC_MS_Futbol_M")</f>
        <v>XC_MS_Futbol_M</v>
      </c>
      <c r="BP469" s="6"/>
      <c r="BQ469" s="6" t="str">
        <f>IFERROR(__xludf.DUMMYFUNCTION("""COMPUTED_VALUE"""),"XC_MS_Futbol_M")</f>
        <v>XC_MS_Futbol_M</v>
      </c>
      <c r="BR469" s="6" t="str">
        <f>IFERROR(__xludf.DUMMYFUNCTION("""COMPUTED_VALUE"""),"XC_MS_Futbol_M")</f>
        <v>XC_MS_Futbol_M</v>
      </c>
      <c r="BS469" s="6"/>
      <c r="BT469" s="6" t="str">
        <f>IFERROR(__xludf.DUMMYFUNCTION("""COMPUTED_VALUE"""),"XC_MS_Futbol_M")</f>
        <v>XC_MS_Futbol_M</v>
      </c>
      <c r="BU469" s="6" t="str">
        <f>IFERROR(__xludf.DUMMYFUNCTION("""COMPUTED_VALUE"""),"SI")</f>
        <v>SI</v>
      </c>
      <c r="BV469" s="6" t="str">
        <f>IFERROR(__xludf.DUMMYFUNCTION("""COMPUTED_VALUE"""),"nicolas.t2033")</f>
        <v>nicolas.t2033</v>
      </c>
      <c r="BW469" s="6"/>
      <c r="BX469" s="6"/>
      <c r="BY469" s="6"/>
      <c r="BZ469" s="6"/>
    </row>
    <row r="470">
      <c r="A470" s="12" t="str">
        <f>IFERROR(__xludf.DUMMYFUNCTION("""COMPUTED_VALUE"""),"A89556075")</f>
        <v>A89556075</v>
      </c>
      <c r="B470" s="6">
        <f>IFERROR(__xludf.DUMMYFUNCTION("""COMPUTED_VALUE"""),23.0)</f>
        <v>23</v>
      </c>
      <c r="C470" s="6" t="str">
        <f>IFERROR(__xludf.DUMMYFUNCTION("""COMPUTED_VALUE"""),"Bella")</f>
        <v>Bella</v>
      </c>
      <c r="D470" s="6" t="str">
        <f>IFERROR(__xludf.DUMMYFUNCTION("""COMPUTED_VALUE"""),"Ariane")</f>
        <v>Ariane</v>
      </c>
      <c r="E470" s="6" t="str">
        <f>IFERROR(__xludf.DUMMYFUNCTION("""COMPUTED_VALUE"""),"Trabelsi")</f>
        <v>Trabelsi</v>
      </c>
      <c r="F470" s="6"/>
      <c r="G470" s="12" t="str">
        <f>IFERROR(__xludf.DUMMYFUNCTION("""COMPUTED_VALUE"""),"2015")</f>
        <v>2015</v>
      </c>
      <c r="H470" s="12" t="str">
        <f>IFERROR(__xludf.DUMMYFUNCTION("""COMPUTED_VALUE"""),"Julio")</f>
        <v>Julio</v>
      </c>
      <c r="I470" s="12" t="str">
        <f>IFERROR(__xludf.DUMMYFUNCTION("""COMPUTED_VALUE"""),"24")</f>
        <v>24</v>
      </c>
      <c r="J470" s="6"/>
      <c r="K470" s="12" t="str">
        <f>IFERROR(__xludf.DUMMYFUNCTION("""COMPUTED_VALUE"""),"bella.t2033@gi.edu.co")</f>
        <v>bella.t2033@gi.edu.co</v>
      </c>
      <c r="L470" s="6" t="str">
        <f>IFERROR(__xludf.DUMMYFUNCTION("""COMPUTED_VALUE"""),"PS")</f>
        <v>PS</v>
      </c>
      <c r="M470" s="6"/>
      <c r="N470" s="6" t="str">
        <f>IFERROR(__xludf.DUMMYFUNCTION("""COMPUTED_VALUE"""),"F")</f>
        <v>F</v>
      </c>
      <c r="O470" s="6" t="str">
        <f>IFERROR(__xludf.DUMMYFUNCTION("""COMPUTED_VALUE"""),"INACTIVE")</f>
        <v>INACTIVE</v>
      </c>
      <c r="P470" s="6" t="str">
        <f>IFERROR(__xludf.DUMMYFUNCTION("""COMPUTED_VALUE"""),"Nvos Hermanos")</f>
        <v>Nvos Hermanos</v>
      </c>
      <c r="Q470" s="6"/>
      <c r="R470" s="12" t="str">
        <f>IFERROR(__xludf.DUMMYFUNCTION("""COMPUTED_VALUE"""),"GiM4xT9q*")</f>
        <v>GiM4xT9q*</v>
      </c>
      <c r="S470" s="6" t="str">
        <f>IFERROR(__xludf.DUMMYFUNCTION("""COMPUTED_VALUE"""),"Trabelsi Bella Ariane")</f>
        <v>Trabelsi Bella Ariane</v>
      </c>
      <c r="T470" s="6" t="str">
        <f>IFERROR(__xludf.DUMMYFUNCTION("""COMPUTED_VALUE"""),"MARIA JOSE PALACIO MEJIA")</f>
        <v>MARIA JOSE PALACIO MEJIA</v>
      </c>
      <c r="U470" s="12" t="str">
        <f>IFERROR(__xludf.DUMMYFUNCTION("""COMPUTED_VALUE"""),"1018412181")</f>
        <v>1018412181</v>
      </c>
      <c r="V470" s="6">
        <f>IFERROR(__xludf.DUMMYFUNCTION("""COMPUTED_VALUE"""),1.6464991686E10)</f>
        <v>16464991686</v>
      </c>
      <c r="W470" s="6" t="str">
        <f>IFERROR(__xludf.DUMMYFUNCTION("""COMPUTED_VALUE"""),"mjpalacio@me.com")</f>
        <v>mjpalacio@me.com</v>
      </c>
      <c r="X470" s="6"/>
      <c r="Y470" s="12" t="str">
        <f>IFERROR(__xludf.DUMMYFUNCTION("""COMPUTED_VALUE"""),"6")</f>
        <v>6</v>
      </c>
      <c r="Z470" s="6">
        <f>IFERROR(__xludf.DUMMYFUNCTION("""COMPUTED_VALUE"""),120641.0)</f>
        <v>120641</v>
      </c>
      <c r="AA470" s="6"/>
      <c r="AB470" s="6"/>
      <c r="AC470" s="6"/>
      <c r="AD470" s="12" t="str">
        <f>IFERROR(__xludf.DUMMYFUNCTION("""COMPUTED_VALUE"""),"6A")</f>
        <v>6A</v>
      </c>
      <c r="AE470" s="12" t="str">
        <f>IFERROR(__xludf.DUMMYFUNCTION("""COMPUTED_VALUE"""),"1345282638")</f>
        <v>1345282638</v>
      </c>
      <c r="AF470" s="6"/>
      <c r="AG470" s="12" t="str">
        <f>IFERROR(__xludf.DUMMYFUNCTION("""COMPUTED_VALUE"""),"María")</f>
        <v>María</v>
      </c>
      <c r="AH470" s="12" t="str">
        <f>IFERROR(__xludf.DUMMYFUNCTION("""COMPUTED_VALUE"""),"José")</f>
        <v>José</v>
      </c>
      <c r="AI470" s="6" t="str">
        <f>IFERROR(__xludf.DUMMYFUNCTION("""COMPUTED_VALUE"""),"Palacio Mejía")</f>
        <v>Palacio Mejía</v>
      </c>
      <c r="AJ470" s="6" t="str">
        <f>IFERROR(__xludf.DUMMYFUNCTION("""COMPUTED_VALUE"""),"mjpalacio@me.com")</f>
        <v>mjpalacio@me.com</v>
      </c>
      <c r="AK470" s="6"/>
      <c r="AL470" s="6"/>
      <c r="AM470" s="12" t="str">
        <f>IFERROR(__xludf.DUMMYFUNCTION("""COMPUTED_VALUE"""),"1018412181")</f>
        <v>1018412181</v>
      </c>
      <c r="AN470" s="12" t="str">
        <f>IFERROR(__xludf.DUMMYFUNCTION("""COMPUTED_VALUE""")," +16464991686")</f>
        <v> +16464991686</v>
      </c>
      <c r="AO470" s="6" t="str">
        <f>IFERROR(__xludf.DUMMYFUNCTION("""COMPUTED_VALUE"""),"Madre")</f>
        <v>Madre</v>
      </c>
      <c r="AP470" s="6" t="str">
        <f>IFERROR(__xludf.DUMMYFUNCTION("""COMPUTED_VALUE"""),"Estudiante(s): Trabelsi")</f>
        <v>Estudiante(s): Trabelsi</v>
      </c>
      <c r="AQ470" s="6" t="str">
        <f>IFERROR(__xludf.DUMMYFUNCTION("""COMPUTED_VALUE"""),"120640*Gi")</f>
        <v>120640*Gi</v>
      </c>
      <c r="AR470" s="6" t="str">
        <f>IFERROR(__xludf.DUMMYFUNCTION("""COMPUTED_VALUE"""),"John")</f>
        <v>John</v>
      </c>
      <c r="AS470" s="6" t="str">
        <f>IFERROR(__xludf.DUMMYFUNCTION("""COMPUTED_VALUE"""),"Jacques")</f>
        <v>Jacques</v>
      </c>
      <c r="AT470" s="6" t="str">
        <f>IFERROR(__xludf.DUMMYFUNCTION("""COMPUTED_VALUE"""),"Trabelsi")</f>
        <v>Trabelsi</v>
      </c>
      <c r="AU470" s="6" t="str">
        <f>IFERROR(__xludf.DUMMYFUNCTION("""COMPUTED_VALUE"""),"jtrabelsi@me.com")</f>
        <v>jtrabelsi@me.com</v>
      </c>
      <c r="AV470" s="6"/>
      <c r="AW470" s="6"/>
      <c r="AX470" s="12" t="str">
        <f>IFERROR(__xludf.DUMMYFUNCTION("""COMPUTED_VALUE"""),"24HI82611")</f>
        <v>24HI82611</v>
      </c>
      <c r="AY470" s="12" t="str">
        <f>IFERROR(__xludf.DUMMYFUNCTION("""COMPUTED_VALUE""")," +16464698173")</f>
        <v> +16464698173</v>
      </c>
      <c r="AZ470" s="6" t="str">
        <f>IFERROR(__xludf.DUMMYFUNCTION("""COMPUTED_VALUE"""),"Padre")</f>
        <v>Padre</v>
      </c>
      <c r="BA470" s="6"/>
      <c r="BB470" s="6"/>
      <c r="BC470" s="6"/>
      <c r="BD470" s="12" t="str">
        <f>IFERROR(__xludf.DUMMYFUNCTION("""COMPUTED_VALUE"""),"tra0001")</f>
        <v>tra0001</v>
      </c>
      <c r="BE470" s="6" t="str">
        <f>IFERROR(__xludf.DUMMYFUNCTION("""COMPUTED_VALUE"""),"NUEVO(A)")</f>
        <v>NUEVO(A)</v>
      </c>
      <c r="BF470" s="12" t="str">
        <f>IFERROR(__xludf.DUMMYFUNCTION("""COMPUTED_VALUE"""),"HIJO DE EGRESADO")</f>
        <v>HIJO DE EGRESADO</v>
      </c>
      <c r="BG470" s="6">
        <f>IFERROR(__xludf.DUMMYFUNCTION("""COMPUTED_VALUE"""),2033.0)</f>
        <v>2033</v>
      </c>
      <c r="BH470" s="15">
        <f>IFERROR(__xludf.DUMMYFUNCTION("""COMPUTED_VALUE"""),46258.378703703704)</f>
        <v>46258.3787</v>
      </c>
      <c r="BI470" s="6">
        <f>IFERROR(__xludf.DUMMYFUNCTION("""COMPUTED_VALUE"""),470.0)</f>
        <v>470</v>
      </c>
      <c r="BJ470" s="6"/>
      <c r="BK470" s="6"/>
      <c r="BL470" s="6" t="str">
        <f>IFERROR(__xludf.DUMMYFUNCTION("""COMPUTED_VALUE"""),"GISTRA0001")</f>
        <v>GISTRA0001</v>
      </c>
      <c r="BM470" s="6"/>
      <c r="BN470" s="6"/>
      <c r="BO470" s="6"/>
      <c r="BP470" s="6"/>
      <c r="BQ470" s="6"/>
      <c r="BR470" s="6"/>
      <c r="BS470" s="6"/>
      <c r="BT470" s="6"/>
      <c r="BU470" s="6" t="str">
        <f>IFERROR(__xludf.DUMMYFUNCTION("""COMPUTED_VALUE"""),"SI")</f>
        <v>SI</v>
      </c>
      <c r="BV470" s="12" t="str">
        <f>IFERROR(__xludf.DUMMYFUNCTION("""COMPUTED_VALUE"""),"bella.t2033")</f>
        <v>bella.t2033</v>
      </c>
      <c r="BW470" s="6"/>
      <c r="BX470" s="6"/>
      <c r="BY470" s="6"/>
      <c r="BZ470" s="6"/>
    </row>
    <row r="471">
      <c r="A471" s="12">
        <f>IFERROR(__xludf.DUMMYFUNCTION("""COMPUTED_VALUE"""),1.113872182E9)</f>
        <v>1113872182</v>
      </c>
      <c r="B471" s="6">
        <f>IFERROR(__xludf.DUMMYFUNCTION("""COMPUTED_VALUE"""),24.0)</f>
        <v>24</v>
      </c>
      <c r="C471" s="6" t="str">
        <f>IFERROR(__xludf.DUMMYFUNCTION("""COMPUTED_VALUE"""),"Mia")</f>
        <v>Mia</v>
      </c>
      <c r="D471" s="6"/>
      <c r="E471" s="6" t="str">
        <f>IFERROR(__xludf.DUMMYFUNCTION("""COMPUTED_VALUE"""),"Valderrama Osorio")</f>
        <v>Valderrama Osorio</v>
      </c>
      <c r="F471" s="6" t="str">
        <f>IFERROR(__xludf.DUMMYFUNCTION("""COMPUTED_VALUE"""),"Condominio Entre Maderos Casa 25 - Vereda El Congal Km 1.2 Via Circasia - Armenia")</f>
        <v>Condominio Entre Maderos Casa 25 - Vereda El Congal Km 1.2 Via Circasia - Armenia</v>
      </c>
      <c r="G471" s="12" t="str">
        <f>IFERROR(__xludf.DUMMYFUNCTION("""COMPUTED_VALUE"""),"2014")</f>
        <v>2014</v>
      </c>
      <c r="H471" s="6" t="str">
        <f>IFERROR(__xludf.DUMMYFUNCTION("""COMPUTED_VALUE"""),"Septiembre")</f>
        <v>Septiembre</v>
      </c>
      <c r="I471" s="12" t="str">
        <f>IFERROR(__xludf.DUMMYFUNCTION("""COMPUTED_VALUE"""),"1")</f>
        <v>1</v>
      </c>
      <c r="J471" s="6" t="str">
        <f>IFERROR(__xludf.DUMMYFUNCTION("""COMPUTED_VALUE"""),"Miami")</f>
        <v>Miami</v>
      </c>
      <c r="K471" s="6" t="str">
        <f>IFERROR(__xludf.DUMMYFUNCTION("""COMPUTED_VALUE"""),"mia.v2032@gi.edu.co")</f>
        <v>mia.v2032@gi.edu.co</v>
      </c>
      <c r="L471" s="6" t="str">
        <f>IFERROR(__xludf.DUMMYFUNCTION("""COMPUTED_VALUE"""),"TI")</f>
        <v>TI</v>
      </c>
      <c r="M471" s="6" t="str">
        <f>IFERROR(__xludf.DUMMYFUNCTION("""COMPUTED_VALUE"""),"Cartago")</f>
        <v>Cartago</v>
      </c>
      <c r="N471" s="6" t="str">
        <f>IFERROR(__xludf.DUMMYFUNCTION("""COMPUTED_VALUE"""),"F")</f>
        <v>F</v>
      </c>
      <c r="O471" s="6" t="str">
        <f>IFERROR(__xludf.DUMMYFUNCTION("""COMPUTED_VALUE"""),"INACTIVE")</f>
        <v>INACTIVE</v>
      </c>
      <c r="P471" s="6"/>
      <c r="Q471" s="6" t="str">
        <f>IFERROR(__xludf.DUMMYFUNCTION("""COMPUTED_VALUE"""),"Armenia")</f>
        <v>Armenia</v>
      </c>
      <c r="R471" s="12" t="str">
        <f>IFERROR(__xludf.DUMMYFUNCTION("""COMPUTED_VALUE"""),"Gie35g7*")</f>
        <v>Gie35g7*</v>
      </c>
      <c r="S471" s="6" t="str">
        <f>IFERROR(__xludf.DUMMYFUNCTION("""COMPUTED_VALUE"""),"Valderrama Osorio Mia ")</f>
        <v>Valderrama Osorio Mia </v>
      </c>
      <c r="T471" s="6" t="str">
        <f>IFERROR(__xludf.DUMMYFUNCTION("""COMPUTED_VALUE"""),"CAROLINA OSORIO TOLEDO")</f>
        <v>CAROLINA OSORIO TOLEDO</v>
      </c>
      <c r="U471" s="12" t="str">
        <f>IFERROR(__xludf.DUMMYFUNCTION("""COMPUTED_VALUE"""),"31580630")</f>
        <v>31580630</v>
      </c>
      <c r="V471" s="6">
        <f>IFERROR(__xludf.DUMMYFUNCTION("""COMPUTED_VALUE"""),1.786395726E10)</f>
        <v>17863957260</v>
      </c>
      <c r="W471" s="6" t="str">
        <f>IFERROR(__xludf.DUMMYFUNCTION("""COMPUTED_VALUE"""),"caroso1981@hotmail.com")</f>
        <v>caroso1981@hotmail.com</v>
      </c>
      <c r="X471" s="12" t="str">
        <f>IFERROR(__xludf.DUMMYFUNCTION("""COMPUTED_VALUE"""),"A-")</f>
        <v>A-</v>
      </c>
      <c r="Y471" s="12" t="str">
        <f>IFERROR(__xludf.DUMMYFUNCTION("""COMPUTED_VALUE"""),"6")</f>
        <v>6</v>
      </c>
      <c r="Z471" s="12">
        <f>IFERROR(__xludf.DUMMYFUNCTION("""COMPUTED_VALUE"""),120359.0)</f>
        <v>120359</v>
      </c>
      <c r="AA471" s="6" t="str">
        <f>IFERROR(__xludf.DUMMYFUNCTION("""COMPUTED_VALUE"""),"SURA")</f>
        <v>SURA</v>
      </c>
      <c r="AB471" s="6"/>
      <c r="AC471" s="6"/>
      <c r="AD471" s="12" t="str">
        <f>IFERROR(__xludf.DUMMYFUNCTION("""COMPUTED_VALUE"""),"6A")</f>
        <v>6A</v>
      </c>
      <c r="AE471" s="12" t="str">
        <f>IFERROR(__xludf.DUMMYFUNCTION("""COMPUTED_VALUE"""),"1345282373")</f>
        <v>1345282373</v>
      </c>
      <c r="AF471" s="12" t="str">
        <f>IFERROR(__xludf.DUMMYFUNCTION("""COMPUTED_VALUE"""),"0705413731")</f>
        <v>0705413731</v>
      </c>
      <c r="AG471" s="12" t="str">
        <f>IFERROR(__xludf.DUMMYFUNCTION("""COMPUTED_VALUE"""),"Carolina")</f>
        <v>Carolina</v>
      </c>
      <c r="AH471" s="6"/>
      <c r="AI471" s="6" t="str">
        <f>IFERROR(__xludf.DUMMYFUNCTION("""COMPUTED_VALUE"""),"Osorio Toledo")</f>
        <v>Osorio Toledo</v>
      </c>
      <c r="AJ471" s="6" t="str">
        <f>IFERROR(__xludf.DUMMYFUNCTION("""COMPUTED_VALUE"""),"caroso1981@hotmail.com")</f>
        <v>caroso1981@hotmail.com</v>
      </c>
      <c r="AK471" s="6" t="str">
        <f>IFERROR(__xludf.DUMMYFUNCTION("""COMPUTED_VALUE"""),"Consultora financiera")</f>
        <v>Consultora financiera</v>
      </c>
      <c r="AL471" s="6" t="str">
        <f>IFERROR(__xludf.DUMMYFUNCTION("""COMPUTED_VALUE"""),"MV &amp; CO COMPANY LLC")</f>
        <v>MV &amp; CO COMPANY LLC</v>
      </c>
      <c r="AM471" s="12" t="str">
        <f>IFERROR(__xludf.DUMMYFUNCTION("""COMPUTED_VALUE"""),"31580630")</f>
        <v>31580630</v>
      </c>
      <c r="AN471" s="12" t="str">
        <f>IFERROR(__xludf.DUMMYFUNCTION("""COMPUTED_VALUE"""),"17863957260")</f>
        <v>17863957260</v>
      </c>
      <c r="AO471" s="6" t="str">
        <f>IFERROR(__xludf.DUMMYFUNCTION("""COMPUTED_VALUE"""),"Madre")</f>
        <v>Madre</v>
      </c>
      <c r="AP471" s="6" t="str">
        <f>IFERROR(__xludf.DUMMYFUNCTION("""COMPUTED_VALUE"""),"Estudiante(s): Valderrama Osorio")</f>
        <v>Estudiante(s): Valderrama Osorio</v>
      </c>
      <c r="AQ471" s="6" t="str">
        <f>IFERROR(__xludf.DUMMYFUNCTION("""COMPUTED_VALUE"""),"120359*Gi")</f>
        <v>120359*Gi</v>
      </c>
      <c r="AR471" s="6" t="str">
        <f>IFERROR(__xludf.DUMMYFUNCTION("""COMPUTED_VALUE"""),"Milton")</f>
        <v>Milton</v>
      </c>
      <c r="AS471" s="6" t="str">
        <f>IFERROR(__xludf.DUMMYFUNCTION("""COMPUTED_VALUE"""),"Andres")</f>
        <v>Andres</v>
      </c>
      <c r="AT471" s="6" t="str">
        <f>IFERROR(__xludf.DUMMYFUNCTION("""COMPUTED_VALUE"""),"Valderrama Serna")</f>
        <v>Valderrama Serna</v>
      </c>
      <c r="AU471" s="6" t="str">
        <f>IFERROR(__xludf.DUMMYFUNCTION("""COMPUTED_VALUE"""),"miltonvalderrama77@gmail.com")</f>
        <v>miltonvalderrama77@gmail.com</v>
      </c>
      <c r="AV471" s="6" t="str">
        <f>IFERROR(__xludf.DUMMYFUNCTION("""COMPUTED_VALUE"""),"Consultor de Negocios")</f>
        <v>Consultor de Negocios</v>
      </c>
      <c r="AW471" s="6" t="str">
        <f>IFERROR(__xludf.DUMMYFUNCTION("""COMPUTED_VALUE"""),"Mv &amp; Co Company LLC")</f>
        <v>Mv &amp; Co Company LLC</v>
      </c>
      <c r="AX471" s="12" t="str">
        <f>IFERROR(__xludf.DUMMYFUNCTION("""COMPUTED_VALUE"""),"16232091")</f>
        <v>16232091</v>
      </c>
      <c r="AY471" s="12">
        <f>IFERROR(__xludf.DUMMYFUNCTION("""COMPUTED_VALUE"""),1.4079629623E10)</f>
        <v>14079629623</v>
      </c>
      <c r="AZ471" s="6" t="str">
        <f>IFERROR(__xludf.DUMMYFUNCTION("""COMPUTED_VALUE"""),"Padre")</f>
        <v>Padre</v>
      </c>
      <c r="BA471" s="6"/>
      <c r="BB471" s="6"/>
      <c r="BC471" s="6"/>
      <c r="BD471" s="12" t="str">
        <f>IFERROR(__xludf.DUMMYFUNCTION("""COMPUTED_VALUE"""),"val0012")</f>
        <v>val0012</v>
      </c>
      <c r="BE471" s="6" t="str">
        <f>IFERROR(__xludf.DUMMYFUNCTION("""COMPUTED_VALUE"""),"FALTAN FIRMAS")</f>
        <v>FALTAN FIRMAS</v>
      </c>
      <c r="BF471" s="6"/>
      <c r="BG471" s="6">
        <f>IFERROR(__xludf.DUMMYFUNCTION("""COMPUTED_VALUE"""),2033.0)</f>
        <v>2033</v>
      </c>
      <c r="BH471" s="15">
        <f>IFERROR(__xludf.DUMMYFUNCTION("""COMPUTED_VALUE"""),46212.85065972222)</f>
        <v>46212.85066</v>
      </c>
      <c r="BI471" s="6">
        <f>IFERROR(__xludf.DUMMYFUNCTION("""COMPUTED_VALUE"""),471.0)</f>
        <v>471</v>
      </c>
      <c r="BJ471" s="6"/>
      <c r="BK471" s="6"/>
      <c r="BL471" s="6" t="str">
        <f>IFERROR(__xludf.DUMMYFUNCTION("""COMPUTED_VALUE"""),"GISVAL0012")</f>
        <v>GISVAL0012</v>
      </c>
      <c r="BM471" s="6"/>
      <c r="BN471" s="6"/>
      <c r="BO471" s="6" t="str">
        <f>IFERROR(__xludf.DUMMYFUNCTION("""COMPUTED_VALUE"""),"XC_MS_Voleibol_F")</f>
        <v>XC_MS_Voleibol_F</v>
      </c>
      <c r="BP471" s="6"/>
      <c r="BQ471" s="6" t="str">
        <f>IFERROR(__xludf.DUMMYFUNCTION("""COMPUTED_VALUE"""),"XC_MS_Voleibol_F")</f>
        <v>XC_MS_Voleibol_F</v>
      </c>
      <c r="BR471" s="6" t="str">
        <f>IFERROR(__xludf.DUMMYFUNCTION("""COMPUTED_VALUE"""),"XC_MS_Voleibol_F")</f>
        <v>XC_MS_Voleibol_F</v>
      </c>
      <c r="BS471" s="6"/>
      <c r="BT471" s="6" t="str">
        <f>IFERROR(__xludf.DUMMYFUNCTION("""COMPUTED_VALUE"""),"XC_MS_Voleibol_F")</f>
        <v>XC_MS_Voleibol_F</v>
      </c>
      <c r="BU471" s="6" t="str">
        <f>IFERROR(__xludf.DUMMYFUNCTION("""COMPUTED_VALUE"""),"SI")</f>
        <v>SI</v>
      </c>
      <c r="BV471" s="6" t="str">
        <f>IFERROR(__xludf.DUMMYFUNCTION("""COMPUTED_VALUE"""),"mia.v2032")</f>
        <v>mia.v2032</v>
      </c>
      <c r="BW471" s="6"/>
      <c r="BX471" s="6"/>
      <c r="BY471" s="6"/>
      <c r="B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 t="str">
        <f>IFERROR(__xludf.DUMMYFUNCTION("""COMPUTED_VALUE"""),"Madre")</f>
        <v>Madre</v>
      </c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 t="str">
        <f>IFERROR(__xludf.DUMMYFUNCTION("""COMPUTED_VALUE"""),"Padre")</f>
        <v>Padre</v>
      </c>
      <c r="BA472" s="6"/>
      <c r="BB472" s="6"/>
      <c r="BC472" s="6"/>
      <c r="BD472" s="6"/>
      <c r="BE472" s="6"/>
      <c r="BF472" s="6"/>
      <c r="BG472" s="6"/>
      <c r="BH472" s="6"/>
      <c r="BI472" s="6">
        <f>IFERROR(__xludf.DUMMYFUNCTION("""COMPUTED_VALUE"""),472.0)</f>
        <v>472</v>
      </c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6"/>
      <c r="BW472" s="6"/>
      <c r="BX472" s="6"/>
      <c r="BY472" s="6"/>
      <c r="BZ472" s="6"/>
    </row>
    <row r="473">
      <c r="A473" s="12">
        <f>IFERROR(__xludf.DUMMYFUNCTION("""COMPUTED_VALUE"""),1.09285952E9)</f>
        <v>1092859520</v>
      </c>
      <c r="B473" s="6">
        <f>IFERROR(__xludf.DUMMYFUNCTION("""COMPUTED_VALUE"""),1.0)</f>
        <v>1</v>
      </c>
      <c r="C473" s="6" t="str">
        <f>IFERROR(__xludf.DUMMYFUNCTION("""COMPUTED_VALUE"""),"Ariana")</f>
        <v>Ariana</v>
      </c>
      <c r="D473" s="6"/>
      <c r="E473" s="6" t="str">
        <f>IFERROR(__xludf.DUMMYFUNCTION("""COMPUTED_VALUE"""),"Adams Mejía")</f>
        <v>Adams Mejía</v>
      </c>
      <c r="F473" s="6" t="str">
        <f>IFERROR(__xludf.DUMMYFUNCTION("""COMPUTED_VALUE"""),"Condominio Campestre La Reserva Casa 14 - Cra 5 No10Nte - 25 Av Centenario")</f>
        <v>Condominio Campestre La Reserva Casa 14 - Cra 5 No10Nte - 25 Av Centenario</v>
      </c>
      <c r="G473" s="12" t="str">
        <f>IFERROR(__xludf.DUMMYFUNCTION("""COMPUTED_VALUE"""),"2015")</f>
        <v>2015</v>
      </c>
      <c r="H473" s="6" t="str">
        <f>IFERROR(__xludf.DUMMYFUNCTION("""COMPUTED_VALUE"""),"Noviembre")</f>
        <v>Noviembre</v>
      </c>
      <c r="I473" s="12" t="str">
        <f>IFERROR(__xludf.DUMMYFUNCTION("""COMPUTED_VALUE"""),"10")</f>
        <v>10</v>
      </c>
      <c r="J473" s="6" t="str">
        <f>IFERROR(__xludf.DUMMYFUNCTION("""COMPUTED_VALUE"""),"Armenia")</f>
        <v>Armenia</v>
      </c>
      <c r="K473" s="6" t="str">
        <f>IFERROR(__xludf.DUMMYFUNCTION("""COMPUTED_VALUE"""),"ariana.a2033@gi.edu.co")</f>
        <v>ariana.a2033@gi.edu.co</v>
      </c>
      <c r="L473" s="6" t="str">
        <f>IFERROR(__xludf.DUMMYFUNCTION("""COMPUTED_VALUE"""),"RC")</f>
        <v>RC</v>
      </c>
      <c r="M473" s="6" t="str">
        <f>IFERROR(__xludf.DUMMYFUNCTION("""COMPUTED_VALUE"""),"Armenia")</f>
        <v>Armenia</v>
      </c>
      <c r="N473" s="6" t="str">
        <f>IFERROR(__xludf.DUMMYFUNCTION("""COMPUTED_VALUE"""),"F")</f>
        <v>F</v>
      </c>
      <c r="O473" s="6" t="str">
        <f>IFERROR(__xludf.DUMMYFUNCTION("""COMPUTED_VALUE"""),"INACTIVE")</f>
        <v>INACTIVE</v>
      </c>
      <c r="P473" s="6"/>
      <c r="Q473" s="6" t="str">
        <f>IFERROR(__xludf.DUMMYFUNCTION("""COMPUTED_VALUE"""),"Armenia")</f>
        <v>Armenia</v>
      </c>
      <c r="R473" s="12" t="str">
        <f>IFERROR(__xludf.DUMMYFUNCTION("""COMPUTED_VALUE"""),"Giws86rfk*")</f>
        <v>Giws86rfk*</v>
      </c>
      <c r="S473" s="6" t="str">
        <f>IFERROR(__xludf.DUMMYFUNCTION("""COMPUTED_VALUE"""),"Adams Mejía Ariana ")</f>
        <v>Adams Mejía Ariana </v>
      </c>
      <c r="T473" s="6" t="str">
        <f>IFERROR(__xludf.DUMMYFUNCTION("""COMPUTED_VALUE"""),"MATTHEW ADAMS")</f>
        <v>MATTHEW ADAMS</v>
      </c>
      <c r="U473" s="12" t="str">
        <f>IFERROR(__xludf.DUMMYFUNCTION("""COMPUTED_VALUE"""),"527971")</f>
        <v>527971</v>
      </c>
      <c r="V473" s="6">
        <f>IFERROR(__xludf.DUMMYFUNCTION("""COMPUTED_VALUE"""),3.012178109E9)</f>
        <v>3012178109</v>
      </c>
      <c r="W473" s="6" t="str">
        <f>IFERROR(__xludf.DUMMYFUNCTION("""COMPUTED_VALUE"""),"nomad1983@live.com")</f>
        <v>nomad1983@live.com</v>
      </c>
      <c r="X473" s="12" t="str">
        <f>IFERROR(__xludf.DUMMYFUNCTION("""COMPUTED_VALUE"""),"O+")</f>
        <v>O+</v>
      </c>
      <c r="Y473" s="12" t="str">
        <f>IFERROR(__xludf.DUMMYFUNCTION("""COMPUTED_VALUE"""),"6")</f>
        <v>6</v>
      </c>
      <c r="Z473" s="12">
        <f>IFERROR(__xludf.DUMMYFUNCTION("""COMPUTED_VALUE"""),120034.0)</f>
        <v>120034</v>
      </c>
      <c r="AA473" s="6" t="str">
        <f>IFERROR(__xludf.DUMMYFUNCTION("""COMPUTED_VALUE"""),"SURA")</f>
        <v>SURA</v>
      </c>
      <c r="AB473" s="6" t="str">
        <f>IFERROR(__xludf.DUMMYFUNCTION("""COMPUTED_VALUE"""),"EMI")</f>
        <v>EMI</v>
      </c>
      <c r="AC473" s="6"/>
      <c r="AD473" s="12" t="str">
        <f>IFERROR(__xludf.DUMMYFUNCTION("""COMPUTED_VALUE"""),"6B")</f>
        <v>6B</v>
      </c>
      <c r="AE473" s="12">
        <f>IFERROR(__xludf.DUMMYFUNCTION("""COMPUTED_VALUE"""),1.345282044E9)</f>
        <v>1345282044</v>
      </c>
      <c r="AF473" s="12" t="str">
        <f>IFERROR(__xludf.DUMMYFUNCTION("""COMPUTED_VALUE"""),"0681087379")</f>
        <v>0681087379</v>
      </c>
      <c r="AG473" s="12" t="str">
        <f>IFERROR(__xludf.DUMMYFUNCTION("""COMPUTED_VALUE"""),"Angela")</f>
        <v>Angela</v>
      </c>
      <c r="AH473" s="12" t="str">
        <f>IFERROR(__xludf.DUMMYFUNCTION("""COMPUTED_VALUE"""),"Marcela")</f>
        <v>Marcela</v>
      </c>
      <c r="AI473" s="6" t="str">
        <f>IFERROR(__xludf.DUMMYFUNCTION("""COMPUTED_VALUE"""),"Mejía Osorio")</f>
        <v>Mejía Osorio</v>
      </c>
      <c r="AJ473" s="6" t="str">
        <f>IFERROR(__xludf.DUMMYFUNCTION("""COMPUTED_VALUE"""),"amejia4612@cue.edu.co")</f>
        <v>amejia4612@cue.edu.co</v>
      </c>
      <c r="AK473" s="6" t="str">
        <f>IFERROR(__xludf.DUMMYFUNCTION("""COMPUTED_VALUE"""),"Psicóloga")</f>
        <v>Psicóloga</v>
      </c>
      <c r="AL473" s="6"/>
      <c r="AM473" s="12" t="str">
        <f>IFERROR(__xludf.DUMMYFUNCTION("""COMPUTED_VALUE"""),"1094928279")</f>
        <v>1094928279</v>
      </c>
      <c r="AN473" s="12" t="str">
        <f>IFERROR(__xludf.DUMMYFUNCTION("""COMPUTED_VALUE"""),"3054445968")</f>
        <v>3054445968</v>
      </c>
      <c r="AO473" s="6" t="str">
        <f>IFERROR(__xludf.DUMMYFUNCTION("""COMPUTED_VALUE"""),"Madre")</f>
        <v>Madre</v>
      </c>
      <c r="AP473" s="6" t="str">
        <f>IFERROR(__xludf.DUMMYFUNCTION("""COMPUTED_VALUE"""),"Estudiante(s): Adams Mejía")</f>
        <v>Estudiante(s): Adams Mejía</v>
      </c>
      <c r="AQ473" s="6" t="str">
        <f>IFERROR(__xludf.DUMMYFUNCTION("""COMPUTED_VALUE"""),"120034*Gi")</f>
        <v>120034*Gi</v>
      </c>
      <c r="AR473" s="6" t="str">
        <f>IFERROR(__xludf.DUMMYFUNCTION("""COMPUTED_VALUE"""),"Matthew")</f>
        <v>Matthew</v>
      </c>
      <c r="AS473" s="6"/>
      <c r="AT473" s="6" t="str">
        <f>IFERROR(__xludf.DUMMYFUNCTION("""COMPUTED_VALUE"""),"Adams")</f>
        <v>Adams</v>
      </c>
      <c r="AU473" s="6" t="str">
        <f>IFERROR(__xludf.DUMMYFUNCTION("""COMPUTED_VALUE"""),"nomad1983@live.com")</f>
        <v>nomad1983@live.com</v>
      </c>
      <c r="AV473" s="6" t="str">
        <f>IFERROR(__xludf.DUMMYFUNCTION("""COMPUTED_VALUE"""),"Analista de sistemas")</f>
        <v>Analista de sistemas</v>
      </c>
      <c r="AW473" s="6" t="str">
        <f>IFERROR(__xludf.DUMMYFUNCTION("""COMPUTED_VALUE"""),"4 PAY EUROPE")</f>
        <v>4 PAY EUROPE</v>
      </c>
      <c r="AX473" s="12" t="str">
        <f>IFERROR(__xludf.DUMMYFUNCTION("""COMPUTED_VALUE"""),"527971")</f>
        <v>527971</v>
      </c>
      <c r="AY473" s="12" t="str">
        <f>IFERROR(__xludf.DUMMYFUNCTION("""COMPUTED_VALUE"""),"3012178109")</f>
        <v>3012178109</v>
      </c>
      <c r="AZ473" s="6" t="str">
        <f>IFERROR(__xludf.DUMMYFUNCTION("""COMPUTED_VALUE"""),"Padre")</f>
        <v>Padre</v>
      </c>
      <c r="BA473" s="6"/>
      <c r="BB473" s="6"/>
      <c r="BC473" s="6"/>
      <c r="BD473" s="12" t="str">
        <f>IFERROR(__xludf.DUMMYFUNCTION("""COMPUTED_VALUE"""),"ada0001")</f>
        <v>ada0001</v>
      </c>
      <c r="BE473" s="6" t="str">
        <f>IFERROR(__xludf.DUMMYFUNCTION("""COMPUTED_VALUE"""),"FALTAN FIRMAS")</f>
        <v>FALTAN FIRMAS</v>
      </c>
      <c r="BF473" s="6"/>
      <c r="BG473" s="6">
        <f>IFERROR(__xludf.DUMMYFUNCTION("""COMPUTED_VALUE"""),2033.0)</f>
        <v>2033</v>
      </c>
      <c r="BH473" s="15">
        <f>IFERROR(__xludf.DUMMYFUNCTION("""COMPUTED_VALUE"""),46237.3403587963)</f>
        <v>46237.34036</v>
      </c>
      <c r="BI473" s="6">
        <f>IFERROR(__xludf.DUMMYFUNCTION("""COMPUTED_VALUE"""),473.0)</f>
        <v>473</v>
      </c>
      <c r="BJ473" s="6"/>
      <c r="BK473" s="6"/>
      <c r="BL473" s="6" t="str">
        <f>IFERROR(__xludf.DUMMYFUNCTION("""COMPUTED_VALUE"""),"GISADA0001")</f>
        <v>GISADA0001</v>
      </c>
      <c r="BM473" s="6"/>
      <c r="BN473" s="6"/>
      <c r="BO473" s="6" t="str">
        <f>IFERROR(__xludf.DUMMYFUNCTION("""COMPUTED_VALUE"""),"XC_MS_Voleibol_F")</f>
        <v>XC_MS_Voleibol_F</v>
      </c>
      <c r="BP473" s="6"/>
      <c r="BQ473" s="6" t="str">
        <f>IFERROR(__xludf.DUMMYFUNCTION("""COMPUTED_VALUE"""),"XC_MS_Voleibol_F")</f>
        <v>XC_MS_Voleibol_F</v>
      </c>
      <c r="BR473" s="6" t="str">
        <f>IFERROR(__xludf.DUMMYFUNCTION("""COMPUTED_VALUE"""),"XC_MS_Voleibol_F")</f>
        <v>XC_MS_Voleibol_F</v>
      </c>
      <c r="BS473" s="6"/>
      <c r="BT473" s="6" t="str">
        <f>IFERROR(__xludf.DUMMYFUNCTION("""COMPUTED_VALUE"""),"XC_MS_Voleibol_F")</f>
        <v>XC_MS_Voleibol_F</v>
      </c>
      <c r="BU473" s="6" t="str">
        <f>IFERROR(__xludf.DUMMYFUNCTION("""COMPUTED_VALUE"""),"SI")</f>
        <v>SI</v>
      </c>
      <c r="BV473" s="6" t="str">
        <f>IFERROR(__xludf.DUMMYFUNCTION("""COMPUTED_VALUE"""),"ariana.a2033")</f>
        <v>ariana.a2033</v>
      </c>
      <c r="BW473" s="6"/>
      <c r="BX473" s="6"/>
      <c r="BY473" s="6"/>
      <c r="BZ473" s="6"/>
    </row>
    <row r="474">
      <c r="A474" s="12">
        <f>IFERROR(__xludf.DUMMYFUNCTION("""COMPUTED_VALUE"""),1.013023509E9)</f>
        <v>1013023509</v>
      </c>
      <c r="B474" s="6">
        <f>IFERROR(__xludf.DUMMYFUNCTION("""COMPUTED_VALUE"""),2.0)</f>
        <v>2</v>
      </c>
      <c r="C474" s="6" t="str">
        <f>IFERROR(__xludf.DUMMYFUNCTION("""COMPUTED_VALUE"""),"Juan")</f>
        <v>Juan</v>
      </c>
      <c r="D474" s="6" t="str">
        <f>IFERROR(__xludf.DUMMYFUNCTION("""COMPUTED_VALUE"""),"Felipe")</f>
        <v>Felipe</v>
      </c>
      <c r="E474" s="6" t="str">
        <f>IFERROR(__xludf.DUMMYFUNCTION("""COMPUTED_VALUE"""),"Agredo Reyes")</f>
        <v>Agredo Reyes</v>
      </c>
      <c r="F474" s="6" t="str">
        <f>IFERROR(__xludf.DUMMYFUNCTION("""COMPUTED_VALUE"""),"
Torre Austral Apto 705 - Calle 37Nte No19 - 02")</f>
        <v>
Torre Austral Apto 705 - Calle 37Nte No19 - 02</v>
      </c>
      <c r="G474" s="12" t="str">
        <f>IFERROR(__xludf.DUMMYFUNCTION("""COMPUTED_VALUE"""),"2015")</f>
        <v>2015</v>
      </c>
      <c r="H474" s="6" t="str">
        <f>IFERROR(__xludf.DUMMYFUNCTION("""COMPUTED_VALUE"""),"Junio")</f>
        <v>Junio</v>
      </c>
      <c r="I474" s="12" t="str">
        <f>IFERROR(__xludf.DUMMYFUNCTION("""COMPUTED_VALUE"""),"12")</f>
        <v>12</v>
      </c>
      <c r="J474" s="6" t="str">
        <f>IFERROR(__xludf.DUMMYFUNCTION("""COMPUTED_VALUE"""),"Bogotá D.C.")</f>
        <v>Bogotá D.C.</v>
      </c>
      <c r="K474" s="6" t="str">
        <f>IFERROR(__xludf.DUMMYFUNCTION("""COMPUTED_VALUE"""),"juanf.a2033@gi.edu.co")</f>
        <v>juanf.a2033@gi.edu.co</v>
      </c>
      <c r="L474" s="6" t="str">
        <f>IFERROR(__xludf.DUMMYFUNCTION("""COMPUTED_VALUE"""),"TI")</f>
        <v>TI</v>
      </c>
      <c r="M474" s="6" t="str">
        <f>IFERROR(__xludf.DUMMYFUNCTION("""COMPUTED_VALUE"""),"La Tebaida")</f>
        <v>La Tebaida</v>
      </c>
      <c r="N474" s="6" t="str">
        <f>IFERROR(__xludf.DUMMYFUNCTION("""COMPUTED_VALUE"""),"M")</f>
        <v>M</v>
      </c>
      <c r="O474" s="6" t="str">
        <f>IFERROR(__xludf.DUMMYFUNCTION("""COMPUTED_VALUE"""),"ACTIVE")</f>
        <v>ACTIVE</v>
      </c>
      <c r="P474" s="6"/>
      <c r="Q474" s="6" t="str">
        <f>IFERROR(__xludf.DUMMYFUNCTION("""COMPUTED_VALUE"""),"Armenia")</f>
        <v>Armenia</v>
      </c>
      <c r="R474" s="12" t="str">
        <f>IFERROR(__xludf.DUMMYFUNCTION("""COMPUTED_VALUE"""),"Gi3902jf*")</f>
        <v>Gi3902jf*</v>
      </c>
      <c r="S474" s="6" t="str">
        <f>IFERROR(__xludf.DUMMYFUNCTION("""COMPUTED_VALUE"""),"Agredo Reyes Juan Felipe")</f>
        <v>Agredo Reyes Juan Felipe</v>
      </c>
      <c r="T474" s="6" t="str">
        <f>IFERROR(__xludf.DUMMYFUNCTION("""COMPUTED_VALUE"""),"CRISS ALEJANDRA REYES RUIZ")</f>
        <v>CRISS ALEJANDRA REYES RUIZ</v>
      </c>
      <c r="U474" s="12" t="str">
        <f>IFERROR(__xludf.DUMMYFUNCTION("""COMPUTED_VALUE"""),"1014209582")</f>
        <v>1014209582</v>
      </c>
      <c r="V474" s="6">
        <f>IFERROR(__xludf.DUMMYFUNCTION("""COMPUTED_VALUE"""),3.168337759E9)</f>
        <v>3168337759</v>
      </c>
      <c r="W474" s="6" t="str">
        <f>IFERROR(__xludf.DUMMYFUNCTION("""COMPUTED_VALUE"""),"crissreyes2006@hotmail.com")</f>
        <v>crissreyes2006@hotmail.com</v>
      </c>
      <c r="X474" s="12" t="str">
        <f>IFERROR(__xludf.DUMMYFUNCTION("""COMPUTED_VALUE"""),"A+")</f>
        <v>A+</v>
      </c>
      <c r="Y474" s="12" t="str">
        <f>IFERROR(__xludf.DUMMYFUNCTION("""COMPUTED_VALUE"""),"6")</f>
        <v>6</v>
      </c>
      <c r="Z474" s="12">
        <f>IFERROR(__xludf.DUMMYFUNCTION("""COMPUTED_VALUE"""),100087.0)</f>
        <v>100087</v>
      </c>
      <c r="AA474" s="6" t="str">
        <f>IFERROR(__xludf.DUMMYFUNCTION("""COMPUTED_VALUE"""),"SURA")</f>
        <v>SURA</v>
      </c>
      <c r="AB474" s="6"/>
      <c r="AC474" s="6"/>
      <c r="AD474" s="12" t="str">
        <f>IFERROR(__xludf.DUMMYFUNCTION("""COMPUTED_VALUE"""),"6B")</f>
        <v>6B</v>
      </c>
      <c r="AE474" s="12">
        <f>IFERROR(__xludf.DUMMYFUNCTION("""COMPUTED_VALUE"""),1.345281957E9)</f>
        <v>1345281957</v>
      </c>
      <c r="AF474" s="12" t="str">
        <f>IFERROR(__xludf.DUMMYFUNCTION("""COMPUTED_VALUE"""),"0678149587")</f>
        <v>0678149587</v>
      </c>
      <c r="AG474" s="12" t="str">
        <f>IFERROR(__xludf.DUMMYFUNCTION("""COMPUTED_VALUE"""),"Criss")</f>
        <v>Criss</v>
      </c>
      <c r="AH474" s="12" t="str">
        <f>IFERROR(__xludf.DUMMYFUNCTION("""COMPUTED_VALUE"""),"Alejandra")</f>
        <v>Alejandra</v>
      </c>
      <c r="AI474" s="6" t="str">
        <f>IFERROR(__xludf.DUMMYFUNCTION("""COMPUTED_VALUE"""),"Reyes Ruiz")</f>
        <v>Reyes Ruiz</v>
      </c>
      <c r="AJ474" s="6" t="str">
        <f>IFERROR(__xludf.DUMMYFUNCTION("""COMPUTED_VALUE"""),"crissreyes2006@hotmail.com")</f>
        <v>crissreyes2006@hotmail.com</v>
      </c>
      <c r="AK474" s="6" t="str">
        <f>IFERROR(__xludf.DUMMYFUNCTION("""COMPUTED_VALUE"""),"Administración de negocios internacionales")</f>
        <v>Administración de negocios internacionales</v>
      </c>
      <c r="AL474" s="6" t="str">
        <f>IFERROR(__xludf.DUMMYFUNCTION("""COMPUTED_VALUE"""),"Centenario Trampoline Park SAS")</f>
        <v>Centenario Trampoline Park SAS</v>
      </c>
      <c r="AM474" s="12" t="str">
        <f>IFERROR(__xludf.DUMMYFUNCTION("""COMPUTED_VALUE"""),"1014209582")</f>
        <v>1014209582</v>
      </c>
      <c r="AN474" s="12" t="str">
        <f>IFERROR(__xludf.DUMMYFUNCTION("""COMPUTED_VALUE"""),"3168337759")</f>
        <v>3168337759</v>
      </c>
      <c r="AO474" s="6" t="str">
        <f>IFERROR(__xludf.DUMMYFUNCTION("""COMPUTED_VALUE"""),"Madre")</f>
        <v>Madre</v>
      </c>
      <c r="AP474" s="6" t="str">
        <f>IFERROR(__xludf.DUMMYFUNCTION("""COMPUTED_VALUE"""),"Estudiante(s): Agredo Reyes")</f>
        <v>Estudiante(s): Agredo Reyes</v>
      </c>
      <c r="AQ474" s="6" t="str">
        <f>IFERROR(__xludf.DUMMYFUNCTION("""COMPUTED_VALUE"""),"103902*Gi")</f>
        <v>103902*Gi</v>
      </c>
      <c r="AR474" s="6" t="str">
        <f>IFERROR(__xludf.DUMMYFUNCTION("""COMPUTED_VALUE"""),"Jonathan")</f>
        <v>Jonathan</v>
      </c>
      <c r="AS474" s="6" t="str">
        <f>IFERROR(__xludf.DUMMYFUNCTION("""COMPUTED_VALUE"""),"Felipe")</f>
        <v>Felipe</v>
      </c>
      <c r="AT474" s="6" t="str">
        <f>IFERROR(__xludf.DUMMYFUNCTION("""COMPUTED_VALUE"""),"Agredo Forero")</f>
        <v>Agredo Forero</v>
      </c>
      <c r="AU474" s="6" t="str">
        <f>IFERROR(__xludf.DUMMYFUNCTION("""COMPUTED_VALUE"""),"jonathanagredo@gmail.com")</f>
        <v>jonathanagredo@gmail.com</v>
      </c>
      <c r="AV474" s="6" t="str">
        <f>IFERROR(__xludf.DUMMYFUNCTION("""COMPUTED_VALUE"""),"Ingeniero Mecanico")</f>
        <v>Ingeniero Mecanico</v>
      </c>
      <c r="AW474" s="6" t="str">
        <f>IFERROR(__xludf.DUMMYFUNCTION("""COMPUTED_VALUE"""),"Racer´s Oil")</f>
        <v>Racer´s Oil</v>
      </c>
      <c r="AX474" s="12" t="str">
        <f>IFERROR(__xludf.DUMMYFUNCTION("""COMPUTED_VALUE"""),"1032403551")</f>
        <v>1032403551</v>
      </c>
      <c r="AY474" s="12" t="str">
        <f>IFERROR(__xludf.DUMMYFUNCTION("""COMPUTED_VALUE"""),"3103144347")</f>
        <v>3103144347</v>
      </c>
      <c r="AZ474" s="6" t="str">
        <f>IFERROR(__xludf.DUMMYFUNCTION("""COMPUTED_VALUE"""),"Padre")</f>
        <v>Padre</v>
      </c>
      <c r="BA474" s="6"/>
      <c r="BB474" s="6"/>
      <c r="BC474" s="6"/>
      <c r="BD474" s="12" t="str">
        <f>IFERROR(__xludf.DUMMYFUNCTION("""COMPUTED_VALUE"""),"agr0001")</f>
        <v>agr0001</v>
      </c>
      <c r="BE474" s="6"/>
      <c r="BF474" s="6"/>
      <c r="BG474" s="6">
        <f>IFERROR(__xludf.DUMMYFUNCTION("""COMPUTED_VALUE"""),2033.0)</f>
        <v>2033</v>
      </c>
      <c r="BH474" s="15">
        <f>IFERROR(__xludf.DUMMYFUNCTION("""COMPUTED_VALUE"""),46209.813993055555)</f>
        <v>46209.81399</v>
      </c>
      <c r="BI474" s="6">
        <f>IFERROR(__xludf.DUMMYFUNCTION("""COMPUTED_VALUE"""),474.0)</f>
        <v>474</v>
      </c>
      <c r="BJ474" s="6"/>
      <c r="BK474" s="6"/>
      <c r="BL474" s="6" t="str">
        <f>IFERROR(__xludf.DUMMYFUNCTION("""COMPUTED_VALUE"""),"GISAGR0001")</f>
        <v>GISAGR0001</v>
      </c>
      <c r="BM474" s="6"/>
      <c r="BN474" s="6"/>
      <c r="BO474" s="6"/>
      <c r="BP474" s="6"/>
      <c r="BQ474" s="6"/>
      <c r="BR474" s="6"/>
      <c r="BS474" s="6"/>
      <c r="BT474" s="6"/>
      <c r="BU474" s="6" t="str">
        <f>IFERROR(__xludf.DUMMYFUNCTION("""COMPUTED_VALUE"""),"SI")</f>
        <v>SI</v>
      </c>
      <c r="BV474" s="6" t="str">
        <f>IFERROR(__xludf.DUMMYFUNCTION("""COMPUTED_VALUE"""),"juanf.a2033")</f>
        <v>juanf.a2033</v>
      </c>
      <c r="BW474" s="6"/>
      <c r="BX474" s="6"/>
      <c r="BY474" s="6"/>
      <c r="BZ474" s="6"/>
    </row>
    <row r="475">
      <c r="A475" s="12">
        <f>IFERROR(__xludf.DUMMYFUNCTION("""COMPUTED_VALUE"""),1.092858122E9)</f>
        <v>1092858122</v>
      </c>
      <c r="B475" s="6">
        <f>IFERROR(__xludf.DUMMYFUNCTION("""COMPUTED_VALUE"""),3.0)</f>
        <v>3</v>
      </c>
      <c r="C475" s="6" t="str">
        <f>IFERROR(__xludf.DUMMYFUNCTION("""COMPUTED_VALUE"""),"Jacobo")</f>
        <v>Jacobo</v>
      </c>
      <c r="D475" s="6"/>
      <c r="E475" s="6" t="str">
        <f>IFERROR(__xludf.DUMMYFUNCTION("""COMPUTED_VALUE"""),"Agudelo Martínez")</f>
        <v>Agudelo Martínez</v>
      </c>
      <c r="F475" s="6" t="str">
        <f>IFERROR(__xludf.DUMMYFUNCTION("""COMPUTED_VALUE"""),"Los Ocobos Parque Residencial - Calle 31Nte No20 - 10")</f>
        <v>Los Ocobos Parque Residencial - Calle 31Nte No20 - 10</v>
      </c>
      <c r="G475" s="12" t="str">
        <f>IFERROR(__xludf.DUMMYFUNCTION("""COMPUTED_VALUE"""),"2014")</f>
        <v>2014</v>
      </c>
      <c r="H475" s="6" t="str">
        <f>IFERROR(__xludf.DUMMYFUNCTION("""COMPUTED_VALUE"""),"Octubre")</f>
        <v>Octubre</v>
      </c>
      <c r="I475" s="12" t="str">
        <f>IFERROR(__xludf.DUMMYFUNCTION("""COMPUTED_VALUE"""),"21")</f>
        <v>21</v>
      </c>
      <c r="J475" s="6" t="str">
        <f>IFERROR(__xludf.DUMMYFUNCTION("""COMPUTED_VALUE"""),"Armenia")</f>
        <v>Armenia</v>
      </c>
      <c r="K475" s="6" t="str">
        <f>IFERROR(__xludf.DUMMYFUNCTION("""COMPUTED_VALUE"""),"jacobo.a2033@gi.edu.co")</f>
        <v>jacobo.a2033@gi.edu.co</v>
      </c>
      <c r="L475" s="6" t="str">
        <f>IFERROR(__xludf.DUMMYFUNCTION("""COMPUTED_VALUE"""),"NUIP")</f>
        <v>NUIP</v>
      </c>
      <c r="M475" s="6" t="str">
        <f>IFERROR(__xludf.DUMMYFUNCTION("""COMPUTED_VALUE"""),"Armenia")</f>
        <v>Armenia</v>
      </c>
      <c r="N475" s="6" t="str">
        <f>IFERROR(__xludf.DUMMYFUNCTION("""COMPUTED_VALUE"""),"M")</f>
        <v>M</v>
      </c>
      <c r="O475" s="6" t="str">
        <f>IFERROR(__xludf.DUMMYFUNCTION("""COMPUTED_VALUE"""),"ACTIVE")</f>
        <v>ACTIVE</v>
      </c>
      <c r="P475" s="6"/>
      <c r="Q475" s="6" t="str">
        <f>IFERROR(__xludf.DUMMYFUNCTION("""COMPUTED_VALUE"""),"Armenia")</f>
        <v>Armenia</v>
      </c>
      <c r="R475" s="12" t="str">
        <f>IFERROR(__xludf.DUMMYFUNCTION("""COMPUTED_VALUE"""),"Girdpilfg*")</f>
        <v>Girdpilfg*</v>
      </c>
      <c r="S475" s="6" t="str">
        <f>IFERROR(__xludf.DUMMYFUNCTION("""COMPUTED_VALUE"""),"Agudelo Martínez Jacobo ")</f>
        <v>Agudelo Martínez Jacobo </v>
      </c>
      <c r="T475" s="6" t="str">
        <f>IFERROR(__xludf.DUMMYFUNCTION("""COMPUTED_VALUE"""),"GLORIA MARCELA MARTÍNEZ CASTAÑO")</f>
        <v>GLORIA MARCELA MARTÍNEZ CASTAÑO</v>
      </c>
      <c r="U475" s="12" t="str">
        <f>IFERROR(__xludf.DUMMYFUNCTION("""COMPUTED_VALUE"""),"41935060")</f>
        <v>41935060</v>
      </c>
      <c r="V475" s="6">
        <f>IFERROR(__xludf.DUMMYFUNCTION("""COMPUTED_VALUE"""),3.146322308E9)</f>
        <v>3146322308</v>
      </c>
      <c r="W475" s="6" t="str">
        <f>IFERROR(__xludf.DUMMYFUNCTION("""COMPUTED_VALUE"""),"marcelamartinez76@hotmail.com")</f>
        <v>marcelamartinez76@hotmail.com</v>
      </c>
      <c r="X475" s="12" t="str">
        <f>IFERROR(__xludf.DUMMYFUNCTION("""COMPUTED_VALUE"""),"O+")</f>
        <v>O+</v>
      </c>
      <c r="Y475" s="12" t="str">
        <f>IFERROR(__xludf.DUMMYFUNCTION("""COMPUTED_VALUE"""),"6")</f>
        <v>6</v>
      </c>
      <c r="Z475" s="12">
        <f>IFERROR(__xludf.DUMMYFUNCTION("""COMPUTED_VALUE"""),103643.0)</f>
        <v>103643</v>
      </c>
      <c r="AA475" s="6" t="str">
        <f>IFERROR(__xludf.DUMMYFUNCTION("""COMPUTED_VALUE"""),"SURA")</f>
        <v>SURA</v>
      </c>
      <c r="AB475" s="6"/>
      <c r="AC475" s="6"/>
      <c r="AD475" s="12" t="str">
        <f>IFERROR(__xludf.DUMMYFUNCTION("""COMPUTED_VALUE"""),"6B")</f>
        <v>6B</v>
      </c>
      <c r="AE475" s="12">
        <f>IFERROR(__xludf.DUMMYFUNCTION("""COMPUTED_VALUE"""),1.345281804E9)</f>
        <v>1345281804</v>
      </c>
      <c r="AF475" s="12" t="str">
        <f>IFERROR(__xludf.DUMMYFUNCTION("""COMPUTED_VALUE"""),"0691998355")</f>
        <v>0691998355</v>
      </c>
      <c r="AG475" s="12" t="str">
        <f>IFERROR(__xludf.DUMMYFUNCTION("""COMPUTED_VALUE"""),"Gloria")</f>
        <v>Gloria</v>
      </c>
      <c r="AH475" s="12" t="str">
        <f>IFERROR(__xludf.DUMMYFUNCTION("""COMPUTED_VALUE"""),"Marcela")</f>
        <v>Marcela</v>
      </c>
      <c r="AI475" s="6" t="str">
        <f>IFERROR(__xludf.DUMMYFUNCTION("""COMPUTED_VALUE"""),"Martínez Castaño")</f>
        <v>Martínez Castaño</v>
      </c>
      <c r="AJ475" s="6" t="str">
        <f>IFERROR(__xludf.DUMMYFUNCTION("""COMPUTED_VALUE"""),"marcelamartinez76@hotmail.com")</f>
        <v>marcelamartinez76@hotmail.com</v>
      </c>
      <c r="AK475" s="6" t="str">
        <f>IFERROR(__xludf.DUMMYFUNCTION("""COMPUTED_VALUE"""),"PSICÓLOGA")</f>
        <v>PSICÓLOGA</v>
      </c>
      <c r="AL475" s="6" t="str">
        <f>IFERROR(__xludf.DUMMYFUNCTION("""COMPUTED_VALUE"""),"FISCALÍA GENERAL DE LA NACIÓN-CTI")</f>
        <v>FISCALÍA GENERAL DE LA NACIÓN-CTI</v>
      </c>
      <c r="AM475" s="12" t="str">
        <f>IFERROR(__xludf.DUMMYFUNCTION("""COMPUTED_VALUE"""),"41935060")</f>
        <v>41935060</v>
      </c>
      <c r="AN475" s="12" t="str">
        <f>IFERROR(__xludf.DUMMYFUNCTION("""COMPUTED_VALUE"""),"3146322308")</f>
        <v>3146322308</v>
      </c>
      <c r="AO475" s="6" t="str">
        <f>IFERROR(__xludf.DUMMYFUNCTION("""COMPUTED_VALUE"""),"Madre")</f>
        <v>Madre</v>
      </c>
      <c r="AP475" s="6" t="str">
        <f>IFERROR(__xludf.DUMMYFUNCTION("""COMPUTED_VALUE"""),"Estudiante(s): Agudelo Martínez")</f>
        <v>Estudiante(s): Agudelo Martínez</v>
      </c>
      <c r="AQ475" s="6" t="str">
        <f>IFERROR(__xludf.DUMMYFUNCTION("""COMPUTED_VALUE"""),"103643*Gi")</f>
        <v>103643*Gi</v>
      </c>
      <c r="AR475" s="6" t="str">
        <f>IFERROR(__xludf.DUMMYFUNCTION("""COMPUTED_VALUE"""),"Omar")</f>
        <v>Omar</v>
      </c>
      <c r="AS475" s="6" t="str">
        <f>IFERROR(__xludf.DUMMYFUNCTION("""COMPUTED_VALUE"""),"Yair")</f>
        <v>Yair</v>
      </c>
      <c r="AT475" s="6" t="str">
        <f>IFERROR(__xludf.DUMMYFUNCTION("""COMPUTED_VALUE"""),"Agudelo Amado")</f>
        <v>Agudelo Amado</v>
      </c>
      <c r="AU475" s="6" t="str">
        <f>IFERROR(__xludf.DUMMYFUNCTION("""COMPUTED_VALUE"""),"yair.agudelo@gmail.com")</f>
        <v>yair.agudelo@gmail.com</v>
      </c>
      <c r="AV475" s="6" t="str">
        <f>IFERROR(__xludf.DUMMYFUNCTION("""COMPUTED_VALUE"""),"N.A.")</f>
        <v>N.A.</v>
      </c>
      <c r="AW475" s="6" t="str">
        <f>IFERROR(__xludf.DUMMYFUNCTION("""COMPUTED_VALUE"""),"N.A.")</f>
        <v>N.A.</v>
      </c>
      <c r="AX475" s="12" t="str">
        <f>IFERROR(__xludf.DUMMYFUNCTION("""COMPUTED_VALUE"""),"1144143390")</f>
        <v>1144143390</v>
      </c>
      <c r="AY475" s="12" t="str">
        <f>IFERROR(__xludf.DUMMYFUNCTION("""COMPUTED_VALUE"""),"0")</f>
        <v>0</v>
      </c>
      <c r="AZ475" s="6" t="str">
        <f>IFERROR(__xludf.DUMMYFUNCTION("""COMPUTED_VALUE"""),"Padre")</f>
        <v>Padre</v>
      </c>
      <c r="BA475" s="6"/>
      <c r="BB475" s="6"/>
      <c r="BC475" s="6"/>
      <c r="BD475" s="12" t="str">
        <f>IFERROR(__xludf.DUMMYFUNCTION("""COMPUTED_VALUE"""),"agu0008")</f>
        <v>agu0008</v>
      </c>
      <c r="BE475" s="6"/>
      <c r="BF475" s="6"/>
      <c r="BG475" s="6">
        <f>IFERROR(__xludf.DUMMYFUNCTION("""COMPUTED_VALUE"""),2033.0)</f>
        <v>2033</v>
      </c>
      <c r="BH475" s="15">
        <f>IFERROR(__xludf.DUMMYFUNCTION("""COMPUTED_VALUE"""),46205.697650462964)</f>
        <v>46205.69765</v>
      </c>
      <c r="BI475" s="6">
        <f>IFERROR(__xludf.DUMMYFUNCTION("""COMPUTED_VALUE"""),475.0)</f>
        <v>475</v>
      </c>
      <c r="BJ475" s="6"/>
      <c r="BK475" s="6"/>
      <c r="BL475" s="6" t="str">
        <f>IFERROR(__xludf.DUMMYFUNCTION("""COMPUTED_VALUE"""),"GISAGU0008")</f>
        <v>GISAGU0008</v>
      </c>
      <c r="BM475" s="6"/>
      <c r="BN475" s="6"/>
      <c r="BO475" s="6" t="str">
        <f>IFERROR(__xludf.DUMMYFUNCTION("""COMPUTED_VALUE"""),"XC_MS_Futbol_M")</f>
        <v>XC_MS_Futbol_M</v>
      </c>
      <c r="BP475" s="6"/>
      <c r="BQ475" s="6" t="str">
        <f>IFERROR(__xludf.DUMMYFUNCTION("""COMPUTED_VALUE"""),"XC_MS_Futbol_M")</f>
        <v>XC_MS_Futbol_M</v>
      </c>
      <c r="BR475" s="6" t="str">
        <f>IFERROR(__xludf.DUMMYFUNCTION("""COMPUTED_VALUE"""),"XC_MS_Futbol_M")</f>
        <v>XC_MS_Futbol_M</v>
      </c>
      <c r="BS475" s="6"/>
      <c r="BT475" s="6" t="str">
        <f>IFERROR(__xludf.DUMMYFUNCTION("""COMPUTED_VALUE"""),"XC_MS_Futbol_M")</f>
        <v>XC_MS_Futbol_M</v>
      </c>
      <c r="BU475" s="6" t="str">
        <f>IFERROR(__xludf.DUMMYFUNCTION("""COMPUTED_VALUE"""),"SI")</f>
        <v>SI</v>
      </c>
      <c r="BV475" s="6" t="str">
        <f>IFERROR(__xludf.DUMMYFUNCTION("""COMPUTED_VALUE"""),"jacobo.a2033")</f>
        <v>jacobo.a2033</v>
      </c>
      <c r="BW475" s="6"/>
      <c r="BX475" s="6"/>
      <c r="BY475" s="6"/>
      <c r="BZ475" s="6"/>
    </row>
    <row r="476">
      <c r="A476" s="12">
        <f>IFERROR(__xludf.DUMMYFUNCTION("""COMPUTED_VALUE"""),1.091887736E9)</f>
        <v>1091887736</v>
      </c>
      <c r="B476" s="6">
        <f>IFERROR(__xludf.DUMMYFUNCTION("""COMPUTED_VALUE"""),4.0)</f>
        <v>4</v>
      </c>
      <c r="C476" s="6" t="str">
        <f>IFERROR(__xludf.DUMMYFUNCTION("""COMPUTED_VALUE"""),"Sarah")</f>
        <v>Sarah</v>
      </c>
      <c r="D476" s="6"/>
      <c r="E476" s="6" t="str">
        <f>IFERROR(__xludf.DUMMYFUNCTION("""COMPUTED_VALUE"""),"Arias Galvis")</f>
        <v>Arias Galvis</v>
      </c>
      <c r="F476" s="6" t="str">
        <f>IFERROR(__xludf.DUMMYFUNCTION("""COMPUTED_VALUE"""),"Calle 31Nte No20 - 80 - Senderos")</f>
        <v>Calle 31Nte No20 - 80 - Senderos</v>
      </c>
      <c r="G476" s="12" t="str">
        <f>IFERROR(__xludf.DUMMYFUNCTION("""COMPUTED_VALUE"""),"2014")</f>
        <v>2014</v>
      </c>
      <c r="H476" s="6" t="str">
        <f>IFERROR(__xludf.DUMMYFUNCTION("""COMPUTED_VALUE"""),"Mayo")</f>
        <v>Mayo</v>
      </c>
      <c r="I476" s="12" t="str">
        <f>IFERROR(__xludf.DUMMYFUNCTION("""COMPUTED_VALUE"""),"24")</f>
        <v>24</v>
      </c>
      <c r="J476" s="6" t="str">
        <f>IFERROR(__xludf.DUMMYFUNCTION("""COMPUTED_VALUE"""),"Armenia")</f>
        <v>Armenia</v>
      </c>
      <c r="K476" s="6" t="str">
        <f>IFERROR(__xludf.DUMMYFUNCTION("""COMPUTED_VALUE"""),"sarah.a2033@gi.edu.co")</f>
        <v>sarah.a2033@gi.edu.co</v>
      </c>
      <c r="L476" s="6" t="str">
        <f>IFERROR(__xludf.DUMMYFUNCTION("""COMPUTED_VALUE"""),"TI")</f>
        <v>TI</v>
      </c>
      <c r="M476" s="6" t="str">
        <f>IFERROR(__xludf.DUMMYFUNCTION("""COMPUTED_VALUE"""),"Armenia")</f>
        <v>Armenia</v>
      </c>
      <c r="N476" s="6" t="str">
        <f>IFERROR(__xludf.DUMMYFUNCTION("""COMPUTED_VALUE"""),"F")</f>
        <v>F</v>
      </c>
      <c r="O476" s="6" t="str">
        <f>IFERROR(__xludf.DUMMYFUNCTION("""COMPUTED_VALUE"""),"ACTIVE")</f>
        <v>ACTIVE</v>
      </c>
      <c r="P476" s="6"/>
      <c r="Q476" s="6" t="str">
        <f>IFERROR(__xludf.DUMMYFUNCTION("""COMPUTED_VALUE"""),"Armenia")</f>
        <v>Armenia</v>
      </c>
      <c r="R476" s="12" t="str">
        <f>IFERROR(__xludf.DUMMYFUNCTION("""COMPUTED_VALUE"""),"Girek54p*")</f>
        <v>Girek54p*</v>
      </c>
      <c r="S476" s="6" t="str">
        <f>IFERROR(__xludf.DUMMYFUNCTION("""COMPUTED_VALUE"""),"Arias Galvis Sarah ")</f>
        <v>Arias Galvis Sarah </v>
      </c>
      <c r="T476" s="6" t="str">
        <f>IFERROR(__xludf.DUMMYFUNCTION("""COMPUTED_VALUE"""),"CRISTIAN SMITH ARIAS MARTÍNEZ")</f>
        <v>CRISTIAN SMITH ARIAS MARTÍNEZ</v>
      </c>
      <c r="U476" s="12" t="str">
        <f>IFERROR(__xludf.DUMMYFUNCTION("""COMPUTED_VALUE"""),"1094921450")</f>
        <v>1094921450</v>
      </c>
      <c r="V476" s="6">
        <f>IFERROR(__xludf.DUMMYFUNCTION("""COMPUTED_VALUE"""),3.218155657E9)</f>
        <v>3218155657</v>
      </c>
      <c r="W476" s="6" t="str">
        <f>IFERROR(__xludf.DUMMYFUNCTION("""COMPUTED_VALUE"""),"cristianarias1991@hotmail.com")</f>
        <v>cristianarias1991@hotmail.com</v>
      </c>
      <c r="X476" s="12" t="str">
        <f>IFERROR(__xludf.DUMMYFUNCTION("""COMPUTED_VALUE"""),"O+")</f>
        <v>O+</v>
      </c>
      <c r="Y476" s="12" t="str">
        <f>IFERROR(__xludf.DUMMYFUNCTION("""COMPUTED_VALUE"""),"6")</f>
        <v>6</v>
      </c>
      <c r="Z476" s="12">
        <f>IFERROR(__xludf.DUMMYFUNCTION("""COMPUTED_VALUE"""),120183.0)</f>
        <v>120183</v>
      </c>
      <c r="AA476" s="6" t="str">
        <f>IFERROR(__xludf.DUMMYFUNCTION("""COMPUTED_VALUE"""),"SANITAS")</f>
        <v>SANITAS</v>
      </c>
      <c r="AB476" s="6"/>
      <c r="AC476" s="6"/>
      <c r="AD476" s="12" t="str">
        <f>IFERROR(__xludf.DUMMYFUNCTION("""COMPUTED_VALUE"""),"6B")</f>
        <v>6B</v>
      </c>
      <c r="AE476" s="12">
        <f>IFERROR(__xludf.DUMMYFUNCTION("""COMPUTED_VALUE"""),1.345282181E9)</f>
        <v>1345282181</v>
      </c>
      <c r="AF476" s="12" t="str">
        <f>IFERROR(__xludf.DUMMYFUNCTION("""COMPUTED_VALUE"""),"0699616675")</f>
        <v>0699616675</v>
      </c>
      <c r="AG476" s="12" t="str">
        <f>IFERROR(__xludf.DUMMYFUNCTION("""COMPUTED_VALUE"""),"Natalia")</f>
        <v>Natalia</v>
      </c>
      <c r="AH476" s="6"/>
      <c r="AI476" s="6" t="str">
        <f>IFERROR(__xludf.DUMMYFUNCTION("""COMPUTED_VALUE"""),"Galvis Alzate")</f>
        <v>Galvis Alzate</v>
      </c>
      <c r="AJ476" s="6" t="str">
        <f>IFERROR(__xludf.DUMMYFUNCTION("""COMPUTED_VALUE"""),"nataliagalvisa@gmail.com")</f>
        <v>nataliagalvisa@gmail.com</v>
      </c>
      <c r="AK476" s="6" t="str">
        <f>IFERROR(__xludf.DUMMYFUNCTION("""COMPUTED_VALUE"""),"Arquitecta")</f>
        <v>Arquitecta</v>
      </c>
      <c r="AL476" s="6"/>
      <c r="AM476" s="12" t="str">
        <f>IFERROR(__xludf.DUMMYFUNCTION("""COMPUTED_VALUE"""),"1094923814")</f>
        <v>1094923814</v>
      </c>
      <c r="AN476" s="12" t="str">
        <f>IFERROR(__xludf.DUMMYFUNCTION("""COMPUTED_VALUE"""),"3113664828")</f>
        <v>3113664828</v>
      </c>
      <c r="AO476" s="6" t="str">
        <f>IFERROR(__xludf.DUMMYFUNCTION("""COMPUTED_VALUE"""),"Madre")</f>
        <v>Madre</v>
      </c>
      <c r="AP476" s="6" t="str">
        <f>IFERROR(__xludf.DUMMYFUNCTION("""COMPUTED_VALUE"""),"Estudiante(s): Arias Galvis")</f>
        <v>Estudiante(s): Arias Galvis</v>
      </c>
      <c r="AQ476" s="6" t="str">
        <f>IFERROR(__xludf.DUMMYFUNCTION("""COMPUTED_VALUE"""),"120183*Gi")</f>
        <v>120183*Gi</v>
      </c>
      <c r="AR476" s="6" t="str">
        <f>IFERROR(__xludf.DUMMYFUNCTION("""COMPUTED_VALUE"""),"Cristian")</f>
        <v>Cristian</v>
      </c>
      <c r="AS476" s="6" t="str">
        <f>IFERROR(__xludf.DUMMYFUNCTION("""COMPUTED_VALUE"""),"Smith")</f>
        <v>Smith</v>
      </c>
      <c r="AT476" s="6" t="str">
        <f>IFERROR(__xludf.DUMMYFUNCTION("""COMPUTED_VALUE"""),"Arias Martínez")</f>
        <v>Arias Martínez</v>
      </c>
      <c r="AU476" s="6" t="str">
        <f>IFERROR(__xludf.DUMMYFUNCTION("""COMPUTED_VALUE"""),"cristianarias1991@hotmail.com")</f>
        <v>cristianarias1991@hotmail.com</v>
      </c>
      <c r="AV476" s="6" t="str">
        <f>IFERROR(__xludf.DUMMYFUNCTION("""COMPUTED_VALUE"""),"Abogado")</f>
        <v>Abogado</v>
      </c>
      <c r="AW476" s="6"/>
      <c r="AX476" s="12" t="str">
        <f>IFERROR(__xludf.DUMMYFUNCTION("""COMPUTED_VALUE"""),"1094921450")</f>
        <v>1094921450</v>
      </c>
      <c r="AY476" s="12" t="str">
        <f>IFERROR(__xludf.DUMMYFUNCTION("""COMPUTED_VALUE"""),"3218155657")</f>
        <v>3218155657</v>
      </c>
      <c r="AZ476" s="6" t="str">
        <f>IFERROR(__xludf.DUMMYFUNCTION("""COMPUTED_VALUE"""),"Padre")</f>
        <v>Padre</v>
      </c>
      <c r="BA476" s="6"/>
      <c r="BB476" s="6"/>
      <c r="BC476" s="6"/>
      <c r="BD476" s="12" t="str">
        <f>IFERROR(__xludf.DUMMYFUNCTION("""COMPUTED_VALUE"""),"ari0027")</f>
        <v>ari0027</v>
      </c>
      <c r="BE476" s="6"/>
      <c r="BF476" s="6"/>
      <c r="BG476" s="6">
        <f>IFERROR(__xludf.DUMMYFUNCTION("""COMPUTED_VALUE"""),2033.0)</f>
        <v>2033</v>
      </c>
      <c r="BH476" s="15">
        <f>IFERROR(__xludf.DUMMYFUNCTION("""COMPUTED_VALUE"""),46238.488958333335)</f>
        <v>46238.48896</v>
      </c>
      <c r="BI476" s="6">
        <f>IFERROR(__xludf.DUMMYFUNCTION("""COMPUTED_VALUE"""),476.0)</f>
        <v>476</v>
      </c>
      <c r="BJ476" s="6" t="str">
        <f>IFERROR(__xludf.DUMMYFUNCTION("""COMPUTED_VALUE"""),"Mar 9/26 Se retira por parte del comite
SIMAT: Discapacidad Psicosocial - Mental) (Sept 22 2025)")</f>
        <v>Mar 9/26 Se retira por parte del comite
SIMAT: Discapacidad Psicosocial - Mental) (Sept 22 2025)</v>
      </c>
      <c r="BK476" s="6"/>
      <c r="BL476" s="6" t="str">
        <f>IFERROR(__xludf.DUMMYFUNCTION("""COMPUTED_VALUE"""),"GISARI0027")</f>
        <v>GISARI0027</v>
      </c>
      <c r="BM476" s="6"/>
      <c r="BN476" s="6"/>
      <c r="BO476" s="6"/>
      <c r="BP476" s="6"/>
      <c r="BQ476" s="6"/>
      <c r="BR476" s="6"/>
      <c r="BS476" s="6"/>
      <c r="BT476" s="6"/>
      <c r="BU476" s="6" t="str">
        <f>IFERROR(__xludf.DUMMYFUNCTION("""COMPUTED_VALUE"""),"SI")</f>
        <v>SI</v>
      </c>
      <c r="BV476" s="6" t="str">
        <f>IFERROR(__xludf.DUMMYFUNCTION("""COMPUTED_VALUE"""),"sarah.a2033")</f>
        <v>sarah.a2033</v>
      </c>
      <c r="BW476" s="6"/>
      <c r="BX476" s="6"/>
      <c r="BY476" s="6"/>
      <c r="BZ476" s="6"/>
    </row>
    <row r="477">
      <c r="A477" s="12">
        <f>IFERROR(__xludf.DUMMYFUNCTION("""COMPUTED_VALUE"""),1.019910476E9)</f>
        <v>1019910476</v>
      </c>
      <c r="B477" s="6">
        <f>IFERROR(__xludf.DUMMYFUNCTION("""COMPUTED_VALUE"""),5.0)</f>
        <v>5</v>
      </c>
      <c r="C477" s="6" t="str">
        <f>IFERROR(__xludf.DUMMYFUNCTION("""COMPUTED_VALUE"""),"Luca")</f>
        <v>Luca</v>
      </c>
      <c r="D477" s="6"/>
      <c r="E477" s="6" t="str">
        <f>IFERROR(__xludf.DUMMYFUNCTION("""COMPUTED_VALUE"""),"Azuero Arango")</f>
        <v>Azuero Arango</v>
      </c>
      <c r="F477" s="6" t="str">
        <f>IFERROR(__xludf.DUMMYFUNCTION("""COMPUTED_VALUE"""),"Conjunto Los Rosales Casa 13 - Km 3 Via Circasia")</f>
        <v>Conjunto Los Rosales Casa 13 - Km 3 Via Circasia</v>
      </c>
      <c r="G477" s="12" t="str">
        <f>IFERROR(__xludf.DUMMYFUNCTION("""COMPUTED_VALUE"""),"2014")</f>
        <v>2014</v>
      </c>
      <c r="H477" s="6" t="str">
        <f>IFERROR(__xludf.DUMMYFUNCTION("""COMPUTED_VALUE"""),"Diciembre")</f>
        <v>Diciembre</v>
      </c>
      <c r="I477" s="12" t="str">
        <f>IFERROR(__xludf.DUMMYFUNCTION("""COMPUTED_VALUE"""),"3")</f>
        <v>3</v>
      </c>
      <c r="J477" s="6" t="str">
        <f>IFERROR(__xludf.DUMMYFUNCTION("""COMPUTED_VALUE"""),"Bogotá D.C.")</f>
        <v>Bogotá D.C.</v>
      </c>
      <c r="K477" s="6" t="str">
        <f>IFERROR(__xludf.DUMMYFUNCTION("""COMPUTED_VALUE"""),"luca.a2033@gi.edu.co")</f>
        <v>luca.a2033@gi.edu.co</v>
      </c>
      <c r="L477" s="6" t="str">
        <f>IFERROR(__xludf.DUMMYFUNCTION("""COMPUTED_VALUE"""),"TI")</f>
        <v>TI</v>
      </c>
      <c r="M477" s="6" t="str">
        <f>IFERROR(__xludf.DUMMYFUNCTION("""COMPUTED_VALUE"""),"Armenia")</f>
        <v>Armenia</v>
      </c>
      <c r="N477" s="6" t="str">
        <f>IFERROR(__xludf.DUMMYFUNCTION("""COMPUTED_VALUE"""),"M")</f>
        <v>M</v>
      </c>
      <c r="O477" s="6" t="str">
        <f>IFERROR(__xludf.DUMMYFUNCTION("""COMPUTED_VALUE"""),"ACTIVE")</f>
        <v>ACTIVE</v>
      </c>
      <c r="P477" s="6"/>
      <c r="Q477" s="6" t="str">
        <f>IFERROR(__xludf.DUMMYFUNCTION("""COMPUTED_VALUE"""),"Armenia")</f>
        <v>Armenia</v>
      </c>
      <c r="R477" s="12" t="str">
        <f>IFERROR(__xludf.DUMMYFUNCTION("""COMPUTED_VALUE"""),"Gi84h2j*")</f>
        <v>Gi84h2j*</v>
      </c>
      <c r="S477" s="6" t="str">
        <f>IFERROR(__xludf.DUMMYFUNCTION("""COMPUTED_VALUE"""),"Azuero Arango Luca ")</f>
        <v>Azuero Arango Luca </v>
      </c>
      <c r="T477" s="6" t="str">
        <f>IFERROR(__xludf.DUMMYFUNCTION("""COMPUTED_VALUE"""),"ANA MARIA ARANGO MEDINA")</f>
        <v>ANA MARIA ARANGO MEDINA</v>
      </c>
      <c r="U477" s="12" t="str">
        <f>IFERROR(__xludf.DUMMYFUNCTION("""COMPUTED_VALUE"""),"52415147")</f>
        <v>52415147</v>
      </c>
      <c r="V477" s="6">
        <f>IFERROR(__xludf.DUMMYFUNCTION("""COMPUTED_VALUE"""),3.213760666E9)</f>
        <v>3213760666</v>
      </c>
      <c r="W477" s="6" t="str">
        <f>IFERROR(__xludf.DUMMYFUNCTION("""COMPUTED_VALUE"""),"arangoa@hotmail.com")</f>
        <v>arangoa@hotmail.com</v>
      </c>
      <c r="X477" s="12" t="str">
        <f>IFERROR(__xludf.DUMMYFUNCTION("""COMPUTED_VALUE"""),"A+")</f>
        <v>A+</v>
      </c>
      <c r="Y477" s="12" t="str">
        <f>IFERROR(__xludf.DUMMYFUNCTION("""COMPUTED_VALUE"""),"6")</f>
        <v>6</v>
      </c>
      <c r="Z477" s="12">
        <f>IFERROR(__xludf.DUMMYFUNCTION("""COMPUTED_VALUE"""),120397.0)</f>
        <v>120397</v>
      </c>
      <c r="AA477" s="6" t="str">
        <f>IFERROR(__xludf.DUMMYFUNCTION("""COMPUTED_VALUE"""),"SURA")</f>
        <v>SURA</v>
      </c>
      <c r="AB477" s="6"/>
      <c r="AC477" s="6"/>
      <c r="AD477" s="12" t="str">
        <f>IFERROR(__xludf.DUMMYFUNCTION("""COMPUTED_VALUE"""),"6B")</f>
        <v>6B</v>
      </c>
      <c r="AE477" s="12">
        <f>IFERROR(__xludf.DUMMYFUNCTION("""COMPUTED_VALUE"""),1.345282396E9)</f>
        <v>1345282396</v>
      </c>
      <c r="AF477" s="12" t="str">
        <f>IFERROR(__xludf.DUMMYFUNCTION("""COMPUTED_VALUE"""),"0708342851")</f>
        <v>0708342851</v>
      </c>
      <c r="AG477" s="12" t="str">
        <f>IFERROR(__xludf.DUMMYFUNCTION("""COMPUTED_VALUE"""),"Ana")</f>
        <v>Ana</v>
      </c>
      <c r="AH477" s="12" t="str">
        <f>IFERROR(__xludf.DUMMYFUNCTION("""COMPUTED_VALUE"""),"Maria")</f>
        <v>Maria</v>
      </c>
      <c r="AI477" s="6" t="str">
        <f>IFERROR(__xludf.DUMMYFUNCTION("""COMPUTED_VALUE"""),"Arango Medina")</f>
        <v>Arango Medina</v>
      </c>
      <c r="AJ477" s="6" t="str">
        <f>IFERROR(__xludf.DUMMYFUNCTION("""COMPUTED_VALUE"""),"arangoa@hotmail.com")</f>
        <v>arangoa@hotmail.com</v>
      </c>
      <c r="AK477" s="6" t="str">
        <f>IFERROR(__xludf.DUMMYFUNCTION("""COMPUTED_VALUE"""),"Relaciones Internacionales")</f>
        <v>Relaciones Internacionales</v>
      </c>
      <c r="AL477" s="6" t="str">
        <f>IFERROR(__xludf.DUMMYFUNCTION("""COMPUTED_VALUE"""),"UFI, The Global Association of the Exhibition Industry")</f>
        <v>UFI, The Global Association of the Exhibition Industry</v>
      </c>
      <c r="AM477" s="12" t="str">
        <f>IFERROR(__xludf.DUMMYFUNCTION("""COMPUTED_VALUE"""),"52415147")</f>
        <v>52415147</v>
      </c>
      <c r="AN477" s="12" t="str">
        <f>IFERROR(__xludf.DUMMYFUNCTION("""COMPUTED_VALUE"""),"3213760666")</f>
        <v>3213760666</v>
      </c>
      <c r="AO477" s="6" t="str">
        <f>IFERROR(__xludf.DUMMYFUNCTION("""COMPUTED_VALUE"""),"Madre")</f>
        <v>Madre</v>
      </c>
      <c r="AP477" s="6" t="str">
        <f>IFERROR(__xludf.DUMMYFUNCTION("""COMPUTED_VALUE"""),"Estudiante(s): Azuero Arango")</f>
        <v>Estudiante(s): Azuero Arango</v>
      </c>
      <c r="AQ477" s="6" t="str">
        <f>IFERROR(__xludf.DUMMYFUNCTION("""COMPUTED_VALUE"""),"120397*Gi")</f>
        <v>120397*Gi</v>
      </c>
      <c r="AR477" s="6" t="str">
        <f>IFERROR(__xludf.DUMMYFUNCTION("""COMPUTED_VALUE"""),"Álvaro")</f>
        <v>Álvaro</v>
      </c>
      <c r="AS477" s="6" t="str">
        <f>IFERROR(__xludf.DUMMYFUNCTION("""COMPUTED_VALUE"""),"José")</f>
        <v>José</v>
      </c>
      <c r="AT477" s="6" t="str">
        <f>IFERROR(__xludf.DUMMYFUNCTION("""COMPUTED_VALUE"""),"Azuero Holguín")</f>
        <v>Azuero Holguín</v>
      </c>
      <c r="AU477" s="6" t="str">
        <f>IFERROR(__xludf.DUMMYFUNCTION("""COMPUTED_VALUE"""),"alvazuero@hotmail.com")</f>
        <v>alvazuero@hotmail.com</v>
      </c>
      <c r="AV477" s="6" t="str">
        <f>IFERROR(__xludf.DUMMYFUNCTION("""COMPUTED_VALUE"""),"Filosofo, Relaciones Internacionales")</f>
        <v>Filosofo, Relaciones Internacionales</v>
      </c>
      <c r="AW477" s="6" t="str">
        <f>IFERROR(__xludf.DUMMYFUNCTION("""COMPUTED_VALUE"""),"Vida Consciente")</f>
        <v>Vida Consciente</v>
      </c>
      <c r="AX477" s="12" t="str">
        <f>IFERROR(__xludf.DUMMYFUNCTION("""COMPUTED_VALUE"""),"94460388")</f>
        <v>94460388</v>
      </c>
      <c r="AY477" s="12">
        <f>IFERROR(__xludf.DUMMYFUNCTION("""COMPUTED_VALUE"""),3.112236698E9)</f>
        <v>3112236698</v>
      </c>
      <c r="AZ477" s="6" t="str">
        <f>IFERROR(__xludf.DUMMYFUNCTION("""COMPUTED_VALUE"""),"Padre")</f>
        <v>Padre</v>
      </c>
      <c r="BA477" s="6" t="str">
        <f>IFERROR(__xludf.DUMMYFUNCTION("""COMPUTED_VALUE"""),"MARIA MERCEDES MEDINA")</f>
        <v>MARIA MERCEDES MEDINA</v>
      </c>
      <c r="BB477" s="6">
        <f>IFERROR(__xludf.DUMMYFUNCTION("""COMPUTED_VALUE"""),3.102215661E9)</f>
        <v>3102215661</v>
      </c>
      <c r="BC477" s="6" t="str">
        <f>IFERROR(__xludf.DUMMYFUNCTION("""COMPUTED_VALUE"""),"Abuelo(a)")</f>
        <v>Abuelo(a)</v>
      </c>
      <c r="BD477" s="12" t="str">
        <f>IFERROR(__xludf.DUMMYFUNCTION("""COMPUTED_VALUE"""),"azu0001")</f>
        <v>azu0001</v>
      </c>
      <c r="BE477" s="6"/>
      <c r="BF477" s="6"/>
      <c r="BG477" s="6">
        <f>IFERROR(__xludf.DUMMYFUNCTION("""COMPUTED_VALUE"""),2033.0)</f>
        <v>2033</v>
      </c>
      <c r="BH477" s="15">
        <f>IFERROR(__xludf.DUMMYFUNCTION("""COMPUTED_VALUE"""),46209.65480324074)</f>
        <v>46209.6548</v>
      </c>
      <c r="BI477" s="6">
        <f>IFERROR(__xludf.DUMMYFUNCTION("""COMPUTED_VALUE"""),477.0)</f>
        <v>477</v>
      </c>
      <c r="BJ477" s="6"/>
      <c r="BK477" s="6"/>
      <c r="BL477" s="6" t="str">
        <f>IFERROR(__xludf.DUMMYFUNCTION("""COMPUTED_VALUE"""),"GISAZU0001")</f>
        <v>GISAZU0001</v>
      </c>
      <c r="BM477" s="6"/>
      <c r="BN477" s="6"/>
      <c r="BO477" s="6"/>
      <c r="BP477" s="6"/>
      <c r="BQ477" s="6"/>
      <c r="BR477" s="6"/>
      <c r="BS477" s="6"/>
      <c r="BT477" s="6"/>
      <c r="BU477" s="6" t="str">
        <f>IFERROR(__xludf.DUMMYFUNCTION("""COMPUTED_VALUE"""),"SI")</f>
        <v>SI</v>
      </c>
      <c r="BV477" s="6" t="str">
        <f>IFERROR(__xludf.DUMMYFUNCTION("""COMPUTED_VALUE"""),"luca.a2033")</f>
        <v>luca.a2033</v>
      </c>
      <c r="BW477" s="6"/>
      <c r="BX477" s="6"/>
      <c r="BY477" s="6"/>
      <c r="BZ477" s="6"/>
    </row>
    <row r="478">
      <c r="A478" s="12">
        <f>IFERROR(__xludf.DUMMYFUNCTION("""COMPUTED_VALUE"""),1.019911441E9)</f>
        <v>1019911441</v>
      </c>
      <c r="B478" s="6">
        <f>IFERROR(__xludf.DUMMYFUNCTION("""COMPUTED_VALUE"""),6.0)</f>
        <v>6</v>
      </c>
      <c r="C478" s="6" t="str">
        <f>IFERROR(__xludf.DUMMYFUNCTION("""COMPUTED_VALUE"""),"Alicia")</f>
        <v>Alicia</v>
      </c>
      <c r="D478" s="6"/>
      <c r="E478" s="6" t="str">
        <f>IFERROR(__xludf.DUMMYFUNCTION("""COMPUTED_VALUE"""),"Botache Urbina")</f>
        <v>Botache Urbina</v>
      </c>
      <c r="F478" s="6" t="str">
        <f>IFERROR(__xludf.DUMMYFUNCTION("""COMPUTED_VALUE"""),"Cra 15a No23Nte - 50 Torre B Apto 703 - Laureles")</f>
        <v>Cra 15a No23Nte - 50 Torre B Apto 703 - Laureles</v>
      </c>
      <c r="G478" s="12" t="str">
        <f>IFERROR(__xludf.DUMMYFUNCTION("""COMPUTED_VALUE"""),"2015")</f>
        <v>2015</v>
      </c>
      <c r="H478" s="6" t="str">
        <f>IFERROR(__xludf.DUMMYFUNCTION("""COMPUTED_VALUE"""),"Junio")</f>
        <v>Junio</v>
      </c>
      <c r="I478" s="12" t="str">
        <f>IFERROR(__xludf.DUMMYFUNCTION("""COMPUTED_VALUE"""),"15")</f>
        <v>15</v>
      </c>
      <c r="J478" s="6" t="str">
        <f>IFERROR(__xludf.DUMMYFUNCTION("""COMPUTED_VALUE"""),"Bogotá D.C.")</f>
        <v>Bogotá D.C.</v>
      </c>
      <c r="K478" s="6" t="str">
        <f>IFERROR(__xludf.DUMMYFUNCTION("""COMPUTED_VALUE"""),"alicia.b2033@gi.edu.co")</f>
        <v>alicia.b2033@gi.edu.co</v>
      </c>
      <c r="L478" s="6" t="str">
        <f>IFERROR(__xludf.DUMMYFUNCTION("""COMPUTED_VALUE"""),"TI")</f>
        <v>TI</v>
      </c>
      <c r="M478" s="6" t="str">
        <f>IFERROR(__xludf.DUMMYFUNCTION("""COMPUTED_VALUE"""),"Armenia")</f>
        <v>Armenia</v>
      </c>
      <c r="N478" s="6" t="str">
        <f>IFERROR(__xludf.DUMMYFUNCTION("""COMPUTED_VALUE"""),"F")</f>
        <v>F</v>
      </c>
      <c r="O478" s="6" t="str">
        <f>IFERROR(__xludf.DUMMYFUNCTION("""COMPUTED_VALUE"""),"ACTIVE")</f>
        <v>ACTIVE</v>
      </c>
      <c r="P478" s="6"/>
      <c r="Q478" s="6" t="str">
        <f>IFERROR(__xludf.DUMMYFUNCTION("""COMPUTED_VALUE"""),"Armenia")</f>
        <v>Armenia</v>
      </c>
      <c r="R478" s="12" t="str">
        <f>IFERROR(__xludf.DUMMYFUNCTION("""COMPUTED_VALUE"""),"Giw349hua*")</f>
        <v>Giw349hua*</v>
      </c>
      <c r="S478" s="6" t="str">
        <f>IFERROR(__xludf.DUMMYFUNCTION("""COMPUTED_VALUE"""),"Botache Urbina Alicia ")</f>
        <v>Botache Urbina Alicia </v>
      </c>
      <c r="T478" s="6" t="str">
        <f>IFERROR(__xludf.DUMMYFUNCTION("""COMPUTED_VALUE"""),"NESTOR RAUL BOTACHE TRUJILLO")</f>
        <v>NESTOR RAUL BOTACHE TRUJILLO</v>
      </c>
      <c r="U478" s="12" t="str">
        <f>IFERROR(__xludf.DUMMYFUNCTION("""COMPUTED_VALUE"""),"79734448")</f>
        <v>79734448</v>
      </c>
      <c r="V478" s="6">
        <f>IFERROR(__xludf.DUMMYFUNCTION("""COMPUTED_VALUE"""),3.178030597E9)</f>
        <v>3178030597</v>
      </c>
      <c r="W478" s="6" t="str">
        <f>IFERROR(__xludf.DUMMYFUNCTION("""COMPUTED_VALUE"""),"nbotache@gmail.com")</f>
        <v>nbotache@gmail.com</v>
      </c>
      <c r="X478" s="12" t="str">
        <f>IFERROR(__xludf.DUMMYFUNCTION("""COMPUTED_VALUE"""),"O+")</f>
        <v>O+</v>
      </c>
      <c r="Y478" s="12" t="str">
        <f>IFERROR(__xludf.DUMMYFUNCTION("""COMPUTED_VALUE"""),"6")</f>
        <v>6</v>
      </c>
      <c r="Z478" s="12">
        <f>IFERROR(__xludf.DUMMYFUNCTION("""COMPUTED_VALUE"""),103942.0)</f>
        <v>103942</v>
      </c>
      <c r="AA478" s="6" t="str">
        <f>IFERROR(__xludf.DUMMYFUNCTION("""COMPUTED_VALUE"""),"OTRA")</f>
        <v>OTRA</v>
      </c>
      <c r="AB478" s="6"/>
      <c r="AC478" s="12" t="str">
        <f>IFERROR(__xludf.DUMMYFUNCTION("""COMPUTED_VALUE"""),"Alergia atópica de la piel")</f>
        <v>Alergia atópica de la piel</v>
      </c>
      <c r="AD478" s="12" t="str">
        <f>IFERROR(__xludf.DUMMYFUNCTION("""COMPUTED_VALUE"""),"6B")</f>
        <v>6B</v>
      </c>
      <c r="AE478" s="12">
        <f>IFERROR(__xludf.DUMMYFUNCTION("""COMPUTED_VALUE"""),1.345281971E9)</f>
        <v>1345281971</v>
      </c>
      <c r="AF478" s="12" t="str">
        <f>IFERROR(__xludf.DUMMYFUNCTION("""COMPUTED_VALUE"""),"0697223411")</f>
        <v>0697223411</v>
      </c>
      <c r="AG478" s="12" t="str">
        <f>IFERROR(__xludf.DUMMYFUNCTION("""COMPUTED_VALUE"""),"Martha")</f>
        <v>Martha</v>
      </c>
      <c r="AH478" s="12" t="str">
        <f>IFERROR(__xludf.DUMMYFUNCTION("""COMPUTED_VALUE"""),"Lyda")</f>
        <v>Lyda</v>
      </c>
      <c r="AI478" s="6" t="str">
        <f>IFERROR(__xludf.DUMMYFUNCTION("""COMPUTED_VALUE"""),"Urbina Cardona")</f>
        <v>Urbina Cardona</v>
      </c>
      <c r="AJ478" s="6" t="str">
        <f>IFERROR(__xludf.DUMMYFUNCTION("""COMPUTED_VALUE"""),"programapane@gmail.com")</f>
        <v>programapane@gmail.com</v>
      </c>
      <c r="AK478" s="6" t="str">
        <f>IFERROR(__xludf.DUMMYFUNCTION("""COMPUTED_VALUE"""),"Neuropsicologa")</f>
        <v>Neuropsicologa</v>
      </c>
      <c r="AL478" s="6" t="str">
        <f>IFERROR(__xludf.DUMMYFUNCTION("""COMPUTED_VALUE"""),"PANE")</f>
        <v>PANE</v>
      </c>
      <c r="AM478" s="12" t="str">
        <f>IFERROR(__xludf.DUMMYFUNCTION("""COMPUTED_VALUE"""),"52589974")</f>
        <v>52589974</v>
      </c>
      <c r="AN478" s="12" t="str">
        <f>IFERROR(__xludf.DUMMYFUNCTION("""COMPUTED_VALUE"""),"3153055422")</f>
        <v>3153055422</v>
      </c>
      <c r="AO478" s="6" t="str">
        <f>IFERROR(__xludf.DUMMYFUNCTION("""COMPUTED_VALUE"""),"Madre")</f>
        <v>Madre</v>
      </c>
      <c r="AP478" s="6" t="str">
        <f>IFERROR(__xludf.DUMMYFUNCTION("""COMPUTED_VALUE"""),"Estudiante(s): Botache Urbina")</f>
        <v>Estudiante(s): Botache Urbina</v>
      </c>
      <c r="AQ478" s="6" t="str">
        <f>IFERROR(__xludf.DUMMYFUNCTION("""COMPUTED_VALUE"""),"103942*Gi")</f>
        <v>103942*Gi</v>
      </c>
      <c r="AR478" s="6" t="str">
        <f>IFERROR(__xludf.DUMMYFUNCTION("""COMPUTED_VALUE"""),"Nestor")</f>
        <v>Nestor</v>
      </c>
      <c r="AS478" s="6" t="str">
        <f>IFERROR(__xludf.DUMMYFUNCTION("""COMPUTED_VALUE"""),"Raul")</f>
        <v>Raul</v>
      </c>
      <c r="AT478" s="6" t="str">
        <f>IFERROR(__xludf.DUMMYFUNCTION("""COMPUTED_VALUE"""),"Botache Trujillo")</f>
        <v>Botache Trujillo</v>
      </c>
      <c r="AU478" s="6" t="str">
        <f>IFERROR(__xludf.DUMMYFUNCTION("""COMPUTED_VALUE"""),"nbotache@gmail.com")</f>
        <v>nbotache@gmail.com</v>
      </c>
      <c r="AV478" s="6" t="str">
        <f>IFERROR(__xludf.DUMMYFUNCTION("""COMPUTED_VALUE"""),"Psicopedagogo")</f>
        <v>Psicopedagogo</v>
      </c>
      <c r="AW478" s="6" t="str">
        <f>IFERROR(__xludf.DUMMYFUNCTION("""COMPUTED_VALUE"""),"SEM Armenia")</f>
        <v>SEM Armenia</v>
      </c>
      <c r="AX478" s="12" t="str">
        <f>IFERROR(__xludf.DUMMYFUNCTION("""COMPUTED_VALUE"""),"79734448")</f>
        <v>79734448</v>
      </c>
      <c r="AY478" s="12" t="str">
        <f>IFERROR(__xludf.DUMMYFUNCTION("""COMPUTED_VALUE"""),"3178030597")</f>
        <v>3178030597</v>
      </c>
      <c r="AZ478" s="6" t="str">
        <f>IFERROR(__xludf.DUMMYFUNCTION("""COMPUTED_VALUE"""),"Padre")</f>
        <v>Padre</v>
      </c>
      <c r="BA478" s="6"/>
      <c r="BB478" s="6"/>
      <c r="BC478" s="6"/>
      <c r="BD478" s="12" t="str">
        <f>IFERROR(__xludf.DUMMYFUNCTION("""COMPUTED_VALUE"""),"bot0019")</f>
        <v>bot0019</v>
      </c>
      <c r="BE478" s="6"/>
      <c r="BF478" s="6"/>
      <c r="BG478" s="6">
        <f>IFERROR(__xludf.DUMMYFUNCTION("""COMPUTED_VALUE"""),2033.0)</f>
        <v>2033</v>
      </c>
      <c r="BH478" s="15">
        <f>IFERROR(__xludf.DUMMYFUNCTION("""COMPUTED_VALUE"""),46205.375243055554)</f>
        <v>46205.37524</v>
      </c>
      <c r="BI478" s="6">
        <f>IFERROR(__xludf.DUMMYFUNCTION("""COMPUTED_VALUE"""),478.0)</f>
        <v>478</v>
      </c>
      <c r="BJ478" s="6"/>
      <c r="BK478" s="6"/>
      <c r="BL478" s="6" t="str">
        <f>IFERROR(__xludf.DUMMYFUNCTION("""COMPUTED_VALUE"""),"GISBOT0019")</f>
        <v>GISBOT0019</v>
      </c>
      <c r="BM478" s="6"/>
      <c r="BN478" s="6"/>
      <c r="BO478" s="6" t="str">
        <f>IFERROR(__xludf.DUMMYFUNCTION("""COMPUTED_VALUE"""),"XC_MS_Voleibol_F")</f>
        <v>XC_MS_Voleibol_F</v>
      </c>
      <c r="BP478" s="6"/>
      <c r="BQ478" s="6" t="str">
        <f>IFERROR(__xludf.DUMMYFUNCTION("""COMPUTED_VALUE"""),"XC_MS_Voleibol_F")</f>
        <v>XC_MS_Voleibol_F</v>
      </c>
      <c r="BR478" s="6" t="str">
        <f>IFERROR(__xludf.DUMMYFUNCTION("""COMPUTED_VALUE"""),"XC_MS_Voleibol_F")</f>
        <v>XC_MS_Voleibol_F</v>
      </c>
      <c r="BS478" s="6"/>
      <c r="BT478" s="6" t="str">
        <f>IFERROR(__xludf.DUMMYFUNCTION("""COMPUTED_VALUE"""),"XC_MS_Voleibol_F")</f>
        <v>XC_MS_Voleibol_F</v>
      </c>
      <c r="BU478" s="6" t="str">
        <f>IFERROR(__xludf.DUMMYFUNCTION("""COMPUTED_VALUE"""),"SI")</f>
        <v>SI</v>
      </c>
      <c r="BV478" s="6" t="str">
        <f>IFERROR(__xludf.DUMMYFUNCTION("""COMPUTED_VALUE"""),"alicia.b2033")</f>
        <v>alicia.b2033</v>
      </c>
      <c r="BW478" s="6"/>
      <c r="BX478" s="6"/>
      <c r="BY478" s="6"/>
      <c r="BZ478" s="6"/>
    </row>
    <row r="479">
      <c r="A479" s="12">
        <f>IFERROR(__xludf.DUMMYFUNCTION("""COMPUTED_VALUE"""),1.030101855E9)</f>
        <v>1030101855</v>
      </c>
      <c r="B479" s="6">
        <f>IFERROR(__xludf.DUMMYFUNCTION("""COMPUTED_VALUE"""),7.0)</f>
        <v>7</v>
      </c>
      <c r="C479" s="6" t="str">
        <f>IFERROR(__xludf.DUMMYFUNCTION("""COMPUTED_VALUE"""),"María")</f>
        <v>María</v>
      </c>
      <c r="D479" s="6" t="str">
        <f>IFERROR(__xludf.DUMMYFUNCTION("""COMPUTED_VALUE"""),"Del Mar")</f>
        <v>Del Mar</v>
      </c>
      <c r="E479" s="6" t="str">
        <f>IFERROR(__xludf.DUMMYFUNCTION("""COMPUTED_VALUE"""),"Cabrera Londoño")</f>
        <v>Cabrera Londoño</v>
      </c>
      <c r="F479" s="6" t="str">
        <f>IFERROR(__xludf.DUMMYFUNCTION("""COMPUTED_VALUE"""),"Parque  Residencial La Grecia Casa  44-45 - Calle 45 Variante Nte No 30 - 120")</f>
        <v>Parque  Residencial La Grecia Casa  44-45 - Calle 45 Variante Nte No 30 - 120</v>
      </c>
      <c r="G479" s="12" t="str">
        <f>IFERROR(__xludf.DUMMYFUNCTION("""COMPUTED_VALUE"""),"2015")</f>
        <v>2015</v>
      </c>
      <c r="H479" s="6" t="str">
        <f>IFERROR(__xludf.DUMMYFUNCTION("""COMPUTED_VALUE"""),"Septiembre")</f>
        <v>Septiembre</v>
      </c>
      <c r="I479" s="12" t="str">
        <f>IFERROR(__xludf.DUMMYFUNCTION("""COMPUTED_VALUE"""),"21")</f>
        <v>21</v>
      </c>
      <c r="J479" s="6" t="str">
        <f>IFERROR(__xludf.DUMMYFUNCTION("""COMPUTED_VALUE"""),"Armenia")</f>
        <v>Armenia</v>
      </c>
      <c r="K479" s="6" t="str">
        <f>IFERROR(__xludf.DUMMYFUNCTION("""COMPUTED_VALUE"""),"mariadm.c2033@gi.edu.co")</f>
        <v>mariadm.c2033@gi.edu.co</v>
      </c>
      <c r="L479" s="6" t="str">
        <f>IFERROR(__xludf.DUMMYFUNCTION("""COMPUTED_VALUE"""),"RC")</f>
        <v>RC</v>
      </c>
      <c r="M479" s="6" t="str">
        <f>IFERROR(__xludf.DUMMYFUNCTION("""COMPUTED_VALUE"""),"Armenia")</f>
        <v>Armenia</v>
      </c>
      <c r="N479" s="6" t="str">
        <f>IFERROR(__xludf.DUMMYFUNCTION("""COMPUTED_VALUE"""),"F")</f>
        <v>F</v>
      </c>
      <c r="O479" s="6" t="str">
        <f>IFERROR(__xludf.DUMMYFUNCTION("""COMPUTED_VALUE"""),"ACTIVE")</f>
        <v>ACTIVE</v>
      </c>
      <c r="P479" s="6"/>
      <c r="Q479" s="6" t="str">
        <f>IFERROR(__xludf.DUMMYFUNCTION("""COMPUTED_VALUE"""),"Calarcá")</f>
        <v>Calarcá</v>
      </c>
      <c r="R479" s="12" t="str">
        <f>IFERROR(__xludf.DUMMYFUNCTION("""COMPUTED_VALUE"""),"Gibsg45*")</f>
        <v>Gibsg45*</v>
      </c>
      <c r="S479" s="6" t="str">
        <f>IFERROR(__xludf.DUMMYFUNCTION("""COMPUTED_VALUE"""),"Cabrera Londoño María Del Mar")</f>
        <v>Cabrera Londoño María Del Mar</v>
      </c>
      <c r="T479" s="6" t="str">
        <f>IFERROR(__xludf.DUMMYFUNCTION("""COMPUTED_VALUE"""),"SEBASTIAN CABRERA NIÑO")</f>
        <v>SEBASTIAN CABRERA NIÑO</v>
      </c>
      <c r="U479" s="12" t="str">
        <f>IFERROR(__xludf.DUMMYFUNCTION("""COMPUTED_VALUE"""),"93236303")</f>
        <v>93236303</v>
      </c>
      <c r="V479" s="6">
        <f>IFERROR(__xludf.DUMMYFUNCTION("""COMPUTED_VALUE"""),3.213332133E9)</f>
        <v>3213332133</v>
      </c>
      <c r="W479" s="6" t="str">
        <f>IFERROR(__xludf.DUMMYFUNCTION("""COMPUTED_VALUE"""),"sebastiancabreranino@gmail.com")</f>
        <v>sebastiancabreranino@gmail.com</v>
      </c>
      <c r="X479" s="12" t="str">
        <f>IFERROR(__xludf.DUMMYFUNCTION("""COMPUTED_VALUE"""),"B+")</f>
        <v>B+</v>
      </c>
      <c r="Y479" s="12" t="str">
        <f>IFERROR(__xludf.DUMMYFUNCTION("""COMPUTED_VALUE"""),"6")</f>
        <v>6</v>
      </c>
      <c r="Z479" s="12">
        <f>IFERROR(__xludf.DUMMYFUNCTION("""COMPUTED_VALUE"""),103683.0)</f>
        <v>103683</v>
      </c>
      <c r="AA479" s="6" t="str">
        <f>IFERROR(__xludf.DUMMYFUNCTION("""COMPUTED_VALUE"""),"SURA")</f>
        <v>SURA</v>
      </c>
      <c r="AB479" s="6" t="str">
        <f>IFERROR(__xludf.DUMMYFUNCTION("""COMPUTED_VALUE"""),"EMI")</f>
        <v>EMI</v>
      </c>
      <c r="AC479" s="12" t="str">
        <f>IFERROR(__xludf.DUMMYFUNCTION("""COMPUTED_VALUE"""),"A PICADURAS EN LA PIEL")</f>
        <v>A PICADURAS EN LA PIEL</v>
      </c>
      <c r="AD479" s="12" t="str">
        <f>IFERROR(__xludf.DUMMYFUNCTION("""COMPUTED_VALUE"""),"6B")</f>
        <v>6B</v>
      </c>
      <c r="AE479" s="12">
        <f>IFERROR(__xludf.DUMMYFUNCTION("""COMPUTED_VALUE"""),1.345281781E9)</f>
        <v>1345281781</v>
      </c>
      <c r="AF479" s="12" t="str">
        <f>IFERROR(__xludf.DUMMYFUNCTION("""COMPUTED_VALUE"""),"0692158355")</f>
        <v>0692158355</v>
      </c>
      <c r="AG479" s="12" t="str">
        <f>IFERROR(__xludf.DUMMYFUNCTION("""COMPUTED_VALUE"""),"Laura")</f>
        <v>Laura</v>
      </c>
      <c r="AH479" s="12" t="str">
        <f>IFERROR(__xludf.DUMMYFUNCTION("""COMPUTED_VALUE"""),"María")</f>
        <v>María</v>
      </c>
      <c r="AI479" s="6" t="str">
        <f>IFERROR(__xludf.DUMMYFUNCTION("""COMPUTED_VALUE"""),"Londoño Arango")</f>
        <v>Londoño Arango</v>
      </c>
      <c r="AJ479" s="6" t="str">
        <f>IFERROR(__xludf.DUMMYFUNCTION("""COMPUTED_VALUE"""),"lauris0525@hotmail.com")</f>
        <v>lauris0525@hotmail.com</v>
      </c>
      <c r="AK479" s="6" t="str">
        <f>IFERROR(__xludf.DUMMYFUNCTION("""COMPUTED_VALUE"""),"DISEÑADORA DE INTERIORES")</f>
        <v>DISEÑADORA DE INTERIORES</v>
      </c>
      <c r="AL479" s="6" t="str">
        <f>IFERROR(__xludf.DUMMYFUNCTION("""COMPUTED_VALUE"""),"DEL CAMPO JCL SAS")</f>
        <v>DEL CAMPO JCL SAS</v>
      </c>
      <c r="AM479" s="12" t="str">
        <f>IFERROR(__xludf.DUMMYFUNCTION("""COMPUTED_VALUE"""),"41953011")</f>
        <v>41953011</v>
      </c>
      <c r="AN479" s="12" t="str">
        <f>IFERROR(__xludf.DUMMYFUNCTION("""COMPUTED_VALUE"""),"3168337890")</f>
        <v>3168337890</v>
      </c>
      <c r="AO479" s="6" t="str">
        <f>IFERROR(__xludf.DUMMYFUNCTION("""COMPUTED_VALUE"""),"Madre")</f>
        <v>Madre</v>
      </c>
      <c r="AP479" s="6" t="str">
        <f>IFERROR(__xludf.DUMMYFUNCTION("""COMPUTED_VALUE"""),"Estudiante(s): Cabrera Londoño")</f>
        <v>Estudiante(s): Cabrera Londoño</v>
      </c>
      <c r="AQ479" s="6" t="str">
        <f>IFERROR(__xludf.DUMMYFUNCTION("""COMPUTED_VALUE"""),"103683*Gi")</f>
        <v>103683*Gi</v>
      </c>
      <c r="AR479" s="6" t="str">
        <f>IFERROR(__xludf.DUMMYFUNCTION("""COMPUTED_VALUE"""),"Sebastian")</f>
        <v>Sebastian</v>
      </c>
      <c r="AS479" s="6"/>
      <c r="AT479" s="6" t="str">
        <f>IFERROR(__xludf.DUMMYFUNCTION("""COMPUTED_VALUE"""),"Cabrera Niño")</f>
        <v>Cabrera Niño</v>
      </c>
      <c r="AU479" s="6" t="str">
        <f>IFERROR(__xludf.DUMMYFUNCTION("""COMPUTED_VALUE"""),"sebastiancabreranino@gmail.com")</f>
        <v>sebastiancabreranino@gmail.com</v>
      </c>
      <c r="AV479" s="6" t="str">
        <f>IFERROR(__xludf.DUMMYFUNCTION("""COMPUTED_VALUE"""),"ADMINISTRADOR DE EMPRESAS")</f>
        <v>ADMINISTRADOR DE EMPRESAS</v>
      </c>
      <c r="AW479" s="6" t="str">
        <f>IFERROR(__xludf.DUMMYFUNCTION("""COMPUTED_VALUE"""),"NIÑO SANCHEZ HERMANOS SAS")</f>
        <v>NIÑO SANCHEZ HERMANOS SAS</v>
      </c>
      <c r="AX479" s="12" t="str">
        <f>IFERROR(__xludf.DUMMYFUNCTION("""COMPUTED_VALUE"""),"93236303")</f>
        <v>93236303</v>
      </c>
      <c r="AY479" s="12" t="str">
        <f>IFERROR(__xludf.DUMMYFUNCTION("""COMPUTED_VALUE"""),"3213332133")</f>
        <v>3213332133</v>
      </c>
      <c r="AZ479" s="6" t="str">
        <f>IFERROR(__xludf.DUMMYFUNCTION("""COMPUTED_VALUE"""),"Padre")</f>
        <v>Padre</v>
      </c>
      <c r="BA479" s="6" t="str">
        <f>IFERROR(__xludf.DUMMYFUNCTION("""COMPUTED_VALUE"""),"ANA MARIA ARANGO")</f>
        <v>ANA MARIA ARANGO</v>
      </c>
      <c r="BB479" s="6">
        <f>IFERROR(__xludf.DUMMYFUNCTION("""COMPUTED_VALUE"""),3.167413382E9)</f>
        <v>3167413382</v>
      </c>
      <c r="BC479" s="6" t="str">
        <f>IFERROR(__xludf.DUMMYFUNCTION("""COMPUTED_VALUE"""),"Abuelo(a)")</f>
        <v>Abuelo(a)</v>
      </c>
      <c r="BD479" s="12" t="str">
        <f>IFERROR(__xludf.DUMMYFUNCTION("""COMPUTED_VALUE"""),"cab0001")</f>
        <v>cab0001</v>
      </c>
      <c r="BE479" s="6"/>
      <c r="BF479" s="6"/>
      <c r="BG479" s="6">
        <f>IFERROR(__xludf.DUMMYFUNCTION("""COMPUTED_VALUE"""),2033.0)</f>
        <v>2033</v>
      </c>
      <c r="BH479" s="15">
        <f>IFERROR(__xludf.DUMMYFUNCTION("""COMPUTED_VALUE"""),46213.39119212963)</f>
        <v>46213.39119</v>
      </c>
      <c r="BI479" s="6">
        <f>IFERROR(__xludf.DUMMYFUNCTION("""COMPUTED_VALUE"""),479.0)</f>
        <v>479</v>
      </c>
      <c r="BJ479" s="6"/>
      <c r="BK479" s="6"/>
      <c r="BL479" s="6" t="str">
        <f>IFERROR(__xludf.DUMMYFUNCTION("""COMPUTED_VALUE"""),"GISCAB0001")</f>
        <v>GISCAB0001</v>
      </c>
      <c r="BM479" s="6"/>
      <c r="BN479" s="6"/>
      <c r="BO479" s="6"/>
      <c r="BP479" s="6"/>
      <c r="BQ479" s="6"/>
      <c r="BR479" s="6"/>
      <c r="BS479" s="6"/>
      <c r="BT479" s="6"/>
      <c r="BU479" s="6" t="str">
        <f>IFERROR(__xludf.DUMMYFUNCTION("""COMPUTED_VALUE"""),"SI")</f>
        <v>SI</v>
      </c>
      <c r="BV479" s="6" t="str">
        <f>IFERROR(__xludf.DUMMYFUNCTION("""COMPUTED_VALUE"""),"mariadm.c2033")</f>
        <v>mariadm.c2033</v>
      </c>
      <c r="BW479" s="6"/>
      <c r="BX479" s="6"/>
      <c r="BY479" s="6"/>
      <c r="BZ479" s="6"/>
    </row>
    <row r="480">
      <c r="A480" s="12">
        <f>IFERROR(__xludf.DUMMYFUNCTION("""COMPUTED_VALUE"""),1.109931197E9)</f>
        <v>1109931197</v>
      </c>
      <c r="B480" s="6">
        <f>IFERROR(__xludf.DUMMYFUNCTION("""COMPUTED_VALUE"""),8.0)</f>
        <v>8</v>
      </c>
      <c r="C480" s="6" t="str">
        <f>IFERROR(__xludf.DUMMYFUNCTION("""COMPUTED_VALUE"""),"David")</f>
        <v>David</v>
      </c>
      <c r="D480" s="6"/>
      <c r="E480" s="6" t="str">
        <f>IFERROR(__xludf.DUMMYFUNCTION("""COMPUTED_VALUE"""),"Camacho Loaiza")</f>
        <v>Camacho Loaiza</v>
      </c>
      <c r="F480" s="6" t="str">
        <f>IFERROR(__xludf.DUMMYFUNCTION("""COMPUTED_VALUE"""),"Condominio Campestre Reserva del Bosque Casa 23 - Km 3 Via Armenia - Pereira")</f>
        <v>Condominio Campestre Reserva del Bosque Casa 23 - Km 3 Via Armenia - Pereira</v>
      </c>
      <c r="G480" s="12" t="str">
        <f>IFERROR(__xludf.DUMMYFUNCTION("""COMPUTED_VALUE"""),"2014")</f>
        <v>2014</v>
      </c>
      <c r="H480" s="6" t="str">
        <f>IFERROR(__xludf.DUMMYFUNCTION("""COMPUTED_VALUE"""),"Noviembre")</f>
        <v>Noviembre</v>
      </c>
      <c r="I480" s="12" t="str">
        <f>IFERROR(__xludf.DUMMYFUNCTION("""COMPUTED_VALUE"""),"17")</f>
        <v>17</v>
      </c>
      <c r="J480" s="6" t="str">
        <f>IFERROR(__xludf.DUMMYFUNCTION("""COMPUTED_VALUE"""),"Cali")</f>
        <v>Cali</v>
      </c>
      <c r="K480" s="6" t="str">
        <f>IFERROR(__xludf.DUMMYFUNCTION("""COMPUTED_VALUE"""),"david.c2033@gi.edu.co")</f>
        <v>david.c2033@gi.edu.co</v>
      </c>
      <c r="L480" s="6" t="str">
        <f>IFERROR(__xludf.DUMMYFUNCTION("""COMPUTED_VALUE"""),"TI")</f>
        <v>TI</v>
      </c>
      <c r="M480" s="6" t="str">
        <f>IFERROR(__xludf.DUMMYFUNCTION("""COMPUTED_VALUE"""),"Armenia")</f>
        <v>Armenia</v>
      </c>
      <c r="N480" s="6" t="str">
        <f>IFERROR(__xludf.DUMMYFUNCTION("""COMPUTED_VALUE"""),"M")</f>
        <v>M</v>
      </c>
      <c r="O480" s="6" t="str">
        <f>IFERROR(__xludf.DUMMYFUNCTION("""COMPUTED_VALUE"""),"ACTIVE")</f>
        <v>ACTIVE</v>
      </c>
      <c r="P480" s="6"/>
      <c r="Q480" s="6" t="str">
        <f>IFERROR(__xludf.DUMMYFUNCTION("""COMPUTED_VALUE"""),"Armenia")</f>
        <v>Armenia</v>
      </c>
      <c r="R480" s="12" t="str">
        <f>IFERROR(__xludf.DUMMYFUNCTION("""COMPUTED_VALUE"""),"Gi4fjd32dj*")</f>
        <v>Gi4fjd32dj*</v>
      </c>
      <c r="S480" s="6" t="str">
        <f>IFERROR(__xludf.DUMMYFUNCTION("""COMPUTED_VALUE"""),"Camacho Loaiza David ")</f>
        <v>Camacho Loaiza David </v>
      </c>
      <c r="T480" s="6" t="str">
        <f>IFERROR(__xludf.DUMMYFUNCTION("""COMPUTED_VALUE"""),"MAURICIO JOSE CAMACHO RAMIREZ")</f>
        <v>MAURICIO JOSE CAMACHO RAMIREZ</v>
      </c>
      <c r="U480" s="12" t="str">
        <f>IFERROR(__xludf.DUMMYFUNCTION("""COMPUTED_VALUE"""),"94515710")</f>
        <v>94515710</v>
      </c>
      <c r="V480" s="6">
        <f>IFERROR(__xludf.DUMMYFUNCTION("""COMPUTED_VALUE"""),3.148144885E9)</f>
        <v>3148144885</v>
      </c>
      <c r="W480" s="6" t="str">
        <f>IFERROR(__xludf.DUMMYFUNCTION("""COMPUTED_VALUE"""),"mauriciocamacho@hotmail.com")</f>
        <v>mauriciocamacho@hotmail.com</v>
      </c>
      <c r="X480" s="12" t="str">
        <f>IFERROR(__xludf.DUMMYFUNCTION("""COMPUTED_VALUE"""),"O+")</f>
        <v>O+</v>
      </c>
      <c r="Y480" s="12" t="str">
        <f>IFERROR(__xludf.DUMMYFUNCTION("""COMPUTED_VALUE"""),"6")</f>
        <v>6</v>
      </c>
      <c r="Z480" s="12">
        <f>IFERROR(__xludf.DUMMYFUNCTION("""COMPUTED_VALUE"""),120042.0)</f>
        <v>120042</v>
      </c>
      <c r="AA480" s="6" t="str">
        <f>IFERROR(__xludf.DUMMYFUNCTION("""COMPUTED_VALUE"""),"SANITAS")</f>
        <v>SANITAS</v>
      </c>
      <c r="AB480" s="6"/>
      <c r="AC480" s="6"/>
      <c r="AD480" s="12" t="str">
        <f>IFERROR(__xludf.DUMMYFUNCTION("""COMPUTED_VALUE"""),"6B")</f>
        <v>6B</v>
      </c>
      <c r="AE480" s="12">
        <f>IFERROR(__xludf.DUMMYFUNCTION("""COMPUTED_VALUE"""),1.345282053E9)</f>
        <v>1345282053</v>
      </c>
      <c r="AF480" s="12" t="str">
        <f>IFERROR(__xludf.DUMMYFUNCTION("""COMPUTED_VALUE"""),"0651858835")</f>
        <v>0651858835</v>
      </c>
      <c r="AG480" s="12" t="str">
        <f>IFERROR(__xludf.DUMMYFUNCTION("""COMPUTED_VALUE"""),"Diana")</f>
        <v>Diana</v>
      </c>
      <c r="AH480" s="12" t="str">
        <f>IFERROR(__xludf.DUMMYFUNCTION("""COMPUTED_VALUE"""),"Marcela")</f>
        <v>Marcela</v>
      </c>
      <c r="AI480" s="6" t="str">
        <f>IFERROR(__xludf.DUMMYFUNCTION("""COMPUTED_VALUE"""),"Loaiza Valderrama")</f>
        <v>Loaiza Valderrama</v>
      </c>
      <c r="AJ480" s="6" t="str">
        <f>IFERROR(__xludf.DUMMYFUNCTION("""COMPUTED_VALUE"""),"marketing@hotelsalentoreal.com")</f>
        <v>marketing@hotelsalentoreal.com</v>
      </c>
      <c r="AK480" s="6" t="str">
        <f>IFERROR(__xludf.DUMMYFUNCTION("""COMPUTED_VALUE"""),"Administrador")</f>
        <v>Administrador</v>
      </c>
      <c r="AL480" s="6" t="str">
        <f>IFERROR(__xludf.DUMMYFUNCTION("""COMPUTED_VALUE"""),"Hotel Salento Real")</f>
        <v>Hotel Salento Real</v>
      </c>
      <c r="AM480" s="12" t="str">
        <f>IFERROR(__xludf.DUMMYFUNCTION("""COMPUTED_VALUE"""),"31588315")</f>
        <v>31588315</v>
      </c>
      <c r="AN480" s="12" t="str">
        <f>IFERROR(__xludf.DUMMYFUNCTION("""COMPUTED_VALUE"""),"3187265673")</f>
        <v>3187265673</v>
      </c>
      <c r="AO480" s="6" t="str">
        <f>IFERROR(__xludf.DUMMYFUNCTION("""COMPUTED_VALUE"""),"Madre")</f>
        <v>Madre</v>
      </c>
      <c r="AP480" s="6" t="str">
        <f>IFERROR(__xludf.DUMMYFUNCTION("""COMPUTED_VALUE"""),"Estudiante(s): Camacho Loaiza")</f>
        <v>Estudiante(s): Camacho Loaiza</v>
      </c>
      <c r="AQ480" s="6" t="str">
        <f>IFERROR(__xludf.DUMMYFUNCTION("""COMPUTED_VALUE"""),"120042*Gi")</f>
        <v>120042*Gi</v>
      </c>
      <c r="AR480" s="6" t="str">
        <f>IFERROR(__xludf.DUMMYFUNCTION("""COMPUTED_VALUE"""),"Mauricio")</f>
        <v>Mauricio</v>
      </c>
      <c r="AS480" s="6" t="str">
        <f>IFERROR(__xludf.DUMMYFUNCTION("""COMPUTED_VALUE"""),"José")</f>
        <v>José</v>
      </c>
      <c r="AT480" s="6" t="str">
        <f>IFERROR(__xludf.DUMMYFUNCTION("""COMPUTED_VALUE"""),"Camacho Ramírez")</f>
        <v>Camacho Ramírez</v>
      </c>
      <c r="AU480" s="6" t="str">
        <f>IFERROR(__xludf.DUMMYFUNCTION("""COMPUTED_VALUE"""),"mauriciocamacho@hotmail.com")</f>
        <v>mauriciocamacho@hotmail.com</v>
      </c>
      <c r="AV480" s="6" t="str">
        <f>IFERROR(__xludf.DUMMYFUNCTION("""COMPUTED_VALUE"""),"Administrador")</f>
        <v>Administrador</v>
      </c>
      <c r="AW480" s="6" t="str">
        <f>IFERROR(__xludf.DUMMYFUNCTION("""COMPUTED_VALUE"""),"Hotel Salento Real")</f>
        <v>Hotel Salento Real</v>
      </c>
      <c r="AX480" s="12" t="str">
        <f>IFERROR(__xludf.DUMMYFUNCTION("""COMPUTED_VALUE"""),"94515710")</f>
        <v>94515710</v>
      </c>
      <c r="AY480" s="12" t="str">
        <f>IFERROR(__xludf.DUMMYFUNCTION("""COMPUTED_VALUE"""),"3148144885")</f>
        <v>3148144885</v>
      </c>
      <c r="AZ480" s="6" t="str">
        <f>IFERROR(__xludf.DUMMYFUNCTION("""COMPUTED_VALUE"""),"Padre")</f>
        <v>Padre</v>
      </c>
      <c r="BA480" s="6"/>
      <c r="BB480" s="6"/>
      <c r="BC480" s="6"/>
      <c r="BD480" s="12" t="str">
        <f>IFERROR(__xludf.DUMMYFUNCTION("""COMPUTED_VALUE"""),"cam0001")</f>
        <v>cam0001</v>
      </c>
      <c r="BE480" s="6" t="str">
        <f>IFERROR(__xludf.DUMMYFUNCTION("""COMPUTED_VALUE"""),"PÓLIZA")</f>
        <v>PÓLIZA</v>
      </c>
      <c r="BF480" s="12" t="str">
        <f>IFERROR(__xludf.DUMMYFUNCTION("""COMPUTED_VALUE"""),"PÓLIZA")</f>
        <v>PÓLIZA</v>
      </c>
      <c r="BG480" s="6">
        <f>IFERROR(__xludf.DUMMYFUNCTION("""COMPUTED_VALUE"""),2033.0)</f>
        <v>2033</v>
      </c>
      <c r="BH480" s="15">
        <f>IFERROR(__xludf.DUMMYFUNCTION("""COMPUTED_VALUE"""),46210.58770833333)</f>
        <v>46210.58771</v>
      </c>
      <c r="BI480" s="6">
        <f>IFERROR(__xludf.DUMMYFUNCTION("""COMPUTED_VALUE"""),480.0)</f>
        <v>480</v>
      </c>
      <c r="BJ480" s="6"/>
      <c r="BK480" s="6"/>
      <c r="BL480" s="6" t="str">
        <f>IFERROR(__xludf.DUMMYFUNCTION("""COMPUTED_VALUE"""),"GISCAM0001")</f>
        <v>GISCAM0001</v>
      </c>
      <c r="BM480" s="6"/>
      <c r="BN480" s="6"/>
      <c r="BO480" s="6" t="str">
        <f>IFERROR(__xludf.DUMMYFUNCTION("""COMPUTED_VALUE"""),"XC_MS_Futbol_M")</f>
        <v>XC_MS_Futbol_M</v>
      </c>
      <c r="BP480" s="6"/>
      <c r="BQ480" s="6" t="str">
        <f>IFERROR(__xludf.DUMMYFUNCTION("""COMPUTED_VALUE"""),"XC_MS_Futbol_M")</f>
        <v>XC_MS_Futbol_M</v>
      </c>
      <c r="BR480" s="6" t="str">
        <f>IFERROR(__xludf.DUMMYFUNCTION("""COMPUTED_VALUE"""),"XC_MS_Futbol_M")</f>
        <v>XC_MS_Futbol_M</v>
      </c>
      <c r="BS480" s="6"/>
      <c r="BT480" s="6" t="str">
        <f>IFERROR(__xludf.DUMMYFUNCTION("""COMPUTED_VALUE"""),"XC_MS_Futbol_M")</f>
        <v>XC_MS_Futbol_M</v>
      </c>
      <c r="BU480" s="6" t="str">
        <f>IFERROR(__xludf.DUMMYFUNCTION("""COMPUTED_VALUE"""),"SI")</f>
        <v>SI</v>
      </c>
      <c r="BV480" s="6" t="str">
        <f>IFERROR(__xludf.DUMMYFUNCTION("""COMPUTED_VALUE"""),"david.c2033")</f>
        <v>david.c2033</v>
      </c>
      <c r="BW480" s="6"/>
      <c r="BX480" s="6"/>
      <c r="BY480" s="6"/>
      <c r="BZ480" s="6"/>
    </row>
    <row r="481">
      <c r="A481" s="12">
        <f>IFERROR(__xludf.DUMMYFUNCTION("""COMPUTED_VALUE"""),1.092858491E9)</f>
        <v>1092858491</v>
      </c>
      <c r="B481" s="6">
        <f>IFERROR(__xludf.DUMMYFUNCTION("""COMPUTED_VALUE"""),9.0)</f>
        <v>9</v>
      </c>
      <c r="C481" s="6" t="str">
        <f>IFERROR(__xludf.DUMMYFUNCTION("""COMPUTED_VALUE"""),"Aurora")</f>
        <v>Aurora</v>
      </c>
      <c r="D481" s="6"/>
      <c r="E481" s="6" t="str">
        <f>IFERROR(__xludf.DUMMYFUNCTION("""COMPUTED_VALUE"""),"Cardozo Toro")</f>
        <v>Cardozo Toro</v>
      </c>
      <c r="F481" s="6" t="str">
        <f>IFERROR(__xludf.DUMMYFUNCTION("""COMPUTED_VALUE"""),"Cra 13A No1ANte - 47 - Parque Fundadores")</f>
        <v>Cra 13A No1ANte - 47 - Parque Fundadores</v>
      </c>
      <c r="G481" s="12" t="str">
        <f>IFERROR(__xludf.DUMMYFUNCTION("""COMPUTED_VALUE"""),"2015")</f>
        <v>2015</v>
      </c>
      <c r="H481" s="6" t="str">
        <f>IFERROR(__xludf.DUMMYFUNCTION("""COMPUTED_VALUE"""),"Febrero")</f>
        <v>Febrero</v>
      </c>
      <c r="I481" s="12" t="str">
        <f>IFERROR(__xludf.DUMMYFUNCTION("""COMPUTED_VALUE"""),"14")</f>
        <v>14</v>
      </c>
      <c r="J481" s="6" t="str">
        <f>IFERROR(__xludf.DUMMYFUNCTION("""COMPUTED_VALUE"""),"Armenia")</f>
        <v>Armenia</v>
      </c>
      <c r="K481" s="6" t="str">
        <f>IFERROR(__xludf.DUMMYFUNCTION("""COMPUTED_VALUE"""),"aurora.c2033@gi.edu.co")</f>
        <v>aurora.c2033@gi.edu.co</v>
      </c>
      <c r="L481" s="6" t="str">
        <f>IFERROR(__xludf.DUMMYFUNCTION("""COMPUTED_VALUE"""),"TI")</f>
        <v>TI</v>
      </c>
      <c r="M481" s="6" t="str">
        <f>IFERROR(__xludf.DUMMYFUNCTION("""COMPUTED_VALUE"""),"Armenia")</f>
        <v>Armenia</v>
      </c>
      <c r="N481" s="6" t="str">
        <f>IFERROR(__xludf.DUMMYFUNCTION("""COMPUTED_VALUE"""),"F")</f>
        <v>F</v>
      </c>
      <c r="O481" s="6" t="str">
        <f>IFERROR(__xludf.DUMMYFUNCTION("""COMPUTED_VALUE"""),"ACTIVE")</f>
        <v>ACTIVE</v>
      </c>
      <c r="P481" s="6"/>
      <c r="Q481" s="6" t="str">
        <f>IFERROR(__xludf.DUMMYFUNCTION("""COMPUTED_VALUE"""),"Armenia")</f>
        <v>Armenia</v>
      </c>
      <c r="R481" s="12" t="str">
        <f>IFERROR(__xludf.DUMMYFUNCTION("""COMPUTED_VALUE"""),"Gi7b6vde4x*")</f>
        <v>Gi7b6vde4x*</v>
      </c>
      <c r="S481" s="6" t="str">
        <f>IFERROR(__xludf.DUMMYFUNCTION("""COMPUTED_VALUE"""),"Cardozo Toro Aurora ")</f>
        <v>Cardozo Toro Aurora </v>
      </c>
      <c r="T481" s="6" t="str">
        <f>IFERROR(__xludf.DUMMYFUNCTION("""COMPUTED_VALUE"""),"JULIANA ELVIRA TORO TIRADO")</f>
        <v>JULIANA ELVIRA TORO TIRADO</v>
      </c>
      <c r="U481" s="12" t="str">
        <f>IFERROR(__xludf.DUMMYFUNCTION("""COMPUTED_VALUE"""),"41939449")</f>
        <v>41939449</v>
      </c>
      <c r="V481" s="6">
        <f>IFERROR(__xludf.DUMMYFUNCTION("""COMPUTED_VALUE"""),3.104555688E9)</f>
        <v>3104555688</v>
      </c>
      <c r="W481" s="6" t="str">
        <f>IFERROR(__xludf.DUMMYFUNCTION("""COMPUTED_VALUE"""),"julianatorot@hotmail.com")</f>
        <v>julianatorot@hotmail.com</v>
      </c>
      <c r="X481" s="12" t="str">
        <f>IFERROR(__xludf.DUMMYFUNCTION("""COMPUTED_VALUE"""),"O+")</f>
        <v>O+</v>
      </c>
      <c r="Y481" s="12" t="str">
        <f>IFERROR(__xludf.DUMMYFUNCTION("""COMPUTED_VALUE"""),"6")</f>
        <v>6</v>
      </c>
      <c r="Z481" s="12">
        <f>IFERROR(__xludf.DUMMYFUNCTION("""COMPUTED_VALUE"""),103611.0)</f>
        <v>103611</v>
      </c>
      <c r="AA481" s="6" t="str">
        <f>IFERROR(__xludf.DUMMYFUNCTION("""COMPUTED_VALUE"""),"SURA")</f>
        <v>SURA</v>
      </c>
      <c r="AB481" s="6" t="str">
        <f>IFERROR(__xludf.DUMMYFUNCTION("""COMPUTED_VALUE"""),"Medicina Prepagada Sura")</f>
        <v>Medicina Prepagada Sura</v>
      </c>
      <c r="AC481" s="6"/>
      <c r="AD481" s="12" t="str">
        <f>IFERROR(__xludf.DUMMYFUNCTION("""COMPUTED_VALUE"""),"6B")</f>
        <v>6B</v>
      </c>
      <c r="AE481" s="12">
        <f>IFERROR(__xludf.DUMMYFUNCTION("""COMPUTED_VALUE"""),1.345281797E9)</f>
        <v>1345281797</v>
      </c>
      <c r="AF481" s="12" t="str">
        <f>IFERROR(__xludf.DUMMYFUNCTION("""COMPUTED_VALUE"""),"0696451715")</f>
        <v>0696451715</v>
      </c>
      <c r="AG481" s="12" t="str">
        <f>IFERROR(__xludf.DUMMYFUNCTION("""COMPUTED_VALUE"""),"Juliana")</f>
        <v>Juliana</v>
      </c>
      <c r="AH481" s="12" t="str">
        <f>IFERROR(__xludf.DUMMYFUNCTION("""COMPUTED_VALUE"""),"Elvira")</f>
        <v>Elvira</v>
      </c>
      <c r="AI481" s="6" t="str">
        <f>IFERROR(__xludf.DUMMYFUNCTION("""COMPUTED_VALUE"""),"Toro Tirado")</f>
        <v>Toro Tirado</v>
      </c>
      <c r="AJ481" s="6" t="str">
        <f>IFERROR(__xludf.DUMMYFUNCTION("""COMPUTED_VALUE"""),"julianatorot@hotmail.com")</f>
        <v>julianatorot@hotmail.com</v>
      </c>
      <c r="AK481" s="6" t="str">
        <f>IFERROR(__xludf.DUMMYFUNCTION("""COMPUTED_VALUE"""),"ARQUITECTA")</f>
        <v>ARQUITECTA</v>
      </c>
      <c r="AL481" s="6"/>
      <c r="AM481" s="12" t="str">
        <f>IFERROR(__xludf.DUMMYFUNCTION("""COMPUTED_VALUE"""),"41939449")</f>
        <v>41939449</v>
      </c>
      <c r="AN481" s="12" t="str">
        <f>IFERROR(__xludf.DUMMYFUNCTION("""COMPUTED_VALUE"""),"3104555688")</f>
        <v>3104555688</v>
      </c>
      <c r="AO481" s="6" t="str">
        <f>IFERROR(__xludf.DUMMYFUNCTION("""COMPUTED_VALUE"""),"Madre")</f>
        <v>Madre</v>
      </c>
      <c r="AP481" s="6" t="str">
        <f>IFERROR(__xludf.DUMMYFUNCTION("""COMPUTED_VALUE"""),"Estudiante(s): Cardozo Toro")</f>
        <v>Estudiante(s): Cardozo Toro</v>
      </c>
      <c r="AQ481" s="6" t="str">
        <f>IFERROR(__xludf.DUMMYFUNCTION("""COMPUTED_VALUE"""),"103611*Gi")</f>
        <v>103611*Gi</v>
      </c>
      <c r="AR481" s="6" t="str">
        <f>IFERROR(__xludf.DUMMYFUNCTION("""COMPUTED_VALUE"""),"Carlos")</f>
        <v>Carlos</v>
      </c>
      <c r="AS481" s="6" t="str">
        <f>IFERROR(__xludf.DUMMYFUNCTION("""COMPUTED_VALUE"""),"Fernándo")</f>
        <v>Fernándo</v>
      </c>
      <c r="AT481" s="6" t="str">
        <f>IFERROR(__xludf.DUMMYFUNCTION("""COMPUTED_VALUE"""),"Cardozo Naranjo")</f>
        <v>Cardozo Naranjo</v>
      </c>
      <c r="AU481" s="6" t="str">
        <f>IFERROR(__xludf.DUMMYFUNCTION("""COMPUTED_VALUE"""),"carlofer25@hotmail.com")</f>
        <v>carlofer25@hotmail.com</v>
      </c>
      <c r="AV481" s="6" t="str">
        <f>IFERROR(__xludf.DUMMYFUNCTION("""COMPUTED_VALUE"""),"Administrador de Empresas")</f>
        <v>Administrador de Empresas</v>
      </c>
      <c r="AW481" s="6"/>
      <c r="AX481" s="12" t="str">
        <f>IFERROR(__xludf.DUMMYFUNCTION("""COMPUTED_VALUE"""),"89008044")</f>
        <v>89008044</v>
      </c>
      <c r="AY481" s="12" t="str">
        <f>IFERROR(__xludf.DUMMYFUNCTION("""COMPUTED_VALUE"""),"3046780793")</f>
        <v>3046780793</v>
      </c>
      <c r="AZ481" s="6" t="str">
        <f>IFERROR(__xludf.DUMMYFUNCTION("""COMPUTED_VALUE"""),"Padre")</f>
        <v>Padre</v>
      </c>
      <c r="BA481" s="6" t="str">
        <f>IFERROR(__xludf.DUMMYFUNCTION("""COMPUTED_VALUE"""),"AMPARO CECILIA TIRADO MEJÍA")</f>
        <v>AMPARO CECILIA TIRADO MEJÍA</v>
      </c>
      <c r="BB481" s="6">
        <f>IFERROR(__xludf.DUMMYFUNCTION("""COMPUTED_VALUE"""),3.117202558E9)</f>
        <v>3117202558</v>
      </c>
      <c r="BC481" s="6" t="str">
        <f>IFERROR(__xludf.DUMMYFUNCTION("""COMPUTED_VALUE"""),"Abuelo(a)")</f>
        <v>Abuelo(a)</v>
      </c>
      <c r="BD481" s="12" t="str">
        <f>IFERROR(__xludf.DUMMYFUNCTION("""COMPUTED_VALUE"""),"car0015")</f>
        <v>car0015</v>
      </c>
      <c r="BE481" s="6"/>
      <c r="BF481" s="6"/>
      <c r="BG481" s="6">
        <f>IFERROR(__xludf.DUMMYFUNCTION("""COMPUTED_VALUE"""),2033.0)</f>
        <v>2033</v>
      </c>
      <c r="BH481" s="15">
        <f>IFERROR(__xludf.DUMMYFUNCTION("""COMPUTED_VALUE"""),46204.49633101852)</f>
        <v>46204.49633</v>
      </c>
      <c r="BI481" s="6">
        <f>IFERROR(__xludf.DUMMYFUNCTION("""COMPUTED_VALUE"""),481.0)</f>
        <v>481</v>
      </c>
      <c r="BJ481" s="6"/>
      <c r="BK481" s="6"/>
      <c r="BL481" s="6" t="str">
        <f>IFERROR(__xludf.DUMMYFUNCTION("""COMPUTED_VALUE"""),"GISCAR0015")</f>
        <v>GISCAR0015</v>
      </c>
      <c r="BM481" s="6"/>
      <c r="BN481" s="6"/>
      <c r="BO481" s="6" t="str">
        <f>IFERROR(__xludf.DUMMYFUNCTION("""COMPUTED_VALUE"""),"XC_SEC_ProgRobot")</f>
        <v>XC_SEC_ProgRobot</v>
      </c>
      <c r="BP481" s="6"/>
      <c r="BQ481" s="6"/>
      <c r="BR481" s="6" t="str">
        <f>IFERROR(__xludf.DUMMYFUNCTION("""COMPUTED_VALUE"""),"XC_SEC_ArtesPlasticas")</f>
        <v>XC_SEC_ArtesPlasticas</v>
      </c>
      <c r="BS481" s="6"/>
      <c r="BT481" s="6"/>
      <c r="BU481" s="6" t="str">
        <f>IFERROR(__xludf.DUMMYFUNCTION("""COMPUTED_VALUE"""),"SI")</f>
        <v>SI</v>
      </c>
      <c r="BV481" s="6" t="str">
        <f>IFERROR(__xludf.DUMMYFUNCTION("""COMPUTED_VALUE"""),"aurora.c2033")</f>
        <v>aurora.c2033</v>
      </c>
      <c r="BW481" s="6"/>
      <c r="BX481" s="6"/>
      <c r="BY481" s="6"/>
      <c r="BZ481" s="6"/>
    </row>
    <row r="482">
      <c r="A482" s="12">
        <f>IFERROR(__xludf.DUMMYFUNCTION("""COMPUTED_VALUE"""),1.092858361E9)</f>
        <v>1092858361</v>
      </c>
      <c r="B482" s="6">
        <f>IFERROR(__xludf.DUMMYFUNCTION("""COMPUTED_VALUE"""),10.0)</f>
        <v>10</v>
      </c>
      <c r="C482" s="6" t="str">
        <f>IFERROR(__xludf.DUMMYFUNCTION("""COMPUTED_VALUE"""),"Joaquín")</f>
        <v>Joaquín</v>
      </c>
      <c r="D482" s="6"/>
      <c r="E482" s="6" t="str">
        <f>IFERROR(__xludf.DUMMYFUNCTION("""COMPUTED_VALUE"""),"Escobar Cárdenas")</f>
        <v>Escobar Cárdenas</v>
      </c>
      <c r="F482" s="6" t="str">
        <f>IFERROR(__xludf.DUMMYFUNCTION("""COMPUTED_VALUE"""),"Calle 11Nte No9-55 Conjunto Colina de la Castellana Casa 10 - La Castellana")</f>
        <v>Calle 11Nte No9-55 Conjunto Colina de la Castellana Casa 10 - La Castellana</v>
      </c>
      <c r="G482" s="12" t="str">
        <f>IFERROR(__xludf.DUMMYFUNCTION("""COMPUTED_VALUE"""),"2014")</f>
        <v>2014</v>
      </c>
      <c r="H482" s="6" t="str">
        <f>IFERROR(__xludf.DUMMYFUNCTION("""COMPUTED_VALUE"""),"Diciembre")</f>
        <v>Diciembre</v>
      </c>
      <c r="I482" s="12" t="str">
        <f>IFERROR(__xludf.DUMMYFUNCTION("""COMPUTED_VALUE"""),"27")</f>
        <v>27</v>
      </c>
      <c r="J482" s="6" t="str">
        <f>IFERROR(__xludf.DUMMYFUNCTION("""COMPUTED_VALUE"""),"Armenia")</f>
        <v>Armenia</v>
      </c>
      <c r="K482" s="6" t="str">
        <f>IFERROR(__xludf.DUMMYFUNCTION("""COMPUTED_VALUE"""),"joaquin.e2033@gi.edu.co")</f>
        <v>joaquin.e2033@gi.edu.co</v>
      </c>
      <c r="L482" s="6" t="str">
        <f>IFERROR(__xludf.DUMMYFUNCTION("""COMPUTED_VALUE"""),"TI")</f>
        <v>TI</v>
      </c>
      <c r="M482" s="6" t="str">
        <f>IFERROR(__xludf.DUMMYFUNCTION("""COMPUTED_VALUE"""),"Armenia")</f>
        <v>Armenia</v>
      </c>
      <c r="N482" s="6" t="str">
        <f>IFERROR(__xludf.DUMMYFUNCTION("""COMPUTED_VALUE"""),"M")</f>
        <v>M</v>
      </c>
      <c r="O482" s="6" t="str">
        <f>IFERROR(__xludf.DUMMYFUNCTION("""COMPUTED_VALUE"""),"ACTIVE")</f>
        <v>ACTIVE</v>
      </c>
      <c r="P482" s="6"/>
      <c r="Q482" s="6" t="str">
        <f>IFERROR(__xludf.DUMMYFUNCTION("""COMPUTED_VALUE"""),"Armenia")</f>
        <v>Armenia</v>
      </c>
      <c r="R482" s="12" t="str">
        <f>IFERROR(__xludf.DUMMYFUNCTION("""COMPUTED_VALUE"""),"Gideyts2*")</f>
        <v>Gideyts2*</v>
      </c>
      <c r="S482" s="6" t="str">
        <f>IFERROR(__xludf.DUMMYFUNCTION("""COMPUTED_VALUE"""),"Escobar Cárdenas Joaquín ")</f>
        <v>Escobar Cárdenas Joaquín </v>
      </c>
      <c r="T482" s="6" t="str">
        <f>IFERROR(__xludf.DUMMYFUNCTION("""COMPUTED_VALUE"""),"ALEJANDRA CÁRDENAS GÓMEZ")</f>
        <v>ALEJANDRA CÁRDENAS GÓMEZ</v>
      </c>
      <c r="U482" s="12" t="str">
        <f>IFERROR(__xludf.DUMMYFUNCTION("""COMPUTED_VALUE"""),"41961200")</f>
        <v>41961200</v>
      </c>
      <c r="V482" s="6">
        <f>IFERROR(__xludf.DUMMYFUNCTION("""COMPUTED_VALUE"""),3.117647867E9)</f>
        <v>3117647867</v>
      </c>
      <c r="W482" s="6" t="str">
        <f>IFERROR(__xludf.DUMMYFUNCTION("""COMPUTED_VALUE"""),"acg288@hotmail.com")</f>
        <v>acg288@hotmail.com</v>
      </c>
      <c r="X482" s="12" t="str">
        <f>IFERROR(__xludf.DUMMYFUNCTION("""COMPUTED_VALUE"""),"A-")</f>
        <v>A-</v>
      </c>
      <c r="Y482" s="12" t="str">
        <f>IFERROR(__xludf.DUMMYFUNCTION("""COMPUTED_VALUE"""),"6")</f>
        <v>6</v>
      </c>
      <c r="Z482" s="12">
        <f>IFERROR(__xludf.DUMMYFUNCTION("""COMPUTED_VALUE"""),103631.0)</f>
        <v>103631</v>
      </c>
      <c r="AA482" s="6" t="str">
        <f>IFERROR(__xludf.DUMMYFUNCTION("""COMPUTED_VALUE"""),"SURA")</f>
        <v>SURA</v>
      </c>
      <c r="AB482" s="6"/>
      <c r="AC482" s="6"/>
      <c r="AD482" s="12" t="str">
        <f>IFERROR(__xludf.DUMMYFUNCTION("""COMPUTED_VALUE"""),"6B")</f>
        <v>6B</v>
      </c>
      <c r="AE482" s="12">
        <f>IFERROR(__xludf.DUMMYFUNCTION("""COMPUTED_VALUE"""),1.34528177E9)</f>
        <v>1345281770</v>
      </c>
      <c r="AF482" s="12" t="str">
        <f>IFERROR(__xludf.DUMMYFUNCTION("""COMPUTED_VALUE"""),"0670849699")</f>
        <v>0670849699</v>
      </c>
      <c r="AG482" s="12" t="str">
        <f>IFERROR(__xludf.DUMMYFUNCTION("""COMPUTED_VALUE"""),"Alejandra")</f>
        <v>Alejandra</v>
      </c>
      <c r="AH482" s="6"/>
      <c r="AI482" s="6" t="str">
        <f>IFERROR(__xludf.DUMMYFUNCTION("""COMPUTED_VALUE"""),"Cárdenas Gómez")</f>
        <v>Cárdenas Gómez</v>
      </c>
      <c r="AJ482" s="6" t="str">
        <f>IFERROR(__xludf.DUMMYFUNCTION("""COMPUTED_VALUE"""),"acg288@hotmail.com")</f>
        <v>acg288@hotmail.com</v>
      </c>
      <c r="AK482" s="6" t="str">
        <f>IFERROR(__xludf.DUMMYFUNCTION("""COMPUTED_VALUE"""),"Comunicadora Social")</f>
        <v>Comunicadora Social</v>
      </c>
      <c r="AL482" s="6" t="str">
        <f>IFERROR(__xludf.DUMMYFUNCTION("""COMPUTED_VALUE"""),"Cabalgatas El Carmelo")</f>
        <v>Cabalgatas El Carmelo</v>
      </c>
      <c r="AM482" s="12" t="str">
        <f>IFERROR(__xludf.DUMMYFUNCTION("""COMPUTED_VALUE"""),"41961200")</f>
        <v>41961200</v>
      </c>
      <c r="AN482" s="12" t="str">
        <f>IFERROR(__xludf.DUMMYFUNCTION("""COMPUTED_VALUE"""),"3117647867")</f>
        <v>3117647867</v>
      </c>
      <c r="AO482" s="6" t="str">
        <f>IFERROR(__xludf.DUMMYFUNCTION("""COMPUTED_VALUE"""),"Madre")</f>
        <v>Madre</v>
      </c>
      <c r="AP482" s="6" t="str">
        <f>IFERROR(__xludf.DUMMYFUNCTION("""COMPUTED_VALUE"""),"Estudiante(s): Escobar Cárdenas")</f>
        <v>Estudiante(s): Escobar Cárdenas</v>
      </c>
      <c r="AQ482" s="6" t="str">
        <f>IFERROR(__xludf.DUMMYFUNCTION("""COMPUTED_VALUE"""),"103631*Gi")</f>
        <v>103631*Gi</v>
      </c>
      <c r="AR482" s="6" t="str">
        <f>IFERROR(__xludf.DUMMYFUNCTION("""COMPUTED_VALUE"""),"Andrés")</f>
        <v>Andrés</v>
      </c>
      <c r="AS482" s="6"/>
      <c r="AT482" s="6" t="str">
        <f>IFERROR(__xludf.DUMMYFUNCTION("""COMPUTED_VALUE"""),"Escobar Botero")</f>
        <v>Escobar Botero</v>
      </c>
      <c r="AU482" s="6" t="str">
        <f>IFERROR(__xludf.DUMMYFUNCTION("""COMPUTED_VALUE"""),"andresescobar78@hotmail.com")</f>
        <v>andresescobar78@hotmail.com</v>
      </c>
      <c r="AV482" s="6" t="str">
        <f>IFERROR(__xludf.DUMMYFUNCTION("""COMPUTED_VALUE"""),"Agricultor")</f>
        <v>Agricultor</v>
      </c>
      <c r="AW482" s="6" t="str">
        <f>IFERROR(__xludf.DUMMYFUNCTION("""COMPUTED_VALUE"""),"Granja La Siria")</f>
        <v>Granja La Siria</v>
      </c>
      <c r="AX482" s="12" t="str">
        <f>IFERROR(__xludf.DUMMYFUNCTION("""COMPUTED_VALUE"""),"4377000")</f>
        <v>4377000</v>
      </c>
      <c r="AY482" s="12" t="str">
        <f>IFERROR(__xludf.DUMMYFUNCTION("""COMPUTED_VALUE"""),"3117472628")</f>
        <v>3117472628</v>
      </c>
      <c r="AZ482" s="6" t="str">
        <f>IFERROR(__xludf.DUMMYFUNCTION("""COMPUTED_VALUE"""),"Padre")</f>
        <v>Padre</v>
      </c>
      <c r="BA482" s="6"/>
      <c r="BB482" s="6"/>
      <c r="BC482" s="6"/>
      <c r="BD482" s="12" t="str">
        <f>IFERROR(__xludf.DUMMYFUNCTION("""COMPUTED_VALUE"""),"esc0002")</f>
        <v>esc0002</v>
      </c>
      <c r="BE482" s="6"/>
      <c r="BF482" s="6"/>
      <c r="BG482" s="6">
        <f>IFERROR(__xludf.DUMMYFUNCTION("""COMPUTED_VALUE"""),2033.0)</f>
        <v>2033</v>
      </c>
      <c r="BH482" s="15">
        <f>IFERROR(__xludf.DUMMYFUNCTION("""COMPUTED_VALUE"""),46209.91422453704)</f>
        <v>46209.91422</v>
      </c>
      <c r="BI482" s="6">
        <f>IFERROR(__xludf.DUMMYFUNCTION("""COMPUTED_VALUE"""),482.0)</f>
        <v>482</v>
      </c>
      <c r="BJ482" s="6"/>
      <c r="BK482" s="6"/>
      <c r="BL482" s="6" t="str">
        <f>IFERROR(__xludf.DUMMYFUNCTION("""COMPUTED_VALUE"""),"GISESC0002")</f>
        <v>GISESC0002</v>
      </c>
      <c r="BM482" s="6"/>
      <c r="BN482" s="6"/>
      <c r="BO482" s="6"/>
      <c r="BP482" s="6"/>
      <c r="BQ482" s="6"/>
      <c r="BR482" s="6"/>
      <c r="BS482" s="6"/>
      <c r="BT482" s="6"/>
      <c r="BU482" s="6" t="str">
        <f>IFERROR(__xludf.DUMMYFUNCTION("""COMPUTED_VALUE"""),"SI")</f>
        <v>SI</v>
      </c>
      <c r="BV482" s="6" t="str">
        <f>IFERROR(__xludf.DUMMYFUNCTION("""COMPUTED_VALUE"""),"joaquin.e2033")</f>
        <v>joaquin.e2033</v>
      </c>
      <c r="BW482" s="6"/>
      <c r="BX482" s="6"/>
      <c r="BY482" s="6"/>
      <c r="BZ482" s="6"/>
    </row>
    <row r="483">
      <c r="A483" s="12">
        <f>IFERROR(__xludf.DUMMYFUNCTION("""COMPUTED_VALUE"""),1.092858894E9)</f>
        <v>1092858894</v>
      </c>
      <c r="B483" s="6">
        <f>IFERROR(__xludf.DUMMYFUNCTION("""COMPUTED_VALUE"""),11.0)</f>
        <v>11</v>
      </c>
      <c r="C483" s="6" t="str">
        <f>IFERROR(__xludf.DUMMYFUNCTION("""COMPUTED_VALUE"""),"Isabella")</f>
        <v>Isabella</v>
      </c>
      <c r="D483" s="6"/>
      <c r="E483" s="6" t="str">
        <f>IFERROR(__xludf.DUMMYFUNCTION("""COMPUTED_VALUE"""),"Galvis García")</f>
        <v>Galvis García</v>
      </c>
      <c r="F483" s="6" t="str">
        <f>IFERROR(__xludf.DUMMYFUNCTION("""COMPUTED_VALUE"""),"Condominio Pradera Boreal Casa 35 - Km. 5 Via Armenia Pereira")</f>
        <v>Condominio Pradera Boreal Casa 35 - Km. 5 Via Armenia Pereira</v>
      </c>
      <c r="G483" s="12" t="str">
        <f>IFERROR(__xludf.DUMMYFUNCTION("""COMPUTED_VALUE"""),"2015")</f>
        <v>2015</v>
      </c>
      <c r="H483" s="6" t="str">
        <f>IFERROR(__xludf.DUMMYFUNCTION("""COMPUTED_VALUE"""),"Junio")</f>
        <v>Junio</v>
      </c>
      <c r="I483" s="12" t="str">
        <f>IFERROR(__xludf.DUMMYFUNCTION("""COMPUTED_VALUE"""),"1")</f>
        <v>1</v>
      </c>
      <c r="J483" s="6" t="str">
        <f>IFERROR(__xludf.DUMMYFUNCTION("""COMPUTED_VALUE"""),"Armenia")</f>
        <v>Armenia</v>
      </c>
      <c r="K483" s="6" t="str">
        <f>IFERROR(__xludf.DUMMYFUNCTION("""COMPUTED_VALUE"""),"isabella.g2033@gi.edu.co")</f>
        <v>isabella.g2033@gi.edu.co</v>
      </c>
      <c r="L483" s="6" t="str">
        <f>IFERROR(__xludf.DUMMYFUNCTION("""COMPUTED_VALUE"""),"TI")</f>
        <v>TI</v>
      </c>
      <c r="M483" s="6" t="str">
        <f>IFERROR(__xludf.DUMMYFUNCTION("""COMPUTED_VALUE"""),"Armenia")</f>
        <v>Armenia</v>
      </c>
      <c r="N483" s="6" t="str">
        <f>IFERROR(__xludf.DUMMYFUNCTION("""COMPUTED_VALUE"""),"F")</f>
        <v>F</v>
      </c>
      <c r="O483" s="6" t="str">
        <f>IFERROR(__xludf.DUMMYFUNCTION("""COMPUTED_VALUE"""),"INACTIVE")</f>
        <v>INACTIVE</v>
      </c>
      <c r="P483" s="6"/>
      <c r="Q483" s="6" t="str">
        <f>IFERROR(__xludf.DUMMYFUNCTION("""COMPUTED_VALUE"""),"Armenia")</f>
        <v>Armenia</v>
      </c>
      <c r="R483" s="12" t="str">
        <f>IFERROR(__xludf.DUMMYFUNCTION("""COMPUTED_VALUE"""),"Gif3478ig*")</f>
        <v>Gif3478ig*</v>
      </c>
      <c r="S483" s="6" t="str">
        <f>IFERROR(__xludf.DUMMYFUNCTION("""COMPUTED_VALUE"""),"Galvis García Isabella ")</f>
        <v>Galvis García Isabella </v>
      </c>
      <c r="T483" s="6" t="str">
        <f>IFERROR(__xludf.DUMMYFUNCTION("""COMPUTED_VALUE"""),"ANDERSON GALVIS AGUIRRE")</f>
        <v>ANDERSON GALVIS AGUIRRE</v>
      </c>
      <c r="U483" s="12" t="str">
        <f>IFERROR(__xludf.DUMMYFUNCTION("""COMPUTED_VALUE"""),"14798876")</f>
        <v>14798876</v>
      </c>
      <c r="V483" s="6">
        <f>IFERROR(__xludf.DUMMYFUNCTION("""COMPUTED_VALUE"""),3.186756543E9)</f>
        <v>3186756543</v>
      </c>
      <c r="W483" s="6" t="str">
        <f>IFERROR(__xludf.DUMMYFUNCTION("""COMPUTED_VALUE"""),"ander-aguirre@hotmail.com")</f>
        <v>ander-aguirre@hotmail.com</v>
      </c>
      <c r="X483" s="12" t="str">
        <f>IFERROR(__xludf.DUMMYFUNCTION("""COMPUTED_VALUE"""),"O+")</f>
        <v>O+</v>
      </c>
      <c r="Y483" s="12" t="str">
        <f>IFERROR(__xludf.DUMMYFUNCTION("""COMPUTED_VALUE"""),"6")</f>
        <v>6</v>
      </c>
      <c r="Z483" s="12">
        <f>IFERROR(__xludf.DUMMYFUNCTION("""COMPUTED_VALUE"""),103796.0)</f>
        <v>103796</v>
      </c>
      <c r="AA483" s="6" t="str">
        <f>IFERROR(__xludf.DUMMYFUNCTION("""COMPUTED_VALUE"""),"SURA")</f>
        <v>SURA</v>
      </c>
      <c r="AB483" s="6"/>
      <c r="AC483" s="6"/>
      <c r="AD483" s="12" t="str">
        <f>IFERROR(__xludf.DUMMYFUNCTION("""COMPUTED_VALUE"""),"6B")</f>
        <v>6B</v>
      </c>
      <c r="AE483" s="12">
        <f>IFERROR(__xludf.DUMMYFUNCTION("""COMPUTED_VALUE"""),1.345281921E9)</f>
        <v>1345281921</v>
      </c>
      <c r="AF483" s="12" t="str">
        <f>IFERROR(__xludf.DUMMYFUNCTION("""COMPUTED_VALUE"""),"0744541347")</f>
        <v>0744541347</v>
      </c>
      <c r="AG483" s="12" t="str">
        <f>IFERROR(__xludf.DUMMYFUNCTION("""COMPUTED_VALUE"""),"Diana")</f>
        <v>Diana</v>
      </c>
      <c r="AH483" s="12" t="str">
        <f>IFERROR(__xludf.DUMMYFUNCTION("""COMPUTED_VALUE"""),"Carolina")</f>
        <v>Carolina</v>
      </c>
      <c r="AI483" s="6" t="str">
        <f>IFERROR(__xludf.DUMMYFUNCTION("""COMPUTED_VALUE"""),"García Rebellón")</f>
        <v>García Rebellón</v>
      </c>
      <c r="AJ483" s="6" t="str">
        <f>IFERROR(__xludf.DUMMYFUNCTION("""COMPUTED_VALUE"""),"dana1991-23@hotmail.com")</f>
        <v>dana1991-23@hotmail.com</v>
      </c>
      <c r="AK483" s="6" t="str">
        <f>IFERROR(__xludf.DUMMYFUNCTION("""COMPUTED_VALUE"""),"Comerciante")</f>
        <v>Comerciante</v>
      </c>
      <c r="AL483" s="6" t="str">
        <f>IFERROR(__xludf.DUMMYFUNCTION("""COMPUTED_VALUE"""),"Palo Rosa")</f>
        <v>Palo Rosa</v>
      </c>
      <c r="AM483" s="12" t="str">
        <f>IFERROR(__xludf.DUMMYFUNCTION("""COMPUTED_VALUE"""),"1090460578")</f>
        <v>1090460578</v>
      </c>
      <c r="AN483" s="12" t="str">
        <f>IFERROR(__xludf.DUMMYFUNCTION("""COMPUTED_VALUE"""),"3173510419")</f>
        <v>3173510419</v>
      </c>
      <c r="AO483" s="6" t="str">
        <f>IFERROR(__xludf.DUMMYFUNCTION("""COMPUTED_VALUE"""),"Madre")</f>
        <v>Madre</v>
      </c>
      <c r="AP483" s="6" t="str">
        <f>IFERROR(__xludf.DUMMYFUNCTION("""COMPUTED_VALUE"""),"Estudiante(s): Galvis García")</f>
        <v>Estudiante(s): Galvis García</v>
      </c>
      <c r="AQ483" s="6" t="str">
        <f>IFERROR(__xludf.DUMMYFUNCTION("""COMPUTED_VALUE"""),"103796*Gi")</f>
        <v>103796*Gi</v>
      </c>
      <c r="AR483" s="6" t="str">
        <f>IFERROR(__xludf.DUMMYFUNCTION("""COMPUTED_VALUE"""),"Anderson")</f>
        <v>Anderson</v>
      </c>
      <c r="AS483" s="6"/>
      <c r="AT483" s="6" t="str">
        <f>IFERROR(__xludf.DUMMYFUNCTION("""COMPUTED_VALUE"""),"Galvis Aguirre")</f>
        <v>Galvis Aguirre</v>
      </c>
      <c r="AU483" s="6" t="str">
        <f>IFERROR(__xludf.DUMMYFUNCTION("""COMPUTED_VALUE"""),"ander-aguirre@hotmail.com")</f>
        <v>ander-aguirre@hotmail.com</v>
      </c>
      <c r="AV483" s="6" t="str">
        <f>IFERROR(__xludf.DUMMYFUNCTION("""COMPUTED_VALUE"""),"COMERCIANTE")</f>
        <v>COMERCIANTE</v>
      </c>
      <c r="AW483" s="6" t="str">
        <f>IFERROR(__xludf.DUMMYFUNCTION("""COMPUTED_VALUE"""),"Palo Rosa")</f>
        <v>Palo Rosa</v>
      </c>
      <c r="AX483" s="12" t="str">
        <f>IFERROR(__xludf.DUMMYFUNCTION("""COMPUTED_VALUE"""),"14798876")</f>
        <v>14798876</v>
      </c>
      <c r="AY483" s="12" t="str">
        <f>IFERROR(__xludf.DUMMYFUNCTION("""COMPUTED_VALUE"""),"3186756543")</f>
        <v>3186756543</v>
      </c>
      <c r="AZ483" s="6" t="str">
        <f>IFERROR(__xludf.DUMMYFUNCTION("""COMPUTED_VALUE"""),"Padre")</f>
        <v>Padre</v>
      </c>
      <c r="BA483" s="6"/>
      <c r="BB483" s="6"/>
      <c r="BC483" s="6"/>
      <c r="BD483" s="12" t="str">
        <f>IFERROR(__xludf.DUMMYFUNCTION("""COMPUTED_VALUE"""),"gal0006")</f>
        <v>gal0006</v>
      </c>
      <c r="BE483" s="6" t="str">
        <f>IFERROR(__xludf.DUMMYFUNCTION("""COMPUTED_VALUE"""),"FALTAN FIRMAS")</f>
        <v>FALTAN FIRMAS</v>
      </c>
      <c r="BF483" s="6"/>
      <c r="BG483" s="6">
        <f>IFERROR(__xludf.DUMMYFUNCTION("""COMPUTED_VALUE"""),2033.0)</f>
        <v>2033</v>
      </c>
      <c r="BH483" s="15">
        <f>IFERROR(__xludf.DUMMYFUNCTION("""COMPUTED_VALUE"""),46205.52462962963)</f>
        <v>46205.52463</v>
      </c>
      <c r="BI483" s="6">
        <f>IFERROR(__xludf.DUMMYFUNCTION("""COMPUTED_VALUE"""),483.0)</f>
        <v>483</v>
      </c>
      <c r="BJ483" s="6"/>
      <c r="BK483" s="6"/>
      <c r="BL483" s="6" t="str">
        <f>IFERROR(__xludf.DUMMYFUNCTION("""COMPUTED_VALUE"""),"GISGAL0006")</f>
        <v>GISGAL0006</v>
      </c>
      <c r="BM483" s="6"/>
      <c r="BN483" s="6"/>
      <c r="BO483" s="6" t="str">
        <f>IFERROR(__xludf.DUMMYFUNCTION("""COMPUTED_VALUE"""),"XC_MS_Voleibol_F")</f>
        <v>XC_MS_Voleibol_F</v>
      </c>
      <c r="BP483" s="6"/>
      <c r="BQ483" s="6" t="str">
        <f>IFERROR(__xludf.DUMMYFUNCTION("""COMPUTED_VALUE"""),"XC_MS_Voleibol_F")</f>
        <v>XC_MS_Voleibol_F</v>
      </c>
      <c r="BR483" s="6" t="str">
        <f>IFERROR(__xludf.DUMMYFUNCTION("""COMPUTED_VALUE"""),"XC_MS_Voleibol_F")</f>
        <v>XC_MS_Voleibol_F</v>
      </c>
      <c r="BS483" s="6"/>
      <c r="BT483" s="6" t="str">
        <f>IFERROR(__xludf.DUMMYFUNCTION("""COMPUTED_VALUE"""),"XC_MS_Voleibol_F")</f>
        <v>XC_MS_Voleibol_F</v>
      </c>
      <c r="BU483" s="6" t="str">
        <f>IFERROR(__xludf.DUMMYFUNCTION("""COMPUTED_VALUE"""),"SI")</f>
        <v>SI</v>
      </c>
      <c r="BV483" s="6" t="str">
        <f>IFERROR(__xludf.DUMMYFUNCTION("""COMPUTED_VALUE"""),"isabella.g2033")</f>
        <v>isabella.g2033</v>
      </c>
      <c r="BW483" s="6"/>
      <c r="BX483" s="6"/>
      <c r="BY483" s="6"/>
      <c r="BZ483" s="6"/>
    </row>
    <row r="484">
      <c r="A484" s="12">
        <f>IFERROR(__xludf.DUMMYFUNCTION("""COMPUTED_VALUE"""),1.117029528E9)</f>
        <v>1117029528</v>
      </c>
      <c r="B484" s="6">
        <f>IFERROR(__xludf.DUMMYFUNCTION("""COMPUTED_VALUE"""),12.0)</f>
        <v>12</v>
      </c>
      <c r="C484" s="6" t="str">
        <f>IFERROR(__xludf.DUMMYFUNCTION("""COMPUTED_VALUE"""),"Saray")</f>
        <v>Saray</v>
      </c>
      <c r="D484" s="6"/>
      <c r="E484" s="6" t="str">
        <f>IFERROR(__xludf.DUMMYFUNCTION("""COMPUTED_VALUE"""),"Giraldo Aguirre")</f>
        <v>Giraldo Aguirre</v>
      </c>
      <c r="F484" s="6" t="str">
        <f>IFERROR(__xludf.DUMMYFUNCTION("""COMPUTED_VALUE"""),"Quintas de San Sebastian - Cra 11 No22Nte - 36 COINCA")</f>
        <v>Quintas de San Sebastian - Cra 11 No22Nte - 36 COINCA</v>
      </c>
      <c r="G484" s="12" t="str">
        <f>IFERROR(__xludf.DUMMYFUNCTION("""COMPUTED_VALUE"""),"2014")</f>
        <v>2014</v>
      </c>
      <c r="H484" s="6" t="str">
        <f>IFERROR(__xludf.DUMMYFUNCTION("""COMPUTED_VALUE"""),"Octubre")</f>
        <v>Octubre</v>
      </c>
      <c r="I484" s="12" t="str">
        <f>IFERROR(__xludf.DUMMYFUNCTION("""COMPUTED_VALUE"""),"2")</f>
        <v>2</v>
      </c>
      <c r="J484" s="6" t="str">
        <f>IFERROR(__xludf.DUMMYFUNCTION("""COMPUTED_VALUE"""),"Tulua")</f>
        <v>Tulua</v>
      </c>
      <c r="K484" s="6" t="str">
        <f>IFERROR(__xludf.DUMMYFUNCTION("""COMPUTED_VALUE"""),"saray.g2033@gi.edu.co")</f>
        <v>saray.g2033@gi.edu.co</v>
      </c>
      <c r="L484" s="6" t="str">
        <f>IFERROR(__xludf.DUMMYFUNCTION("""COMPUTED_VALUE"""),"TI")</f>
        <v>TI</v>
      </c>
      <c r="M484" s="6" t="str">
        <f>IFERROR(__xludf.DUMMYFUNCTION("""COMPUTED_VALUE"""),"Tuluá")</f>
        <v>Tuluá</v>
      </c>
      <c r="N484" s="6" t="str">
        <f>IFERROR(__xludf.DUMMYFUNCTION("""COMPUTED_VALUE"""),"F")</f>
        <v>F</v>
      </c>
      <c r="O484" s="6" t="str">
        <f>IFERROR(__xludf.DUMMYFUNCTION("""COMPUTED_VALUE"""),"ACTIVE")</f>
        <v>ACTIVE</v>
      </c>
      <c r="P484" s="6"/>
      <c r="Q484" s="6" t="str">
        <f>IFERROR(__xludf.DUMMYFUNCTION("""COMPUTED_VALUE"""),"Armenia")</f>
        <v>Armenia</v>
      </c>
      <c r="R484" s="12" t="str">
        <f>IFERROR(__xludf.DUMMYFUNCTION("""COMPUTED_VALUE"""),"Gi1783r219*")</f>
        <v>Gi1783r219*</v>
      </c>
      <c r="S484" s="6" t="str">
        <f>IFERROR(__xludf.DUMMYFUNCTION("""COMPUTED_VALUE"""),"Giraldo Aguirre Saray ")</f>
        <v>Giraldo Aguirre Saray </v>
      </c>
      <c r="T484" s="6" t="str">
        <f>IFERROR(__xludf.DUMMYFUNCTION("""COMPUTED_VALUE"""),"ISIDRO ENCIZO ALARCON")</f>
        <v>ISIDRO ENCIZO ALARCON</v>
      </c>
      <c r="U484" s="12" t="str">
        <f>IFERROR(__xludf.DUMMYFUNCTION("""COMPUTED_VALUE"""),"12206677")</f>
        <v>12206677</v>
      </c>
      <c r="V484" s="6">
        <f>IFERROR(__xludf.DUMMYFUNCTION("""COMPUTED_VALUE"""),3.115589786E9)</f>
        <v>3115589786</v>
      </c>
      <c r="W484" s="6" t="str">
        <f>IFERROR(__xludf.DUMMYFUNCTION("""COMPUTED_VALUE"""),"ginaencizo@hotmail.com")</f>
        <v>ginaencizo@hotmail.com</v>
      </c>
      <c r="X484" s="12" t="str">
        <f>IFERROR(__xludf.DUMMYFUNCTION("""COMPUTED_VALUE"""),"O-")</f>
        <v>O-</v>
      </c>
      <c r="Y484" s="12" t="str">
        <f>IFERROR(__xludf.DUMMYFUNCTION("""COMPUTED_VALUE"""),"6")</f>
        <v>6</v>
      </c>
      <c r="Z484" s="12">
        <f>IFERROR(__xludf.DUMMYFUNCTION("""COMPUTED_VALUE"""),120575.0)</f>
        <v>120575</v>
      </c>
      <c r="AA484" s="6" t="str">
        <f>IFERROR(__xludf.DUMMYFUNCTION("""COMPUTED_VALUE"""),"SURA")</f>
        <v>SURA</v>
      </c>
      <c r="AB484" s="6"/>
      <c r="AC484" s="6"/>
      <c r="AD484" s="12" t="str">
        <f>IFERROR(__xludf.DUMMYFUNCTION("""COMPUTED_VALUE"""),"6B")</f>
        <v>6B</v>
      </c>
      <c r="AE484" s="12" t="str">
        <f>IFERROR(__xludf.DUMMYFUNCTION("""COMPUTED_VALUE"""),"1345282573")</f>
        <v>1345282573</v>
      </c>
      <c r="AF484" s="6"/>
      <c r="AG484" s="12" t="str">
        <f>IFERROR(__xludf.DUMMYFUNCTION("""COMPUTED_VALUE"""),"Angélica")</f>
        <v>Angélica</v>
      </c>
      <c r="AH484" s="12" t="str">
        <f>IFERROR(__xludf.DUMMYFUNCTION("""COMPUTED_VALUE"""),"María")</f>
        <v>María</v>
      </c>
      <c r="AI484" s="6" t="str">
        <f>IFERROR(__xludf.DUMMYFUNCTION("""COMPUTED_VALUE"""),"Aguirre Buitrago")</f>
        <v>Aguirre Buitrago</v>
      </c>
      <c r="AJ484" s="6" t="str">
        <f>IFERROR(__xludf.DUMMYFUNCTION("""COMPUTED_VALUE"""),"angelicamariaaguirre74@gmail.com")</f>
        <v>angelicamariaaguirre74@gmail.com</v>
      </c>
      <c r="AK484" s="6" t="str">
        <f>IFERROR(__xludf.DUMMYFUNCTION("""COMPUTED_VALUE"""),"Rentista de capital ")</f>
        <v>Rentista de capital </v>
      </c>
      <c r="AL484" s="6" t="str">
        <f>IFERROR(__xludf.DUMMYFUNCTION("""COMPUTED_VALUE"""),"independiente")</f>
        <v>independiente</v>
      </c>
      <c r="AM484" s="12">
        <f>IFERROR(__xludf.DUMMYFUNCTION("""COMPUTED_VALUE"""),2.9875788E7)</f>
        <v>29875788</v>
      </c>
      <c r="AN484" s="12" t="str">
        <f>IFERROR(__xludf.DUMMYFUNCTION("""COMPUTED_VALUE"""),"3206684304")</f>
        <v>3206684304</v>
      </c>
      <c r="AO484" s="6" t="str">
        <f>IFERROR(__xludf.DUMMYFUNCTION("""COMPUTED_VALUE"""),"Madre")</f>
        <v>Madre</v>
      </c>
      <c r="AP484" s="6" t="str">
        <f>IFERROR(__xludf.DUMMYFUNCTION("""COMPUTED_VALUE"""),"Estudiante(s): Giraldo Aguirre")</f>
        <v>Estudiante(s): Giraldo Aguirre</v>
      </c>
      <c r="AQ484" s="6" t="str">
        <f>IFERROR(__xludf.DUMMYFUNCTION("""COMPUTED_VALUE"""),"120575*Gi")</f>
        <v>120575*Gi</v>
      </c>
      <c r="AR484" s="6" t="str">
        <f>IFERROR(__xludf.DUMMYFUNCTION("""COMPUTED_VALUE"""),"Isidro")</f>
        <v>Isidro</v>
      </c>
      <c r="AS484" s="6"/>
      <c r="AT484" s="6" t="str">
        <f>IFERROR(__xludf.DUMMYFUNCTION("""COMPUTED_VALUE"""),"Encizo Alarcón")</f>
        <v>Encizo Alarcón</v>
      </c>
      <c r="AU484" s="6" t="str">
        <f>IFERROR(__xludf.DUMMYFUNCTION("""COMPUTED_VALUE"""),"ginaencizo@hotmail.com")</f>
        <v>ginaencizo@hotmail.com</v>
      </c>
      <c r="AV484" s="6" t="str">
        <f>IFERROR(__xludf.DUMMYFUNCTION("""COMPUTED_VALUE"""),"Independiente")</f>
        <v>Independiente</v>
      </c>
      <c r="AW484" s="6" t="str">
        <f>IFERROR(__xludf.DUMMYFUNCTION("""COMPUTED_VALUE"""),"INDEPENDIENTE")</f>
        <v>INDEPENDIENTE</v>
      </c>
      <c r="AX484" s="12" t="str">
        <f>IFERROR(__xludf.DUMMYFUNCTION("""COMPUTED_VALUE"""),"12206677")</f>
        <v>12206677</v>
      </c>
      <c r="AY484" s="12">
        <f>IFERROR(__xludf.DUMMYFUNCTION("""COMPUTED_VALUE"""),3.115589786E9)</f>
        <v>3115589786</v>
      </c>
      <c r="AZ484" s="6" t="str">
        <f>IFERROR(__xludf.DUMMYFUNCTION("""COMPUTED_VALUE"""),"Padre")</f>
        <v>Padre</v>
      </c>
      <c r="BA484" s="6"/>
      <c r="BB484" s="6"/>
      <c r="BC484" s="6"/>
      <c r="BD484" s="12" t="str">
        <f>IFERROR(__xludf.DUMMYFUNCTION("""COMPUTED_VALUE"""),"gir0018")</f>
        <v>gir0018</v>
      </c>
      <c r="BE484" s="6"/>
      <c r="BF484" s="6"/>
      <c r="BG484" s="6">
        <f>IFERROR(__xludf.DUMMYFUNCTION("""COMPUTED_VALUE"""),2033.0)</f>
        <v>2033</v>
      </c>
      <c r="BH484" s="15">
        <f>IFERROR(__xludf.DUMMYFUNCTION("""COMPUTED_VALUE"""),46209.61454861111)</f>
        <v>46209.61455</v>
      </c>
      <c r="BI484" s="6">
        <f>IFERROR(__xludf.DUMMYFUNCTION("""COMPUTED_VALUE"""),484.0)</f>
        <v>484</v>
      </c>
      <c r="BJ484" s="6"/>
      <c r="BK484" s="6"/>
      <c r="BL484" s="6" t="str">
        <f>IFERROR(__xludf.DUMMYFUNCTION("""COMPUTED_VALUE"""),"GISGIR0018")</f>
        <v>GISGIR0018</v>
      </c>
      <c r="BM484" s="6"/>
      <c r="BN484" s="6"/>
      <c r="BO484" s="6"/>
      <c r="BP484" s="6"/>
      <c r="BQ484" s="6"/>
      <c r="BR484" s="6"/>
      <c r="BS484" s="6"/>
      <c r="BT484" s="6"/>
      <c r="BU484" s="6" t="str">
        <f>IFERROR(__xludf.DUMMYFUNCTION("""COMPUTED_VALUE"""),"SI")</f>
        <v>SI</v>
      </c>
      <c r="BV484" s="6" t="str">
        <f>IFERROR(__xludf.DUMMYFUNCTION("""COMPUTED_VALUE"""),"saray.g2033")</f>
        <v>saray.g2033</v>
      </c>
      <c r="BW484" s="6"/>
      <c r="BX484" s="6"/>
      <c r="BY484" s="6"/>
      <c r="BZ484" s="6"/>
    </row>
    <row r="485">
      <c r="A485" s="12">
        <f>IFERROR(__xludf.DUMMYFUNCTION("""COMPUTED_VALUE"""),1.013023587E9)</f>
        <v>1013023587</v>
      </c>
      <c r="B485" s="6">
        <f>IFERROR(__xludf.DUMMYFUNCTION("""COMPUTED_VALUE"""),13.0)</f>
        <v>13</v>
      </c>
      <c r="C485" s="6" t="str">
        <f>IFERROR(__xludf.DUMMYFUNCTION("""COMPUTED_VALUE"""),"Martina")</f>
        <v>Martina</v>
      </c>
      <c r="D485" s="6"/>
      <c r="E485" s="6" t="str">
        <f>IFERROR(__xludf.DUMMYFUNCTION("""COMPUTED_VALUE"""),"Giraldo Martínez")</f>
        <v>Giraldo Martínez</v>
      </c>
      <c r="F485" s="6" t="str">
        <f>IFERROR(__xludf.DUMMYFUNCTION("""COMPUTED_VALUE"""),"Oro Negro Mz1 Casa 4 - Calle 50Nte No15 - 01")</f>
        <v>Oro Negro Mz1 Casa 4 - Calle 50Nte No15 - 01</v>
      </c>
      <c r="G485" s="12" t="str">
        <f>IFERROR(__xludf.DUMMYFUNCTION("""COMPUTED_VALUE"""),"2015")</f>
        <v>2015</v>
      </c>
      <c r="H485" s="6" t="str">
        <f>IFERROR(__xludf.DUMMYFUNCTION("""COMPUTED_VALUE"""),"Junio")</f>
        <v>Junio</v>
      </c>
      <c r="I485" s="12" t="str">
        <f>IFERROR(__xludf.DUMMYFUNCTION("""COMPUTED_VALUE"""),"22")</f>
        <v>22</v>
      </c>
      <c r="J485" s="6" t="str">
        <f>IFERROR(__xludf.DUMMYFUNCTION("""COMPUTED_VALUE"""),"Bogotá D.C.")</f>
        <v>Bogotá D.C.</v>
      </c>
      <c r="K485" s="6" t="str">
        <f>IFERROR(__xludf.DUMMYFUNCTION("""COMPUTED_VALUE"""),"martina.g2033@gi.edu.co")</f>
        <v>martina.g2033@gi.edu.co</v>
      </c>
      <c r="L485" s="6" t="str">
        <f>IFERROR(__xludf.DUMMYFUNCTION("""COMPUTED_VALUE"""),"TI")</f>
        <v>TI</v>
      </c>
      <c r="M485" s="6" t="str">
        <f>IFERROR(__xludf.DUMMYFUNCTION("""COMPUTED_VALUE"""),"Bogotá D.C.")</f>
        <v>Bogotá D.C.</v>
      </c>
      <c r="N485" s="6" t="str">
        <f>IFERROR(__xludf.DUMMYFUNCTION("""COMPUTED_VALUE"""),"F")</f>
        <v>F</v>
      </c>
      <c r="O485" s="6" t="str">
        <f>IFERROR(__xludf.DUMMYFUNCTION("""COMPUTED_VALUE"""),"ACTIVE")</f>
        <v>ACTIVE</v>
      </c>
      <c r="P485" s="6"/>
      <c r="Q485" s="6" t="str">
        <f>IFERROR(__xludf.DUMMYFUNCTION("""COMPUTED_VALUE"""),"Circasia")</f>
        <v>Circasia</v>
      </c>
      <c r="R485" s="12" t="str">
        <f>IFERROR(__xludf.DUMMYFUNCTION("""COMPUTED_VALUE"""),"Gihy75mn7*")</f>
        <v>Gihy75mn7*</v>
      </c>
      <c r="S485" s="6" t="str">
        <f>IFERROR(__xludf.DUMMYFUNCTION("""COMPUTED_VALUE"""),"Giraldo Martínez Martina ")</f>
        <v>Giraldo Martínez Martina </v>
      </c>
      <c r="T485" s="6" t="str">
        <f>IFERROR(__xludf.DUMMYFUNCTION("""COMPUTED_VALUE"""),"LUIS FELIPE GIRALDO CARDONA")</f>
        <v>LUIS FELIPE GIRALDO CARDONA</v>
      </c>
      <c r="U485" s="12" t="str">
        <f>IFERROR(__xludf.DUMMYFUNCTION("""COMPUTED_VALUE"""),"9734608")</f>
        <v>9734608</v>
      </c>
      <c r="V485" s="6">
        <f>IFERROR(__xludf.DUMMYFUNCTION("""COMPUTED_VALUE"""),3.166939846E9)</f>
        <v>3166939846</v>
      </c>
      <c r="W485" s="6" t="str">
        <f>IFERROR(__xludf.DUMMYFUNCTION("""COMPUTED_VALUE"""),"lfgiraldo@gmail.com")</f>
        <v>lfgiraldo@gmail.com</v>
      </c>
      <c r="X485" s="12" t="str">
        <f>IFERROR(__xludf.DUMMYFUNCTION("""COMPUTED_VALUE"""),"O+")</f>
        <v>O+</v>
      </c>
      <c r="Y485" s="12" t="str">
        <f>IFERROR(__xludf.DUMMYFUNCTION("""COMPUTED_VALUE"""),"6")</f>
        <v>6</v>
      </c>
      <c r="Z485" s="12">
        <f>IFERROR(__xludf.DUMMYFUNCTION("""COMPUTED_VALUE"""),120044.0)</f>
        <v>120044</v>
      </c>
      <c r="AA485" s="6" t="str">
        <f>IFERROR(__xludf.DUMMYFUNCTION("""COMPUTED_VALUE"""),"SALUD TOTAL")</f>
        <v>SALUD TOTAL</v>
      </c>
      <c r="AB485" s="6"/>
      <c r="AC485" s="6"/>
      <c r="AD485" s="12" t="str">
        <f>IFERROR(__xludf.DUMMYFUNCTION("""COMPUTED_VALUE"""),"6B")</f>
        <v>6B</v>
      </c>
      <c r="AE485" s="12">
        <f>IFERROR(__xludf.DUMMYFUNCTION("""COMPUTED_VALUE"""),1.345282062E9)</f>
        <v>1345282062</v>
      </c>
      <c r="AF485" s="12" t="str">
        <f>IFERROR(__xludf.DUMMYFUNCTION("""COMPUTED_VALUE"""),"0694877779")</f>
        <v>0694877779</v>
      </c>
      <c r="AG485" s="12" t="str">
        <f>IFERROR(__xludf.DUMMYFUNCTION("""COMPUTED_VALUE"""),"Maira")</f>
        <v>Maira</v>
      </c>
      <c r="AH485" s="12" t="str">
        <f>IFERROR(__xludf.DUMMYFUNCTION("""COMPUTED_VALUE"""),"Alexandra")</f>
        <v>Alexandra</v>
      </c>
      <c r="AI485" s="6" t="str">
        <f>IFERROR(__xludf.DUMMYFUNCTION("""COMPUTED_VALUE"""),"Martínez Medina")</f>
        <v>Martínez Medina</v>
      </c>
      <c r="AJ485" s="6" t="str">
        <f>IFERROR(__xludf.DUMMYFUNCTION("""COMPUTED_VALUE"""),"alexmart01@gmail.com")</f>
        <v>alexmart01@gmail.com</v>
      </c>
      <c r="AK485" s="6" t="str">
        <f>IFERROR(__xludf.DUMMYFUNCTION("""COMPUTED_VALUE"""),"Chef")</f>
        <v>Chef</v>
      </c>
      <c r="AL485" s="6" t="str">
        <f>IFERROR(__xludf.DUMMYFUNCTION("""COMPUTED_VALUE"""),"Data Innovation S.A.S.")</f>
        <v>Data Innovation S.A.S.</v>
      </c>
      <c r="AM485" s="12" t="str">
        <f>IFERROR(__xludf.DUMMYFUNCTION("""COMPUTED_VALUE"""),"1110449137")</f>
        <v>1110449137</v>
      </c>
      <c r="AN485" s="12" t="str">
        <f>IFERROR(__xludf.DUMMYFUNCTION("""COMPUTED_VALUE"""),"3107643590")</f>
        <v>3107643590</v>
      </c>
      <c r="AO485" s="6" t="str">
        <f>IFERROR(__xludf.DUMMYFUNCTION("""COMPUTED_VALUE"""),"Madre")</f>
        <v>Madre</v>
      </c>
      <c r="AP485" s="6" t="str">
        <f>IFERROR(__xludf.DUMMYFUNCTION("""COMPUTED_VALUE"""),"Estudiante(s): Giraldo Martínez")</f>
        <v>Estudiante(s): Giraldo Martínez</v>
      </c>
      <c r="AQ485" s="6" t="str">
        <f>IFERROR(__xludf.DUMMYFUNCTION("""COMPUTED_VALUE"""),"120044*Gi")</f>
        <v>120044*Gi</v>
      </c>
      <c r="AR485" s="6" t="str">
        <f>IFERROR(__xludf.DUMMYFUNCTION("""COMPUTED_VALUE"""),"Luis")</f>
        <v>Luis</v>
      </c>
      <c r="AS485" s="6" t="str">
        <f>IFERROR(__xludf.DUMMYFUNCTION("""COMPUTED_VALUE"""),"Felipe")</f>
        <v>Felipe</v>
      </c>
      <c r="AT485" s="6" t="str">
        <f>IFERROR(__xludf.DUMMYFUNCTION("""COMPUTED_VALUE"""),"Giraldo Cardona")</f>
        <v>Giraldo Cardona</v>
      </c>
      <c r="AU485" s="6" t="str">
        <f>IFERROR(__xludf.DUMMYFUNCTION("""COMPUTED_VALUE"""),"lfgiraldo@gmail.com")</f>
        <v>lfgiraldo@gmail.com</v>
      </c>
      <c r="AV485" s="6" t="str">
        <f>IFERROR(__xludf.DUMMYFUNCTION("""COMPUTED_VALUE"""),"Ingeniero de Sistemas")</f>
        <v>Ingeniero de Sistemas</v>
      </c>
      <c r="AW485" s="6" t="str">
        <f>IFERROR(__xludf.DUMMYFUNCTION("""COMPUTED_VALUE"""),"Data Innovation S.A.S.")</f>
        <v>Data Innovation S.A.S.</v>
      </c>
      <c r="AX485" s="12" t="str">
        <f>IFERROR(__xludf.DUMMYFUNCTION("""COMPUTED_VALUE"""),"9734608")</f>
        <v>9734608</v>
      </c>
      <c r="AY485" s="12">
        <f>IFERROR(__xludf.DUMMYFUNCTION("""COMPUTED_VALUE"""),3.166939846E9)</f>
        <v>3166939846</v>
      </c>
      <c r="AZ485" s="6" t="str">
        <f>IFERROR(__xludf.DUMMYFUNCTION("""COMPUTED_VALUE"""),"Padre")</f>
        <v>Padre</v>
      </c>
      <c r="BA485" s="6"/>
      <c r="BB485" s="6"/>
      <c r="BC485" s="6"/>
      <c r="BD485" s="12" t="str">
        <f>IFERROR(__xludf.DUMMYFUNCTION("""COMPUTED_VALUE"""),"gir0005")</f>
        <v>gir0005</v>
      </c>
      <c r="BE485" s="6"/>
      <c r="BF485" s="6"/>
      <c r="BG485" s="6">
        <f>IFERROR(__xludf.DUMMYFUNCTION("""COMPUTED_VALUE"""),2033.0)</f>
        <v>2033</v>
      </c>
      <c r="BH485" s="15">
        <f>IFERROR(__xludf.DUMMYFUNCTION("""COMPUTED_VALUE"""),46237.934641203705)</f>
        <v>46237.93464</v>
      </c>
      <c r="BI485" s="6">
        <f>IFERROR(__xludf.DUMMYFUNCTION("""COMPUTED_VALUE"""),485.0)</f>
        <v>485</v>
      </c>
      <c r="BJ485" s="6"/>
      <c r="BK485" s="6"/>
      <c r="BL485" s="6" t="str">
        <f>IFERROR(__xludf.DUMMYFUNCTION("""COMPUTED_VALUE"""),"GISGIR0005")</f>
        <v>GISGIR0005</v>
      </c>
      <c r="BM485" s="6"/>
      <c r="BN485" s="6"/>
      <c r="BO485" s="6" t="str">
        <f>IFERROR(__xludf.DUMMYFUNCTION("""COMPUTED_VALUE"""),"XC_SEC_ProgRobot")</f>
        <v>XC_SEC_ProgRobot</v>
      </c>
      <c r="BP485" s="6"/>
      <c r="BQ485" s="6"/>
      <c r="BR485" s="6"/>
      <c r="BS485" s="6"/>
      <c r="BT485" s="6"/>
      <c r="BU485" s="6" t="str">
        <f>IFERROR(__xludf.DUMMYFUNCTION("""COMPUTED_VALUE"""),"SI")</f>
        <v>SI</v>
      </c>
      <c r="BV485" s="6" t="str">
        <f>IFERROR(__xludf.DUMMYFUNCTION("""COMPUTED_VALUE"""),"martina.g2033")</f>
        <v>martina.g2033</v>
      </c>
      <c r="BW485" s="6"/>
      <c r="BX485" s="6"/>
      <c r="BY485" s="6"/>
      <c r="BZ485" s="6"/>
    </row>
    <row r="486">
      <c r="A486" s="12">
        <f>IFERROR(__xludf.DUMMYFUNCTION("""COMPUTED_VALUE"""),1.01991004E9)</f>
        <v>1019910040</v>
      </c>
      <c r="B486" s="6">
        <f>IFERROR(__xludf.DUMMYFUNCTION("""COMPUTED_VALUE"""),14.0)</f>
        <v>14</v>
      </c>
      <c r="C486" s="6" t="str">
        <f>IFERROR(__xludf.DUMMYFUNCTION("""COMPUTED_VALUE"""),"Alana")</f>
        <v>Alana</v>
      </c>
      <c r="D486" s="6"/>
      <c r="E486" s="6" t="str">
        <f>IFERROR(__xludf.DUMMYFUNCTION("""COMPUTED_VALUE"""),"Giraldo Osorio")</f>
        <v>Giraldo Osorio</v>
      </c>
      <c r="F486" s="6" t="str">
        <f>IFERROR(__xludf.DUMMYFUNCTION("""COMPUTED_VALUE"""),"Entrada Bonanza Condominio Portachuelo Casa1 - Vda Padilla")</f>
        <v>Entrada Bonanza Condominio Portachuelo Casa1 - Vda Padilla</v>
      </c>
      <c r="G486" s="12" t="str">
        <f>IFERROR(__xludf.DUMMYFUNCTION("""COMPUTED_VALUE"""),"2014")</f>
        <v>2014</v>
      </c>
      <c r="H486" s="6" t="str">
        <f>IFERROR(__xludf.DUMMYFUNCTION("""COMPUTED_VALUE"""),"Septiembre")</f>
        <v>Septiembre</v>
      </c>
      <c r="I486" s="12" t="str">
        <f>IFERROR(__xludf.DUMMYFUNCTION("""COMPUTED_VALUE"""),"10")</f>
        <v>10</v>
      </c>
      <c r="J486" s="6" t="str">
        <f>IFERROR(__xludf.DUMMYFUNCTION("""COMPUTED_VALUE"""),"Bogotá D.C.")</f>
        <v>Bogotá D.C.</v>
      </c>
      <c r="K486" s="6" t="str">
        <f>IFERROR(__xludf.DUMMYFUNCTION("""COMPUTED_VALUE"""),"alana.g2033@gi.edu.co")</f>
        <v>alana.g2033@gi.edu.co</v>
      </c>
      <c r="L486" s="6" t="str">
        <f>IFERROR(__xludf.DUMMYFUNCTION("""COMPUTED_VALUE"""),"RC")</f>
        <v>RC</v>
      </c>
      <c r="M486" s="6" t="str">
        <f>IFERROR(__xludf.DUMMYFUNCTION("""COMPUTED_VALUE"""),"La Tebaida")</f>
        <v>La Tebaida</v>
      </c>
      <c r="N486" s="6" t="str">
        <f>IFERROR(__xludf.DUMMYFUNCTION("""COMPUTED_VALUE"""),"F")</f>
        <v>F</v>
      </c>
      <c r="O486" s="6" t="str">
        <f>IFERROR(__xludf.DUMMYFUNCTION("""COMPUTED_VALUE"""),"INACTIVE")</f>
        <v>INACTIVE</v>
      </c>
      <c r="P486" s="6"/>
      <c r="Q486" s="6" t="str">
        <f>IFERROR(__xludf.DUMMYFUNCTION("""COMPUTED_VALUE"""),"La Tebaida")</f>
        <v>La Tebaida</v>
      </c>
      <c r="R486" s="12" t="str">
        <f>IFERROR(__xludf.DUMMYFUNCTION("""COMPUTED_VALUE"""),"Givfr863km*")</f>
        <v>Givfr863km*</v>
      </c>
      <c r="S486" s="6" t="str">
        <f>IFERROR(__xludf.DUMMYFUNCTION("""COMPUTED_VALUE"""),"Giraldo Osorio Alana ")</f>
        <v>Giraldo Osorio Alana </v>
      </c>
      <c r="T486" s="6" t="str">
        <f>IFERROR(__xludf.DUMMYFUNCTION("""COMPUTED_VALUE"""),"JORGE HERNAN RODRIGUEZ QUIÑONEZ")</f>
        <v>JORGE HERNAN RODRIGUEZ QUIÑONEZ</v>
      </c>
      <c r="U486" s="12" t="str">
        <f>IFERROR(__xludf.DUMMYFUNCTION("""COMPUTED_VALUE"""),"75096693")</f>
        <v>75096693</v>
      </c>
      <c r="V486" s="6">
        <f>IFERROR(__xludf.DUMMYFUNCTION("""COMPUTED_VALUE"""),3.112049568E9)</f>
        <v>3112049568</v>
      </c>
      <c r="W486" s="6" t="str">
        <f>IFERROR(__xludf.DUMMYFUNCTION("""COMPUTED_VALUE"""),"hrodjorge@gmail.com")</f>
        <v>hrodjorge@gmail.com</v>
      </c>
      <c r="X486" s="12" t="str">
        <f>IFERROR(__xludf.DUMMYFUNCTION("""COMPUTED_VALUE"""),"O+")</f>
        <v>O+</v>
      </c>
      <c r="Y486" s="12" t="str">
        <f>IFERROR(__xludf.DUMMYFUNCTION("""COMPUTED_VALUE"""),"6")</f>
        <v>6</v>
      </c>
      <c r="Z486" s="12">
        <f>IFERROR(__xludf.DUMMYFUNCTION("""COMPUTED_VALUE"""),120063.0)</f>
        <v>120063</v>
      </c>
      <c r="AA486" s="6" t="str">
        <f>IFERROR(__xludf.DUMMYFUNCTION("""COMPUTED_VALUE"""),"SURA")</f>
        <v>SURA</v>
      </c>
      <c r="AB486" s="6"/>
      <c r="AC486" s="6"/>
      <c r="AD486" s="12" t="str">
        <f>IFERROR(__xludf.DUMMYFUNCTION("""COMPUTED_VALUE"""),"6B")</f>
        <v>6B</v>
      </c>
      <c r="AE486" s="12">
        <f>IFERROR(__xludf.DUMMYFUNCTION("""COMPUTED_VALUE"""),1.345282079E9)</f>
        <v>1345282079</v>
      </c>
      <c r="AF486" s="12" t="str">
        <f>IFERROR(__xludf.DUMMYFUNCTION("""COMPUTED_VALUE"""),"0692486083")</f>
        <v>0692486083</v>
      </c>
      <c r="AG486" s="12" t="str">
        <f>IFERROR(__xludf.DUMMYFUNCTION("""COMPUTED_VALUE"""),"Mónica")</f>
        <v>Mónica</v>
      </c>
      <c r="AH486" s="6"/>
      <c r="AI486" s="6" t="str">
        <f>IFERROR(__xludf.DUMMYFUNCTION("""COMPUTED_VALUE"""),"Osorio Duque")</f>
        <v>Osorio Duque</v>
      </c>
      <c r="AJ486" s="6" t="str">
        <f>IFERROR(__xludf.DUMMYFUNCTION("""COMPUTED_VALUE"""),"monicaosorioduque@gmail.com")</f>
        <v>monicaosorioduque@gmail.com</v>
      </c>
      <c r="AK486" s="6" t="str">
        <f>IFERROR(__xludf.DUMMYFUNCTION("""COMPUTED_VALUE"""),"Politóloga")</f>
        <v>Politóloga</v>
      </c>
      <c r="AL486" s="6" t="str">
        <f>IFERROR(__xludf.DUMMYFUNCTION("""COMPUTED_VALUE"""),"Solutron SAS")</f>
        <v>Solutron SAS</v>
      </c>
      <c r="AM486" s="12" t="str">
        <f>IFERROR(__xludf.DUMMYFUNCTION("""COMPUTED_VALUE"""),"1112460169")</f>
        <v>1112460169</v>
      </c>
      <c r="AN486" s="12" t="str">
        <f>IFERROR(__xludf.DUMMYFUNCTION("""COMPUTED_VALUE"""),"3042120461")</f>
        <v>3042120461</v>
      </c>
      <c r="AO486" s="6" t="str">
        <f>IFERROR(__xludf.DUMMYFUNCTION("""COMPUTED_VALUE"""),"Madre")</f>
        <v>Madre</v>
      </c>
      <c r="AP486" s="6" t="str">
        <f>IFERROR(__xludf.DUMMYFUNCTION("""COMPUTED_VALUE"""),"Estudiante(s): Luciano Rodríguez Osorio &amp; Alana Giraldo Osorio")</f>
        <v>Estudiante(s): Luciano Rodríguez Osorio &amp; Alana Giraldo Osorio</v>
      </c>
      <c r="AQ486" s="6" t="str">
        <f>IFERROR(__xludf.DUMMYFUNCTION("""COMPUTED_VALUE"""),"120063*Gi")</f>
        <v>120063*Gi</v>
      </c>
      <c r="AR486" s="6" t="str">
        <f>IFERROR(__xludf.DUMMYFUNCTION("""COMPUTED_VALUE"""),"Jorge")</f>
        <v>Jorge</v>
      </c>
      <c r="AS486" s="6" t="str">
        <f>IFERROR(__xludf.DUMMYFUNCTION("""COMPUTED_VALUE"""),"Hernán")</f>
        <v>Hernán</v>
      </c>
      <c r="AT486" s="6" t="str">
        <f>IFERROR(__xludf.DUMMYFUNCTION("""COMPUTED_VALUE"""),"Rodríguez Quiñones")</f>
        <v>Rodríguez Quiñones</v>
      </c>
      <c r="AU486" s="6" t="str">
        <f>IFERROR(__xludf.DUMMYFUNCTION("""COMPUTED_VALUE"""),"hrodjorge@gmail.com")</f>
        <v>hrodjorge@gmail.com</v>
      </c>
      <c r="AV486" s="6"/>
      <c r="AW486" s="6"/>
      <c r="AX486" s="12" t="str">
        <f>IFERROR(__xludf.DUMMYFUNCTION("""COMPUTED_VALUE"""),"75096693")</f>
        <v>75096693</v>
      </c>
      <c r="AY486" s="12" t="str">
        <f>IFERROR(__xludf.DUMMYFUNCTION("""COMPUTED_VALUE"""),"3112049568")</f>
        <v>3112049568</v>
      </c>
      <c r="AZ486" s="6" t="str">
        <f>IFERROR(__xludf.DUMMYFUNCTION("""COMPUTED_VALUE"""),"Padre")</f>
        <v>Padre</v>
      </c>
      <c r="BA486" s="6" t="str">
        <f>IFERROR(__xludf.DUMMYFUNCTION("""COMPUTED_VALUE"""),"JORGE HERNAN RODRIGUEZ QUIÑONEZ")</f>
        <v>JORGE HERNAN RODRIGUEZ QUIÑONEZ</v>
      </c>
      <c r="BB486" s="6">
        <f>IFERROR(__xludf.DUMMYFUNCTION("""COMPUTED_VALUE"""),3.112049568E9)</f>
        <v>3112049568</v>
      </c>
      <c r="BC486" s="6" t="str">
        <f>IFERROR(__xludf.DUMMYFUNCTION("""COMPUTED_VALUE"""),"Otro")</f>
        <v>Otro</v>
      </c>
      <c r="BD486" s="12" t="str">
        <f>IFERROR(__xludf.DUMMYFUNCTION("""COMPUTED_VALUE"""),"gir0006")</f>
        <v>gir0006</v>
      </c>
      <c r="BE486" s="6" t="str">
        <f>IFERROR(__xludf.DUMMYFUNCTION("""COMPUTED_VALUE"""),"FALTAN FIRMAS")</f>
        <v>FALTAN FIRMAS</v>
      </c>
      <c r="BF486" s="6"/>
      <c r="BG486" s="6">
        <f>IFERROR(__xludf.DUMMYFUNCTION("""COMPUTED_VALUE"""),2033.0)</f>
        <v>2033</v>
      </c>
      <c r="BH486" s="15">
        <f>IFERROR(__xludf.DUMMYFUNCTION("""COMPUTED_VALUE"""),46212.47912037037)</f>
        <v>46212.47912</v>
      </c>
      <c r="BI486" s="6">
        <f>IFERROR(__xludf.DUMMYFUNCTION("""COMPUTED_VALUE"""),486.0)</f>
        <v>486</v>
      </c>
      <c r="BJ486" s="6"/>
      <c r="BK486" s="6"/>
      <c r="BL486" s="6" t="str">
        <f>IFERROR(__xludf.DUMMYFUNCTION("""COMPUTED_VALUE"""),"GISGIR0006")</f>
        <v>GISGIR0006</v>
      </c>
      <c r="BM486" s="6"/>
      <c r="BN486" s="6"/>
      <c r="BO486" s="6" t="str">
        <f>IFERROR(__xludf.DUMMYFUNCTION("""COMPUTED_VALUE"""),"XC_SEC_ProgRobot")</f>
        <v>XC_SEC_ProgRobot</v>
      </c>
      <c r="BP486" s="6"/>
      <c r="BQ486" s="6"/>
      <c r="BR486" s="6"/>
      <c r="BS486" s="6"/>
      <c r="BT486" s="6"/>
      <c r="BU486" s="6" t="str">
        <f>IFERROR(__xludf.DUMMYFUNCTION("""COMPUTED_VALUE"""),"SI")</f>
        <v>SI</v>
      </c>
      <c r="BV486" s="6" t="str">
        <f>IFERROR(__xludf.DUMMYFUNCTION("""COMPUTED_VALUE"""),"alana.g2033")</f>
        <v>alana.g2033</v>
      </c>
      <c r="BW486" s="6"/>
      <c r="BX486" s="6"/>
      <c r="BY486" s="6"/>
      <c r="BZ486" s="6"/>
    </row>
    <row r="487">
      <c r="A487" s="12">
        <f>IFERROR(__xludf.DUMMYFUNCTION("""COMPUTED_VALUE"""),1.042267448E9)</f>
        <v>1042267448</v>
      </c>
      <c r="B487" s="6">
        <f>IFERROR(__xludf.DUMMYFUNCTION("""COMPUTED_VALUE"""),15.0)</f>
        <v>15</v>
      </c>
      <c r="C487" s="6" t="str">
        <f>IFERROR(__xludf.DUMMYFUNCTION("""COMPUTED_VALUE"""),"Martín")</f>
        <v>Martín</v>
      </c>
      <c r="D487" s="6"/>
      <c r="E487" s="6" t="str">
        <f>IFERROR(__xludf.DUMMYFUNCTION("""COMPUTED_VALUE"""),"Gómez Salazar")</f>
        <v>Gómez Salazar</v>
      </c>
      <c r="F487" s="6" t="str">
        <f>IFERROR(__xludf.DUMMYFUNCTION("""COMPUTED_VALUE"""),"Condominio Reserva de la Pastorita Casa 19 - Av 19 No23ANte - 21")</f>
        <v>Condominio Reserva de la Pastorita Casa 19 - Av 19 No23ANte - 21</v>
      </c>
      <c r="G487" s="12" t="str">
        <f>IFERROR(__xludf.DUMMYFUNCTION("""COMPUTED_VALUE"""),"2015")</f>
        <v>2015</v>
      </c>
      <c r="H487" s="6" t="str">
        <f>IFERROR(__xludf.DUMMYFUNCTION("""COMPUTED_VALUE"""),"Enero")</f>
        <v>Enero</v>
      </c>
      <c r="I487" s="12" t="str">
        <f>IFERROR(__xludf.DUMMYFUNCTION("""COMPUTED_VALUE"""),"7")</f>
        <v>7</v>
      </c>
      <c r="J487" s="6" t="str">
        <f>IFERROR(__xludf.DUMMYFUNCTION("""COMPUTED_VALUE"""),"Puerto Colombia")</f>
        <v>Puerto Colombia</v>
      </c>
      <c r="K487" s="6" t="str">
        <f>IFERROR(__xludf.DUMMYFUNCTION("""COMPUTED_VALUE"""),"martin.g2033@gi.edu.co")</f>
        <v>martin.g2033@gi.edu.co</v>
      </c>
      <c r="L487" s="6" t="str">
        <f>IFERROR(__xludf.DUMMYFUNCTION("""COMPUTED_VALUE"""),"TI")</f>
        <v>TI</v>
      </c>
      <c r="M487" s="6" t="str">
        <f>IFERROR(__xludf.DUMMYFUNCTION("""COMPUTED_VALUE"""),"Puerto Colombia")</f>
        <v>Puerto Colombia</v>
      </c>
      <c r="N487" s="6" t="str">
        <f>IFERROR(__xludf.DUMMYFUNCTION("""COMPUTED_VALUE"""),"M")</f>
        <v>M</v>
      </c>
      <c r="O487" s="6" t="str">
        <f>IFERROR(__xludf.DUMMYFUNCTION("""COMPUTED_VALUE"""),"ACTIVE")</f>
        <v>ACTIVE</v>
      </c>
      <c r="P487" s="6"/>
      <c r="Q487" s="6" t="str">
        <f>IFERROR(__xludf.DUMMYFUNCTION("""COMPUTED_VALUE"""),"Armenia")</f>
        <v>Armenia</v>
      </c>
      <c r="R487" s="12" t="str">
        <f>IFERROR(__xludf.DUMMYFUNCTION("""COMPUTED_VALUE"""),"Gi3910mg*")</f>
        <v>Gi3910mg*</v>
      </c>
      <c r="S487" s="6" t="str">
        <f>IFERROR(__xludf.DUMMYFUNCTION("""COMPUTED_VALUE"""),"Gómez Salazar Martín ")</f>
        <v>Gómez Salazar Martín </v>
      </c>
      <c r="T487" s="6" t="str">
        <f>IFERROR(__xludf.DUMMYFUNCTION("""COMPUTED_VALUE"""),"ANDRES FELIPE GÓMEZ RESTREPO")</f>
        <v>ANDRES FELIPE GÓMEZ RESTREPO</v>
      </c>
      <c r="U487" s="12" t="str">
        <f>IFERROR(__xludf.DUMMYFUNCTION("""COMPUTED_VALUE"""),"71777734")</f>
        <v>71777734</v>
      </c>
      <c r="V487" s="6">
        <f>IFERROR(__xludf.DUMMYFUNCTION("""COMPUTED_VALUE"""),3.136493366E9)</f>
        <v>3136493366</v>
      </c>
      <c r="W487" s="6" t="str">
        <f>IFERROR(__xludf.DUMMYFUNCTION("""COMPUTED_VALUE"""),"andresfgr@hotmail.com")</f>
        <v>andresfgr@hotmail.com</v>
      </c>
      <c r="X487" s="12" t="str">
        <f>IFERROR(__xludf.DUMMYFUNCTION("""COMPUTED_VALUE"""),"O-")</f>
        <v>O-</v>
      </c>
      <c r="Y487" s="12" t="str">
        <f>IFERROR(__xludf.DUMMYFUNCTION("""COMPUTED_VALUE"""),"6")</f>
        <v>6</v>
      </c>
      <c r="Z487" s="12">
        <f>IFERROR(__xludf.DUMMYFUNCTION("""COMPUTED_VALUE"""),103910.0)</f>
        <v>103910</v>
      </c>
      <c r="AA487" s="6" t="str">
        <f>IFERROR(__xludf.DUMMYFUNCTION("""COMPUTED_VALUE"""),"SURA")</f>
        <v>SURA</v>
      </c>
      <c r="AB487" s="6" t="str">
        <f>IFERROR(__xludf.DUMMYFUNCTION("""COMPUTED_VALUE"""),"emi")</f>
        <v>emi</v>
      </c>
      <c r="AC487" s="12" t="str">
        <f>IFERROR(__xludf.DUMMYFUNCTION("""COMPUTED_VALUE"""),"A los caballos a los acaros")</f>
        <v>A los caballos a los acaros</v>
      </c>
      <c r="AD487" s="12" t="str">
        <f>IFERROR(__xludf.DUMMYFUNCTION("""COMPUTED_VALUE"""),"6B")</f>
        <v>6B</v>
      </c>
      <c r="AE487" s="12">
        <f>IFERROR(__xludf.DUMMYFUNCTION("""COMPUTED_VALUE"""),1.345281965E9)</f>
        <v>1345281965</v>
      </c>
      <c r="AF487" s="12" t="str">
        <f>IFERROR(__xludf.DUMMYFUNCTION("""COMPUTED_VALUE"""),"0696521459")</f>
        <v>0696521459</v>
      </c>
      <c r="AG487" s="12" t="str">
        <f>IFERROR(__xludf.DUMMYFUNCTION("""COMPUTED_VALUE"""),"Gloria")</f>
        <v>Gloria</v>
      </c>
      <c r="AH487" s="12" t="str">
        <f>IFERROR(__xludf.DUMMYFUNCTION("""COMPUTED_VALUE"""),"Elena")</f>
        <v>Elena</v>
      </c>
      <c r="AI487" s="6" t="str">
        <f>IFERROR(__xludf.DUMMYFUNCTION("""COMPUTED_VALUE"""),"Salazar Pérez")</f>
        <v>Salazar Pérez</v>
      </c>
      <c r="AJ487" s="6" t="str">
        <f>IFERROR(__xludf.DUMMYFUNCTION("""COMPUTED_VALUE"""),"gloriasalazar2508@hotmail.com")</f>
        <v>gloriasalazar2508@hotmail.com</v>
      </c>
      <c r="AK487" s="6" t="str">
        <f>IFERROR(__xludf.DUMMYFUNCTION("""COMPUTED_VALUE"""),"Contador público")</f>
        <v>Contador público</v>
      </c>
      <c r="AL487" s="6" t="str">
        <f>IFERROR(__xludf.DUMMYFUNCTION("""COMPUTED_VALUE"""),"Independiente")</f>
        <v>Independiente</v>
      </c>
      <c r="AM487" s="12" t="str">
        <f>IFERROR(__xludf.DUMMYFUNCTION("""COMPUTED_VALUE"""),"39456405")</f>
        <v>39456405</v>
      </c>
      <c r="AN487" s="12" t="str">
        <f>IFERROR(__xludf.DUMMYFUNCTION("""COMPUTED_VALUE"""),"3136067206")</f>
        <v>3136067206</v>
      </c>
      <c r="AO487" s="6" t="str">
        <f>IFERROR(__xludf.DUMMYFUNCTION("""COMPUTED_VALUE"""),"Madre")</f>
        <v>Madre</v>
      </c>
      <c r="AP487" s="6" t="str">
        <f>IFERROR(__xludf.DUMMYFUNCTION("""COMPUTED_VALUE"""),"Estudiante(s): Gómez Salazar")</f>
        <v>Estudiante(s): Gómez Salazar</v>
      </c>
      <c r="AQ487" s="6" t="str">
        <f>IFERROR(__xludf.DUMMYFUNCTION("""COMPUTED_VALUE"""),"103910*Gi")</f>
        <v>103910*Gi</v>
      </c>
      <c r="AR487" s="6" t="str">
        <f>IFERROR(__xludf.DUMMYFUNCTION("""COMPUTED_VALUE"""),"Andrés")</f>
        <v>Andrés</v>
      </c>
      <c r="AS487" s="6" t="str">
        <f>IFERROR(__xludf.DUMMYFUNCTION("""COMPUTED_VALUE"""),"Felipe")</f>
        <v>Felipe</v>
      </c>
      <c r="AT487" s="6" t="str">
        <f>IFERROR(__xludf.DUMMYFUNCTION("""COMPUTED_VALUE"""),"Gómez Restrepo")</f>
        <v>Gómez Restrepo</v>
      </c>
      <c r="AU487" s="6" t="str">
        <f>IFERROR(__xludf.DUMMYFUNCTION("""COMPUTED_VALUE"""),"andresfgr@hotmail.com")</f>
        <v>andresfgr@hotmail.com</v>
      </c>
      <c r="AV487" s="6" t="str">
        <f>IFERROR(__xludf.DUMMYFUNCTION("""COMPUTED_VALUE"""),"Administrador de empresas")</f>
        <v>Administrador de empresas</v>
      </c>
      <c r="AW487" s="6" t="str">
        <f>IFERROR(__xludf.DUMMYFUNCTION("""COMPUTED_VALUE"""),"Facilisimo")</f>
        <v>Facilisimo</v>
      </c>
      <c r="AX487" s="12" t="str">
        <f>IFERROR(__xludf.DUMMYFUNCTION("""COMPUTED_VALUE"""),"71777734")</f>
        <v>71777734</v>
      </c>
      <c r="AY487" s="12" t="str">
        <f>IFERROR(__xludf.DUMMYFUNCTION("""COMPUTED_VALUE"""),"3136493366")</f>
        <v>3136493366</v>
      </c>
      <c r="AZ487" s="6" t="str">
        <f>IFERROR(__xludf.DUMMYFUNCTION("""COMPUTED_VALUE"""),"Padre")</f>
        <v>Padre</v>
      </c>
      <c r="BA487" s="6"/>
      <c r="BB487" s="6"/>
      <c r="BC487" s="6"/>
      <c r="BD487" s="12" t="str">
        <f>IFERROR(__xludf.DUMMYFUNCTION("""COMPUTED_VALUE"""),"gme0019")</f>
        <v>gme0019</v>
      </c>
      <c r="BE487" s="6"/>
      <c r="BF487" s="6"/>
      <c r="BG487" s="6">
        <f>IFERROR(__xludf.DUMMYFUNCTION("""COMPUTED_VALUE"""),2033.0)</f>
        <v>2033</v>
      </c>
      <c r="BH487" s="15">
        <f>IFERROR(__xludf.DUMMYFUNCTION("""COMPUTED_VALUE"""),46209.64508101852)</f>
        <v>46209.64508</v>
      </c>
      <c r="BI487" s="6">
        <f>IFERROR(__xludf.DUMMYFUNCTION("""COMPUTED_VALUE"""),487.0)</f>
        <v>487</v>
      </c>
      <c r="BJ487" s="6"/>
      <c r="BK487" s="6"/>
      <c r="BL487" s="6" t="str">
        <f>IFERROR(__xludf.DUMMYFUNCTION("""COMPUTED_VALUE"""),"GISGME0019")</f>
        <v>GISGME0019</v>
      </c>
      <c r="BM487" s="6"/>
      <c r="BN487" s="6"/>
      <c r="BO487" s="6" t="str">
        <f>IFERROR(__xludf.DUMMYFUNCTION("""COMPUTED_VALUE"""),"XC_MS_Futbol_M")</f>
        <v>XC_MS_Futbol_M</v>
      </c>
      <c r="BP487" s="6"/>
      <c r="BQ487" s="6" t="str">
        <f>IFERROR(__xludf.DUMMYFUNCTION("""COMPUTED_VALUE"""),"XC_MS_Futbol_M")</f>
        <v>XC_MS_Futbol_M</v>
      </c>
      <c r="BR487" s="6" t="str">
        <f>IFERROR(__xludf.DUMMYFUNCTION("""COMPUTED_VALUE"""),"XC_MS_Futbol_M")</f>
        <v>XC_MS_Futbol_M</v>
      </c>
      <c r="BS487" s="6"/>
      <c r="BT487" s="6" t="str">
        <f>IFERROR(__xludf.DUMMYFUNCTION("""COMPUTED_VALUE"""),"XC_MS_Futbol_M")</f>
        <v>XC_MS_Futbol_M</v>
      </c>
      <c r="BU487" s="6" t="str">
        <f>IFERROR(__xludf.DUMMYFUNCTION("""COMPUTED_VALUE"""),"SI")</f>
        <v>SI</v>
      </c>
      <c r="BV487" s="6" t="str">
        <f>IFERROR(__xludf.DUMMYFUNCTION("""COMPUTED_VALUE"""),"martin.g2033")</f>
        <v>martin.g2033</v>
      </c>
      <c r="BW487" s="6"/>
      <c r="BX487" s="6"/>
      <c r="BY487" s="6"/>
      <c r="BZ487" s="6"/>
    </row>
    <row r="488">
      <c r="A488" s="12">
        <f>IFERROR(__xludf.DUMMYFUNCTION("""COMPUTED_VALUE"""),1.092858534E9)</f>
        <v>1092858534</v>
      </c>
      <c r="B488" s="6">
        <f>IFERROR(__xludf.DUMMYFUNCTION("""COMPUTED_VALUE"""),16.0)</f>
        <v>16</v>
      </c>
      <c r="C488" s="6" t="str">
        <f>IFERROR(__xludf.DUMMYFUNCTION("""COMPUTED_VALUE"""),"Jacobo")</f>
        <v>Jacobo</v>
      </c>
      <c r="D488" s="6"/>
      <c r="E488" s="6" t="str">
        <f>IFERROR(__xludf.DUMMYFUNCTION("""COMPUTED_VALUE"""),"Hurtado Pérez")</f>
        <v>Hurtado Pérez</v>
      </c>
      <c r="F488" s="6" t="str">
        <f>IFERROR(__xludf.DUMMYFUNCTION("""COMPUTED_VALUE"""),"Condominio Toledo Campestre Casa 17 Sector 2 - Calle 23Nte No24 - 01")</f>
        <v>Condominio Toledo Campestre Casa 17 Sector 2 - Calle 23Nte No24 - 01</v>
      </c>
      <c r="G488" s="12" t="str">
        <f>IFERROR(__xludf.DUMMYFUNCTION("""COMPUTED_VALUE"""),"2015")</f>
        <v>2015</v>
      </c>
      <c r="H488" s="6" t="str">
        <f>IFERROR(__xludf.DUMMYFUNCTION("""COMPUTED_VALUE"""),"Febrero")</f>
        <v>Febrero</v>
      </c>
      <c r="I488" s="12" t="str">
        <f>IFERROR(__xludf.DUMMYFUNCTION("""COMPUTED_VALUE"""),"26")</f>
        <v>26</v>
      </c>
      <c r="J488" s="6" t="str">
        <f>IFERROR(__xludf.DUMMYFUNCTION("""COMPUTED_VALUE"""),"Armenia")</f>
        <v>Armenia</v>
      </c>
      <c r="K488" s="6" t="str">
        <f>IFERROR(__xludf.DUMMYFUNCTION("""COMPUTED_VALUE"""),"jacobo.h2033@gi.edu.co")</f>
        <v>jacobo.h2033@gi.edu.co</v>
      </c>
      <c r="L488" s="6" t="str">
        <f>IFERROR(__xludf.DUMMYFUNCTION("""COMPUTED_VALUE"""),"TI")</f>
        <v>TI</v>
      </c>
      <c r="M488" s="6" t="str">
        <f>IFERROR(__xludf.DUMMYFUNCTION("""COMPUTED_VALUE"""),"Armenia")</f>
        <v>Armenia</v>
      </c>
      <c r="N488" s="6" t="str">
        <f>IFERROR(__xludf.DUMMYFUNCTION("""COMPUTED_VALUE"""),"M")</f>
        <v>M</v>
      </c>
      <c r="O488" s="6" t="str">
        <f>IFERROR(__xludf.DUMMYFUNCTION("""COMPUTED_VALUE"""),"ACTIVE")</f>
        <v>ACTIVE</v>
      </c>
      <c r="P488" s="6"/>
      <c r="Q488" s="6" t="str">
        <f>IFERROR(__xludf.DUMMYFUNCTION("""COMPUTED_VALUE"""),"Armenia")</f>
        <v>Armenia</v>
      </c>
      <c r="R488" s="12" t="str">
        <f>IFERROR(__xludf.DUMMYFUNCTION("""COMPUTED_VALUE"""),"Giln56er21a*")</f>
        <v>Giln56er21a*</v>
      </c>
      <c r="S488" s="6" t="str">
        <f>IFERROR(__xludf.DUMMYFUNCTION("""COMPUTED_VALUE"""),"Hurtado Pérez Jacobo ")</f>
        <v>Hurtado Pérez Jacobo </v>
      </c>
      <c r="T488" s="6" t="str">
        <f>IFERROR(__xludf.DUMMYFUNCTION("""COMPUTED_VALUE"""),"ÓSCAR ANDRÉS HURTADO FERNÁNDEZ")</f>
        <v>ÓSCAR ANDRÉS HURTADO FERNÁNDEZ</v>
      </c>
      <c r="U488" s="12" t="str">
        <f>IFERROR(__xludf.DUMMYFUNCTION("""COMPUTED_VALUE"""),"89008186")</f>
        <v>89008186</v>
      </c>
      <c r="V488" s="6">
        <f>IFERROR(__xludf.DUMMYFUNCTION("""COMPUTED_VALUE"""),3.165209964E9)</f>
        <v>3165209964</v>
      </c>
      <c r="W488" s="6" t="str">
        <f>IFERROR(__xludf.DUMMYFUNCTION("""COMPUTED_VALUE"""),"oscarandres127@hotmail.com")</f>
        <v>oscarandres127@hotmail.com</v>
      </c>
      <c r="X488" s="12" t="str">
        <f>IFERROR(__xludf.DUMMYFUNCTION("""COMPUTED_VALUE"""),"A-")</f>
        <v>A-</v>
      </c>
      <c r="Y488" s="12" t="str">
        <f>IFERROR(__xludf.DUMMYFUNCTION("""COMPUTED_VALUE"""),"6")</f>
        <v>6</v>
      </c>
      <c r="Z488" s="12">
        <f>IFERROR(__xludf.DUMMYFUNCTION("""COMPUTED_VALUE"""),120066.0)</f>
        <v>120066</v>
      </c>
      <c r="AA488" s="6" t="str">
        <f>IFERROR(__xludf.DUMMYFUNCTION("""COMPUTED_VALUE"""),"OTRA")</f>
        <v>OTRA</v>
      </c>
      <c r="AB488" s="6"/>
      <c r="AC488" s="6"/>
      <c r="AD488" s="12" t="str">
        <f>IFERROR(__xludf.DUMMYFUNCTION("""COMPUTED_VALUE"""),"6B")</f>
        <v>6B</v>
      </c>
      <c r="AE488" s="12">
        <f>IFERROR(__xludf.DUMMYFUNCTION("""COMPUTED_VALUE"""),1.345282113E9)</f>
        <v>1345282113</v>
      </c>
      <c r="AF488" s="12" t="str">
        <f>IFERROR(__xludf.DUMMYFUNCTION("""COMPUTED_VALUE"""),"0651253123")</f>
        <v>0651253123</v>
      </c>
      <c r="AG488" s="12" t="str">
        <f>IFERROR(__xludf.DUMMYFUNCTION("""COMPUTED_VALUE"""),"Rosa")</f>
        <v>Rosa</v>
      </c>
      <c r="AH488" s="12" t="str">
        <f>IFERROR(__xludf.DUMMYFUNCTION("""COMPUTED_VALUE"""),"Judith")</f>
        <v>Judith</v>
      </c>
      <c r="AI488" s="6" t="str">
        <f>IFERROR(__xludf.DUMMYFUNCTION("""COMPUTED_VALUE"""),"Pérez Yucumá")</f>
        <v>Pérez Yucumá</v>
      </c>
      <c r="AJ488" s="6" t="str">
        <f>IFERROR(__xludf.DUMMYFUNCTION("""COMPUTED_VALUE"""),"rojuth@gmail.com")</f>
        <v>rojuth@gmail.com</v>
      </c>
      <c r="AK488" s="6" t="str">
        <f>IFERROR(__xludf.DUMMYFUNCTION("""COMPUTED_VALUE"""),"Directivo Docente")</f>
        <v>Directivo Docente</v>
      </c>
      <c r="AL488" s="6" t="str">
        <f>IFERROR(__xludf.DUMMYFUNCTION("""COMPUTED_VALUE"""),"Secretaría de Educación")</f>
        <v>Secretaría de Educación</v>
      </c>
      <c r="AM488" s="12" t="str">
        <f>IFERROR(__xludf.DUMMYFUNCTION("""COMPUTED_VALUE"""),"41935616")</f>
        <v>41935616</v>
      </c>
      <c r="AN488" s="12" t="str">
        <f>IFERROR(__xludf.DUMMYFUNCTION("""COMPUTED_VALUE"""),"3117690590")</f>
        <v>3117690590</v>
      </c>
      <c r="AO488" s="6" t="str">
        <f>IFERROR(__xludf.DUMMYFUNCTION("""COMPUTED_VALUE"""),"Madre")</f>
        <v>Madre</v>
      </c>
      <c r="AP488" s="6" t="str">
        <f>IFERROR(__xludf.DUMMYFUNCTION("""COMPUTED_VALUE"""),"Estudiante(s): Hurtado Pérez")</f>
        <v>Estudiante(s): Hurtado Pérez</v>
      </c>
      <c r="AQ488" s="6" t="str">
        <f>IFERROR(__xludf.DUMMYFUNCTION("""COMPUTED_VALUE"""),"120098*Gi")</f>
        <v>120098*Gi</v>
      </c>
      <c r="AR488" s="6" t="str">
        <f>IFERROR(__xludf.DUMMYFUNCTION("""COMPUTED_VALUE"""),"Óscar")</f>
        <v>Óscar</v>
      </c>
      <c r="AS488" s="6" t="str">
        <f>IFERROR(__xludf.DUMMYFUNCTION("""COMPUTED_VALUE"""),"Andrés")</f>
        <v>Andrés</v>
      </c>
      <c r="AT488" s="6" t="str">
        <f>IFERROR(__xludf.DUMMYFUNCTION("""COMPUTED_VALUE"""),"Hurtado Fernández")</f>
        <v>Hurtado Fernández</v>
      </c>
      <c r="AU488" s="6" t="str">
        <f>IFERROR(__xludf.DUMMYFUNCTION("""COMPUTED_VALUE"""),"oscarandres127@hotmail.com")</f>
        <v>oscarandres127@hotmail.com</v>
      </c>
      <c r="AV488" s="6" t="str">
        <f>IFERROR(__xludf.DUMMYFUNCTION("""COMPUTED_VALUE"""),"Ingeniero Civil")</f>
        <v>Ingeniero Civil</v>
      </c>
      <c r="AW488" s="6" t="str">
        <f>IFERROR(__xludf.DUMMYFUNCTION("""COMPUTED_VALUE"""),"Av. Centenario Vereda San Juan Casa 1 - FINCA EL REFUGIO")</f>
        <v>Av. Centenario Vereda San Juan Casa 1 - FINCA EL REFUGIO</v>
      </c>
      <c r="AX488" s="12" t="str">
        <f>IFERROR(__xludf.DUMMYFUNCTION("""COMPUTED_VALUE"""),"89008186")</f>
        <v>89008186</v>
      </c>
      <c r="AY488" s="12" t="str">
        <f>IFERROR(__xludf.DUMMYFUNCTION("""COMPUTED_VALUE"""),"3165209964")</f>
        <v>3165209964</v>
      </c>
      <c r="AZ488" s="6" t="str">
        <f>IFERROR(__xludf.DUMMYFUNCTION("""COMPUTED_VALUE"""),"Padre")</f>
        <v>Padre</v>
      </c>
      <c r="BA488" s="6"/>
      <c r="BB488" s="6"/>
      <c r="BC488" s="6"/>
      <c r="BD488" s="12" t="str">
        <f>IFERROR(__xludf.DUMMYFUNCTION("""COMPUTED_VALUE"""),"hur0001")</f>
        <v>hur0001</v>
      </c>
      <c r="BE488" s="6"/>
      <c r="BF488" s="6"/>
      <c r="BG488" s="6">
        <f>IFERROR(__xludf.DUMMYFUNCTION("""COMPUTED_VALUE"""),2033.0)</f>
        <v>2033</v>
      </c>
      <c r="BH488" s="15">
        <f>IFERROR(__xludf.DUMMYFUNCTION("""COMPUTED_VALUE"""),46231.868622685186)</f>
        <v>46231.86862</v>
      </c>
      <c r="BI488" s="6">
        <f>IFERROR(__xludf.DUMMYFUNCTION("""COMPUTED_VALUE"""),488.0)</f>
        <v>488</v>
      </c>
      <c r="BJ488" s="6"/>
      <c r="BK488" s="6"/>
      <c r="BL488" s="6" t="str">
        <f>IFERROR(__xludf.DUMMYFUNCTION("""COMPUTED_VALUE"""),"GISHUR0001")</f>
        <v>GISHUR0001</v>
      </c>
      <c r="BM488" s="6"/>
      <c r="BN488" s="6"/>
      <c r="BO488" s="6" t="str">
        <f>IFERROR(__xludf.DUMMYFUNCTION("""COMPUTED_VALUE"""),"XC_MS_Futbol_M")</f>
        <v>XC_MS_Futbol_M</v>
      </c>
      <c r="BP488" s="6"/>
      <c r="BQ488" s="6" t="str">
        <f>IFERROR(__xludf.DUMMYFUNCTION("""COMPUTED_VALUE"""),"XC_MS_Futbol_M")</f>
        <v>XC_MS_Futbol_M</v>
      </c>
      <c r="BR488" s="6" t="str">
        <f>IFERROR(__xludf.DUMMYFUNCTION("""COMPUTED_VALUE"""),"XC_MS_Futbol_M")</f>
        <v>XC_MS_Futbol_M</v>
      </c>
      <c r="BS488" s="6"/>
      <c r="BT488" s="6" t="str">
        <f>IFERROR(__xludf.DUMMYFUNCTION("""COMPUTED_VALUE"""),"XC_MS_Futbol_M")</f>
        <v>XC_MS_Futbol_M</v>
      </c>
      <c r="BU488" s="6" t="str">
        <f>IFERROR(__xludf.DUMMYFUNCTION("""COMPUTED_VALUE"""),"SI")</f>
        <v>SI</v>
      </c>
      <c r="BV488" s="6" t="str">
        <f>IFERROR(__xludf.DUMMYFUNCTION("""COMPUTED_VALUE"""),"jacobo.h2033")</f>
        <v>jacobo.h2033</v>
      </c>
      <c r="BW488" s="6"/>
      <c r="BX488" s="6"/>
      <c r="BY488" s="6"/>
      <c r="BZ488" s="6"/>
    </row>
    <row r="489">
      <c r="A489" s="12">
        <f>IFERROR(__xludf.DUMMYFUNCTION("""COMPUTED_VALUE"""),1.092858523E9)</f>
        <v>1092858523</v>
      </c>
      <c r="B489" s="6">
        <f>IFERROR(__xludf.DUMMYFUNCTION("""COMPUTED_VALUE"""),17.0)</f>
        <v>17</v>
      </c>
      <c r="C489" s="6" t="str">
        <f>IFERROR(__xludf.DUMMYFUNCTION("""COMPUTED_VALUE"""),"Susana")</f>
        <v>Susana</v>
      </c>
      <c r="D489" s="6"/>
      <c r="E489" s="6" t="str">
        <f>IFERROR(__xludf.DUMMYFUNCTION("""COMPUTED_VALUE"""),"López Mejía")</f>
        <v>López Mejía</v>
      </c>
      <c r="F489" s="6" t="str">
        <f>IFERROR(__xludf.DUMMYFUNCTION("""COMPUTED_VALUE"""),"Cra 11 No24Nte - 75 Casa D-10 - COINCA")</f>
        <v>Cra 11 No24Nte - 75 Casa D-10 - COINCA</v>
      </c>
      <c r="G489" s="12" t="str">
        <f>IFERROR(__xludf.DUMMYFUNCTION("""COMPUTED_VALUE"""),"2015")</f>
        <v>2015</v>
      </c>
      <c r="H489" s="6" t="str">
        <f>IFERROR(__xludf.DUMMYFUNCTION("""COMPUTED_VALUE"""),"Febrero")</f>
        <v>Febrero</v>
      </c>
      <c r="I489" s="12" t="str">
        <f>IFERROR(__xludf.DUMMYFUNCTION("""COMPUTED_VALUE"""),"23")</f>
        <v>23</v>
      </c>
      <c r="J489" s="6" t="str">
        <f>IFERROR(__xludf.DUMMYFUNCTION("""COMPUTED_VALUE"""),"Armenia")</f>
        <v>Armenia</v>
      </c>
      <c r="K489" s="6" t="str">
        <f>IFERROR(__xludf.DUMMYFUNCTION("""COMPUTED_VALUE"""),"susana.l2033@gi.edu.co")</f>
        <v>susana.l2033@gi.edu.co</v>
      </c>
      <c r="L489" s="6" t="str">
        <f>IFERROR(__xludf.DUMMYFUNCTION("""COMPUTED_VALUE"""),"TI")</f>
        <v>TI</v>
      </c>
      <c r="M489" s="6" t="str">
        <f>IFERROR(__xludf.DUMMYFUNCTION("""COMPUTED_VALUE"""),"Armenia")</f>
        <v>Armenia</v>
      </c>
      <c r="N489" s="6" t="str">
        <f>IFERROR(__xludf.DUMMYFUNCTION("""COMPUTED_VALUE"""),"F")</f>
        <v>F</v>
      </c>
      <c r="O489" s="6" t="str">
        <f>IFERROR(__xludf.DUMMYFUNCTION("""COMPUTED_VALUE"""),"ACTIVE")</f>
        <v>ACTIVE</v>
      </c>
      <c r="P489" s="6"/>
      <c r="Q489" s="6" t="str">
        <f>IFERROR(__xludf.DUMMYFUNCTION("""COMPUTED_VALUE"""),"Armenia")</f>
        <v>Armenia</v>
      </c>
      <c r="R489" s="12" t="str">
        <f>IFERROR(__xludf.DUMMYFUNCTION("""COMPUTED_VALUE"""),"Giyufr4e3*")</f>
        <v>Giyufr4e3*</v>
      </c>
      <c r="S489" s="6" t="str">
        <f>IFERROR(__xludf.DUMMYFUNCTION("""COMPUTED_VALUE"""),"López Mejía Susana ")</f>
        <v>López Mejía Susana </v>
      </c>
      <c r="T489" s="6" t="str">
        <f>IFERROR(__xludf.DUMMYFUNCTION("""COMPUTED_VALUE"""),"LEONARDO LÓPEZ GUTIERREZ")</f>
        <v>LEONARDO LÓPEZ GUTIERREZ</v>
      </c>
      <c r="U489" s="12" t="str">
        <f>IFERROR(__xludf.DUMMYFUNCTION("""COMPUTED_VALUE"""),"18496999")</f>
        <v>18496999</v>
      </c>
      <c r="V489" s="6">
        <f>IFERROR(__xludf.DUMMYFUNCTION("""COMPUTED_VALUE"""),3.116080197E9)</f>
        <v>3116080197</v>
      </c>
      <c r="W489" s="6" t="str">
        <f>IFERROR(__xludf.DUMMYFUNCTION("""COMPUTED_VALUE"""),"leonardolopez0217@gmail.com")</f>
        <v>leonardolopez0217@gmail.com</v>
      </c>
      <c r="X489" s="12" t="str">
        <f>IFERROR(__xludf.DUMMYFUNCTION("""COMPUTED_VALUE"""),"O+")</f>
        <v>O+</v>
      </c>
      <c r="Y489" s="12" t="str">
        <f>IFERROR(__xludf.DUMMYFUNCTION("""COMPUTED_VALUE"""),"6")</f>
        <v>6</v>
      </c>
      <c r="Z489" s="12">
        <f>IFERROR(__xludf.DUMMYFUNCTION("""COMPUTED_VALUE"""),103678.0)</f>
        <v>103678</v>
      </c>
      <c r="AA489" s="6" t="str">
        <f>IFERROR(__xludf.DUMMYFUNCTION("""COMPUTED_VALUE"""),"SANITAS")</f>
        <v>SANITAS</v>
      </c>
      <c r="AB489" s="6"/>
      <c r="AC489" s="6"/>
      <c r="AD489" s="12" t="str">
        <f>IFERROR(__xludf.DUMMYFUNCTION("""COMPUTED_VALUE"""),"6B")</f>
        <v>6B</v>
      </c>
      <c r="AE489" s="12">
        <f>IFERROR(__xludf.DUMMYFUNCTION("""COMPUTED_VALUE"""),1.345281835E9)</f>
        <v>1345281835</v>
      </c>
      <c r="AF489" s="12" t="str">
        <f>IFERROR(__xludf.DUMMYFUNCTION("""COMPUTED_VALUE"""),"0699933827")</f>
        <v>0699933827</v>
      </c>
      <c r="AG489" s="12" t="str">
        <f>IFERROR(__xludf.DUMMYFUNCTION("""COMPUTED_VALUE"""),"Lorena")</f>
        <v>Lorena</v>
      </c>
      <c r="AH489" s="6"/>
      <c r="AI489" s="6" t="str">
        <f>IFERROR(__xludf.DUMMYFUNCTION("""COMPUTED_VALUE"""),"Mejía Arana")</f>
        <v>Mejía Arana</v>
      </c>
      <c r="AJ489" s="6" t="str">
        <f>IFERROR(__xludf.DUMMYFUNCTION("""COMPUTED_VALUE"""),"loremejia1982@yahoo.es")</f>
        <v>loremejia1982@yahoo.es</v>
      </c>
      <c r="AK489" s="6" t="str">
        <f>IFERROR(__xludf.DUMMYFUNCTION("""COMPUTED_VALUE"""),"ABOGADA")</f>
        <v>ABOGADA</v>
      </c>
      <c r="AL489" s="6" t="str">
        <f>IFERROR(__xludf.DUMMYFUNCTION("""COMPUTED_VALUE"""),"PROCURADURIA GENERAL DE LA NACION")</f>
        <v>PROCURADURIA GENERAL DE LA NACION</v>
      </c>
      <c r="AM489" s="12" t="str">
        <f>IFERROR(__xludf.DUMMYFUNCTION("""COMPUTED_VALUE"""),"41953955")</f>
        <v>41953955</v>
      </c>
      <c r="AN489" s="12" t="str">
        <f>IFERROR(__xludf.DUMMYFUNCTION("""COMPUTED_VALUE"""),"3137896520")</f>
        <v>3137896520</v>
      </c>
      <c r="AO489" s="6" t="str">
        <f>IFERROR(__xludf.DUMMYFUNCTION("""COMPUTED_VALUE"""),"Madre")</f>
        <v>Madre</v>
      </c>
      <c r="AP489" s="6" t="str">
        <f>IFERROR(__xludf.DUMMYFUNCTION("""COMPUTED_VALUE"""),"Estudiante(s): López Mejía")</f>
        <v>Estudiante(s): López Mejía</v>
      </c>
      <c r="AQ489" s="6" t="str">
        <f>IFERROR(__xludf.DUMMYFUNCTION("""COMPUTED_VALUE"""),"103678*Gi")</f>
        <v>103678*Gi</v>
      </c>
      <c r="AR489" s="6" t="str">
        <f>IFERROR(__xludf.DUMMYFUNCTION("""COMPUTED_VALUE"""),"Leonardo")</f>
        <v>Leonardo</v>
      </c>
      <c r="AS489" s="6"/>
      <c r="AT489" s="6" t="str">
        <f>IFERROR(__xludf.DUMMYFUNCTION("""COMPUTED_VALUE"""),"López Gutiérrez")</f>
        <v>López Gutiérrez</v>
      </c>
      <c r="AU489" s="6" t="str">
        <f>IFERROR(__xludf.DUMMYFUNCTION("""COMPUTED_VALUE"""),"leonardolopez0217@gmail.com")</f>
        <v>leonardolopez0217@gmail.com</v>
      </c>
      <c r="AV489" s="6" t="str">
        <f>IFERROR(__xludf.DUMMYFUNCTION("""COMPUTED_VALUE"""),"ABOGADO")</f>
        <v>ABOGADO</v>
      </c>
      <c r="AW489" s="6"/>
      <c r="AX489" s="12" t="str">
        <f>IFERROR(__xludf.DUMMYFUNCTION("""COMPUTED_VALUE"""),"18496999")</f>
        <v>18496999</v>
      </c>
      <c r="AY489" s="12" t="str">
        <f>IFERROR(__xludf.DUMMYFUNCTION("""COMPUTED_VALUE"""),"3116080197")</f>
        <v>3116080197</v>
      </c>
      <c r="AZ489" s="6" t="str">
        <f>IFERROR(__xludf.DUMMYFUNCTION("""COMPUTED_VALUE"""),"Padre")</f>
        <v>Padre</v>
      </c>
      <c r="BA489" s="6"/>
      <c r="BB489" s="6"/>
      <c r="BC489" s="6"/>
      <c r="BD489" s="12" t="str">
        <f>IFERROR(__xludf.DUMMYFUNCTION("""COMPUTED_VALUE"""),"lop0005")</f>
        <v>lop0005</v>
      </c>
      <c r="BE489" s="6"/>
      <c r="BF489" s="6"/>
      <c r="BG489" s="6">
        <f>IFERROR(__xludf.DUMMYFUNCTION("""COMPUTED_VALUE"""),2033.0)</f>
        <v>2033</v>
      </c>
      <c r="BH489" s="15">
        <f>IFERROR(__xludf.DUMMYFUNCTION("""COMPUTED_VALUE"""),46205.40659722222)</f>
        <v>46205.4066</v>
      </c>
      <c r="BI489" s="6">
        <f>IFERROR(__xludf.DUMMYFUNCTION("""COMPUTED_VALUE"""),489.0)</f>
        <v>489</v>
      </c>
      <c r="BJ489" s="6"/>
      <c r="BK489" s="6"/>
      <c r="BL489" s="6" t="str">
        <f>IFERROR(__xludf.DUMMYFUNCTION("""COMPUTED_VALUE"""),"GISLOP0005")</f>
        <v>GISLOP0005</v>
      </c>
      <c r="BM489" s="6"/>
      <c r="BN489" s="6"/>
      <c r="BO489" s="6" t="str">
        <f>IFERROR(__xludf.DUMMYFUNCTION("""COMPUTED_VALUE"""),"XC_MS_Voleibol_F")</f>
        <v>XC_MS_Voleibol_F</v>
      </c>
      <c r="BP489" s="6"/>
      <c r="BQ489" s="6" t="str">
        <f>IFERROR(__xludf.DUMMYFUNCTION("""COMPUTED_VALUE"""),"XC_MS_Voleibol_F")</f>
        <v>XC_MS_Voleibol_F</v>
      </c>
      <c r="BR489" s="6" t="str">
        <f>IFERROR(__xludf.DUMMYFUNCTION("""COMPUTED_VALUE"""),"XC_MS_Voleibol_F")</f>
        <v>XC_MS_Voleibol_F</v>
      </c>
      <c r="BS489" s="6"/>
      <c r="BT489" s="6" t="str">
        <f>IFERROR(__xludf.DUMMYFUNCTION("""COMPUTED_VALUE"""),"XC_MS_Voleibol_F")</f>
        <v>XC_MS_Voleibol_F</v>
      </c>
      <c r="BU489" s="6" t="str">
        <f>IFERROR(__xludf.DUMMYFUNCTION("""COMPUTED_VALUE"""),"SI")</f>
        <v>SI</v>
      </c>
      <c r="BV489" s="6" t="str">
        <f>IFERROR(__xludf.DUMMYFUNCTION("""COMPUTED_VALUE"""),"susana.l2033")</f>
        <v>susana.l2033</v>
      </c>
      <c r="BW489" s="6"/>
      <c r="BX489" s="6"/>
      <c r="BY489" s="6"/>
      <c r="BZ489" s="6"/>
    </row>
    <row r="490">
      <c r="A490" s="12">
        <f>IFERROR(__xludf.DUMMYFUNCTION("""COMPUTED_VALUE"""),1.094959852E9)</f>
        <v>1094959852</v>
      </c>
      <c r="B490" s="6">
        <f>IFERROR(__xludf.DUMMYFUNCTION("""COMPUTED_VALUE"""),18.0)</f>
        <v>18</v>
      </c>
      <c r="C490" s="6" t="str">
        <f>IFERROR(__xludf.DUMMYFUNCTION("""COMPUTED_VALUE"""),"Juan")</f>
        <v>Juan</v>
      </c>
      <c r="D490" s="6" t="str">
        <f>IFERROR(__xludf.DUMMYFUNCTION("""COMPUTED_VALUE"""),"Sebastián")</f>
        <v>Sebastián</v>
      </c>
      <c r="E490" s="6" t="str">
        <f>IFERROR(__xludf.DUMMYFUNCTION("""COMPUTED_VALUE"""),"López Morales")</f>
        <v>López Morales</v>
      </c>
      <c r="F490" s="6" t="str">
        <f>IFERROR(__xludf.DUMMYFUNCTION("""COMPUTED_VALUE"""),"Conjunto Las Colinas Casa 15 - Km 5 Via Armenia Pereira")</f>
        <v>Conjunto Las Colinas Casa 15 - Km 5 Via Armenia Pereira</v>
      </c>
      <c r="G490" s="12" t="str">
        <f>IFERROR(__xludf.DUMMYFUNCTION("""COMPUTED_VALUE"""),"2014")</f>
        <v>2014</v>
      </c>
      <c r="H490" s="6" t="str">
        <f>IFERROR(__xludf.DUMMYFUNCTION("""COMPUTED_VALUE"""),"Noviembre")</f>
        <v>Noviembre</v>
      </c>
      <c r="I490" s="12" t="str">
        <f>IFERROR(__xludf.DUMMYFUNCTION("""COMPUTED_VALUE"""),"27")</f>
        <v>27</v>
      </c>
      <c r="J490" s="6" t="str">
        <f>IFERROR(__xludf.DUMMYFUNCTION("""COMPUTED_VALUE"""),"Armenia")</f>
        <v>Armenia</v>
      </c>
      <c r="K490" s="6" t="str">
        <f>IFERROR(__xludf.DUMMYFUNCTION("""COMPUTED_VALUE"""),"juan.l2033@gi.edu.co")</f>
        <v>juan.l2033@gi.edu.co</v>
      </c>
      <c r="L490" s="6" t="str">
        <f>IFERROR(__xludf.DUMMYFUNCTION("""COMPUTED_VALUE"""),"TI")</f>
        <v>TI</v>
      </c>
      <c r="M490" s="6" t="str">
        <f>IFERROR(__xludf.DUMMYFUNCTION("""COMPUTED_VALUE"""),"Armenia")</f>
        <v>Armenia</v>
      </c>
      <c r="N490" s="6" t="str">
        <f>IFERROR(__xludf.DUMMYFUNCTION("""COMPUTED_VALUE"""),"M")</f>
        <v>M</v>
      </c>
      <c r="O490" s="6" t="str">
        <f>IFERROR(__xludf.DUMMYFUNCTION("""COMPUTED_VALUE"""),"ACTIVE")</f>
        <v>ACTIVE</v>
      </c>
      <c r="P490" s="6"/>
      <c r="Q490" s="6" t="str">
        <f>IFERROR(__xludf.DUMMYFUNCTION("""COMPUTED_VALUE"""),"Armenia")</f>
        <v>Armenia</v>
      </c>
      <c r="R490" s="12" t="str">
        <f>IFERROR(__xludf.DUMMYFUNCTION("""COMPUTED_VALUE"""),"G7bi887hn*")</f>
        <v>G7bi887hn*</v>
      </c>
      <c r="S490" s="6" t="str">
        <f>IFERROR(__xludf.DUMMYFUNCTION("""COMPUTED_VALUE"""),"López Morales Juan Sebastián")</f>
        <v>López Morales Juan Sebastián</v>
      </c>
      <c r="T490" s="6" t="str">
        <f>IFERROR(__xludf.DUMMYFUNCTION("""COMPUTED_VALUE"""),"JUAN GUILLERMO LÓPEZ VALENCIA")</f>
        <v>JUAN GUILLERMO LÓPEZ VALENCIA</v>
      </c>
      <c r="U490" s="12" t="str">
        <f>IFERROR(__xludf.DUMMYFUNCTION("""COMPUTED_VALUE"""),"89006101")</f>
        <v>89006101</v>
      </c>
      <c r="V490" s="6">
        <f>IFERROR(__xludf.DUMMYFUNCTION("""COMPUTED_VALUE"""),3.103808985E9)</f>
        <v>3103808985</v>
      </c>
      <c r="W490" s="6" t="str">
        <f>IFERROR(__xludf.DUMMYFUNCTION("""COMPUTED_VALUE"""),"jg.lopez@hotmail.com")</f>
        <v>jg.lopez@hotmail.com</v>
      </c>
      <c r="X490" s="12" t="str">
        <f>IFERROR(__xludf.DUMMYFUNCTION("""COMPUTED_VALUE"""),"O+")</f>
        <v>O+</v>
      </c>
      <c r="Y490" s="12" t="str">
        <f>IFERROR(__xludf.DUMMYFUNCTION("""COMPUTED_VALUE"""),"6")</f>
        <v>6</v>
      </c>
      <c r="Z490" s="12">
        <f>IFERROR(__xludf.DUMMYFUNCTION("""COMPUTED_VALUE"""),103580.0)</f>
        <v>103580</v>
      </c>
      <c r="AA490" s="6" t="str">
        <f>IFERROR(__xludf.DUMMYFUNCTION("""COMPUTED_VALUE"""),"SURA")</f>
        <v>SURA</v>
      </c>
      <c r="AB490" s="6" t="str">
        <f>IFERROR(__xludf.DUMMYFUNCTION("""COMPUTED_VALUE"""),"SALUD GLOBAL DE SURA")</f>
        <v>SALUD GLOBAL DE SURA</v>
      </c>
      <c r="AC490" s="6"/>
      <c r="AD490" s="12" t="str">
        <f>IFERROR(__xludf.DUMMYFUNCTION("""COMPUTED_VALUE"""),"6B")</f>
        <v>6B</v>
      </c>
      <c r="AE490" s="12">
        <f>IFERROR(__xludf.DUMMYFUNCTION("""COMPUTED_VALUE"""),1.345281706E9)</f>
        <v>1345281706</v>
      </c>
      <c r="AF490" s="12" t="str">
        <f>IFERROR(__xludf.DUMMYFUNCTION("""COMPUTED_VALUE"""),"0706582419")</f>
        <v>0706582419</v>
      </c>
      <c r="AG490" s="12" t="str">
        <f>IFERROR(__xludf.DUMMYFUNCTION("""COMPUTED_VALUE"""),"Lina")</f>
        <v>Lina</v>
      </c>
      <c r="AH490" s="12" t="str">
        <f>IFERROR(__xludf.DUMMYFUNCTION("""COMPUTED_VALUE"""),"Marcela")</f>
        <v>Marcela</v>
      </c>
      <c r="AI490" s="6" t="str">
        <f>IFERROR(__xludf.DUMMYFUNCTION("""COMPUTED_VALUE"""),"Morales Jaramillo")</f>
        <v>Morales Jaramillo</v>
      </c>
      <c r="AJ490" s="6" t="str">
        <f>IFERROR(__xludf.DUMMYFUNCTION("""COMPUTED_VALUE"""),"kimberlly_2604@hotmail.com")</f>
        <v>kimberlly_2604@hotmail.com</v>
      </c>
      <c r="AK490" s="6" t="str">
        <f>IFERROR(__xludf.DUMMYFUNCTION("""COMPUTED_VALUE"""),"Enfermera")</f>
        <v>Enfermera</v>
      </c>
      <c r="AL490" s="6" t="str">
        <f>IFERROR(__xludf.DUMMYFUNCTION("""COMPUTED_VALUE"""),"ENDOS")</f>
        <v>ENDOS</v>
      </c>
      <c r="AM490" s="12" t="str">
        <f>IFERROR(__xludf.DUMMYFUNCTION("""COMPUTED_VALUE"""),"1094885629")</f>
        <v>1094885629</v>
      </c>
      <c r="AN490" s="12" t="str">
        <f>IFERROR(__xludf.DUMMYFUNCTION("""COMPUTED_VALUE"""),"3218519897")</f>
        <v>3218519897</v>
      </c>
      <c r="AO490" s="6" t="str">
        <f>IFERROR(__xludf.DUMMYFUNCTION("""COMPUTED_VALUE"""),"Madre")</f>
        <v>Madre</v>
      </c>
      <c r="AP490" s="6" t="str">
        <f>IFERROR(__xludf.DUMMYFUNCTION("""COMPUTED_VALUE"""),"Estudiante(s): López Morales")</f>
        <v>Estudiante(s): López Morales</v>
      </c>
      <c r="AQ490" s="6" t="str">
        <f>IFERROR(__xludf.DUMMYFUNCTION("""COMPUTED_VALUE"""),"103270*Gi")</f>
        <v>103270*Gi</v>
      </c>
      <c r="AR490" s="6" t="str">
        <f>IFERROR(__xludf.DUMMYFUNCTION("""COMPUTED_VALUE"""),"Juan")</f>
        <v>Juan</v>
      </c>
      <c r="AS490" s="6" t="str">
        <f>IFERROR(__xludf.DUMMYFUNCTION("""COMPUTED_VALUE"""),"Guillermo")</f>
        <v>Guillermo</v>
      </c>
      <c r="AT490" s="6" t="str">
        <f>IFERROR(__xludf.DUMMYFUNCTION("""COMPUTED_VALUE"""),"López Valencia")</f>
        <v>López Valencia</v>
      </c>
      <c r="AU490" s="6" t="str">
        <f>IFERROR(__xludf.DUMMYFUNCTION("""COMPUTED_VALUE"""),"jg.lopez@hotmail.com")</f>
        <v>jg.lopez@hotmail.com</v>
      </c>
      <c r="AV490" s="6" t="str">
        <f>IFERROR(__xludf.DUMMYFUNCTION("""COMPUTED_VALUE"""),"Medico")</f>
        <v>Medico</v>
      </c>
      <c r="AW490" s="6" t="str">
        <f>IFERROR(__xludf.DUMMYFUNCTION("""COMPUTED_VALUE"""),"Centro de Enfermedades Digestivas Endos SAS")</f>
        <v>Centro de Enfermedades Digestivas Endos SAS</v>
      </c>
      <c r="AX490" s="12" t="str">
        <f>IFERROR(__xludf.DUMMYFUNCTION("""COMPUTED_VALUE"""),"89006101")</f>
        <v>89006101</v>
      </c>
      <c r="AY490" s="12" t="str">
        <f>IFERROR(__xludf.DUMMYFUNCTION("""COMPUTED_VALUE"""),"3103808985")</f>
        <v>3103808985</v>
      </c>
      <c r="AZ490" s="6" t="str">
        <f>IFERROR(__xludf.DUMMYFUNCTION("""COMPUTED_VALUE"""),"Padre")</f>
        <v>Padre</v>
      </c>
      <c r="BA490" s="6"/>
      <c r="BB490" s="6"/>
      <c r="BC490" s="6"/>
      <c r="BD490" s="12" t="str">
        <f>IFERROR(__xludf.DUMMYFUNCTION("""COMPUTED_VALUE"""),"lop0004")</f>
        <v>lop0004</v>
      </c>
      <c r="BE490" s="6"/>
      <c r="BF490" s="6"/>
      <c r="BG490" s="6">
        <f>IFERROR(__xludf.DUMMYFUNCTION("""COMPUTED_VALUE"""),2033.0)</f>
        <v>2033</v>
      </c>
      <c r="BH490" s="15">
        <f>IFERROR(__xludf.DUMMYFUNCTION("""COMPUTED_VALUE"""),46205.84622685185)</f>
        <v>46205.84623</v>
      </c>
      <c r="BI490" s="6">
        <f>IFERROR(__xludf.DUMMYFUNCTION("""COMPUTED_VALUE"""),490.0)</f>
        <v>490</v>
      </c>
      <c r="BJ490" s="6"/>
      <c r="BK490" s="6"/>
      <c r="BL490" s="6" t="str">
        <f>IFERROR(__xludf.DUMMYFUNCTION("""COMPUTED_VALUE"""),"GISLOP0004")</f>
        <v>GISLOP0004</v>
      </c>
      <c r="BM490" s="6"/>
      <c r="BN490" s="6"/>
      <c r="BO490" s="6" t="str">
        <f>IFERROR(__xludf.DUMMYFUNCTION("""COMPUTED_VALUE"""),"XC_MS_Futbol_M")</f>
        <v>XC_MS_Futbol_M</v>
      </c>
      <c r="BP490" s="6"/>
      <c r="BQ490" s="6" t="str">
        <f>IFERROR(__xludf.DUMMYFUNCTION("""COMPUTED_VALUE"""),"XC_MS_Futbol_M")</f>
        <v>XC_MS_Futbol_M</v>
      </c>
      <c r="BR490" s="6" t="str">
        <f>IFERROR(__xludf.DUMMYFUNCTION("""COMPUTED_VALUE"""),"XC_MS_Futbol_M")</f>
        <v>XC_MS_Futbol_M</v>
      </c>
      <c r="BS490" s="6"/>
      <c r="BT490" s="6" t="str">
        <f>IFERROR(__xludf.DUMMYFUNCTION("""COMPUTED_VALUE"""),"XC_MS_Futbol_M")</f>
        <v>XC_MS_Futbol_M</v>
      </c>
      <c r="BU490" s="6" t="str">
        <f>IFERROR(__xludf.DUMMYFUNCTION("""COMPUTED_VALUE"""),"SI")</f>
        <v>SI</v>
      </c>
      <c r="BV490" s="6" t="str">
        <f>IFERROR(__xludf.DUMMYFUNCTION("""COMPUTED_VALUE"""),"juan.l2033")</f>
        <v>juan.l2033</v>
      </c>
      <c r="BW490" s="6"/>
      <c r="BX490" s="6"/>
      <c r="BY490" s="6"/>
      <c r="BZ490" s="6"/>
    </row>
    <row r="491">
      <c r="A491" s="12">
        <f>IFERROR(__xludf.DUMMYFUNCTION("""COMPUTED_VALUE"""),1.125233735E9)</f>
        <v>1125233735</v>
      </c>
      <c r="B491" s="6">
        <f>IFERROR(__xludf.DUMMYFUNCTION("""COMPUTED_VALUE"""),19.0)</f>
        <v>19</v>
      </c>
      <c r="C491" s="6" t="str">
        <f>IFERROR(__xludf.DUMMYFUNCTION("""COMPUTED_VALUE"""),"Rosario")</f>
        <v>Rosario</v>
      </c>
      <c r="D491" s="6"/>
      <c r="E491" s="6" t="str">
        <f>IFERROR(__xludf.DUMMYFUNCTION("""COMPUTED_VALUE"""),"Martínez Adkins")</f>
        <v>Martínez Adkins</v>
      </c>
      <c r="F491" s="6" t="str">
        <f>IFERROR(__xludf.DUMMYFUNCTION("""COMPUTED_VALUE"""),"Conjunto Residencial Pontevedra Casa 34 - Km 8 Vía El Caimo El Campestre Via Panamericana")</f>
        <v>Conjunto Residencial Pontevedra Casa 34 - Km 8 Vía El Caimo El Campestre Via Panamericana</v>
      </c>
      <c r="G491" s="12" t="str">
        <f>IFERROR(__xludf.DUMMYFUNCTION("""COMPUTED_VALUE"""),"2014")</f>
        <v>2014</v>
      </c>
      <c r="H491" s="6" t="str">
        <f>IFERROR(__xludf.DUMMYFUNCTION("""COMPUTED_VALUE"""),"Agosto")</f>
        <v>Agosto</v>
      </c>
      <c r="I491" s="12" t="str">
        <f>IFERROR(__xludf.DUMMYFUNCTION("""COMPUTED_VALUE"""),"12")</f>
        <v>12</v>
      </c>
      <c r="J491" s="6" t="str">
        <f>IFERROR(__xludf.DUMMYFUNCTION("""COMPUTED_VALUE"""),"Buenos Aires")</f>
        <v>Buenos Aires</v>
      </c>
      <c r="K491" s="6" t="str">
        <f>IFERROR(__xludf.DUMMYFUNCTION("""COMPUTED_VALUE"""),"rosario.m2033@gi.edu.co")</f>
        <v>rosario.m2033@gi.edu.co</v>
      </c>
      <c r="L491" s="6" t="str">
        <f>IFERROR(__xludf.DUMMYFUNCTION("""COMPUTED_VALUE"""),"TI")</f>
        <v>TI</v>
      </c>
      <c r="M491" s="6" t="str">
        <f>IFERROR(__xludf.DUMMYFUNCTION("""COMPUTED_VALUE"""),"Armenia")</f>
        <v>Armenia</v>
      </c>
      <c r="N491" s="6" t="str">
        <f>IFERROR(__xludf.DUMMYFUNCTION("""COMPUTED_VALUE"""),"F")</f>
        <v>F</v>
      </c>
      <c r="O491" s="6" t="str">
        <f>IFERROR(__xludf.DUMMYFUNCTION("""COMPUTED_VALUE"""),"ACTIVE")</f>
        <v>ACTIVE</v>
      </c>
      <c r="P491" s="6"/>
      <c r="Q491" s="6" t="str">
        <f>IFERROR(__xludf.DUMMYFUNCTION("""COMPUTED_VALUE"""),"La Tebaida")</f>
        <v>La Tebaida</v>
      </c>
      <c r="R491" s="12" t="str">
        <f>IFERROR(__xludf.DUMMYFUNCTION("""COMPUTED_VALUE"""),"Gix1w3a85*")</f>
        <v>Gix1w3a85*</v>
      </c>
      <c r="S491" s="6" t="str">
        <f>IFERROR(__xludf.DUMMYFUNCTION("""COMPUTED_VALUE"""),"Martínez Adkins Rosario ")</f>
        <v>Martínez Adkins Rosario </v>
      </c>
      <c r="T491" s="6" t="str">
        <f>IFERROR(__xludf.DUMMYFUNCTION("""COMPUTED_VALUE"""),"JUAN CARLOS MARTINEZ ARISTIZABAL")</f>
        <v>JUAN CARLOS MARTINEZ ARISTIZABAL</v>
      </c>
      <c r="U491" s="12" t="str">
        <f>IFERROR(__xludf.DUMMYFUNCTION("""COMPUTED_VALUE"""),"79691480")</f>
        <v>79691480</v>
      </c>
      <c r="V491" s="6">
        <f>IFERROR(__xludf.DUMMYFUNCTION("""COMPUTED_VALUE"""),3.218813943E9)</f>
        <v>3218813943</v>
      </c>
      <c r="W491" s="6" t="str">
        <f>IFERROR(__xludf.DUMMYFUNCTION("""COMPUTED_VALUE"""),"jcmartiaristi@gmail.com")</f>
        <v>jcmartiaristi@gmail.com</v>
      </c>
      <c r="X491" s="12" t="str">
        <f>IFERROR(__xludf.DUMMYFUNCTION("""COMPUTED_VALUE"""),"O+")</f>
        <v>O+</v>
      </c>
      <c r="Y491" s="12" t="str">
        <f>IFERROR(__xludf.DUMMYFUNCTION("""COMPUTED_VALUE"""),"6")</f>
        <v>6</v>
      </c>
      <c r="Z491" s="12">
        <f>IFERROR(__xludf.DUMMYFUNCTION("""COMPUTED_VALUE"""),120416.0)</f>
        <v>120416</v>
      </c>
      <c r="AA491" s="6" t="str">
        <f>IFERROR(__xludf.DUMMYFUNCTION("""COMPUTED_VALUE"""),"SANITAS")</f>
        <v>SANITAS</v>
      </c>
      <c r="AB491" s="6"/>
      <c r="AC491" s="6"/>
      <c r="AD491" s="12" t="str">
        <f>IFERROR(__xludf.DUMMYFUNCTION("""COMPUTED_VALUE"""),"6B")</f>
        <v>6B</v>
      </c>
      <c r="AE491" s="12" t="str">
        <f>IFERROR(__xludf.DUMMYFUNCTION("""COMPUTED_VALUE"""),"1345282418")</f>
        <v>1345282418</v>
      </c>
      <c r="AF491" s="12" t="str">
        <f>IFERROR(__xludf.DUMMYFUNCTION("""COMPUTED_VALUE"""),"0666064243")</f>
        <v>0666064243</v>
      </c>
      <c r="AG491" s="12" t="str">
        <f>IFERROR(__xludf.DUMMYFUNCTION("""COMPUTED_VALUE"""),"Johanna")</f>
        <v>Johanna</v>
      </c>
      <c r="AH491" s="6"/>
      <c r="AI491" s="6" t="str">
        <f>IFERROR(__xludf.DUMMYFUNCTION("""COMPUTED_VALUE"""),"Adkins Beltrán")</f>
        <v>Adkins Beltrán</v>
      </c>
      <c r="AJ491" s="6" t="str">
        <f>IFERROR(__xludf.DUMMYFUNCTION("""COMPUTED_VALUE"""),"johadkins@gmail.com")</f>
        <v>johadkins@gmail.com</v>
      </c>
      <c r="AK491" s="6" t="str">
        <f>IFERROR(__xludf.DUMMYFUNCTION("""COMPUTED_VALUE"""),"Arquitecta")</f>
        <v>Arquitecta</v>
      </c>
      <c r="AL491" s="6" t="str">
        <f>IFERROR(__xludf.DUMMYFUNCTION("""COMPUTED_VALUE"""),"Minibyboneca")</f>
        <v>Minibyboneca</v>
      </c>
      <c r="AM491" s="12" t="str">
        <f>IFERROR(__xludf.DUMMYFUNCTION("""COMPUTED_VALUE"""),"29109851")</f>
        <v>29109851</v>
      </c>
      <c r="AN491" s="12" t="str">
        <f>IFERROR(__xludf.DUMMYFUNCTION("""COMPUTED_VALUE"""),"3216950729")</f>
        <v>3216950729</v>
      </c>
      <c r="AO491" s="6" t="str">
        <f>IFERROR(__xludf.DUMMYFUNCTION("""COMPUTED_VALUE"""),"Madre")</f>
        <v>Madre</v>
      </c>
      <c r="AP491" s="6" t="str">
        <f>IFERROR(__xludf.DUMMYFUNCTION("""COMPUTED_VALUE"""),"Estudiante(s): Martínez Adkins")</f>
        <v>Estudiante(s): Martínez Adkins</v>
      </c>
      <c r="AQ491" s="6" t="str">
        <f>IFERROR(__xludf.DUMMYFUNCTION("""COMPUTED_VALUE"""),"120416*Gi")</f>
        <v>120416*Gi</v>
      </c>
      <c r="AR491" s="6" t="str">
        <f>IFERROR(__xludf.DUMMYFUNCTION("""COMPUTED_VALUE"""),"Juan")</f>
        <v>Juan</v>
      </c>
      <c r="AS491" s="6" t="str">
        <f>IFERROR(__xludf.DUMMYFUNCTION("""COMPUTED_VALUE"""),"Carlos")</f>
        <v>Carlos</v>
      </c>
      <c r="AT491" s="6" t="str">
        <f>IFERROR(__xludf.DUMMYFUNCTION("""COMPUTED_VALUE"""),"Martínez Aristizábal")</f>
        <v>Martínez Aristizábal</v>
      </c>
      <c r="AU491" s="6" t="str">
        <f>IFERROR(__xludf.DUMMYFUNCTION("""COMPUTED_VALUE"""),"jcmartiaristi@gmail.com")</f>
        <v>jcmartiaristi@gmail.com</v>
      </c>
      <c r="AV491" s="6" t="str">
        <f>IFERROR(__xludf.DUMMYFUNCTION("""COMPUTED_VALUE"""),"Abogado")</f>
        <v>Abogado</v>
      </c>
      <c r="AW491" s="6" t="str">
        <f>IFERROR(__xludf.DUMMYFUNCTION("""COMPUTED_VALUE"""),"RMO Colombia y Argentina")</f>
        <v>RMO Colombia y Argentina</v>
      </c>
      <c r="AX491" s="12" t="str">
        <f>IFERROR(__xludf.DUMMYFUNCTION("""COMPUTED_VALUE"""),"79691480")</f>
        <v>79691480</v>
      </c>
      <c r="AY491" s="6">
        <f>IFERROR(__xludf.DUMMYFUNCTION("""COMPUTED_VALUE"""),3.218813943E9)</f>
        <v>3218813943</v>
      </c>
      <c r="AZ491" s="6" t="str">
        <f>IFERROR(__xludf.DUMMYFUNCTION("""COMPUTED_VALUE"""),"Padre")</f>
        <v>Padre</v>
      </c>
      <c r="BA491" s="6" t="str">
        <f>IFERROR(__xludf.DUMMYFUNCTION("""COMPUTED_VALUE"""),"GEORGE ADKINS GARCIA")</f>
        <v>GEORGE ADKINS GARCIA</v>
      </c>
      <c r="BB491" s="6">
        <f>IFERROR(__xludf.DUMMYFUNCTION("""COMPUTED_VALUE"""),3.104524947E9)</f>
        <v>3104524947</v>
      </c>
      <c r="BC491" s="6" t="str">
        <f>IFERROR(__xludf.DUMMYFUNCTION("""COMPUTED_VALUE"""),"Abuelo(a)")</f>
        <v>Abuelo(a)</v>
      </c>
      <c r="BD491" s="12" t="str">
        <f>IFERROR(__xludf.DUMMYFUNCTION("""COMPUTED_VALUE"""),"mar0019")</f>
        <v>mar0019</v>
      </c>
      <c r="BE491" s="6"/>
      <c r="BF491" s="6"/>
      <c r="BG491" s="6">
        <f>IFERROR(__xludf.DUMMYFUNCTION("""COMPUTED_VALUE"""),2033.0)</f>
        <v>2033</v>
      </c>
      <c r="BH491" s="15">
        <f>IFERROR(__xludf.DUMMYFUNCTION("""COMPUTED_VALUE"""),46247.625601851854)</f>
        <v>46247.6256</v>
      </c>
      <c r="BI491" s="6">
        <f>IFERROR(__xludf.DUMMYFUNCTION("""COMPUTED_VALUE"""),491.0)</f>
        <v>491</v>
      </c>
      <c r="BJ491" s="6"/>
      <c r="BK491" s="6"/>
      <c r="BL491" s="6" t="str">
        <f>IFERROR(__xludf.DUMMYFUNCTION("""COMPUTED_VALUE"""),"GISMAR0019")</f>
        <v>GISMAR0019</v>
      </c>
      <c r="BM491" s="6"/>
      <c r="BN491" s="6"/>
      <c r="BO491" s="6" t="str">
        <f>IFERROR(__xludf.DUMMYFUNCTION("""COMPUTED_VALUE"""),"XC_SEC_ProgRobot")</f>
        <v>XC_SEC_ProgRobot</v>
      </c>
      <c r="BP491" s="6"/>
      <c r="BQ491" s="6"/>
      <c r="BR491" s="6"/>
      <c r="BS491" s="6"/>
      <c r="BT491" s="6"/>
      <c r="BU491" s="6" t="str">
        <f>IFERROR(__xludf.DUMMYFUNCTION("""COMPUTED_VALUE"""),"SI")</f>
        <v>SI</v>
      </c>
      <c r="BV491" s="6" t="str">
        <f>IFERROR(__xludf.DUMMYFUNCTION("""COMPUTED_VALUE"""),"rosario.m2033")</f>
        <v>rosario.m2033</v>
      </c>
      <c r="BW491" s="6"/>
      <c r="BX491" s="6"/>
      <c r="BY491" s="6"/>
      <c r="BZ491" s="6"/>
    </row>
    <row r="492">
      <c r="A492" s="12">
        <f>IFERROR(__xludf.DUMMYFUNCTION("""COMPUTED_VALUE"""),1.220469284E9)</f>
        <v>1220469284</v>
      </c>
      <c r="B492" s="6">
        <f>IFERROR(__xludf.DUMMYFUNCTION("""COMPUTED_VALUE"""),20.0)</f>
        <v>20</v>
      </c>
      <c r="C492" s="6" t="str">
        <f>IFERROR(__xludf.DUMMYFUNCTION("""COMPUTED_VALUE"""),"Paloma")</f>
        <v>Paloma</v>
      </c>
      <c r="D492" s="6"/>
      <c r="E492" s="6" t="str">
        <f>IFERROR(__xludf.DUMMYFUNCTION("""COMPUTED_VALUE"""),"Montoya Quintero")</f>
        <v>Montoya Quintero</v>
      </c>
      <c r="F492" s="6" t="str">
        <f>IFERROR(__xludf.DUMMYFUNCTION("""COMPUTED_VALUE"""),"Condominio Hacienda Horizontes Casa 55 - Km 3 Via Circasia Vereda la Florida")</f>
        <v>Condominio Hacienda Horizontes Casa 55 - Km 3 Via Circasia Vereda la Florida</v>
      </c>
      <c r="G492" s="12" t="str">
        <f>IFERROR(__xludf.DUMMYFUNCTION("""COMPUTED_VALUE"""),"2015")</f>
        <v>2015</v>
      </c>
      <c r="H492" s="6" t="str">
        <f>IFERROR(__xludf.DUMMYFUNCTION("""COMPUTED_VALUE"""),"Septiembre")</f>
        <v>Septiembre</v>
      </c>
      <c r="I492" s="12" t="str">
        <f>IFERROR(__xludf.DUMMYFUNCTION("""COMPUTED_VALUE"""),"15")</f>
        <v>15</v>
      </c>
      <c r="J492" s="6" t="str">
        <f>IFERROR(__xludf.DUMMYFUNCTION("""COMPUTED_VALUE"""),"Miami")</f>
        <v>Miami</v>
      </c>
      <c r="K492" s="6" t="str">
        <f>IFERROR(__xludf.DUMMYFUNCTION("""COMPUTED_VALUE"""),"paloma.m2033@gi.edu.co")</f>
        <v>paloma.m2033@gi.edu.co</v>
      </c>
      <c r="L492" s="6" t="str">
        <f>IFERROR(__xludf.DUMMYFUNCTION("""COMPUTED_VALUE"""),"RC")</f>
        <v>RC</v>
      </c>
      <c r="M492" s="6" t="str">
        <f>IFERROR(__xludf.DUMMYFUNCTION("""COMPUTED_VALUE"""),"Miami")</f>
        <v>Miami</v>
      </c>
      <c r="N492" s="6" t="str">
        <f>IFERROR(__xludf.DUMMYFUNCTION("""COMPUTED_VALUE"""),"F")</f>
        <v>F</v>
      </c>
      <c r="O492" s="6" t="str">
        <f>IFERROR(__xludf.DUMMYFUNCTION("""COMPUTED_VALUE"""),"INACTIVE")</f>
        <v>INACTIVE</v>
      </c>
      <c r="P492" s="6"/>
      <c r="Q492" s="6" t="str">
        <f>IFERROR(__xludf.DUMMYFUNCTION("""COMPUTED_VALUE"""),"Armenia")</f>
        <v>Armenia</v>
      </c>
      <c r="R492" s="12" t="str">
        <f>IFERROR(__xludf.DUMMYFUNCTION("""COMPUTED_VALUE"""),"Gi23dt45j*")</f>
        <v>Gi23dt45j*</v>
      </c>
      <c r="S492" s="6" t="str">
        <f>IFERROR(__xludf.DUMMYFUNCTION("""COMPUTED_VALUE"""),"Montoya Quintero Paloma ")</f>
        <v>Montoya Quintero Paloma </v>
      </c>
      <c r="T492" s="6" t="str">
        <f>IFERROR(__xludf.DUMMYFUNCTION("""COMPUTED_VALUE"""),"CLAUDIA MILENA QUINTERO MORALES")</f>
        <v>CLAUDIA MILENA QUINTERO MORALES</v>
      </c>
      <c r="U492" s="12" t="str">
        <f>IFERROR(__xludf.DUMMYFUNCTION("""COMPUTED_VALUE"""),"1121822183")</f>
        <v>1121822183</v>
      </c>
      <c r="V492" s="6">
        <f>IFERROR(__xludf.DUMMYFUNCTION("""COMPUTED_VALUE"""),3.166252483E9)</f>
        <v>3166252483</v>
      </c>
      <c r="W492" s="6" t="str">
        <f>IFERROR(__xludf.DUMMYFUNCTION("""COMPUTED_VALUE"""),"klaukintero29@hotmail.com")</f>
        <v>klaukintero29@hotmail.com</v>
      </c>
      <c r="X492" s="12" t="str">
        <f>IFERROR(__xludf.DUMMYFUNCTION("""COMPUTED_VALUE"""),"O+")</f>
        <v>O+</v>
      </c>
      <c r="Y492" s="12" t="str">
        <f>IFERROR(__xludf.DUMMYFUNCTION("""COMPUTED_VALUE"""),"6")</f>
        <v>6</v>
      </c>
      <c r="Z492" s="12">
        <f>IFERROR(__xludf.DUMMYFUNCTION("""COMPUTED_VALUE"""),103675.0)</f>
        <v>103675</v>
      </c>
      <c r="AA492" s="6" t="str">
        <f>IFERROR(__xludf.DUMMYFUNCTION("""COMPUTED_VALUE"""),"SALUD TOTAL")</f>
        <v>SALUD TOTAL</v>
      </c>
      <c r="AB492" s="6" t="str">
        <f>IFERROR(__xludf.DUMMYFUNCTION("""COMPUTED_VALUE"""),"EMI Poliza global suramericana")</f>
        <v>EMI Poliza global suramericana</v>
      </c>
      <c r="AC492" s="12" t="str">
        <f>IFERROR(__xludf.DUMMYFUNCTION("""COMPUTED_VALUE"""),"POLVO, CAMBIOS DE TEMPERATURA")</f>
        <v>POLVO, CAMBIOS DE TEMPERATURA</v>
      </c>
      <c r="AD492" s="12" t="str">
        <f>IFERROR(__xludf.DUMMYFUNCTION("""COMPUTED_VALUE"""),"6B")</f>
        <v>6B</v>
      </c>
      <c r="AE492" s="12">
        <f>IFERROR(__xludf.DUMMYFUNCTION("""COMPUTED_VALUE"""),1.345281816E9)</f>
        <v>1345281816</v>
      </c>
      <c r="AF492" s="12" t="str">
        <f>IFERROR(__xludf.DUMMYFUNCTION("""COMPUTED_VALUE"""),"0672903491")</f>
        <v>0672903491</v>
      </c>
      <c r="AG492" s="12" t="str">
        <f>IFERROR(__xludf.DUMMYFUNCTION("""COMPUTED_VALUE"""),"Claudia")</f>
        <v>Claudia</v>
      </c>
      <c r="AH492" s="12" t="str">
        <f>IFERROR(__xludf.DUMMYFUNCTION("""COMPUTED_VALUE"""),"Milena")</f>
        <v>Milena</v>
      </c>
      <c r="AI492" s="6" t="str">
        <f>IFERROR(__xludf.DUMMYFUNCTION("""COMPUTED_VALUE"""),"Quintero Morales")</f>
        <v>Quintero Morales</v>
      </c>
      <c r="AJ492" s="6" t="str">
        <f>IFERROR(__xludf.DUMMYFUNCTION("""COMPUTED_VALUE"""),"klaukintero29@hotmail.com")</f>
        <v>klaukintero29@hotmail.com</v>
      </c>
      <c r="AK492" s="6" t="str">
        <f>IFERROR(__xludf.DUMMYFUNCTION("""COMPUTED_VALUE"""),"adm de empresas")</f>
        <v>adm de empresas</v>
      </c>
      <c r="AL492" s="6" t="str">
        <f>IFERROR(__xludf.DUMMYFUNCTION("""COMPUTED_VALUE"""),"independiente")</f>
        <v>independiente</v>
      </c>
      <c r="AM492" s="12" t="str">
        <f>IFERROR(__xludf.DUMMYFUNCTION("""COMPUTED_VALUE"""),"1121822183")</f>
        <v>1121822183</v>
      </c>
      <c r="AN492" s="12" t="str">
        <f>IFERROR(__xludf.DUMMYFUNCTION("""COMPUTED_VALUE"""),"3166252483")</f>
        <v>3166252483</v>
      </c>
      <c r="AO492" s="6" t="str">
        <f>IFERROR(__xludf.DUMMYFUNCTION("""COMPUTED_VALUE"""),"Madre")</f>
        <v>Madre</v>
      </c>
      <c r="AP492" s="6" t="str">
        <f>IFERROR(__xludf.DUMMYFUNCTION("""COMPUTED_VALUE"""),"Estudiante(s): Montoya Quintero")</f>
        <v>Estudiante(s): Montoya Quintero</v>
      </c>
      <c r="AQ492" s="6" t="str">
        <f>IFERROR(__xludf.DUMMYFUNCTION("""COMPUTED_VALUE"""),"103082*Gi")</f>
        <v>103082*Gi</v>
      </c>
      <c r="AR492" s="6" t="str">
        <f>IFERROR(__xludf.DUMMYFUNCTION("""COMPUTED_VALUE"""),"Carlos")</f>
        <v>Carlos</v>
      </c>
      <c r="AS492" s="6" t="str">
        <f>IFERROR(__xludf.DUMMYFUNCTION("""COMPUTED_VALUE"""),"Julio")</f>
        <v>Julio</v>
      </c>
      <c r="AT492" s="6" t="str">
        <f>IFERROR(__xludf.DUMMYFUNCTION("""COMPUTED_VALUE"""),"Montoya Pérez")</f>
        <v>Montoya Pérez</v>
      </c>
      <c r="AU492" s="6" t="str">
        <f>IFERROR(__xludf.DUMMYFUNCTION("""COMPUTED_VALUE"""),"montoyacj1@gmail.com")</f>
        <v>montoyacj1@gmail.com</v>
      </c>
      <c r="AV492" s="6" t="str">
        <f>IFERROR(__xludf.DUMMYFUNCTION("""COMPUTED_VALUE"""),"gandero-adm empresas")</f>
        <v>gandero-adm empresas</v>
      </c>
      <c r="AW492" s="6" t="str">
        <f>IFERROR(__xludf.DUMMYFUNCTION("""COMPUTED_VALUE"""),"independiente")</f>
        <v>independiente</v>
      </c>
      <c r="AX492" s="12" t="str">
        <f>IFERROR(__xludf.DUMMYFUNCTION("""COMPUTED_VALUE"""),"1020717601")</f>
        <v>1020717601</v>
      </c>
      <c r="AY492" s="12" t="str">
        <f>IFERROR(__xludf.DUMMYFUNCTION("""COMPUTED_VALUE"""),"3175100510")</f>
        <v>3175100510</v>
      </c>
      <c r="AZ492" s="6" t="str">
        <f>IFERROR(__xludf.DUMMYFUNCTION("""COMPUTED_VALUE"""),"Padre")</f>
        <v>Padre</v>
      </c>
      <c r="BA492" s="6"/>
      <c r="BB492" s="6"/>
      <c r="BC492" s="6"/>
      <c r="BD492" s="12" t="str">
        <f>IFERROR(__xludf.DUMMYFUNCTION("""COMPUTED_VALUE"""),"mon0011")</f>
        <v>mon0011</v>
      </c>
      <c r="BE492" s="6" t="str">
        <f>IFERROR(__xludf.DUMMYFUNCTION("""COMPUTED_VALUE"""),"FALTAN FIRMAS")</f>
        <v>FALTAN FIRMAS</v>
      </c>
      <c r="BF492" s="6"/>
      <c r="BG492" s="6">
        <f>IFERROR(__xludf.DUMMYFUNCTION("""COMPUTED_VALUE"""),2033.0)</f>
        <v>2033</v>
      </c>
      <c r="BH492" s="15">
        <f>IFERROR(__xludf.DUMMYFUNCTION("""COMPUTED_VALUE"""),46233.68003472222)</f>
        <v>46233.68003</v>
      </c>
      <c r="BI492" s="6">
        <f>IFERROR(__xludf.DUMMYFUNCTION("""COMPUTED_VALUE"""),492.0)</f>
        <v>492</v>
      </c>
      <c r="BJ492" s="6"/>
      <c r="BK492" s="6"/>
      <c r="BL492" s="6" t="str">
        <f>IFERROR(__xludf.DUMMYFUNCTION("""COMPUTED_VALUE"""),"GISMON0011")</f>
        <v>GISMON0011</v>
      </c>
      <c r="BM492" s="6"/>
      <c r="BN492" s="6"/>
      <c r="BO492" s="6"/>
      <c r="BP492" s="6"/>
      <c r="BQ492" s="6"/>
      <c r="BR492" s="6"/>
      <c r="BS492" s="6"/>
      <c r="BT492" s="6"/>
      <c r="BU492" s="6" t="str">
        <f>IFERROR(__xludf.DUMMYFUNCTION("""COMPUTED_VALUE"""),"SI")</f>
        <v>SI</v>
      </c>
      <c r="BV492" s="6" t="str">
        <f>IFERROR(__xludf.DUMMYFUNCTION("""COMPUTED_VALUE"""),"paloma.m2033")</f>
        <v>paloma.m2033</v>
      </c>
      <c r="BW492" s="6"/>
      <c r="BX492" s="6"/>
      <c r="BY492" s="6"/>
      <c r="BZ492" s="6"/>
    </row>
    <row r="493">
      <c r="A493" s="12">
        <f>IFERROR(__xludf.DUMMYFUNCTION("""COMPUTED_VALUE"""),1.09285895E9)</f>
        <v>1092858950</v>
      </c>
      <c r="B493" s="6">
        <f>IFERROR(__xludf.DUMMYFUNCTION("""COMPUTED_VALUE"""),21.0)</f>
        <v>21</v>
      </c>
      <c r="C493" s="6" t="str">
        <f>IFERROR(__xludf.DUMMYFUNCTION("""COMPUTED_VALUE"""),"Matheo")</f>
        <v>Matheo</v>
      </c>
      <c r="D493" s="6"/>
      <c r="E493" s="6" t="str">
        <f>IFERROR(__xludf.DUMMYFUNCTION("""COMPUTED_VALUE"""),"Orozco Nieto")</f>
        <v>Orozco Nieto</v>
      </c>
      <c r="F493" s="6" t="str">
        <f>IFERROR(__xludf.DUMMYFUNCTION("""COMPUTED_VALUE"""),"Barrio el Placer - Manzana G No137")</f>
        <v>Barrio el Placer - Manzana G No137</v>
      </c>
      <c r="G493" s="12" t="str">
        <f>IFERROR(__xludf.DUMMYFUNCTION("""COMPUTED_VALUE"""),"2015")</f>
        <v>2015</v>
      </c>
      <c r="H493" s="6" t="str">
        <f>IFERROR(__xludf.DUMMYFUNCTION("""COMPUTED_VALUE"""),"Junio")</f>
        <v>Junio</v>
      </c>
      <c r="I493" s="12" t="str">
        <f>IFERROR(__xludf.DUMMYFUNCTION("""COMPUTED_VALUE"""),"11")</f>
        <v>11</v>
      </c>
      <c r="J493" s="6" t="str">
        <f>IFERROR(__xludf.DUMMYFUNCTION("""COMPUTED_VALUE"""),"Armenia")</f>
        <v>Armenia</v>
      </c>
      <c r="K493" s="6" t="str">
        <f>IFERROR(__xludf.DUMMYFUNCTION("""COMPUTED_VALUE"""),"matheo.o2033@gi.edu.co")</f>
        <v>matheo.o2033@gi.edu.co</v>
      </c>
      <c r="L493" s="6" t="str">
        <f>IFERROR(__xludf.DUMMYFUNCTION("""COMPUTED_VALUE"""),"TI")</f>
        <v>TI</v>
      </c>
      <c r="M493" s="6" t="str">
        <f>IFERROR(__xludf.DUMMYFUNCTION("""COMPUTED_VALUE"""),"Armenia")</f>
        <v>Armenia</v>
      </c>
      <c r="N493" s="6" t="str">
        <f>IFERROR(__xludf.DUMMYFUNCTION("""COMPUTED_VALUE"""),"M")</f>
        <v>M</v>
      </c>
      <c r="O493" s="6" t="str">
        <f>IFERROR(__xludf.DUMMYFUNCTION("""COMPUTED_VALUE"""),"ACTIVE")</f>
        <v>ACTIVE</v>
      </c>
      <c r="P493" s="6"/>
      <c r="Q493" s="6" t="str">
        <f>IFERROR(__xludf.DUMMYFUNCTION("""COMPUTED_VALUE"""),"Armenia")</f>
        <v>Armenia</v>
      </c>
      <c r="R493" s="12" t="str">
        <f>IFERROR(__xludf.DUMMYFUNCTION("""COMPUTED_VALUE"""),"Giczxaw*")</f>
        <v>Giczxaw*</v>
      </c>
      <c r="S493" s="6" t="str">
        <f>IFERROR(__xludf.DUMMYFUNCTION("""COMPUTED_VALUE"""),"Orozco Nieto Matheo ")</f>
        <v>Orozco Nieto Matheo </v>
      </c>
      <c r="T493" s="6" t="str">
        <f>IFERROR(__xludf.DUMMYFUNCTION("""COMPUTED_VALUE"""),"DIANA CAROLINA NIETO CARDONA")</f>
        <v>DIANA CAROLINA NIETO CARDONA</v>
      </c>
      <c r="U493" s="12" t="str">
        <f>IFERROR(__xludf.DUMMYFUNCTION("""COMPUTED_VALUE"""),"41960837")</f>
        <v>41960837</v>
      </c>
      <c r="V493" s="6">
        <f>IFERROR(__xludf.DUMMYFUNCTION("""COMPUTED_VALUE"""),3.163173695E9)</f>
        <v>3163173695</v>
      </c>
      <c r="W493" s="6" t="str">
        <f>IFERROR(__xludf.DUMMYFUNCTION("""COMPUTED_VALUE"""),"dianan@gi.edu.co")</f>
        <v>dianan@gi.edu.co</v>
      </c>
      <c r="X493" s="12" t="str">
        <f>IFERROR(__xludf.DUMMYFUNCTION("""COMPUTED_VALUE"""),"O+")</f>
        <v>O+</v>
      </c>
      <c r="Y493" s="12" t="str">
        <f>IFERROR(__xludf.DUMMYFUNCTION("""COMPUTED_VALUE"""),"6")</f>
        <v>6</v>
      </c>
      <c r="Z493" s="12">
        <f>IFERROR(__xludf.DUMMYFUNCTION("""COMPUTED_VALUE"""),103694.0)</f>
        <v>103694</v>
      </c>
      <c r="AA493" s="6" t="str">
        <f>IFERROR(__xludf.DUMMYFUNCTION("""COMPUTED_VALUE"""),"SURA")</f>
        <v>SURA</v>
      </c>
      <c r="AB493" s="6"/>
      <c r="AC493" s="12" t="str">
        <f>IFERROR(__xludf.DUMMYFUNCTION("""COMPUTED_VALUE"""),"a 5 tipos de ácaros")</f>
        <v>a 5 tipos de ácaros</v>
      </c>
      <c r="AD493" s="12" t="str">
        <f>IFERROR(__xludf.DUMMYFUNCTION("""COMPUTED_VALUE"""),"6B")</f>
        <v>6B</v>
      </c>
      <c r="AE493" s="12">
        <f>IFERROR(__xludf.DUMMYFUNCTION("""COMPUTED_VALUE"""),1.345281836E9)</f>
        <v>1345281836</v>
      </c>
      <c r="AF493" s="12" t="str">
        <f>IFERROR(__xludf.DUMMYFUNCTION("""COMPUTED_VALUE"""),"0690909715")</f>
        <v>0690909715</v>
      </c>
      <c r="AG493" s="12" t="str">
        <f>IFERROR(__xludf.DUMMYFUNCTION("""COMPUTED_VALUE"""),"Diana")</f>
        <v>Diana</v>
      </c>
      <c r="AH493" s="12" t="str">
        <f>IFERROR(__xludf.DUMMYFUNCTION("""COMPUTED_VALUE"""),"Carolina")</f>
        <v>Carolina</v>
      </c>
      <c r="AI493" s="6" t="str">
        <f>IFERROR(__xludf.DUMMYFUNCTION("""COMPUTED_VALUE"""),"Nieto Cardona")</f>
        <v>Nieto Cardona</v>
      </c>
      <c r="AJ493" s="6" t="str">
        <f>IFERROR(__xludf.DUMMYFUNCTION("""COMPUTED_VALUE"""),"dianan@gi.edu.co")</f>
        <v>dianan@gi.edu.co</v>
      </c>
      <c r="AK493" s="6" t="str">
        <f>IFERROR(__xludf.DUMMYFUNCTION("""COMPUTED_VALUE"""),"Docente")</f>
        <v>Docente</v>
      </c>
      <c r="AL493" s="6" t="str">
        <f>IFERROR(__xludf.DUMMYFUNCTION("""COMPUTED_VALUE"""),"Fundación Gimnasio Ingles")</f>
        <v>Fundación Gimnasio Ingles</v>
      </c>
      <c r="AM493" s="12" t="str">
        <f>IFERROR(__xludf.DUMMYFUNCTION("""COMPUTED_VALUE"""),"41960837")</f>
        <v>41960837</v>
      </c>
      <c r="AN493" s="12" t="str">
        <f>IFERROR(__xludf.DUMMYFUNCTION("""COMPUTED_VALUE"""),"3163173695")</f>
        <v>3163173695</v>
      </c>
      <c r="AO493" s="6" t="str">
        <f>IFERROR(__xludf.DUMMYFUNCTION("""COMPUTED_VALUE"""),"Madre")</f>
        <v>Madre</v>
      </c>
      <c r="AP493" s="6" t="str">
        <f>IFERROR(__xludf.DUMMYFUNCTION("""COMPUTED_VALUE"""),"Estudiante(s): Orozco Nieto")</f>
        <v>Estudiante(s): Orozco Nieto</v>
      </c>
      <c r="AQ493" s="6" t="str">
        <f>IFERROR(__xludf.DUMMYFUNCTION("""COMPUTED_VALUE"""),"103596*Gi")</f>
        <v>103596*Gi</v>
      </c>
      <c r="AR493" s="6" t="str">
        <f>IFERROR(__xludf.DUMMYFUNCTION("""COMPUTED_VALUE"""),"Luis")</f>
        <v>Luis</v>
      </c>
      <c r="AS493" s="6" t="str">
        <f>IFERROR(__xludf.DUMMYFUNCTION("""COMPUTED_VALUE"""),"Carlos")</f>
        <v>Carlos</v>
      </c>
      <c r="AT493" s="6" t="str">
        <f>IFERROR(__xludf.DUMMYFUNCTION("""COMPUTED_VALUE"""),"Orozco Posada")</f>
        <v>Orozco Posada</v>
      </c>
      <c r="AU493" s="6" t="str">
        <f>IFERROR(__xludf.DUMMYFUNCTION("""COMPUTED_VALUE"""),"ingenieriaambiental2004@gmail.com")</f>
        <v>ingenieriaambiental2004@gmail.com</v>
      </c>
      <c r="AV493" s="6" t="str">
        <f>IFERROR(__xludf.DUMMYFUNCTION("""COMPUTED_VALUE"""),"Ingeniero Ambiental")</f>
        <v>Ingeniero Ambiental</v>
      </c>
      <c r="AW493" s="6"/>
      <c r="AX493" s="12" t="str">
        <f>IFERROR(__xludf.DUMMYFUNCTION("""COMPUTED_VALUE"""),"9730764")</f>
        <v>9730764</v>
      </c>
      <c r="AY493" s="12" t="str">
        <f>IFERROR(__xludf.DUMMYFUNCTION("""COMPUTED_VALUE"""),"3173772289")</f>
        <v>3173772289</v>
      </c>
      <c r="AZ493" s="6" t="str">
        <f>IFERROR(__xludf.DUMMYFUNCTION("""COMPUTED_VALUE"""),"Padre")</f>
        <v>Padre</v>
      </c>
      <c r="BA493" s="6"/>
      <c r="BB493" s="6"/>
      <c r="BC493" s="6"/>
      <c r="BD493" s="12" t="str">
        <f>IFERROR(__xludf.DUMMYFUNCTION("""COMPUTED_VALUE"""),"oro0003")</f>
        <v>oro0003</v>
      </c>
      <c r="BE493" s="6"/>
      <c r="BF493" s="6"/>
      <c r="BG493" s="6">
        <f>IFERROR(__xludf.DUMMYFUNCTION("""COMPUTED_VALUE"""),2033.0)</f>
        <v>2033</v>
      </c>
      <c r="BH493" s="15">
        <f>IFERROR(__xludf.DUMMYFUNCTION("""COMPUTED_VALUE"""),46210.503958333335)</f>
        <v>46210.50396</v>
      </c>
      <c r="BI493" s="6">
        <f>IFERROR(__xludf.DUMMYFUNCTION("""COMPUTED_VALUE"""),493.0)</f>
        <v>493</v>
      </c>
      <c r="BJ493" s="6"/>
      <c r="BK493" s="6"/>
      <c r="BL493" s="6" t="str">
        <f>IFERROR(__xludf.DUMMYFUNCTION("""COMPUTED_VALUE"""),"GISORO0003")</f>
        <v>GISORO0003</v>
      </c>
      <c r="BM493" s="6"/>
      <c r="BN493" s="6"/>
      <c r="BO493" s="6"/>
      <c r="BP493" s="6"/>
      <c r="BQ493" s="6"/>
      <c r="BR493" s="6"/>
      <c r="BS493" s="6"/>
      <c r="BT493" s="6"/>
      <c r="BU493" s="6" t="str">
        <f>IFERROR(__xludf.DUMMYFUNCTION("""COMPUTED_VALUE"""),"SI")</f>
        <v>SI</v>
      </c>
      <c r="BV493" s="6" t="str">
        <f>IFERROR(__xludf.DUMMYFUNCTION("""COMPUTED_VALUE"""),"matheo.o2033")</f>
        <v>matheo.o2033</v>
      </c>
      <c r="BW493" s="6"/>
      <c r="BX493" s="6"/>
      <c r="BY493" s="6"/>
      <c r="BZ493" s="6"/>
    </row>
    <row r="494">
      <c r="A494" s="12">
        <f>IFERROR(__xludf.DUMMYFUNCTION("""COMPUTED_VALUE"""),1.013021395E9)</f>
        <v>1013021395</v>
      </c>
      <c r="B494" s="6">
        <f>IFERROR(__xludf.DUMMYFUNCTION("""COMPUTED_VALUE"""),22.0)</f>
        <v>22</v>
      </c>
      <c r="C494" s="6" t="str">
        <f>IFERROR(__xludf.DUMMYFUNCTION("""COMPUTED_VALUE"""),"Juan")</f>
        <v>Juan</v>
      </c>
      <c r="D494" s="6" t="str">
        <f>IFERROR(__xludf.DUMMYFUNCTION("""COMPUTED_VALUE"""),"Martín")</f>
        <v>Martín</v>
      </c>
      <c r="E494" s="6" t="str">
        <f>IFERROR(__xludf.DUMMYFUNCTION("""COMPUTED_VALUE"""),"Ortíz Castillo")</f>
        <v>Ortíz Castillo</v>
      </c>
      <c r="F494" s="6" t="str">
        <f>IFERROR(__xludf.DUMMYFUNCTION("""COMPUTED_VALUE"""),"Condominio Hacienda Horizontes Casa 10 - Km 3 Via Circasia Vereda la Florida")</f>
        <v>Condominio Hacienda Horizontes Casa 10 - Km 3 Via Circasia Vereda la Florida</v>
      </c>
      <c r="G494" s="12" t="str">
        <f>IFERROR(__xludf.DUMMYFUNCTION("""COMPUTED_VALUE"""),"2014")</f>
        <v>2014</v>
      </c>
      <c r="H494" s="6" t="str">
        <f>IFERROR(__xludf.DUMMYFUNCTION("""COMPUTED_VALUE"""),"Octubre")</f>
        <v>Octubre</v>
      </c>
      <c r="I494" s="12" t="str">
        <f>IFERROR(__xludf.DUMMYFUNCTION("""COMPUTED_VALUE"""),"7")</f>
        <v>7</v>
      </c>
      <c r="J494" s="6" t="str">
        <f>IFERROR(__xludf.DUMMYFUNCTION("""COMPUTED_VALUE"""),"Bogotá D.C.")</f>
        <v>Bogotá D.C.</v>
      </c>
      <c r="K494" s="6" t="str">
        <f>IFERROR(__xludf.DUMMYFUNCTION("""COMPUTED_VALUE"""),"juan.o2033@gi.edu.co")</f>
        <v>juan.o2033@gi.edu.co</v>
      </c>
      <c r="L494" s="6" t="str">
        <f>IFERROR(__xludf.DUMMYFUNCTION("""COMPUTED_VALUE"""),"TI")</f>
        <v>TI</v>
      </c>
      <c r="M494" s="6" t="str">
        <f>IFERROR(__xludf.DUMMYFUNCTION("""COMPUTED_VALUE"""),"Armenia")</f>
        <v>Armenia</v>
      </c>
      <c r="N494" s="6" t="str">
        <f>IFERROR(__xludf.DUMMYFUNCTION("""COMPUTED_VALUE"""),"M")</f>
        <v>M</v>
      </c>
      <c r="O494" s="6" t="str">
        <f>IFERROR(__xludf.DUMMYFUNCTION("""COMPUTED_VALUE"""),"INACTIVE")</f>
        <v>INACTIVE</v>
      </c>
      <c r="P494" s="6"/>
      <c r="Q494" s="6" t="str">
        <f>IFERROR(__xludf.DUMMYFUNCTION("""COMPUTED_VALUE"""),"Circasia")</f>
        <v>Circasia</v>
      </c>
      <c r="R494" s="12" t="str">
        <f>IFERROR(__xludf.DUMMYFUNCTION("""COMPUTED_VALUE"""),"Gifg4534*")</f>
        <v>Gifg4534*</v>
      </c>
      <c r="S494" s="6" t="str">
        <f>IFERROR(__xludf.DUMMYFUNCTION("""COMPUTED_VALUE"""),"Ortíz Castillo Juan Martín")</f>
        <v>Ortíz Castillo Juan Martín</v>
      </c>
      <c r="T494" s="6" t="str">
        <f>IFERROR(__xludf.DUMMYFUNCTION("""COMPUTED_VALUE"""),"CESAR AUGUSTO ORTIZ PEÑARANDA")</f>
        <v>CESAR AUGUSTO ORTIZ PEÑARANDA</v>
      </c>
      <c r="U494" s="12" t="str">
        <f>IFERROR(__xludf.DUMMYFUNCTION("""COMPUTED_VALUE"""),"79787573")</f>
        <v>79787573</v>
      </c>
      <c r="V494" s="6">
        <f>IFERROR(__xludf.DUMMYFUNCTION("""COMPUTED_VALUE"""),3.115616628E9)</f>
        <v>3115616628</v>
      </c>
      <c r="W494" s="6" t="str">
        <f>IFERROR(__xludf.DUMMYFUNCTION("""COMPUTED_VALUE"""),"cortizp76@gmail.com")</f>
        <v>cortizp76@gmail.com</v>
      </c>
      <c r="X494" s="12" t="str">
        <f>IFERROR(__xludf.DUMMYFUNCTION("""COMPUTED_VALUE"""),"O+")</f>
        <v>O+</v>
      </c>
      <c r="Y494" s="12" t="str">
        <f>IFERROR(__xludf.DUMMYFUNCTION("""COMPUTED_VALUE"""),"6")</f>
        <v>6</v>
      </c>
      <c r="Z494" s="12">
        <f>IFERROR(__xludf.DUMMYFUNCTION("""COMPUTED_VALUE"""),103803.0)</f>
        <v>103803</v>
      </c>
      <c r="AA494" s="6" t="str">
        <f>IFERROR(__xludf.DUMMYFUNCTION("""COMPUTED_VALUE"""),"SURA")</f>
        <v>SURA</v>
      </c>
      <c r="AB494" s="6" t="str">
        <f>IFERROR(__xludf.DUMMYFUNCTION("""COMPUTED_VALUE"""),"POLIZA SALUD MAPFRE")</f>
        <v>POLIZA SALUD MAPFRE</v>
      </c>
      <c r="AC494" s="6"/>
      <c r="AD494" s="12" t="str">
        <f>IFERROR(__xludf.DUMMYFUNCTION("""COMPUTED_VALUE"""),"6B")</f>
        <v>6B</v>
      </c>
      <c r="AE494" s="12">
        <f>IFERROR(__xludf.DUMMYFUNCTION("""COMPUTED_VALUE"""),1.345281775E9)</f>
        <v>1345281775</v>
      </c>
      <c r="AF494" s="12" t="str">
        <f>IFERROR(__xludf.DUMMYFUNCTION("""COMPUTED_VALUE"""),"0686639603")</f>
        <v>0686639603</v>
      </c>
      <c r="AG494" s="12" t="str">
        <f>IFERROR(__xludf.DUMMYFUNCTION("""COMPUTED_VALUE"""),"Juliana")</f>
        <v>Juliana</v>
      </c>
      <c r="AH494" s="6"/>
      <c r="AI494" s="6" t="str">
        <f>IFERROR(__xludf.DUMMYFUNCTION("""COMPUTED_VALUE"""),"Castillo Leaño")</f>
        <v>Castillo Leaño</v>
      </c>
      <c r="AJ494" s="6" t="str">
        <f>IFERROR(__xludf.DUMMYFUNCTION("""COMPUTED_VALUE"""),"castillojuly32@gmail.com")</f>
        <v>castillojuly32@gmail.com</v>
      </c>
      <c r="AK494" s="6" t="str">
        <f>IFERROR(__xludf.DUMMYFUNCTION("""COMPUTED_VALUE"""),"psicóloga")</f>
        <v>psicóloga</v>
      </c>
      <c r="AL494" s="6"/>
      <c r="AM494" s="12" t="str">
        <f>IFERROR(__xludf.DUMMYFUNCTION("""COMPUTED_VALUE"""),"52864735")</f>
        <v>52864735</v>
      </c>
      <c r="AN494" s="12" t="str">
        <f>IFERROR(__xludf.DUMMYFUNCTION("""COMPUTED_VALUE"""),"3138829018")</f>
        <v>3138829018</v>
      </c>
      <c r="AO494" s="6" t="str">
        <f>IFERROR(__xludf.DUMMYFUNCTION("""COMPUTED_VALUE"""),"Madre")</f>
        <v>Madre</v>
      </c>
      <c r="AP494" s="6" t="str">
        <f>IFERROR(__xludf.DUMMYFUNCTION("""COMPUTED_VALUE"""),"Estudiante(s): Ortíz Castillo")</f>
        <v>Estudiante(s): Ortíz Castillo</v>
      </c>
      <c r="AQ494" s="6" t="str">
        <f>IFERROR(__xludf.DUMMYFUNCTION("""COMPUTED_VALUE"""),"103543*Gi")</f>
        <v>103543*Gi</v>
      </c>
      <c r="AR494" s="6" t="str">
        <f>IFERROR(__xludf.DUMMYFUNCTION("""COMPUTED_VALUE"""),"Cesar")</f>
        <v>Cesar</v>
      </c>
      <c r="AS494" s="6" t="str">
        <f>IFERROR(__xludf.DUMMYFUNCTION("""COMPUTED_VALUE"""),"Augusto")</f>
        <v>Augusto</v>
      </c>
      <c r="AT494" s="6" t="str">
        <f>IFERROR(__xludf.DUMMYFUNCTION("""COMPUTED_VALUE"""),"Ortiz Peñaranda")</f>
        <v>Ortiz Peñaranda</v>
      </c>
      <c r="AU494" s="6" t="str">
        <f>IFERROR(__xludf.DUMMYFUNCTION("""COMPUTED_VALUE"""),"cortizp76@gmail.com")</f>
        <v>cortizp76@gmail.com</v>
      </c>
      <c r="AV494" s="6" t="str">
        <f>IFERROR(__xludf.DUMMYFUNCTION("""COMPUTED_VALUE"""),"ADM DE EMPRESAS")</f>
        <v>ADM DE EMPRESAS</v>
      </c>
      <c r="AW494" s="6" t="str">
        <f>IFERROR(__xludf.DUMMYFUNCTION("""COMPUTED_VALUE"""),"AGROALCE SAS")</f>
        <v>AGROALCE SAS</v>
      </c>
      <c r="AX494" s="12" t="str">
        <f>IFERROR(__xludf.DUMMYFUNCTION("""COMPUTED_VALUE"""),"79787573")</f>
        <v>79787573</v>
      </c>
      <c r="AY494" s="12" t="str">
        <f>IFERROR(__xludf.DUMMYFUNCTION("""COMPUTED_VALUE"""),"3115616628")</f>
        <v>3115616628</v>
      </c>
      <c r="AZ494" s="6" t="str">
        <f>IFERROR(__xludf.DUMMYFUNCTION("""COMPUTED_VALUE"""),"Padre")</f>
        <v>Padre</v>
      </c>
      <c r="BA494" s="6"/>
      <c r="BB494" s="6"/>
      <c r="BC494" s="6"/>
      <c r="BD494" s="12" t="str">
        <f>IFERROR(__xludf.DUMMYFUNCTION("""COMPUTED_VALUE"""),"ort0002")</f>
        <v>ort0002</v>
      </c>
      <c r="BE494" s="6" t="str">
        <f>IFERROR(__xludf.DUMMYFUNCTION("""COMPUTED_VALUE"""),"FALTAN FIRMAS")</f>
        <v>FALTAN FIRMAS</v>
      </c>
      <c r="BF494" s="6"/>
      <c r="BG494" s="6">
        <f>IFERROR(__xludf.DUMMYFUNCTION("""COMPUTED_VALUE"""),2033.0)</f>
        <v>2033</v>
      </c>
      <c r="BH494" s="15">
        <f>IFERROR(__xludf.DUMMYFUNCTION("""COMPUTED_VALUE"""),46212.480671296296)</f>
        <v>46212.48067</v>
      </c>
      <c r="BI494" s="6">
        <f>IFERROR(__xludf.DUMMYFUNCTION("""COMPUTED_VALUE"""),494.0)</f>
        <v>494</v>
      </c>
      <c r="BJ494" s="6"/>
      <c r="BK494" s="6"/>
      <c r="BL494" s="6" t="str">
        <f>IFERROR(__xludf.DUMMYFUNCTION("""COMPUTED_VALUE"""),"GISORT0002")</f>
        <v>GISORT0002</v>
      </c>
      <c r="BM494" s="6"/>
      <c r="BN494" s="6"/>
      <c r="BO494" s="6" t="str">
        <f>IFERROR(__xludf.DUMMYFUNCTION("""COMPUTED_VALUE"""),"XC_MS_Futbol_M")</f>
        <v>XC_MS_Futbol_M</v>
      </c>
      <c r="BP494" s="6"/>
      <c r="BQ494" s="6" t="str">
        <f>IFERROR(__xludf.DUMMYFUNCTION("""COMPUTED_VALUE"""),"XC_MS_Futbol_M")</f>
        <v>XC_MS_Futbol_M</v>
      </c>
      <c r="BR494" s="6" t="str">
        <f>IFERROR(__xludf.DUMMYFUNCTION("""COMPUTED_VALUE"""),"XC_MS_Futbol_M")</f>
        <v>XC_MS_Futbol_M</v>
      </c>
      <c r="BS494" s="6"/>
      <c r="BT494" s="6" t="str">
        <f>IFERROR(__xludf.DUMMYFUNCTION("""COMPUTED_VALUE"""),"XC_MS_Futbol_M")</f>
        <v>XC_MS_Futbol_M</v>
      </c>
      <c r="BU494" s="6" t="str">
        <f>IFERROR(__xludf.DUMMYFUNCTION("""COMPUTED_VALUE"""),"SI")</f>
        <v>SI</v>
      </c>
      <c r="BV494" s="6" t="str">
        <f>IFERROR(__xludf.DUMMYFUNCTION("""COMPUTED_VALUE"""),"juan.o2033")</f>
        <v>juan.o2033</v>
      </c>
      <c r="BW494" s="6"/>
      <c r="BX494" s="6"/>
      <c r="BY494" s="6"/>
      <c r="BZ494" s="6"/>
    </row>
    <row r="495">
      <c r="A495" s="12">
        <f>IFERROR(__xludf.DUMMYFUNCTION("""COMPUTED_VALUE"""),1.090279763E9)</f>
        <v>1090279763</v>
      </c>
      <c r="B495" s="6">
        <f>IFERROR(__xludf.DUMMYFUNCTION("""COMPUTED_VALUE"""),23.0)</f>
        <v>23</v>
      </c>
      <c r="C495" s="6" t="str">
        <f>IFERROR(__xludf.DUMMYFUNCTION("""COMPUTED_VALUE"""),"Martín")</f>
        <v>Martín</v>
      </c>
      <c r="D495" s="6"/>
      <c r="E495" s="6" t="str">
        <f>IFERROR(__xludf.DUMMYFUNCTION("""COMPUTED_VALUE"""),"Rodríguez Arboleda")</f>
        <v>Rodríguez Arboleda</v>
      </c>
      <c r="F495" s="6" t="str">
        <f>IFERROR(__xludf.DUMMYFUNCTION("""COMPUTED_VALUE"""),"Bosque Residencial La Pradera Casa 11 - Cra 6 No50Nte - 1 Av Centenario")</f>
        <v>Bosque Residencial La Pradera Casa 11 - Cra 6 No50Nte - 1 Av Centenario</v>
      </c>
      <c r="G495" s="12" t="str">
        <f>IFERROR(__xludf.DUMMYFUNCTION("""COMPUTED_VALUE"""),"2015")</f>
        <v>2015</v>
      </c>
      <c r="H495" s="6" t="str">
        <f>IFERROR(__xludf.DUMMYFUNCTION("""COMPUTED_VALUE"""),"Abril")</f>
        <v>Abril</v>
      </c>
      <c r="I495" s="12" t="str">
        <f>IFERROR(__xludf.DUMMYFUNCTION("""COMPUTED_VALUE"""),"13")</f>
        <v>13</v>
      </c>
      <c r="J495" s="6" t="str">
        <f>IFERROR(__xludf.DUMMYFUNCTION("""COMPUTED_VALUE"""),"Armenia")</f>
        <v>Armenia</v>
      </c>
      <c r="K495" s="6" t="str">
        <f>IFERROR(__xludf.DUMMYFUNCTION("""COMPUTED_VALUE"""),"martin.r2033@gi.edu.co")</f>
        <v>martin.r2033@gi.edu.co</v>
      </c>
      <c r="L495" s="6" t="str">
        <f>IFERROR(__xludf.DUMMYFUNCTION("""COMPUTED_VALUE"""),"TI")</f>
        <v>TI</v>
      </c>
      <c r="M495" s="6" t="str">
        <f>IFERROR(__xludf.DUMMYFUNCTION("""COMPUTED_VALUE"""),"Armenia")</f>
        <v>Armenia</v>
      </c>
      <c r="N495" s="6" t="str">
        <f>IFERROR(__xludf.DUMMYFUNCTION("""COMPUTED_VALUE"""),"M")</f>
        <v>M</v>
      </c>
      <c r="O495" s="6" t="str">
        <f>IFERROR(__xludf.DUMMYFUNCTION("""COMPUTED_VALUE"""),"INACTIVE")</f>
        <v>INACTIVE</v>
      </c>
      <c r="P495" s="6"/>
      <c r="Q495" s="6" t="str">
        <f>IFERROR(__xludf.DUMMYFUNCTION("""COMPUTED_VALUE"""),"Armenia")</f>
        <v>Armenia</v>
      </c>
      <c r="R495" s="12" t="str">
        <f>IFERROR(__xludf.DUMMYFUNCTION("""COMPUTED_VALUE"""),"Girtsu34h*")</f>
        <v>Girtsu34h*</v>
      </c>
      <c r="S495" s="6" t="str">
        <f>IFERROR(__xludf.DUMMYFUNCTION("""COMPUTED_VALUE"""),"Rodríguez Arboleda Martín ")</f>
        <v>Rodríguez Arboleda Martín </v>
      </c>
      <c r="T495" s="6" t="str">
        <f>IFERROR(__xludf.DUMMYFUNCTION("""COMPUTED_VALUE"""),"YOANNY RODRIGUEZ JIMENEZ")</f>
        <v>YOANNY RODRIGUEZ JIMENEZ</v>
      </c>
      <c r="U495" s="12" t="str">
        <f>IFERROR(__xludf.DUMMYFUNCTION("""COMPUTED_VALUE"""),"9726645")</f>
        <v>9726645</v>
      </c>
      <c r="V495" s="6">
        <f>IFERROR(__xludf.DUMMYFUNCTION("""COMPUTED_VALUE"""),3.113344379E9)</f>
        <v>3113344379</v>
      </c>
      <c r="W495" s="6" t="str">
        <f>IFERROR(__xludf.DUMMYFUNCTION("""COMPUTED_VALUE"""),"yoannyrj@gmail.com")</f>
        <v>yoannyrj@gmail.com</v>
      </c>
      <c r="X495" s="12" t="str">
        <f>IFERROR(__xludf.DUMMYFUNCTION("""COMPUTED_VALUE"""),"A+")</f>
        <v>A+</v>
      </c>
      <c r="Y495" s="12" t="str">
        <f>IFERROR(__xludf.DUMMYFUNCTION("""COMPUTED_VALUE"""),"6")</f>
        <v>6</v>
      </c>
      <c r="Z495" s="12">
        <f>IFERROR(__xludf.DUMMYFUNCTION("""COMPUTED_VALUE"""),103639.0)</f>
        <v>103639</v>
      </c>
      <c r="AA495" s="6" t="str">
        <f>IFERROR(__xludf.DUMMYFUNCTION("""COMPUTED_VALUE"""),"SURA")</f>
        <v>SURA</v>
      </c>
      <c r="AB495" s="6" t="str">
        <f>IFERROR(__xludf.DUMMYFUNCTION("""COMPUTED_VALUE"""),"EMI")</f>
        <v>EMI</v>
      </c>
      <c r="AC495" s="12" t="str">
        <f>IFERROR(__xludf.DUMMYFUNCTION("""COMPUTED_VALUE"""),"azitromicina")</f>
        <v>azitromicina</v>
      </c>
      <c r="AD495" s="12" t="str">
        <f>IFERROR(__xludf.DUMMYFUNCTION("""COMPUTED_VALUE"""),"6B")</f>
        <v>6B</v>
      </c>
      <c r="AE495" s="12">
        <f>IFERROR(__xludf.DUMMYFUNCTION("""COMPUTED_VALUE"""),1.345281765E9)</f>
        <v>1345281765</v>
      </c>
      <c r="AF495" s="12" t="str">
        <f>IFERROR(__xludf.DUMMYFUNCTION("""COMPUTED_VALUE"""),"0680436259")</f>
        <v>0680436259</v>
      </c>
      <c r="AG495" s="12" t="str">
        <f>IFERROR(__xludf.DUMMYFUNCTION("""COMPUTED_VALUE"""),"Ángela")</f>
        <v>Ángela</v>
      </c>
      <c r="AH495" s="12" t="str">
        <f>IFERROR(__xludf.DUMMYFUNCTION("""COMPUTED_VALUE"""),"María")</f>
        <v>María</v>
      </c>
      <c r="AI495" s="6" t="str">
        <f>IFERROR(__xludf.DUMMYFUNCTION("""COMPUTED_VALUE"""),"Arboleda Castaño")</f>
        <v>Arboleda Castaño</v>
      </c>
      <c r="AJ495" s="6" t="str">
        <f>IFERROR(__xludf.DUMMYFUNCTION("""COMPUTED_VALUE"""),"angierj1005@gmail.com")</f>
        <v>angierj1005@gmail.com</v>
      </c>
      <c r="AK495" s="6" t="str">
        <f>IFERROR(__xludf.DUMMYFUNCTION("""COMPUTED_VALUE"""),"ing electronica")</f>
        <v>ing electronica</v>
      </c>
      <c r="AL495" s="6" t="str">
        <f>IFERROR(__xludf.DUMMYFUNCTION("""COMPUTED_VALUE"""),"ATYSHOP SAS")</f>
        <v>ATYSHOP SAS</v>
      </c>
      <c r="AM495" s="12" t="str">
        <f>IFERROR(__xludf.DUMMYFUNCTION("""COMPUTED_VALUE"""),"1094881860")</f>
        <v>1094881860</v>
      </c>
      <c r="AN495" s="12" t="str">
        <f>IFERROR(__xludf.DUMMYFUNCTION("""COMPUTED_VALUE"""),"3127727942")</f>
        <v>3127727942</v>
      </c>
      <c r="AO495" s="6" t="str">
        <f>IFERROR(__xludf.DUMMYFUNCTION("""COMPUTED_VALUE"""),"Madre")</f>
        <v>Madre</v>
      </c>
      <c r="AP495" s="6" t="str">
        <f>IFERROR(__xludf.DUMMYFUNCTION("""COMPUTED_VALUE"""),"Estudiante(s): Rodríguez Arboleda")</f>
        <v>Estudiante(s): Rodríguez Arboleda</v>
      </c>
      <c r="AQ495" s="6" t="str">
        <f>IFERROR(__xludf.DUMMYFUNCTION("""COMPUTED_VALUE"""),"103118*Gi")</f>
        <v>103118*Gi</v>
      </c>
      <c r="AR495" s="6" t="str">
        <f>IFERROR(__xludf.DUMMYFUNCTION("""COMPUTED_VALUE"""),"Yoanny")</f>
        <v>Yoanny</v>
      </c>
      <c r="AS495" s="6"/>
      <c r="AT495" s="6" t="str">
        <f>IFERROR(__xludf.DUMMYFUNCTION("""COMPUTED_VALUE"""),"Rodríguez Jiménez")</f>
        <v>Rodríguez Jiménez</v>
      </c>
      <c r="AU495" s="6" t="str">
        <f>IFERROR(__xludf.DUMMYFUNCTION("""COMPUTED_VALUE"""),"yoannyrj@gmail.com")</f>
        <v>yoannyrj@gmail.com</v>
      </c>
      <c r="AV495" s="6" t="str">
        <f>IFERROR(__xludf.DUMMYFUNCTION("""COMPUTED_VALUE"""),"Adm. de Empresas")</f>
        <v>Adm. de Empresas</v>
      </c>
      <c r="AW495" s="6" t="str">
        <f>IFERROR(__xludf.DUMMYFUNCTION("""COMPUTED_VALUE"""),"innova arquitectura e inmobiliaria SAS")</f>
        <v>innova arquitectura e inmobiliaria SAS</v>
      </c>
      <c r="AX495" s="12" t="str">
        <f>IFERROR(__xludf.DUMMYFUNCTION("""COMPUTED_VALUE"""),"9726645")</f>
        <v>9726645</v>
      </c>
      <c r="AY495" s="12" t="str">
        <f>IFERROR(__xludf.DUMMYFUNCTION("""COMPUTED_VALUE"""),"3113344379")</f>
        <v>3113344379</v>
      </c>
      <c r="AZ495" s="6" t="str">
        <f>IFERROR(__xludf.DUMMYFUNCTION("""COMPUTED_VALUE"""),"Padre")</f>
        <v>Padre</v>
      </c>
      <c r="BA495" s="6"/>
      <c r="BB495" s="6"/>
      <c r="BC495" s="6"/>
      <c r="BD495" s="12" t="str">
        <f>IFERROR(__xludf.DUMMYFUNCTION("""COMPUTED_VALUE"""),"rod0011")</f>
        <v>rod0011</v>
      </c>
      <c r="BE495" s="6" t="str">
        <f>IFERROR(__xludf.DUMMYFUNCTION("""COMPUTED_VALUE"""),"FALTAN FIRMAS")</f>
        <v>FALTAN FIRMAS</v>
      </c>
      <c r="BF495" s="6"/>
      <c r="BG495" s="6">
        <f>IFERROR(__xludf.DUMMYFUNCTION("""COMPUTED_VALUE"""),2033.0)</f>
        <v>2033</v>
      </c>
      <c r="BH495" s="15">
        <f>IFERROR(__xludf.DUMMYFUNCTION("""COMPUTED_VALUE"""),46213.71612268518)</f>
        <v>46213.71612</v>
      </c>
      <c r="BI495" s="6">
        <f>IFERROR(__xludf.DUMMYFUNCTION("""COMPUTED_VALUE"""),495.0)</f>
        <v>495</v>
      </c>
      <c r="BJ495" s="6"/>
      <c r="BK495" s="6"/>
      <c r="BL495" s="6" t="str">
        <f>IFERROR(__xludf.DUMMYFUNCTION("""COMPUTED_VALUE"""),"GISROD0011")</f>
        <v>GISROD0011</v>
      </c>
      <c r="BM495" s="6"/>
      <c r="BN495" s="6"/>
      <c r="BO495" s="6" t="str">
        <f>IFERROR(__xludf.DUMMYFUNCTION("""COMPUTED_VALUE"""),"XC_MS_Futbol_M")</f>
        <v>XC_MS_Futbol_M</v>
      </c>
      <c r="BP495" s="6"/>
      <c r="BQ495" s="6" t="str">
        <f>IFERROR(__xludf.DUMMYFUNCTION("""COMPUTED_VALUE"""),"XC_MS_Futbol_M")</f>
        <v>XC_MS_Futbol_M</v>
      </c>
      <c r="BR495" s="6" t="str">
        <f>IFERROR(__xludf.DUMMYFUNCTION("""COMPUTED_VALUE"""),"XC_MS_Futbol_M")</f>
        <v>XC_MS_Futbol_M</v>
      </c>
      <c r="BS495" s="6"/>
      <c r="BT495" s="6" t="str">
        <f>IFERROR(__xludf.DUMMYFUNCTION("""COMPUTED_VALUE"""),"XC_MS_Futbol_M")</f>
        <v>XC_MS_Futbol_M</v>
      </c>
      <c r="BU495" s="6" t="str">
        <f>IFERROR(__xludf.DUMMYFUNCTION("""COMPUTED_VALUE"""),"SI")</f>
        <v>SI</v>
      </c>
      <c r="BV495" s="6" t="str">
        <f>IFERROR(__xludf.DUMMYFUNCTION("""COMPUTED_VALUE"""),"martin.r2033")</f>
        <v>martin.r2033</v>
      </c>
      <c r="BW495" s="6"/>
      <c r="BX495" s="6"/>
      <c r="BY495" s="6"/>
      <c r="BZ495" s="6"/>
    </row>
    <row r="496">
      <c r="A496" s="12">
        <f>IFERROR(__xludf.DUMMYFUNCTION("""COMPUTED_VALUE"""),1.092859292E9)</f>
        <v>1092859292</v>
      </c>
      <c r="B496" s="6">
        <f>IFERROR(__xludf.DUMMYFUNCTION("""COMPUTED_VALUE"""),24.0)</f>
        <v>24</v>
      </c>
      <c r="C496" s="6" t="str">
        <f>IFERROR(__xludf.DUMMYFUNCTION("""COMPUTED_VALUE"""),"Valeria")</f>
        <v>Valeria</v>
      </c>
      <c r="D496" s="6"/>
      <c r="E496" s="6" t="str">
        <f>IFERROR(__xludf.DUMMYFUNCTION("""COMPUTED_VALUE"""),"Toro Corredor")</f>
        <v>Toro Corredor</v>
      </c>
      <c r="F496" s="6" t="str">
        <f>IFERROR(__xludf.DUMMYFUNCTION("""COMPUTED_VALUE"""),"Netania Casa 6 - Calle 19Nte No10 - 42 COINCA")</f>
        <v>Netania Casa 6 - Calle 19Nte No10 - 42 COINCA</v>
      </c>
      <c r="G496" s="12" t="str">
        <f>IFERROR(__xludf.DUMMYFUNCTION("""COMPUTED_VALUE"""),"2015")</f>
        <v>2015</v>
      </c>
      <c r="H496" s="6" t="str">
        <f>IFERROR(__xludf.DUMMYFUNCTION("""COMPUTED_VALUE"""),"Septiembre")</f>
        <v>Septiembre</v>
      </c>
      <c r="I496" s="12" t="str">
        <f>IFERROR(__xludf.DUMMYFUNCTION("""COMPUTED_VALUE"""),"15")</f>
        <v>15</v>
      </c>
      <c r="J496" s="6" t="str">
        <f>IFERROR(__xludf.DUMMYFUNCTION("""COMPUTED_VALUE"""),"Armenia")</f>
        <v>Armenia</v>
      </c>
      <c r="K496" s="6" t="str">
        <f>IFERROR(__xludf.DUMMYFUNCTION("""COMPUTED_VALUE"""),"valeria.t2033@gi.edu.co")</f>
        <v>valeria.t2033@gi.edu.co</v>
      </c>
      <c r="L496" s="6" t="str">
        <f>IFERROR(__xludf.DUMMYFUNCTION("""COMPUTED_VALUE"""),"TI")</f>
        <v>TI</v>
      </c>
      <c r="M496" s="6" t="str">
        <f>IFERROR(__xludf.DUMMYFUNCTION("""COMPUTED_VALUE"""),"Armenia")</f>
        <v>Armenia</v>
      </c>
      <c r="N496" s="6" t="str">
        <f>IFERROR(__xludf.DUMMYFUNCTION("""COMPUTED_VALUE"""),"F")</f>
        <v>F</v>
      </c>
      <c r="O496" s="6" t="str">
        <f>IFERROR(__xludf.DUMMYFUNCTION("""COMPUTED_VALUE"""),"iNACTIVE")</f>
        <v>iNACTIVE</v>
      </c>
      <c r="P496" s="6"/>
      <c r="Q496" s="6" t="str">
        <f>IFERROR(__xludf.DUMMYFUNCTION("""COMPUTED_VALUE"""),"Armenia")</f>
        <v>Armenia</v>
      </c>
      <c r="R496" s="12" t="str">
        <f>IFERROR(__xludf.DUMMYFUNCTION("""COMPUTED_VALUE"""),"Gise2kpq3*")</f>
        <v>Gise2kpq3*</v>
      </c>
      <c r="S496" s="6" t="str">
        <f>IFERROR(__xludf.DUMMYFUNCTION("""COMPUTED_VALUE"""),"Toro Corredor Valeria ")</f>
        <v>Toro Corredor Valeria </v>
      </c>
      <c r="T496" s="6" t="str">
        <f>IFERROR(__xludf.DUMMYFUNCTION("""COMPUTED_VALUE"""),"CARLOS ANDRES TORO CASTAÑO")</f>
        <v>CARLOS ANDRES TORO CASTAÑO</v>
      </c>
      <c r="U496" s="12" t="str">
        <f>IFERROR(__xludf.DUMMYFUNCTION("""COMPUTED_VALUE"""),"89004975")</f>
        <v>89004975</v>
      </c>
      <c r="V496" s="6">
        <f>IFERROR(__xludf.DUMMYFUNCTION("""COMPUTED_VALUE"""),3.11735469E9)</f>
        <v>3117354690</v>
      </c>
      <c r="W496" s="6" t="str">
        <f>IFERROR(__xludf.DUMMYFUNCTION("""COMPUTED_VALUE"""),"carlosandres_toro@hotmail.com")</f>
        <v>carlosandres_toro@hotmail.com</v>
      </c>
      <c r="X496" s="12" t="str">
        <f>IFERROR(__xludf.DUMMYFUNCTION("""COMPUTED_VALUE"""),"O+")</f>
        <v>O+</v>
      </c>
      <c r="Y496" s="12" t="str">
        <f>IFERROR(__xludf.DUMMYFUNCTION("""COMPUTED_VALUE"""),"6")</f>
        <v>6</v>
      </c>
      <c r="Z496" s="12">
        <f>IFERROR(__xludf.DUMMYFUNCTION("""COMPUTED_VALUE"""),103681.0)</f>
        <v>103681</v>
      </c>
      <c r="AA496" s="6" t="str">
        <f>IFERROR(__xludf.DUMMYFUNCTION("""COMPUTED_VALUE"""),"SURA")</f>
        <v>SURA</v>
      </c>
      <c r="AB496" s="6"/>
      <c r="AC496" s="6"/>
      <c r="AD496" s="12" t="str">
        <f>IFERROR(__xludf.DUMMYFUNCTION("""COMPUTED_VALUE"""),"6B")</f>
        <v>6B</v>
      </c>
      <c r="AE496" s="12">
        <f>IFERROR(__xludf.DUMMYFUNCTION("""COMPUTED_VALUE"""),1.345281824E9)</f>
        <v>1345281824</v>
      </c>
      <c r="AF496" s="12" t="str">
        <f>IFERROR(__xludf.DUMMYFUNCTION("""COMPUTED_VALUE"""),"0679265555")</f>
        <v>0679265555</v>
      </c>
      <c r="AG496" s="12" t="str">
        <f>IFERROR(__xludf.DUMMYFUNCTION("""COMPUTED_VALUE"""),"Alexandra")</f>
        <v>Alexandra</v>
      </c>
      <c r="AH496" s="6"/>
      <c r="AI496" s="6" t="str">
        <f>IFERROR(__xludf.DUMMYFUNCTION("""COMPUTED_VALUE"""),"Corredor Galvis")</f>
        <v>Corredor Galvis</v>
      </c>
      <c r="AJ496" s="6" t="str">
        <f>IFERROR(__xludf.DUMMYFUNCTION("""COMPUTED_VALUE"""),"zulacor@hotmail.com")</f>
        <v>zulacor@hotmail.com</v>
      </c>
      <c r="AK496" s="6" t="str">
        <f>IFERROR(__xludf.DUMMYFUNCTION("""COMPUTED_VALUE"""),"ADMON DE EMPRESAS")</f>
        <v>ADMON DE EMPRESAS</v>
      </c>
      <c r="AL496" s="6" t="str">
        <f>IFERROR(__xludf.DUMMYFUNCTION("""COMPUTED_VALUE"""),"ORIGENES DESIGN - COLAGENA")</f>
        <v>ORIGENES DESIGN - COLAGENA</v>
      </c>
      <c r="AM496" s="12" t="str">
        <f>IFERROR(__xludf.DUMMYFUNCTION("""COMPUTED_VALUE"""),"25023191")</f>
        <v>25023191</v>
      </c>
      <c r="AN496" s="12" t="str">
        <f>IFERROR(__xludf.DUMMYFUNCTION("""COMPUTED_VALUE"""),"3148118672")</f>
        <v>3148118672</v>
      </c>
      <c r="AO496" s="6" t="str">
        <f>IFERROR(__xludf.DUMMYFUNCTION("""COMPUTED_VALUE"""),"Madre")</f>
        <v>Madre</v>
      </c>
      <c r="AP496" s="6" t="str">
        <f>IFERROR(__xludf.DUMMYFUNCTION("""COMPUTED_VALUE"""),"Estudiante(s): Toro Corredor")</f>
        <v>Estudiante(s): Toro Corredor</v>
      </c>
      <c r="AQ496" s="6" t="str">
        <f>IFERROR(__xludf.DUMMYFUNCTION("""COMPUTED_VALUE"""),"103284*Gi")</f>
        <v>103284*Gi</v>
      </c>
      <c r="AR496" s="6" t="str">
        <f>IFERROR(__xludf.DUMMYFUNCTION("""COMPUTED_VALUE"""),"Carlos")</f>
        <v>Carlos</v>
      </c>
      <c r="AS496" s="6" t="str">
        <f>IFERROR(__xludf.DUMMYFUNCTION("""COMPUTED_VALUE"""),"Andrés")</f>
        <v>Andrés</v>
      </c>
      <c r="AT496" s="6" t="str">
        <f>IFERROR(__xludf.DUMMYFUNCTION("""COMPUTED_VALUE"""),"Toro Castaño")</f>
        <v>Toro Castaño</v>
      </c>
      <c r="AU496" s="6" t="str">
        <f>IFERROR(__xludf.DUMMYFUNCTION("""COMPUTED_VALUE"""),"carlosandres_toro@hotmail.com")</f>
        <v>carlosandres_toro@hotmail.com</v>
      </c>
      <c r="AV496" s="6" t="str">
        <f>IFERROR(__xludf.DUMMYFUNCTION("""COMPUTED_VALUE"""),"Dermatologo")</f>
        <v>Dermatologo</v>
      </c>
      <c r="AW496" s="6" t="str">
        <f>IFERROR(__xludf.DUMMYFUNCTION("""COMPUTED_VALUE"""),"Consultorio 504")</f>
        <v>Consultorio 504</v>
      </c>
      <c r="AX496" s="12" t="str">
        <f>IFERROR(__xludf.DUMMYFUNCTION("""COMPUTED_VALUE"""),"89004975")</f>
        <v>89004975</v>
      </c>
      <c r="AY496" s="12" t="str">
        <f>IFERROR(__xludf.DUMMYFUNCTION("""COMPUTED_VALUE"""),"3117354690")</f>
        <v>3117354690</v>
      </c>
      <c r="AZ496" s="6" t="str">
        <f>IFERROR(__xludf.DUMMYFUNCTION("""COMPUTED_VALUE"""),"Padre")</f>
        <v>Padre</v>
      </c>
      <c r="BA496" s="6"/>
      <c r="BB496" s="6"/>
      <c r="BC496" s="6"/>
      <c r="BD496" s="12" t="str">
        <f>IFERROR(__xludf.DUMMYFUNCTION("""COMPUTED_VALUE"""),"tor0007")</f>
        <v>tor0007</v>
      </c>
      <c r="BE496" s="6" t="str">
        <f>IFERROR(__xludf.DUMMYFUNCTION("""COMPUTED_VALUE"""),"FALTAN FIRMAS")</f>
        <v>FALTAN FIRMAS</v>
      </c>
      <c r="BF496" s="6"/>
      <c r="BG496" s="6">
        <f>IFERROR(__xludf.DUMMYFUNCTION("""COMPUTED_VALUE"""),2033.0)</f>
        <v>2033</v>
      </c>
      <c r="BH496" s="15">
        <f>IFERROR(__xludf.DUMMYFUNCTION("""COMPUTED_VALUE"""),46211.35707175926)</f>
        <v>46211.35707</v>
      </c>
      <c r="BI496" s="6">
        <f>IFERROR(__xludf.DUMMYFUNCTION("""COMPUTED_VALUE"""),496.0)</f>
        <v>496</v>
      </c>
      <c r="BJ496" s="6"/>
      <c r="BK496" s="6"/>
      <c r="BL496" s="6" t="str">
        <f>IFERROR(__xludf.DUMMYFUNCTION("""COMPUTED_VALUE"""),"GISTOR0007")</f>
        <v>GISTOR0007</v>
      </c>
      <c r="BM496" s="6"/>
      <c r="BN496" s="6"/>
      <c r="BO496" s="6" t="str">
        <f>IFERROR(__xludf.DUMMYFUNCTION("""COMPUTED_VALUE"""),"XC_MS_Voleibol_F")</f>
        <v>XC_MS_Voleibol_F</v>
      </c>
      <c r="BP496" s="6"/>
      <c r="BQ496" s="6" t="str">
        <f>IFERROR(__xludf.DUMMYFUNCTION("""COMPUTED_VALUE"""),"XC_MS_Voleibol_F")</f>
        <v>XC_MS_Voleibol_F</v>
      </c>
      <c r="BR496" s="6" t="str">
        <f>IFERROR(__xludf.DUMMYFUNCTION("""COMPUTED_VALUE"""),"XC_MS_Voleibol_F")</f>
        <v>XC_MS_Voleibol_F</v>
      </c>
      <c r="BS496" s="6"/>
      <c r="BT496" s="6" t="str">
        <f>IFERROR(__xludf.DUMMYFUNCTION("""COMPUTED_VALUE"""),"XC_MS_Voleibol_F")</f>
        <v>XC_MS_Voleibol_F</v>
      </c>
      <c r="BU496" s="6" t="str">
        <f>IFERROR(__xludf.DUMMYFUNCTION("""COMPUTED_VALUE"""),"SI")</f>
        <v>SI</v>
      </c>
      <c r="BV496" s="6" t="str">
        <f>IFERROR(__xludf.DUMMYFUNCTION("""COMPUTED_VALUE"""),"valeria.t2033")</f>
        <v>valeria.t2033</v>
      </c>
      <c r="BW496" s="6"/>
      <c r="BX496" s="6"/>
      <c r="BY496" s="6"/>
      <c r="BZ496" s="6"/>
    </row>
    <row r="497">
      <c r="A497" s="12">
        <f>IFERROR(__xludf.DUMMYFUNCTION("""COMPUTED_VALUE"""),1.094953767E9)</f>
        <v>1094953767</v>
      </c>
      <c r="B497" s="6">
        <f>IFERROR(__xludf.DUMMYFUNCTION("""COMPUTED_VALUE"""),25.0)</f>
        <v>25</v>
      </c>
      <c r="C497" s="6" t="str">
        <f>IFERROR(__xludf.DUMMYFUNCTION("""COMPUTED_VALUE"""),"Jacobo")</f>
        <v>Jacobo</v>
      </c>
      <c r="D497" s="6"/>
      <c r="E497" s="6" t="str">
        <f>IFERROR(__xludf.DUMMYFUNCTION("""COMPUTED_VALUE"""),"Tovar Muñoz")</f>
        <v>Tovar Muñoz</v>
      </c>
      <c r="F497" s="6" t="str">
        <f>IFERROR(__xludf.DUMMYFUNCTION("""COMPUTED_VALUE"""),"Conjunto Alejandria Casa 23 - Cra 6 No25Nte - 35 Av Centenario")</f>
        <v>Conjunto Alejandria Casa 23 - Cra 6 No25Nte - 35 Av Centenario</v>
      </c>
      <c r="G497" s="12" t="str">
        <f>IFERROR(__xludf.DUMMYFUNCTION("""COMPUTED_VALUE"""),"2013")</f>
        <v>2013</v>
      </c>
      <c r="H497" s="6" t="str">
        <f>IFERROR(__xludf.DUMMYFUNCTION("""COMPUTED_VALUE"""),"Diciembre")</f>
        <v>Diciembre</v>
      </c>
      <c r="I497" s="12" t="str">
        <f>IFERROR(__xludf.DUMMYFUNCTION("""COMPUTED_VALUE"""),"23")</f>
        <v>23</v>
      </c>
      <c r="J497" s="6" t="str">
        <f>IFERROR(__xludf.DUMMYFUNCTION("""COMPUTED_VALUE"""),"Armenia")</f>
        <v>Armenia</v>
      </c>
      <c r="K497" s="6" t="str">
        <f>IFERROR(__xludf.DUMMYFUNCTION("""COMPUTED_VALUE"""),"jacobo.t2033@gi.edu.co")</f>
        <v>jacobo.t2033@gi.edu.co</v>
      </c>
      <c r="L497" s="6" t="str">
        <f>IFERROR(__xludf.DUMMYFUNCTION("""COMPUTED_VALUE"""),"TI")</f>
        <v>TI</v>
      </c>
      <c r="M497" s="6" t="str">
        <f>IFERROR(__xludf.DUMMYFUNCTION("""COMPUTED_VALUE"""),"Armenia")</f>
        <v>Armenia</v>
      </c>
      <c r="N497" s="6" t="str">
        <f>IFERROR(__xludf.DUMMYFUNCTION("""COMPUTED_VALUE"""),"M")</f>
        <v>M</v>
      </c>
      <c r="O497" s="6" t="str">
        <f>IFERROR(__xludf.DUMMYFUNCTION("""COMPUTED_VALUE"""),"ACTIVE")</f>
        <v>ACTIVE</v>
      </c>
      <c r="P497" s="6"/>
      <c r="Q497" s="6" t="str">
        <f>IFERROR(__xludf.DUMMYFUNCTION("""COMPUTED_VALUE"""),"Armenia")</f>
        <v>Armenia</v>
      </c>
      <c r="R497" s="12" t="str">
        <f>IFERROR(__xludf.DUMMYFUNCTION("""COMPUTED_VALUE"""),"Gi551728*")</f>
        <v>Gi551728*</v>
      </c>
      <c r="S497" s="6" t="str">
        <f>IFERROR(__xludf.DUMMYFUNCTION("""COMPUTED_VALUE"""),"Tovar Muñoz Jacobo ")</f>
        <v>Tovar Muñoz Jacobo </v>
      </c>
      <c r="T497" s="6" t="str">
        <f>IFERROR(__xludf.DUMMYFUNCTION("""COMPUTED_VALUE"""),"MARÍA CAMILA MUÑOZ PAJOY")</f>
        <v>MARÍA CAMILA MUÑOZ PAJOY</v>
      </c>
      <c r="U497" s="12" t="str">
        <f>IFERROR(__xludf.DUMMYFUNCTION("""COMPUTED_VALUE"""),"1094940954")</f>
        <v>1094940954</v>
      </c>
      <c r="V497" s="6">
        <f>IFERROR(__xludf.DUMMYFUNCTION("""COMPUTED_VALUE"""),3.127782667E9)</f>
        <v>3127782667</v>
      </c>
      <c r="W497" s="6" t="str">
        <f>IFERROR(__xludf.DUMMYFUNCTION("""COMPUTED_VALUE"""),"camiluchis_1008@hotmail.com")</f>
        <v>camiluchis_1008@hotmail.com</v>
      </c>
      <c r="X497" s="12" t="str">
        <f>IFERROR(__xludf.DUMMYFUNCTION("""COMPUTED_VALUE"""),"B+")</f>
        <v>B+</v>
      </c>
      <c r="Y497" s="12" t="str">
        <f>IFERROR(__xludf.DUMMYFUNCTION("""COMPUTED_VALUE"""),"6")</f>
        <v>6</v>
      </c>
      <c r="Z497" s="12">
        <f>IFERROR(__xludf.DUMMYFUNCTION("""COMPUTED_VALUE"""),120212.0)</f>
        <v>120212</v>
      </c>
      <c r="AA497" s="6" t="str">
        <f>IFERROR(__xludf.DUMMYFUNCTION("""COMPUTED_VALUE"""),"SURA")</f>
        <v>SURA</v>
      </c>
      <c r="AB497" s="6"/>
      <c r="AC497" s="6"/>
      <c r="AD497" s="12" t="str">
        <f>IFERROR(__xludf.DUMMYFUNCTION("""COMPUTED_VALUE"""),"6B")</f>
        <v>6B</v>
      </c>
      <c r="AE497" s="12">
        <f>IFERROR(__xludf.DUMMYFUNCTION("""COMPUTED_VALUE"""),1.345282201E9)</f>
        <v>1345282201</v>
      </c>
      <c r="AF497" s="12" t="str">
        <f>IFERROR(__xludf.DUMMYFUNCTION("""COMPUTED_VALUE"""),"0681770387")</f>
        <v>0681770387</v>
      </c>
      <c r="AG497" s="12" t="str">
        <f>IFERROR(__xludf.DUMMYFUNCTION("""COMPUTED_VALUE"""),"María")</f>
        <v>María</v>
      </c>
      <c r="AH497" s="12" t="str">
        <f>IFERROR(__xludf.DUMMYFUNCTION("""COMPUTED_VALUE"""),"Camila")</f>
        <v>Camila</v>
      </c>
      <c r="AI497" s="6" t="str">
        <f>IFERROR(__xludf.DUMMYFUNCTION("""COMPUTED_VALUE"""),"Muñoz Pajoy")</f>
        <v>Muñoz Pajoy</v>
      </c>
      <c r="AJ497" s="6" t="str">
        <f>IFERROR(__xludf.DUMMYFUNCTION("""COMPUTED_VALUE"""),"camiluchis_1008@hotmail.com")</f>
        <v>camiluchis_1008@hotmail.com</v>
      </c>
      <c r="AK497" s="6" t="str">
        <f>IFERROR(__xludf.DUMMYFUNCTION("""COMPUTED_VALUE"""),"comerciante de vidrio")</f>
        <v>comerciante de vidrio</v>
      </c>
      <c r="AL497" s="6" t="str">
        <f>IFERROR(__xludf.DUMMYFUNCTION("""COMPUTED_VALUE"""),"VIDRIOS Y ESPEJOS DEL TOLIMA")</f>
        <v>VIDRIOS Y ESPEJOS DEL TOLIMA</v>
      </c>
      <c r="AM497" s="12" t="str">
        <f>IFERROR(__xludf.DUMMYFUNCTION("""COMPUTED_VALUE"""),"1094940954")</f>
        <v>1094940954</v>
      </c>
      <c r="AN497" s="12" t="str">
        <f>IFERROR(__xludf.DUMMYFUNCTION("""COMPUTED_VALUE"""),"3127782667")</f>
        <v>3127782667</v>
      </c>
      <c r="AO497" s="6" t="str">
        <f>IFERROR(__xludf.DUMMYFUNCTION("""COMPUTED_VALUE"""),"Madre")</f>
        <v>Madre</v>
      </c>
      <c r="AP497" s="6" t="str">
        <f>IFERROR(__xludf.DUMMYFUNCTION("""COMPUTED_VALUE"""),"Estudiante(s): Tovar Muñoz")</f>
        <v>Estudiante(s): Tovar Muñoz</v>
      </c>
      <c r="AQ497" s="6" t="str">
        <f>IFERROR(__xludf.DUMMYFUNCTION("""COMPUTED_VALUE"""),"134586*Gi")</f>
        <v>134586*Gi</v>
      </c>
      <c r="AR497" s="6" t="str">
        <f>IFERROR(__xludf.DUMMYFUNCTION("""COMPUTED_VALUE"""),"Luis")</f>
        <v>Luis</v>
      </c>
      <c r="AS497" s="6" t="str">
        <f>IFERROR(__xludf.DUMMYFUNCTION("""COMPUTED_VALUE"""),"Efraín")</f>
        <v>Efraín</v>
      </c>
      <c r="AT497" s="6" t="str">
        <f>IFERROR(__xludf.DUMMYFUNCTION("""COMPUTED_VALUE"""),"Tovar Reina")</f>
        <v>Tovar Reina</v>
      </c>
      <c r="AU497" s="6" t="str">
        <f>IFERROR(__xludf.DUMMYFUNCTION("""COMPUTED_VALUE"""),"contabilidadvidriosreina@outlook.com")</f>
        <v>contabilidadvidriosreina@outlook.com</v>
      </c>
      <c r="AV497" s="6" t="str">
        <f>IFERROR(__xludf.DUMMYFUNCTION("""COMPUTED_VALUE"""),"comerciante de vidrio")</f>
        <v>comerciante de vidrio</v>
      </c>
      <c r="AW497" s="6" t="str">
        <f>IFERROR(__xludf.DUMMYFUNCTION("""COMPUTED_VALUE"""),"DIVIACEROS REINA")</f>
        <v>DIVIACEROS REINA</v>
      </c>
      <c r="AX497" s="12" t="str">
        <f>IFERROR(__xludf.DUMMYFUNCTION("""COMPUTED_VALUE"""),"5937864")</f>
        <v>5937864</v>
      </c>
      <c r="AY497" s="12" t="str">
        <f>IFERROR(__xludf.DUMMYFUNCTION("""COMPUTED_VALUE"""),"3218115077")</f>
        <v>3218115077</v>
      </c>
      <c r="AZ497" s="6" t="str">
        <f>IFERROR(__xludf.DUMMYFUNCTION("""COMPUTED_VALUE"""),"Padre")</f>
        <v>Padre</v>
      </c>
      <c r="BA497" s="6"/>
      <c r="BB497" s="6"/>
      <c r="BC497" s="6"/>
      <c r="BD497" s="12" t="str">
        <f>IFERROR(__xludf.DUMMYFUNCTION("""COMPUTED_VALUE"""),"tov0001")</f>
        <v>tov0001</v>
      </c>
      <c r="BE497" s="6"/>
      <c r="BF497" s="6"/>
      <c r="BG497" s="6">
        <f>IFERROR(__xludf.DUMMYFUNCTION("""COMPUTED_VALUE"""),2033.0)</f>
        <v>2033</v>
      </c>
      <c r="BH497" s="15">
        <f>IFERROR(__xludf.DUMMYFUNCTION("""COMPUTED_VALUE"""),46211.51528935185)</f>
        <v>46211.51529</v>
      </c>
      <c r="BI497" s="6">
        <f>IFERROR(__xludf.DUMMYFUNCTION("""COMPUTED_VALUE"""),497.0)</f>
        <v>497</v>
      </c>
      <c r="BJ497" s="6" t="str">
        <f>IFERROR(__xludf.DUMMYFUNCTION("""COMPUTED_VALUE"""),"SIMAT: trastorno por déficit de atención con o sin hiperactividad")</f>
        <v>SIMAT: trastorno por déficit de atención con o sin hiperactividad</v>
      </c>
      <c r="BK497" s="6"/>
      <c r="BL497" s="6" t="str">
        <f>IFERROR(__xludf.DUMMYFUNCTION("""COMPUTED_VALUE"""),"GISTOV0001")</f>
        <v>GISTOV0001</v>
      </c>
      <c r="BM497" s="6"/>
      <c r="BN497" s="6"/>
      <c r="BO497" s="6"/>
      <c r="BP497" s="6"/>
      <c r="BQ497" s="6"/>
      <c r="BR497" s="6"/>
      <c r="BS497" s="6"/>
      <c r="BT497" s="6"/>
      <c r="BU497" s="6" t="str">
        <f>IFERROR(__xludf.DUMMYFUNCTION("""COMPUTED_VALUE"""),"SI")</f>
        <v>SI</v>
      </c>
      <c r="BV497" s="6" t="str">
        <f>IFERROR(__xludf.DUMMYFUNCTION("""COMPUTED_VALUE"""),"jacobo.t2033")</f>
        <v>jacobo.t2033</v>
      </c>
      <c r="BW497" s="6"/>
      <c r="BX497" s="6"/>
      <c r="BY497" s="6"/>
      <c r="B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 t="str">
        <f>IFERROR(__xludf.DUMMYFUNCTION("""COMPUTED_VALUE"""),"Madre")</f>
        <v>Madre</v>
      </c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 t="str">
        <f>IFERROR(__xludf.DUMMYFUNCTION("""COMPUTED_VALUE"""),"Padre")</f>
        <v>Padre</v>
      </c>
      <c r="BA498" s="6"/>
      <c r="BB498" s="6"/>
      <c r="BC498" s="6"/>
      <c r="BD498" s="6"/>
      <c r="BE498" s="6"/>
      <c r="BF498" s="6"/>
      <c r="BG498" s="6"/>
      <c r="BH498" s="6"/>
      <c r="BI498" s="6">
        <f>IFERROR(__xludf.DUMMYFUNCTION("""COMPUTED_VALUE"""),498.0)</f>
        <v>498</v>
      </c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  <c r="BV498" s="6"/>
      <c r="BW498" s="6"/>
      <c r="BX498" s="6"/>
      <c r="BY498" s="6"/>
      <c r="BZ498" s="6"/>
    </row>
    <row r="499">
      <c r="A499" s="12">
        <f>IFERROR(__xludf.DUMMYFUNCTION("""COMPUTED_VALUE"""),1.013146165E9)</f>
        <v>1013146165</v>
      </c>
      <c r="B499" s="6">
        <f>IFERROR(__xludf.DUMMYFUNCTION("""COMPUTED_VALUE"""),1.0)</f>
        <v>1</v>
      </c>
      <c r="C499" s="6" t="str">
        <f>IFERROR(__xludf.DUMMYFUNCTION("""COMPUTED_VALUE"""),"Thomas")</f>
        <v>Thomas</v>
      </c>
      <c r="D499" s="6"/>
      <c r="E499" s="6" t="str">
        <f>IFERROR(__xludf.DUMMYFUNCTION("""COMPUTED_VALUE"""),"Abreo Garatejo")</f>
        <v>Abreo Garatejo</v>
      </c>
      <c r="F499" s="6" t="str">
        <f>IFERROR(__xludf.DUMMYFUNCTION("""COMPUTED_VALUE"""),"Torre Alameda 19 Apto 10-08 - Cra 19 No36Nte - 38 Getsemani")</f>
        <v>Torre Alameda 19 Apto 10-08 - Cra 19 No36Nte - 38 Getsemani</v>
      </c>
      <c r="G499" s="12" t="str">
        <f>IFERROR(__xludf.DUMMYFUNCTION("""COMPUTED_VALUE"""),"2014")</f>
        <v>2014</v>
      </c>
      <c r="H499" s="6" t="str">
        <f>IFERROR(__xludf.DUMMYFUNCTION("""COMPUTED_VALUE"""),"Septiembre")</f>
        <v>Septiembre</v>
      </c>
      <c r="I499" s="12" t="str">
        <f>IFERROR(__xludf.DUMMYFUNCTION("""COMPUTED_VALUE"""),"2")</f>
        <v>2</v>
      </c>
      <c r="J499" s="6" t="str">
        <f>IFERROR(__xludf.DUMMYFUNCTION("""COMPUTED_VALUE"""),"Bogotá D.C.")</f>
        <v>Bogotá D.C.</v>
      </c>
      <c r="K499" s="6" t="str">
        <f>IFERROR(__xludf.DUMMYFUNCTION("""COMPUTED_VALUE"""),"thomas.a2032@gi.edu.co")</f>
        <v>thomas.a2032@gi.edu.co</v>
      </c>
      <c r="L499" s="6" t="str">
        <f>IFERROR(__xludf.DUMMYFUNCTION("""COMPUTED_VALUE"""),"TI")</f>
        <v>TI</v>
      </c>
      <c r="M499" s="6" t="str">
        <f>IFERROR(__xludf.DUMMYFUNCTION("""COMPUTED_VALUE"""),"Bogotá D.C.")</f>
        <v>Bogotá D.C.</v>
      </c>
      <c r="N499" s="6" t="str">
        <f>IFERROR(__xludf.DUMMYFUNCTION("""COMPUTED_VALUE"""),"M")</f>
        <v>M</v>
      </c>
      <c r="O499" s="6" t="str">
        <f>IFERROR(__xludf.DUMMYFUNCTION("""COMPUTED_VALUE"""),"INACTIVE")</f>
        <v>INACTIVE</v>
      </c>
      <c r="P499" s="6"/>
      <c r="Q499" s="6" t="str">
        <f>IFERROR(__xludf.DUMMYFUNCTION("""COMPUTED_VALUE"""),"Armenia")</f>
        <v>Armenia</v>
      </c>
      <c r="R499" s="12" t="str">
        <f>IFERROR(__xludf.DUMMYFUNCTION("""COMPUTED_VALUE"""),"Giyu69cux*")</f>
        <v>Giyu69cux*</v>
      </c>
      <c r="S499" s="6" t="str">
        <f>IFERROR(__xludf.DUMMYFUNCTION("""COMPUTED_VALUE"""),"Abreo Garatejo Thomas ")</f>
        <v>Abreo Garatejo Thomas </v>
      </c>
      <c r="T499" s="6" t="str">
        <f>IFERROR(__xludf.DUMMYFUNCTION("""COMPUTED_VALUE"""),"YENIFFER GARATEJO VELASQUEZ")</f>
        <v>YENIFFER GARATEJO VELASQUEZ</v>
      </c>
      <c r="U499" s="12" t="str">
        <f>IFERROR(__xludf.DUMMYFUNCTION("""COMPUTED_VALUE"""),"1012365158")</f>
        <v>1012365158</v>
      </c>
      <c r="V499" s="6">
        <f>IFERROR(__xludf.DUMMYFUNCTION("""COMPUTED_VALUE"""),3.502123211E9)</f>
        <v>3502123211</v>
      </c>
      <c r="W499" s="6" t="str">
        <f>IFERROR(__xludf.DUMMYFUNCTION("""COMPUTED_VALUE"""),"janer.abreo@hotmail.com")</f>
        <v>janer.abreo@hotmail.com</v>
      </c>
      <c r="X499" s="12" t="str">
        <f>IFERROR(__xludf.DUMMYFUNCTION("""COMPUTED_VALUE"""),"O-")</f>
        <v>O-</v>
      </c>
      <c r="Y499" s="12" t="str">
        <f>IFERROR(__xludf.DUMMYFUNCTION("""COMPUTED_VALUE"""),"7")</f>
        <v>7</v>
      </c>
      <c r="Z499" s="12">
        <f>IFERROR(__xludf.DUMMYFUNCTION("""COMPUTED_VALUE"""),103934.0)</f>
        <v>103934</v>
      </c>
      <c r="AA499" s="6" t="str">
        <f>IFERROR(__xludf.DUMMYFUNCTION("""COMPUTED_VALUE"""),"SURA")</f>
        <v>SURA</v>
      </c>
      <c r="AB499" s="6" t="str">
        <f>IFERROR(__xludf.DUMMYFUNCTION("""COMPUTED_VALUE"""),"Emi - Salud Global - Suramericana")</f>
        <v>Emi - Salud Global - Suramericana</v>
      </c>
      <c r="AC499" s="12" t="str">
        <f>IFERROR(__xludf.DUMMYFUNCTION("""COMPUTED_VALUE"""),"rinitis alérgica")</f>
        <v>rinitis alérgica</v>
      </c>
      <c r="AD499" s="12" t="str">
        <f>IFERROR(__xludf.DUMMYFUNCTION("""COMPUTED_VALUE"""),"7A")</f>
        <v>7A</v>
      </c>
      <c r="AE499" s="12">
        <f>IFERROR(__xludf.DUMMYFUNCTION("""COMPUTED_VALUE"""),1.345281978E9)</f>
        <v>1345281978</v>
      </c>
      <c r="AF499" s="12" t="str">
        <f>IFERROR(__xludf.DUMMYFUNCTION("""COMPUTED_VALUE"""),"0689590771")</f>
        <v>0689590771</v>
      </c>
      <c r="AG499" s="12" t="str">
        <f>IFERROR(__xludf.DUMMYFUNCTION("""COMPUTED_VALUE"""),"Yeniffer")</f>
        <v>Yeniffer</v>
      </c>
      <c r="AH499" s="6"/>
      <c r="AI499" s="6" t="str">
        <f>IFERROR(__xludf.DUMMYFUNCTION("""COMPUTED_VALUE"""),"Garatejo Velasquez")</f>
        <v>Garatejo Velasquez</v>
      </c>
      <c r="AJ499" s="6" t="str">
        <f>IFERROR(__xludf.DUMMYFUNCTION("""COMPUTED_VALUE"""),"yeniffergaratejo.23@hotmail.com")</f>
        <v>yeniffergaratejo.23@hotmail.com</v>
      </c>
      <c r="AK499" s="6" t="str">
        <f>IFERROR(__xludf.DUMMYFUNCTION("""COMPUTED_VALUE"""),"COM. INTERNACIONAL")</f>
        <v>COM. INTERNACIONAL</v>
      </c>
      <c r="AL499" s="6" t="str">
        <f>IFERROR(__xludf.DUMMYFUNCTION("""COMPUTED_VALUE"""),"COMAIM SAS")</f>
        <v>COMAIM SAS</v>
      </c>
      <c r="AM499" s="12" t="str">
        <f>IFERROR(__xludf.DUMMYFUNCTION("""COMPUTED_VALUE"""),"1012365158")</f>
        <v>1012365158</v>
      </c>
      <c r="AN499" s="12" t="str">
        <f>IFERROR(__xludf.DUMMYFUNCTION("""COMPUTED_VALUE"""),"3502123211")</f>
        <v>3502123211</v>
      </c>
      <c r="AO499" s="6" t="str">
        <f>IFERROR(__xludf.DUMMYFUNCTION("""COMPUTED_VALUE"""),"Madre")</f>
        <v>Madre</v>
      </c>
      <c r="AP499" s="6" t="str">
        <f>IFERROR(__xludf.DUMMYFUNCTION("""COMPUTED_VALUE"""),"Estudiante(s): Abreo Garatejo")</f>
        <v>Estudiante(s): Abreo Garatejo</v>
      </c>
      <c r="AQ499" s="6" t="str">
        <f>IFERROR(__xludf.DUMMYFUNCTION("""COMPUTED_VALUE"""),"103934*Gi")</f>
        <v>103934*Gi</v>
      </c>
      <c r="AR499" s="6" t="str">
        <f>IFERROR(__xludf.DUMMYFUNCTION("""COMPUTED_VALUE"""),"Edwin")</f>
        <v>Edwin</v>
      </c>
      <c r="AS499" s="6" t="str">
        <f>IFERROR(__xludf.DUMMYFUNCTION("""COMPUTED_VALUE"""),"Janer")</f>
        <v>Janer</v>
      </c>
      <c r="AT499" s="6" t="str">
        <f>IFERROR(__xludf.DUMMYFUNCTION("""COMPUTED_VALUE"""),"Abreo Macias")</f>
        <v>Abreo Macias</v>
      </c>
      <c r="AU499" s="6" t="str">
        <f>IFERROR(__xludf.DUMMYFUNCTION("""COMPUTED_VALUE"""),"janer.abreo@hotmail.com")</f>
        <v>janer.abreo@hotmail.com</v>
      </c>
      <c r="AV499" s="6" t="str">
        <f>IFERROR(__xludf.DUMMYFUNCTION("""COMPUTED_VALUE"""),"COM. INTERNACIONAL")</f>
        <v>COM. INTERNACIONAL</v>
      </c>
      <c r="AW499" s="6" t="str">
        <f>IFERROR(__xludf.DUMMYFUNCTION("""COMPUTED_VALUE"""),"COMAIMSAS")</f>
        <v>COMAIMSAS</v>
      </c>
      <c r="AX499" s="12" t="str">
        <f>IFERROR(__xludf.DUMMYFUNCTION("""COMPUTED_VALUE"""),"80144566")</f>
        <v>80144566</v>
      </c>
      <c r="AY499" s="12" t="str">
        <f>IFERROR(__xludf.DUMMYFUNCTION("""COMPUTED_VALUE"""),"3175013870")</f>
        <v>3175013870</v>
      </c>
      <c r="AZ499" s="6" t="str">
        <f>IFERROR(__xludf.DUMMYFUNCTION("""COMPUTED_VALUE"""),"Padre")</f>
        <v>Padre</v>
      </c>
      <c r="BA499" s="6"/>
      <c r="BB499" s="6"/>
      <c r="BC499" s="6"/>
      <c r="BD499" s="12" t="str">
        <f>IFERROR(__xludf.DUMMYFUNCTION("""COMPUTED_VALUE"""),"abr0002")</f>
        <v>abr0002</v>
      </c>
      <c r="BE499" s="6" t="str">
        <f>IFERROR(__xludf.DUMMYFUNCTION("""COMPUTED_VALUE"""),"FALTAN FIRMAS")</f>
        <v>FALTAN FIRMAS</v>
      </c>
      <c r="BF499" s="6"/>
      <c r="BG499" s="6">
        <f>IFERROR(__xludf.DUMMYFUNCTION("""COMPUTED_VALUE"""),2032.0)</f>
        <v>2032</v>
      </c>
      <c r="BH499" s="15">
        <f>IFERROR(__xludf.DUMMYFUNCTION("""COMPUTED_VALUE"""),46259.699166666665)</f>
        <v>46259.69917</v>
      </c>
      <c r="BI499" s="6">
        <f>IFERROR(__xludf.DUMMYFUNCTION("""COMPUTED_VALUE"""),499.0)</f>
        <v>499</v>
      </c>
      <c r="BJ499" s="6"/>
      <c r="BK499" s="6"/>
      <c r="BL499" s="6" t="str">
        <f>IFERROR(__xludf.DUMMYFUNCTION("""COMPUTED_VALUE"""),"GISABR0002")</f>
        <v>GISABR0002</v>
      </c>
      <c r="BM499" s="6"/>
      <c r="BN499" s="6"/>
      <c r="BO499" s="6"/>
      <c r="BP499" s="6"/>
      <c r="BQ499" s="6"/>
      <c r="BR499" s="6"/>
      <c r="BS499" s="6"/>
      <c r="BT499" s="6"/>
      <c r="BU499" s="6" t="str">
        <f>IFERROR(__xludf.DUMMYFUNCTION("""COMPUTED_VALUE"""),"SI")</f>
        <v>SI</v>
      </c>
      <c r="BV499" s="6" t="str">
        <f>IFERROR(__xludf.DUMMYFUNCTION("""COMPUTED_VALUE"""),"thomas.a2032")</f>
        <v>thomas.a2032</v>
      </c>
      <c r="BW499" s="6"/>
      <c r="BX499" s="6"/>
      <c r="BY499" s="6"/>
      <c r="BZ499" s="6"/>
    </row>
    <row r="500">
      <c r="A500" s="12">
        <f>IFERROR(__xludf.DUMMYFUNCTION("""COMPUTED_VALUE"""),1.092857761E9)</f>
        <v>1092857761</v>
      </c>
      <c r="B500" s="6">
        <f>IFERROR(__xludf.DUMMYFUNCTION("""COMPUTED_VALUE"""),2.0)</f>
        <v>2</v>
      </c>
      <c r="C500" s="6" t="str">
        <f>IFERROR(__xludf.DUMMYFUNCTION("""COMPUTED_VALUE"""),"Juan")</f>
        <v>Juan</v>
      </c>
      <c r="D500" s="6" t="str">
        <f>IFERROR(__xludf.DUMMYFUNCTION("""COMPUTED_VALUE"""),"Francisco")</f>
        <v>Francisco</v>
      </c>
      <c r="E500" s="6" t="str">
        <f>IFERROR(__xludf.DUMMYFUNCTION("""COMPUTED_VALUE"""),"Algarra Urrea")</f>
        <v>Algarra Urrea</v>
      </c>
      <c r="F500" s="6" t="str">
        <f>IFERROR(__xludf.DUMMYFUNCTION("""COMPUTED_VALUE"""),"Edificio Panoramika Apto 908 - Cra 18 No21Nte - 24 Laureles")</f>
        <v>Edificio Panoramika Apto 908 - Cra 18 No21Nte - 24 Laureles</v>
      </c>
      <c r="G500" s="12" t="str">
        <f>IFERROR(__xludf.DUMMYFUNCTION("""COMPUTED_VALUE"""),"2014")</f>
        <v>2014</v>
      </c>
      <c r="H500" s="6" t="str">
        <f>IFERROR(__xludf.DUMMYFUNCTION("""COMPUTED_VALUE"""),"Junio")</f>
        <v>Junio</v>
      </c>
      <c r="I500" s="12" t="str">
        <f>IFERROR(__xludf.DUMMYFUNCTION("""COMPUTED_VALUE"""),"5")</f>
        <v>5</v>
      </c>
      <c r="J500" s="6" t="str">
        <f>IFERROR(__xludf.DUMMYFUNCTION("""COMPUTED_VALUE"""),"Armenia")</f>
        <v>Armenia</v>
      </c>
      <c r="K500" s="6" t="str">
        <f>IFERROR(__xludf.DUMMYFUNCTION("""COMPUTED_VALUE"""),"jfrancisco.a2032@gi.edu.co")</f>
        <v>jfrancisco.a2032@gi.edu.co</v>
      </c>
      <c r="L500" s="6" t="str">
        <f>IFERROR(__xludf.DUMMYFUNCTION("""COMPUTED_VALUE"""),"TI")</f>
        <v>TI</v>
      </c>
      <c r="M500" s="6" t="str">
        <f>IFERROR(__xludf.DUMMYFUNCTION("""COMPUTED_VALUE"""),"Armenia")</f>
        <v>Armenia</v>
      </c>
      <c r="N500" s="6" t="str">
        <f>IFERROR(__xludf.DUMMYFUNCTION("""COMPUTED_VALUE"""),"M")</f>
        <v>M</v>
      </c>
      <c r="O500" s="6" t="str">
        <f>IFERROR(__xludf.DUMMYFUNCTION("""COMPUTED_VALUE"""),"INACTIVE")</f>
        <v>INACTIVE</v>
      </c>
      <c r="P500" s="6"/>
      <c r="Q500" s="6" t="str">
        <f>IFERROR(__xludf.DUMMYFUNCTION("""COMPUTED_VALUE"""),"Armenia")</f>
        <v>Armenia</v>
      </c>
      <c r="R500" s="12" t="str">
        <f>IFERROR(__xludf.DUMMYFUNCTION("""COMPUTED_VALUE"""),"Girct7349g*")</f>
        <v>Girct7349g*</v>
      </c>
      <c r="S500" s="6" t="str">
        <f>IFERROR(__xludf.DUMMYFUNCTION("""COMPUTED_VALUE"""),"Algarra Urrea Juan Francisco")</f>
        <v>Algarra Urrea Juan Francisco</v>
      </c>
      <c r="T500" s="6" t="str">
        <f>IFERROR(__xludf.DUMMYFUNCTION("""COMPUTED_VALUE"""),"ÁNGELA MARÍA URREA GIRALDO")</f>
        <v>ÁNGELA MARÍA URREA GIRALDO</v>
      </c>
      <c r="U500" s="12" t="str">
        <f>IFERROR(__xludf.DUMMYFUNCTION("""COMPUTED_VALUE"""),"41944644")</f>
        <v>41944644</v>
      </c>
      <c r="V500" s="6">
        <f>IFERROR(__xludf.DUMMYFUNCTION("""COMPUTED_VALUE"""),3.006148137E9)</f>
        <v>3006148137</v>
      </c>
      <c r="W500" s="6" t="str">
        <f>IFERROR(__xludf.DUMMYFUNCTION("""COMPUTED_VALUE"""),"gerencia@rallyautos.co")</f>
        <v>gerencia@rallyautos.co</v>
      </c>
      <c r="X500" s="12" t="str">
        <f>IFERROR(__xludf.DUMMYFUNCTION("""COMPUTED_VALUE"""),"O+")</f>
        <v>O+</v>
      </c>
      <c r="Y500" s="12" t="str">
        <f>IFERROR(__xludf.DUMMYFUNCTION("""COMPUTED_VALUE"""),"7")</f>
        <v>7</v>
      </c>
      <c r="Z500" s="12">
        <f>IFERROR(__xludf.DUMMYFUNCTION("""COMPUTED_VALUE"""),103488.0)</f>
        <v>103488</v>
      </c>
      <c r="AA500" s="6" t="str">
        <f>IFERROR(__xludf.DUMMYFUNCTION("""COMPUTED_VALUE"""),"SURA")</f>
        <v>SURA</v>
      </c>
      <c r="AB500" s="6" t="str">
        <f>IFERROR(__xludf.DUMMYFUNCTION("""COMPUTED_VALUE"""),"Medicina Prepagada Allianz")</f>
        <v>Medicina Prepagada Allianz</v>
      </c>
      <c r="AC500" s="12" t="str">
        <f>IFERROR(__xludf.DUMMYFUNCTION("""COMPUTED_VALUE"""),"A LAS PICADURAS, ACAROS Y PELO DE ALGUNOS ANIMALES")</f>
        <v>A LAS PICADURAS, ACAROS Y PELO DE ALGUNOS ANIMALES</v>
      </c>
      <c r="AD500" s="12" t="str">
        <f>IFERROR(__xludf.DUMMYFUNCTION("""COMPUTED_VALUE"""),"7B")</f>
        <v>7B</v>
      </c>
      <c r="AE500" s="12">
        <f>IFERROR(__xludf.DUMMYFUNCTION("""COMPUTED_VALUE"""),1.345281687E9)</f>
        <v>1345281687</v>
      </c>
      <c r="AF500" s="12" t="str">
        <f>IFERROR(__xludf.DUMMYFUNCTION("""COMPUTED_VALUE"""),"0700315027")</f>
        <v>0700315027</v>
      </c>
      <c r="AG500" s="12" t="str">
        <f>IFERROR(__xludf.DUMMYFUNCTION("""COMPUTED_VALUE"""),"Ángela")</f>
        <v>Ángela</v>
      </c>
      <c r="AH500" s="12" t="str">
        <f>IFERROR(__xludf.DUMMYFUNCTION("""COMPUTED_VALUE"""),"María")</f>
        <v>María</v>
      </c>
      <c r="AI500" s="6" t="str">
        <f>IFERROR(__xludf.DUMMYFUNCTION("""COMPUTED_VALUE"""),"Urrea Giraldo")</f>
        <v>Urrea Giraldo</v>
      </c>
      <c r="AJ500" s="6" t="str">
        <f>IFERROR(__xludf.DUMMYFUNCTION("""COMPUTED_VALUE"""),"gerencia@rallyautos.co")</f>
        <v>gerencia@rallyautos.co</v>
      </c>
      <c r="AK500" s="6" t="str">
        <f>IFERROR(__xludf.DUMMYFUNCTION("""COMPUTED_VALUE"""),"ADMINISTRADOR EMPRESAS")</f>
        <v>ADMINISTRADOR EMPRESAS</v>
      </c>
      <c r="AL500" s="6" t="str">
        <f>IFERROR(__xludf.DUMMYFUNCTION("""COMPUTED_VALUE"""),"RALLYAUTOS")</f>
        <v>RALLYAUTOS</v>
      </c>
      <c r="AM500" s="12" t="str">
        <f>IFERROR(__xludf.DUMMYFUNCTION("""COMPUTED_VALUE"""),"41944644")</f>
        <v>41944644</v>
      </c>
      <c r="AN500" s="12" t="str">
        <f>IFERROR(__xludf.DUMMYFUNCTION("""COMPUTED_VALUE"""),"3006148137")</f>
        <v>3006148137</v>
      </c>
      <c r="AO500" s="6" t="str">
        <f>IFERROR(__xludf.DUMMYFUNCTION("""COMPUTED_VALUE"""),"Madre")</f>
        <v>Madre</v>
      </c>
      <c r="AP500" s="6" t="str">
        <f>IFERROR(__xludf.DUMMYFUNCTION("""COMPUTED_VALUE"""),"Estudiante(s): Algarra Urrea")</f>
        <v>Estudiante(s): Algarra Urrea</v>
      </c>
      <c r="AQ500" s="6" t="str">
        <f>IFERROR(__xludf.DUMMYFUNCTION("""COMPUTED_VALUE"""),"103488*Gi")</f>
        <v>103488*Gi</v>
      </c>
      <c r="AR500" s="6" t="str">
        <f>IFERROR(__xludf.DUMMYFUNCTION("""COMPUTED_VALUE"""),"José")</f>
        <v>José</v>
      </c>
      <c r="AS500" s="6" t="str">
        <f>IFERROR(__xludf.DUMMYFUNCTION("""COMPUTED_VALUE"""),"Manuel")</f>
        <v>Manuel</v>
      </c>
      <c r="AT500" s="6" t="str">
        <f>IFERROR(__xludf.DUMMYFUNCTION("""COMPUTED_VALUE"""),"Algarra Gaviria")</f>
        <v>Algarra Gaviria</v>
      </c>
      <c r="AU500" s="6" t="str">
        <f>IFERROR(__xludf.DUMMYFUNCTION("""COMPUTED_VALUE"""),"servicio@rallyautos.co")</f>
        <v>servicio@rallyautos.co</v>
      </c>
      <c r="AV500" s="6" t="str">
        <f>IFERROR(__xludf.DUMMYFUNCTION("""COMPUTED_VALUE"""),"INGENIERO MECATRONICO")</f>
        <v>INGENIERO MECATRONICO</v>
      </c>
      <c r="AW500" s="6" t="str">
        <f>IFERROR(__xludf.DUMMYFUNCTION("""COMPUTED_VALUE"""),"RALLYAUTOS")</f>
        <v>RALLYAUTOS</v>
      </c>
      <c r="AX500" s="12" t="str">
        <f>IFERROR(__xludf.DUMMYFUNCTION("""COMPUTED_VALUE"""),"79945416")</f>
        <v>79945416</v>
      </c>
      <c r="AY500" s="12" t="str">
        <f>IFERROR(__xludf.DUMMYFUNCTION("""COMPUTED_VALUE"""),"3007797707")</f>
        <v>3007797707</v>
      </c>
      <c r="AZ500" s="6" t="str">
        <f>IFERROR(__xludf.DUMMYFUNCTION("""COMPUTED_VALUE"""),"Padre")</f>
        <v>Padre</v>
      </c>
      <c r="BA500" s="6"/>
      <c r="BB500" s="6"/>
      <c r="BC500" s="6"/>
      <c r="BD500" s="12" t="str">
        <f>IFERROR(__xludf.DUMMYFUNCTION("""COMPUTED_VALUE"""),"alg0001")</f>
        <v>alg0001</v>
      </c>
      <c r="BE500" s="6" t="str">
        <f>IFERROR(__xludf.DUMMYFUNCTION("""COMPUTED_VALUE"""),"FALTAN FIRMAS")</f>
        <v>FALTAN FIRMAS</v>
      </c>
      <c r="BF500" s="6"/>
      <c r="BG500" s="6">
        <f>IFERROR(__xludf.DUMMYFUNCTION("""COMPUTED_VALUE"""),2032.0)</f>
        <v>2032</v>
      </c>
      <c r="BH500" s="15">
        <f>IFERROR(__xludf.DUMMYFUNCTION("""COMPUTED_VALUE"""),46209.584131944444)</f>
        <v>46209.58413</v>
      </c>
      <c r="BI500" s="6">
        <f>IFERROR(__xludf.DUMMYFUNCTION("""COMPUTED_VALUE"""),500.0)</f>
        <v>500</v>
      </c>
      <c r="BJ500" s="6"/>
      <c r="BK500" s="6"/>
      <c r="BL500" s="6" t="str">
        <f>IFERROR(__xludf.DUMMYFUNCTION("""COMPUTED_VALUE"""),"GISALG0001")</f>
        <v>GISALG0001</v>
      </c>
      <c r="BM500" s="6"/>
      <c r="BN500" s="6"/>
      <c r="BO500" s="6" t="str">
        <f>IFERROR(__xludf.DUMMYFUNCTION("""COMPUTED_VALUE"""),"XC_SEC_ProgRobot")</f>
        <v>XC_SEC_ProgRobot</v>
      </c>
      <c r="BP500" s="6" t="str">
        <f>IFERROR(__xludf.DUMMYFUNCTION("""COMPUTED_VALUE"""),"XC_SEC_BandaFW")</f>
        <v>XC_SEC_BandaFW</v>
      </c>
      <c r="BQ500" s="6"/>
      <c r="BR500" s="6"/>
      <c r="BS500" s="6"/>
      <c r="BT500" s="6"/>
      <c r="BU500" s="6" t="str">
        <f>IFERROR(__xludf.DUMMYFUNCTION("""COMPUTED_VALUE"""),"SI")</f>
        <v>SI</v>
      </c>
      <c r="BV500" s="6" t="str">
        <f>IFERROR(__xludf.DUMMYFUNCTION("""COMPUTED_VALUE"""),"jfrancisco.a2032")</f>
        <v>jfrancisco.a2032</v>
      </c>
      <c r="BW500" s="6"/>
      <c r="BX500" s="6"/>
      <c r="BY500" s="6"/>
      <c r="BZ500" s="6"/>
    </row>
    <row r="501">
      <c r="A501" s="12">
        <f>IFERROR(__xludf.DUMMYFUNCTION("""COMPUTED_VALUE"""),1.122528344E9)</f>
        <v>1122528344</v>
      </c>
      <c r="B501" s="6">
        <f>IFERROR(__xludf.DUMMYFUNCTION("""COMPUTED_VALUE"""),3.0)</f>
        <v>3</v>
      </c>
      <c r="C501" s="6" t="str">
        <f>IFERROR(__xludf.DUMMYFUNCTION("""COMPUTED_VALUE"""),"Mary")</f>
        <v>Mary</v>
      </c>
      <c r="D501" s="6" t="str">
        <f>IFERROR(__xludf.DUMMYFUNCTION("""COMPUTED_VALUE"""),"Anthonella")</f>
        <v>Anthonella</v>
      </c>
      <c r="E501" s="6" t="str">
        <f>IFERROR(__xludf.DUMMYFUNCTION("""COMPUTED_VALUE"""),"Álvarez Castrillón")</f>
        <v>Álvarez Castrillón</v>
      </c>
      <c r="F501" s="6" t="str">
        <f>IFERROR(__xludf.DUMMYFUNCTION("""COMPUTED_VALUE"""),"Casa 5 - CONJUNTO VILLA MARINA")</f>
        <v>Casa 5 - CONJUNTO VILLA MARINA</v>
      </c>
      <c r="G501" s="12" t="str">
        <f>IFERROR(__xludf.DUMMYFUNCTION("""COMPUTED_VALUE"""),"2013")</f>
        <v>2013</v>
      </c>
      <c r="H501" s="6" t="str">
        <f>IFERROR(__xludf.DUMMYFUNCTION("""COMPUTED_VALUE"""),"Agosto")</f>
        <v>Agosto</v>
      </c>
      <c r="I501" s="12" t="str">
        <f>IFERROR(__xludf.DUMMYFUNCTION("""COMPUTED_VALUE"""),"30")</f>
        <v>30</v>
      </c>
      <c r="J501" s="6" t="str">
        <f>IFERROR(__xludf.DUMMYFUNCTION("""COMPUTED_VALUE"""),"Villavicencio")</f>
        <v>Villavicencio</v>
      </c>
      <c r="K501" s="6" t="str">
        <f>IFERROR(__xludf.DUMMYFUNCTION("""COMPUTED_VALUE"""),"mary.a2032@gi.edu.co")</f>
        <v>mary.a2032@gi.edu.co</v>
      </c>
      <c r="L501" s="6" t="str">
        <f>IFERROR(__xludf.DUMMYFUNCTION("""COMPUTED_VALUE"""),"RC")</f>
        <v>RC</v>
      </c>
      <c r="M501" s="6" t="str">
        <f>IFERROR(__xludf.DUMMYFUNCTION("""COMPUTED_VALUE"""),"Filandia")</f>
        <v>Filandia</v>
      </c>
      <c r="N501" s="6" t="str">
        <f>IFERROR(__xludf.DUMMYFUNCTION("""COMPUTED_VALUE"""),"F")</f>
        <v>F</v>
      </c>
      <c r="O501" s="6" t="str">
        <f>IFERROR(__xludf.DUMMYFUNCTION("""COMPUTED_VALUE"""),"INACTIVE")</f>
        <v>INACTIVE</v>
      </c>
      <c r="P501" s="6"/>
      <c r="Q501" s="6" t="str">
        <f>IFERROR(__xludf.DUMMYFUNCTION("""COMPUTED_VALUE"""),"Filandia")</f>
        <v>Filandia</v>
      </c>
      <c r="R501" s="12" t="str">
        <f>IFERROR(__xludf.DUMMYFUNCTION("""COMPUTED_VALUE"""),"Gi12ds5t*")</f>
        <v>Gi12ds5t*</v>
      </c>
      <c r="S501" s="6" t="str">
        <f>IFERROR(__xludf.DUMMYFUNCTION("""COMPUTED_VALUE"""),"Álvarez Castrillón Mary Anthonella")</f>
        <v>Álvarez Castrillón Mary Anthonella</v>
      </c>
      <c r="T501" s="6" t="str">
        <f>IFERROR(__xludf.DUMMYFUNCTION("""COMPUTED_VALUE"""),"PAULA ANDREA CASTRILLON LOAIZA")</f>
        <v>PAULA ANDREA CASTRILLON LOAIZA</v>
      </c>
      <c r="U501" s="12" t="str">
        <f>IFERROR(__xludf.DUMMYFUNCTION("""COMPUTED_VALUE"""),"24661712")</f>
        <v>24661712</v>
      </c>
      <c r="V501" s="6">
        <f>IFERROR(__xludf.DUMMYFUNCTION("""COMPUTED_VALUE"""),3.202060153E9)</f>
        <v>3202060153</v>
      </c>
      <c r="W501" s="6" t="str">
        <f>IFERROR(__xludf.DUMMYFUNCTION("""COMPUTED_VALUE"""),"pcastrillonloaiza@gmail.com")</f>
        <v>pcastrillonloaiza@gmail.com</v>
      </c>
      <c r="X501" s="12" t="str">
        <f>IFERROR(__xludf.DUMMYFUNCTION("""COMPUTED_VALUE"""),"O+")</f>
        <v>O+</v>
      </c>
      <c r="Y501" s="12" t="str">
        <f>IFERROR(__xludf.DUMMYFUNCTION("""COMPUTED_VALUE"""),"7")</f>
        <v>7</v>
      </c>
      <c r="Z501" s="12">
        <f>IFERROR(__xludf.DUMMYFUNCTION("""COMPUTED_VALUE"""),103873.0)</f>
        <v>103873</v>
      </c>
      <c r="AA501" s="6" t="str">
        <f>IFERROR(__xludf.DUMMYFUNCTION("""COMPUTED_VALUE"""),"SANITAS")</f>
        <v>SANITAS</v>
      </c>
      <c r="AB501" s="6"/>
      <c r="AC501" s="6"/>
      <c r="AD501" s="12" t="str">
        <f>IFERROR(__xludf.DUMMYFUNCTION("""COMPUTED_VALUE"""),"7B")</f>
        <v>7B</v>
      </c>
      <c r="AE501" s="12">
        <f>IFERROR(__xludf.DUMMYFUNCTION("""COMPUTED_VALUE"""),1.345281939E9)</f>
        <v>1345281939</v>
      </c>
      <c r="AF501" s="12" t="str">
        <f>IFERROR(__xludf.DUMMYFUNCTION("""COMPUTED_VALUE"""),"2794407159")</f>
        <v>2794407159</v>
      </c>
      <c r="AG501" s="12" t="str">
        <f>IFERROR(__xludf.DUMMYFUNCTION("""COMPUTED_VALUE"""),"Paula")</f>
        <v>Paula</v>
      </c>
      <c r="AH501" s="12" t="str">
        <f>IFERROR(__xludf.DUMMYFUNCTION("""COMPUTED_VALUE"""),"Andrea")</f>
        <v>Andrea</v>
      </c>
      <c r="AI501" s="6" t="str">
        <f>IFERROR(__xludf.DUMMYFUNCTION("""COMPUTED_VALUE"""),"Castrillón")</f>
        <v>Castrillón</v>
      </c>
      <c r="AJ501" s="6" t="str">
        <f>IFERROR(__xludf.DUMMYFUNCTION("""COMPUTED_VALUE"""),"pcastrillonloaiza@gmail.com")</f>
        <v>pcastrillonloaiza@gmail.com</v>
      </c>
      <c r="AK501" s="6" t="str">
        <f>IFERROR(__xludf.DUMMYFUNCTION("""COMPUTED_VALUE"""),"Comerciante")</f>
        <v>Comerciante</v>
      </c>
      <c r="AL501" s="6"/>
      <c r="AM501" s="12">
        <f>IFERROR(__xludf.DUMMYFUNCTION("""COMPUTED_VALUE"""),2.4661712E7)</f>
        <v>24661712</v>
      </c>
      <c r="AN501" s="12" t="str">
        <f>IFERROR(__xludf.DUMMYFUNCTION("""COMPUTED_VALUE"""),"3202060153")</f>
        <v>3202060153</v>
      </c>
      <c r="AO501" s="6" t="str">
        <f>IFERROR(__xludf.DUMMYFUNCTION("""COMPUTED_VALUE"""),"Madre")</f>
        <v>Madre</v>
      </c>
      <c r="AP501" s="6" t="str">
        <f>IFERROR(__xludf.DUMMYFUNCTION("""COMPUTED_VALUE"""),"Estudiante(s): Álvarez Castrillón")</f>
        <v>Estudiante(s): Álvarez Castrillón</v>
      </c>
      <c r="AQ501" s="6" t="str">
        <f>IFERROR(__xludf.DUMMYFUNCTION("""COMPUTED_VALUE"""),"103873*Gi")</f>
        <v>103873*Gi</v>
      </c>
      <c r="AR501" s="6" t="str">
        <f>IFERROR(__xludf.DUMMYFUNCTION("""COMPUTED_VALUE"""),"Luis")</f>
        <v>Luis</v>
      </c>
      <c r="AS501" s="6" t="str">
        <f>IFERROR(__xludf.DUMMYFUNCTION("""COMPUTED_VALUE"""),"Carlos")</f>
        <v>Carlos</v>
      </c>
      <c r="AT501" s="6" t="str">
        <f>IFERROR(__xludf.DUMMYFUNCTION("""COMPUTED_VALUE"""),"Álvarez Morales")</f>
        <v>Álvarez Morales</v>
      </c>
      <c r="AU501" s="6"/>
      <c r="AV501" s="6"/>
      <c r="AW501" s="6"/>
      <c r="AX501" s="12">
        <f>IFERROR(__xludf.DUMMYFUNCTION("""COMPUTED_VALUE"""),1.7347153E7)</f>
        <v>17347153</v>
      </c>
      <c r="AY501" s="6"/>
      <c r="AZ501" s="6" t="str">
        <f>IFERROR(__xludf.DUMMYFUNCTION("""COMPUTED_VALUE"""),"Padre")</f>
        <v>Padre</v>
      </c>
      <c r="BA501" s="6"/>
      <c r="BB501" s="6"/>
      <c r="BC501" s="6"/>
      <c r="BD501" s="12" t="str">
        <f>IFERROR(__xludf.DUMMYFUNCTION("""COMPUTED_VALUE"""),"lva0005")</f>
        <v>lva0005</v>
      </c>
      <c r="BE501" s="6" t="str">
        <f>IFERROR(__xludf.DUMMYFUNCTION("""COMPUTED_VALUE"""),"FALTAN FIRMAS")</f>
        <v>FALTAN FIRMAS</v>
      </c>
      <c r="BF501" s="6"/>
      <c r="BG501" s="6">
        <f>IFERROR(__xludf.DUMMYFUNCTION("""COMPUTED_VALUE"""),2032.0)</f>
        <v>2032</v>
      </c>
      <c r="BH501" s="15">
        <f>IFERROR(__xludf.DUMMYFUNCTION("""COMPUTED_VALUE"""),46254.77454861111)</f>
        <v>46254.77455</v>
      </c>
      <c r="BI501" s="6">
        <f>IFERROR(__xludf.DUMMYFUNCTION("""COMPUTED_VALUE"""),501.0)</f>
        <v>501</v>
      </c>
      <c r="BJ501" s="6"/>
      <c r="BK501" s="6"/>
      <c r="BL501" s="6" t="str">
        <f>IFERROR(__xludf.DUMMYFUNCTION("""COMPUTED_VALUE"""),"GISLVA0005")</f>
        <v>GISLVA0005</v>
      </c>
      <c r="BM501" s="6"/>
      <c r="BN501" s="6"/>
      <c r="BO501" s="6"/>
      <c r="BP501" s="6" t="str">
        <f>IFERROR(__xludf.DUMMYFUNCTION("""COMPUTED_VALUE"""),"XC_SEC_BandaFW")</f>
        <v>XC_SEC_BandaFW</v>
      </c>
      <c r="BQ501" s="6"/>
      <c r="BR501" s="6"/>
      <c r="BS501" s="6"/>
      <c r="BT501" s="6"/>
      <c r="BU501" s="6" t="str">
        <f>IFERROR(__xludf.DUMMYFUNCTION("""COMPUTED_VALUE"""),"SI")</f>
        <v>SI</v>
      </c>
      <c r="BV501" s="6" t="str">
        <f>IFERROR(__xludf.DUMMYFUNCTION("""COMPUTED_VALUE"""),"mary.a2032")</f>
        <v>mary.a2032</v>
      </c>
      <c r="BW501" s="6"/>
      <c r="BX501" s="6"/>
      <c r="BY501" s="6"/>
      <c r="BZ501" s="6"/>
    </row>
    <row r="502">
      <c r="A502" s="12">
        <f>IFERROR(__xludf.DUMMYFUNCTION("""COMPUTED_VALUE"""),1.092857721E9)</f>
        <v>1092857721</v>
      </c>
      <c r="B502" s="6">
        <f>IFERROR(__xludf.DUMMYFUNCTION("""COMPUTED_VALUE"""),4.0)</f>
        <v>4</v>
      </c>
      <c r="C502" s="6" t="str">
        <f>IFERROR(__xludf.DUMMYFUNCTION("""COMPUTED_VALUE"""),"Luciana")</f>
        <v>Luciana</v>
      </c>
      <c r="D502" s="6"/>
      <c r="E502" s="6" t="str">
        <f>IFERROR(__xludf.DUMMYFUNCTION("""COMPUTED_VALUE"""),"Aristizábal Gallo")</f>
        <v>Aristizábal Gallo</v>
      </c>
      <c r="F502" s="6" t="str">
        <f>IFERROR(__xludf.DUMMYFUNCTION("""COMPUTED_VALUE"""),"Km 7 Via Armenia Pereira - Finca San Antonio")</f>
        <v>Km 7 Via Armenia Pereira - Finca San Antonio</v>
      </c>
      <c r="G502" s="12" t="str">
        <f>IFERROR(__xludf.DUMMYFUNCTION("""COMPUTED_VALUE"""),"2014")</f>
        <v>2014</v>
      </c>
      <c r="H502" s="6" t="str">
        <f>IFERROR(__xludf.DUMMYFUNCTION("""COMPUTED_VALUE"""),"Mayo")</f>
        <v>Mayo</v>
      </c>
      <c r="I502" s="12" t="str">
        <f>IFERROR(__xludf.DUMMYFUNCTION("""COMPUTED_VALUE"""),"12")</f>
        <v>12</v>
      </c>
      <c r="J502" s="6" t="str">
        <f>IFERROR(__xludf.DUMMYFUNCTION("""COMPUTED_VALUE"""),"Armenia")</f>
        <v>Armenia</v>
      </c>
      <c r="K502" s="6" t="str">
        <f>IFERROR(__xludf.DUMMYFUNCTION("""COMPUTED_VALUE"""),"luciana.a2032@gi.edu.co")</f>
        <v>luciana.a2032@gi.edu.co</v>
      </c>
      <c r="L502" s="6" t="str">
        <f>IFERROR(__xludf.DUMMYFUNCTION("""COMPUTED_VALUE"""),"TI")</f>
        <v>TI</v>
      </c>
      <c r="M502" s="6" t="str">
        <f>IFERROR(__xludf.DUMMYFUNCTION("""COMPUTED_VALUE"""),"Armenia")</f>
        <v>Armenia</v>
      </c>
      <c r="N502" s="6" t="str">
        <f>IFERROR(__xludf.DUMMYFUNCTION("""COMPUTED_VALUE"""),"F")</f>
        <v>F</v>
      </c>
      <c r="O502" s="6" t="str">
        <f>IFERROR(__xludf.DUMMYFUNCTION("""COMPUTED_VALUE"""),"ACTIVE")</f>
        <v>ACTIVE</v>
      </c>
      <c r="P502" s="6"/>
      <c r="Q502" s="6" t="str">
        <f>IFERROR(__xludf.DUMMYFUNCTION("""COMPUTED_VALUE"""),"Circasia")</f>
        <v>Circasia</v>
      </c>
      <c r="R502" s="12" t="str">
        <f>IFERROR(__xludf.DUMMYFUNCTION("""COMPUTED_VALUE"""),"Gi7b6v5c8v*")</f>
        <v>Gi7b6v5c8v*</v>
      </c>
      <c r="S502" s="6" t="str">
        <f>IFERROR(__xludf.DUMMYFUNCTION("""COMPUTED_VALUE"""),"Aristizábal Gallo Luciana ")</f>
        <v>Aristizábal Gallo Luciana </v>
      </c>
      <c r="T502" s="6" t="str">
        <f>IFERROR(__xludf.DUMMYFUNCTION("""COMPUTED_VALUE"""),"FELIPE ARISTIZABAL PARDO")</f>
        <v>FELIPE ARISTIZABAL PARDO</v>
      </c>
      <c r="U502" s="12" t="str">
        <f>IFERROR(__xludf.DUMMYFUNCTION("""COMPUTED_VALUE"""),"1032398357")</f>
        <v>1032398357</v>
      </c>
      <c r="V502" s="6">
        <f>IFERROR(__xludf.DUMMYFUNCTION("""COMPUTED_VALUE"""),3.015111499E9)</f>
        <v>3015111499</v>
      </c>
      <c r="W502" s="6" t="str">
        <f>IFERROR(__xludf.DUMMYFUNCTION("""COMPUTED_VALUE"""),"felipearistizabalp@gmail.com")</f>
        <v>felipearistizabalp@gmail.com</v>
      </c>
      <c r="X502" s="12" t="str">
        <f>IFERROR(__xludf.DUMMYFUNCTION("""COMPUTED_VALUE"""),"O+")</f>
        <v>O+</v>
      </c>
      <c r="Y502" s="12" t="str">
        <f>IFERROR(__xludf.DUMMYFUNCTION("""COMPUTED_VALUE"""),"7")</f>
        <v>7</v>
      </c>
      <c r="Z502" s="12">
        <f>IFERROR(__xludf.DUMMYFUNCTION("""COMPUTED_VALUE"""),103526.0)</f>
        <v>103526</v>
      </c>
      <c r="AA502" s="6" t="str">
        <f>IFERROR(__xludf.DUMMYFUNCTION("""COMPUTED_VALUE"""),"SURA")</f>
        <v>SURA</v>
      </c>
      <c r="AB502" s="6"/>
      <c r="AC502" s="6"/>
      <c r="AD502" s="12" t="str">
        <f>IFERROR(__xludf.DUMMYFUNCTION("""COMPUTED_VALUE"""),"7A")</f>
        <v>7A</v>
      </c>
      <c r="AE502" s="12">
        <f>IFERROR(__xludf.DUMMYFUNCTION("""COMPUTED_VALUE"""),1.34528173E9)</f>
        <v>1345281730</v>
      </c>
      <c r="AF502" s="12" t="str">
        <f>IFERROR(__xludf.DUMMYFUNCTION("""COMPUTED_VALUE"""),"0674010483")</f>
        <v>0674010483</v>
      </c>
      <c r="AG502" s="12" t="str">
        <f>IFERROR(__xludf.DUMMYFUNCTION("""COMPUTED_VALUE"""),"Silvia")</f>
        <v>Silvia</v>
      </c>
      <c r="AH502" s="12" t="str">
        <f>IFERROR(__xludf.DUMMYFUNCTION("""COMPUTED_VALUE"""),"Juliana")</f>
        <v>Juliana</v>
      </c>
      <c r="AI502" s="6" t="str">
        <f>IFERROR(__xludf.DUMMYFUNCTION("""COMPUTED_VALUE"""),"Gallo Fernández")</f>
        <v>Gallo Fernández</v>
      </c>
      <c r="AJ502" s="6" t="str">
        <f>IFERROR(__xludf.DUMMYFUNCTION("""COMPUTED_VALUE"""),"silvijuligallo@gmail.com")</f>
        <v>silvijuligallo@gmail.com</v>
      </c>
      <c r="AK502" s="6" t="str">
        <f>IFERROR(__xludf.DUMMYFUNCTION("""COMPUTED_VALUE"""),"ADMINISTRADORA DE EMPRESAS")</f>
        <v>ADMINISTRADORA DE EMPRESAS</v>
      </c>
      <c r="AL502" s="6" t="str">
        <f>IFERROR(__xludf.DUMMYFUNCTION("""COMPUTED_VALUE"""),"PALMA DE CERA")</f>
        <v>PALMA DE CERA</v>
      </c>
      <c r="AM502" s="12" t="str">
        <f>IFERROR(__xludf.DUMMYFUNCTION("""COMPUTED_VALUE"""),"1032438103")</f>
        <v>1032438103</v>
      </c>
      <c r="AN502" s="12" t="str">
        <f>IFERROR(__xludf.DUMMYFUNCTION("""COMPUTED_VALUE"""),"3045823026")</f>
        <v>3045823026</v>
      </c>
      <c r="AO502" s="6" t="str">
        <f>IFERROR(__xludf.DUMMYFUNCTION("""COMPUTED_VALUE"""),"Madre")</f>
        <v>Madre</v>
      </c>
      <c r="AP502" s="6" t="str">
        <f>IFERROR(__xludf.DUMMYFUNCTION("""COMPUTED_VALUE"""),"Estudiante(s): Aristizábal Gallo")</f>
        <v>Estudiante(s): Aristizábal Gallo</v>
      </c>
      <c r="AQ502" s="6" t="str">
        <f>IFERROR(__xludf.DUMMYFUNCTION("""COMPUTED_VALUE"""),"103526*Gi")</f>
        <v>103526*Gi</v>
      </c>
      <c r="AR502" s="6" t="str">
        <f>IFERROR(__xludf.DUMMYFUNCTION("""COMPUTED_VALUE"""),"Felipe")</f>
        <v>Felipe</v>
      </c>
      <c r="AS502" s="6"/>
      <c r="AT502" s="6" t="str">
        <f>IFERROR(__xludf.DUMMYFUNCTION("""COMPUTED_VALUE"""),"Aristizábal Pardo")</f>
        <v>Aristizábal Pardo</v>
      </c>
      <c r="AU502" s="6" t="str">
        <f>IFERROR(__xludf.DUMMYFUNCTION("""COMPUTED_VALUE"""),"felipearistizabalp@gmail.com")</f>
        <v>felipearistizabalp@gmail.com</v>
      </c>
      <c r="AV502" s="6" t="str">
        <f>IFERROR(__xludf.DUMMYFUNCTION("""COMPUTED_VALUE"""),"ABOGADO")</f>
        <v>ABOGADO</v>
      </c>
      <c r="AW502" s="6" t="str">
        <f>IFERROR(__xludf.DUMMYFUNCTION("""COMPUTED_VALUE"""),"DLA PIPER")</f>
        <v>DLA PIPER</v>
      </c>
      <c r="AX502" s="12" t="str">
        <f>IFERROR(__xludf.DUMMYFUNCTION("""COMPUTED_VALUE"""),"1032398357")</f>
        <v>1032398357</v>
      </c>
      <c r="AY502" s="12" t="str">
        <f>IFERROR(__xludf.DUMMYFUNCTION("""COMPUTED_VALUE"""),"3015111499")</f>
        <v>3015111499</v>
      </c>
      <c r="AZ502" s="6" t="str">
        <f>IFERROR(__xludf.DUMMYFUNCTION("""COMPUTED_VALUE"""),"Padre")</f>
        <v>Padre</v>
      </c>
      <c r="BA502" s="6"/>
      <c r="BB502" s="6"/>
      <c r="BC502" s="6"/>
      <c r="BD502" s="12" t="str">
        <f>IFERROR(__xludf.DUMMYFUNCTION("""COMPUTED_VALUE"""),"ari0033")</f>
        <v>ari0033</v>
      </c>
      <c r="BE502" s="6"/>
      <c r="BF502" s="6"/>
      <c r="BG502" s="6">
        <f>IFERROR(__xludf.DUMMYFUNCTION("""COMPUTED_VALUE"""),2032.0)</f>
        <v>2032</v>
      </c>
      <c r="BH502" s="15">
        <f>IFERROR(__xludf.DUMMYFUNCTION("""COMPUTED_VALUE"""),46238.54723379629)</f>
        <v>46238.54723</v>
      </c>
      <c r="BI502" s="6">
        <f>IFERROR(__xludf.DUMMYFUNCTION("""COMPUTED_VALUE"""),502.0)</f>
        <v>502</v>
      </c>
      <c r="BJ502" s="6"/>
      <c r="BK502" s="6"/>
      <c r="BL502" s="6" t="str">
        <f>IFERROR(__xludf.DUMMYFUNCTION("""COMPUTED_VALUE"""),"GISARI0033")</f>
        <v>GISARI0033</v>
      </c>
      <c r="BM502" s="6"/>
      <c r="BN502" s="6"/>
      <c r="BO502" s="6" t="str">
        <f>IFERROR(__xludf.DUMMYFUNCTION("""COMPUTED_VALUE"""),"XC_SEC_ProgRobot")</f>
        <v>XC_SEC_ProgRobot</v>
      </c>
      <c r="BP502" s="6"/>
      <c r="BQ502" s="6"/>
      <c r="BR502" s="6" t="str">
        <f>IFERROR(__xludf.DUMMYFUNCTION("""COMPUTED_VALUE"""),"XC_SEC_ArtesPlasticas")</f>
        <v>XC_SEC_ArtesPlasticas</v>
      </c>
      <c r="BS502" s="6"/>
      <c r="BT502" s="6"/>
      <c r="BU502" s="6" t="str">
        <f>IFERROR(__xludf.DUMMYFUNCTION("""COMPUTED_VALUE"""),"SI")</f>
        <v>SI</v>
      </c>
      <c r="BV502" s="6" t="str">
        <f>IFERROR(__xludf.DUMMYFUNCTION("""COMPUTED_VALUE"""),"luciana.a2032")</f>
        <v>luciana.a2032</v>
      </c>
      <c r="BW502" s="6"/>
      <c r="BX502" s="6"/>
      <c r="BY502" s="6"/>
      <c r="BZ502" s="6"/>
    </row>
    <row r="503">
      <c r="A503" s="12">
        <f>IFERROR(__xludf.DUMMYFUNCTION("""COMPUTED_VALUE"""),1.013018613E9)</f>
        <v>1013018613</v>
      </c>
      <c r="B503" s="6">
        <f>IFERROR(__xludf.DUMMYFUNCTION("""COMPUTED_VALUE"""),5.0)</f>
        <v>5</v>
      </c>
      <c r="C503" s="6" t="str">
        <f>IFERROR(__xludf.DUMMYFUNCTION("""COMPUTED_VALUE"""),"Emilia")</f>
        <v>Emilia</v>
      </c>
      <c r="D503" s="6"/>
      <c r="E503" s="6" t="str">
        <f>IFERROR(__xludf.DUMMYFUNCTION("""COMPUTED_VALUE"""),"Baez Zarta")</f>
        <v>Baez Zarta</v>
      </c>
      <c r="F503" s="6" t="str">
        <f>IFERROR(__xludf.DUMMYFUNCTION("""COMPUTED_VALUE"""),"Conjunto Hacienda El Cabrero Casa 18 - Km 9 Via Armenia-La Tebaida")</f>
        <v>Conjunto Hacienda El Cabrero Casa 18 - Km 9 Via Armenia-La Tebaida</v>
      </c>
      <c r="G503" s="12" t="str">
        <f>IFERROR(__xludf.DUMMYFUNCTION("""COMPUTED_VALUE"""),"2013")</f>
        <v>2013</v>
      </c>
      <c r="H503" s="6" t="str">
        <f>IFERROR(__xludf.DUMMYFUNCTION("""COMPUTED_VALUE"""),"Octubre")</f>
        <v>Octubre</v>
      </c>
      <c r="I503" s="12" t="str">
        <f>IFERROR(__xludf.DUMMYFUNCTION("""COMPUTED_VALUE"""),"5")</f>
        <v>5</v>
      </c>
      <c r="J503" s="6" t="str">
        <f>IFERROR(__xludf.DUMMYFUNCTION("""COMPUTED_VALUE"""),"Bogotá D.C.")</f>
        <v>Bogotá D.C.</v>
      </c>
      <c r="K503" s="6" t="str">
        <f>IFERROR(__xludf.DUMMYFUNCTION("""COMPUTED_VALUE"""),"emilia.b2033@gi.edu.co")</f>
        <v>emilia.b2033@gi.edu.co</v>
      </c>
      <c r="L503" s="6" t="str">
        <f>IFERROR(__xludf.DUMMYFUNCTION("""COMPUTED_VALUE"""),"TI")</f>
        <v>TI</v>
      </c>
      <c r="M503" s="6" t="str">
        <f>IFERROR(__xludf.DUMMYFUNCTION("""COMPUTED_VALUE"""),"Bogotá D.C.")</f>
        <v>Bogotá D.C.</v>
      </c>
      <c r="N503" s="6" t="str">
        <f>IFERROR(__xludf.DUMMYFUNCTION("""COMPUTED_VALUE"""),"F")</f>
        <v>F</v>
      </c>
      <c r="O503" s="6" t="str">
        <f>IFERROR(__xludf.DUMMYFUNCTION("""COMPUTED_VALUE"""),"ACTIVE")</f>
        <v>ACTIVE</v>
      </c>
      <c r="P503" s="6"/>
      <c r="Q503" s="6" t="str">
        <f>IFERROR(__xludf.DUMMYFUNCTION("""COMPUTED_VALUE"""),"La Tebaida")</f>
        <v>La Tebaida</v>
      </c>
      <c r="R503" s="12" t="str">
        <f>IFERROR(__xludf.DUMMYFUNCTION("""COMPUTED_VALUE"""),"Gis385j*")</f>
        <v>Gis385j*</v>
      </c>
      <c r="S503" s="6" t="str">
        <f>IFERROR(__xludf.DUMMYFUNCTION("""COMPUTED_VALUE"""),"Baez Zarta Emilia ")</f>
        <v>Baez Zarta Emilia </v>
      </c>
      <c r="T503" s="6" t="str">
        <f>IFERROR(__xludf.DUMMYFUNCTION("""COMPUTED_VALUE"""),"LEONARDO BÁEZ CRUZ")</f>
        <v>LEONARDO BÁEZ CRUZ</v>
      </c>
      <c r="U503" s="12" t="str">
        <f>IFERROR(__xludf.DUMMYFUNCTION("""COMPUTED_VALUE"""),"79626033")</f>
        <v>79626033</v>
      </c>
      <c r="V503" s="6">
        <f>IFERROR(__xludf.DUMMYFUNCTION("""COMPUTED_VALUE"""),3.118377198E9)</f>
        <v>3118377198</v>
      </c>
      <c r="W503" s="6" t="str">
        <f>IFERROR(__xludf.DUMMYFUNCTION("""COMPUTED_VALUE"""),"leobaezcruz@gmail.com")</f>
        <v>leobaezcruz@gmail.com</v>
      </c>
      <c r="X503" s="12" t="str">
        <f>IFERROR(__xludf.DUMMYFUNCTION("""COMPUTED_VALUE"""),"O+")</f>
        <v>O+</v>
      </c>
      <c r="Y503" s="12" t="str">
        <f>IFERROR(__xludf.DUMMYFUNCTION("""COMPUTED_VALUE"""),"7")</f>
        <v>7</v>
      </c>
      <c r="Z503" s="12">
        <f>IFERROR(__xludf.DUMMYFUNCTION("""COMPUTED_VALUE"""),120379.0)</f>
        <v>120379</v>
      </c>
      <c r="AA503" s="6" t="str">
        <f>IFERROR(__xludf.DUMMYFUNCTION("""COMPUTED_VALUE"""),"SANITAS")</f>
        <v>SANITAS</v>
      </c>
      <c r="AB503" s="6"/>
      <c r="AC503" s="6"/>
      <c r="AD503" s="12" t="str">
        <f>IFERROR(__xludf.DUMMYFUNCTION("""COMPUTED_VALUE"""),"7B")</f>
        <v>7B</v>
      </c>
      <c r="AE503" s="12" t="str">
        <f>IFERROR(__xludf.DUMMYFUNCTION("""COMPUTED_VALUE"""),"1345282381")</f>
        <v>1345282381</v>
      </c>
      <c r="AF503" s="12" t="str">
        <f>IFERROR(__xludf.DUMMYFUNCTION("""COMPUTED_VALUE"""),"0673333267")</f>
        <v>0673333267</v>
      </c>
      <c r="AG503" s="12" t="str">
        <f>IFERROR(__xludf.DUMMYFUNCTION("""COMPUTED_VALUE"""),"Claudia")</f>
        <v>Claudia</v>
      </c>
      <c r="AH503" s="12" t="str">
        <f>IFERROR(__xludf.DUMMYFUNCTION("""COMPUTED_VALUE"""),"Helena ")</f>
        <v>Helena </v>
      </c>
      <c r="AI503" s="6" t="str">
        <f>IFERROR(__xludf.DUMMYFUNCTION("""COMPUTED_VALUE"""),"Zarta Giraldo")</f>
        <v>Zarta Giraldo</v>
      </c>
      <c r="AJ503" s="6" t="str">
        <f>IFERROR(__xludf.DUMMYFUNCTION("""COMPUTED_VALUE"""),"czarta@hotmail.com")</f>
        <v>czarta@hotmail.com</v>
      </c>
      <c r="AK503" s="6" t="str">
        <f>IFERROR(__xludf.DUMMYFUNCTION("""COMPUTED_VALUE"""),"Terapeuta Ocupacional")</f>
        <v>Terapeuta Ocupacional</v>
      </c>
      <c r="AL503" s="6"/>
      <c r="AM503" s="12" t="str">
        <f>IFERROR(__xludf.DUMMYFUNCTION("""COMPUTED_VALUE"""),"52259330")</f>
        <v>52259330</v>
      </c>
      <c r="AN503" s="12" t="str">
        <f>IFERROR(__xludf.DUMMYFUNCTION("""COMPUTED_VALUE"""),"3005657283")</f>
        <v>3005657283</v>
      </c>
      <c r="AO503" s="6" t="str">
        <f>IFERROR(__xludf.DUMMYFUNCTION("""COMPUTED_VALUE"""),"Madre")</f>
        <v>Madre</v>
      </c>
      <c r="AP503" s="6" t="str">
        <f>IFERROR(__xludf.DUMMYFUNCTION("""COMPUTED_VALUE"""),"Estudiante(s): Baez Zarta")</f>
        <v>Estudiante(s): Baez Zarta</v>
      </c>
      <c r="AQ503" s="6" t="str">
        <f>IFERROR(__xludf.DUMMYFUNCTION("""COMPUTED_VALUE"""),"120379*Gi")</f>
        <v>120379*Gi</v>
      </c>
      <c r="AR503" s="6" t="str">
        <f>IFERROR(__xludf.DUMMYFUNCTION("""COMPUTED_VALUE"""),"Leonardo")</f>
        <v>Leonardo</v>
      </c>
      <c r="AS503" s="6"/>
      <c r="AT503" s="6" t="str">
        <f>IFERROR(__xludf.DUMMYFUNCTION("""COMPUTED_VALUE"""),"Báez Cruz")</f>
        <v>Báez Cruz</v>
      </c>
      <c r="AU503" s="6" t="str">
        <f>IFERROR(__xludf.DUMMYFUNCTION("""COMPUTED_VALUE"""),"leobaezcruz@gmail.com")</f>
        <v>leobaezcruz@gmail.com</v>
      </c>
      <c r="AV503" s="6" t="str">
        <f>IFERROR(__xludf.DUMMYFUNCTION("""COMPUTED_VALUE"""),"Admon de empresas")</f>
        <v>Admon de empresas</v>
      </c>
      <c r="AW503" s="6" t="str">
        <f>IFERROR(__xludf.DUMMYFUNCTION("""COMPUTED_VALUE"""),"GSD S.A.S")</f>
        <v>GSD S.A.S</v>
      </c>
      <c r="AX503" s="12" t="str">
        <f>IFERROR(__xludf.DUMMYFUNCTION("""COMPUTED_VALUE"""),"79626033")</f>
        <v>79626033</v>
      </c>
      <c r="AY503" s="12">
        <f>IFERROR(__xludf.DUMMYFUNCTION("""COMPUTED_VALUE"""),3.118377198E9)</f>
        <v>3118377198</v>
      </c>
      <c r="AZ503" s="6" t="str">
        <f>IFERROR(__xludf.DUMMYFUNCTION("""COMPUTED_VALUE"""),"Padre")</f>
        <v>Padre</v>
      </c>
      <c r="BA503" s="6"/>
      <c r="BB503" s="6"/>
      <c r="BC503" s="6"/>
      <c r="BD503" s="12" t="str">
        <f>IFERROR(__xludf.DUMMYFUNCTION("""COMPUTED_VALUE"""),"bae0001")</f>
        <v>bae0001</v>
      </c>
      <c r="BE503" s="6"/>
      <c r="BF503" s="6"/>
      <c r="BG503" s="6">
        <f>IFERROR(__xludf.DUMMYFUNCTION("""COMPUTED_VALUE"""),2032.0)</f>
        <v>2032</v>
      </c>
      <c r="BH503" s="15">
        <f>IFERROR(__xludf.DUMMYFUNCTION("""COMPUTED_VALUE"""),46204.74638888889)</f>
        <v>46204.74639</v>
      </c>
      <c r="BI503" s="6">
        <f>IFERROR(__xludf.DUMMYFUNCTION("""COMPUTED_VALUE"""),503.0)</f>
        <v>503</v>
      </c>
      <c r="BJ503" s="6"/>
      <c r="BK503" s="6"/>
      <c r="BL503" s="6" t="str">
        <f>IFERROR(__xludf.DUMMYFUNCTION("""COMPUTED_VALUE"""),"GISBAE0001")</f>
        <v>GISBAE0001</v>
      </c>
      <c r="BM503" s="6"/>
      <c r="BN503" s="6"/>
      <c r="BO503" s="6"/>
      <c r="BP503" s="6"/>
      <c r="BQ503" s="6"/>
      <c r="BR503" s="6"/>
      <c r="BS503" s="6"/>
      <c r="BT503" s="6"/>
      <c r="BU503" s="6" t="str">
        <f>IFERROR(__xludf.DUMMYFUNCTION("""COMPUTED_VALUE"""),"SI")</f>
        <v>SI</v>
      </c>
      <c r="BV503" s="6" t="str">
        <f>IFERROR(__xludf.DUMMYFUNCTION("""COMPUTED_VALUE"""),"emilia.b2033")</f>
        <v>emilia.b2033</v>
      </c>
      <c r="BW503" s="6"/>
      <c r="BX503" s="6"/>
      <c r="BY503" s="6"/>
      <c r="BZ503" s="6"/>
    </row>
    <row r="504">
      <c r="A504" s="12">
        <f>IFERROR(__xludf.DUMMYFUNCTION("""COMPUTED_VALUE"""),1.153464957E9)</f>
        <v>1153464957</v>
      </c>
      <c r="B504" s="6">
        <f>IFERROR(__xludf.DUMMYFUNCTION("""COMPUTED_VALUE"""),6.0)</f>
        <v>6</v>
      </c>
      <c r="C504" s="6" t="str">
        <f>IFERROR(__xludf.DUMMYFUNCTION("""COMPUTED_VALUE"""),"Lyan")</f>
        <v>Lyan</v>
      </c>
      <c r="D504" s="6" t="str">
        <f>IFERROR(__xludf.DUMMYFUNCTION("""COMPUTED_VALUE"""),"Victoria")</f>
        <v>Victoria</v>
      </c>
      <c r="E504" s="6" t="str">
        <f>IFERROR(__xludf.DUMMYFUNCTION("""COMPUTED_VALUE"""),"Betancur Piedrahita")</f>
        <v>Betancur Piedrahita</v>
      </c>
      <c r="F504" s="6" t="str">
        <f>IFERROR(__xludf.DUMMYFUNCTION("""COMPUTED_VALUE"""),"Bosque Residencial La Pradera Casa 8 - Cra 6 No50Nte - 1 Av Centenario")</f>
        <v>Bosque Residencial La Pradera Casa 8 - Cra 6 No50Nte - 1 Av Centenario</v>
      </c>
      <c r="G504" s="12" t="str">
        <f>IFERROR(__xludf.DUMMYFUNCTION("""COMPUTED_VALUE"""),"2014")</f>
        <v>2014</v>
      </c>
      <c r="H504" s="6" t="str">
        <f>IFERROR(__xludf.DUMMYFUNCTION("""COMPUTED_VALUE"""),"Agosto")</f>
        <v>Agosto</v>
      </c>
      <c r="I504" s="12" t="str">
        <f>IFERROR(__xludf.DUMMYFUNCTION("""COMPUTED_VALUE"""),"29")</f>
        <v>29</v>
      </c>
      <c r="J504" s="6" t="str">
        <f>IFERROR(__xludf.DUMMYFUNCTION("""COMPUTED_VALUE"""),"México")</f>
        <v>México</v>
      </c>
      <c r="K504" s="6" t="str">
        <f>IFERROR(__xludf.DUMMYFUNCTION("""COMPUTED_VALUE"""),"lyan.b2032@gi.edu.co")</f>
        <v>lyan.b2032@gi.edu.co</v>
      </c>
      <c r="L504" s="6" t="str">
        <f>IFERROR(__xludf.DUMMYFUNCTION("""COMPUTED_VALUE"""),"TI")</f>
        <v>TI</v>
      </c>
      <c r="M504" s="6" t="str">
        <f>IFERROR(__xludf.DUMMYFUNCTION("""COMPUTED_VALUE"""),"Armenia")</f>
        <v>Armenia</v>
      </c>
      <c r="N504" s="6" t="str">
        <f>IFERROR(__xludf.DUMMYFUNCTION("""COMPUTED_VALUE"""),"F")</f>
        <v>F</v>
      </c>
      <c r="O504" s="6" t="str">
        <f>IFERROR(__xludf.DUMMYFUNCTION("""COMPUTED_VALUE"""),"INACTIVE")</f>
        <v>INACTIVE</v>
      </c>
      <c r="P504" s="6"/>
      <c r="Q504" s="6" t="str">
        <f>IFERROR(__xludf.DUMMYFUNCTION("""COMPUTED_VALUE"""),"Salento")</f>
        <v>Salento</v>
      </c>
      <c r="R504" s="12" t="str">
        <f>IFERROR(__xludf.DUMMYFUNCTION("""COMPUTED_VALUE"""),"Gi1fjgjk8*")</f>
        <v>Gi1fjgjk8*</v>
      </c>
      <c r="S504" s="6" t="str">
        <f>IFERROR(__xludf.DUMMYFUNCTION("""COMPUTED_VALUE"""),"Betancur Piedrahita Lyan Victoria")</f>
        <v>Betancur Piedrahita Lyan Victoria</v>
      </c>
      <c r="T504" s="6" t="str">
        <f>IFERROR(__xludf.DUMMYFUNCTION("""COMPUTED_VALUE"""),"MILENA PIEDRAHITA LÓPEZ")</f>
        <v>MILENA PIEDRAHITA LÓPEZ</v>
      </c>
      <c r="U504" s="12" t="str">
        <f>IFERROR(__xludf.DUMMYFUNCTION("""COMPUTED_VALUE"""),"41946994")</f>
        <v>41946994</v>
      </c>
      <c r="V504" s="6">
        <f>IFERROR(__xludf.DUMMYFUNCTION("""COMPUTED_VALUE"""),3.044426937E9)</f>
        <v>3044426937</v>
      </c>
      <c r="W504" s="6" t="str">
        <f>IFERROR(__xludf.DUMMYFUNCTION("""COMPUTED_VALUE"""),"pilobeza@gmail.com")</f>
        <v>pilobeza@gmail.com</v>
      </c>
      <c r="X504" s="12" t="str">
        <f>IFERROR(__xludf.DUMMYFUNCTION("""COMPUTED_VALUE"""),"A-")</f>
        <v>A-</v>
      </c>
      <c r="Y504" s="12" t="str">
        <f>IFERROR(__xludf.DUMMYFUNCTION("""COMPUTED_VALUE"""),"7")</f>
        <v>7</v>
      </c>
      <c r="Z504" s="12">
        <f>IFERROR(__xludf.DUMMYFUNCTION("""COMPUTED_VALUE"""),103759.0)</f>
        <v>103759</v>
      </c>
      <c r="AA504" s="6" t="str">
        <f>IFERROR(__xludf.DUMMYFUNCTION("""COMPUTED_VALUE"""),"SURA")</f>
        <v>SURA</v>
      </c>
      <c r="AB504" s="6"/>
      <c r="AC504" s="12" t="str">
        <f>IFERROR(__xludf.DUMMYFUNCTION("""COMPUTED_VALUE"""),"Frio y Polvo")</f>
        <v>Frio y Polvo</v>
      </c>
      <c r="AD504" s="12" t="str">
        <f>IFERROR(__xludf.DUMMYFUNCTION("""COMPUTED_VALUE"""),"7A")</f>
        <v>7A</v>
      </c>
      <c r="AE504" s="12">
        <f>IFERROR(__xludf.DUMMYFUNCTION("""COMPUTED_VALUE"""),1.345281874E9)</f>
        <v>1345281874</v>
      </c>
      <c r="AF504" s="12" t="str">
        <f>IFERROR(__xludf.DUMMYFUNCTION("""COMPUTED_VALUE"""),"0058253853")</f>
        <v>0058253853</v>
      </c>
      <c r="AG504" s="12" t="str">
        <f>IFERROR(__xludf.DUMMYFUNCTION("""COMPUTED_VALUE"""),"Milena")</f>
        <v>Milena</v>
      </c>
      <c r="AH504" s="6"/>
      <c r="AI504" s="6" t="str">
        <f>IFERROR(__xludf.DUMMYFUNCTION("""COMPUTED_VALUE"""),"Piedrahita López")</f>
        <v>Piedrahita López</v>
      </c>
      <c r="AJ504" s="6" t="str">
        <f>IFERROR(__xludf.DUMMYFUNCTION("""COMPUTED_VALUE"""),"pilobeza@gmail.com")</f>
        <v>pilobeza@gmail.com</v>
      </c>
      <c r="AK504" s="6" t="str">
        <f>IFERROR(__xludf.DUMMYFUNCTION("""COMPUTED_VALUE"""),"Comercio Internacional")</f>
        <v>Comercio Internacional</v>
      </c>
      <c r="AL504" s="6"/>
      <c r="AM504" s="12">
        <f>IFERROR(__xludf.DUMMYFUNCTION("""COMPUTED_VALUE"""),4.1946994E7)</f>
        <v>41946994</v>
      </c>
      <c r="AN504" s="12" t="str">
        <f>IFERROR(__xludf.DUMMYFUNCTION("""COMPUTED_VALUE"""),"3044426937")</f>
        <v>3044426937</v>
      </c>
      <c r="AO504" s="6" t="str">
        <f>IFERROR(__xludf.DUMMYFUNCTION("""COMPUTED_VALUE"""),"Madre")</f>
        <v>Madre</v>
      </c>
      <c r="AP504" s="6" t="str">
        <f>IFERROR(__xludf.DUMMYFUNCTION("""COMPUTED_VALUE"""),"Estudiante(s): Betancur Piedrahita")</f>
        <v>Estudiante(s): Betancur Piedrahita</v>
      </c>
      <c r="AQ504" s="6" t="str">
        <f>IFERROR(__xludf.DUMMYFUNCTION("""COMPUTED_VALUE"""),"103760*Gi")</f>
        <v>103760*Gi</v>
      </c>
      <c r="AR504" s="6" t="str">
        <f>IFERROR(__xludf.DUMMYFUNCTION("""COMPUTED_VALUE"""),"Oscar")</f>
        <v>Oscar</v>
      </c>
      <c r="AS504" s="6" t="str">
        <f>IFERROR(__xludf.DUMMYFUNCTION("""COMPUTED_VALUE"""),"Leonardo")</f>
        <v>Leonardo</v>
      </c>
      <c r="AT504" s="6" t="str">
        <f>IFERROR(__xludf.DUMMYFUNCTION("""COMPUTED_VALUE"""),"Betancur Zapata")</f>
        <v>Betancur Zapata</v>
      </c>
      <c r="AU504" s="6" t="str">
        <f>IFERROR(__xludf.DUMMYFUNCTION("""COMPUTED_VALUE"""),"arqlbz@gmail.com")</f>
        <v>arqlbz@gmail.com</v>
      </c>
      <c r="AV504" s="6" t="str">
        <f>IFERROR(__xludf.DUMMYFUNCTION("""COMPUTED_VALUE"""),"Arquitecto Constructor")</f>
        <v>Arquitecto Constructor</v>
      </c>
      <c r="AW504" s="6" t="str">
        <f>IFERROR(__xludf.DUMMYFUNCTION("""COMPUTED_VALUE"""),"Independiente")</f>
        <v>Independiente</v>
      </c>
      <c r="AX504" s="12">
        <f>IFERROR(__xludf.DUMMYFUNCTION("""COMPUTED_VALUE"""),9732389.0)</f>
        <v>9732389</v>
      </c>
      <c r="AY504" s="12" t="str">
        <f>IFERROR(__xludf.DUMMYFUNCTION("""COMPUTED_VALUE"""),"3225929621")</f>
        <v>3225929621</v>
      </c>
      <c r="AZ504" s="6" t="str">
        <f>IFERROR(__xludf.DUMMYFUNCTION("""COMPUTED_VALUE"""),"Padre")</f>
        <v>Padre</v>
      </c>
      <c r="BA504" s="6"/>
      <c r="BB504" s="6"/>
      <c r="BC504" s="6"/>
      <c r="BD504" s="12" t="str">
        <f>IFERROR(__xludf.DUMMYFUNCTION("""COMPUTED_VALUE"""),"bet0002")</f>
        <v>bet0002</v>
      </c>
      <c r="BE504" s="6" t="str">
        <f>IFERROR(__xludf.DUMMYFUNCTION("""COMPUTED_VALUE"""),"FALTAN FIRMAS")</f>
        <v>FALTAN FIRMAS</v>
      </c>
      <c r="BF504" s="6"/>
      <c r="BG504" s="6">
        <f>IFERROR(__xludf.DUMMYFUNCTION("""COMPUTED_VALUE"""),2032.0)</f>
        <v>2032</v>
      </c>
      <c r="BH504" s="15">
        <f>IFERROR(__xludf.DUMMYFUNCTION("""COMPUTED_VALUE"""),46251.8740625)</f>
        <v>46251.87406</v>
      </c>
      <c r="BI504" s="6">
        <f>IFERROR(__xludf.DUMMYFUNCTION("""COMPUTED_VALUE"""),504.0)</f>
        <v>504</v>
      </c>
      <c r="BJ504" s="6"/>
      <c r="BK504" s="6"/>
      <c r="BL504" s="6" t="str">
        <f>IFERROR(__xludf.DUMMYFUNCTION("""COMPUTED_VALUE"""),"GISBET0002")</f>
        <v>GISBET0002</v>
      </c>
      <c r="BM504" s="6"/>
      <c r="BN504" s="6"/>
      <c r="BO504" s="6" t="str">
        <f>IFERROR(__xludf.DUMMYFUNCTION("""COMPUTED_VALUE"""),"XC_MS_Voleibol_F")</f>
        <v>XC_MS_Voleibol_F</v>
      </c>
      <c r="BP504" s="6" t="str">
        <f>IFERROR(__xludf.DUMMYFUNCTION("""COMPUTED_VALUE"""),"XC_SEC_BandaFW")</f>
        <v>XC_SEC_BandaFW</v>
      </c>
      <c r="BQ504" s="6" t="str">
        <f>IFERROR(__xludf.DUMMYFUNCTION("""COMPUTED_VALUE"""),"XC_MS_Voleibol_F")</f>
        <v>XC_MS_Voleibol_F</v>
      </c>
      <c r="BR504" s="6" t="str">
        <f>IFERROR(__xludf.DUMMYFUNCTION("""COMPUTED_VALUE"""),"XC_MS_Voleibol_F")</f>
        <v>XC_MS_Voleibol_F</v>
      </c>
      <c r="BS504" s="6"/>
      <c r="BT504" s="6" t="str">
        <f>IFERROR(__xludf.DUMMYFUNCTION("""COMPUTED_VALUE"""),"XC_MS_Voleibol_F")</f>
        <v>XC_MS_Voleibol_F</v>
      </c>
      <c r="BU504" s="6" t="str">
        <f>IFERROR(__xludf.DUMMYFUNCTION("""COMPUTED_VALUE"""),"SI")</f>
        <v>SI</v>
      </c>
      <c r="BV504" s="6" t="str">
        <f>IFERROR(__xludf.DUMMYFUNCTION("""COMPUTED_VALUE"""),"lyan.b2032")</f>
        <v>lyan.b2032</v>
      </c>
      <c r="BW504" s="6"/>
      <c r="BX504" s="6"/>
      <c r="BY504" s="6"/>
      <c r="BZ504" s="6"/>
    </row>
    <row r="505">
      <c r="A505" s="12">
        <f>IFERROR(__xludf.DUMMYFUNCTION("""COMPUTED_VALUE"""),1.09246344E9)</f>
        <v>1092463440</v>
      </c>
      <c r="B505" s="6">
        <f>IFERROR(__xludf.DUMMYFUNCTION("""COMPUTED_VALUE"""),7.0)</f>
        <v>7</v>
      </c>
      <c r="C505" s="6" t="str">
        <f>IFERROR(__xludf.DUMMYFUNCTION("""COMPUTED_VALUE"""),"Ana")</f>
        <v>Ana</v>
      </c>
      <c r="D505" s="6" t="str">
        <f>IFERROR(__xludf.DUMMYFUNCTION("""COMPUTED_VALUE"""),"Sofía")</f>
        <v>Sofía</v>
      </c>
      <c r="E505" s="6" t="str">
        <f>IFERROR(__xludf.DUMMYFUNCTION("""COMPUTED_VALUE"""),"Bonilla Vélez")</f>
        <v>Bonilla Vélez</v>
      </c>
      <c r="F505" s="6" t="str">
        <f>IFERROR(__xludf.DUMMYFUNCTION("""COMPUTED_VALUE"""),"Conjunto Ecológico San Miguel Casa 59 Vereda el Congal")</f>
        <v>Conjunto Ecológico San Miguel Casa 59 Vereda el Congal</v>
      </c>
      <c r="G505" s="12" t="str">
        <f>IFERROR(__xludf.DUMMYFUNCTION("""COMPUTED_VALUE"""),"2013")</f>
        <v>2013</v>
      </c>
      <c r="H505" s="6" t="str">
        <f>IFERROR(__xludf.DUMMYFUNCTION("""COMPUTED_VALUE"""),"Diciembre")</f>
        <v>Diciembre</v>
      </c>
      <c r="I505" s="12" t="str">
        <f>IFERROR(__xludf.DUMMYFUNCTION("""COMPUTED_VALUE"""),"2")</f>
        <v>2</v>
      </c>
      <c r="J505" s="6" t="str">
        <f>IFERROR(__xludf.DUMMYFUNCTION("""COMPUTED_VALUE"""),"Armenia")</f>
        <v>Armenia</v>
      </c>
      <c r="K505" s="6" t="str">
        <f>IFERROR(__xludf.DUMMYFUNCTION("""COMPUTED_VALUE"""),"anasofia.b2032@gi.edu.co")</f>
        <v>anasofia.b2032@gi.edu.co</v>
      </c>
      <c r="L505" s="6" t="str">
        <f>IFERROR(__xludf.DUMMYFUNCTION("""COMPUTED_VALUE"""),"TI")</f>
        <v>TI</v>
      </c>
      <c r="M505" s="6" t="str">
        <f>IFERROR(__xludf.DUMMYFUNCTION("""COMPUTED_VALUE"""),"Armenia")</f>
        <v>Armenia</v>
      </c>
      <c r="N505" s="6" t="str">
        <f>IFERROR(__xludf.DUMMYFUNCTION("""COMPUTED_VALUE"""),"F")</f>
        <v>F</v>
      </c>
      <c r="O505" s="6" t="str">
        <f>IFERROR(__xludf.DUMMYFUNCTION("""COMPUTED_VALUE"""),"ACTIVE")</f>
        <v>ACTIVE</v>
      </c>
      <c r="P505" s="6"/>
      <c r="Q505" s="6" t="str">
        <f>IFERROR(__xludf.DUMMYFUNCTION("""COMPUTED_VALUE"""),"Circasia")</f>
        <v>Circasia</v>
      </c>
      <c r="R505" s="12" t="str">
        <f>IFERROR(__xludf.DUMMYFUNCTION("""COMPUTED_VALUE"""),"Gi2Ae589*")</f>
        <v>Gi2Ae589*</v>
      </c>
      <c r="S505" s="6" t="str">
        <f>IFERROR(__xludf.DUMMYFUNCTION("""COMPUTED_VALUE"""),"Bonilla Vélez Ana Sofía")</f>
        <v>Bonilla Vélez Ana Sofía</v>
      </c>
      <c r="T505" s="6" t="str">
        <f>IFERROR(__xludf.DUMMYFUNCTION("""COMPUTED_VALUE"""),"JUAN PABLO BONILLA HURTADO")</f>
        <v>JUAN PABLO BONILLA HURTADO</v>
      </c>
      <c r="U505" s="12" t="str">
        <f>IFERROR(__xludf.DUMMYFUNCTION("""COMPUTED_VALUE"""),"80105788")</f>
        <v>80105788</v>
      </c>
      <c r="V505" s="6">
        <f>IFERROR(__xludf.DUMMYFUNCTION("""COMPUTED_VALUE"""),3.177807574E9)</f>
        <v>3177807574</v>
      </c>
      <c r="W505" s="6" t="str">
        <f>IFERROR(__xludf.DUMMYFUNCTION("""COMPUTED_VALUE"""),"juanbonillah@gmail.com")</f>
        <v>juanbonillah@gmail.com</v>
      </c>
      <c r="X505" s="12" t="str">
        <f>IFERROR(__xludf.DUMMYFUNCTION("""COMPUTED_VALUE"""),"O+")</f>
        <v>O+</v>
      </c>
      <c r="Y505" s="12" t="str">
        <f>IFERROR(__xludf.DUMMYFUNCTION("""COMPUTED_VALUE"""),"7")</f>
        <v>7</v>
      </c>
      <c r="Z505" s="12">
        <f>IFERROR(__xludf.DUMMYFUNCTION("""COMPUTED_VALUE"""),103740.0)</f>
        <v>103740</v>
      </c>
      <c r="AA505" s="6" t="str">
        <f>IFERROR(__xludf.DUMMYFUNCTION("""COMPUTED_VALUE"""),"SURA")</f>
        <v>SURA</v>
      </c>
      <c r="AB505" s="6"/>
      <c r="AC505" s="6"/>
      <c r="AD505" s="12" t="str">
        <f>IFERROR(__xludf.DUMMYFUNCTION("""COMPUTED_VALUE"""),"7A")</f>
        <v>7A</v>
      </c>
      <c r="AE505" s="12">
        <f>IFERROR(__xludf.DUMMYFUNCTION("""COMPUTED_VALUE"""),1.345281862E9)</f>
        <v>1345281862</v>
      </c>
      <c r="AF505" s="12" t="str">
        <f>IFERROR(__xludf.DUMMYFUNCTION("""COMPUTED_VALUE"""),"0688437683")</f>
        <v>0688437683</v>
      </c>
      <c r="AG505" s="12" t="str">
        <f>IFERROR(__xludf.DUMMYFUNCTION("""COMPUTED_VALUE"""),"Lina")</f>
        <v>Lina</v>
      </c>
      <c r="AH505" s="12" t="str">
        <f>IFERROR(__xludf.DUMMYFUNCTION("""COMPUTED_VALUE"""),"Johana")</f>
        <v>Johana</v>
      </c>
      <c r="AI505" s="6" t="str">
        <f>IFERROR(__xludf.DUMMYFUNCTION("""COMPUTED_VALUE"""),"Vélez Regalado")</f>
        <v>Vélez Regalado</v>
      </c>
      <c r="AJ505" s="6" t="str">
        <f>IFERROR(__xludf.DUMMYFUNCTION("""COMPUTED_VALUE"""),"linajvelez@gmail.com")</f>
        <v>linajvelez@gmail.com</v>
      </c>
      <c r="AK505" s="6" t="str">
        <f>IFERROR(__xludf.DUMMYFUNCTION("""COMPUTED_VALUE"""),"Administradora financiera")</f>
        <v>Administradora financiera</v>
      </c>
      <c r="AL505" s="6" t="str">
        <f>IFERROR(__xludf.DUMMYFUNCTION("""COMPUTED_VALUE"""),"EDEQ")</f>
        <v>EDEQ</v>
      </c>
      <c r="AM505" s="12" t="str">
        <f>IFERROR(__xludf.DUMMYFUNCTION("""COMPUTED_VALUE"""),"24585013")</f>
        <v>24585013</v>
      </c>
      <c r="AN505" s="12" t="str">
        <f>IFERROR(__xludf.DUMMYFUNCTION("""COMPUTED_VALUE"""),"3165785640")</f>
        <v>3165785640</v>
      </c>
      <c r="AO505" s="6" t="str">
        <f>IFERROR(__xludf.DUMMYFUNCTION("""COMPUTED_VALUE"""),"Madre")</f>
        <v>Madre</v>
      </c>
      <c r="AP505" s="6" t="str">
        <f>IFERROR(__xludf.DUMMYFUNCTION("""COMPUTED_VALUE"""),"Estudiante(s): Bonilla Vélez")</f>
        <v>Estudiante(s): Bonilla Vélez</v>
      </c>
      <c r="AQ505" s="6" t="str">
        <f>IFERROR(__xludf.DUMMYFUNCTION("""COMPUTED_VALUE"""),"103740*Gi")</f>
        <v>103740*Gi</v>
      </c>
      <c r="AR505" s="6" t="str">
        <f>IFERROR(__xludf.DUMMYFUNCTION("""COMPUTED_VALUE"""),"Juan")</f>
        <v>Juan</v>
      </c>
      <c r="AS505" s="6" t="str">
        <f>IFERROR(__xludf.DUMMYFUNCTION("""COMPUTED_VALUE"""),"Pablo")</f>
        <v>Pablo</v>
      </c>
      <c r="AT505" s="6" t="str">
        <f>IFERROR(__xludf.DUMMYFUNCTION("""COMPUTED_VALUE"""),"Bonilla Hurtado")</f>
        <v>Bonilla Hurtado</v>
      </c>
      <c r="AU505" s="6" t="str">
        <f>IFERROR(__xludf.DUMMYFUNCTION("""COMPUTED_VALUE"""),"juanbonillah@gmail.com")</f>
        <v>juanbonillah@gmail.com</v>
      </c>
      <c r="AV505" s="6" t="str">
        <f>IFERROR(__xludf.DUMMYFUNCTION("""COMPUTED_VALUE"""),"Docente")</f>
        <v>Docente</v>
      </c>
      <c r="AW505" s="6" t="str">
        <f>IFERROR(__xludf.DUMMYFUNCTION("""COMPUTED_VALUE"""),"GI School")</f>
        <v>GI School</v>
      </c>
      <c r="AX505" s="12" t="str">
        <f>IFERROR(__xludf.DUMMYFUNCTION("""COMPUTED_VALUE"""),"80105788")</f>
        <v>80105788</v>
      </c>
      <c r="AY505" s="12" t="str">
        <f>IFERROR(__xludf.DUMMYFUNCTION("""COMPUTED_VALUE"""),"3177807574")</f>
        <v>3177807574</v>
      </c>
      <c r="AZ505" s="6" t="str">
        <f>IFERROR(__xludf.DUMMYFUNCTION("""COMPUTED_VALUE"""),"Padre")</f>
        <v>Padre</v>
      </c>
      <c r="BA505" s="6"/>
      <c r="BB505" s="6"/>
      <c r="BC505" s="6"/>
      <c r="BD505" s="12" t="str">
        <f>IFERROR(__xludf.DUMMYFUNCTION("""COMPUTED_VALUE"""),"bon0003")</f>
        <v>bon0003</v>
      </c>
      <c r="BE505" s="6"/>
      <c r="BF505" s="6"/>
      <c r="BG505" s="6">
        <f>IFERROR(__xludf.DUMMYFUNCTION("""COMPUTED_VALUE"""),2032.0)</f>
        <v>2032</v>
      </c>
      <c r="BH505" s="15">
        <f>IFERROR(__xludf.DUMMYFUNCTION("""COMPUTED_VALUE"""),46212.50430555556)</f>
        <v>46212.50431</v>
      </c>
      <c r="BI505" s="6">
        <f>IFERROR(__xludf.DUMMYFUNCTION("""COMPUTED_VALUE"""),505.0)</f>
        <v>505</v>
      </c>
      <c r="BJ505" s="6"/>
      <c r="BK505" s="6"/>
      <c r="BL505" s="6" t="str">
        <f>IFERROR(__xludf.DUMMYFUNCTION("""COMPUTED_VALUE"""),"GISBON0003")</f>
        <v>GISBON0003</v>
      </c>
      <c r="BM505" s="6"/>
      <c r="BN505" s="6"/>
      <c r="BO505" s="6" t="str">
        <f>IFERROR(__xludf.DUMMYFUNCTION("""COMPUTED_VALUE"""),"XC_SEC_Futbol_F")</f>
        <v>XC_SEC_Futbol_F</v>
      </c>
      <c r="BP505" s="6"/>
      <c r="BQ505" s="6" t="str">
        <f>IFERROR(__xludf.DUMMYFUNCTION("""COMPUTED_VALUE"""),"XC_SEC_Futbol_F")</f>
        <v>XC_SEC_Futbol_F</v>
      </c>
      <c r="BR505" s="6" t="str">
        <f>IFERROR(__xludf.DUMMYFUNCTION("""COMPUTED_VALUE"""),"XC_SEC_Futbol_F")</f>
        <v>XC_SEC_Futbol_F</v>
      </c>
      <c r="BS505" s="6"/>
      <c r="BT505" s="6" t="str">
        <f>IFERROR(__xludf.DUMMYFUNCTION("""COMPUTED_VALUE"""),"XC_SEC_Futbol_F")</f>
        <v>XC_SEC_Futbol_F</v>
      </c>
      <c r="BU505" s="6" t="str">
        <f>IFERROR(__xludf.DUMMYFUNCTION("""COMPUTED_VALUE"""),"SI")</f>
        <v>SI</v>
      </c>
      <c r="BV505" s="6" t="str">
        <f>IFERROR(__xludf.DUMMYFUNCTION("""COMPUTED_VALUE"""),"anasofia.b2032")</f>
        <v>anasofia.b2032</v>
      </c>
      <c r="BW505" s="6"/>
      <c r="BX505" s="6"/>
      <c r="BY505" s="6"/>
      <c r="BZ505" s="6"/>
    </row>
    <row r="506">
      <c r="A506" s="12">
        <f>IFERROR(__xludf.DUMMYFUNCTION("""COMPUTED_VALUE"""),1.030101329E9)</f>
        <v>1030101329</v>
      </c>
      <c r="B506" s="6">
        <f>IFERROR(__xludf.DUMMYFUNCTION("""COMPUTED_VALUE"""),8.0)</f>
        <v>8</v>
      </c>
      <c r="C506" s="6" t="str">
        <f>IFERROR(__xludf.DUMMYFUNCTION("""COMPUTED_VALUE"""),"Paloma")</f>
        <v>Paloma</v>
      </c>
      <c r="D506" s="6"/>
      <c r="E506" s="6" t="str">
        <f>IFERROR(__xludf.DUMMYFUNCTION("""COMPUTED_VALUE"""),"Botero Martínez")</f>
        <v>Botero Martínez</v>
      </c>
      <c r="F506" s="6" t="str">
        <f>IFERROR(__xludf.DUMMYFUNCTION("""COMPUTED_VALUE"""),"Edificio Zephia Apto 101 - Cra10 No11Nte - 80 La Castellana")</f>
        <v>Edificio Zephia Apto 101 - Cra10 No11Nte - 80 La Castellana</v>
      </c>
      <c r="G506" s="12" t="str">
        <f>IFERROR(__xludf.DUMMYFUNCTION("""COMPUTED_VALUE"""),"2014")</f>
        <v>2014</v>
      </c>
      <c r="H506" s="6" t="str">
        <f>IFERROR(__xludf.DUMMYFUNCTION("""COMPUTED_VALUE"""),"Febrero")</f>
        <v>Febrero</v>
      </c>
      <c r="I506" s="12" t="str">
        <f>IFERROR(__xludf.DUMMYFUNCTION("""COMPUTED_VALUE"""),"13")</f>
        <v>13</v>
      </c>
      <c r="J506" s="6" t="str">
        <f>IFERROR(__xludf.DUMMYFUNCTION("""COMPUTED_VALUE"""),"Armenia")</f>
        <v>Armenia</v>
      </c>
      <c r="K506" s="6" t="str">
        <f>IFERROR(__xludf.DUMMYFUNCTION("""COMPUTED_VALUE"""),"paloma.b2032@gi.edu.co")</f>
        <v>paloma.b2032@gi.edu.co</v>
      </c>
      <c r="L506" s="6" t="str">
        <f>IFERROR(__xludf.DUMMYFUNCTION("""COMPUTED_VALUE"""),"TI")</f>
        <v>TI</v>
      </c>
      <c r="M506" s="6" t="str">
        <f>IFERROR(__xludf.DUMMYFUNCTION("""COMPUTED_VALUE"""),"Armenia")</f>
        <v>Armenia</v>
      </c>
      <c r="N506" s="6" t="str">
        <f>IFERROR(__xludf.DUMMYFUNCTION("""COMPUTED_VALUE"""),"F")</f>
        <v>F</v>
      </c>
      <c r="O506" s="6" t="str">
        <f>IFERROR(__xludf.DUMMYFUNCTION("""COMPUTED_VALUE"""),"INACTIVE")</f>
        <v>INACTIVE</v>
      </c>
      <c r="P506" s="6"/>
      <c r="Q506" s="6" t="str">
        <f>IFERROR(__xludf.DUMMYFUNCTION("""COMPUTED_VALUE"""),"Armenia")</f>
        <v>Armenia</v>
      </c>
      <c r="R506" s="12" t="str">
        <f>IFERROR(__xludf.DUMMYFUNCTION("""COMPUTED_VALUE"""),"Gi8g3h346y*")</f>
        <v>Gi8g3h346y*</v>
      </c>
      <c r="S506" s="6" t="str">
        <f>IFERROR(__xludf.DUMMYFUNCTION("""COMPUTED_VALUE"""),"Botero Martínez Paloma ")</f>
        <v>Botero Martínez Paloma </v>
      </c>
      <c r="T506" s="6" t="str">
        <f>IFERROR(__xludf.DUMMYFUNCTION("""COMPUTED_VALUE"""),"CAROLINA MARTÍNEZ ESCOBAR")</f>
        <v>CAROLINA MARTÍNEZ ESCOBAR</v>
      </c>
      <c r="U506" s="12" t="str">
        <f>IFERROR(__xludf.DUMMYFUNCTION("""COMPUTED_VALUE"""),"43182132")</f>
        <v>43182132</v>
      </c>
      <c r="V506" s="6">
        <f>IFERROR(__xludf.DUMMYFUNCTION("""COMPUTED_VALUE"""),3.11346471E9)</f>
        <v>3113464710</v>
      </c>
      <c r="W506" s="6" t="str">
        <f>IFERROR(__xludf.DUMMYFUNCTION("""COMPUTED_VALUE"""),"carito_mares@hotmail.com")</f>
        <v>carito_mares@hotmail.com</v>
      </c>
      <c r="X506" s="12" t="str">
        <f>IFERROR(__xludf.DUMMYFUNCTION("""COMPUTED_VALUE"""),"O+")</f>
        <v>O+</v>
      </c>
      <c r="Y506" s="12" t="str">
        <f>IFERROR(__xludf.DUMMYFUNCTION("""COMPUTED_VALUE"""),"7")</f>
        <v>7</v>
      </c>
      <c r="Z506" s="12">
        <f>IFERROR(__xludf.DUMMYFUNCTION("""COMPUTED_VALUE"""),103383.0)</f>
        <v>103383</v>
      </c>
      <c r="AA506" s="6" t="str">
        <f>IFERROR(__xludf.DUMMYFUNCTION("""COMPUTED_VALUE"""),"SURA")</f>
        <v>SURA</v>
      </c>
      <c r="AB506" s="6" t="str">
        <f>IFERROR(__xludf.DUMMYFUNCTION("""COMPUTED_VALUE"""),"EMI")</f>
        <v>EMI</v>
      </c>
      <c r="AC506" s="12" t="str">
        <f>IFERROR(__xludf.DUMMYFUNCTION("""COMPUTED_VALUE"""),"picaduras, frio")</f>
        <v>picaduras, frio</v>
      </c>
      <c r="AD506" s="12" t="str">
        <f>IFERROR(__xludf.DUMMYFUNCTION("""COMPUTED_VALUE"""),"7A")</f>
        <v>7A</v>
      </c>
      <c r="AE506" s="12">
        <f>IFERROR(__xludf.DUMMYFUNCTION("""COMPUTED_VALUE"""),1.345281663E9)</f>
        <v>1345281663</v>
      </c>
      <c r="AF506" s="12" t="str">
        <f>IFERROR(__xludf.DUMMYFUNCTION("""COMPUTED_VALUE"""),"0694582019")</f>
        <v>0694582019</v>
      </c>
      <c r="AG506" s="12" t="str">
        <f>IFERROR(__xludf.DUMMYFUNCTION("""COMPUTED_VALUE"""),"Carolina")</f>
        <v>Carolina</v>
      </c>
      <c r="AH506" s="6"/>
      <c r="AI506" s="6" t="str">
        <f>IFERROR(__xludf.DUMMYFUNCTION("""COMPUTED_VALUE"""),"Martínez Escobar")</f>
        <v>Martínez Escobar</v>
      </c>
      <c r="AJ506" s="6" t="str">
        <f>IFERROR(__xludf.DUMMYFUNCTION("""COMPUTED_VALUE"""),"carito_mares@hotmail.com")</f>
        <v>carito_mares@hotmail.com</v>
      </c>
      <c r="AK506" s="6" t="str">
        <f>IFERROR(__xludf.DUMMYFUNCTION("""COMPUTED_VALUE"""),"Comunicadora Social - Periodista")</f>
        <v>Comunicadora Social - Periodista</v>
      </c>
      <c r="AL506" s="6"/>
      <c r="AM506" s="12" t="str">
        <f>IFERROR(__xludf.DUMMYFUNCTION("""COMPUTED_VALUE"""),"43182132")</f>
        <v>43182132</v>
      </c>
      <c r="AN506" s="12" t="str">
        <f>IFERROR(__xludf.DUMMYFUNCTION("""COMPUTED_VALUE"""),"3113464710")</f>
        <v>3113464710</v>
      </c>
      <c r="AO506" s="6" t="str">
        <f>IFERROR(__xludf.DUMMYFUNCTION("""COMPUTED_VALUE"""),"Madre")</f>
        <v>Madre</v>
      </c>
      <c r="AP506" s="6" t="str">
        <f>IFERROR(__xludf.DUMMYFUNCTION("""COMPUTED_VALUE"""),"Estudiante(s): Botero Martínez")</f>
        <v>Estudiante(s): Botero Martínez</v>
      </c>
      <c r="AQ506" s="6" t="str">
        <f>IFERROR(__xludf.DUMMYFUNCTION("""COMPUTED_VALUE"""),"103383*Gi")</f>
        <v>103383*Gi</v>
      </c>
      <c r="AR506" s="6" t="str">
        <f>IFERROR(__xludf.DUMMYFUNCTION("""COMPUTED_VALUE"""),"Andrés")</f>
        <v>Andrés</v>
      </c>
      <c r="AS506" s="6"/>
      <c r="AT506" s="6" t="str">
        <f>IFERROR(__xludf.DUMMYFUNCTION("""COMPUTED_VALUE"""),"Botero Gómez")</f>
        <v>Botero Gómez</v>
      </c>
      <c r="AU506" s="6" t="str">
        <f>IFERROR(__xludf.DUMMYFUNCTION("""COMPUTED_VALUE"""),"boterogomez@gmail.com")</f>
        <v>boterogomez@gmail.com</v>
      </c>
      <c r="AV506" s="6" t="str">
        <f>IFERROR(__xludf.DUMMYFUNCTION("""COMPUTED_VALUE"""),"Admin empresas")</f>
        <v>Admin empresas</v>
      </c>
      <c r="AW506" s="6" t="str">
        <f>IFERROR(__xludf.DUMMYFUNCTION("""COMPUTED_VALUE"""),"Frutierra")</f>
        <v>Frutierra</v>
      </c>
      <c r="AX506" s="12" t="str">
        <f>IFERROR(__xludf.DUMMYFUNCTION("""COMPUTED_VALUE"""),"4372742")</f>
        <v>4372742</v>
      </c>
      <c r="AY506" s="12" t="str">
        <f>IFERROR(__xludf.DUMMYFUNCTION("""COMPUTED_VALUE"""),"3155429569")</f>
        <v>3155429569</v>
      </c>
      <c r="AZ506" s="6" t="str">
        <f>IFERROR(__xludf.DUMMYFUNCTION("""COMPUTED_VALUE"""),"Padre")</f>
        <v>Padre</v>
      </c>
      <c r="BA506" s="6"/>
      <c r="BB506" s="6"/>
      <c r="BC506" s="6"/>
      <c r="BD506" s="12" t="str">
        <f>IFERROR(__xludf.DUMMYFUNCTION("""COMPUTED_VALUE"""),"bot0001")</f>
        <v>bot0001</v>
      </c>
      <c r="BE506" s="6" t="str">
        <f>IFERROR(__xludf.DUMMYFUNCTION("""COMPUTED_VALUE"""),"FALTAN FIRMAS")</f>
        <v>FALTAN FIRMAS</v>
      </c>
      <c r="BF506" s="6"/>
      <c r="BG506" s="6">
        <f>IFERROR(__xludf.DUMMYFUNCTION("""COMPUTED_VALUE"""),2032.0)</f>
        <v>2032</v>
      </c>
      <c r="BH506" s="15">
        <f>IFERROR(__xludf.DUMMYFUNCTION("""COMPUTED_VALUE"""),46205.66684027778)</f>
        <v>46205.66684</v>
      </c>
      <c r="BI506" s="6">
        <f>IFERROR(__xludf.DUMMYFUNCTION("""COMPUTED_VALUE"""),506.0)</f>
        <v>506</v>
      </c>
      <c r="BJ506" s="6" t="str">
        <f>IFERROR(__xludf.DUMMYFUNCTION("""COMPUTED_VALUE"""),"Mar 9/26 Se retira por parte del comite
SIMAT: trastorno por déficit de atención con o sin hiperactividad (Sept 22 2025)")</f>
        <v>Mar 9/26 Se retira por parte del comite
SIMAT: trastorno por déficit de atención con o sin hiperactividad (Sept 22 2025)</v>
      </c>
      <c r="BK506" s="6"/>
      <c r="BL506" s="6" t="str">
        <f>IFERROR(__xludf.DUMMYFUNCTION("""COMPUTED_VALUE"""),"GISBOT0001")</f>
        <v>GISBOT0001</v>
      </c>
      <c r="BM506" s="6"/>
      <c r="BN506" s="6"/>
      <c r="BO506" s="6" t="str">
        <f>IFERROR(__xludf.DUMMYFUNCTION("""COMPUTED_VALUE"""),"XC_MS_Voleibol_F")</f>
        <v>XC_MS_Voleibol_F</v>
      </c>
      <c r="BP506" s="6"/>
      <c r="BQ506" s="6" t="str">
        <f>IFERROR(__xludf.DUMMYFUNCTION("""COMPUTED_VALUE"""),"XC_MS_Voleibol_F")</f>
        <v>XC_MS_Voleibol_F</v>
      </c>
      <c r="BR506" s="6" t="str">
        <f>IFERROR(__xludf.DUMMYFUNCTION("""COMPUTED_VALUE"""),"XC_MS_Voleibol_F")</f>
        <v>XC_MS_Voleibol_F</v>
      </c>
      <c r="BS506" s="6"/>
      <c r="BT506" s="6" t="str">
        <f>IFERROR(__xludf.DUMMYFUNCTION("""COMPUTED_VALUE"""),"XC_MS_Voleibol_F")</f>
        <v>XC_MS_Voleibol_F</v>
      </c>
      <c r="BU506" s="6" t="str">
        <f>IFERROR(__xludf.DUMMYFUNCTION("""COMPUTED_VALUE"""),"SI")</f>
        <v>SI</v>
      </c>
      <c r="BV506" s="6" t="str">
        <f>IFERROR(__xludf.DUMMYFUNCTION("""COMPUTED_VALUE"""),"paloma.b2032")</f>
        <v>paloma.b2032</v>
      </c>
      <c r="BW506" s="6"/>
      <c r="BX506" s="6"/>
      <c r="BY506" s="6"/>
      <c r="BZ506" s="6"/>
    </row>
    <row r="507">
      <c r="A507" s="12">
        <f>IFERROR(__xludf.DUMMYFUNCTION("""COMPUTED_VALUE"""),1.092463407E9)</f>
        <v>1092463407</v>
      </c>
      <c r="B507" s="6">
        <f>IFERROR(__xludf.DUMMYFUNCTION("""COMPUTED_VALUE"""),9.0)</f>
        <v>9</v>
      </c>
      <c r="C507" s="6" t="str">
        <f>IFERROR(__xludf.DUMMYFUNCTION("""COMPUTED_VALUE"""),"Dominick")</f>
        <v>Dominick</v>
      </c>
      <c r="D507" s="6"/>
      <c r="E507" s="6" t="str">
        <f>IFERROR(__xludf.DUMMYFUNCTION("""COMPUTED_VALUE"""),"Bueno Céspedes")</f>
        <v>Bueno Céspedes</v>
      </c>
      <c r="F507" s="6" t="str">
        <f>IFERROR(__xludf.DUMMYFUNCTION("""COMPUTED_VALUE"""),"Edificio Alejandría Apto 401 Barrio la Lorena  - Calle 6ANte No15 - 37 por detrás de Mocawa")</f>
        <v>Edificio Alejandría Apto 401 Barrio la Lorena  - Calle 6ANte No15 - 37 por detrás de Mocawa</v>
      </c>
      <c r="G507" s="12" t="str">
        <f>IFERROR(__xludf.DUMMYFUNCTION("""COMPUTED_VALUE"""),"2013")</f>
        <v>2013</v>
      </c>
      <c r="H507" s="6" t="str">
        <f>IFERROR(__xludf.DUMMYFUNCTION("""COMPUTED_VALUE"""),"Octubre")</f>
        <v>Octubre</v>
      </c>
      <c r="I507" s="12" t="str">
        <f>IFERROR(__xludf.DUMMYFUNCTION("""COMPUTED_VALUE"""),"23")</f>
        <v>23</v>
      </c>
      <c r="J507" s="6" t="str">
        <f>IFERROR(__xludf.DUMMYFUNCTION("""COMPUTED_VALUE"""),"Armenia")</f>
        <v>Armenia</v>
      </c>
      <c r="K507" s="6" t="str">
        <f>IFERROR(__xludf.DUMMYFUNCTION("""COMPUTED_VALUE"""),"dominick.b2032@gi.edu.co")</f>
        <v>dominick.b2032@gi.edu.co</v>
      </c>
      <c r="L507" s="6" t="str">
        <f>IFERROR(__xludf.DUMMYFUNCTION("""COMPUTED_VALUE"""),"TI")</f>
        <v>TI</v>
      </c>
      <c r="M507" s="6" t="str">
        <f>IFERROR(__xludf.DUMMYFUNCTION("""COMPUTED_VALUE"""),"Armenia")</f>
        <v>Armenia</v>
      </c>
      <c r="N507" s="6" t="str">
        <f>IFERROR(__xludf.DUMMYFUNCTION("""COMPUTED_VALUE"""),"M")</f>
        <v>M</v>
      </c>
      <c r="O507" s="6" t="str">
        <f>IFERROR(__xludf.DUMMYFUNCTION("""COMPUTED_VALUE"""),"ACTIVE")</f>
        <v>ACTIVE</v>
      </c>
      <c r="P507" s="6"/>
      <c r="Q507" s="6" t="str">
        <f>IFERROR(__xludf.DUMMYFUNCTION("""COMPUTED_VALUE"""),"Armenia")</f>
        <v>Armenia</v>
      </c>
      <c r="R507" s="12" t="str">
        <f>IFERROR(__xludf.DUMMYFUNCTION("""COMPUTED_VALUE"""),"Gi8n7b6v5c*")</f>
        <v>Gi8n7b6v5c*</v>
      </c>
      <c r="S507" s="6" t="str">
        <f>IFERROR(__xludf.DUMMYFUNCTION("""COMPUTED_VALUE"""),"Bueno Céspedes Dominick ")</f>
        <v>Bueno Céspedes Dominick </v>
      </c>
      <c r="T507" s="6" t="str">
        <f>IFERROR(__xludf.DUMMYFUNCTION("""COMPUTED_VALUE"""),"LUZ AMPARO CÉSPEDES QUIROZ")</f>
        <v>LUZ AMPARO CÉSPEDES QUIROZ</v>
      </c>
      <c r="U507" s="12" t="str">
        <f>IFERROR(__xludf.DUMMYFUNCTION("""COMPUTED_VALUE"""),"41943243")</f>
        <v>41943243</v>
      </c>
      <c r="V507" s="6">
        <f>IFERROR(__xludf.DUMMYFUNCTION("""COMPUTED_VALUE"""),3.046130679E9)</f>
        <v>3046130679</v>
      </c>
      <c r="W507" s="6" t="str">
        <f>IFERROR(__xludf.DUMMYFUNCTION("""COMPUTED_VALUE"""),"amparocespedes29@gmail.com")</f>
        <v>amparocespedes29@gmail.com</v>
      </c>
      <c r="X507" s="12" t="str">
        <f>IFERROR(__xludf.DUMMYFUNCTION("""COMPUTED_VALUE"""),"A+")</f>
        <v>A+</v>
      </c>
      <c r="Y507" s="12" t="str">
        <f>IFERROR(__xludf.DUMMYFUNCTION("""COMPUTED_VALUE"""),"7")</f>
        <v>7</v>
      </c>
      <c r="Z507" s="12">
        <f>IFERROR(__xludf.DUMMYFUNCTION("""COMPUTED_VALUE"""),103538.0)</f>
        <v>103538</v>
      </c>
      <c r="AA507" s="6" t="str">
        <f>IFERROR(__xludf.DUMMYFUNCTION("""COMPUTED_VALUE"""),"SURA")</f>
        <v>SURA</v>
      </c>
      <c r="AB507" s="6" t="str">
        <f>IFERROR(__xludf.DUMMYFUNCTION("""COMPUTED_VALUE"""),"MEDPLUS")</f>
        <v>MEDPLUS</v>
      </c>
      <c r="AC507" s="6"/>
      <c r="AD507" s="12" t="str">
        <f>IFERROR(__xludf.DUMMYFUNCTION("""COMPUTED_VALUE"""),"7A")</f>
        <v>7A</v>
      </c>
      <c r="AE507" s="12">
        <f>IFERROR(__xludf.DUMMYFUNCTION("""COMPUTED_VALUE"""),1.345281741E9)</f>
        <v>1345281741</v>
      </c>
      <c r="AF507" s="12" t="str">
        <f>IFERROR(__xludf.DUMMYFUNCTION("""COMPUTED_VALUE"""),"0672791731")</f>
        <v>0672791731</v>
      </c>
      <c r="AG507" s="12" t="str">
        <f>IFERROR(__xludf.DUMMYFUNCTION("""COMPUTED_VALUE"""),"Luz")</f>
        <v>Luz</v>
      </c>
      <c r="AH507" s="12" t="str">
        <f>IFERROR(__xludf.DUMMYFUNCTION("""COMPUTED_VALUE"""),"Amparo")</f>
        <v>Amparo</v>
      </c>
      <c r="AI507" s="6" t="str">
        <f>IFERROR(__xludf.DUMMYFUNCTION("""COMPUTED_VALUE"""),"Céspedes Quiroz")</f>
        <v>Céspedes Quiroz</v>
      </c>
      <c r="AJ507" s="6" t="str">
        <f>IFERROR(__xludf.DUMMYFUNCTION("""COMPUTED_VALUE"""),"amparocespedes29@gmail.com")</f>
        <v>amparocespedes29@gmail.com</v>
      </c>
      <c r="AK507" s="6" t="str">
        <f>IFERROR(__xludf.DUMMYFUNCTION("""COMPUTED_VALUE"""),"ABOGADA")</f>
        <v>ABOGADA</v>
      </c>
      <c r="AL507" s="6" t="str">
        <f>IFERROR(__xludf.DUMMYFUNCTION("""COMPUTED_VALUE"""),"ABOGADA")</f>
        <v>ABOGADA</v>
      </c>
      <c r="AM507" s="12" t="str">
        <f>IFERROR(__xludf.DUMMYFUNCTION("""COMPUTED_VALUE"""),"41943243")</f>
        <v>41943243</v>
      </c>
      <c r="AN507" s="12" t="str">
        <f>IFERROR(__xludf.DUMMYFUNCTION("""COMPUTED_VALUE"""),"3046130679")</f>
        <v>3046130679</v>
      </c>
      <c r="AO507" s="6" t="str">
        <f>IFERROR(__xludf.DUMMYFUNCTION("""COMPUTED_VALUE"""),"Madre")</f>
        <v>Madre</v>
      </c>
      <c r="AP507" s="6" t="str">
        <f>IFERROR(__xludf.DUMMYFUNCTION("""COMPUTED_VALUE"""),"Estudiante(s): Bueno Céspedes")</f>
        <v>Estudiante(s): Bueno Céspedes</v>
      </c>
      <c r="AQ507" s="6" t="str">
        <f>IFERROR(__xludf.DUMMYFUNCTION("""COMPUTED_VALUE"""),"103538*Gi")</f>
        <v>103538*Gi</v>
      </c>
      <c r="AR507" s="6" t="str">
        <f>IFERROR(__xludf.DUMMYFUNCTION("""COMPUTED_VALUE"""),"Héctor")</f>
        <v>Héctor</v>
      </c>
      <c r="AS507" s="6" t="str">
        <f>IFERROR(__xludf.DUMMYFUNCTION("""COMPUTED_VALUE"""),"Ernesto")</f>
        <v>Ernesto</v>
      </c>
      <c r="AT507" s="6" t="str">
        <f>IFERROR(__xludf.DUMMYFUNCTION("""COMPUTED_VALUE"""),"Bueno Rincón")</f>
        <v>Bueno Rincón</v>
      </c>
      <c r="AU507" s="6" t="str">
        <f>IFERROR(__xludf.DUMMYFUNCTION("""COMPUTED_VALUE"""),"hectorbueno@gmail.com")</f>
        <v>hectorbueno@gmail.com</v>
      </c>
      <c r="AV507" s="6" t="str">
        <f>IFERROR(__xludf.DUMMYFUNCTION("""COMPUTED_VALUE"""),"ABOGADO")</f>
        <v>ABOGADO</v>
      </c>
      <c r="AW507" s="6" t="str">
        <f>IFERROR(__xludf.DUMMYFUNCTION("""COMPUTED_VALUE"""),"NO")</f>
        <v>NO</v>
      </c>
      <c r="AX507" s="12" t="str">
        <f>IFERROR(__xludf.DUMMYFUNCTION("""COMPUTED_VALUE"""),"9736615")</f>
        <v>9736615</v>
      </c>
      <c r="AY507" s="12" t="str">
        <f>IFERROR(__xludf.DUMMYFUNCTION("""COMPUTED_VALUE"""),"3156175561")</f>
        <v>3156175561</v>
      </c>
      <c r="AZ507" s="6" t="str">
        <f>IFERROR(__xludf.DUMMYFUNCTION("""COMPUTED_VALUE"""),"Padre")</f>
        <v>Padre</v>
      </c>
      <c r="BA507" s="6" t="str">
        <f>IFERROR(__xludf.DUMMYFUNCTION("""COMPUTED_VALUE"""),"LEIDY VIVIANA ESCARRAGA QUIROZ")</f>
        <v>LEIDY VIVIANA ESCARRAGA QUIROZ</v>
      </c>
      <c r="BB507" s="6">
        <f>IFERROR(__xludf.DUMMYFUNCTION("""COMPUTED_VALUE"""),3.016406051E9)</f>
        <v>3016406051</v>
      </c>
      <c r="BC507" s="6" t="str">
        <f>IFERROR(__xludf.DUMMYFUNCTION("""COMPUTED_VALUE"""),"Tio(a)")</f>
        <v>Tio(a)</v>
      </c>
      <c r="BD507" s="12" t="str">
        <f>IFERROR(__xludf.DUMMYFUNCTION("""COMPUTED_VALUE"""),"bue0004")</f>
        <v>bue0004</v>
      </c>
      <c r="BE507" s="6"/>
      <c r="BF507" s="6"/>
      <c r="BG507" s="6">
        <f>IFERROR(__xludf.DUMMYFUNCTION("""COMPUTED_VALUE"""),2032.0)</f>
        <v>2032</v>
      </c>
      <c r="BH507" s="15">
        <f>IFERROR(__xludf.DUMMYFUNCTION("""COMPUTED_VALUE"""),46211.38550925926)</f>
        <v>46211.38551</v>
      </c>
      <c r="BI507" s="6">
        <f>IFERROR(__xludf.DUMMYFUNCTION("""COMPUTED_VALUE"""),507.0)</f>
        <v>507</v>
      </c>
      <c r="BJ507" s="6"/>
      <c r="BK507" s="6"/>
      <c r="BL507" s="6" t="str">
        <f>IFERROR(__xludf.DUMMYFUNCTION("""COMPUTED_VALUE"""),"GISBUE0004")</f>
        <v>GISBUE0004</v>
      </c>
      <c r="BM507" s="6"/>
      <c r="BN507" s="6"/>
      <c r="BO507" s="6"/>
      <c r="BP507" s="6" t="str">
        <f>IFERROR(__xludf.DUMMYFUNCTION("""COMPUTED_VALUE"""),"XC_SEC_BandaFW")</f>
        <v>XC_SEC_BandaFW</v>
      </c>
      <c r="BQ507" s="6"/>
      <c r="BR507" s="6"/>
      <c r="BS507" s="6"/>
      <c r="BT507" s="6"/>
      <c r="BU507" s="6" t="str">
        <f>IFERROR(__xludf.DUMMYFUNCTION("""COMPUTED_VALUE"""),"SI")</f>
        <v>SI</v>
      </c>
      <c r="BV507" s="6" t="str">
        <f>IFERROR(__xludf.DUMMYFUNCTION("""COMPUTED_VALUE"""),"dominick.b2032")</f>
        <v>dominick.b2032</v>
      </c>
      <c r="BW507" s="6"/>
      <c r="BX507" s="6"/>
      <c r="BY507" s="6"/>
      <c r="BZ507" s="6"/>
    </row>
    <row r="508">
      <c r="A508" s="12">
        <f>IFERROR(__xludf.DUMMYFUNCTION("""COMPUTED_VALUE"""),1.028443087E9)</f>
        <v>1028443087</v>
      </c>
      <c r="B508" s="6">
        <f>IFERROR(__xludf.DUMMYFUNCTION("""COMPUTED_VALUE"""),10.0)</f>
        <v>10</v>
      </c>
      <c r="C508" s="6" t="str">
        <f>IFERROR(__xludf.DUMMYFUNCTION("""COMPUTED_VALUE"""),"Isabel")</f>
        <v>Isabel</v>
      </c>
      <c r="D508" s="6" t="str">
        <f>IFERROR(__xludf.DUMMYFUNCTION("""COMPUTED_VALUE"""),"Cristina")</f>
        <v>Cristina</v>
      </c>
      <c r="E508" s="6" t="str">
        <f>IFERROR(__xludf.DUMMYFUNCTION("""COMPUTED_VALUE"""),"Campuzano Cadavid")</f>
        <v>Campuzano Cadavid</v>
      </c>
      <c r="F508" s="6" t="str">
        <f>IFERROR(__xludf.DUMMYFUNCTION("""COMPUTED_VALUE"""),"Bosque Residencial Zimbabwe Casa 4 - Calle 1 No16 - 205 Km 7 Via Armenia - Pereira")</f>
        <v>Bosque Residencial Zimbabwe Casa 4 - Calle 1 No16 - 205 Km 7 Via Armenia - Pereira</v>
      </c>
      <c r="G508" s="12" t="str">
        <f>IFERROR(__xludf.DUMMYFUNCTION("""COMPUTED_VALUE"""),"2013")</f>
        <v>2013</v>
      </c>
      <c r="H508" s="6" t="str">
        <f>IFERROR(__xludf.DUMMYFUNCTION("""COMPUTED_VALUE"""),"Julio")</f>
        <v>Julio</v>
      </c>
      <c r="I508" s="12" t="str">
        <f>IFERROR(__xludf.DUMMYFUNCTION("""COMPUTED_VALUE"""),"6")</f>
        <v>6</v>
      </c>
      <c r="J508" s="6" t="str">
        <f>IFERROR(__xludf.DUMMYFUNCTION("""COMPUTED_VALUE"""),"Bogotá D.C.")</f>
        <v>Bogotá D.C.</v>
      </c>
      <c r="K508" s="6" t="str">
        <f>IFERROR(__xludf.DUMMYFUNCTION("""COMPUTED_VALUE"""),"isabel.c2032@gi.edu.co")</f>
        <v>isabel.c2032@gi.edu.co</v>
      </c>
      <c r="L508" s="6" t="str">
        <f>IFERROR(__xludf.DUMMYFUNCTION("""COMPUTED_VALUE"""),"TI")</f>
        <v>TI</v>
      </c>
      <c r="M508" s="6" t="str">
        <f>IFERROR(__xludf.DUMMYFUNCTION("""COMPUTED_VALUE"""),"Circacia")</f>
        <v>Circacia</v>
      </c>
      <c r="N508" s="6" t="str">
        <f>IFERROR(__xludf.DUMMYFUNCTION("""COMPUTED_VALUE"""),"F")</f>
        <v>F</v>
      </c>
      <c r="O508" s="6" t="str">
        <f>IFERROR(__xludf.DUMMYFUNCTION("""COMPUTED_VALUE"""),"ACTIVE")</f>
        <v>ACTIVE</v>
      </c>
      <c r="P508" s="6"/>
      <c r="Q508" s="6" t="str">
        <f>IFERROR(__xludf.DUMMYFUNCTION("""COMPUTED_VALUE"""),"Armenia")</f>
        <v>Armenia</v>
      </c>
      <c r="R508" s="12" t="str">
        <f>IFERROR(__xludf.DUMMYFUNCTION("""COMPUTED_VALUE"""),"Gibg43j82*")</f>
        <v>Gibg43j82*</v>
      </c>
      <c r="S508" s="6" t="str">
        <f>IFERROR(__xludf.DUMMYFUNCTION("""COMPUTED_VALUE"""),"Campuzano Cadavid Isabel Cristina")</f>
        <v>Campuzano Cadavid Isabel Cristina</v>
      </c>
      <c r="T508" s="6" t="str">
        <f>IFERROR(__xludf.DUMMYFUNCTION("""COMPUTED_VALUE"""),"PEDRO PABLO CAMPUZANO RAMIREZ")</f>
        <v>PEDRO PABLO CAMPUZANO RAMIREZ</v>
      </c>
      <c r="U508" s="12" t="str">
        <f>IFERROR(__xludf.DUMMYFUNCTION("""COMPUTED_VALUE"""),"80177943")</f>
        <v>80177943</v>
      </c>
      <c r="V508" s="6">
        <f>IFERROR(__xludf.DUMMYFUNCTION("""COMPUTED_VALUE"""),3.144756045E9)</f>
        <v>3144756045</v>
      </c>
      <c r="W508" s="6" t="str">
        <f>IFERROR(__xludf.DUMMYFUNCTION("""COMPUTED_VALUE"""),"gerencia@c21abundanza.com")</f>
        <v>gerencia@c21abundanza.com</v>
      </c>
      <c r="X508" s="12" t="str">
        <f>IFERROR(__xludf.DUMMYFUNCTION("""COMPUTED_VALUE"""),"A+")</f>
        <v>A+</v>
      </c>
      <c r="Y508" s="12" t="str">
        <f>IFERROR(__xludf.DUMMYFUNCTION("""COMPUTED_VALUE"""),"7")</f>
        <v>7</v>
      </c>
      <c r="Z508" s="12">
        <f>IFERROR(__xludf.DUMMYFUNCTION("""COMPUTED_VALUE"""),120230.0)</f>
        <v>120230</v>
      </c>
      <c r="AA508" s="6" t="str">
        <f>IFERROR(__xludf.DUMMYFUNCTION("""COMPUTED_VALUE"""),"SANITAS")</f>
        <v>SANITAS</v>
      </c>
      <c r="AB508" s="6"/>
      <c r="AC508" s="6"/>
      <c r="AD508" s="12" t="str">
        <f>IFERROR(__xludf.DUMMYFUNCTION("""COMPUTED_VALUE"""),"7B")</f>
        <v>7B</v>
      </c>
      <c r="AE508" s="12">
        <f>IFERROR(__xludf.DUMMYFUNCTION("""COMPUTED_VALUE"""),1.34528221E9)</f>
        <v>1345282210</v>
      </c>
      <c r="AF508" s="12" t="str">
        <f>IFERROR(__xludf.DUMMYFUNCTION("""COMPUTED_VALUE"""),"0672547747")</f>
        <v>0672547747</v>
      </c>
      <c r="AG508" s="12" t="str">
        <f>IFERROR(__xludf.DUMMYFUNCTION("""COMPUTED_VALUE"""),"Maria")</f>
        <v>Maria</v>
      </c>
      <c r="AH508" s="12" t="str">
        <f>IFERROR(__xludf.DUMMYFUNCTION("""COMPUTED_VALUE"""),"Isabel")</f>
        <v>Isabel</v>
      </c>
      <c r="AI508" s="6" t="str">
        <f>IFERROR(__xludf.DUMMYFUNCTION("""COMPUTED_VALUE"""),"Cadavid Vega")</f>
        <v>Cadavid Vega</v>
      </c>
      <c r="AJ508" s="6" t="str">
        <f>IFERROR(__xludf.DUMMYFUNCTION("""COMPUTED_VALUE"""),"maricv1@gmail.com")</f>
        <v>maricv1@gmail.com</v>
      </c>
      <c r="AK508" s="6" t="str">
        <f>IFERROR(__xludf.DUMMYFUNCTION("""COMPUTED_VALUE"""),"Negocios Internacionales")</f>
        <v>Negocios Internacionales</v>
      </c>
      <c r="AL508" s="6" t="str">
        <f>IFERROR(__xludf.DUMMYFUNCTION("""COMPUTED_VALUE"""),"Century 21 Abundanza")</f>
        <v>Century 21 Abundanza</v>
      </c>
      <c r="AM508" s="12" t="str">
        <f>IFERROR(__xludf.DUMMYFUNCTION("""COMPUTED_VALUE"""),"52985087")</f>
        <v>52985087</v>
      </c>
      <c r="AN508" s="12" t="str">
        <f>IFERROR(__xludf.DUMMYFUNCTION("""COMPUTED_VALUE"""),"3505927255")</f>
        <v>3505927255</v>
      </c>
      <c r="AO508" s="6" t="str">
        <f>IFERROR(__xludf.DUMMYFUNCTION("""COMPUTED_VALUE"""),"Madre")</f>
        <v>Madre</v>
      </c>
      <c r="AP508" s="6" t="str">
        <f>IFERROR(__xludf.DUMMYFUNCTION("""COMPUTED_VALUE"""),"Estudiante(s): Campuzano Cadavid")</f>
        <v>Estudiante(s): Campuzano Cadavid</v>
      </c>
      <c r="AQ508" s="6" t="str">
        <f>IFERROR(__xludf.DUMMYFUNCTION("""COMPUTED_VALUE"""),"120230*Gi")</f>
        <v>120230*Gi</v>
      </c>
      <c r="AR508" s="6" t="str">
        <f>IFERROR(__xludf.DUMMYFUNCTION("""COMPUTED_VALUE"""),"Pedro")</f>
        <v>Pedro</v>
      </c>
      <c r="AS508" s="6" t="str">
        <f>IFERROR(__xludf.DUMMYFUNCTION("""COMPUTED_VALUE"""),"Pablo")</f>
        <v>Pablo</v>
      </c>
      <c r="AT508" s="6" t="str">
        <f>IFERROR(__xludf.DUMMYFUNCTION("""COMPUTED_VALUE"""),"Campuzano Ramírez")</f>
        <v>Campuzano Ramírez</v>
      </c>
      <c r="AU508" s="6" t="str">
        <f>IFERROR(__xludf.DUMMYFUNCTION("""COMPUTED_VALUE"""),"gerencia@c21abundanza.com")</f>
        <v>gerencia@c21abundanza.com</v>
      </c>
      <c r="AV508" s="6" t="str">
        <f>IFERROR(__xludf.DUMMYFUNCTION("""COMPUTED_VALUE"""),"Negocios Internacionales")</f>
        <v>Negocios Internacionales</v>
      </c>
      <c r="AW508" s="6" t="str">
        <f>IFERROR(__xludf.DUMMYFUNCTION("""COMPUTED_VALUE"""),"Century 21 Abundanza")</f>
        <v>Century 21 Abundanza</v>
      </c>
      <c r="AX508" s="12" t="str">
        <f>IFERROR(__xludf.DUMMYFUNCTION("""COMPUTED_VALUE"""),"80177943")</f>
        <v>80177943</v>
      </c>
      <c r="AY508" s="12" t="str">
        <f>IFERROR(__xludf.DUMMYFUNCTION("""COMPUTED_VALUE"""),"3144756045")</f>
        <v>3144756045</v>
      </c>
      <c r="AZ508" s="6" t="str">
        <f>IFERROR(__xludf.DUMMYFUNCTION("""COMPUTED_VALUE"""),"Padre")</f>
        <v>Padre</v>
      </c>
      <c r="BA508" s="6"/>
      <c r="BB508" s="6"/>
      <c r="BC508" s="6"/>
      <c r="BD508" s="12" t="str">
        <f>IFERROR(__xludf.DUMMYFUNCTION("""COMPUTED_VALUE"""),"cam0002")</f>
        <v>cam0002</v>
      </c>
      <c r="BE508" s="6"/>
      <c r="BF508" s="6"/>
      <c r="BG508" s="6">
        <f>IFERROR(__xludf.DUMMYFUNCTION("""COMPUTED_VALUE"""),2032.0)</f>
        <v>2032</v>
      </c>
      <c r="BH508" s="15">
        <f>IFERROR(__xludf.DUMMYFUNCTION("""COMPUTED_VALUE"""),46209.50641203704)</f>
        <v>46209.50641</v>
      </c>
      <c r="BI508" s="6">
        <f>IFERROR(__xludf.DUMMYFUNCTION("""COMPUTED_VALUE"""),508.0)</f>
        <v>508</v>
      </c>
      <c r="BJ508" s="6"/>
      <c r="BK508" s="6"/>
      <c r="BL508" s="6" t="str">
        <f>IFERROR(__xludf.DUMMYFUNCTION("""COMPUTED_VALUE"""),"GISCAM0002")</f>
        <v>GISCAM0002</v>
      </c>
      <c r="BM508" s="6"/>
      <c r="BN508" s="6"/>
      <c r="BO508" s="6"/>
      <c r="BP508" s="6"/>
      <c r="BQ508" s="6"/>
      <c r="BR508" s="6"/>
      <c r="BS508" s="6"/>
      <c r="BT508" s="6"/>
      <c r="BU508" s="6" t="str">
        <f>IFERROR(__xludf.DUMMYFUNCTION("""COMPUTED_VALUE"""),"NO")</f>
        <v>NO</v>
      </c>
      <c r="BV508" s="6" t="str">
        <f>IFERROR(__xludf.DUMMYFUNCTION("""COMPUTED_VALUE"""),"isabel.c2032")</f>
        <v>isabel.c2032</v>
      </c>
      <c r="BW508" s="6"/>
      <c r="BX508" s="6"/>
      <c r="BY508" s="6"/>
      <c r="BZ508" s="6"/>
    </row>
    <row r="509">
      <c r="A509" s="12">
        <f>IFERROR(__xludf.DUMMYFUNCTION("""COMPUTED_VALUE"""),1.092857372E9)</f>
        <v>1092857372</v>
      </c>
      <c r="B509" s="6">
        <f>IFERROR(__xludf.DUMMYFUNCTION("""COMPUTED_VALUE"""),11.0)</f>
        <v>11</v>
      </c>
      <c r="C509" s="6" t="str">
        <f>IFERROR(__xludf.DUMMYFUNCTION("""COMPUTED_VALUE"""),"Tomás")</f>
        <v>Tomás</v>
      </c>
      <c r="D509" s="6"/>
      <c r="E509" s="6" t="str">
        <f>IFERROR(__xludf.DUMMYFUNCTION("""COMPUTED_VALUE"""),"Castañeda Londoño")</f>
        <v>Castañeda Londoño</v>
      </c>
      <c r="F509" s="6" t="str">
        <f>IFERROR(__xludf.DUMMYFUNCTION("""COMPUTED_VALUE"""),"Condominio Villa Marina Casa 15 - Km 7 Via Armenia Pereira ")</f>
        <v>Condominio Villa Marina Casa 15 - Km 7 Via Armenia Pereira </v>
      </c>
      <c r="G509" s="12" t="str">
        <f>IFERROR(__xludf.DUMMYFUNCTION("""COMPUTED_VALUE"""),"2013")</f>
        <v>2013</v>
      </c>
      <c r="H509" s="6" t="str">
        <f>IFERROR(__xludf.DUMMYFUNCTION("""COMPUTED_VALUE"""),"Diciembre")</f>
        <v>Diciembre</v>
      </c>
      <c r="I509" s="12" t="str">
        <f>IFERROR(__xludf.DUMMYFUNCTION("""COMPUTED_VALUE"""),"30")</f>
        <v>30</v>
      </c>
      <c r="J509" s="6" t="str">
        <f>IFERROR(__xludf.DUMMYFUNCTION("""COMPUTED_VALUE"""),"Armenia")</f>
        <v>Armenia</v>
      </c>
      <c r="K509" s="6" t="str">
        <f>IFERROR(__xludf.DUMMYFUNCTION("""COMPUTED_VALUE"""),"tomas.c2032@gi.edu.co")</f>
        <v>tomas.c2032@gi.edu.co</v>
      </c>
      <c r="L509" s="6" t="str">
        <f>IFERROR(__xludf.DUMMYFUNCTION("""COMPUTED_VALUE"""),"TI")</f>
        <v>TI</v>
      </c>
      <c r="M509" s="6" t="str">
        <f>IFERROR(__xludf.DUMMYFUNCTION("""COMPUTED_VALUE"""),"Armenia")</f>
        <v>Armenia</v>
      </c>
      <c r="N509" s="6" t="str">
        <f>IFERROR(__xludf.DUMMYFUNCTION("""COMPUTED_VALUE"""),"M")</f>
        <v>M</v>
      </c>
      <c r="O509" s="6" t="str">
        <f>IFERROR(__xludf.DUMMYFUNCTION("""COMPUTED_VALUE"""),"ACTIVE")</f>
        <v>ACTIVE</v>
      </c>
      <c r="P509" s="6"/>
      <c r="Q509" s="6" t="str">
        <f>IFERROR(__xludf.DUMMYFUNCTION("""COMPUTED_VALUE"""),"Armenia")</f>
        <v>Armenia</v>
      </c>
      <c r="R509" s="12" t="str">
        <f>IFERROR(__xludf.DUMMYFUNCTION("""COMPUTED_VALUE"""),"Gi5laksdn4*")</f>
        <v>Gi5laksdn4*</v>
      </c>
      <c r="S509" s="6" t="str">
        <f>IFERROR(__xludf.DUMMYFUNCTION("""COMPUTED_VALUE"""),"Castañeda Londoño Tomás ")</f>
        <v>Castañeda Londoño Tomás </v>
      </c>
      <c r="T509" s="6" t="str">
        <f>IFERROR(__xludf.DUMMYFUNCTION("""COMPUTED_VALUE"""),"JULIÁN ANDRÉS CASTAÑEDA JIMÉNEZ")</f>
        <v>JULIÁN ANDRÉS CASTAÑEDA JIMÉNEZ</v>
      </c>
      <c r="U509" s="12" t="str">
        <f>IFERROR(__xludf.DUMMYFUNCTION("""COMPUTED_VALUE"""),"9734578")</f>
        <v>9734578</v>
      </c>
      <c r="V509" s="6">
        <f>IFERROR(__xludf.DUMMYFUNCTION("""COMPUTED_VALUE"""),3.11300416E9)</f>
        <v>3113004160</v>
      </c>
      <c r="W509" s="6" t="str">
        <f>IFERROR(__xludf.DUMMYFUNCTION("""COMPUTED_VALUE"""),"planta_fisica@gi.edu.co")</f>
        <v>planta_fisica@gi.edu.co</v>
      </c>
      <c r="X509" s="12" t="str">
        <f>IFERROR(__xludf.DUMMYFUNCTION("""COMPUTED_VALUE"""),"A+")</f>
        <v>A+</v>
      </c>
      <c r="Y509" s="12" t="str">
        <f>IFERROR(__xludf.DUMMYFUNCTION("""COMPUTED_VALUE"""),"7")</f>
        <v>7</v>
      </c>
      <c r="Z509" s="12">
        <f>IFERROR(__xludf.DUMMYFUNCTION("""COMPUTED_VALUE"""),103391.0)</f>
        <v>103391</v>
      </c>
      <c r="AA509" s="6" t="str">
        <f>IFERROR(__xludf.DUMMYFUNCTION("""COMPUTED_VALUE"""),"SANITAS")</f>
        <v>SANITAS</v>
      </c>
      <c r="AB509" s="6" t="str">
        <f>IFERROR(__xludf.DUMMYFUNCTION("""COMPUTED_VALUE"""),"EMI")</f>
        <v>EMI</v>
      </c>
      <c r="AC509" s="12" t="str">
        <f>IFERROR(__xludf.DUMMYFUNCTION("""COMPUTED_VALUE"""),"asma hidrocodeina")</f>
        <v>asma hidrocodeina</v>
      </c>
      <c r="AD509" s="12" t="str">
        <f>IFERROR(__xludf.DUMMYFUNCTION("""COMPUTED_VALUE"""),"7A")</f>
        <v>7A</v>
      </c>
      <c r="AE509" s="12">
        <f>IFERROR(__xludf.DUMMYFUNCTION("""COMPUTED_VALUE"""),1.345281655E9)</f>
        <v>1345281655</v>
      </c>
      <c r="AF509" s="12" t="str">
        <f>IFERROR(__xludf.DUMMYFUNCTION("""COMPUTED_VALUE"""),"0691229203")</f>
        <v>0691229203</v>
      </c>
      <c r="AG509" s="12" t="str">
        <f>IFERROR(__xludf.DUMMYFUNCTION("""COMPUTED_VALUE"""),"Paula")</f>
        <v>Paula</v>
      </c>
      <c r="AH509" s="12" t="str">
        <f>IFERROR(__xludf.DUMMYFUNCTION("""COMPUTED_VALUE"""),"Andrea")</f>
        <v>Andrea</v>
      </c>
      <c r="AI509" s="6" t="str">
        <f>IFERROR(__xludf.DUMMYFUNCTION("""COMPUTED_VALUE"""),"Londoño Romero")</f>
        <v>Londoño Romero</v>
      </c>
      <c r="AJ509" s="6"/>
      <c r="AK509" s="6"/>
      <c r="AL509" s="6"/>
      <c r="AM509" s="12" t="str">
        <f>IFERROR(__xludf.DUMMYFUNCTION("""COMPUTED_VALUE"""),"41938242")</f>
        <v>41938242</v>
      </c>
      <c r="AN509" s="6"/>
      <c r="AO509" s="6" t="str">
        <f>IFERROR(__xludf.DUMMYFUNCTION("""COMPUTED_VALUE"""),"Madre")</f>
        <v>Madre</v>
      </c>
      <c r="AP509" s="6" t="str">
        <f>IFERROR(__xludf.DUMMYFUNCTION("""COMPUTED_VALUE"""),"Estudiante(s): Castañeda Londoño")</f>
        <v>Estudiante(s): Castañeda Londoño</v>
      </c>
      <c r="AQ509" s="6" t="str">
        <f>IFERROR(__xludf.DUMMYFUNCTION("""COMPUTED_VALUE"""),"103391*Gi")</f>
        <v>103391*Gi</v>
      </c>
      <c r="AR509" s="6" t="str">
        <f>IFERROR(__xludf.DUMMYFUNCTION("""COMPUTED_VALUE"""),"Julián")</f>
        <v>Julián</v>
      </c>
      <c r="AS509" s="6" t="str">
        <f>IFERROR(__xludf.DUMMYFUNCTION("""COMPUTED_VALUE"""),"Andrés")</f>
        <v>Andrés</v>
      </c>
      <c r="AT509" s="6" t="str">
        <f>IFERROR(__xludf.DUMMYFUNCTION("""COMPUTED_VALUE"""),"Castañeda Jiménez")</f>
        <v>Castañeda Jiménez</v>
      </c>
      <c r="AU509" s="6" t="str">
        <f>IFERROR(__xludf.DUMMYFUNCTION("""COMPUTED_VALUE"""),"planta_fisica@gi.edu.co")</f>
        <v>planta_fisica@gi.edu.co</v>
      </c>
      <c r="AV509" s="6" t="str">
        <f>IFERROR(__xludf.DUMMYFUNCTION("""COMPUTED_VALUE"""),"publicista")</f>
        <v>publicista</v>
      </c>
      <c r="AW509" s="6" t="str">
        <f>IFERROR(__xludf.DUMMYFUNCTION("""COMPUTED_VALUE"""),"GI School")</f>
        <v>GI School</v>
      </c>
      <c r="AX509" s="12" t="str">
        <f>IFERROR(__xludf.DUMMYFUNCTION("""COMPUTED_VALUE"""),"9734578")</f>
        <v>9734578</v>
      </c>
      <c r="AY509" s="12" t="str">
        <f>IFERROR(__xludf.DUMMYFUNCTION("""COMPUTED_VALUE"""),"3113004160")</f>
        <v>3113004160</v>
      </c>
      <c r="AZ509" s="6" t="str">
        <f>IFERROR(__xludf.DUMMYFUNCTION("""COMPUTED_VALUE"""),"Padre")</f>
        <v>Padre</v>
      </c>
      <c r="BA509" s="6" t="str">
        <f>IFERROR(__xludf.DUMMYFUNCTION("""COMPUTED_VALUE"""),"GLORIA PATRICIA RODRIGUEZ GIRALDO")</f>
        <v>GLORIA PATRICIA RODRIGUEZ GIRALDO</v>
      </c>
      <c r="BB509" s="6">
        <f>IFERROR(__xludf.DUMMYFUNCTION("""COMPUTED_VALUE"""),3.113498704E9)</f>
        <v>3113498704</v>
      </c>
      <c r="BC509" s="6" t="str">
        <f>IFERROR(__xludf.DUMMYFUNCTION("""COMPUTED_VALUE"""),"Abuelo(a)")</f>
        <v>Abuelo(a)</v>
      </c>
      <c r="BD509" s="12" t="str">
        <f>IFERROR(__xludf.DUMMYFUNCTION("""COMPUTED_VALUE"""),"cas0001")</f>
        <v>cas0001</v>
      </c>
      <c r="BE509" s="6"/>
      <c r="BF509" s="6"/>
      <c r="BG509" s="6">
        <f>IFERROR(__xludf.DUMMYFUNCTION("""COMPUTED_VALUE"""),2032.0)</f>
        <v>2032</v>
      </c>
      <c r="BH509" s="15">
        <f>IFERROR(__xludf.DUMMYFUNCTION("""COMPUTED_VALUE"""),46206.42018518518)</f>
        <v>46206.42019</v>
      </c>
      <c r="BI509" s="6">
        <f>IFERROR(__xludf.DUMMYFUNCTION("""COMPUTED_VALUE"""),509.0)</f>
        <v>509</v>
      </c>
      <c r="BJ509" s="6" t="str">
        <f>IFERROR(__xludf.DUMMYFUNCTION("""COMPUTED_VALUE"""),"DANE: Perturbación de la atención
SIMAT: Trastorno de la atención")</f>
        <v>DANE: Perturbación de la atención
SIMAT: Trastorno de la atención</v>
      </c>
      <c r="BK509" s="6"/>
      <c r="BL509" s="6" t="str">
        <f>IFERROR(__xludf.DUMMYFUNCTION("""COMPUTED_VALUE"""),"GISCAS0001")</f>
        <v>GISCAS0001</v>
      </c>
      <c r="BM509" s="6"/>
      <c r="BN509" s="6"/>
      <c r="BO509" s="6"/>
      <c r="BP509" s="6"/>
      <c r="BQ509" s="6"/>
      <c r="BR509" s="6"/>
      <c r="BS509" s="6"/>
      <c r="BT509" s="6"/>
      <c r="BU509" s="6" t="str">
        <f>IFERROR(__xludf.DUMMYFUNCTION("""COMPUTED_VALUE"""),"SI")</f>
        <v>SI</v>
      </c>
      <c r="BV509" s="6" t="str">
        <f>IFERROR(__xludf.DUMMYFUNCTION("""COMPUTED_VALUE"""),"tomas.c2032")</f>
        <v>tomas.c2032</v>
      </c>
      <c r="BW509" s="6"/>
      <c r="BX509" s="6"/>
      <c r="BY509" s="6"/>
      <c r="BZ509" s="6"/>
    </row>
    <row r="510">
      <c r="A510" s="12">
        <f>IFERROR(__xludf.DUMMYFUNCTION("""COMPUTED_VALUE"""),1.092857621E9)</f>
        <v>1092857621</v>
      </c>
      <c r="B510" s="6">
        <f>IFERROR(__xludf.DUMMYFUNCTION("""COMPUTED_VALUE"""),12.0)</f>
        <v>12</v>
      </c>
      <c r="C510" s="6" t="str">
        <f>IFERROR(__xludf.DUMMYFUNCTION("""COMPUTED_VALUE"""),"Elisa")</f>
        <v>Elisa</v>
      </c>
      <c r="D510" s="6"/>
      <c r="E510" s="6" t="str">
        <f>IFERROR(__xludf.DUMMYFUNCTION("""COMPUTED_VALUE"""),"Castaño Ospina")</f>
        <v>Castaño Ospina</v>
      </c>
      <c r="F510" s="6" t="str">
        <f>IFERROR(__xludf.DUMMYFUNCTION("""COMPUTED_VALUE"""),"Cra 19 No36Nte - 30 Apto A1003")</f>
        <v>Cra 19 No36Nte - 30 Apto A1003</v>
      </c>
      <c r="G510" s="12" t="str">
        <f>IFERROR(__xludf.DUMMYFUNCTION("""COMPUTED_VALUE"""),"2014")</f>
        <v>2014</v>
      </c>
      <c r="H510" s="6" t="str">
        <f>IFERROR(__xludf.DUMMYFUNCTION("""COMPUTED_VALUE"""),"Marzo")</f>
        <v>Marzo</v>
      </c>
      <c r="I510" s="12" t="str">
        <f>IFERROR(__xludf.DUMMYFUNCTION("""COMPUTED_VALUE"""),"29")</f>
        <v>29</v>
      </c>
      <c r="J510" s="6" t="str">
        <f>IFERROR(__xludf.DUMMYFUNCTION("""COMPUTED_VALUE"""),"Armenia")</f>
        <v>Armenia</v>
      </c>
      <c r="K510" s="6" t="str">
        <f>IFERROR(__xludf.DUMMYFUNCTION("""COMPUTED_VALUE"""),"elisa.c2032@gi.edu.co")</f>
        <v>elisa.c2032@gi.edu.co</v>
      </c>
      <c r="L510" s="6" t="str">
        <f>IFERROR(__xludf.DUMMYFUNCTION("""COMPUTED_VALUE"""),"TI")</f>
        <v>TI</v>
      </c>
      <c r="M510" s="6" t="str">
        <f>IFERROR(__xludf.DUMMYFUNCTION("""COMPUTED_VALUE"""),"Armenia")</f>
        <v>Armenia</v>
      </c>
      <c r="N510" s="6" t="str">
        <f>IFERROR(__xludf.DUMMYFUNCTION("""COMPUTED_VALUE"""),"F")</f>
        <v>F</v>
      </c>
      <c r="O510" s="6" t="str">
        <f>IFERROR(__xludf.DUMMYFUNCTION("""COMPUTED_VALUE"""),"ACTIVE")</f>
        <v>ACTIVE</v>
      </c>
      <c r="P510" s="6"/>
      <c r="Q510" s="6" t="str">
        <f>IFERROR(__xludf.DUMMYFUNCTION("""COMPUTED_VALUE"""),"Armenia")</f>
        <v>Armenia</v>
      </c>
      <c r="R510" s="12" t="str">
        <f>IFERROR(__xludf.DUMMYFUNCTION("""COMPUTED_VALUE"""),"Gijhfdgj23*")</f>
        <v>Gijhfdgj23*</v>
      </c>
      <c r="S510" s="6" t="str">
        <f>IFERROR(__xludf.DUMMYFUNCTION("""COMPUTED_VALUE"""),"Castaño Ospina Elisa ")</f>
        <v>Castaño Ospina Elisa </v>
      </c>
      <c r="T510" s="6" t="str">
        <f>IFERROR(__xludf.DUMMYFUNCTION("""COMPUTED_VALUE"""),"CHRISTIAN CASTAÑO CARDONA")</f>
        <v>CHRISTIAN CASTAÑO CARDONA</v>
      </c>
      <c r="U510" s="12" t="str">
        <f>IFERROR(__xludf.DUMMYFUNCTION("""COMPUTED_VALUE"""),"80198679")</f>
        <v>80198679</v>
      </c>
      <c r="V510" s="6">
        <f>IFERROR(__xludf.DUMMYFUNCTION("""COMPUTED_VALUE"""),3.226843179E9)</f>
        <v>3226843179</v>
      </c>
      <c r="W510" s="6" t="str">
        <f>IFERROR(__xludf.DUMMYFUNCTION("""COMPUTED_VALUE"""),"juvian@me.com")</f>
        <v>juvian@me.com</v>
      </c>
      <c r="X510" s="12" t="str">
        <f>IFERROR(__xludf.DUMMYFUNCTION("""COMPUTED_VALUE"""),"A+")</f>
        <v>A+</v>
      </c>
      <c r="Y510" s="12" t="str">
        <f>IFERROR(__xludf.DUMMYFUNCTION("""COMPUTED_VALUE"""),"7")</f>
        <v>7</v>
      </c>
      <c r="Z510" s="12">
        <f>IFERROR(__xludf.DUMMYFUNCTION("""COMPUTED_VALUE"""),103749.0)</f>
        <v>103749</v>
      </c>
      <c r="AA510" s="6" t="str">
        <f>IFERROR(__xludf.DUMMYFUNCTION("""COMPUTED_VALUE"""),"SURA")</f>
        <v>SURA</v>
      </c>
      <c r="AB510" s="6"/>
      <c r="AC510" s="12" t="str">
        <f>IFERROR(__xludf.DUMMYFUNCTION("""COMPUTED_VALUE"""),"Kiwi")</f>
        <v>Kiwi</v>
      </c>
      <c r="AD510" s="12" t="str">
        <f>IFERROR(__xludf.DUMMYFUNCTION("""COMPUTED_VALUE"""),"7A")</f>
        <v>7A</v>
      </c>
      <c r="AE510" s="12">
        <f>IFERROR(__xludf.DUMMYFUNCTION("""COMPUTED_VALUE"""),1.34528187E9)</f>
        <v>1345281870</v>
      </c>
      <c r="AF510" s="12" t="str">
        <f>IFERROR(__xludf.DUMMYFUNCTION("""COMPUTED_VALUE"""),"0675832115")</f>
        <v>0675832115</v>
      </c>
      <c r="AG510" s="12" t="str">
        <f>IFERROR(__xludf.DUMMYFUNCTION("""COMPUTED_VALUE"""),"Natalia")</f>
        <v>Natalia</v>
      </c>
      <c r="AH510" s="6"/>
      <c r="AI510" s="6" t="str">
        <f>IFERROR(__xludf.DUMMYFUNCTION("""COMPUTED_VALUE"""),"Ospina Duque")</f>
        <v>Ospina Duque</v>
      </c>
      <c r="AJ510" s="6" t="str">
        <f>IFERROR(__xludf.DUMMYFUNCTION("""COMPUTED_VALUE"""),"nataosdu@icloud.com")</f>
        <v>nataosdu@icloud.com</v>
      </c>
      <c r="AK510" s="6" t="str">
        <f>IFERROR(__xludf.DUMMYFUNCTION("""COMPUTED_VALUE"""),"Comunicadora Social y Periodista")</f>
        <v>Comunicadora Social y Periodista</v>
      </c>
      <c r="AL510" s="6" t="str">
        <f>IFERROR(__xludf.DUMMYFUNCTION("""COMPUTED_VALUE"""),"OMGRD Armenia")</f>
        <v>OMGRD Armenia</v>
      </c>
      <c r="AM510" s="12" t="str">
        <f>IFERROR(__xludf.DUMMYFUNCTION("""COMPUTED_VALUE"""),"41959149")</f>
        <v>41959149</v>
      </c>
      <c r="AN510" s="12" t="str">
        <f>IFERROR(__xludf.DUMMYFUNCTION("""COMPUTED_VALUE"""),"3185232419‬")</f>
        <v>3185232419‬</v>
      </c>
      <c r="AO510" s="6" t="str">
        <f>IFERROR(__xludf.DUMMYFUNCTION("""COMPUTED_VALUE"""),"Madre")</f>
        <v>Madre</v>
      </c>
      <c r="AP510" s="6" t="str">
        <f>IFERROR(__xludf.DUMMYFUNCTION("""COMPUTED_VALUE"""),"Estudiante(s): Castaño Ospina")</f>
        <v>Estudiante(s): Castaño Ospina</v>
      </c>
      <c r="AQ510" s="6" t="str">
        <f>IFERROR(__xludf.DUMMYFUNCTION("""COMPUTED_VALUE"""),"103749*Gi")</f>
        <v>103749*Gi</v>
      </c>
      <c r="AR510" s="6" t="str">
        <f>IFERROR(__xludf.DUMMYFUNCTION("""COMPUTED_VALUE"""),"Christian")</f>
        <v>Christian</v>
      </c>
      <c r="AS510" s="6"/>
      <c r="AT510" s="6" t="str">
        <f>IFERROR(__xludf.DUMMYFUNCTION("""COMPUTED_VALUE"""),"Castaño Cardona")</f>
        <v>Castaño Cardona</v>
      </c>
      <c r="AU510" s="6" t="str">
        <f>IFERROR(__xludf.DUMMYFUNCTION("""COMPUTED_VALUE"""),"juvian@me.com")</f>
        <v>juvian@me.com</v>
      </c>
      <c r="AV510" s="6" t="str">
        <f>IFERROR(__xludf.DUMMYFUNCTION("""COMPUTED_VALUE"""),"Diseñador Grafico")</f>
        <v>Diseñador Grafico</v>
      </c>
      <c r="AW510" s="6" t="str">
        <f>IFERROR(__xludf.DUMMYFUNCTION("""COMPUTED_VALUE"""),"MILLENIUM GROUP")</f>
        <v>MILLENIUM GROUP</v>
      </c>
      <c r="AX510" s="12" t="str">
        <f>IFERROR(__xludf.DUMMYFUNCTION("""COMPUTED_VALUE"""),"80198679")</f>
        <v>80198679</v>
      </c>
      <c r="AY510" s="12" t="str">
        <f>IFERROR(__xludf.DUMMYFUNCTION("""COMPUTED_VALUE"""),"3226843179")</f>
        <v>3226843179</v>
      </c>
      <c r="AZ510" s="6" t="str">
        <f>IFERROR(__xludf.DUMMYFUNCTION("""COMPUTED_VALUE"""),"Padre")</f>
        <v>Padre</v>
      </c>
      <c r="BA510" s="6"/>
      <c r="BB510" s="6"/>
      <c r="BC510" s="6"/>
      <c r="BD510" s="12" t="str">
        <f>IFERROR(__xludf.DUMMYFUNCTION("""COMPUTED_VALUE"""),"cas0015")</f>
        <v>cas0015</v>
      </c>
      <c r="BE510" s="6"/>
      <c r="BF510" s="6"/>
      <c r="BG510" s="6">
        <f>IFERROR(__xludf.DUMMYFUNCTION("""COMPUTED_VALUE"""),2032.0)</f>
        <v>2032</v>
      </c>
      <c r="BH510" s="15">
        <f>IFERROR(__xludf.DUMMYFUNCTION("""COMPUTED_VALUE"""),46211.61230324074)</f>
        <v>46211.6123</v>
      </c>
      <c r="BI510" s="6">
        <f>IFERROR(__xludf.DUMMYFUNCTION("""COMPUTED_VALUE"""),510.0)</f>
        <v>510</v>
      </c>
      <c r="BJ510" s="6"/>
      <c r="BK510" s="6"/>
      <c r="BL510" s="6" t="str">
        <f>IFERROR(__xludf.DUMMYFUNCTION("""COMPUTED_VALUE"""),"GISCAS0015")</f>
        <v>GISCAS0015</v>
      </c>
      <c r="BM510" s="6"/>
      <c r="BN510" s="6"/>
      <c r="BO510" s="6"/>
      <c r="BP510" s="6"/>
      <c r="BQ510" s="6"/>
      <c r="BR510" s="6" t="str">
        <f>IFERROR(__xludf.DUMMYFUNCTION("""COMPUTED_VALUE"""),"XC_SEC_ArtesPlasticas")</f>
        <v>XC_SEC_ArtesPlasticas</v>
      </c>
      <c r="BS510" s="6"/>
      <c r="BT510" s="6"/>
      <c r="BU510" s="6" t="str">
        <f>IFERROR(__xludf.DUMMYFUNCTION("""COMPUTED_VALUE"""),"SI")</f>
        <v>SI</v>
      </c>
      <c r="BV510" s="6" t="str">
        <f>IFERROR(__xludf.DUMMYFUNCTION("""COMPUTED_VALUE"""),"elisa.c2032")</f>
        <v>elisa.c2032</v>
      </c>
      <c r="BW510" s="6"/>
      <c r="BX510" s="6"/>
      <c r="BY510" s="6"/>
      <c r="BZ510" s="6"/>
    </row>
    <row r="511">
      <c r="A511" s="12">
        <f>IFERROR(__xludf.DUMMYFUNCTION("""COMPUTED_VALUE"""),1.092857268E9)</f>
        <v>1092857268</v>
      </c>
      <c r="B511" s="6">
        <f>IFERROR(__xludf.DUMMYFUNCTION("""COMPUTED_VALUE"""),13.0)</f>
        <v>13</v>
      </c>
      <c r="C511" s="6" t="str">
        <f>IFERROR(__xludf.DUMMYFUNCTION("""COMPUTED_VALUE"""),"Valentina")</f>
        <v>Valentina</v>
      </c>
      <c r="D511" s="6"/>
      <c r="E511" s="6" t="str">
        <f>IFERROR(__xludf.DUMMYFUNCTION("""COMPUTED_VALUE"""),"Diago Aguirre")</f>
        <v>Diago Aguirre</v>
      </c>
      <c r="F511" s="6" t="str">
        <f>IFERROR(__xludf.DUMMYFUNCTION("""COMPUTED_VALUE"""),"Palmas de Cera Apto 804 - Cra 12 No 12Nte - 36 La Castellana")</f>
        <v>Palmas de Cera Apto 804 - Cra 12 No 12Nte - 36 La Castellana</v>
      </c>
      <c r="G511" s="12" t="str">
        <f>IFERROR(__xludf.DUMMYFUNCTION("""COMPUTED_VALUE"""),"2013")</f>
        <v>2013</v>
      </c>
      <c r="H511" s="6" t="str">
        <f>IFERROR(__xludf.DUMMYFUNCTION("""COMPUTED_VALUE"""),"Noviembre")</f>
        <v>Noviembre</v>
      </c>
      <c r="I511" s="12" t="str">
        <f>IFERROR(__xludf.DUMMYFUNCTION("""COMPUTED_VALUE"""),"15")</f>
        <v>15</v>
      </c>
      <c r="J511" s="6" t="str">
        <f>IFERROR(__xludf.DUMMYFUNCTION("""COMPUTED_VALUE"""),"Armenia")</f>
        <v>Armenia</v>
      </c>
      <c r="K511" s="6" t="str">
        <f>IFERROR(__xludf.DUMMYFUNCTION("""COMPUTED_VALUE"""),"valentina.d2032@gi.edu.co")</f>
        <v>valentina.d2032@gi.edu.co</v>
      </c>
      <c r="L511" s="6" t="str">
        <f>IFERROR(__xludf.DUMMYFUNCTION("""COMPUTED_VALUE"""),"TI")</f>
        <v>TI</v>
      </c>
      <c r="M511" s="6" t="str">
        <f>IFERROR(__xludf.DUMMYFUNCTION("""COMPUTED_VALUE"""),"Armenia")</f>
        <v>Armenia</v>
      </c>
      <c r="N511" s="6" t="str">
        <f>IFERROR(__xludf.DUMMYFUNCTION("""COMPUTED_VALUE"""),"F")</f>
        <v>F</v>
      </c>
      <c r="O511" s="6" t="str">
        <f>IFERROR(__xludf.DUMMYFUNCTION("""COMPUTED_VALUE"""),"ACTIVE")</f>
        <v>ACTIVE</v>
      </c>
      <c r="P511" s="6"/>
      <c r="Q511" s="6" t="str">
        <f>IFERROR(__xludf.DUMMYFUNCTION("""COMPUTED_VALUE"""),"Armenia")</f>
        <v>Armenia</v>
      </c>
      <c r="R511" s="12" t="str">
        <f>IFERROR(__xludf.DUMMYFUNCTION("""COMPUTED_VALUE"""),"Gicm836alf*")</f>
        <v>Gicm836alf*</v>
      </c>
      <c r="S511" s="6" t="str">
        <f>IFERROR(__xludf.DUMMYFUNCTION("""COMPUTED_VALUE"""),"Diago Aguirre Valentina ")</f>
        <v>Diago Aguirre Valentina </v>
      </c>
      <c r="T511" s="6" t="str">
        <f>IFERROR(__xludf.DUMMYFUNCTION("""COMPUTED_VALUE"""),"KAREN VIVIANA AGUIRRE CALDERON")</f>
        <v>KAREN VIVIANA AGUIRRE CALDERON</v>
      </c>
      <c r="U511" s="12" t="str">
        <f>IFERROR(__xludf.DUMMYFUNCTION("""COMPUTED_VALUE"""),"59312342")</f>
        <v>59312342</v>
      </c>
      <c r="V511" s="6">
        <f>IFERROR(__xludf.DUMMYFUNCTION("""COMPUTED_VALUE"""),3.102098596E9)</f>
        <v>3102098596</v>
      </c>
      <c r="W511" s="6" t="str">
        <f>IFERROR(__xludf.DUMMYFUNCTION("""COMPUTED_VALUE"""),"kvac84@hotmail.com")</f>
        <v>kvac84@hotmail.com</v>
      </c>
      <c r="X511" s="12" t="str">
        <f>IFERROR(__xludf.DUMMYFUNCTION("""COMPUTED_VALUE"""),"A+")</f>
        <v>A+</v>
      </c>
      <c r="Y511" s="12" t="str">
        <f>IFERROR(__xludf.DUMMYFUNCTION("""COMPUTED_VALUE"""),"7")</f>
        <v>7</v>
      </c>
      <c r="Z511" s="12">
        <f>IFERROR(__xludf.DUMMYFUNCTION("""COMPUTED_VALUE"""),103495.0)</f>
        <v>103495</v>
      </c>
      <c r="AA511" s="6" t="str">
        <f>IFERROR(__xludf.DUMMYFUNCTION("""COMPUTED_VALUE"""),"SURA")</f>
        <v>SURA</v>
      </c>
      <c r="AB511" s="6" t="str">
        <f>IFERROR(__xludf.DUMMYFUNCTION("""COMPUTED_VALUE"""),"EMI")</f>
        <v>EMI</v>
      </c>
      <c r="AC511" s="6"/>
      <c r="AD511" s="12" t="str">
        <f>IFERROR(__xludf.DUMMYFUNCTION("""COMPUTED_VALUE"""),"7B")</f>
        <v>7B</v>
      </c>
      <c r="AE511" s="12">
        <f>IFERROR(__xludf.DUMMYFUNCTION("""COMPUTED_VALUE"""),1.34528172E9)</f>
        <v>1345281720</v>
      </c>
      <c r="AF511" s="12" t="str">
        <f>IFERROR(__xludf.DUMMYFUNCTION("""COMPUTED_VALUE"""),"0690844915")</f>
        <v>0690844915</v>
      </c>
      <c r="AG511" s="12" t="str">
        <f>IFERROR(__xludf.DUMMYFUNCTION("""COMPUTED_VALUE"""),"Karen")</f>
        <v>Karen</v>
      </c>
      <c r="AH511" s="12" t="str">
        <f>IFERROR(__xludf.DUMMYFUNCTION("""COMPUTED_VALUE"""),"Viviana")</f>
        <v>Viviana</v>
      </c>
      <c r="AI511" s="6" t="str">
        <f>IFERROR(__xludf.DUMMYFUNCTION("""COMPUTED_VALUE"""),"Aguirre Calderón")</f>
        <v>Aguirre Calderón</v>
      </c>
      <c r="AJ511" s="6" t="str">
        <f>IFERROR(__xludf.DUMMYFUNCTION("""COMPUTED_VALUE"""),"kaguirrec84@gmail.com")</f>
        <v>kaguirrec84@gmail.com</v>
      </c>
      <c r="AK511" s="6" t="str">
        <f>IFERROR(__xludf.DUMMYFUNCTION("""COMPUTED_VALUE"""),"Médico")</f>
        <v>Médico</v>
      </c>
      <c r="AL511" s="6" t="str">
        <f>IFERROR(__xludf.DUMMYFUNCTION("""COMPUTED_VALUE"""),"Ccq")</f>
        <v>Ccq</v>
      </c>
      <c r="AM511" s="12" t="str">
        <f>IFERROR(__xludf.DUMMYFUNCTION("""COMPUTED_VALUE"""),"59312342")</f>
        <v>59312342</v>
      </c>
      <c r="AN511" s="12" t="str">
        <f>IFERROR(__xludf.DUMMYFUNCTION("""COMPUTED_VALUE"""),"3102098596")</f>
        <v>3102098596</v>
      </c>
      <c r="AO511" s="6" t="str">
        <f>IFERROR(__xludf.DUMMYFUNCTION("""COMPUTED_VALUE"""),"Madre")</f>
        <v>Madre</v>
      </c>
      <c r="AP511" s="6" t="str">
        <f>IFERROR(__xludf.DUMMYFUNCTION("""COMPUTED_VALUE"""),"Estudiante(s): Diago Aguirre")</f>
        <v>Estudiante(s): Diago Aguirre</v>
      </c>
      <c r="AQ511" s="6" t="str">
        <f>IFERROR(__xludf.DUMMYFUNCTION("""COMPUTED_VALUE"""),"103495*Gi")</f>
        <v>103495*Gi</v>
      </c>
      <c r="AR511" s="6" t="str">
        <f>IFERROR(__xludf.DUMMYFUNCTION("""COMPUTED_VALUE"""),"Luis")</f>
        <v>Luis</v>
      </c>
      <c r="AS511" s="6" t="str">
        <f>IFERROR(__xludf.DUMMYFUNCTION("""COMPUTED_VALUE"""),"Miguel")</f>
        <v>Miguel</v>
      </c>
      <c r="AT511" s="6" t="str">
        <f>IFERROR(__xludf.DUMMYFUNCTION("""COMPUTED_VALUE"""),"Diago Rodríguez")</f>
        <v>Diago Rodríguez</v>
      </c>
      <c r="AU511" s="6" t="str">
        <f>IFERROR(__xludf.DUMMYFUNCTION("""COMPUTED_VALUE"""),"lmdiago@gmail.com")</f>
        <v>lmdiago@gmail.com</v>
      </c>
      <c r="AV511" s="6" t="str">
        <f>IFERROR(__xludf.DUMMYFUNCTION("""COMPUTED_VALUE"""),"Medico")</f>
        <v>Medico</v>
      </c>
      <c r="AW511" s="6" t="str">
        <f>IFERROR(__xludf.DUMMYFUNCTION("""COMPUTED_VALUE"""),"Clínica Central del Quindio")</f>
        <v>Clínica Central del Quindio</v>
      </c>
      <c r="AX511" s="12" t="str">
        <f>IFERROR(__xludf.DUMMYFUNCTION("""COMPUTED_VALUE"""),"9772163")</f>
        <v>9772163</v>
      </c>
      <c r="AY511" s="12" t="str">
        <f>IFERROR(__xludf.DUMMYFUNCTION("""COMPUTED_VALUE"""),"3138235478")</f>
        <v>3138235478</v>
      </c>
      <c r="AZ511" s="6" t="str">
        <f>IFERROR(__xludf.DUMMYFUNCTION("""COMPUTED_VALUE"""),"Padre")</f>
        <v>Padre</v>
      </c>
      <c r="BA511" s="6"/>
      <c r="BB511" s="6"/>
      <c r="BC511" s="6"/>
      <c r="BD511" s="12" t="str">
        <f>IFERROR(__xludf.DUMMYFUNCTION("""COMPUTED_VALUE"""),"dia0002")</f>
        <v>dia0002</v>
      </c>
      <c r="BE511" s="6"/>
      <c r="BF511" s="6"/>
      <c r="BG511" s="6">
        <f>IFERROR(__xludf.DUMMYFUNCTION("""COMPUTED_VALUE"""),2032.0)</f>
        <v>2032</v>
      </c>
      <c r="BH511" s="15">
        <f>IFERROR(__xludf.DUMMYFUNCTION("""COMPUTED_VALUE"""),46206.432754629626)</f>
        <v>46206.43275</v>
      </c>
      <c r="BI511" s="6">
        <f>IFERROR(__xludf.DUMMYFUNCTION("""COMPUTED_VALUE"""),511.0)</f>
        <v>511</v>
      </c>
      <c r="BJ511" s="6"/>
      <c r="BK511" s="6"/>
      <c r="BL511" s="6" t="str">
        <f>IFERROR(__xludf.DUMMYFUNCTION("""COMPUTED_VALUE"""),"GISDIA0002")</f>
        <v>GISDIA0002</v>
      </c>
      <c r="BM511" s="6"/>
      <c r="BN511" s="6"/>
      <c r="BO511" s="6"/>
      <c r="BP511" s="6" t="str">
        <f>IFERROR(__xludf.DUMMYFUNCTION("""COMPUTED_VALUE"""),"XC_SEC_BandaFW")</f>
        <v>XC_SEC_BandaFW</v>
      </c>
      <c r="BQ511" s="6"/>
      <c r="BR511" s="6"/>
      <c r="BS511" s="6"/>
      <c r="BT511" s="6"/>
      <c r="BU511" s="6" t="str">
        <f>IFERROR(__xludf.DUMMYFUNCTION("""COMPUTED_VALUE"""),"SI")</f>
        <v>SI</v>
      </c>
      <c r="BV511" s="6" t="str">
        <f>IFERROR(__xludf.DUMMYFUNCTION("""COMPUTED_VALUE"""),"valentina.d2032")</f>
        <v>valentina.d2032</v>
      </c>
      <c r="BW511" s="6"/>
      <c r="BX511" s="6"/>
      <c r="BY511" s="6"/>
      <c r="BZ511" s="6"/>
    </row>
    <row r="512">
      <c r="A512" s="12">
        <f>IFERROR(__xludf.DUMMYFUNCTION("""COMPUTED_VALUE"""),1.013019602E9)</f>
        <v>1013019602</v>
      </c>
      <c r="B512" s="6">
        <f>IFERROR(__xludf.DUMMYFUNCTION("""COMPUTED_VALUE"""),14.0)</f>
        <v>14</v>
      </c>
      <c r="C512" s="6" t="str">
        <f>IFERROR(__xludf.DUMMYFUNCTION("""COMPUTED_VALUE"""),"Matias")</f>
        <v>Matias</v>
      </c>
      <c r="D512" s="6"/>
      <c r="E512" s="6" t="str">
        <f>IFERROR(__xludf.DUMMYFUNCTION("""COMPUTED_VALUE"""),"Fajardo Camacho")</f>
        <v>Fajardo Camacho</v>
      </c>
      <c r="F512" s="6" t="str">
        <f>IFERROR(__xludf.DUMMYFUNCTION("""COMPUTED_VALUE"""),"Edificio Kalua Apto 802 - Cra 6 No31Nte - 53 San Diego  Av Centenario")</f>
        <v>Edificio Kalua Apto 802 - Cra 6 No31Nte - 53 San Diego  Av Centenario</v>
      </c>
      <c r="G512" s="12" t="str">
        <f>IFERROR(__xludf.DUMMYFUNCTION("""COMPUTED_VALUE"""),"2014")</f>
        <v>2014</v>
      </c>
      <c r="H512" s="6" t="str">
        <f>IFERROR(__xludf.DUMMYFUNCTION("""COMPUTED_VALUE"""),"Febrero")</f>
        <v>Febrero</v>
      </c>
      <c r="I512" s="12" t="str">
        <f>IFERROR(__xludf.DUMMYFUNCTION("""COMPUTED_VALUE"""),"28")</f>
        <v>28</v>
      </c>
      <c r="J512" s="6" t="str">
        <f>IFERROR(__xludf.DUMMYFUNCTION("""COMPUTED_VALUE"""),"Bogotá D.C.")</f>
        <v>Bogotá D.C.</v>
      </c>
      <c r="K512" s="6" t="str">
        <f>IFERROR(__xludf.DUMMYFUNCTION("""COMPUTED_VALUE"""),"matias.f2032@gi.edu.co")</f>
        <v>matias.f2032@gi.edu.co</v>
      </c>
      <c r="L512" s="6" t="str">
        <f>IFERROR(__xludf.DUMMYFUNCTION("""COMPUTED_VALUE"""),"TI")</f>
        <v>TI</v>
      </c>
      <c r="M512" s="6" t="str">
        <f>IFERROR(__xludf.DUMMYFUNCTION("""COMPUTED_VALUE"""),"Armenia")</f>
        <v>Armenia</v>
      </c>
      <c r="N512" s="6" t="str">
        <f>IFERROR(__xludf.DUMMYFUNCTION("""COMPUTED_VALUE"""),"M")</f>
        <v>M</v>
      </c>
      <c r="O512" s="6" t="str">
        <f>IFERROR(__xludf.DUMMYFUNCTION("""COMPUTED_VALUE"""),"INACTIVE")</f>
        <v>INACTIVE</v>
      </c>
      <c r="P512" s="6"/>
      <c r="Q512" s="6" t="str">
        <f>IFERROR(__xludf.DUMMYFUNCTION("""COMPUTED_VALUE"""),"Armenia")</f>
        <v>Armenia</v>
      </c>
      <c r="R512" s="12" t="str">
        <f>IFERROR(__xludf.DUMMYFUNCTION("""COMPUTED_VALUE"""),"Gied295tp*")</f>
        <v>Gied295tp*</v>
      </c>
      <c r="S512" s="6" t="str">
        <f>IFERROR(__xludf.DUMMYFUNCTION("""COMPUTED_VALUE"""),"Fajardo Camacho Matias ")</f>
        <v>Fajardo Camacho Matias </v>
      </c>
      <c r="T512" s="6" t="str">
        <f>IFERROR(__xludf.DUMMYFUNCTION("""COMPUTED_VALUE"""),"VIVIANA CAMACHO CHAVES")</f>
        <v>VIVIANA CAMACHO CHAVES</v>
      </c>
      <c r="U512" s="12" t="str">
        <f>IFERROR(__xludf.DUMMYFUNCTION("""COMPUTED_VALUE"""),"53052534")</f>
        <v>53052534</v>
      </c>
      <c r="V512" s="6">
        <f>IFERROR(__xludf.DUMMYFUNCTION("""COMPUTED_VALUE"""),3.132621542E9)</f>
        <v>3132621542</v>
      </c>
      <c r="W512" s="6" t="str">
        <f>IFERROR(__xludf.DUMMYFUNCTION("""COMPUTED_VALUE"""),"vica80@hotmail.com")</f>
        <v>vica80@hotmail.com</v>
      </c>
      <c r="X512" s="12" t="str">
        <f>IFERROR(__xludf.DUMMYFUNCTION("""COMPUTED_VALUE"""),"B+")</f>
        <v>B+</v>
      </c>
      <c r="Y512" s="12" t="str">
        <f>IFERROR(__xludf.DUMMYFUNCTION("""COMPUTED_VALUE"""),"7")</f>
        <v>7</v>
      </c>
      <c r="Z512" s="12">
        <f>IFERROR(__xludf.DUMMYFUNCTION("""COMPUTED_VALUE"""),120025.0)</f>
        <v>120025</v>
      </c>
      <c r="AA512" s="6" t="str">
        <f>IFERROR(__xludf.DUMMYFUNCTION("""COMPUTED_VALUE"""),"SANITAS")</f>
        <v>SANITAS</v>
      </c>
      <c r="AB512" s="6" t="str">
        <f>IFERROR(__xludf.DUMMYFUNCTION("""COMPUTED_VALUE"""),"Medplus")</f>
        <v>Medplus</v>
      </c>
      <c r="AC512" s="12" t="str">
        <f>IFERROR(__xludf.DUMMYFUNCTION("""COMPUTED_VALUE"""),"Ácaros")</f>
        <v>Ácaros</v>
      </c>
      <c r="AD512" s="12" t="str">
        <f>IFERROR(__xludf.DUMMYFUNCTION("""COMPUTED_VALUE"""),"7A")</f>
        <v>7A</v>
      </c>
      <c r="AE512" s="12">
        <f>IFERROR(__xludf.DUMMYFUNCTION("""COMPUTED_VALUE"""),1.345282036E9)</f>
        <v>1345282036</v>
      </c>
      <c r="AF512" s="12" t="str">
        <f>IFERROR(__xludf.DUMMYFUNCTION("""COMPUTED_VALUE"""),"0700375907")</f>
        <v>0700375907</v>
      </c>
      <c r="AG512" s="12" t="str">
        <f>IFERROR(__xludf.DUMMYFUNCTION("""COMPUTED_VALUE"""),"Viviana")</f>
        <v>Viviana</v>
      </c>
      <c r="AH512" s="6"/>
      <c r="AI512" s="6" t="str">
        <f>IFERROR(__xludf.DUMMYFUNCTION("""COMPUTED_VALUE"""),"Camacho Chavés")</f>
        <v>Camacho Chavés</v>
      </c>
      <c r="AJ512" s="6" t="str">
        <f>IFERROR(__xludf.DUMMYFUNCTION("""COMPUTED_VALUE"""),"vica80@hotmail.com")</f>
        <v>vica80@hotmail.com</v>
      </c>
      <c r="AK512" s="6" t="str">
        <f>IFERROR(__xludf.DUMMYFUNCTION("""COMPUTED_VALUE"""),"Administradora de Empresas Turísticas y Hoteleras")</f>
        <v>Administradora de Empresas Turísticas y Hoteleras</v>
      </c>
      <c r="AL512" s="6" t="str">
        <f>IFERROR(__xludf.DUMMYFUNCTION("""COMPUTED_VALUE"""),"Soluciones Turísticas Integrales SAS")</f>
        <v>Soluciones Turísticas Integrales SAS</v>
      </c>
      <c r="AM512" s="12" t="str">
        <f>IFERROR(__xludf.DUMMYFUNCTION("""COMPUTED_VALUE"""),"53052534")</f>
        <v>53052534</v>
      </c>
      <c r="AN512" s="12" t="str">
        <f>IFERROR(__xludf.DUMMYFUNCTION("""COMPUTED_VALUE"""),"3132621542")</f>
        <v>3132621542</v>
      </c>
      <c r="AO512" s="6" t="str">
        <f>IFERROR(__xludf.DUMMYFUNCTION("""COMPUTED_VALUE"""),"Madre")</f>
        <v>Madre</v>
      </c>
      <c r="AP512" s="6" t="str">
        <f>IFERROR(__xludf.DUMMYFUNCTION("""COMPUTED_VALUE"""),"Estudiante(s): Fajardo Camacho")</f>
        <v>Estudiante(s): Fajardo Camacho</v>
      </c>
      <c r="AQ512" s="6" t="str">
        <f>IFERROR(__xludf.DUMMYFUNCTION("""COMPUTED_VALUE"""),"120025*Gi")</f>
        <v>120025*Gi</v>
      </c>
      <c r="AR512" s="6" t="str">
        <f>IFERROR(__xludf.DUMMYFUNCTION("""COMPUTED_VALUE"""),"Adriano")</f>
        <v>Adriano</v>
      </c>
      <c r="AS512" s="6"/>
      <c r="AT512" s="6" t="str">
        <f>IFERROR(__xludf.DUMMYFUNCTION("""COMPUTED_VALUE"""),"Fajardo Ballén")</f>
        <v>Fajardo Ballén</v>
      </c>
      <c r="AU512" s="6" t="str">
        <f>IFERROR(__xludf.DUMMYFUNCTION("""COMPUTED_VALUE"""),"afajardo@sticolombia.co")</f>
        <v>afajardo@sticolombia.co</v>
      </c>
      <c r="AV512" s="6" t="str">
        <f>IFERROR(__xludf.DUMMYFUNCTION("""COMPUTED_VALUE"""),"Contador")</f>
        <v>Contador</v>
      </c>
      <c r="AW512" s="6" t="str">
        <f>IFERROR(__xludf.DUMMYFUNCTION("""COMPUTED_VALUE"""),"STI Soluciones turísticas integrales")</f>
        <v>STI Soluciones turísticas integrales</v>
      </c>
      <c r="AX512" s="12" t="str">
        <f>IFERROR(__xludf.DUMMYFUNCTION("""COMPUTED_VALUE"""),"79752259")</f>
        <v>79752259</v>
      </c>
      <c r="AY512" s="12" t="str">
        <f>IFERROR(__xludf.DUMMYFUNCTION("""COMPUTED_VALUE"""),"3158270585")</f>
        <v>3158270585</v>
      </c>
      <c r="AZ512" s="6" t="str">
        <f>IFERROR(__xludf.DUMMYFUNCTION("""COMPUTED_VALUE"""),"Padre")</f>
        <v>Padre</v>
      </c>
      <c r="BA512" s="6"/>
      <c r="BB512" s="6"/>
      <c r="BC512" s="6"/>
      <c r="BD512" s="12" t="str">
        <f>IFERROR(__xludf.DUMMYFUNCTION("""COMPUTED_VALUE"""),"faj0001")</f>
        <v>faj0001</v>
      </c>
      <c r="BE512" s="6" t="str">
        <f>IFERROR(__xludf.DUMMYFUNCTION("""COMPUTED_VALUE"""),"FALTAN FIRMAS")</f>
        <v>FALTAN FIRMAS</v>
      </c>
      <c r="BF512" s="6"/>
      <c r="BG512" s="6">
        <f>IFERROR(__xludf.DUMMYFUNCTION("""COMPUTED_VALUE"""),2032.0)</f>
        <v>2032</v>
      </c>
      <c r="BH512" s="15">
        <f>IFERROR(__xludf.DUMMYFUNCTION("""COMPUTED_VALUE"""),46205.734560185185)</f>
        <v>46205.73456</v>
      </c>
      <c r="BI512" s="6">
        <f>IFERROR(__xludf.DUMMYFUNCTION("""COMPUTED_VALUE"""),512.0)</f>
        <v>512</v>
      </c>
      <c r="BJ512" s="6"/>
      <c r="BK512" s="6"/>
      <c r="BL512" s="6" t="str">
        <f>IFERROR(__xludf.DUMMYFUNCTION("""COMPUTED_VALUE"""),"GISFAJ0001")</f>
        <v>GISFAJ0001</v>
      </c>
      <c r="BM512" s="6"/>
      <c r="BN512" s="6"/>
      <c r="BO512" s="6" t="str">
        <f>IFERROR(__xludf.DUMMYFUNCTION("""COMPUTED_VALUE"""),"XC_SEC_ProgRobot")</f>
        <v>XC_SEC_ProgRobot</v>
      </c>
      <c r="BP512" s="6"/>
      <c r="BQ512" s="6"/>
      <c r="BR512" s="6"/>
      <c r="BS512" s="6"/>
      <c r="BT512" s="6"/>
      <c r="BU512" s="6" t="str">
        <f>IFERROR(__xludf.DUMMYFUNCTION("""COMPUTED_VALUE"""),"SI")</f>
        <v>SI</v>
      </c>
      <c r="BV512" s="6" t="str">
        <f>IFERROR(__xludf.DUMMYFUNCTION("""COMPUTED_VALUE"""),"matias.f2032")</f>
        <v>matias.f2032</v>
      </c>
      <c r="BW512" s="6"/>
      <c r="BX512" s="6"/>
      <c r="BY512" s="6"/>
      <c r="BZ512" s="6"/>
    </row>
    <row r="513">
      <c r="A513" s="12">
        <f>IFERROR(__xludf.DUMMYFUNCTION("""COMPUTED_VALUE"""),1.01488502E9)</f>
        <v>1014885020</v>
      </c>
      <c r="B513" s="6">
        <f>IFERROR(__xludf.DUMMYFUNCTION("""COMPUTED_VALUE"""),15.0)</f>
        <v>15</v>
      </c>
      <c r="C513" s="6" t="str">
        <f>IFERROR(__xludf.DUMMYFUNCTION("""COMPUTED_VALUE"""),"Mathias")</f>
        <v>Mathias</v>
      </c>
      <c r="D513" s="6"/>
      <c r="E513" s="6" t="str">
        <f>IFERROR(__xludf.DUMMYFUNCTION("""COMPUTED_VALUE"""),"Garbrecht Giraldo")</f>
        <v>Garbrecht Giraldo</v>
      </c>
      <c r="F513" s="6" t="str">
        <f>IFERROR(__xludf.DUMMYFUNCTION("""COMPUTED_VALUE"""),"Conjunto Residencial La Primavera Manzana 7 Casa 7 - Cra 14 No54Nte 10")</f>
        <v>Conjunto Residencial La Primavera Manzana 7 Casa 7 - Cra 14 No54Nte 10</v>
      </c>
      <c r="G513" s="12" t="str">
        <f>IFERROR(__xludf.DUMMYFUNCTION("""COMPUTED_VALUE"""),"2013")</f>
        <v>2013</v>
      </c>
      <c r="H513" s="6" t="str">
        <f>IFERROR(__xludf.DUMMYFUNCTION("""COMPUTED_VALUE"""),"Octubre")</f>
        <v>Octubre</v>
      </c>
      <c r="I513" s="12" t="str">
        <f>IFERROR(__xludf.DUMMYFUNCTION("""COMPUTED_VALUE"""),"3")</f>
        <v>3</v>
      </c>
      <c r="J513" s="6" t="str">
        <f>IFERROR(__xludf.DUMMYFUNCTION("""COMPUTED_VALUE"""),"Bogotá D.C.")</f>
        <v>Bogotá D.C.</v>
      </c>
      <c r="K513" s="6" t="str">
        <f>IFERROR(__xludf.DUMMYFUNCTION("""COMPUTED_VALUE"""),"mathias.g2032@gi.edu.co")</f>
        <v>mathias.g2032@gi.edu.co</v>
      </c>
      <c r="L513" s="6" t="str">
        <f>IFERROR(__xludf.DUMMYFUNCTION("""COMPUTED_VALUE"""),"TI")</f>
        <v>TI</v>
      </c>
      <c r="M513" s="6" t="str">
        <f>IFERROR(__xludf.DUMMYFUNCTION("""COMPUTED_VALUE"""),"Bogotá D.C.")</f>
        <v>Bogotá D.C.</v>
      </c>
      <c r="N513" s="6" t="str">
        <f>IFERROR(__xludf.DUMMYFUNCTION("""COMPUTED_VALUE"""),"M")</f>
        <v>M</v>
      </c>
      <c r="O513" s="6" t="str">
        <f>IFERROR(__xludf.DUMMYFUNCTION("""COMPUTED_VALUE"""),"ACTIVE")</f>
        <v>ACTIVE</v>
      </c>
      <c r="P513" s="6"/>
      <c r="Q513" s="6" t="str">
        <f>IFERROR(__xludf.DUMMYFUNCTION("""COMPUTED_VALUE"""),"Armenia")</f>
        <v>Armenia</v>
      </c>
      <c r="R513" s="12" t="str">
        <f>IFERROR(__xludf.DUMMYFUNCTION("""COMPUTED_VALUE"""),"Givfert56*")</f>
        <v>Givfert56*</v>
      </c>
      <c r="S513" s="6" t="str">
        <f>IFERROR(__xludf.DUMMYFUNCTION("""COMPUTED_VALUE"""),"Garbrecht Giraldo Mathias ")</f>
        <v>Garbrecht Giraldo Mathias </v>
      </c>
      <c r="T513" s="6" t="str">
        <f>IFERROR(__xludf.DUMMYFUNCTION("""COMPUTED_VALUE"""),"RONALD ALFRED GARBRECHT VILLAMARÍN")</f>
        <v>RONALD ALFRED GARBRECHT VILLAMARÍN</v>
      </c>
      <c r="U513" s="12" t="str">
        <f>IFERROR(__xludf.DUMMYFUNCTION("""COMPUTED_VALUE"""),"79785678")</f>
        <v>79785678</v>
      </c>
      <c r="V513" s="6">
        <f>IFERROR(__xludf.DUMMYFUNCTION("""COMPUTED_VALUE"""),3.192511112E9)</f>
        <v>3192511112</v>
      </c>
      <c r="W513" s="6" t="str">
        <f>IFERROR(__xludf.DUMMYFUNCTION("""COMPUTED_VALUE"""),"capitalizate@gmail.com")</f>
        <v>capitalizate@gmail.com</v>
      </c>
      <c r="X513" s="12" t="str">
        <f>IFERROR(__xludf.DUMMYFUNCTION("""COMPUTED_VALUE"""),"A+")</f>
        <v>A+</v>
      </c>
      <c r="Y513" s="12" t="str">
        <f>IFERROR(__xludf.DUMMYFUNCTION("""COMPUTED_VALUE"""),"7")</f>
        <v>7</v>
      </c>
      <c r="Z513" s="12">
        <f>IFERROR(__xludf.DUMMYFUNCTION("""COMPUTED_VALUE"""),120071.0)</f>
        <v>120071</v>
      </c>
      <c r="AA513" s="6" t="str">
        <f>IFERROR(__xludf.DUMMYFUNCTION("""COMPUTED_VALUE"""),"SANITAS")</f>
        <v>SANITAS</v>
      </c>
      <c r="AB513" s="6"/>
      <c r="AC513" s="6"/>
      <c r="AD513" s="12" t="str">
        <f>IFERROR(__xludf.DUMMYFUNCTION("""COMPUTED_VALUE"""),"7A")</f>
        <v>7A</v>
      </c>
      <c r="AE513" s="12">
        <f>IFERROR(__xludf.DUMMYFUNCTION("""COMPUTED_VALUE"""),1.345282091E9)</f>
        <v>1345282091</v>
      </c>
      <c r="AF513" s="12" t="str">
        <f>IFERROR(__xludf.DUMMYFUNCTION("""COMPUTED_VALUE"""),"0682452691")</f>
        <v>0682452691</v>
      </c>
      <c r="AG513" s="12" t="str">
        <f>IFERROR(__xludf.DUMMYFUNCTION("""COMPUTED_VALUE"""),"Catalina")</f>
        <v>Catalina</v>
      </c>
      <c r="AH513" s="6"/>
      <c r="AI513" s="6" t="str">
        <f>IFERROR(__xludf.DUMMYFUNCTION("""COMPUTED_VALUE"""),"Giraldo Londoño")</f>
        <v>Giraldo Londoño</v>
      </c>
      <c r="AJ513" s="6" t="str">
        <f>IFERROR(__xludf.DUMMYFUNCTION("""COMPUTED_VALUE"""),"catalinagiraldolondonoj@gmail.com")</f>
        <v>catalinagiraldolondonoj@gmail.com</v>
      </c>
      <c r="AK513" s="6" t="str">
        <f>IFERROR(__xludf.DUMMYFUNCTION("""COMPUTED_VALUE"""),"Mercadeologa y publicista")</f>
        <v>Mercadeologa y publicista</v>
      </c>
      <c r="AL513" s="6" t="str">
        <f>IFERROR(__xludf.DUMMYFUNCTION("""COMPUTED_VALUE"""),"Paris Constructor")</f>
        <v>Paris Constructor</v>
      </c>
      <c r="AM513" s="12" t="str">
        <f>IFERROR(__xludf.DUMMYFUNCTION("""COMPUTED_VALUE"""),"1094905546")</f>
        <v>1094905546</v>
      </c>
      <c r="AN513" s="12" t="str">
        <f>IFERROR(__xludf.DUMMYFUNCTION("""COMPUTED_VALUE"""),"3042480921")</f>
        <v>3042480921</v>
      </c>
      <c r="AO513" s="6" t="str">
        <f>IFERROR(__xludf.DUMMYFUNCTION("""COMPUTED_VALUE"""),"Madre")</f>
        <v>Madre</v>
      </c>
      <c r="AP513" s="6" t="str">
        <f>IFERROR(__xludf.DUMMYFUNCTION("""COMPUTED_VALUE"""),"Estudiante(s): Garbrecht Giraldo")</f>
        <v>Estudiante(s): Garbrecht Giraldo</v>
      </c>
      <c r="AQ513" s="6" t="str">
        <f>IFERROR(__xludf.DUMMYFUNCTION("""COMPUTED_VALUE"""),"120071*Gi")</f>
        <v>120071*Gi</v>
      </c>
      <c r="AR513" s="6" t="str">
        <f>IFERROR(__xludf.DUMMYFUNCTION("""COMPUTED_VALUE"""),"Ronald")</f>
        <v>Ronald</v>
      </c>
      <c r="AS513" s="6" t="str">
        <f>IFERROR(__xludf.DUMMYFUNCTION("""COMPUTED_VALUE"""),"Alfred")</f>
        <v>Alfred</v>
      </c>
      <c r="AT513" s="6" t="str">
        <f>IFERROR(__xludf.DUMMYFUNCTION("""COMPUTED_VALUE"""),"Garbrecht Villamarín")</f>
        <v>Garbrecht Villamarín</v>
      </c>
      <c r="AU513" s="6" t="str">
        <f>IFERROR(__xludf.DUMMYFUNCTION("""COMPUTED_VALUE"""),"ronald.garbrecht@gmail.com")</f>
        <v>ronald.garbrecht@gmail.com</v>
      </c>
      <c r="AV513" s="6" t="str">
        <f>IFERROR(__xludf.DUMMYFUNCTION("""COMPUTED_VALUE"""),"NETWORK MARKETING")</f>
        <v>NETWORK MARKETING</v>
      </c>
      <c r="AW513" s="6" t="str">
        <f>IFERROR(__xludf.DUMMYFUNCTION("""COMPUTED_VALUE"""),"NEORA INTERNACIONAL")</f>
        <v>NEORA INTERNACIONAL</v>
      </c>
      <c r="AX513" s="12" t="str">
        <f>IFERROR(__xludf.DUMMYFUNCTION("""COMPUTED_VALUE"""),"79785678")</f>
        <v>79785678</v>
      </c>
      <c r="AY513" s="12" t="str">
        <f>IFERROR(__xludf.DUMMYFUNCTION("""COMPUTED_VALUE"""),"3192511112")</f>
        <v>3192511112</v>
      </c>
      <c r="AZ513" s="6" t="str">
        <f>IFERROR(__xludf.DUMMYFUNCTION("""COMPUTED_VALUE"""),"Padre")</f>
        <v>Padre</v>
      </c>
      <c r="BA513" s="6"/>
      <c r="BB513" s="6"/>
      <c r="BC513" s="6"/>
      <c r="BD513" s="12" t="str">
        <f>IFERROR(__xludf.DUMMYFUNCTION("""COMPUTED_VALUE"""),"gar0002")</f>
        <v>gar0002</v>
      </c>
      <c r="BE513" s="6"/>
      <c r="BF513" s="6"/>
      <c r="BG513" s="6">
        <f>IFERROR(__xludf.DUMMYFUNCTION("""COMPUTED_VALUE"""),2032.0)</f>
        <v>2032</v>
      </c>
      <c r="BH513" s="15">
        <f>IFERROR(__xludf.DUMMYFUNCTION("""COMPUTED_VALUE"""),46211.41701388889)</f>
        <v>46211.41701</v>
      </c>
      <c r="BI513" s="6">
        <f>IFERROR(__xludf.DUMMYFUNCTION("""COMPUTED_VALUE"""),513.0)</f>
        <v>513</v>
      </c>
      <c r="BJ513" s="6"/>
      <c r="BK513" s="6"/>
      <c r="BL513" s="6" t="str">
        <f>IFERROR(__xludf.DUMMYFUNCTION("""COMPUTED_VALUE"""),"GISGAR0002")</f>
        <v>GISGAR0002</v>
      </c>
      <c r="BM513" s="6"/>
      <c r="BN513" s="6"/>
      <c r="BO513" s="6" t="str">
        <f>IFERROR(__xludf.DUMMYFUNCTION("""COMPUTED_VALUE"""),"XC_MS_Futbol_M")</f>
        <v>XC_MS_Futbol_M</v>
      </c>
      <c r="BP513" s="6"/>
      <c r="BQ513" s="6" t="str">
        <f>IFERROR(__xludf.DUMMYFUNCTION("""COMPUTED_VALUE"""),"XC_MS_Futbol_M")</f>
        <v>XC_MS_Futbol_M</v>
      </c>
      <c r="BR513" s="6" t="str">
        <f>IFERROR(__xludf.DUMMYFUNCTION("""COMPUTED_VALUE"""),"XC_MS_Futbol_M")</f>
        <v>XC_MS_Futbol_M</v>
      </c>
      <c r="BS513" s="6"/>
      <c r="BT513" s="6" t="str">
        <f>IFERROR(__xludf.DUMMYFUNCTION("""COMPUTED_VALUE"""),"XC_MS_Futbol_M")</f>
        <v>XC_MS_Futbol_M</v>
      </c>
      <c r="BU513" s="6" t="str">
        <f>IFERROR(__xludf.DUMMYFUNCTION("""COMPUTED_VALUE"""),"SI")</f>
        <v>SI</v>
      </c>
      <c r="BV513" s="6" t="str">
        <f>IFERROR(__xludf.DUMMYFUNCTION("""COMPUTED_VALUE"""),"mathias.g2032")</f>
        <v>mathias.g2032</v>
      </c>
      <c r="BW513" s="6"/>
      <c r="BX513" s="6"/>
      <c r="BY513" s="6"/>
      <c r="BZ513" s="6"/>
    </row>
    <row r="514">
      <c r="A514" s="12">
        <f>IFERROR(__xludf.DUMMYFUNCTION("""COMPUTED_VALUE"""),1.092857969E9)</f>
        <v>1092857969</v>
      </c>
      <c r="B514" s="6">
        <f>IFERROR(__xludf.DUMMYFUNCTION("""COMPUTED_VALUE"""),16.0)</f>
        <v>16</v>
      </c>
      <c r="C514" s="6" t="str">
        <f>IFERROR(__xludf.DUMMYFUNCTION("""COMPUTED_VALUE"""),"Emmanuel")</f>
        <v>Emmanuel</v>
      </c>
      <c r="D514" s="6"/>
      <c r="E514" s="6" t="str">
        <f>IFERROR(__xludf.DUMMYFUNCTION("""COMPUTED_VALUE"""),"Gómez Pardo")</f>
        <v>Gómez Pardo</v>
      </c>
      <c r="F514" s="6" t="str">
        <f>IFERROR(__xludf.DUMMYFUNCTION("""COMPUTED_VALUE"""),"Condominio Entre Maderos Casa 38 - Vereda El Congal Km 1.2 Via Circasia - Armenia")</f>
        <v>Condominio Entre Maderos Casa 38 - Vereda El Congal Km 1.2 Via Circasia - Armenia</v>
      </c>
      <c r="G514" s="12" t="str">
        <f>IFERROR(__xludf.DUMMYFUNCTION("""COMPUTED_VALUE"""),"2014")</f>
        <v>2014</v>
      </c>
      <c r="H514" s="6" t="str">
        <f>IFERROR(__xludf.DUMMYFUNCTION("""COMPUTED_VALUE"""),"Julio")</f>
        <v>Julio</v>
      </c>
      <c r="I514" s="12" t="str">
        <f>IFERROR(__xludf.DUMMYFUNCTION("""COMPUTED_VALUE"""),"25")</f>
        <v>25</v>
      </c>
      <c r="J514" s="6" t="str">
        <f>IFERROR(__xludf.DUMMYFUNCTION("""COMPUTED_VALUE"""),"Armenia")</f>
        <v>Armenia</v>
      </c>
      <c r="K514" s="6" t="str">
        <f>IFERROR(__xludf.DUMMYFUNCTION("""COMPUTED_VALUE"""),"emmanuel.g2032@gi.edu.co")</f>
        <v>emmanuel.g2032@gi.edu.co</v>
      </c>
      <c r="L514" s="6" t="str">
        <f>IFERROR(__xludf.DUMMYFUNCTION("""COMPUTED_VALUE"""),"RC")</f>
        <v>RC</v>
      </c>
      <c r="M514" s="6" t="str">
        <f>IFERROR(__xludf.DUMMYFUNCTION("""COMPUTED_VALUE"""),"Armenia")</f>
        <v>Armenia</v>
      </c>
      <c r="N514" s="6" t="str">
        <f>IFERROR(__xludf.DUMMYFUNCTION("""COMPUTED_VALUE"""),"M")</f>
        <v>M</v>
      </c>
      <c r="O514" s="6" t="str">
        <f>IFERROR(__xludf.DUMMYFUNCTION("""COMPUTED_VALUE"""),"ACTIVE")</f>
        <v>ACTIVE</v>
      </c>
      <c r="P514" s="6"/>
      <c r="Q514" s="6" t="str">
        <f>IFERROR(__xludf.DUMMYFUNCTION("""COMPUTED_VALUE"""),"Circasia")</f>
        <v>Circasia</v>
      </c>
      <c r="R514" s="12" t="str">
        <f>IFERROR(__xludf.DUMMYFUNCTION("""COMPUTED_VALUE"""),"Givc25ggh*")</f>
        <v>Givc25ggh*</v>
      </c>
      <c r="S514" s="6" t="str">
        <f>IFERROR(__xludf.DUMMYFUNCTION("""COMPUTED_VALUE"""),"Gómez Pardo Emmanuel ")</f>
        <v>Gómez Pardo Emmanuel </v>
      </c>
      <c r="T514" s="6" t="str">
        <f>IFERROR(__xludf.DUMMYFUNCTION("""COMPUTED_VALUE"""),"ANDRES GOMEZ LONDOÑO")</f>
        <v>ANDRES GOMEZ LONDOÑO</v>
      </c>
      <c r="U514" s="12" t="str">
        <f>IFERROR(__xludf.DUMMYFUNCTION("""COMPUTED_VALUE"""),"4377404")</f>
        <v>4377404</v>
      </c>
      <c r="V514" s="6">
        <f>IFERROR(__xludf.DUMMYFUNCTION("""COMPUTED_VALUE"""),3.148802408E9)</f>
        <v>3148802408</v>
      </c>
      <c r="W514" s="6" t="str">
        <f>IFERROR(__xludf.DUMMYFUNCTION("""COMPUTED_VALUE"""),"andresgomezge@hotmail.com")</f>
        <v>andresgomezge@hotmail.com</v>
      </c>
      <c r="X514" s="12" t="str">
        <f>IFERROR(__xludf.DUMMYFUNCTION("""COMPUTED_VALUE"""),"O+")</f>
        <v>O+</v>
      </c>
      <c r="Y514" s="12" t="str">
        <f>IFERROR(__xludf.DUMMYFUNCTION("""COMPUTED_VALUE"""),"7")</f>
        <v>7</v>
      </c>
      <c r="Z514" s="12">
        <f>IFERROR(__xludf.DUMMYFUNCTION("""COMPUTED_VALUE"""),103747.0)</f>
        <v>103747</v>
      </c>
      <c r="AA514" s="6" t="str">
        <f>IFERROR(__xludf.DUMMYFUNCTION("""COMPUTED_VALUE"""),"SURA")</f>
        <v>SURA</v>
      </c>
      <c r="AB514" s="6" t="str">
        <f>IFERROR(__xludf.DUMMYFUNCTION("""COMPUTED_VALUE"""),"EMI")</f>
        <v>EMI</v>
      </c>
      <c r="AC514" s="6"/>
      <c r="AD514" s="12" t="str">
        <f>IFERROR(__xludf.DUMMYFUNCTION("""COMPUTED_VALUE"""),"7A")</f>
        <v>7A</v>
      </c>
      <c r="AE514" s="12">
        <f>IFERROR(__xludf.DUMMYFUNCTION("""COMPUTED_VALUE"""),1.345281865E9)</f>
        <v>1345281865</v>
      </c>
      <c r="AF514" s="12" t="str">
        <f>IFERROR(__xludf.DUMMYFUNCTION("""COMPUTED_VALUE"""),"0696314595")</f>
        <v>0696314595</v>
      </c>
      <c r="AG514" s="12" t="str">
        <f>IFERROR(__xludf.DUMMYFUNCTION("""COMPUTED_VALUE"""),"Lesdy")</f>
        <v>Lesdy</v>
      </c>
      <c r="AH514" s="12" t="str">
        <f>IFERROR(__xludf.DUMMYFUNCTION("""COMPUTED_VALUE"""),"Johanna")</f>
        <v>Johanna</v>
      </c>
      <c r="AI514" s="6" t="str">
        <f>IFERROR(__xludf.DUMMYFUNCTION("""COMPUTED_VALUE"""),"Pardo Cardona")</f>
        <v>Pardo Cardona</v>
      </c>
      <c r="AJ514" s="6" t="str">
        <f>IFERROR(__xludf.DUMMYFUNCTION("""COMPUTED_VALUE"""),"johannapardoc@hotmail.com")</f>
        <v>johannapardoc@hotmail.com</v>
      </c>
      <c r="AK514" s="6" t="str">
        <f>IFERROR(__xludf.DUMMYFUNCTION("""COMPUTED_VALUE"""),"abogado")</f>
        <v>abogado</v>
      </c>
      <c r="AL514" s="6" t="str">
        <f>IFERROR(__xludf.DUMMYFUNCTION("""COMPUTED_VALUE"""),"Procuraduria General de la Nacion")</f>
        <v>Procuraduria General de la Nacion</v>
      </c>
      <c r="AM514" s="12" t="str">
        <f>IFERROR(__xludf.DUMMYFUNCTION("""COMPUTED_VALUE"""),"41949580")</f>
        <v>41949580</v>
      </c>
      <c r="AN514" s="12" t="str">
        <f>IFERROR(__xludf.DUMMYFUNCTION("""COMPUTED_VALUE"""),"3207251639")</f>
        <v>3207251639</v>
      </c>
      <c r="AO514" s="6" t="str">
        <f>IFERROR(__xludf.DUMMYFUNCTION("""COMPUTED_VALUE"""),"Madre")</f>
        <v>Madre</v>
      </c>
      <c r="AP514" s="6" t="str">
        <f>IFERROR(__xludf.DUMMYFUNCTION("""COMPUTED_VALUE"""),"Estudiante(s): Gómez Pardo")</f>
        <v>Estudiante(s): Gómez Pardo</v>
      </c>
      <c r="AQ514" s="6" t="str">
        <f>IFERROR(__xludf.DUMMYFUNCTION("""COMPUTED_VALUE"""),"103747*Gi")</f>
        <v>103747*Gi</v>
      </c>
      <c r="AR514" s="6" t="str">
        <f>IFERROR(__xludf.DUMMYFUNCTION("""COMPUTED_VALUE"""),"Andrés")</f>
        <v>Andrés</v>
      </c>
      <c r="AS514" s="6"/>
      <c r="AT514" s="6" t="str">
        <f>IFERROR(__xludf.DUMMYFUNCTION("""COMPUTED_VALUE"""),"Gómez Londoño")</f>
        <v>Gómez Londoño</v>
      </c>
      <c r="AU514" s="6" t="str">
        <f>IFERROR(__xludf.DUMMYFUNCTION("""COMPUTED_VALUE"""),"angomezlo@hotmail.com")</f>
        <v>angomezlo@hotmail.com</v>
      </c>
      <c r="AV514" s="6" t="str">
        <f>IFERROR(__xludf.DUMMYFUNCTION("""COMPUTED_VALUE"""),"agro nomo")</f>
        <v>agro nomo</v>
      </c>
      <c r="AW514" s="6" t="str">
        <f>IFERROR(__xludf.DUMMYFUNCTION("""COMPUTED_VALUE"""),"don express sas")</f>
        <v>don express sas</v>
      </c>
      <c r="AX514" s="12" t="str">
        <f>IFERROR(__xludf.DUMMYFUNCTION("""COMPUTED_VALUE"""),"4377404")</f>
        <v>4377404</v>
      </c>
      <c r="AY514" s="12" t="str">
        <f>IFERROR(__xludf.DUMMYFUNCTION("""COMPUTED_VALUE"""),"3148802408")</f>
        <v>3148802408</v>
      </c>
      <c r="AZ514" s="6" t="str">
        <f>IFERROR(__xludf.DUMMYFUNCTION("""COMPUTED_VALUE"""),"Padre")</f>
        <v>Padre</v>
      </c>
      <c r="BA514" s="6"/>
      <c r="BB514" s="6"/>
      <c r="BC514" s="6"/>
      <c r="BD514" s="12" t="str">
        <f>IFERROR(__xludf.DUMMYFUNCTION("""COMPUTED_VALUE"""),"gom0005")</f>
        <v>gom0005</v>
      </c>
      <c r="BE514" s="6"/>
      <c r="BF514" s="6"/>
      <c r="BG514" s="6">
        <f>IFERROR(__xludf.DUMMYFUNCTION("""COMPUTED_VALUE"""),2032.0)</f>
        <v>2032</v>
      </c>
      <c r="BH514" s="15">
        <f>IFERROR(__xludf.DUMMYFUNCTION("""COMPUTED_VALUE"""),46204.75638888889)</f>
        <v>46204.75639</v>
      </c>
      <c r="BI514" s="6">
        <f>IFERROR(__xludf.DUMMYFUNCTION("""COMPUTED_VALUE"""),514.0)</f>
        <v>514</v>
      </c>
      <c r="BJ514" s="6"/>
      <c r="BK514" s="6"/>
      <c r="BL514" s="6" t="str">
        <f>IFERROR(__xludf.DUMMYFUNCTION("""COMPUTED_VALUE"""),"GISGOM0005")</f>
        <v>GISGOM0005</v>
      </c>
      <c r="BM514" s="6"/>
      <c r="BN514" s="6"/>
      <c r="BO514" s="6" t="str">
        <f>IFERROR(__xludf.DUMMYFUNCTION("""COMPUTED_VALUE"""),"XC_MS_Futbol_M")</f>
        <v>XC_MS_Futbol_M</v>
      </c>
      <c r="BP514" s="6"/>
      <c r="BQ514" s="6" t="str">
        <f>IFERROR(__xludf.DUMMYFUNCTION("""COMPUTED_VALUE"""),"XC_MS_Futbol_M")</f>
        <v>XC_MS_Futbol_M</v>
      </c>
      <c r="BR514" s="6" t="str">
        <f>IFERROR(__xludf.DUMMYFUNCTION("""COMPUTED_VALUE"""),"XC_MS_Futbol_M")</f>
        <v>XC_MS_Futbol_M</v>
      </c>
      <c r="BS514" s="6"/>
      <c r="BT514" s="6" t="str">
        <f>IFERROR(__xludf.DUMMYFUNCTION("""COMPUTED_VALUE"""),"XC_MS_Futbol_M")</f>
        <v>XC_MS_Futbol_M</v>
      </c>
      <c r="BU514" s="6" t="str">
        <f>IFERROR(__xludf.DUMMYFUNCTION("""COMPUTED_VALUE"""),"SI")</f>
        <v>SI</v>
      </c>
      <c r="BV514" s="6" t="str">
        <f>IFERROR(__xludf.DUMMYFUNCTION("""COMPUTED_VALUE"""),"emmanuel.g2032")</f>
        <v>emmanuel.g2032</v>
      </c>
      <c r="BW514" s="6"/>
      <c r="BX514" s="6"/>
      <c r="BY514" s="6"/>
      <c r="BZ514" s="6"/>
    </row>
    <row r="515">
      <c r="A515" s="12">
        <f>IFERROR(__xludf.DUMMYFUNCTION("""COMPUTED_VALUE"""),1.141524592E9)</f>
        <v>1141524592</v>
      </c>
      <c r="B515" s="6">
        <f>IFERROR(__xludf.DUMMYFUNCTION("""COMPUTED_VALUE"""),17.0)</f>
        <v>17</v>
      </c>
      <c r="C515" s="6" t="str">
        <f>IFERROR(__xludf.DUMMYFUNCTION("""COMPUTED_VALUE"""),"Emmanuel")</f>
        <v>Emmanuel</v>
      </c>
      <c r="D515" s="6"/>
      <c r="E515" s="6" t="str">
        <f>IFERROR(__xludf.DUMMYFUNCTION("""COMPUTED_VALUE"""),"Guerrero Ríos")</f>
        <v>Guerrero Ríos</v>
      </c>
      <c r="F515" s="6" t="str">
        <f>IFERROR(__xludf.DUMMYFUNCTION("""COMPUTED_VALUE"""),"Condominio Cedro Negro Casa 23 - Km 6 Via Circasia Vereda El Congal")</f>
        <v>Condominio Cedro Negro Casa 23 - Km 6 Via Circasia Vereda El Congal</v>
      </c>
      <c r="G515" s="12" t="str">
        <f>IFERROR(__xludf.DUMMYFUNCTION("""COMPUTED_VALUE"""),"2014")</f>
        <v>2014</v>
      </c>
      <c r="H515" s="6" t="str">
        <f>IFERROR(__xludf.DUMMYFUNCTION("""COMPUTED_VALUE"""),"Marzo")</f>
        <v>Marzo</v>
      </c>
      <c r="I515" s="12" t="str">
        <f>IFERROR(__xludf.DUMMYFUNCTION("""COMPUTED_VALUE"""),"22")</f>
        <v>22</v>
      </c>
      <c r="J515" s="6" t="str">
        <f>IFERROR(__xludf.DUMMYFUNCTION("""COMPUTED_VALUE"""),"Bogotá D.C.")</f>
        <v>Bogotá D.C.</v>
      </c>
      <c r="K515" s="6" t="str">
        <f>IFERROR(__xludf.DUMMYFUNCTION("""COMPUTED_VALUE"""),"emmanuel.gr2032@gi.edu.co")</f>
        <v>emmanuel.gr2032@gi.edu.co</v>
      </c>
      <c r="L515" s="6" t="str">
        <f>IFERROR(__xludf.DUMMYFUNCTION("""COMPUTED_VALUE"""),"TI")</f>
        <v>TI</v>
      </c>
      <c r="M515" s="6" t="str">
        <f>IFERROR(__xludf.DUMMYFUNCTION("""COMPUTED_VALUE"""),"Armenia")</f>
        <v>Armenia</v>
      </c>
      <c r="N515" s="6" t="str">
        <f>IFERROR(__xludf.DUMMYFUNCTION("""COMPUTED_VALUE"""),"M")</f>
        <v>M</v>
      </c>
      <c r="O515" s="6" t="str">
        <f>IFERROR(__xludf.DUMMYFUNCTION("""COMPUTED_VALUE"""),"ACTIVE")</f>
        <v>ACTIVE</v>
      </c>
      <c r="P515" s="6"/>
      <c r="Q515" s="6" t="str">
        <f>IFERROR(__xludf.DUMMYFUNCTION("""COMPUTED_VALUE"""),"Circasia")</f>
        <v>Circasia</v>
      </c>
      <c r="R515" s="12" t="str">
        <f>IFERROR(__xludf.DUMMYFUNCTION("""COMPUTED_VALUE"""),"Giyucv45*")</f>
        <v>Giyucv45*</v>
      </c>
      <c r="S515" s="6" t="str">
        <f>IFERROR(__xludf.DUMMYFUNCTION("""COMPUTED_VALUE"""),"Guerrero Ríos Emmanuel ")</f>
        <v>Guerrero Ríos Emmanuel </v>
      </c>
      <c r="T515" s="6" t="str">
        <f>IFERROR(__xludf.DUMMYFUNCTION("""COMPUTED_VALUE"""),"LUIS ALVARO GUERRERO LARA")</f>
        <v>LUIS ALVARO GUERRERO LARA</v>
      </c>
      <c r="U515" s="12" t="str">
        <f>IFERROR(__xludf.DUMMYFUNCTION("""COMPUTED_VALUE"""),"79914917")</f>
        <v>79914917</v>
      </c>
      <c r="V515" s="6">
        <f>IFERROR(__xludf.DUMMYFUNCTION("""COMPUTED_VALUE"""),3.144739174E9)</f>
        <v>3144739174</v>
      </c>
      <c r="W515" s="6" t="str">
        <f>IFERROR(__xludf.DUMMYFUNCTION("""COMPUTED_VALUE"""),"luisalvaro.gl@gmail.com")</f>
        <v>luisalvaro.gl@gmail.com</v>
      </c>
      <c r="X515" s="12" t="str">
        <f>IFERROR(__xludf.DUMMYFUNCTION("""COMPUTED_VALUE"""),"B+")</f>
        <v>B+</v>
      </c>
      <c r="Y515" s="12" t="str">
        <f>IFERROR(__xludf.DUMMYFUNCTION("""COMPUTED_VALUE"""),"7")</f>
        <v>7</v>
      </c>
      <c r="Z515" s="12">
        <f>IFERROR(__xludf.DUMMYFUNCTION("""COMPUTED_VALUE"""),103829.0)</f>
        <v>103829</v>
      </c>
      <c r="AA515" s="6" t="str">
        <f>IFERROR(__xludf.DUMMYFUNCTION("""COMPUTED_VALUE"""),"SALUD TOTAL")</f>
        <v>SALUD TOTAL</v>
      </c>
      <c r="AB515" s="6" t="str">
        <f>IFERROR(__xludf.DUMMYFUNCTION("""COMPUTED_VALUE"""),"Colmedica Medicina Prepagada")</f>
        <v>Colmedica Medicina Prepagada</v>
      </c>
      <c r="AC515" s="6"/>
      <c r="AD515" s="12" t="str">
        <f>IFERROR(__xludf.DUMMYFUNCTION("""COMPUTED_VALUE"""),"7B")</f>
        <v>7B</v>
      </c>
      <c r="AE515" s="12">
        <f>IFERROR(__xludf.DUMMYFUNCTION("""COMPUTED_VALUE"""),1.345281927E9)</f>
        <v>1345281927</v>
      </c>
      <c r="AF515" s="12" t="str">
        <f>IFERROR(__xludf.DUMMYFUNCTION("""COMPUTED_VALUE"""),"0687553091")</f>
        <v>0687553091</v>
      </c>
      <c r="AG515" s="12" t="str">
        <f>IFERROR(__xludf.DUMMYFUNCTION("""COMPUTED_VALUE"""),"Diana")</f>
        <v>Diana</v>
      </c>
      <c r="AH515" s="12" t="str">
        <f>IFERROR(__xludf.DUMMYFUNCTION("""COMPUTED_VALUE"""),"Carolina")</f>
        <v>Carolina</v>
      </c>
      <c r="AI515" s="6" t="str">
        <f>IFERROR(__xludf.DUMMYFUNCTION("""COMPUTED_VALUE"""),"Ríos Ríos")</f>
        <v>Ríos Ríos</v>
      </c>
      <c r="AJ515" s="6" t="str">
        <f>IFERROR(__xludf.DUMMYFUNCTION("""COMPUTED_VALUE"""),"carolinarios_23@hotmail.com")</f>
        <v>carolinarios_23@hotmail.com</v>
      </c>
      <c r="AK515" s="6" t="str">
        <f>IFERROR(__xludf.DUMMYFUNCTION("""COMPUTED_VALUE"""),"Contador público")</f>
        <v>Contador público</v>
      </c>
      <c r="AL515" s="6"/>
      <c r="AM515" s="12" t="str">
        <f>IFERROR(__xludf.DUMMYFUNCTION("""COMPUTED_VALUE"""),"1121843490")</f>
        <v>1121843490</v>
      </c>
      <c r="AN515" s="12" t="str">
        <f>IFERROR(__xludf.DUMMYFUNCTION("""COMPUTED_VALUE"""),"3204910618")</f>
        <v>3204910618</v>
      </c>
      <c r="AO515" s="6" t="str">
        <f>IFERROR(__xludf.DUMMYFUNCTION("""COMPUTED_VALUE"""),"Madre")</f>
        <v>Madre</v>
      </c>
      <c r="AP515" s="6" t="str">
        <f>IFERROR(__xludf.DUMMYFUNCTION("""COMPUTED_VALUE"""),"Estudiante(s): Guerrero Ríos")</f>
        <v>Estudiante(s): Guerrero Ríos</v>
      </c>
      <c r="AQ515" s="6" t="str">
        <f>IFERROR(__xludf.DUMMYFUNCTION("""COMPUTED_VALUE"""),"103829*Gi")</f>
        <v>103829*Gi</v>
      </c>
      <c r="AR515" s="6" t="str">
        <f>IFERROR(__xludf.DUMMYFUNCTION("""COMPUTED_VALUE"""),"Luis")</f>
        <v>Luis</v>
      </c>
      <c r="AS515" s="6" t="str">
        <f>IFERROR(__xludf.DUMMYFUNCTION("""COMPUTED_VALUE"""),"Álvaro")</f>
        <v>Álvaro</v>
      </c>
      <c r="AT515" s="6" t="str">
        <f>IFERROR(__xludf.DUMMYFUNCTION("""COMPUTED_VALUE"""),"Guerrero Lara")</f>
        <v>Guerrero Lara</v>
      </c>
      <c r="AU515" s="6" t="str">
        <f>IFERROR(__xludf.DUMMYFUNCTION("""COMPUTED_VALUE"""),"luisalvaro.gl@gmail.com")</f>
        <v>luisalvaro.gl@gmail.com</v>
      </c>
      <c r="AV515" s="6" t="str">
        <f>IFERROR(__xludf.DUMMYFUNCTION("""COMPUTED_VALUE"""),"Ing. petroleo")</f>
        <v>Ing. petroleo</v>
      </c>
      <c r="AW515" s="6" t="str">
        <f>IFERROR(__xludf.DUMMYFUNCTION("""COMPUTED_VALUE"""),"Halliburton")</f>
        <v>Halliburton</v>
      </c>
      <c r="AX515" s="12" t="str">
        <f>IFERROR(__xludf.DUMMYFUNCTION("""COMPUTED_VALUE"""),"79914917")</f>
        <v>79914917</v>
      </c>
      <c r="AY515" s="12" t="str">
        <f>IFERROR(__xludf.DUMMYFUNCTION("""COMPUTED_VALUE"""),"3144739174")</f>
        <v>3144739174</v>
      </c>
      <c r="AZ515" s="6" t="str">
        <f>IFERROR(__xludf.DUMMYFUNCTION("""COMPUTED_VALUE"""),"Padre")</f>
        <v>Padre</v>
      </c>
      <c r="BA515" s="6"/>
      <c r="BB515" s="6"/>
      <c r="BC515" s="6"/>
      <c r="BD515" s="12" t="str">
        <f>IFERROR(__xludf.DUMMYFUNCTION("""COMPUTED_VALUE"""),"gue0003")</f>
        <v>gue0003</v>
      </c>
      <c r="BE515" s="6"/>
      <c r="BF515" s="6"/>
      <c r="BG515" s="6">
        <f>IFERROR(__xludf.DUMMYFUNCTION("""COMPUTED_VALUE"""),2032.0)</f>
        <v>2032</v>
      </c>
      <c r="BH515" s="15">
        <f>IFERROR(__xludf.DUMMYFUNCTION("""COMPUTED_VALUE"""),46207.573900462965)</f>
        <v>46207.5739</v>
      </c>
      <c r="BI515" s="6">
        <f>IFERROR(__xludf.DUMMYFUNCTION("""COMPUTED_VALUE"""),515.0)</f>
        <v>515</v>
      </c>
      <c r="BJ515" s="6"/>
      <c r="BK515" s="6"/>
      <c r="BL515" s="6" t="str">
        <f>IFERROR(__xludf.DUMMYFUNCTION("""COMPUTED_VALUE"""),"GISGUE0003")</f>
        <v>GISGUE0003</v>
      </c>
      <c r="BM515" s="6"/>
      <c r="BN515" s="6"/>
      <c r="BO515" s="6" t="str">
        <f>IFERROR(__xludf.DUMMYFUNCTION("""COMPUTED_VALUE"""),"XC_MS_Futbol_M")</f>
        <v>XC_MS_Futbol_M</v>
      </c>
      <c r="BP515" s="6" t="str">
        <f>IFERROR(__xludf.DUMMYFUNCTION("""COMPUTED_VALUE"""),"XC_SEC_BandaFW")</f>
        <v>XC_SEC_BandaFW</v>
      </c>
      <c r="BQ515" s="6" t="str">
        <f>IFERROR(__xludf.DUMMYFUNCTION("""COMPUTED_VALUE"""),"XC_MS_Futbol_M")</f>
        <v>XC_MS_Futbol_M</v>
      </c>
      <c r="BR515" s="6" t="str">
        <f>IFERROR(__xludf.DUMMYFUNCTION("""COMPUTED_VALUE"""),"XC_MS_Futbol_M")</f>
        <v>XC_MS_Futbol_M</v>
      </c>
      <c r="BS515" s="6"/>
      <c r="BT515" s="6" t="str">
        <f>IFERROR(__xludf.DUMMYFUNCTION("""COMPUTED_VALUE"""),"XC_MS_Futbol_M")</f>
        <v>XC_MS_Futbol_M</v>
      </c>
      <c r="BU515" s="6" t="str">
        <f>IFERROR(__xludf.DUMMYFUNCTION("""COMPUTED_VALUE"""),"NO")</f>
        <v>NO</v>
      </c>
      <c r="BV515" s="6" t="str">
        <f>IFERROR(__xludf.DUMMYFUNCTION("""COMPUTED_VALUE"""),"emmanuel.gr2032")</f>
        <v>emmanuel.gr2032</v>
      </c>
      <c r="BW515" s="6"/>
      <c r="BX515" s="6"/>
      <c r="BY515" s="6"/>
      <c r="BZ515" s="6"/>
    </row>
    <row r="516">
      <c r="A516" s="12">
        <f>IFERROR(__xludf.DUMMYFUNCTION("""COMPUTED_VALUE"""),1.025327858E9)</f>
        <v>1025327858</v>
      </c>
      <c r="B516" s="6">
        <f>IFERROR(__xludf.DUMMYFUNCTION("""COMPUTED_VALUE"""),18.0)</f>
        <v>18</v>
      </c>
      <c r="C516" s="6" t="str">
        <f>IFERROR(__xludf.DUMMYFUNCTION("""COMPUTED_VALUE"""),"Esteban")</f>
        <v>Esteban</v>
      </c>
      <c r="D516" s="6"/>
      <c r="E516" s="6" t="str">
        <f>IFERROR(__xludf.DUMMYFUNCTION("""COMPUTED_VALUE"""),"Jaramillo Cortés")</f>
        <v>Jaramillo Cortés</v>
      </c>
      <c r="F516" s="6" t="str">
        <f>IFERROR(__xludf.DUMMYFUNCTION("""COMPUTED_VALUE"""),"Botanika Torre 1 - Calle 3 No7 - 51")</f>
        <v>Botanika Torre 1 - Calle 3 No7 - 51</v>
      </c>
      <c r="G516" s="12">
        <f>IFERROR(__xludf.DUMMYFUNCTION("""COMPUTED_VALUE"""),2013.0)</f>
        <v>2013</v>
      </c>
      <c r="H516" s="6" t="str">
        <f>IFERROR(__xludf.DUMMYFUNCTION("""COMPUTED_VALUE"""),"Noviembre")</f>
        <v>Noviembre</v>
      </c>
      <c r="I516" s="12">
        <f>IFERROR(__xludf.DUMMYFUNCTION("""COMPUTED_VALUE"""),2.0)</f>
        <v>2</v>
      </c>
      <c r="J516" s="6" t="str">
        <f>IFERROR(__xludf.DUMMYFUNCTION("""COMPUTED_VALUE"""),"Bogotá D.C.")</f>
        <v>Bogotá D.C.</v>
      </c>
      <c r="K516" s="6" t="str">
        <f>IFERROR(__xludf.DUMMYFUNCTION("""COMPUTED_VALUE"""),"esteban.j2032@gi.edu.co")</f>
        <v>esteban.j2032@gi.edu.co</v>
      </c>
      <c r="L516" s="6" t="str">
        <f>IFERROR(__xludf.DUMMYFUNCTION("""COMPUTED_VALUE"""),"TI")</f>
        <v>TI</v>
      </c>
      <c r="M516" s="6" t="str">
        <f>IFERROR(__xludf.DUMMYFUNCTION("""COMPUTED_VALUE"""),"Bogotá D.C.")</f>
        <v>Bogotá D.C.</v>
      </c>
      <c r="N516" s="6" t="str">
        <f>IFERROR(__xludf.DUMMYFUNCTION("""COMPUTED_VALUE"""),"M")</f>
        <v>M</v>
      </c>
      <c r="O516" s="6" t="str">
        <f>IFERROR(__xludf.DUMMYFUNCTION("""COMPUTED_VALUE"""),"ACTIVE")</f>
        <v>ACTIVE</v>
      </c>
      <c r="P516" s="6"/>
      <c r="Q516" s="6" t="str">
        <f>IFERROR(__xludf.DUMMYFUNCTION("""COMPUTED_VALUE"""),"Armenia")</f>
        <v>Armenia</v>
      </c>
      <c r="R516" s="12" t="str">
        <f>IFERROR(__xludf.DUMMYFUNCTION("""COMPUTED_VALUE"""),"Gikl22uvc*")</f>
        <v>Gikl22uvc*</v>
      </c>
      <c r="S516" s="6" t="str">
        <f>IFERROR(__xludf.DUMMYFUNCTION("""COMPUTED_VALUE"""),"Jaramillo Cortés Esteban ")</f>
        <v>Jaramillo Cortés Esteban </v>
      </c>
      <c r="T516" s="6" t="str">
        <f>IFERROR(__xludf.DUMMYFUNCTION("""COMPUTED_VALUE"""),"MAS QUE DISENO S.A.S.")</f>
        <v>MAS QUE DISENO S.A.S.</v>
      </c>
      <c r="U516" s="12" t="str">
        <f>IFERROR(__xludf.DUMMYFUNCTION("""COMPUTED_VALUE"""),"900569940")</f>
        <v>900569940</v>
      </c>
      <c r="V516" s="6">
        <f>IFERROR(__xludf.DUMMYFUNCTION("""COMPUTED_VALUE"""),3.007262969E9)</f>
        <v>3007262969</v>
      </c>
      <c r="W516" s="6" t="str">
        <f>IFERROR(__xludf.DUMMYFUNCTION("""COMPUTED_VALUE"""),"contabilidad@masquediseno.com.co")</f>
        <v>contabilidad@masquediseno.com.co</v>
      </c>
      <c r="X516" s="12" t="str">
        <f>IFERROR(__xludf.DUMMYFUNCTION("""COMPUTED_VALUE"""),"O+")</f>
        <v>O+</v>
      </c>
      <c r="Y516" s="12" t="str">
        <f>IFERROR(__xludf.DUMMYFUNCTION("""COMPUTED_VALUE"""),"7")</f>
        <v>7</v>
      </c>
      <c r="Z516" s="12">
        <f>IFERROR(__xludf.DUMMYFUNCTION("""COMPUTED_VALUE"""),120520.0)</f>
        <v>120520</v>
      </c>
      <c r="AA516" s="6" t="str">
        <f>IFERROR(__xludf.DUMMYFUNCTION("""COMPUTED_VALUE"""),"SURA")</f>
        <v>SURA</v>
      </c>
      <c r="AB516" s="6"/>
      <c r="AC516" s="6"/>
      <c r="AD516" s="12" t="str">
        <f>IFERROR(__xludf.DUMMYFUNCTION("""COMPUTED_VALUE"""),"7A")</f>
        <v>7A</v>
      </c>
      <c r="AE516" s="12" t="str">
        <f>IFERROR(__xludf.DUMMYFUNCTION("""COMPUTED_VALUE"""),"1345282519")</f>
        <v>1345282519</v>
      </c>
      <c r="AF516" s="6"/>
      <c r="AG516" s="12" t="str">
        <f>IFERROR(__xludf.DUMMYFUNCTION("""COMPUTED_VALUE"""),"Nathaly")</f>
        <v>Nathaly</v>
      </c>
      <c r="AH516" s="6"/>
      <c r="AI516" s="6" t="str">
        <f>IFERROR(__xludf.DUMMYFUNCTION("""COMPUTED_VALUE"""),"Cortés García")</f>
        <v>Cortés García</v>
      </c>
      <c r="AJ516" s="6" t="str">
        <f>IFERROR(__xludf.DUMMYFUNCTION("""COMPUTED_VALUE"""),"ncortes@masquediseno.com.co")</f>
        <v>ncortes@masquediseno.com.co</v>
      </c>
      <c r="AK516" s="6" t="str">
        <f>IFERROR(__xludf.DUMMYFUNCTION("""COMPUTED_VALUE"""),"DISEÑADORA GRÁFICA")</f>
        <v>DISEÑADORA GRÁFICA</v>
      </c>
      <c r="AL516" s="6" t="str">
        <f>IFERROR(__xludf.DUMMYFUNCTION("""COMPUTED_VALUE"""),"MÁS QUE DISEÑO SAS")</f>
        <v>MÁS QUE DISEÑO SAS</v>
      </c>
      <c r="AM516" s="12" t="str">
        <f>IFERROR(__xludf.DUMMYFUNCTION("""COMPUTED_VALUE"""),"53062530")</f>
        <v>53062530</v>
      </c>
      <c r="AN516" s="12" t="str">
        <f>IFERROR(__xludf.DUMMYFUNCTION("""COMPUTED_VALUE"""),"3005558719")</f>
        <v>3005558719</v>
      </c>
      <c r="AO516" s="6" t="str">
        <f>IFERROR(__xludf.DUMMYFUNCTION("""COMPUTED_VALUE"""),"Madre")</f>
        <v>Madre</v>
      </c>
      <c r="AP516" s="6" t="str">
        <f>IFERROR(__xludf.DUMMYFUNCTION("""COMPUTED_VALUE"""),"Estudiante(s): Jaramillo Cortés")</f>
        <v>Estudiante(s): Jaramillo Cortés</v>
      </c>
      <c r="AQ516" s="6" t="str">
        <f>IFERROR(__xludf.DUMMYFUNCTION("""COMPUTED_VALUE"""),"120520*Gi")</f>
        <v>120520*Gi</v>
      </c>
      <c r="AR516" s="6" t="str">
        <f>IFERROR(__xludf.DUMMYFUNCTION("""COMPUTED_VALUE"""),"Nicolás")</f>
        <v>Nicolás</v>
      </c>
      <c r="AS516" s="6"/>
      <c r="AT516" s="6" t="str">
        <f>IFERROR(__xludf.DUMMYFUNCTION("""COMPUTED_VALUE"""),"Jaramillo Ricaurte")</f>
        <v>Jaramillo Ricaurte</v>
      </c>
      <c r="AU516" s="6" t="str">
        <f>IFERROR(__xludf.DUMMYFUNCTION("""COMPUTED_VALUE"""),"njaramillo@masquediseno.com.co")</f>
        <v>njaramillo@masquediseno.com.co</v>
      </c>
      <c r="AV516" s="6" t="str">
        <f>IFERROR(__xludf.DUMMYFUNCTION("""COMPUTED_VALUE"""),"DISEÑADOR INDUSTRIAL")</f>
        <v>DISEÑADOR INDUSTRIAL</v>
      </c>
      <c r="AW516" s="6" t="str">
        <f>IFERROR(__xludf.DUMMYFUNCTION("""COMPUTED_VALUE"""),"MÁS QUE DISEÑO SAS")</f>
        <v>MÁS QUE DISEÑO SAS</v>
      </c>
      <c r="AX516" s="12" t="str">
        <f>IFERROR(__xludf.DUMMYFUNCTION("""COMPUTED_VALUE"""),"1018403851")</f>
        <v>1018403851</v>
      </c>
      <c r="AY516" s="12" t="str">
        <f>IFERROR(__xludf.DUMMYFUNCTION("""COMPUTED_VALUE"""),"3007262969")</f>
        <v>3007262969</v>
      </c>
      <c r="AZ516" s="6" t="str">
        <f>IFERROR(__xludf.DUMMYFUNCTION("""COMPUTED_VALUE"""),"Padre")</f>
        <v>Padre</v>
      </c>
      <c r="BA516" s="6"/>
      <c r="BB516" s="6"/>
      <c r="BC516" s="6"/>
      <c r="BD516" s="12" t="str">
        <f>IFERROR(__xludf.DUMMYFUNCTION("""COMPUTED_VALUE"""),"jar0028")</f>
        <v>jar0028</v>
      </c>
      <c r="BE516" s="6"/>
      <c r="BF516" s="6"/>
      <c r="BG516" s="6">
        <f>IFERROR(__xludf.DUMMYFUNCTION("""COMPUTED_VALUE"""),2032.0)</f>
        <v>2032</v>
      </c>
      <c r="BH516" s="15">
        <f>IFERROR(__xludf.DUMMYFUNCTION("""COMPUTED_VALUE"""),46205.50064814815)</f>
        <v>46205.50065</v>
      </c>
      <c r="BI516" s="6">
        <f>IFERROR(__xludf.DUMMYFUNCTION("""COMPUTED_VALUE"""),516.0)</f>
        <v>516</v>
      </c>
      <c r="BJ516" s="6"/>
      <c r="BK516" s="6"/>
      <c r="BL516" s="6" t="str">
        <f>IFERROR(__xludf.DUMMYFUNCTION("""COMPUTED_VALUE"""),"GISJAR0028")</f>
        <v>GISJAR0028</v>
      </c>
      <c r="BM516" s="6"/>
      <c r="BN516" s="6"/>
      <c r="BO516" s="6" t="str">
        <f>IFERROR(__xludf.DUMMYFUNCTION("""COMPUTED_VALUE"""),"XC_MS_Futbol_M")</f>
        <v>XC_MS_Futbol_M</v>
      </c>
      <c r="BP516" s="6"/>
      <c r="BQ516" s="6" t="str">
        <f>IFERROR(__xludf.DUMMYFUNCTION("""COMPUTED_VALUE"""),"XC_MS_Futbol_M")</f>
        <v>XC_MS_Futbol_M</v>
      </c>
      <c r="BR516" s="6" t="str">
        <f>IFERROR(__xludf.DUMMYFUNCTION("""COMPUTED_VALUE"""),"XC_MS_Futbol_M")</f>
        <v>XC_MS_Futbol_M</v>
      </c>
      <c r="BS516" s="6"/>
      <c r="BT516" s="6" t="str">
        <f>IFERROR(__xludf.DUMMYFUNCTION("""COMPUTED_VALUE"""),"XC_MS_Futbol_M")</f>
        <v>XC_MS_Futbol_M</v>
      </c>
      <c r="BU516" s="6" t="str">
        <f>IFERROR(__xludf.DUMMYFUNCTION("""COMPUTED_VALUE"""),"SI")</f>
        <v>SI</v>
      </c>
      <c r="BV516" s="6" t="str">
        <f>IFERROR(__xludf.DUMMYFUNCTION("""COMPUTED_VALUE"""),"esteban.j2032")</f>
        <v>esteban.j2032</v>
      </c>
      <c r="BW516" s="6"/>
      <c r="BX516" s="6"/>
      <c r="BY516" s="6"/>
      <c r="BZ516" s="6"/>
    </row>
    <row r="517">
      <c r="A517" s="12">
        <f>IFERROR(__xludf.DUMMYFUNCTION("""COMPUTED_VALUE"""),1.092463409E9)</f>
        <v>1092463409</v>
      </c>
      <c r="B517" s="6">
        <f>IFERROR(__xludf.DUMMYFUNCTION("""COMPUTED_VALUE"""),19.0)</f>
        <v>19</v>
      </c>
      <c r="C517" s="6" t="str">
        <f>IFERROR(__xludf.DUMMYFUNCTION("""COMPUTED_VALUE"""),"Jacobo")</f>
        <v>Jacobo</v>
      </c>
      <c r="D517" s="6"/>
      <c r="E517" s="6" t="str">
        <f>IFERROR(__xludf.DUMMYFUNCTION("""COMPUTED_VALUE"""),"Jaramillo Plazas")</f>
        <v>Jaramillo Plazas</v>
      </c>
      <c r="F517" s="6" t="str">
        <f>IFERROR(__xludf.DUMMYFUNCTION("""COMPUTED_VALUE"""),"Conjunto Bosques de San Juan Casa 13 - Cra 6 No43Nte - 50 Av Centenario")</f>
        <v>Conjunto Bosques de San Juan Casa 13 - Cra 6 No43Nte - 50 Av Centenario</v>
      </c>
      <c r="G517" s="12" t="str">
        <f>IFERROR(__xludf.DUMMYFUNCTION("""COMPUTED_VALUE"""),"2013")</f>
        <v>2013</v>
      </c>
      <c r="H517" s="6" t="str">
        <f>IFERROR(__xludf.DUMMYFUNCTION("""COMPUTED_VALUE"""),"Noviembre")</f>
        <v>Noviembre</v>
      </c>
      <c r="I517" s="12" t="str">
        <f>IFERROR(__xludf.DUMMYFUNCTION("""COMPUTED_VALUE"""),"1")</f>
        <v>1</v>
      </c>
      <c r="J517" s="6" t="str">
        <f>IFERROR(__xludf.DUMMYFUNCTION("""COMPUTED_VALUE"""),"Armenia")</f>
        <v>Armenia</v>
      </c>
      <c r="K517" s="6" t="str">
        <f>IFERROR(__xludf.DUMMYFUNCTION("""COMPUTED_VALUE"""),"jacobo.j2032@gi.edu.co")</f>
        <v>jacobo.j2032@gi.edu.co</v>
      </c>
      <c r="L517" s="6" t="str">
        <f>IFERROR(__xludf.DUMMYFUNCTION("""COMPUTED_VALUE"""),"TI")</f>
        <v>TI</v>
      </c>
      <c r="M517" s="6" t="str">
        <f>IFERROR(__xludf.DUMMYFUNCTION("""COMPUTED_VALUE"""),"Armenia")</f>
        <v>Armenia</v>
      </c>
      <c r="N517" s="6" t="str">
        <f>IFERROR(__xludf.DUMMYFUNCTION("""COMPUTED_VALUE"""),"M")</f>
        <v>M</v>
      </c>
      <c r="O517" s="6" t="str">
        <f>IFERROR(__xludf.DUMMYFUNCTION("""COMPUTED_VALUE"""),"ACTIVE")</f>
        <v>ACTIVE</v>
      </c>
      <c r="P517" s="6"/>
      <c r="Q517" s="6" t="str">
        <f>IFERROR(__xludf.DUMMYFUNCTION("""COMPUTED_VALUE"""),"Armenia")</f>
        <v>Armenia</v>
      </c>
      <c r="R517" s="12" t="str">
        <f>IFERROR(__xludf.DUMMYFUNCTION("""COMPUTED_VALUE"""),"Gih69ds2qy*")</f>
        <v>Gih69ds2qy*</v>
      </c>
      <c r="S517" s="6" t="str">
        <f>IFERROR(__xludf.DUMMYFUNCTION("""COMPUTED_VALUE"""),"Jaramillo Plazas Jacobo ")</f>
        <v>Jaramillo Plazas Jacobo </v>
      </c>
      <c r="T517" s="6" t="str">
        <f>IFERROR(__xludf.DUMMYFUNCTION("""COMPUTED_VALUE"""),"NORMA LORENA PLAZAS HENAO")</f>
        <v>NORMA LORENA PLAZAS HENAO</v>
      </c>
      <c r="U517" s="12" t="str">
        <f>IFERROR(__xludf.DUMMYFUNCTION("""COMPUTED_VALUE"""),"41936572")</f>
        <v>41936572</v>
      </c>
      <c r="V517" s="6">
        <f>IFERROR(__xludf.DUMMYFUNCTION("""COMPUTED_VALUE"""),3.156192041E9)</f>
        <v>3156192041</v>
      </c>
      <c r="W517" s="6" t="str">
        <f>IFERROR(__xludf.DUMMYFUNCTION("""COMPUTED_VALUE"""),"normal_ph@hotmail.com")</f>
        <v>normal_ph@hotmail.com</v>
      </c>
      <c r="X517" s="12" t="str">
        <f>IFERROR(__xludf.DUMMYFUNCTION("""COMPUTED_VALUE"""),"O+")</f>
        <v>O+</v>
      </c>
      <c r="Y517" s="12" t="str">
        <f>IFERROR(__xludf.DUMMYFUNCTION("""COMPUTED_VALUE"""),"7")</f>
        <v>7</v>
      </c>
      <c r="Z517" s="12">
        <f>IFERROR(__xludf.DUMMYFUNCTION("""COMPUTED_VALUE"""),103492.0)</f>
        <v>103492</v>
      </c>
      <c r="AA517" s="6" t="str">
        <f>IFERROR(__xludf.DUMMYFUNCTION("""COMPUTED_VALUE"""),"SANITAS")</f>
        <v>SANITAS</v>
      </c>
      <c r="AB517" s="6" t="str">
        <f>IFERROR(__xludf.DUMMYFUNCTION("""COMPUTED_VALUE"""),"EMI")</f>
        <v>EMI</v>
      </c>
      <c r="AC517" s="6"/>
      <c r="AD517" s="12" t="str">
        <f>IFERROR(__xludf.DUMMYFUNCTION("""COMPUTED_VALUE"""),"7B")</f>
        <v>7B</v>
      </c>
      <c r="AE517" s="12">
        <f>IFERROR(__xludf.DUMMYFUNCTION("""COMPUTED_VALUE"""),1.345281709E9)</f>
        <v>1345281709</v>
      </c>
      <c r="AF517" s="12" t="str">
        <f>IFERROR(__xludf.DUMMYFUNCTION("""COMPUTED_VALUE"""),"0699931283")</f>
        <v>0699931283</v>
      </c>
      <c r="AG517" s="12" t="str">
        <f>IFERROR(__xludf.DUMMYFUNCTION("""COMPUTED_VALUE"""),"Norma")</f>
        <v>Norma</v>
      </c>
      <c r="AH517" s="12" t="str">
        <f>IFERROR(__xludf.DUMMYFUNCTION("""COMPUTED_VALUE"""),"Lorena")</f>
        <v>Lorena</v>
      </c>
      <c r="AI517" s="6" t="str">
        <f>IFERROR(__xludf.DUMMYFUNCTION("""COMPUTED_VALUE"""),"Plazas Henao")</f>
        <v>Plazas Henao</v>
      </c>
      <c r="AJ517" s="6" t="str">
        <f>IFERROR(__xludf.DUMMYFUNCTION("""COMPUTED_VALUE"""),"normal_ph@hotmail.com")</f>
        <v>normal_ph@hotmail.com</v>
      </c>
      <c r="AK517" s="6" t="str">
        <f>IFERROR(__xludf.DUMMYFUNCTION("""COMPUTED_VALUE"""),"Abogada")</f>
        <v>Abogada</v>
      </c>
      <c r="AL517" s="6" t="str">
        <f>IFERROR(__xludf.DUMMYFUNCTION("""COMPUTED_VALUE"""),"Oficina de Registro e Instrumentos Públicos")</f>
        <v>Oficina de Registro e Instrumentos Públicos</v>
      </c>
      <c r="AM517" s="12" t="str">
        <f>IFERROR(__xludf.DUMMYFUNCTION("""COMPUTED_VALUE"""),"41936572")</f>
        <v>41936572</v>
      </c>
      <c r="AN517" s="12" t="str">
        <f>IFERROR(__xludf.DUMMYFUNCTION("""COMPUTED_VALUE"""),"3156192041")</f>
        <v>3156192041</v>
      </c>
      <c r="AO517" s="6" t="str">
        <f>IFERROR(__xludf.DUMMYFUNCTION("""COMPUTED_VALUE"""),"Madre")</f>
        <v>Madre</v>
      </c>
      <c r="AP517" s="6" t="str">
        <f>IFERROR(__xludf.DUMMYFUNCTION("""COMPUTED_VALUE"""),"Estudiante(s): Jaramillo Plazas")</f>
        <v>Estudiante(s): Jaramillo Plazas</v>
      </c>
      <c r="AQ517" s="6" t="str">
        <f>IFERROR(__xludf.DUMMYFUNCTION("""COMPUTED_VALUE"""),"103492*Gi")</f>
        <v>103492*Gi</v>
      </c>
      <c r="AR517" s="6" t="str">
        <f>IFERROR(__xludf.DUMMYFUNCTION("""COMPUTED_VALUE"""),"Jorge")</f>
        <v>Jorge</v>
      </c>
      <c r="AS517" s="6" t="str">
        <f>IFERROR(__xludf.DUMMYFUNCTION("""COMPUTED_VALUE"""),"Hernán")</f>
        <v>Hernán</v>
      </c>
      <c r="AT517" s="6" t="str">
        <f>IFERROR(__xludf.DUMMYFUNCTION("""COMPUTED_VALUE"""),"Jaramillo Durán")</f>
        <v>Jaramillo Durán</v>
      </c>
      <c r="AU517" s="6" t="str">
        <f>IFERROR(__xludf.DUMMYFUNCTION("""COMPUTED_VALUE"""),"johe_jd@yahoo.com")</f>
        <v>johe_jd@yahoo.com</v>
      </c>
      <c r="AV517" s="6" t="str">
        <f>IFERROR(__xludf.DUMMYFUNCTION("""COMPUTED_VALUE"""),"Economista")</f>
        <v>Economista</v>
      </c>
      <c r="AW517" s="6" t="str">
        <f>IFERROR(__xludf.DUMMYFUNCTION("""COMPUTED_VALUE"""),"Independiente")</f>
        <v>Independiente</v>
      </c>
      <c r="AX517" s="12" t="str">
        <f>IFERROR(__xludf.DUMMYFUNCTION("""COMPUTED_VALUE"""),"18393318")</f>
        <v>18393318</v>
      </c>
      <c r="AY517" s="12" t="str">
        <f>IFERROR(__xludf.DUMMYFUNCTION("""COMPUTED_VALUE"""),"3158919316")</f>
        <v>3158919316</v>
      </c>
      <c r="AZ517" s="6" t="str">
        <f>IFERROR(__xludf.DUMMYFUNCTION("""COMPUTED_VALUE"""),"Padre")</f>
        <v>Padre</v>
      </c>
      <c r="BA517" s="6"/>
      <c r="BB517" s="6"/>
      <c r="BC517" s="6"/>
      <c r="BD517" s="12" t="str">
        <f>IFERROR(__xludf.DUMMYFUNCTION("""COMPUTED_VALUE"""),"jar0020")</f>
        <v>jar0020</v>
      </c>
      <c r="BE517" s="6"/>
      <c r="BF517" s="6"/>
      <c r="BG517" s="6">
        <f>IFERROR(__xludf.DUMMYFUNCTION("""COMPUTED_VALUE"""),2032.0)</f>
        <v>2032</v>
      </c>
      <c r="BH517" s="15">
        <f>IFERROR(__xludf.DUMMYFUNCTION("""COMPUTED_VALUE"""),46185.373020833336)</f>
        <v>46185.37302</v>
      </c>
      <c r="BI517" s="6">
        <f>IFERROR(__xludf.DUMMYFUNCTION("""COMPUTED_VALUE"""),517.0)</f>
        <v>517</v>
      </c>
      <c r="BJ517" s="6"/>
      <c r="BK517" s="6"/>
      <c r="BL517" s="6" t="str">
        <f>IFERROR(__xludf.DUMMYFUNCTION("""COMPUTED_VALUE"""),"GISJAR0020")</f>
        <v>GISJAR0020</v>
      </c>
      <c r="BM517" s="6"/>
      <c r="BN517" s="6"/>
      <c r="BO517" s="6"/>
      <c r="BP517" s="6" t="str">
        <f>IFERROR(__xludf.DUMMYFUNCTION("""COMPUTED_VALUE"""),"XC_SEC_BandaFW")</f>
        <v>XC_SEC_BandaFW</v>
      </c>
      <c r="BQ517" s="6"/>
      <c r="BR517" s="6"/>
      <c r="BS517" s="6"/>
      <c r="BT517" s="6"/>
      <c r="BU517" s="6" t="str">
        <f>IFERROR(__xludf.DUMMYFUNCTION("""COMPUTED_VALUE"""),"SI")</f>
        <v>SI</v>
      </c>
      <c r="BV517" s="6" t="str">
        <f>IFERROR(__xludf.DUMMYFUNCTION("""COMPUTED_VALUE"""),"jacobo.j2032")</f>
        <v>jacobo.j2032</v>
      </c>
      <c r="BW517" s="6"/>
      <c r="BX517" s="6"/>
      <c r="BY517" s="6"/>
      <c r="BZ517" s="6"/>
    </row>
    <row r="518">
      <c r="A518" s="12">
        <f>IFERROR(__xludf.DUMMYFUNCTION("""COMPUTED_VALUE"""),1.220218812E9)</f>
        <v>1220218812</v>
      </c>
      <c r="B518" s="6">
        <f>IFERROR(__xludf.DUMMYFUNCTION("""COMPUTED_VALUE"""),20.0)</f>
        <v>20</v>
      </c>
      <c r="C518" s="6" t="str">
        <f>IFERROR(__xludf.DUMMYFUNCTION("""COMPUTED_VALUE"""),"Juan")</f>
        <v>Juan</v>
      </c>
      <c r="D518" s="6" t="str">
        <f>IFERROR(__xludf.DUMMYFUNCTION("""COMPUTED_VALUE"""),"Pablo")</f>
        <v>Pablo</v>
      </c>
      <c r="E518" s="6" t="str">
        <f>IFERROR(__xludf.DUMMYFUNCTION("""COMPUTED_VALUE"""),"Jiménez Sánchez")</f>
        <v>Jiménez Sánchez</v>
      </c>
      <c r="F518" s="6" t="str">
        <f>IFERROR(__xludf.DUMMYFUNCTION("""COMPUTED_VALUE"""),"Av centenario casas jordan Cs 29 - centenario")</f>
        <v>Av centenario casas jordan Cs 29 - centenario</v>
      </c>
      <c r="G518" s="12">
        <f>IFERROR(__xludf.DUMMYFUNCTION("""COMPUTED_VALUE"""),2014.0)</f>
        <v>2014</v>
      </c>
      <c r="H518" s="12" t="str">
        <f>IFERROR(__xludf.DUMMYFUNCTION("""COMPUTED_VALUE"""),"Diciembre")</f>
        <v>Diciembre</v>
      </c>
      <c r="I518" s="12">
        <f>IFERROR(__xludf.DUMMYFUNCTION("""COMPUTED_VALUE"""),29.0)</f>
        <v>29</v>
      </c>
      <c r="J518" s="6"/>
      <c r="K518" s="12" t="str">
        <f>IFERROR(__xludf.DUMMYFUNCTION("""COMPUTED_VALUE"""),"juanpablo.j2032@gi.edu.co")</f>
        <v>juanpablo.j2032@gi.edu.co</v>
      </c>
      <c r="L518" s="6" t="str">
        <f>IFERROR(__xludf.DUMMYFUNCTION("""COMPUTED_VALUE"""),"TI")</f>
        <v>TI</v>
      </c>
      <c r="M518" s="6" t="str">
        <f>IFERROR(__xludf.DUMMYFUNCTION("""COMPUTED_VALUE"""),"Armenia")</f>
        <v>Armenia</v>
      </c>
      <c r="N518" s="6" t="str">
        <f>IFERROR(__xludf.DUMMYFUNCTION("""COMPUTED_VALUE"""),"M")</f>
        <v>M</v>
      </c>
      <c r="O518" s="6" t="str">
        <f>IFERROR(__xludf.DUMMYFUNCTION("""COMPUTED_VALUE"""),"ACTIVE")</f>
        <v>ACTIVE</v>
      </c>
      <c r="P518" s="6"/>
      <c r="Q518" s="6"/>
      <c r="R518" s="12" t="str">
        <f>IFERROR(__xludf.DUMMYFUNCTION("""COMPUTED_VALUE"""),"GiQ4Nk9M*")</f>
        <v>GiQ4Nk9M*</v>
      </c>
      <c r="S518" s="6" t="str">
        <f>IFERROR(__xludf.DUMMYFUNCTION("""COMPUTED_VALUE"""),"Jiménez Sánchez Juan Pablo")</f>
        <v>Jiménez Sánchez Juan Pablo</v>
      </c>
      <c r="T518" s="6" t="str">
        <f>IFERROR(__xludf.DUMMYFUNCTION("""COMPUTED_VALUE"""),"LINA MARCELA SANCHEZ HOYOS")</f>
        <v>LINA MARCELA SANCHEZ HOYOS</v>
      </c>
      <c r="U518" s="12" t="str">
        <f>IFERROR(__xludf.DUMMYFUNCTION("""COMPUTED_VALUE"""),"1023883431")</f>
        <v>1023883431</v>
      </c>
      <c r="V518" s="6">
        <f>IFERROR(__xludf.DUMMYFUNCTION("""COMPUTED_VALUE"""),3.232253884E9)</f>
        <v>3232253884</v>
      </c>
      <c r="W518" s="6" t="str">
        <f>IFERROR(__xludf.DUMMYFUNCTION("""COMPUTED_VALUE"""),"linam1307@hotmail.com")</f>
        <v>linam1307@hotmail.com</v>
      </c>
      <c r="X518" s="12" t="str">
        <f>IFERROR(__xludf.DUMMYFUNCTION("""COMPUTED_VALUE"""),"A+")</f>
        <v>A+</v>
      </c>
      <c r="Y518" s="12" t="str">
        <f>IFERROR(__xludf.DUMMYFUNCTION("""COMPUTED_VALUE"""),"7")</f>
        <v>7</v>
      </c>
      <c r="Z518" s="6">
        <f>IFERROR(__xludf.DUMMYFUNCTION("""COMPUTED_VALUE"""),120626.0)</f>
        <v>120626</v>
      </c>
      <c r="AA518" s="6" t="str">
        <f>IFERROR(__xludf.DUMMYFUNCTION("""COMPUTED_VALUE"""),"NUEVA EPS")</f>
        <v>NUEVA EPS</v>
      </c>
      <c r="AB518" s="6"/>
      <c r="AC518" s="12" t="str">
        <f>IFERROR(__xludf.DUMMYFUNCTION("""COMPUTED_VALUE"""),"Dermatitis atopica")</f>
        <v>Dermatitis atopica</v>
      </c>
      <c r="AD518" s="12" t="str">
        <f>IFERROR(__xludf.DUMMYFUNCTION("""COMPUTED_VALUE"""),"7A")</f>
        <v>7A</v>
      </c>
      <c r="AE518" s="12" t="str">
        <f>IFERROR(__xludf.DUMMYFUNCTION("""COMPUTED_VALUE"""),"1345282622")</f>
        <v>1345282622</v>
      </c>
      <c r="AF518" s="6"/>
      <c r="AG518" s="12" t="str">
        <f>IFERROR(__xludf.DUMMYFUNCTION("""COMPUTED_VALUE"""),"Lina")</f>
        <v>Lina</v>
      </c>
      <c r="AH518" s="12" t="str">
        <f>IFERROR(__xludf.DUMMYFUNCTION("""COMPUTED_VALUE"""),"Marcela")</f>
        <v>Marcela</v>
      </c>
      <c r="AI518" s="6" t="str">
        <f>IFERROR(__xludf.DUMMYFUNCTION("""COMPUTED_VALUE"""),"Sánchez Hoyos")</f>
        <v>Sánchez Hoyos</v>
      </c>
      <c r="AJ518" s="6" t="str">
        <f>IFERROR(__xludf.DUMMYFUNCTION("""COMPUTED_VALUE"""),"linam1307@hotmail.com")</f>
        <v>linam1307@hotmail.com</v>
      </c>
      <c r="AK518" s="6" t="str">
        <f>IFERROR(__xludf.DUMMYFUNCTION("""COMPUTED_VALUE"""),"Tecnico dental")</f>
        <v>Tecnico dental</v>
      </c>
      <c r="AL518" s="6"/>
      <c r="AM518" s="12" t="str">
        <f>IFERROR(__xludf.DUMMYFUNCTION("""COMPUTED_VALUE"""),"1023883431")</f>
        <v>1023883431</v>
      </c>
      <c r="AN518" s="12" t="str">
        <f>IFERROR(__xludf.DUMMYFUNCTION("""COMPUTED_VALUE"""),"3232253884")</f>
        <v>3232253884</v>
      </c>
      <c r="AO518" s="6" t="str">
        <f>IFERROR(__xludf.DUMMYFUNCTION("""COMPUTED_VALUE"""),"Madre")</f>
        <v>Madre</v>
      </c>
      <c r="AP518" s="6" t="str">
        <f>IFERROR(__xludf.DUMMYFUNCTION("""COMPUTED_VALUE"""),"Estudiante(s): Jiménez Sánchez")</f>
        <v>Estudiante(s): Jiménez Sánchez</v>
      </c>
      <c r="AQ518" s="6" t="str">
        <f>IFERROR(__xludf.DUMMYFUNCTION("""COMPUTED_VALUE"""),"120626*Gi")</f>
        <v>120626*Gi</v>
      </c>
      <c r="AR518" s="6" t="str">
        <f>IFERROR(__xludf.DUMMYFUNCTION("""COMPUTED_VALUE"""),"Yony")</f>
        <v>Yony</v>
      </c>
      <c r="AS518" s="6" t="str">
        <f>IFERROR(__xludf.DUMMYFUNCTION("""COMPUTED_VALUE"""),"Ismael")</f>
        <v>Ismael</v>
      </c>
      <c r="AT518" s="6" t="str">
        <f>IFERROR(__xludf.DUMMYFUNCTION("""COMPUTED_VALUE"""),"Jiménez Rivera")</f>
        <v>Jiménez Rivera</v>
      </c>
      <c r="AU518" s="6" t="str">
        <f>IFERROR(__xludf.DUMMYFUNCTION("""COMPUTED_VALUE"""),"yonylab@hotmail.com")</f>
        <v>yonylab@hotmail.com</v>
      </c>
      <c r="AV518" s="6" t="str">
        <f>IFERROR(__xludf.DUMMYFUNCTION("""COMPUTED_VALUE"""),"Técnico dental -ceramista")</f>
        <v>Técnico dental -ceramista</v>
      </c>
      <c r="AW518" s="6"/>
      <c r="AX518" s="12" t="str">
        <f>IFERROR(__xludf.DUMMYFUNCTION("""COMPUTED_VALUE"""),"80913049")</f>
        <v>80913049</v>
      </c>
      <c r="AY518" s="12" t="str">
        <f>IFERROR(__xludf.DUMMYFUNCTION("""COMPUTED_VALUE"""),"3108178332")</f>
        <v>3108178332</v>
      </c>
      <c r="AZ518" s="6" t="str">
        <f>IFERROR(__xludf.DUMMYFUNCTION("""COMPUTED_VALUE"""),"Padre")</f>
        <v>Padre</v>
      </c>
      <c r="BA518" s="6"/>
      <c r="BB518" s="6"/>
      <c r="BC518" s="6"/>
      <c r="BD518" s="12" t="str">
        <f>IFERROR(__xludf.DUMMYFUNCTION("""COMPUTED_VALUE"""),"jim0010")</f>
        <v>jim0010</v>
      </c>
      <c r="BE518" s="6" t="str">
        <f>IFERROR(__xludf.DUMMYFUNCTION("""COMPUTED_VALUE"""),"NUEVO(A)")</f>
        <v>NUEVO(A)</v>
      </c>
      <c r="BF518" s="6"/>
      <c r="BG518" s="6">
        <f>IFERROR(__xludf.DUMMYFUNCTION("""COMPUTED_VALUE"""),2032.0)</f>
        <v>2032</v>
      </c>
      <c r="BH518" s="15">
        <f>IFERROR(__xludf.DUMMYFUNCTION("""COMPUTED_VALUE"""),46191.461747685185)</f>
        <v>46191.46175</v>
      </c>
      <c r="BI518" s="6">
        <f>IFERROR(__xludf.DUMMYFUNCTION("""COMPUTED_VALUE"""),518.0)</f>
        <v>518</v>
      </c>
      <c r="BJ518" s="6"/>
      <c r="BK518" s="6"/>
      <c r="BL518" s="6" t="str">
        <f>IFERROR(__xludf.DUMMYFUNCTION("""COMPUTED_VALUE"""),"GISJIM0010")</f>
        <v>GISJIM0010</v>
      </c>
      <c r="BM518" s="6"/>
      <c r="BN518" s="6"/>
      <c r="BO518" s="6"/>
      <c r="BP518" s="6"/>
      <c r="BQ518" s="6"/>
      <c r="BR518" s="6"/>
      <c r="BS518" s="6"/>
      <c r="BT518" s="6"/>
      <c r="BU518" s="6" t="str">
        <f>IFERROR(__xludf.DUMMYFUNCTION("""COMPUTED_VALUE"""),"SI")</f>
        <v>SI</v>
      </c>
      <c r="BV518" s="6" t="str">
        <f>IFERROR(__xludf.DUMMYFUNCTION("""COMPUTED_VALUE"""),"juanpablo.j2032")</f>
        <v>juanpablo.j2032</v>
      </c>
      <c r="BW518" s="6"/>
      <c r="BX518" s="6"/>
      <c r="BY518" s="6"/>
      <c r="BZ518" s="6"/>
    </row>
    <row r="519">
      <c r="A519" s="12">
        <f>IFERROR(__xludf.DUMMYFUNCTION("""COMPUTED_VALUE"""),1.030101304E9)</f>
        <v>1030101304</v>
      </c>
      <c r="B519" s="6">
        <f>IFERROR(__xludf.DUMMYFUNCTION("""COMPUTED_VALUE"""),21.0)</f>
        <v>21</v>
      </c>
      <c r="C519" s="6" t="str">
        <f>IFERROR(__xludf.DUMMYFUNCTION("""COMPUTED_VALUE"""),"Miguel")</f>
        <v>Miguel</v>
      </c>
      <c r="D519" s="6"/>
      <c r="E519" s="6" t="str">
        <f>IFERROR(__xludf.DUMMYFUNCTION("""COMPUTED_VALUE"""),"Londoño Gallo")</f>
        <v>Londoño Gallo</v>
      </c>
      <c r="F519" s="6" t="str">
        <f>IFERROR(__xludf.DUMMYFUNCTION("""COMPUTED_VALUE"""),"Condominio Samarkanda Campestre Casa 6 - Km. 2 Via Pereira")</f>
        <v>Condominio Samarkanda Campestre Casa 6 - Km. 2 Via Pereira</v>
      </c>
      <c r="G519" s="12" t="str">
        <f>IFERROR(__xludf.DUMMYFUNCTION("""COMPUTED_VALUE"""),"2014")</f>
        <v>2014</v>
      </c>
      <c r="H519" s="6" t="str">
        <f>IFERROR(__xludf.DUMMYFUNCTION("""COMPUTED_VALUE"""),"Enero")</f>
        <v>Enero</v>
      </c>
      <c r="I519" s="12" t="str">
        <f>IFERROR(__xludf.DUMMYFUNCTION("""COMPUTED_VALUE"""),"20")</f>
        <v>20</v>
      </c>
      <c r="J519" s="6" t="str">
        <f>IFERROR(__xludf.DUMMYFUNCTION("""COMPUTED_VALUE"""),"Armenia")</f>
        <v>Armenia</v>
      </c>
      <c r="K519" s="6" t="str">
        <f>IFERROR(__xludf.DUMMYFUNCTION("""COMPUTED_VALUE"""),"miguel.l2032@gi.edu.co")</f>
        <v>miguel.l2032@gi.edu.co</v>
      </c>
      <c r="L519" s="6" t="str">
        <f>IFERROR(__xludf.DUMMYFUNCTION("""COMPUTED_VALUE"""),"TI")</f>
        <v>TI</v>
      </c>
      <c r="M519" s="6" t="str">
        <f>IFERROR(__xludf.DUMMYFUNCTION("""COMPUTED_VALUE"""),"Armenia")</f>
        <v>Armenia</v>
      </c>
      <c r="N519" s="6" t="str">
        <f>IFERROR(__xludf.DUMMYFUNCTION("""COMPUTED_VALUE"""),"M")</f>
        <v>M</v>
      </c>
      <c r="O519" s="6" t="str">
        <f>IFERROR(__xludf.DUMMYFUNCTION("""COMPUTED_VALUE"""),"ACTIVE")</f>
        <v>ACTIVE</v>
      </c>
      <c r="P519" s="6"/>
      <c r="Q519" s="6" t="str">
        <f>IFERROR(__xludf.DUMMYFUNCTION("""COMPUTED_VALUE"""),"Armenia")</f>
        <v>Armenia</v>
      </c>
      <c r="R519" s="12" t="str">
        <f>IFERROR(__xludf.DUMMYFUNCTION("""COMPUTED_VALUE"""),"Gi2aer57b*")</f>
        <v>Gi2aer57b*</v>
      </c>
      <c r="S519" s="6" t="str">
        <f>IFERROR(__xludf.DUMMYFUNCTION("""COMPUTED_VALUE"""),"Londoño Gallo Miguel ")</f>
        <v>Londoño Gallo Miguel </v>
      </c>
      <c r="T519" s="6" t="str">
        <f>IFERROR(__xludf.DUMMYFUNCTION("""COMPUTED_VALUE"""),"ANDREA GALLO JARAMILLO")</f>
        <v>ANDREA GALLO JARAMILLO</v>
      </c>
      <c r="U519" s="12" t="str">
        <f>IFERROR(__xludf.DUMMYFUNCTION("""COMPUTED_VALUE"""),"41952983")</f>
        <v>41952983</v>
      </c>
      <c r="V519" s="6">
        <f>IFERROR(__xludf.DUMMYFUNCTION("""COMPUTED_VALUE"""),3.165251652E9)</f>
        <v>3165251652</v>
      </c>
      <c r="W519" s="6" t="str">
        <f>IFERROR(__xludf.DUMMYFUNCTION("""COMPUTED_VALUE"""),"agallo.sub@gmail.com")</f>
        <v>agallo.sub@gmail.com</v>
      </c>
      <c r="X519" s="12" t="str">
        <f>IFERROR(__xludf.DUMMYFUNCTION("""COMPUTED_VALUE"""),"O+")</f>
        <v>O+</v>
      </c>
      <c r="Y519" s="12" t="str">
        <f>IFERROR(__xludf.DUMMYFUNCTION("""COMPUTED_VALUE"""),"7")</f>
        <v>7</v>
      </c>
      <c r="Z519" s="12">
        <f>IFERROR(__xludf.DUMMYFUNCTION("""COMPUTED_VALUE"""),103405.0)</f>
        <v>103405</v>
      </c>
      <c r="AA519" s="6" t="str">
        <f>IFERROR(__xludf.DUMMYFUNCTION("""COMPUTED_VALUE"""),"SURA")</f>
        <v>SURA</v>
      </c>
      <c r="AB519" s="6" t="str">
        <f>IFERROR(__xludf.DUMMYFUNCTION("""COMPUTED_VALUE"""),"COLSANITAS")</f>
        <v>COLSANITAS</v>
      </c>
      <c r="AC519" s="6"/>
      <c r="AD519" s="12" t="str">
        <f>IFERROR(__xludf.DUMMYFUNCTION("""COMPUTED_VALUE"""),"7B")</f>
        <v>7B</v>
      </c>
      <c r="AE519" s="12">
        <f>IFERROR(__xludf.DUMMYFUNCTION("""COMPUTED_VALUE"""),1.345281652E9)</f>
        <v>1345281652</v>
      </c>
      <c r="AF519" s="12" t="str">
        <f>IFERROR(__xludf.DUMMYFUNCTION("""COMPUTED_VALUE"""),"0672903539")</f>
        <v>0672903539</v>
      </c>
      <c r="AG519" s="12" t="str">
        <f>IFERROR(__xludf.DUMMYFUNCTION("""COMPUTED_VALUE"""),"Andrea")</f>
        <v>Andrea</v>
      </c>
      <c r="AH519" s="6"/>
      <c r="AI519" s="6" t="str">
        <f>IFERROR(__xludf.DUMMYFUNCTION("""COMPUTED_VALUE"""),"Gallo Jaramillo")</f>
        <v>Gallo Jaramillo</v>
      </c>
      <c r="AJ519" s="6" t="str">
        <f>IFERROR(__xludf.DUMMYFUNCTION("""COMPUTED_VALUE"""),"agallo.sub@gmail.com")</f>
        <v>agallo.sub@gmail.com</v>
      </c>
      <c r="AK519" s="6" t="str">
        <f>IFERROR(__xludf.DUMMYFUNCTION("""COMPUTED_VALUE"""),"Administradora de empresas")</f>
        <v>Administradora de empresas</v>
      </c>
      <c r="AL519" s="6"/>
      <c r="AM519" s="12" t="str">
        <f>IFERROR(__xludf.DUMMYFUNCTION("""COMPUTED_VALUE"""),"41952983")</f>
        <v>41952983</v>
      </c>
      <c r="AN519" s="12" t="str">
        <f>IFERROR(__xludf.DUMMYFUNCTION("""COMPUTED_VALUE"""),"3165251652")</f>
        <v>3165251652</v>
      </c>
      <c r="AO519" s="6" t="str">
        <f>IFERROR(__xludf.DUMMYFUNCTION("""COMPUTED_VALUE"""),"Madre")</f>
        <v>Madre</v>
      </c>
      <c r="AP519" s="6" t="str">
        <f>IFERROR(__xludf.DUMMYFUNCTION("""COMPUTED_VALUE"""),"Estudiante(s): Londoño Gallo")</f>
        <v>Estudiante(s): Londoño Gallo</v>
      </c>
      <c r="AQ519" s="6" t="str">
        <f>IFERROR(__xludf.DUMMYFUNCTION("""COMPUTED_VALUE"""),"103405*Gi")</f>
        <v>103405*Gi</v>
      </c>
      <c r="AR519" s="6" t="str">
        <f>IFERROR(__xludf.DUMMYFUNCTION("""COMPUTED_VALUE"""),"Juan")</f>
        <v>Juan</v>
      </c>
      <c r="AS519" s="6" t="str">
        <f>IFERROR(__xludf.DUMMYFUNCTION("""COMPUTED_VALUE"""),"Camilo")</f>
        <v>Camilo</v>
      </c>
      <c r="AT519" s="6" t="str">
        <f>IFERROR(__xludf.DUMMYFUNCTION("""COMPUTED_VALUE"""),"Londoño Arango")</f>
        <v>Londoño Arango</v>
      </c>
      <c r="AU519" s="6" t="str">
        <f>IFERROR(__xludf.DUMMYFUNCTION("""COMPUTED_VALUE"""),"jclondar@hotmail.com")</f>
        <v>jclondar@hotmail.com</v>
      </c>
      <c r="AV519" s="6" t="str">
        <f>IFERROR(__xludf.DUMMYFUNCTION("""COMPUTED_VALUE"""),"Administrador")</f>
        <v>Administrador</v>
      </c>
      <c r="AW519" s="6" t="str">
        <f>IFERROR(__xludf.DUMMYFUNCTION("""COMPUTED_VALUE"""),"Independiente")</f>
        <v>Independiente</v>
      </c>
      <c r="AX519" s="12" t="str">
        <f>IFERROR(__xludf.DUMMYFUNCTION("""COMPUTED_VALUE"""),"79938828")</f>
        <v>79938828</v>
      </c>
      <c r="AY519" s="12" t="str">
        <f>IFERROR(__xludf.DUMMYFUNCTION("""COMPUTED_VALUE"""),"3153625290")</f>
        <v>3153625290</v>
      </c>
      <c r="AZ519" s="6" t="str">
        <f>IFERROR(__xludf.DUMMYFUNCTION("""COMPUTED_VALUE"""),"Padre")</f>
        <v>Padre</v>
      </c>
      <c r="BA519" s="6"/>
      <c r="BB519" s="6"/>
      <c r="BC519" s="6"/>
      <c r="BD519" s="12" t="str">
        <f>IFERROR(__xludf.DUMMYFUNCTION("""COMPUTED_VALUE"""),"lon0002")</f>
        <v>lon0002</v>
      </c>
      <c r="BE519" s="6"/>
      <c r="BF519" s="6"/>
      <c r="BG519" s="6">
        <f>IFERROR(__xludf.DUMMYFUNCTION("""COMPUTED_VALUE"""),2032.0)</f>
        <v>2032</v>
      </c>
      <c r="BH519" s="15">
        <f>IFERROR(__xludf.DUMMYFUNCTION("""COMPUTED_VALUE"""),46209.69414351852)</f>
        <v>46209.69414</v>
      </c>
      <c r="BI519" s="6">
        <f>IFERROR(__xludf.DUMMYFUNCTION("""COMPUTED_VALUE"""),519.0)</f>
        <v>519</v>
      </c>
      <c r="BJ519" s="6"/>
      <c r="BK519" s="6"/>
      <c r="BL519" s="6" t="str">
        <f>IFERROR(__xludf.DUMMYFUNCTION("""COMPUTED_VALUE"""),"GISLON0002")</f>
        <v>GISLON0002</v>
      </c>
      <c r="BM519" s="6"/>
      <c r="BN519" s="6"/>
      <c r="BO519" s="6" t="str">
        <f>IFERROR(__xludf.DUMMYFUNCTION("""COMPUTED_VALUE"""),"XC_MS_Futbol_M")</f>
        <v>XC_MS_Futbol_M</v>
      </c>
      <c r="BP519" s="6"/>
      <c r="BQ519" s="6" t="str">
        <f>IFERROR(__xludf.DUMMYFUNCTION("""COMPUTED_VALUE"""),"XC_MS_Futbol_M")</f>
        <v>XC_MS_Futbol_M</v>
      </c>
      <c r="BR519" s="6" t="str">
        <f>IFERROR(__xludf.DUMMYFUNCTION("""COMPUTED_VALUE"""),"XC_MS_Futbol_M")</f>
        <v>XC_MS_Futbol_M</v>
      </c>
      <c r="BS519" s="6"/>
      <c r="BT519" s="6" t="str">
        <f>IFERROR(__xludf.DUMMYFUNCTION("""COMPUTED_VALUE"""),"XC_MS_Futbol_M")</f>
        <v>XC_MS_Futbol_M</v>
      </c>
      <c r="BU519" s="6" t="str">
        <f>IFERROR(__xludf.DUMMYFUNCTION("""COMPUTED_VALUE"""),"SI")</f>
        <v>SI</v>
      </c>
      <c r="BV519" s="6" t="str">
        <f>IFERROR(__xludf.DUMMYFUNCTION("""COMPUTED_VALUE"""),"miguel.l2032")</f>
        <v>miguel.l2032</v>
      </c>
      <c r="BW519" s="6"/>
      <c r="BX519" s="6"/>
      <c r="BY519" s="6"/>
      <c r="BZ519" s="6"/>
    </row>
    <row r="520">
      <c r="A520" s="12">
        <f>IFERROR(__xludf.DUMMYFUNCTION("""COMPUTED_VALUE"""),1.095270037E9)</f>
        <v>1095270037</v>
      </c>
      <c r="B520" s="6">
        <f>IFERROR(__xludf.DUMMYFUNCTION("""COMPUTED_VALUE"""),22.0)</f>
        <v>22</v>
      </c>
      <c r="C520" s="6" t="str">
        <f>IFERROR(__xludf.DUMMYFUNCTION("""COMPUTED_VALUE"""),"Isabel")</f>
        <v>Isabel</v>
      </c>
      <c r="D520" s="6"/>
      <c r="E520" s="6" t="str">
        <f>IFERROR(__xludf.DUMMYFUNCTION("""COMPUTED_VALUE"""),"Londoño Patiño")</f>
        <v>Londoño Patiño</v>
      </c>
      <c r="F520" s="6" t="str">
        <f>IFERROR(__xludf.DUMMYFUNCTION("""COMPUTED_VALUE"""),"Parque Residencial Girasol Casa 19 Quimbaya - Vereda La Granja")</f>
        <v>Parque Residencial Girasol Casa 19 Quimbaya - Vereda La Granja</v>
      </c>
      <c r="G520" s="12" t="str">
        <f>IFERROR(__xludf.DUMMYFUNCTION("""COMPUTED_VALUE"""),"2014")</f>
        <v>2014</v>
      </c>
      <c r="H520" s="6" t="str">
        <f>IFERROR(__xludf.DUMMYFUNCTION("""COMPUTED_VALUE"""),"Noviembre")</f>
        <v>Noviembre</v>
      </c>
      <c r="I520" s="12" t="str">
        <f>IFERROR(__xludf.DUMMYFUNCTION("""COMPUTED_VALUE"""),"14")</f>
        <v>14</v>
      </c>
      <c r="J520" s="6" t="str">
        <f>IFERROR(__xludf.DUMMYFUNCTION("""COMPUTED_VALUE"""),"Armenia")</f>
        <v>Armenia</v>
      </c>
      <c r="K520" s="6" t="str">
        <f>IFERROR(__xludf.DUMMYFUNCTION("""COMPUTED_VALUE"""),"isabel.l2032@gi.edu.co")</f>
        <v>isabel.l2032@gi.edu.co</v>
      </c>
      <c r="L520" s="6" t="str">
        <f>IFERROR(__xludf.DUMMYFUNCTION("""COMPUTED_VALUE"""),"TI")</f>
        <v>TI</v>
      </c>
      <c r="M520" s="6" t="str">
        <f>IFERROR(__xludf.DUMMYFUNCTION("""COMPUTED_VALUE"""),"Armenia")</f>
        <v>Armenia</v>
      </c>
      <c r="N520" s="6" t="str">
        <f>IFERROR(__xludf.DUMMYFUNCTION("""COMPUTED_VALUE"""),"F")</f>
        <v>F</v>
      </c>
      <c r="O520" s="6" t="str">
        <f>IFERROR(__xludf.DUMMYFUNCTION("""COMPUTED_VALUE"""),"ACTIVE")</f>
        <v>ACTIVE</v>
      </c>
      <c r="P520" s="6"/>
      <c r="Q520" s="6" t="str">
        <f>IFERROR(__xludf.DUMMYFUNCTION("""COMPUTED_VALUE"""),"Quimbaya")</f>
        <v>Quimbaya</v>
      </c>
      <c r="R520" s="12" t="str">
        <f>IFERROR(__xludf.DUMMYFUNCTION("""COMPUTED_VALUE"""),"Gip975twk*")</f>
        <v>Gip975twk*</v>
      </c>
      <c r="S520" s="6" t="str">
        <f>IFERROR(__xludf.DUMMYFUNCTION("""COMPUTED_VALUE"""),"Londoño Patiño Isabel ")</f>
        <v>Londoño Patiño Isabel </v>
      </c>
      <c r="T520" s="6" t="str">
        <f>IFERROR(__xludf.DUMMYFUNCTION("""COMPUTED_VALUE"""),"CONSTRUCTORA Y COMERCIALIZADORA POPORO SAS BIC")</f>
        <v>CONSTRUCTORA Y COMERCIALIZADORA POPORO SAS BIC</v>
      </c>
      <c r="U520" s="12" t="str">
        <f>IFERROR(__xludf.DUMMYFUNCTION("""COMPUTED_VALUE"""),"900211721")</f>
        <v>900211721</v>
      </c>
      <c r="V520" s="6">
        <f>IFERROR(__xludf.DUMMYFUNCTION("""COMPUTED_VALUE"""),3.20692802E9)</f>
        <v>3206928020</v>
      </c>
      <c r="W520" s="6" t="str">
        <f>IFERROR(__xludf.DUMMYFUNCTION("""COMPUTED_VALUE"""),"vicenegocios@constructorapoporo.com")</f>
        <v>vicenegocios@constructorapoporo.com</v>
      </c>
      <c r="X520" s="12" t="str">
        <f>IFERROR(__xludf.DUMMYFUNCTION("""COMPUTED_VALUE"""),"O+")</f>
        <v>O+</v>
      </c>
      <c r="Y520" s="12" t="str">
        <f>IFERROR(__xludf.DUMMYFUNCTION("""COMPUTED_VALUE"""),"7")</f>
        <v>7</v>
      </c>
      <c r="Z520" s="12">
        <f>IFERROR(__xludf.DUMMYFUNCTION("""COMPUTED_VALUE"""),120055.0)</f>
        <v>120055</v>
      </c>
      <c r="AA520" s="6" t="str">
        <f>IFERROR(__xludf.DUMMYFUNCTION("""COMPUTED_VALUE"""),"SURA")</f>
        <v>SURA</v>
      </c>
      <c r="AB520" s="6"/>
      <c r="AC520" s="6"/>
      <c r="AD520" s="12" t="str">
        <f>IFERROR(__xludf.DUMMYFUNCTION("""COMPUTED_VALUE"""),"7A")</f>
        <v>7A</v>
      </c>
      <c r="AE520" s="12">
        <f>IFERROR(__xludf.DUMMYFUNCTION("""COMPUTED_VALUE"""),1.345282066E9)</f>
        <v>1345282066</v>
      </c>
      <c r="AF520" s="12" t="str">
        <f>IFERROR(__xludf.DUMMYFUNCTION("""COMPUTED_VALUE"""),"0673325843")</f>
        <v>0673325843</v>
      </c>
      <c r="AG520" s="12" t="str">
        <f>IFERROR(__xludf.DUMMYFUNCTION("""COMPUTED_VALUE"""),"Laura")</f>
        <v>Laura</v>
      </c>
      <c r="AH520" s="12" t="str">
        <f>IFERROR(__xludf.DUMMYFUNCTION("""COMPUTED_VALUE"""),"Viviana")</f>
        <v>Viviana</v>
      </c>
      <c r="AI520" s="6" t="str">
        <f>IFERROR(__xludf.DUMMYFUNCTION("""COMPUTED_VALUE"""),"Patiño Buitrago")</f>
        <v>Patiño Buitrago</v>
      </c>
      <c r="AJ520" s="6" t="str">
        <f>IFERROR(__xludf.DUMMYFUNCTION("""COMPUTED_VALUE"""),"laurapatino85@hotmail.com")</f>
        <v>laurapatino85@hotmail.com</v>
      </c>
      <c r="AK520" s="6" t="str">
        <f>IFERROR(__xludf.DUMMYFUNCTION("""COMPUTED_VALUE"""),"Medico Laboral")</f>
        <v>Medico Laboral</v>
      </c>
      <c r="AL520" s="6" t="str">
        <f>IFERROR(__xludf.DUMMYFUNCTION("""COMPUTED_VALUE"""),"ceinssa")</f>
        <v>ceinssa</v>
      </c>
      <c r="AM520" s="12" t="str">
        <f>IFERROR(__xludf.DUMMYFUNCTION("""COMPUTED_VALUE"""),"41961599")</f>
        <v>41961599</v>
      </c>
      <c r="AN520" s="12" t="str">
        <f>IFERROR(__xludf.DUMMYFUNCTION("""COMPUTED_VALUE"""),"3146535010")</f>
        <v>3146535010</v>
      </c>
      <c r="AO520" s="6" t="str">
        <f>IFERROR(__xludf.DUMMYFUNCTION("""COMPUTED_VALUE"""),"Madre")</f>
        <v>Madre</v>
      </c>
      <c r="AP520" s="6" t="str">
        <f>IFERROR(__xludf.DUMMYFUNCTION("""COMPUTED_VALUE"""),"Estudiante(s): Londoño Patiño")</f>
        <v>Estudiante(s): Londoño Patiño</v>
      </c>
      <c r="AQ520" s="6" t="str">
        <f>IFERROR(__xludf.DUMMYFUNCTION("""COMPUTED_VALUE"""),"120055*Gi")</f>
        <v>120055*Gi</v>
      </c>
      <c r="AR520" s="6" t="str">
        <f>IFERROR(__xludf.DUMMYFUNCTION("""COMPUTED_VALUE"""),"Ricardo")</f>
        <v>Ricardo</v>
      </c>
      <c r="AS520" s="6"/>
      <c r="AT520" s="6" t="str">
        <f>IFERROR(__xludf.DUMMYFUNCTION("""COMPUTED_VALUE"""),"Londoño Londoño")</f>
        <v>Londoño Londoño</v>
      </c>
      <c r="AU520" s="6" t="str">
        <f>IFERROR(__xludf.DUMMYFUNCTION("""COMPUTED_VALUE"""),"vicenegocios@constructorapoporo.com")</f>
        <v>vicenegocios@constructorapoporo.com</v>
      </c>
      <c r="AV520" s="6" t="str">
        <f>IFERROR(__xludf.DUMMYFUNCTION("""COMPUTED_VALUE"""),"INGENIERO CIVIL")</f>
        <v>INGENIERO CIVIL</v>
      </c>
      <c r="AW520" s="6" t="str">
        <f>IFERROR(__xludf.DUMMYFUNCTION("""COMPUTED_VALUE"""),"CONSTRUCTORA POPORO SAS")</f>
        <v>CONSTRUCTORA POPORO SAS</v>
      </c>
      <c r="AX520" s="12" t="str">
        <f>IFERROR(__xludf.DUMMYFUNCTION("""COMPUTED_VALUE"""),"18469535")</f>
        <v>18469535</v>
      </c>
      <c r="AY520" s="12" t="str">
        <f>IFERROR(__xludf.DUMMYFUNCTION("""COMPUTED_VALUE"""),"3206928020")</f>
        <v>3206928020</v>
      </c>
      <c r="AZ520" s="6" t="str">
        <f>IFERROR(__xludf.DUMMYFUNCTION("""COMPUTED_VALUE"""),"Padre")</f>
        <v>Padre</v>
      </c>
      <c r="BA520" s="6"/>
      <c r="BB520" s="6"/>
      <c r="BC520" s="6"/>
      <c r="BD520" s="12" t="str">
        <f>IFERROR(__xludf.DUMMYFUNCTION("""COMPUTED_VALUE"""),"lon0004")</f>
        <v>lon0004</v>
      </c>
      <c r="BE520" s="6"/>
      <c r="BF520" s="6"/>
      <c r="BG520" s="6">
        <f>IFERROR(__xludf.DUMMYFUNCTION("""COMPUTED_VALUE"""),2032.0)</f>
        <v>2032</v>
      </c>
      <c r="BH520" s="15">
        <f>IFERROR(__xludf.DUMMYFUNCTION("""COMPUTED_VALUE"""),46205.483460648145)</f>
        <v>46205.48346</v>
      </c>
      <c r="BI520" s="6">
        <f>IFERROR(__xludf.DUMMYFUNCTION("""COMPUTED_VALUE"""),520.0)</f>
        <v>520</v>
      </c>
      <c r="BJ520" s="6"/>
      <c r="BK520" s="6"/>
      <c r="BL520" s="6" t="str">
        <f>IFERROR(__xludf.DUMMYFUNCTION("""COMPUTED_VALUE"""),"GISLON0004")</f>
        <v>GISLON0004</v>
      </c>
      <c r="BM520" s="6"/>
      <c r="BN520" s="6"/>
      <c r="BO520" s="6" t="str">
        <f>IFERROR(__xludf.DUMMYFUNCTION("""COMPUTED_VALUE"""),"XC_MS_Voleibol_F")</f>
        <v>XC_MS_Voleibol_F</v>
      </c>
      <c r="BP520" s="6" t="str">
        <f>IFERROR(__xludf.DUMMYFUNCTION("""COMPUTED_VALUE"""),"XC_SEC_BandaFW")</f>
        <v>XC_SEC_BandaFW</v>
      </c>
      <c r="BQ520" s="6" t="str">
        <f>IFERROR(__xludf.DUMMYFUNCTION("""COMPUTED_VALUE"""),"XC_MS_Voleibol_F")</f>
        <v>XC_MS_Voleibol_F</v>
      </c>
      <c r="BR520" s="6" t="str">
        <f>IFERROR(__xludf.DUMMYFUNCTION("""COMPUTED_VALUE"""),"XC_MS_Voleibol_F")</f>
        <v>XC_MS_Voleibol_F</v>
      </c>
      <c r="BS520" s="6"/>
      <c r="BT520" s="6" t="str">
        <f>IFERROR(__xludf.DUMMYFUNCTION("""COMPUTED_VALUE"""),"XC_MS_Voleibol_F")</f>
        <v>XC_MS_Voleibol_F</v>
      </c>
      <c r="BU520" s="6" t="str">
        <f>IFERROR(__xludf.DUMMYFUNCTION("""COMPUTED_VALUE"""),"SI")</f>
        <v>SI</v>
      </c>
      <c r="BV520" s="6" t="str">
        <f>IFERROR(__xludf.DUMMYFUNCTION("""COMPUTED_VALUE"""),"isabel.l2032")</f>
        <v>isabel.l2032</v>
      </c>
      <c r="BW520" s="6"/>
      <c r="BX520" s="6"/>
      <c r="BY520" s="6"/>
      <c r="BZ520" s="6"/>
    </row>
    <row r="521">
      <c r="A521" s="12">
        <f>IFERROR(__xludf.DUMMYFUNCTION("""COMPUTED_VALUE"""),1.034317585E9)</f>
        <v>1034317585</v>
      </c>
      <c r="B521" s="6">
        <f>IFERROR(__xludf.DUMMYFUNCTION("""COMPUTED_VALUE"""),23.0)</f>
        <v>23</v>
      </c>
      <c r="C521" s="6" t="str">
        <f>IFERROR(__xludf.DUMMYFUNCTION("""COMPUTED_VALUE"""),"Nickole")</f>
        <v>Nickole</v>
      </c>
      <c r="D521" s="6"/>
      <c r="E521" s="6" t="str">
        <f>IFERROR(__xludf.DUMMYFUNCTION("""COMPUTED_VALUE"""),"López Heredia")</f>
        <v>López Heredia</v>
      </c>
      <c r="F521" s="6" t="str">
        <f>IFERROR(__xludf.DUMMYFUNCTION("""COMPUTED_VALUE"""),"Hacienda Cortijo Imperial Parque Residencial Los Cedros Torre 1 Apto 508 - Calle 49Nte No14 - 09")</f>
        <v>Hacienda Cortijo Imperial Parque Residencial Los Cedros Torre 1 Apto 508 - Calle 49Nte No14 - 09</v>
      </c>
      <c r="G521" s="12" t="str">
        <f>IFERROR(__xludf.DUMMYFUNCTION("""COMPUTED_VALUE"""),"2013")</f>
        <v>2013</v>
      </c>
      <c r="H521" s="6" t="str">
        <f>IFERROR(__xludf.DUMMYFUNCTION("""COMPUTED_VALUE"""),"Junio")</f>
        <v>Junio</v>
      </c>
      <c r="I521" s="12" t="str">
        <f>IFERROR(__xludf.DUMMYFUNCTION("""COMPUTED_VALUE"""),"19")</f>
        <v>19</v>
      </c>
      <c r="J521" s="6" t="str">
        <f>IFERROR(__xludf.DUMMYFUNCTION("""COMPUTED_VALUE"""),"Miramar Beach")</f>
        <v>Miramar Beach</v>
      </c>
      <c r="K521" s="6" t="str">
        <f>IFERROR(__xludf.DUMMYFUNCTION("""COMPUTED_VALUE"""),"nickole.l2032@gi.edu.co")</f>
        <v>nickole.l2032@gi.edu.co</v>
      </c>
      <c r="L521" s="6" t="str">
        <f>IFERROR(__xludf.DUMMYFUNCTION("""COMPUTED_VALUE"""),"TI")</f>
        <v>TI</v>
      </c>
      <c r="M521" s="6" t="str">
        <f>IFERROR(__xludf.DUMMYFUNCTION("""COMPUTED_VALUE"""),"Bogotá D.C.")</f>
        <v>Bogotá D.C.</v>
      </c>
      <c r="N521" s="6" t="str">
        <f>IFERROR(__xludf.DUMMYFUNCTION("""COMPUTED_VALUE"""),"F")</f>
        <v>F</v>
      </c>
      <c r="O521" s="6" t="str">
        <f>IFERROR(__xludf.DUMMYFUNCTION("""COMPUTED_VALUE"""),"ACTIVE")</f>
        <v>ACTIVE</v>
      </c>
      <c r="P521" s="6"/>
      <c r="Q521" s="6" t="str">
        <f>IFERROR(__xludf.DUMMYFUNCTION("""COMPUTED_VALUE"""),"Armenia")</f>
        <v>Armenia</v>
      </c>
      <c r="R521" s="12" t="str">
        <f>IFERROR(__xludf.DUMMYFUNCTION("""COMPUTED_VALUE"""),"GiqAqky*")</f>
        <v>GiqAqky*</v>
      </c>
      <c r="S521" s="6" t="str">
        <f>IFERROR(__xludf.DUMMYFUNCTION("""COMPUTED_VALUE"""),"López Heredia Nickole ")</f>
        <v>López Heredia Nickole </v>
      </c>
      <c r="T521" s="6" t="str">
        <f>IFERROR(__xludf.DUMMYFUNCTION("""COMPUTED_VALUE"""),"JORGE ANDRES LOPEZ SANDOVAL")</f>
        <v>JORGE ANDRES LOPEZ SANDOVAL</v>
      </c>
      <c r="U521" s="12" t="str">
        <f>IFERROR(__xludf.DUMMYFUNCTION("""COMPUTED_VALUE"""),"94383629")</f>
        <v>94383629</v>
      </c>
      <c r="V521" s="6">
        <f>IFERROR(__xludf.DUMMYFUNCTION("""COMPUTED_VALUE"""),3.214639335E9)</f>
        <v>3214639335</v>
      </c>
      <c r="W521" s="6" t="str">
        <f>IFERROR(__xludf.DUMMYFUNCTION("""COMPUTED_VALUE"""),"jorglopezsandoval@gmail.com")</f>
        <v>jorglopezsandoval@gmail.com</v>
      </c>
      <c r="X521" s="12" t="str">
        <f>IFERROR(__xludf.DUMMYFUNCTION("""COMPUTED_VALUE"""),"O+")</f>
        <v>O+</v>
      </c>
      <c r="Y521" s="12" t="str">
        <f>IFERROR(__xludf.DUMMYFUNCTION("""COMPUTED_VALUE"""),"7")</f>
        <v>7</v>
      </c>
      <c r="Z521" s="12">
        <f>IFERROR(__xludf.DUMMYFUNCTION("""COMPUTED_VALUE"""),120158.0)</f>
        <v>120158</v>
      </c>
      <c r="AA521" s="6" t="str">
        <f>IFERROR(__xludf.DUMMYFUNCTION("""COMPUTED_VALUE"""),"SURA")</f>
        <v>SURA</v>
      </c>
      <c r="AB521" s="6"/>
      <c r="AC521" s="6"/>
      <c r="AD521" s="12" t="str">
        <f>IFERROR(__xludf.DUMMYFUNCTION("""COMPUTED_VALUE"""),"7B")</f>
        <v>7B</v>
      </c>
      <c r="AE521" s="12">
        <f>IFERROR(__xludf.DUMMYFUNCTION("""COMPUTED_VALUE"""),1.345282149E9)</f>
        <v>1345282149</v>
      </c>
      <c r="AF521" s="12" t="str">
        <f>IFERROR(__xludf.DUMMYFUNCTION("""COMPUTED_VALUE"""),"0672935107")</f>
        <v>0672935107</v>
      </c>
      <c r="AG521" s="12" t="str">
        <f>IFERROR(__xludf.DUMMYFUNCTION("""COMPUTED_VALUE"""),"Thelma")</f>
        <v>Thelma</v>
      </c>
      <c r="AH521" s="12" t="str">
        <f>IFERROR(__xludf.DUMMYFUNCTION("""COMPUTED_VALUE"""),"Rebeca")</f>
        <v>Rebeca</v>
      </c>
      <c r="AI521" s="6" t="str">
        <f>IFERROR(__xludf.DUMMYFUNCTION("""COMPUTED_VALUE"""),"Heredia Castillo")</f>
        <v>Heredia Castillo</v>
      </c>
      <c r="AJ521" s="6" t="str">
        <f>IFERROR(__xludf.DUMMYFUNCTION("""COMPUTED_VALUE"""),"rebeccaherediaoficial@gmail.com")</f>
        <v>rebeccaherediaoficial@gmail.com</v>
      </c>
      <c r="AK521" s="6" t="str">
        <f>IFERROR(__xludf.DUMMYFUNCTION("""COMPUTED_VALUE"""),"ADMINISTRADORA/COACH")</f>
        <v>ADMINISTRADORA/COACH</v>
      </c>
      <c r="AL521" s="6" t="str">
        <f>IFERROR(__xludf.DUMMYFUNCTION("""COMPUTED_VALUE"""),"BLOOM")</f>
        <v>BLOOM</v>
      </c>
      <c r="AM521" s="12" t="str">
        <f>IFERROR(__xludf.DUMMYFUNCTION("""COMPUTED_VALUE"""),"671478")</f>
        <v>671478</v>
      </c>
      <c r="AN521" s="12" t="str">
        <f>IFERROR(__xludf.DUMMYFUNCTION("""COMPUTED_VALUE"""),"3102522023")</f>
        <v>3102522023</v>
      </c>
      <c r="AO521" s="6" t="str">
        <f>IFERROR(__xludf.DUMMYFUNCTION("""COMPUTED_VALUE"""),"Madre")</f>
        <v>Madre</v>
      </c>
      <c r="AP521" s="6" t="str">
        <f>IFERROR(__xludf.DUMMYFUNCTION("""COMPUTED_VALUE"""),"Estudiante(s): López Heredia")</f>
        <v>Estudiante(s): López Heredia</v>
      </c>
      <c r="AQ521" s="6" t="str">
        <f>IFERROR(__xludf.DUMMYFUNCTION("""COMPUTED_VALUE"""),"120158*Gi")</f>
        <v>120158*Gi</v>
      </c>
      <c r="AR521" s="6" t="str">
        <f>IFERROR(__xludf.DUMMYFUNCTION("""COMPUTED_VALUE"""),"Jorge")</f>
        <v>Jorge</v>
      </c>
      <c r="AS521" s="6" t="str">
        <f>IFERROR(__xludf.DUMMYFUNCTION("""COMPUTED_VALUE"""),"Andrés")</f>
        <v>Andrés</v>
      </c>
      <c r="AT521" s="6" t="str">
        <f>IFERROR(__xludf.DUMMYFUNCTION("""COMPUTED_VALUE"""),"López Sandoval")</f>
        <v>López Sandoval</v>
      </c>
      <c r="AU521" s="6" t="str">
        <f>IFERROR(__xludf.DUMMYFUNCTION("""COMPUTED_VALUE"""),"jorglopezsandoval@gmail.com")</f>
        <v>jorglopezsandoval@gmail.com</v>
      </c>
      <c r="AV521" s="6" t="str">
        <f>IFERROR(__xludf.DUMMYFUNCTION("""COMPUTED_VALUE"""),"ING. INDUSTRIAL")</f>
        <v>ING. INDUSTRIAL</v>
      </c>
      <c r="AW521" s="6"/>
      <c r="AX521" s="12" t="str">
        <f>IFERROR(__xludf.DUMMYFUNCTION("""COMPUTED_VALUE"""),"94383629")</f>
        <v>94383629</v>
      </c>
      <c r="AY521" s="12" t="str">
        <f>IFERROR(__xludf.DUMMYFUNCTION("""COMPUTED_VALUE"""),"3214639335")</f>
        <v>3214639335</v>
      </c>
      <c r="AZ521" s="6" t="str">
        <f>IFERROR(__xludf.DUMMYFUNCTION("""COMPUTED_VALUE"""),"Padre")</f>
        <v>Padre</v>
      </c>
      <c r="BA521" s="6"/>
      <c r="BB521" s="6"/>
      <c r="BC521" s="6"/>
      <c r="BD521" s="12" t="str">
        <f>IFERROR(__xludf.DUMMYFUNCTION("""COMPUTED_VALUE"""),"lop0006")</f>
        <v>lop0006</v>
      </c>
      <c r="BE521" s="6"/>
      <c r="BF521" s="6"/>
      <c r="BG521" s="6">
        <f>IFERROR(__xludf.DUMMYFUNCTION("""COMPUTED_VALUE"""),2032.0)</f>
        <v>2032</v>
      </c>
      <c r="BH521" s="15">
        <f>IFERROR(__xludf.DUMMYFUNCTION("""COMPUTED_VALUE"""),46210.78613425926)</f>
        <v>46210.78613</v>
      </c>
      <c r="BI521" s="6">
        <f>IFERROR(__xludf.DUMMYFUNCTION("""COMPUTED_VALUE"""),521.0)</f>
        <v>521</v>
      </c>
      <c r="BJ521" s="6"/>
      <c r="BK521" s="6"/>
      <c r="BL521" s="6" t="str">
        <f>IFERROR(__xludf.DUMMYFUNCTION("""COMPUTED_VALUE"""),"GISLOP0006")</f>
        <v>GISLOP0006</v>
      </c>
      <c r="BM521" s="6"/>
      <c r="BN521" s="6"/>
      <c r="BO521" s="6"/>
      <c r="BP521" s="6"/>
      <c r="BQ521" s="6"/>
      <c r="BR521" s="6"/>
      <c r="BS521" s="6"/>
      <c r="BT521" s="6"/>
      <c r="BU521" s="6" t="str">
        <f>IFERROR(__xludf.DUMMYFUNCTION("""COMPUTED_VALUE"""),"SI")</f>
        <v>SI</v>
      </c>
      <c r="BV521" s="6" t="str">
        <f>IFERROR(__xludf.DUMMYFUNCTION("""COMPUTED_VALUE"""),"nickole.l2032")</f>
        <v>nickole.l2032</v>
      </c>
      <c r="BW521" s="6"/>
      <c r="BX521" s="6"/>
      <c r="BY521" s="6"/>
      <c r="BZ521" s="6"/>
    </row>
    <row r="522">
      <c r="A522" s="12">
        <f>IFERROR(__xludf.DUMMYFUNCTION("""COMPUTED_VALUE"""),1.091887581E9)</f>
        <v>1091887581</v>
      </c>
      <c r="B522" s="6">
        <f>IFERROR(__xludf.DUMMYFUNCTION("""COMPUTED_VALUE"""),24.0)</f>
        <v>24</v>
      </c>
      <c r="C522" s="6" t="str">
        <f>IFERROR(__xludf.DUMMYFUNCTION("""COMPUTED_VALUE"""),"Luciana")</f>
        <v>Luciana</v>
      </c>
      <c r="D522" s="6"/>
      <c r="E522" s="6" t="str">
        <f>IFERROR(__xludf.DUMMYFUNCTION("""COMPUTED_VALUE"""),"López Monsalve")</f>
        <v>López Monsalve</v>
      </c>
      <c r="F522" s="6" t="str">
        <f>IFERROR(__xludf.DUMMYFUNCTION("""COMPUTED_VALUE"""),"Condominio Campestre La Reserva Casa 45 - Cra 5 No10Nte - 25 Av Centenario")</f>
        <v>Condominio Campestre La Reserva Casa 45 - Cra 5 No10Nte - 25 Av Centenario</v>
      </c>
      <c r="G522" s="12" t="str">
        <f>IFERROR(__xludf.DUMMYFUNCTION("""COMPUTED_VALUE"""),"2013")</f>
        <v>2013</v>
      </c>
      <c r="H522" s="6" t="str">
        <f>IFERROR(__xludf.DUMMYFUNCTION("""COMPUTED_VALUE"""),"Octubre")</f>
        <v>Octubre</v>
      </c>
      <c r="I522" s="12" t="str">
        <f>IFERROR(__xludf.DUMMYFUNCTION("""COMPUTED_VALUE"""),"17")</f>
        <v>17</v>
      </c>
      <c r="J522" s="6" t="str">
        <f>IFERROR(__xludf.DUMMYFUNCTION("""COMPUTED_VALUE"""),"Armenia")</f>
        <v>Armenia</v>
      </c>
      <c r="K522" s="6" t="str">
        <f>IFERROR(__xludf.DUMMYFUNCTION("""COMPUTED_VALUE"""),"luciana.l2032@gi.edu.co")</f>
        <v>luciana.l2032@gi.edu.co</v>
      </c>
      <c r="L522" s="6" t="str">
        <f>IFERROR(__xludf.DUMMYFUNCTION("""COMPUTED_VALUE"""),"TI")</f>
        <v>TI</v>
      </c>
      <c r="M522" s="6" t="str">
        <f>IFERROR(__xludf.DUMMYFUNCTION("""COMPUTED_VALUE"""),"Armenia")</f>
        <v>Armenia</v>
      </c>
      <c r="N522" s="6" t="str">
        <f>IFERROR(__xludf.DUMMYFUNCTION("""COMPUTED_VALUE"""),"F")</f>
        <v>F</v>
      </c>
      <c r="O522" s="6" t="str">
        <f>IFERROR(__xludf.DUMMYFUNCTION("""COMPUTED_VALUE"""),"ACTIVE")</f>
        <v>ACTIVE</v>
      </c>
      <c r="P522" s="6"/>
      <c r="Q522" s="6" t="str">
        <f>IFERROR(__xludf.DUMMYFUNCTION("""COMPUTED_VALUE"""),"Armenia")</f>
        <v>Armenia</v>
      </c>
      <c r="R522" s="12" t="str">
        <f>IFERROR(__xludf.DUMMYFUNCTION("""COMPUTED_VALUE"""),"G765vbg86*")</f>
        <v>G765vbg86*</v>
      </c>
      <c r="S522" s="6" t="str">
        <f>IFERROR(__xludf.DUMMYFUNCTION("""COMPUTED_VALUE"""),"López Monsalve Luciana ")</f>
        <v>López Monsalve Luciana </v>
      </c>
      <c r="T522" s="6" t="str">
        <f>IFERROR(__xludf.DUMMYFUNCTION("""COMPUTED_VALUE"""),"ÁNGELA MARIA MONSALVE VALENCIA")</f>
        <v>ÁNGELA MARIA MONSALVE VALENCIA</v>
      </c>
      <c r="U522" s="12" t="str">
        <f>IFERROR(__xludf.DUMMYFUNCTION("""COMPUTED_VALUE"""),"41932908")</f>
        <v>41932908</v>
      </c>
      <c r="V522" s="6">
        <f>IFERROR(__xludf.DUMMYFUNCTION("""COMPUTED_VALUE"""),3.173686513E9)</f>
        <v>3173686513</v>
      </c>
      <c r="W522" s="6" t="str">
        <f>IFERROR(__xludf.DUMMYFUNCTION("""COMPUTED_VALUE"""),"a-monsalvev@hotmail.com")</f>
        <v>a-monsalvev@hotmail.com</v>
      </c>
      <c r="X522" s="12" t="str">
        <f>IFERROR(__xludf.DUMMYFUNCTION("""COMPUTED_VALUE"""),"B+")</f>
        <v>B+</v>
      </c>
      <c r="Y522" s="12" t="str">
        <f>IFERROR(__xludf.DUMMYFUNCTION("""COMPUTED_VALUE"""),"7")</f>
        <v>7</v>
      </c>
      <c r="Z522" s="12">
        <f>IFERROR(__xludf.DUMMYFUNCTION("""COMPUTED_VALUE"""),103593.0)</f>
        <v>103593</v>
      </c>
      <c r="AA522" s="6" t="str">
        <f>IFERROR(__xludf.DUMMYFUNCTION("""COMPUTED_VALUE"""),"SANITAS")</f>
        <v>SANITAS</v>
      </c>
      <c r="AB522" s="6" t="str">
        <f>IFERROR(__xludf.DUMMYFUNCTION("""COMPUTED_VALUE"""),"Suramericana - EMI")</f>
        <v>Suramericana - EMI</v>
      </c>
      <c r="AC522" s="6"/>
      <c r="AD522" s="12" t="str">
        <f>IFERROR(__xludf.DUMMYFUNCTION("""COMPUTED_VALUE"""),"7A")</f>
        <v>7A</v>
      </c>
      <c r="AE522" s="12">
        <f>IFERROR(__xludf.DUMMYFUNCTION("""COMPUTED_VALUE"""),1.345281788E9)</f>
        <v>1345281788</v>
      </c>
      <c r="AF522" s="12" t="str">
        <f>IFERROR(__xludf.DUMMYFUNCTION("""COMPUTED_VALUE"""),"0241001331")</f>
        <v>0241001331</v>
      </c>
      <c r="AG522" s="12" t="str">
        <f>IFERROR(__xludf.DUMMYFUNCTION("""COMPUTED_VALUE"""),"Ángela")</f>
        <v>Ángela</v>
      </c>
      <c r="AH522" s="12" t="str">
        <f>IFERROR(__xludf.DUMMYFUNCTION("""COMPUTED_VALUE"""),"María")</f>
        <v>María</v>
      </c>
      <c r="AI522" s="6" t="str">
        <f>IFERROR(__xludf.DUMMYFUNCTION("""COMPUTED_VALUE"""),"Monsalve Valencia")</f>
        <v>Monsalve Valencia</v>
      </c>
      <c r="AJ522" s="6" t="str">
        <f>IFERROR(__xludf.DUMMYFUNCTION("""COMPUTED_VALUE"""),"a-monsalvev@hotmail.com")</f>
        <v>a-monsalvev@hotmail.com</v>
      </c>
      <c r="AK522" s="6" t="str">
        <f>IFERROR(__xludf.DUMMYFUNCTION("""COMPUTED_VALUE"""),"Economista")</f>
        <v>Economista</v>
      </c>
      <c r="AL522" s="6" t="str">
        <f>IFERROR(__xludf.DUMMYFUNCTION("""COMPUTED_VALUE"""),"BBVA")</f>
        <v>BBVA</v>
      </c>
      <c r="AM522" s="12" t="str">
        <f>IFERROR(__xludf.DUMMYFUNCTION("""COMPUTED_VALUE"""),"41932908")</f>
        <v>41932908</v>
      </c>
      <c r="AN522" s="12" t="str">
        <f>IFERROR(__xludf.DUMMYFUNCTION("""COMPUTED_VALUE"""),"3173686513")</f>
        <v>3173686513</v>
      </c>
      <c r="AO522" s="6" t="str">
        <f>IFERROR(__xludf.DUMMYFUNCTION("""COMPUTED_VALUE"""),"Madre")</f>
        <v>Madre</v>
      </c>
      <c r="AP522" s="6" t="str">
        <f>IFERROR(__xludf.DUMMYFUNCTION("""COMPUTED_VALUE"""),"Estudiante(s): López Monsalve")</f>
        <v>Estudiante(s): López Monsalve</v>
      </c>
      <c r="AQ522" s="6" t="str">
        <f>IFERROR(__xludf.DUMMYFUNCTION("""COMPUTED_VALUE"""),"103593*Gi")</f>
        <v>103593*Gi</v>
      </c>
      <c r="AR522" s="6" t="str">
        <f>IFERROR(__xludf.DUMMYFUNCTION("""COMPUTED_VALUE"""),"Yobany")</f>
        <v>Yobany</v>
      </c>
      <c r="AS522" s="6" t="str">
        <f>IFERROR(__xludf.DUMMYFUNCTION("""COMPUTED_VALUE"""),"Alberto")</f>
        <v>Alberto</v>
      </c>
      <c r="AT522" s="6" t="str">
        <f>IFERROR(__xludf.DUMMYFUNCTION("""COMPUTED_VALUE"""),"López Quintero")</f>
        <v>López Quintero</v>
      </c>
      <c r="AU522" s="6" t="str">
        <f>IFERROR(__xludf.DUMMYFUNCTION("""COMPUTED_VALUE"""),"yobany@lopezquinteroabogados.com")</f>
        <v>yobany@lopezquinteroabogados.com</v>
      </c>
      <c r="AV522" s="6" t="str">
        <f>IFERROR(__xludf.DUMMYFUNCTION("""COMPUTED_VALUE"""),"Abogado")</f>
        <v>Abogado</v>
      </c>
      <c r="AW522" s="6" t="str">
        <f>IFERROR(__xludf.DUMMYFUNCTION("""COMPUTED_VALUE"""),"López Quintero Abogados")</f>
        <v>López Quintero Abogados</v>
      </c>
      <c r="AX522" s="12" t="str">
        <f>IFERROR(__xludf.DUMMYFUNCTION("""COMPUTED_VALUE"""),"89009237")</f>
        <v>89009237</v>
      </c>
      <c r="AY522" s="12" t="str">
        <f>IFERROR(__xludf.DUMMYFUNCTION("""COMPUTED_VALUE"""),"3176411268")</f>
        <v>3176411268</v>
      </c>
      <c r="AZ522" s="6" t="str">
        <f>IFERROR(__xludf.DUMMYFUNCTION("""COMPUTED_VALUE"""),"Padre")</f>
        <v>Padre</v>
      </c>
      <c r="BA522" s="6"/>
      <c r="BB522" s="6"/>
      <c r="BC522" s="6"/>
      <c r="BD522" s="12" t="str">
        <f>IFERROR(__xludf.DUMMYFUNCTION("""COMPUTED_VALUE"""),"lpe0020")</f>
        <v>lpe0020</v>
      </c>
      <c r="BE522" s="6"/>
      <c r="BF522" s="6"/>
      <c r="BG522" s="6">
        <f>IFERROR(__xludf.DUMMYFUNCTION("""COMPUTED_VALUE"""),2032.0)</f>
        <v>2032</v>
      </c>
      <c r="BH522" s="15">
        <f>IFERROR(__xludf.DUMMYFUNCTION("""COMPUTED_VALUE"""),46204.57618055555)</f>
        <v>46204.57618</v>
      </c>
      <c r="BI522" s="6">
        <f>IFERROR(__xludf.DUMMYFUNCTION("""COMPUTED_VALUE"""),522.0)</f>
        <v>522</v>
      </c>
      <c r="BJ522" s="6"/>
      <c r="BK522" s="6"/>
      <c r="BL522" s="6" t="str">
        <f>IFERROR(__xludf.DUMMYFUNCTION("""COMPUTED_VALUE"""),"GISLPE0020")</f>
        <v>GISLPE0020</v>
      </c>
      <c r="BM522" s="6"/>
      <c r="BN522" s="6"/>
      <c r="BO522" s="6"/>
      <c r="BP522" s="6"/>
      <c r="BQ522" s="6"/>
      <c r="BR522" s="6"/>
      <c r="BS522" s="6"/>
      <c r="BT522" s="6"/>
      <c r="BU522" s="6" t="str">
        <f>IFERROR(__xludf.DUMMYFUNCTION("""COMPUTED_VALUE"""),"SI")</f>
        <v>SI</v>
      </c>
      <c r="BV522" s="6" t="str">
        <f>IFERROR(__xludf.DUMMYFUNCTION("""COMPUTED_VALUE"""),"luciana.l2032")</f>
        <v>luciana.l2032</v>
      </c>
      <c r="BW522" s="6"/>
      <c r="BX522" s="6"/>
      <c r="BY522" s="6"/>
      <c r="BZ522" s="6"/>
    </row>
    <row r="523">
      <c r="A523" s="12">
        <f>IFERROR(__xludf.DUMMYFUNCTION("""COMPUTED_VALUE"""),1.092857818E9)</f>
        <v>1092857818</v>
      </c>
      <c r="B523" s="6">
        <f>IFERROR(__xludf.DUMMYFUNCTION("""COMPUTED_VALUE"""),25.0)</f>
        <v>25</v>
      </c>
      <c r="C523" s="6" t="str">
        <f>IFERROR(__xludf.DUMMYFUNCTION("""COMPUTED_VALUE"""),"Isaac")</f>
        <v>Isaac</v>
      </c>
      <c r="D523" s="6"/>
      <c r="E523" s="6" t="str">
        <f>IFERROR(__xludf.DUMMYFUNCTION("""COMPUTED_VALUE"""),"Lozano Casas")</f>
        <v>Lozano Casas</v>
      </c>
      <c r="F523" s="6" t="str">
        <f>IFERROR(__xludf.DUMMYFUNCTION("""COMPUTED_VALUE"""),"Parque Residencial Los Cedros Mz 7 Casa 3 - Calle 50Nte No15 - 1")</f>
        <v>Parque Residencial Los Cedros Mz 7 Casa 3 - Calle 50Nte No15 - 1</v>
      </c>
      <c r="G523" s="12" t="str">
        <f>IFERROR(__xludf.DUMMYFUNCTION("""COMPUTED_VALUE"""),"2014")</f>
        <v>2014</v>
      </c>
      <c r="H523" s="6" t="str">
        <f>IFERROR(__xludf.DUMMYFUNCTION("""COMPUTED_VALUE"""),"Junio")</f>
        <v>Junio</v>
      </c>
      <c r="I523" s="12" t="str">
        <f>IFERROR(__xludf.DUMMYFUNCTION("""COMPUTED_VALUE"""),"23")</f>
        <v>23</v>
      </c>
      <c r="J523" s="6" t="str">
        <f>IFERROR(__xludf.DUMMYFUNCTION("""COMPUTED_VALUE"""),"Calarcá")</f>
        <v>Calarcá</v>
      </c>
      <c r="K523" s="6" t="str">
        <f>IFERROR(__xludf.DUMMYFUNCTION("""COMPUTED_VALUE"""),"isaac.l2032@gi.edu.co")</f>
        <v>isaac.l2032@gi.edu.co</v>
      </c>
      <c r="L523" s="6" t="str">
        <f>IFERROR(__xludf.DUMMYFUNCTION("""COMPUTED_VALUE"""),"TI")</f>
        <v>TI</v>
      </c>
      <c r="M523" s="6" t="str">
        <f>IFERROR(__xludf.DUMMYFUNCTION("""COMPUTED_VALUE"""),"Armenia")</f>
        <v>Armenia</v>
      </c>
      <c r="N523" s="6" t="str">
        <f>IFERROR(__xludf.DUMMYFUNCTION("""COMPUTED_VALUE"""),"M")</f>
        <v>M</v>
      </c>
      <c r="O523" s="6" t="str">
        <f>IFERROR(__xludf.DUMMYFUNCTION("""COMPUTED_VALUE"""),"ACTIVE")</f>
        <v>ACTIVE</v>
      </c>
      <c r="P523" s="6"/>
      <c r="Q523" s="6" t="str">
        <f>IFERROR(__xludf.DUMMYFUNCTION("""COMPUTED_VALUE"""),"Armenia")</f>
        <v>Armenia</v>
      </c>
      <c r="R523" s="12" t="str">
        <f>IFERROR(__xludf.DUMMYFUNCTION("""COMPUTED_VALUE"""),"Gi86hj34*")</f>
        <v>Gi86hj34*</v>
      </c>
      <c r="S523" s="6" t="str">
        <f>IFERROR(__xludf.DUMMYFUNCTION("""COMPUTED_VALUE"""),"Lozano Casas Isaac ")</f>
        <v>Lozano Casas Isaac </v>
      </c>
      <c r="T523" s="6" t="str">
        <f>IFERROR(__xludf.DUMMYFUNCTION("""COMPUTED_VALUE"""),"ALEJANDRO LOZANO BALCÁZAR")</f>
        <v>ALEJANDRO LOZANO BALCÁZAR</v>
      </c>
      <c r="U523" s="12" t="str">
        <f>IFERROR(__xludf.DUMMYFUNCTION("""COMPUTED_VALUE"""),"9725934")</f>
        <v>9725934</v>
      </c>
      <c r="V523" s="6">
        <f>IFERROR(__xludf.DUMMYFUNCTION("""COMPUTED_VALUE"""),3.217816603E9)</f>
        <v>3217816603</v>
      </c>
      <c r="W523" s="6" t="str">
        <f>IFERROR(__xludf.DUMMYFUNCTION("""COMPUTED_VALUE"""),"lozalejandro@gmail.com")</f>
        <v>lozalejandro@gmail.com</v>
      </c>
      <c r="X523" s="12" t="str">
        <f>IFERROR(__xludf.DUMMYFUNCTION("""COMPUTED_VALUE"""),"A+")</f>
        <v>A+</v>
      </c>
      <c r="Y523" s="12" t="str">
        <f>IFERROR(__xludf.DUMMYFUNCTION("""COMPUTED_VALUE"""),"7")</f>
        <v>7</v>
      </c>
      <c r="Z523" s="12">
        <f>IFERROR(__xludf.DUMMYFUNCTION("""COMPUTED_VALUE"""),120231.0)</f>
        <v>120231</v>
      </c>
      <c r="AA523" s="6" t="str">
        <f>IFERROR(__xludf.DUMMYFUNCTION("""COMPUTED_VALUE"""),"NUEVA EPS")</f>
        <v>NUEVA EPS</v>
      </c>
      <c r="AB523" s="6"/>
      <c r="AC523" s="6"/>
      <c r="AD523" s="12" t="str">
        <f>IFERROR(__xludf.DUMMYFUNCTION("""COMPUTED_VALUE"""),"7A")</f>
        <v>7A</v>
      </c>
      <c r="AE523" s="12">
        <f>IFERROR(__xludf.DUMMYFUNCTION("""COMPUTED_VALUE"""),1.345282217E9)</f>
        <v>1345282217</v>
      </c>
      <c r="AF523" s="12" t="str">
        <f>IFERROR(__xludf.DUMMYFUNCTION("""COMPUTED_VALUE"""),"0672494211")</f>
        <v>0672494211</v>
      </c>
      <c r="AG523" s="12" t="str">
        <f>IFERROR(__xludf.DUMMYFUNCTION("""COMPUTED_VALUE"""),"Luisa")</f>
        <v>Luisa</v>
      </c>
      <c r="AH523" s="12" t="str">
        <f>IFERROR(__xludf.DUMMYFUNCTION("""COMPUTED_VALUE"""),"Fernanda")</f>
        <v>Fernanda</v>
      </c>
      <c r="AI523" s="6" t="str">
        <f>IFERROR(__xludf.DUMMYFUNCTION("""COMPUTED_VALUE"""),"Casas Caro")</f>
        <v>Casas Caro</v>
      </c>
      <c r="AJ523" s="6" t="str">
        <f>IFERROR(__xludf.DUMMYFUNCTION("""COMPUTED_VALUE"""),"lfcasascaro@gmail.com")</f>
        <v>lfcasascaro@gmail.com</v>
      </c>
      <c r="AK523" s="6" t="str">
        <f>IFERROR(__xludf.DUMMYFUNCTION("""COMPUTED_VALUE"""),"Bióloga")</f>
        <v>Bióloga</v>
      </c>
      <c r="AL523" s="6" t="str">
        <f>IFERROR(__xludf.DUMMYFUNCTION("""COMPUTED_VALUE"""),"Instituto de investigaciones Biológicas Alexander von Humbodlt")</f>
        <v>Instituto de investigaciones Biológicas Alexander von Humbodlt</v>
      </c>
      <c r="AM523" s="12" t="str">
        <f>IFERROR(__xludf.DUMMYFUNCTION("""COMPUTED_VALUE"""),"52697216")</f>
        <v>52697216</v>
      </c>
      <c r="AN523" s="12" t="str">
        <f>IFERROR(__xludf.DUMMYFUNCTION("""COMPUTED_VALUE"""),"3164727050")</f>
        <v>3164727050</v>
      </c>
      <c r="AO523" s="6" t="str">
        <f>IFERROR(__xludf.DUMMYFUNCTION("""COMPUTED_VALUE"""),"Madre")</f>
        <v>Madre</v>
      </c>
      <c r="AP523" s="6" t="str">
        <f>IFERROR(__xludf.DUMMYFUNCTION("""COMPUTED_VALUE"""),"Estudiante(s): Lozano Casas")</f>
        <v>Estudiante(s): Lozano Casas</v>
      </c>
      <c r="AQ523" s="6" t="str">
        <f>IFERROR(__xludf.DUMMYFUNCTION("""COMPUTED_VALUE"""),"120231*Gi")</f>
        <v>120231*Gi</v>
      </c>
      <c r="AR523" s="6" t="str">
        <f>IFERROR(__xludf.DUMMYFUNCTION("""COMPUTED_VALUE"""),"Alejandro")</f>
        <v>Alejandro</v>
      </c>
      <c r="AS523" s="6"/>
      <c r="AT523" s="6" t="str">
        <f>IFERROR(__xludf.DUMMYFUNCTION("""COMPUTED_VALUE"""),"Lozano Balcázar")</f>
        <v>Lozano Balcázar</v>
      </c>
      <c r="AU523" s="6" t="str">
        <f>IFERROR(__xludf.DUMMYFUNCTION("""COMPUTED_VALUE"""),"lozalejandro@gmail.com")</f>
        <v>lozalejandro@gmail.com</v>
      </c>
      <c r="AV523" s="6" t="str">
        <f>IFERROR(__xludf.DUMMYFUNCTION("""COMPUTED_VALUE"""),"Biólogo")</f>
        <v>Biólogo</v>
      </c>
      <c r="AW523" s="6" t="str">
        <f>IFERROR(__xludf.DUMMYFUNCTION("""COMPUTED_VALUE"""),"Ecofrutales SAS")</f>
        <v>Ecofrutales SAS</v>
      </c>
      <c r="AX523" s="12" t="str">
        <f>IFERROR(__xludf.DUMMYFUNCTION("""COMPUTED_VALUE"""),"9725934")</f>
        <v>9725934</v>
      </c>
      <c r="AY523" s="12" t="str">
        <f>IFERROR(__xludf.DUMMYFUNCTION("""COMPUTED_VALUE"""),"3217816603")</f>
        <v>3217816603</v>
      </c>
      <c r="AZ523" s="6" t="str">
        <f>IFERROR(__xludf.DUMMYFUNCTION("""COMPUTED_VALUE"""),"Padre")</f>
        <v>Padre</v>
      </c>
      <c r="BA523" s="6"/>
      <c r="BB523" s="6"/>
      <c r="BC523" s="6"/>
      <c r="BD523" s="12" t="str">
        <f>IFERROR(__xludf.DUMMYFUNCTION("""COMPUTED_VALUE"""),"loz0002")</f>
        <v>loz0002</v>
      </c>
      <c r="BE523" s="6"/>
      <c r="BF523" s="6"/>
      <c r="BG523" s="6">
        <f>IFERROR(__xludf.DUMMYFUNCTION("""COMPUTED_VALUE"""),2032.0)</f>
        <v>2032</v>
      </c>
      <c r="BH523" s="15">
        <f>IFERROR(__xludf.DUMMYFUNCTION("""COMPUTED_VALUE"""),46212.711006944446)</f>
        <v>46212.71101</v>
      </c>
      <c r="BI523" s="6">
        <f>IFERROR(__xludf.DUMMYFUNCTION("""COMPUTED_VALUE"""),523.0)</f>
        <v>523</v>
      </c>
      <c r="BJ523" s="6"/>
      <c r="BK523" s="6"/>
      <c r="BL523" s="6" t="str">
        <f>IFERROR(__xludf.DUMMYFUNCTION("""COMPUTED_VALUE"""),"GISLOZ0002")</f>
        <v>GISLOZ0002</v>
      </c>
      <c r="BM523" s="6"/>
      <c r="BN523" s="6"/>
      <c r="BO523" s="6" t="str">
        <f>IFERROR(__xludf.DUMMYFUNCTION("""COMPUTED_VALUE"""),"XC_MS_Futbol_M")</f>
        <v>XC_MS_Futbol_M</v>
      </c>
      <c r="BP523" s="6"/>
      <c r="BQ523" s="6" t="str">
        <f>IFERROR(__xludf.DUMMYFUNCTION("""COMPUTED_VALUE"""),"XC_MS_Futbol_M")</f>
        <v>XC_MS_Futbol_M</v>
      </c>
      <c r="BR523" s="6" t="str">
        <f>IFERROR(__xludf.DUMMYFUNCTION("""COMPUTED_VALUE"""),"XC_MS_Futbol_M")</f>
        <v>XC_MS_Futbol_M</v>
      </c>
      <c r="BS523" s="6"/>
      <c r="BT523" s="6" t="str">
        <f>IFERROR(__xludf.DUMMYFUNCTION("""COMPUTED_VALUE"""),"XC_MS_Futbol_M")</f>
        <v>XC_MS_Futbol_M</v>
      </c>
      <c r="BU523" s="6" t="str">
        <f>IFERROR(__xludf.DUMMYFUNCTION("""COMPUTED_VALUE"""),"SI")</f>
        <v>SI</v>
      </c>
      <c r="BV523" s="6" t="str">
        <f>IFERROR(__xludf.DUMMYFUNCTION("""COMPUTED_VALUE"""),"isaac.l2032")</f>
        <v>isaac.l2032</v>
      </c>
      <c r="BW523" s="6"/>
      <c r="BX523" s="6"/>
      <c r="BY523" s="6"/>
      <c r="BZ523" s="6"/>
    </row>
    <row r="524">
      <c r="A524" s="12">
        <f>IFERROR(__xludf.DUMMYFUNCTION("""COMPUTED_VALUE"""),1.092857923E9)</f>
        <v>1092857923</v>
      </c>
      <c r="B524" s="6">
        <f>IFERROR(__xludf.DUMMYFUNCTION("""COMPUTED_VALUE"""),26.0)</f>
        <v>26</v>
      </c>
      <c r="C524" s="6" t="str">
        <f>IFERROR(__xludf.DUMMYFUNCTION("""COMPUTED_VALUE"""),"Sara")</f>
        <v>Sara</v>
      </c>
      <c r="D524" s="6" t="str">
        <f>IFERROR(__xludf.DUMMYFUNCTION("""COMPUTED_VALUE"""),"Victoria")</f>
        <v>Victoria</v>
      </c>
      <c r="E524" s="6" t="str">
        <f>IFERROR(__xludf.DUMMYFUNCTION("""COMPUTED_VALUE"""),"Marín Trujillo")</f>
        <v>Marín Trujillo</v>
      </c>
      <c r="F524" s="6" t="str">
        <f>IFERROR(__xludf.DUMMYFUNCTION("""COMPUTED_VALUE"""),"Condominio Campestre La Reserva Casa 35 - Cra 5 No10Nte - 25 Av Centenario")</f>
        <v>Condominio Campestre La Reserva Casa 35 - Cra 5 No10Nte - 25 Av Centenario</v>
      </c>
      <c r="G524" s="12" t="str">
        <f>IFERROR(__xludf.DUMMYFUNCTION("""COMPUTED_VALUE"""),"2014")</f>
        <v>2014</v>
      </c>
      <c r="H524" s="6" t="str">
        <f>IFERROR(__xludf.DUMMYFUNCTION("""COMPUTED_VALUE"""),"Julio")</f>
        <v>Julio</v>
      </c>
      <c r="I524" s="12" t="str">
        <f>IFERROR(__xludf.DUMMYFUNCTION("""COMPUTED_VALUE"""),"30")</f>
        <v>30</v>
      </c>
      <c r="J524" s="6" t="str">
        <f>IFERROR(__xludf.DUMMYFUNCTION("""COMPUTED_VALUE"""),"Armenia")</f>
        <v>Armenia</v>
      </c>
      <c r="K524" s="6" t="str">
        <f>IFERROR(__xludf.DUMMYFUNCTION("""COMPUTED_VALUE"""),"sara.m2032@gi.edu.co")</f>
        <v>sara.m2032@gi.edu.co</v>
      </c>
      <c r="L524" s="6" t="str">
        <f>IFERROR(__xludf.DUMMYFUNCTION("""COMPUTED_VALUE"""),"RC")</f>
        <v>RC</v>
      </c>
      <c r="M524" s="6" t="str">
        <f>IFERROR(__xludf.DUMMYFUNCTION("""COMPUTED_VALUE"""),"Armenia")</f>
        <v>Armenia</v>
      </c>
      <c r="N524" s="6" t="str">
        <f>IFERROR(__xludf.DUMMYFUNCTION("""COMPUTED_VALUE"""),"F")</f>
        <v>F</v>
      </c>
      <c r="O524" s="6" t="str">
        <f>IFERROR(__xludf.DUMMYFUNCTION("""COMPUTED_VALUE"""),"ACTIVE")</f>
        <v>ACTIVE</v>
      </c>
      <c r="P524" s="6"/>
      <c r="Q524" s="6" t="str">
        <f>IFERROR(__xludf.DUMMYFUNCTION("""COMPUTED_VALUE"""),"Armenia")</f>
        <v>Armenia</v>
      </c>
      <c r="R524" s="12" t="str">
        <f>IFERROR(__xludf.DUMMYFUNCTION("""COMPUTED_VALUE"""),"Gi7d34fer5*")</f>
        <v>Gi7d34fer5*</v>
      </c>
      <c r="S524" s="6" t="str">
        <f>IFERROR(__xludf.DUMMYFUNCTION("""COMPUTED_VALUE"""),"Marín Trujillo Sara Victoria")</f>
        <v>Marín Trujillo Sara Victoria</v>
      </c>
      <c r="T524" s="6" t="str">
        <f>IFERROR(__xludf.DUMMYFUNCTION("""COMPUTED_VALUE"""),"DIANA CAROLINA TRUJILLO PINEDA")</f>
        <v>DIANA CAROLINA TRUJILLO PINEDA</v>
      </c>
      <c r="U524" s="12" t="str">
        <f>IFERROR(__xludf.DUMMYFUNCTION("""COMPUTED_VALUE"""),"41949000")</f>
        <v>41949000</v>
      </c>
      <c r="V524" s="6">
        <f>IFERROR(__xludf.DUMMYFUNCTION("""COMPUTED_VALUE"""),3.10370181E9)</f>
        <v>3103701810</v>
      </c>
      <c r="W524" s="6" t="str">
        <f>IFERROR(__xludf.DUMMYFUNCTION("""COMPUTED_VALUE"""),"dicatrupi@hotmail.com")</f>
        <v>dicatrupi@hotmail.com</v>
      </c>
      <c r="X524" s="12" t="str">
        <f>IFERROR(__xludf.DUMMYFUNCTION("""COMPUTED_VALUE"""),"A+")</f>
        <v>A+</v>
      </c>
      <c r="Y524" s="12" t="str">
        <f>IFERROR(__xludf.DUMMYFUNCTION("""COMPUTED_VALUE"""),"7")</f>
        <v>7</v>
      </c>
      <c r="Z524" s="12">
        <f>IFERROR(__xludf.DUMMYFUNCTION("""COMPUTED_VALUE"""),103481.0)</f>
        <v>103481</v>
      </c>
      <c r="AA524" s="6" t="str">
        <f>IFERROR(__xludf.DUMMYFUNCTION("""COMPUTED_VALUE"""),"SURA")</f>
        <v>SURA</v>
      </c>
      <c r="AB524" s="6" t="str">
        <f>IFERROR(__xludf.DUMMYFUNCTION("""COMPUTED_VALUE"""),"Suramericana Prepagada")</f>
        <v>Suramericana Prepagada</v>
      </c>
      <c r="AC524" s="6"/>
      <c r="AD524" s="12" t="str">
        <f>IFERROR(__xludf.DUMMYFUNCTION("""COMPUTED_VALUE"""),"7B")</f>
        <v>7B</v>
      </c>
      <c r="AE524" s="12">
        <f>IFERROR(__xludf.DUMMYFUNCTION("""COMPUTED_VALUE"""),1.345281703E9)</f>
        <v>1345281703</v>
      </c>
      <c r="AF524" s="12" t="str">
        <f>IFERROR(__xludf.DUMMYFUNCTION("""COMPUTED_VALUE"""),"0652445891")</f>
        <v>0652445891</v>
      </c>
      <c r="AG524" s="12" t="str">
        <f>IFERROR(__xludf.DUMMYFUNCTION("""COMPUTED_VALUE"""),"Diana")</f>
        <v>Diana</v>
      </c>
      <c r="AH524" s="12" t="str">
        <f>IFERROR(__xludf.DUMMYFUNCTION("""COMPUTED_VALUE"""),"Carolina")</f>
        <v>Carolina</v>
      </c>
      <c r="AI524" s="6" t="str">
        <f>IFERROR(__xludf.DUMMYFUNCTION("""COMPUTED_VALUE"""),"Trujillo Pineda")</f>
        <v>Trujillo Pineda</v>
      </c>
      <c r="AJ524" s="6" t="str">
        <f>IFERROR(__xludf.DUMMYFUNCTION("""COMPUTED_VALUE"""),"dicatrupi@hotmail.com")</f>
        <v>dicatrupi@hotmail.com</v>
      </c>
      <c r="AK524" s="6" t="str">
        <f>IFERROR(__xludf.DUMMYFUNCTION("""COMPUTED_VALUE"""),"Médico")</f>
        <v>Médico</v>
      </c>
      <c r="AL524" s="6" t="str">
        <f>IFERROR(__xludf.DUMMYFUNCTION("""COMPUTED_VALUE"""),"Lifehuni")</f>
        <v>Lifehuni</v>
      </c>
      <c r="AM524" s="12" t="str">
        <f>IFERROR(__xludf.DUMMYFUNCTION("""COMPUTED_VALUE"""),"41949000")</f>
        <v>41949000</v>
      </c>
      <c r="AN524" s="12" t="str">
        <f>IFERROR(__xludf.DUMMYFUNCTION("""COMPUTED_VALUE"""),"3103701810")</f>
        <v>3103701810</v>
      </c>
      <c r="AO524" s="6" t="str">
        <f>IFERROR(__xludf.DUMMYFUNCTION("""COMPUTED_VALUE"""),"Madre")</f>
        <v>Madre</v>
      </c>
      <c r="AP524" s="6" t="str">
        <f>IFERROR(__xludf.DUMMYFUNCTION("""COMPUTED_VALUE"""),"Estudiante(s): Marín Trujillo")</f>
        <v>Estudiante(s): Marín Trujillo</v>
      </c>
      <c r="AQ524" s="6" t="str">
        <f>IFERROR(__xludf.DUMMYFUNCTION("""COMPUTED_VALUE"""),"102852*Gi")</f>
        <v>102852*Gi</v>
      </c>
      <c r="AR524" s="6" t="str">
        <f>IFERROR(__xludf.DUMMYFUNCTION("""COMPUTED_VALUE"""),"Julio")</f>
        <v>Julio</v>
      </c>
      <c r="AS524" s="6" t="str">
        <f>IFERROR(__xludf.DUMMYFUNCTION("""COMPUTED_VALUE"""),"César")</f>
        <v>César</v>
      </c>
      <c r="AT524" s="6" t="str">
        <f>IFERROR(__xludf.DUMMYFUNCTION("""COMPUTED_VALUE"""),"Marín Venegas")</f>
        <v>Marín Venegas</v>
      </c>
      <c r="AU524" s="6" t="str">
        <f>IFERROR(__xludf.DUMMYFUNCTION("""COMPUTED_VALUE"""),"jemmd04@hotmail.com")</f>
        <v>jemmd04@hotmail.com</v>
      </c>
      <c r="AV524" s="6" t="str">
        <f>IFERROR(__xludf.DUMMYFUNCTION("""COMPUTED_VALUE"""),"médico")</f>
        <v>médico</v>
      </c>
      <c r="AW524" s="6" t="str">
        <f>IFERROR(__xludf.DUMMYFUNCTION("""COMPUTED_VALUE"""),"lifehuni")</f>
        <v>lifehuni</v>
      </c>
      <c r="AX524" s="12" t="str">
        <f>IFERROR(__xludf.DUMMYFUNCTION("""COMPUTED_VALUE"""),"89005539")</f>
        <v>89005539</v>
      </c>
      <c r="AY524" s="12" t="str">
        <f>IFERROR(__xludf.DUMMYFUNCTION("""COMPUTED_VALUE"""),"3127107276")</f>
        <v>3127107276</v>
      </c>
      <c r="AZ524" s="6" t="str">
        <f>IFERROR(__xludf.DUMMYFUNCTION("""COMPUTED_VALUE"""),"Padre")</f>
        <v>Padre</v>
      </c>
      <c r="BA524" s="6"/>
      <c r="BB524" s="6"/>
      <c r="BC524" s="6"/>
      <c r="BD524" s="12" t="str">
        <f>IFERROR(__xludf.DUMMYFUNCTION("""COMPUTED_VALUE"""),"mar0007")</f>
        <v>mar0007</v>
      </c>
      <c r="BE524" s="6"/>
      <c r="BF524" s="6"/>
      <c r="BG524" s="6">
        <f>IFERROR(__xludf.DUMMYFUNCTION("""COMPUTED_VALUE"""),2032.0)</f>
        <v>2032</v>
      </c>
      <c r="BH524" s="15">
        <f>IFERROR(__xludf.DUMMYFUNCTION("""COMPUTED_VALUE"""),46210.36697916667)</f>
        <v>46210.36698</v>
      </c>
      <c r="BI524" s="6">
        <f>IFERROR(__xludf.DUMMYFUNCTION("""COMPUTED_VALUE"""),524.0)</f>
        <v>524</v>
      </c>
      <c r="BJ524" s="6"/>
      <c r="BK524" s="6"/>
      <c r="BL524" s="6" t="str">
        <f>IFERROR(__xludf.DUMMYFUNCTION("""COMPUTED_VALUE"""),"GISMAR0007")</f>
        <v>GISMAR0007</v>
      </c>
      <c r="BM524" s="6"/>
      <c r="BN524" s="6"/>
      <c r="BO524" s="6" t="str">
        <f>IFERROR(__xludf.DUMMYFUNCTION("""COMPUTED_VALUE"""),"XC_SEC_Futbol_F")</f>
        <v>XC_SEC_Futbol_F</v>
      </c>
      <c r="BP524" s="6"/>
      <c r="BQ524" s="6" t="str">
        <f>IFERROR(__xludf.DUMMYFUNCTION("""COMPUTED_VALUE"""),"XC_SEC_Futbol_F")</f>
        <v>XC_SEC_Futbol_F</v>
      </c>
      <c r="BR524" s="6" t="str">
        <f>IFERROR(__xludf.DUMMYFUNCTION("""COMPUTED_VALUE"""),"XC_SEC_Futbol_F")</f>
        <v>XC_SEC_Futbol_F</v>
      </c>
      <c r="BS524" s="6"/>
      <c r="BT524" s="6" t="str">
        <f>IFERROR(__xludf.DUMMYFUNCTION("""COMPUTED_VALUE"""),"XC_SEC_Futbol_F")</f>
        <v>XC_SEC_Futbol_F</v>
      </c>
      <c r="BU524" s="6" t="str">
        <f>IFERROR(__xludf.DUMMYFUNCTION("""COMPUTED_VALUE"""),"SI")</f>
        <v>SI</v>
      </c>
      <c r="BV524" s="6" t="str">
        <f>IFERROR(__xludf.DUMMYFUNCTION("""COMPUTED_VALUE"""),"sara.m2032")</f>
        <v>sara.m2032</v>
      </c>
      <c r="BW524" s="6"/>
      <c r="BX524" s="6"/>
      <c r="BY524" s="6"/>
      <c r="BZ524" s="6"/>
    </row>
    <row r="525">
      <c r="A525" s="12">
        <f>IFERROR(__xludf.DUMMYFUNCTION("""COMPUTED_VALUE"""),1.094953423E9)</f>
        <v>1094953423</v>
      </c>
      <c r="B525" s="6">
        <f>IFERROR(__xludf.DUMMYFUNCTION("""COMPUTED_VALUE"""),27.0)</f>
        <v>27</v>
      </c>
      <c r="C525" s="6" t="str">
        <f>IFERROR(__xludf.DUMMYFUNCTION("""COMPUTED_VALUE"""),"Valeria")</f>
        <v>Valeria</v>
      </c>
      <c r="D525" s="6"/>
      <c r="E525" s="6" t="str">
        <f>IFERROR(__xludf.DUMMYFUNCTION("""COMPUTED_VALUE"""),"Mesa Urina")</f>
        <v>Mesa Urina</v>
      </c>
      <c r="F525" s="6" t="str">
        <f>IFERROR(__xludf.DUMMYFUNCTION("""COMPUTED_VALUE"""),"Condominio Campestre Reserva del Bosque Casa 5 - Km 3 Via Armenia - Pereira")</f>
        <v>Condominio Campestre Reserva del Bosque Casa 5 - Km 3 Via Armenia - Pereira</v>
      </c>
      <c r="G525" s="12" t="str">
        <f>IFERROR(__xludf.DUMMYFUNCTION("""COMPUTED_VALUE"""),"2013")</f>
        <v>2013</v>
      </c>
      <c r="H525" s="6" t="str">
        <f>IFERROR(__xludf.DUMMYFUNCTION("""COMPUTED_VALUE"""),"Noviembre")</f>
        <v>Noviembre</v>
      </c>
      <c r="I525" s="12" t="str">
        <f>IFERROR(__xludf.DUMMYFUNCTION("""COMPUTED_VALUE"""),"30")</f>
        <v>30</v>
      </c>
      <c r="J525" s="6" t="str">
        <f>IFERROR(__xludf.DUMMYFUNCTION("""COMPUTED_VALUE"""),"Armenia")</f>
        <v>Armenia</v>
      </c>
      <c r="K525" s="6" t="str">
        <f>IFERROR(__xludf.DUMMYFUNCTION("""COMPUTED_VALUE"""),"valeria.m2032@gi.edu.co")</f>
        <v>valeria.m2032@gi.edu.co</v>
      </c>
      <c r="L525" s="6" t="str">
        <f>IFERROR(__xludf.DUMMYFUNCTION("""COMPUTED_VALUE"""),"TI")</f>
        <v>TI</v>
      </c>
      <c r="M525" s="6" t="str">
        <f>IFERROR(__xludf.DUMMYFUNCTION("""COMPUTED_VALUE"""),"Armenia")</f>
        <v>Armenia</v>
      </c>
      <c r="N525" s="6" t="str">
        <f>IFERROR(__xludf.DUMMYFUNCTION("""COMPUTED_VALUE"""),"F")</f>
        <v>F</v>
      </c>
      <c r="O525" s="6" t="str">
        <f>IFERROR(__xludf.DUMMYFUNCTION("""COMPUTED_VALUE"""),"ACTIVE")</f>
        <v>ACTIVE</v>
      </c>
      <c r="P525" s="6"/>
      <c r="Q525" s="6" t="str">
        <f>IFERROR(__xludf.DUMMYFUNCTION("""COMPUTED_VALUE"""),"Armenia")</f>
        <v>Armenia</v>
      </c>
      <c r="R525" s="12" t="str">
        <f>IFERROR(__xludf.DUMMYFUNCTION("""COMPUTED_VALUE"""),"Gi8n7b6v5c*")</f>
        <v>Gi8n7b6v5c*</v>
      </c>
      <c r="S525" s="6" t="str">
        <f>IFERROR(__xludf.DUMMYFUNCTION("""COMPUTED_VALUE"""),"Mesa Urina Valeria ")</f>
        <v>Mesa Urina Valeria </v>
      </c>
      <c r="T525" s="6" t="str">
        <f>IFERROR(__xludf.DUMMYFUNCTION("""COMPUTED_VALUE"""),"JORGE IVAN MESA NIÑO")</f>
        <v>JORGE IVAN MESA NIÑO</v>
      </c>
      <c r="U525" s="12" t="str">
        <f>IFERROR(__xludf.DUMMYFUNCTION("""COMPUTED_VALUE"""),"89004608")</f>
        <v>89004608</v>
      </c>
      <c r="V525" s="6">
        <f>IFERROR(__xludf.DUMMYFUNCTION("""COMPUTED_VALUE"""),3.148914984E9)</f>
        <v>3148914984</v>
      </c>
      <c r="W525" s="6" t="str">
        <f>IFERROR(__xludf.DUMMYFUNCTION("""COMPUTED_VALUE"""),"jorgemesa55@gmail.com")</f>
        <v>jorgemesa55@gmail.com</v>
      </c>
      <c r="X525" s="12" t="str">
        <f>IFERROR(__xludf.DUMMYFUNCTION("""COMPUTED_VALUE"""),"O+")</f>
        <v>O+</v>
      </c>
      <c r="Y525" s="12" t="str">
        <f>IFERROR(__xludf.DUMMYFUNCTION("""COMPUTED_VALUE"""),"7")</f>
        <v>7</v>
      </c>
      <c r="Z525" s="12">
        <f>IFERROR(__xludf.DUMMYFUNCTION("""COMPUTED_VALUE"""),103544.0)</f>
        <v>103544</v>
      </c>
      <c r="AA525" s="6" t="str">
        <f>IFERROR(__xludf.DUMMYFUNCTION("""COMPUTED_VALUE"""),"SURA")</f>
        <v>SURA</v>
      </c>
      <c r="AB525" s="6"/>
      <c r="AC525" s="6"/>
      <c r="AD525" s="12" t="str">
        <f>IFERROR(__xludf.DUMMYFUNCTION("""COMPUTED_VALUE"""),"7A")</f>
        <v>7A</v>
      </c>
      <c r="AE525" s="12">
        <f>IFERROR(__xludf.DUMMYFUNCTION("""COMPUTED_VALUE"""),1.345281747E9)</f>
        <v>1345281747</v>
      </c>
      <c r="AF525" s="12" t="str">
        <f>IFERROR(__xludf.DUMMYFUNCTION("""COMPUTED_VALUE"""),"0673707619")</f>
        <v>0673707619</v>
      </c>
      <c r="AG525" s="12" t="str">
        <f>IFERROR(__xludf.DUMMYFUNCTION("""COMPUTED_VALUE"""),"Victoria")</f>
        <v>Victoria</v>
      </c>
      <c r="AH525" s="12" t="str">
        <f>IFERROR(__xludf.DUMMYFUNCTION("""COMPUTED_VALUE"""),"Eugenia")</f>
        <v>Eugenia</v>
      </c>
      <c r="AI525" s="6" t="str">
        <f>IFERROR(__xludf.DUMMYFUNCTION("""COMPUTED_VALUE"""),"Urina Valencia")</f>
        <v>Urina Valencia</v>
      </c>
      <c r="AJ525" s="6" t="str">
        <f>IFERROR(__xludf.DUMMYFUNCTION("""COMPUTED_VALUE"""),"vickyurina6@gmail.com")</f>
        <v>vickyurina6@gmail.com</v>
      </c>
      <c r="AK525" s="6" t="str">
        <f>IFERROR(__xludf.DUMMYFUNCTION("""COMPUTED_VALUE"""),"Ortodoncista")</f>
        <v>Ortodoncista</v>
      </c>
      <c r="AL525" s="6" t="str">
        <f>IFERROR(__xludf.DUMMYFUNCTION("""COMPUTED_VALUE"""),"Consultorio de Ortodoncia")</f>
        <v>Consultorio de Ortodoncia</v>
      </c>
      <c r="AM525" s="12" t="str">
        <f>IFERROR(__xludf.DUMMYFUNCTION("""COMPUTED_VALUE"""),"41935329")</f>
        <v>41935329</v>
      </c>
      <c r="AN525" s="12" t="str">
        <f>IFERROR(__xludf.DUMMYFUNCTION("""COMPUTED_VALUE"""),"3152841594")</f>
        <v>3152841594</v>
      </c>
      <c r="AO525" s="6" t="str">
        <f>IFERROR(__xludf.DUMMYFUNCTION("""COMPUTED_VALUE"""),"Madre")</f>
        <v>Madre</v>
      </c>
      <c r="AP525" s="6" t="str">
        <f>IFERROR(__xludf.DUMMYFUNCTION("""COMPUTED_VALUE"""),"Estudiante(s): Mesa Urina")</f>
        <v>Estudiante(s): Mesa Urina</v>
      </c>
      <c r="AQ525" s="6" t="str">
        <f>IFERROR(__xludf.DUMMYFUNCTION("""COMPUTED_VALUE"""),"103544*Gi")</f>
        <v>103544*Gi</v>
      </c>
      <c r="AR525" s="6" t="str">
        <f>IFERROR(__xludf.DUMMYFUNCTION("""COMPUTED_VALUE"""),"Jorge")</f>
        <v>Jorge</v>
      </c>
      <c r="AS525" s="6" t="str">
        <f>IFERROR(__xludf.DUMMYFUNCTION("""COMPUTED_VALUE"""),"Iván")</f>
        <v>Iván</v>
      </c>
      <c r="AT525" s="6" t="str">
        <f>IFERROR(__xludf.DUMMYFUNCTION("""COMPUTED_VALUE"""),"Mesa Niño")</f>
        <v>Mesa Niño</v>
      </c>
      <c r="AU525" s="6" t="str">
        <f>IFERROR(__xludf.DUMMYFUNCTION("""COMPUTED_VALUE"""),"jorgemesa55@gmail.com")</f>
        <v>jorgemesa55@gmail.com</v>
      </c>
      <c r="AV525" s="6" t="str">
        <f>IFERROR(__xludf.DUMMYFUNCTION("""COMPUTED_VALUE"""),"Medico Ortopedista")</f>
        <v>Medico Ortopedista</v>
      </c>
      <c r="AW525" s="6" t="str">
        <f>IFERROR(__xludf.DUMMYFUNCTION("""COMPUTED_VALUE"""),"Consultorio")</f>
        <v>Consultorio</v>
      </c>
      <c r="AX525" s="12" t="str">
        <f>IFERROR(__xludf.DUMMYFUNCTION("""COMPUTED_VALUE"""),"89004608")</f>
        <v>89004608</v>
      </c>
      <c r="AY525" s="12" t="str">
        <f>IFERROR(__xludf.DUMMYFUNCTION("""COMPUTED_VALUE"""),"3148914984")</f>
        <v>3148914984</v>
      </c>
      <c r="AZ525" s="6" t="str">
        <f>IFERROR(__xludf.DUMMYFUNCTION("""COMPUTED_VALUE"""),"Padre")</f>
        <v>Padre</v>
      </c>
      <c r="BA525" s="6"/>
      <c r="BB525" s="6"/>
      <c r="BC525" s="6"/>
      <c r="BD525" s="12" t="str">
        <f>IFERROR(__xludf.DUMMYFUNCTION("""COMPUTED_VALUE"""),"mes0006")</f>
        <v>mes0006</v>
      </c>
      <c r="BE525" s="6"/>
      <c r="BF525" s="6"/>
      <c r="BG525" s="6">
        <f>IFERROR(__xludf.DUMMYFUNCTION("""COMPUTED_VALUE"""),2032.0)</f>
        <v>2032</v>
      </c>
      <c r="BH525" s="15">
        <f>IFERROR(__xludf.DUMMYFUNCTION("""COMPUTED_VALUE"""),46215.59685185185)</f>
        <v>46215.59685</v>
      </c>
      <c r="BI525" s="6">
        <f>IFERROR(__xludf.DUMMYFUNCTION("""COMPUTED_VALUE"""),525.0)</f>
        <v>525</v>
      </c>
      <c r="BJ525" s="6"/>
      <c r="BK525" s="6"/>
      <c r="BL525" s="6" t="str">
        <f>IFERROR(__xludf.DUMMYFUNCTION("""COMPUTED_VALUE"""),"GISMES0006")</f>
        <v>GISMES0006</v>
      </c>
      <c r="BM525" s="6"/>
      <c r="BN525" s="6"/>
      <c r="BO525" s="6"/>
      <c r="BP525" s="6"/>
      <c r="BQ525" s="6"/>
      <c r="BR525" s="6"/>
      <c r="BS525" s="6"/>
      <c r="BT525" s="6"/>
      <c r="BU525" s="6" t="str">
        <f>IFERROR(__xludf.DUMMYFUNCTION("""COMPUTED_VALUE"""),"SI")</f>
        <v>SI</v>
      </c>
      <c r="BV525" s="6" t="str">
        <f>IFERROR(__xludf.DUMMYFUNCTION("""COMPUTED_VALUE"""),"valeria.m2032")</f>
        <v>valeria.m2032</v>
      </c>
      <c r="BW525" s="6"/>
      <c r="BX525" s="6"/>
      <c r="BY525" s="6"/>
      <c r="BZ525" s="6"/>
    </row>
    <row r="526">
      <c r="A526" s="12" t="str">
        <f>IFERROR(__xludf.DUMMYFUNCTION("""COMPUTED_VALUE"""),"1094987792")</f>
        <v>1094987792</v>
      </c>
      <c r="B526" s="6">
        <f>IFERROR(__xludf.DUMMYFUNCTION("""COMPUTED_VALUE"""),28.0)</f>
        <v>28</v>
      </c>
      <c r="C526" s="6" t="str">
        <f>IFERROR(__xludf.DUMMYFUNCTION("""COMPUTED_VALUE"""),"Santiago")</f>
        <v>Santiago</v>
      </c>
      <c r="D526" s="6"/>
      <c r="E526" s="6" t="str">
        <f>IFERROR(__xludf.DUMMYFUNCTION("""COMPUTED_VALUE"""),"Milan")</f>
        <v>Milan</v>
      </c>
      <c r="F526" s="6" t="str">
        <f>IFERROR(__xludf.DUMMYFUNCTION("""COMPUTED_VALUE"""),"Condominio Arboretum Torre 2 Apto 802 - Calle 27 Nte No5 00 Av Centenario")</f>
        <v>Condominio Arboretum Torre 2 Apto 802 - Calle 27 Nte No5 00 Av Centenario</v>
      </c>
      <c r="G526" s="12">
        <f>IFERROR(__xludf.DUMMYFUNCTION("""COMPUTED_VALUE"""),2013.0)</f>
        <v>2013</v>
      </c>
      <c r="H526" s="6" t="str">
        <f>IFERROR(__xludf.DUMMYFUNCTION("""COMPUTED_VALUE"""),"Septiembre")</f>
        <v>Septiembre</v>
      </c>
      <c r="I526" s="12">
        <f>IFERROR(__xludf.DUMMYFUNCTION("""COMPUTED_VALUE"""),27.0)</f>
        <v>27</v>
      </c>
      <c r="J526" s="6" t="str">
        <f>IFERROR(__xludf.DUMMYFUNCTION("""COMPUTED_VALUE"""),"Georgia")</f>
        <v>Georgia</v>
      </c>
      <c r="K526" s="6" t="str">
        <f>IFERROR(__xludf.DUMMYFUNCTION("""COMPUTED_VALUE"""),"santiago.m2032@gi.edu.co")</f>
        <v>santiago.m2032@gi.edu.co</v>
      </c>
      <c r="L526" s="6" t="str">
        <f>IFERROR(__xludf.DUMMYFUNCTION("""COMPUTED_VALUE"""),"TI")</f>
        <v>TI</v>
      </c>
      <c r="M526" s="6" t="str">
        <f>IFERROR(__xludf.DUMMYFUNCTION("""COMPUTED_VALUE"""),"Armenia")</f>
        <v>Armenia</v>
      </c>
      <c r="N526" s="6" t="str">
        <f>IFERROR(__xludf.DUMMYFUNCTION("""COMPUTED_VALUE"""),"M")</f>
        <v>M</v>
      </c>
      <c r="O526" s="6" t="str">
        <f>IFERROR(__xludf.DUMMYFUNCTION("""COMPUTED_VALUE"""),"ACTIVE")</f>
        <v>ACTIVE</v>
      </c>
      <c r="P526" s="6"/>
      <c r="Q526" s="6" t="str">
        <f>IFERROR(__xludf.DUMMYFUNCTION("""COMPUTED_VALUE"""),"Armenia")</f>
        <v>Armenia</v>
      </c>
      <c r="R526" s="12" t="str">
        <f>IFERROR(__xludf.DUMMYFUNCTION("""COMPUTED_VALUE"""),"Ginb99xr*")</f>
        <v>Ginb99xr*</v>
      </c>
      <c r="S526" s="6" t="str">
        <f>IFERROR(__xludf.DUMMYFUNCTION("""COMPUTED_VALUE"""),"Milan Santiago ")</f>
        <v>Milan Santiago </v>
      </c>
      <c r="T526" s="6" t="str">
        <f>IFERROR(__xludf.DUMMYFUNCTION("""COMPUTED_VALUE"""),"ANGEL MANUEL MILAN OTERO")</f>
        <v>ANGEL MANUEL MILAN OTERO</v>
      </c>
      <c r="U526" s="12" t="str">
        <f>IFERROR(__xludf.DUMMYFUNCTION("""COMPUTED_VALUE"""),"561133096")</f>
        <v>561133096</v>
      </c>
      <c r="V526" s="6">
        <f>IFERROR(__xludf.DUMMYFUNCTION("""COMPUTED_VALUE"""),3.132228474E9)</f>
        <v>3132228474</v>
      </c>
      <c r="W526" s="6" t="str">
        <f>IFERROR(__xludf.DUMMYFUNCTION("""COMPUTED_VALUE"""),"mafecitaw@hotmail.com")</f>
        <v>mafecitaw@hotmail.com</v>
      </c>
      <c r="X526" s="12" t="str">
        <f>IFERROR(__xludf.DUMMYFUNCTION("""COMPUTED_VALUE"""),"O+")</f>
        <v>O+</v>
      </c>
      <c r="Y526" s="12" t="str">
        <f>IFERROR(__xludf.DUMMYFUNCTION("""COMPUTED_VALUE"""),"7")</f>
        <v>7</v>
      </c>
      <c r="Z526" s="12">
        <f>IFERROR(__xludf.DUMMYFUNCTION("""COMPUTED_VALUE"""),120530.0)</f>
        <v>120530</v>
      </c>
      <c r="AA526" s="6" t="str">
        <f>IFERROR(__xludf.DUMMYFUNCTION("""COMPUTED_VALUE"""),"OTRA")</f>
        <v>OTRA</v>
      </c>
      <c r="AB526" s="6"/>
      <c r="AC526" s="6"/>
      <c r="AD526" s="12" t="str">
        <f>IFERROR(__xludf.DUMMYFUNCTION("""COMPUTED_VALUE"""),"7A")</f>
        <v>7A</v>
      </c>
      <c r="AE526" s="12" t="str">
        <f>IFERROR(__xludf.DUMMYFUNCTION("""COMPUTED_VALUE"""),"1345282529")</f>
        <v>1345282529</v>
      </c>
      <c r="AF526" s="6"/>
      <c r="AG526" s="12" t="str">
        <f>IFERROR(__xludf.DUMMYFUNCTION("""COMPUTED_VALUE"""),"María")</f>
        <v>María</v>
      </c>
      <c r="AH526" s="12" t="str">
        <f>IFERROR(__xludf.DUMMYFUNCTION("""COMPUTED_VALUE"""),"Fernanda")</f>
        <v>Fernanda</v>
      </c>
      <c r="AI526" s="6" t="str">
        <f>IFERROR(__xludf.DUMMYFUNCTION("""COMPUTED_VALUE"""),"Díaz Wagner")</f>
        <v>Díaz Wagner</v>
      </c>
      <c r="AJ526" s="6" t="str">
        <f>IFERROR(__xludf.DUMMYFUNCTION("""COMPUTED_VALUE"""),"mafepaisita@outlook.com")</f>
        <v>mafepaisita@outlook.com</v>
      </c>
      <c r="AK526" s="6" t="str">
        <f>IFERROR(__xludf.DUMMYFUNCTION("""COMPUTED_VALUE"""),"Independiente")</f>
        <v>Independiente</v>
      </c>
      <c r="AL526" s="6" t="str">
        <f>IFERROR(__xludf.DUMMYFUNCTION("""COMPUTED_VALUE"""),"Property Manangement")</f>
        <v>Property Manangement</v>
      </c>
      <c r="AM526" s="12" t="str">
        <f>IFERROR(__xludf.DUMMYFUNCTION("""COMPUTED_VALUE"""),"24332586")</f>
        <v>24332586</v>
      </c>
      <c r="AN526" s="12" t="str">
        <f>IFERROR(__xludf.DUMMYFUNCTION("""COMPUTED_VALUE"""),"3132241107")</f>
        <v>3132241107</v>
      </c>
      <c r="AO526" s="6" t="str">
        <f>IFERROR(__xludf.DUMMYFUNCTION("""COMPUTED_VALUE"""),"Madre")</f>
        <v>Madre</v>
      </c>
      <c r="AP526" s="6" t="str">
        <f>IFERROR(__xludf.DUMMYFUNCTION("""COMPUTED_VALUE"""),"Estudiante(s): Milan")</f>
        <v>Estudiante(s): Milan</v>
      </c>
      <c r="AQ526" s="6" t="str">
        <f>IFERROR(__xludf.DUMMYFUNCTION("""COMPUTED_VALUE"""),"120530*Gi")</f>
        <v>120530*Gi</v>
      </c>
      <c r="AR526" s="6" t="str">
        <f>IFERROR(__xludf.DUMMYFUNCTION("""COMPUTED_VALUE"""),"Ángel")</f>
        <v>Ángel</v>
      </c>
      <c r="AS526" s="6" t="str">
        <f>IFERROR(__xludf.DUMMYFUNCTION("""COMPUTED_VALUE"""),"Manuel")</f>
        <v>Manuel</v>
      </c>
      <c r="AT526" s="6" t="str">
        <f>IFERROR(__xludf.DUMMYFUNCTION("""COMPUTED_VALUE"""),"Milán Otero")</f>
        <v>Milán Otero</v>
      </c>
      <c r="AU526" s="6" t="str">
        <f>IFERROR(__xludf.DUMMYFUNCTION("""COMPUTED_VALUE"""),"mafecitaw@hotmail.com")</f>
        <v>mafecitaw@hotmail.com</v>
      </c>
      <c r="AV526" s="6" t="str">
        <f>IFERROR(__xludf.DUMMYFUNCTION("""COMPUTED_VALUE"""),"US Military")</f>
        <v>US Military</v>
      </c>
      <c r="AW526" s="6" t="str">
        <f>IFERROR(__xludf.DUMMYFUNCTION("""COMPUTED_VALUE"""),"NATO")</f>
        <v>NATO</v>
      </c>
      <c r="AX526" s="12" t="str">
        <f>IFERROR(__xludf.DUMMYFUNCTION("""COMPUTED_VALUE"""),"8115933")</f>
        <v>8115933</v>
      </c>
      <c r="AY526" s="12" t="str">
        <f>IFERROR(__xludf.DUMMYFUNCTION("""COMPUTED_VALUE"""),"3132228474")</f>
        <v>3132228474</v>
      </c>
      <c r="AZ526" s="6" t="str">
        <f>IFERROR(__xludf.DUMMYFUNCTION("""COMPUTED_VALUE"""),"Padre")</f>
        <v>Padre</v>
      </c>
      <c r="BA526" s="6"/>
      <c r="BB526" s="6"/>
      <c r="BC526" s="6"/>
      <c r="BD526" s="12" t="str">
        <f>IFERROR(__xludf.DUMMYFUNCTION("""COMPUTED_VALUE"""),"mil0001")</f>
        <v>mil0001</v>
      </c>
      <c r="BE526" s="6"/>
      <c r="BF526" s="6"/>
      <c r="BG526" s="6">
        <f>IFERROR(__xludf.DUMMYFUNCTION("""COMPUTED_VALUE"""),2032.0)</f>
        <v>2032</v>
      </c>
      <c r="BH526" s="15">
        <f>IFERROR(__xludf.DUMMYFUNCTION("""COMPUTED_VALUE"""),46204.550474537034)</f>
        <v>46204.55047</v>
      </c>
      <c r="BI526" s="6">
        <f>IFERROR(__xludf.DUMMYFUNCTION("""COMPUTED_VALUE"""),526.0)</f>
        <v>526</v>
      </c>
      <c r="BJ526" s="6"/>
      <c r="BK526" s="6"/>
      <c r="BL526" s="6" t="str">
        <f>IFERROR(__xludf.DUMMYFUNCTION("""COMPUTED_VALUE"""),"GISMIL0001")</f>
        <v>GISMIL0001</v>
      </c>
      <c r="BM526" s="6"/>
      <c r="BN526" s="6"/>
      <c r="BO526" s="6"/>
      <c r="BP526" s="6"/>
      <c r="BQ526" s="6"/>
      <c r="BR526" s="6"/>
      <c r="BS526" s="6"/>
      <c r="BT526" s="6"/>
      <c r="BU526" s="6" t="str">
        <f>IFERROR(__xludf.DUMMYFUNCTION("""COMPUTED_VALUE"""),"SI")</f>
        <v>SI</v>
      </c>
      <c r="BV526" s="6" t="str">
        <f>IFERROR(__xludf.DUMMYFUNCTION("""COMPUTED_VALUE"""),"santiago.m2032")</f>
        <v>santiago.m2032</v>
      </c>
      <c r="BW526" s="6"/>
      <c r="BX526" s="6"/>
      <c r="BY526" s="6"/>
      <c r="BZ526" s="6"/>
    </row>
    <row r="527">
      <c r="A527" s="12">
        <f>IFERROR(__xludf.DUMMYFUNCTION("""COMPUTED_VALUE"""),1.232789606E9)</f>
        <v>1232789606</v>
      </c>
      <c r="B527" s="6">
        <f>IFERROR(__xludf.DUMMYFUNCTION("""COMPUTED_VALUE"""),29.0)</f>
        <v>29</v>
      </c>
      <c r="C527" s="6" t="str">
        <f>IFERROR(__xludf.DUMMYFUNCTION("""COMPUTED_VALUE"""),"Juliana")</f>
        <v>Juliana</v>
      </c>
      <c r="D527" s="6"/>
      <c r="E527" s="6" t="str">
        <f>IFERROR(__xludf.DUMMYFUNCTION("""COMPUTED_VALUE"""),"Molina Navarro")</f>
        <v>Molina Navarro</v>
      </c>
      <c r="F527" s="6" t="str">
        <f>IFERROR(__xludf.DUMMYFUNCTION("""COMPUTED_VALUE"""),"Lagos de Iraka Casa 38 - Km 12 Via Armenia - El Caimo")</f>
        <v>Lagos de Iraka Casa 38 - Km 12 Via Armenia - El Caimo</v>
      </c>
      <c r="G527" s="12" t="str">
        <f>IFERROR(__xludf.DUMMYFUNCTION("""COMPUTED_VALUE"""),"2014")</f>
        <v>2014</v>
      </c>
      <c r="H527" s="6" t="str">
        <f>IFERROR(__xludf.DUMMYFUNCTION("""COMPUTED_VALUE"""),"Septiembre")</f>
        <v>Septiembre</v>
      </c>
      <c r="I527" s="12" t="str">
        <f>IFERROR(__xludf.DUMMYFUNCTION("""COMPUTED_VALUE"""),"18")</f>
        <v>18</v>
      </c>
      <c r="J527" s="6" t="str">
        <f>IFERROR(__xludf.DUMMYFUNCTION("""COMPUTED_VALUE"""),"Cali")</f>
        <v>Cali</v>
      </c>
      <c r="K527" s="6" t="str">
        <f>IFERROR(__xludf.DUMMYFUNCTION("""COMPUTED_VALUE"""),"juliana.m2032@gi.edu.co")</f>
        <v>juliana.m2032@gi.edu.co</v>
      </c>
      <c r="L527" s="6" t="str">
        <f>IFERROR(__xludf.DUMMYFUNCTION("""COMPUTED_VALUE"""),"RC")</f>
        <v>RC</v>
      </c>
      <c r="M527" s="6" t="str">
        <f>IFERROR(__xludf.DUMMYFUNCTION("""COMPUTED_VALUE"""),"Armenia")</f>
        <v>Armenia</v>
      </c>
      <c r="N527" s="6" t="str">
        <f>IFERROR(__xludf.DUMMYFUNCTION("""COMPUTED_VALUE"""),"F")</f>
        <v>F</v>
      </c>
      <c r="O527" s="6" t="str">
        <f>IFERROR(__xludf.DUMMYFUNCTION("""COMPUTED_VALUE"""),"ACTIVE")</f>
        <v>ACTIVE</v>
      </c>
      <c r="P527" s="6"/>
      <c r="Q527" s="6" t="str">
        <f>IFERROR(__xludf.DUMMYFUNCTION("""COMPUTED_VALUE"""),"Armenia")</f>
        <v>Armenia</v>
      </c>
      <c r="R527" s="12" t="str">
        <f>IFERROR(__xludf.DUMMYFUNCTION("""COMPUTED_VALUE"""),"Gisaem54u*")</f>
        <v>Gisaem54u*</v>
      </c>
      <c r="S527" s="6" t="str">
        <f>IFERROR(__xludf.DUMMYFUNCTION("""COMPUTED_VALUE"""),"Molina Navarro Juliana ")</f>
        <v>Molina Navarro Juliana </v>
      </c>
      <c r="T527" s="6" t="str">
        <f>IFERROR(__xludf.DUMMYFUNCTION("""COMPUTED_VALUE"""),"JULIAN MAURICIO MOLINA ROJAS")</f>
        <v>JULIAN MAURICIO MOLINA ROJAS</v>
      </c>
      <c r="U527" s="12" t="str">
        <f>IFERROR(__xludf.DUMMYFUNCTION("""COMPUTED_VALUE"""),"80715384")</f>
        <v>80715384</v>
      </c>
      <c r="V527" s="6">
        <f>IFERROR(__xludf.DUMMYFUNCTION("""COMPUTED_VALUE"""),3.132251428E9)</f>
        <v>3132251428</v>
      </c>
      <c r="W527" s="6" t="str">
        <f>IFERROR(__xludf.DUMMYFUNCTION("""COMPUTED_VALUE"""),"julian3502009@hotmail.com")</f>
        <v>julian3502009@hotmail.com</v>
      </c>
      <c r="X527" s="12" t="str">
        <f>IFERROR(__xludf.DUMMYFUNCTION("""COMPUTED_VALUE"""),"B+")</f>
        <v>B+</v>
      </c>
      <c r="Y527" s="12" t="str">
        <f>IFERROR(__xludf.DUMMYFUNCTION("""COMPUTED_VALUE"""),"7")</f>
        <v>7</v>
      </c>
      <c r="Z527" s="12">
        <f>IFERROR(__xludf.DUMMYFUNCTION("""COMPUTED_VALUE"""),103970.0)</f>
        <v>103970</v>
      </c>
      <c r="AA527" s="6" t="str">
        <f>IFERROR(__xludf.DUMMYFUNCTION("""COMPUTED_VALUE"""),"SURA")</f>
        <v>SURA</v>
      </c>
      <c r="AB527" s="6"/>
      <c r="AC527" s="6"/>
      <c r="AD527" s="12" t="str">
        <f>IFERROR(__xludf.DUMMYFUNCTION("""COMPUTED_VALUE"""),"7B")</f>
        <v>7B</v>
      </c>
      <c r="AE527" s="12">
        <f>IFERROR(__xludf.DUMMYFUNCTION("""COMPUTED_VALUE"""),1.345281998E9)</f>
        <v>1345281998</v>
      </c>
      <c r="AF527" s="12" t="str">
        <f>IFERROR(__xludf.DUMMYFUNCTION("""COMPUTED_VALUE"""),"0657785139")</f>
        <v>0657785139</v>
      </c>
      <c r="AG527" s="12" t="str">
        <f>IFERROR(__xludf.DUMMYFUNCTION("""COMPUTED_VALUE"""),"Leidy")</f>
        <v>Leidy</v>
      </c>
      <c r="AH527" s="12" t="str">
        <f>IFERROR(__xludf.DUMMYFUNCTION("""COMPUTED_VALUE"""),"Cecilia")</f>
        <v>Cecilia</v>
      </c>
      <c r="AI527" s="6" t="str">
        <f>IFERROR(__xludf.DUMMYFUNCTION("""COMPUTED_VALUE"""),"Navarro Montilla")</f>
        <v>Navarro Montilla</v>
      </c>
      <c r="AJ527" s="6" t="str">
        <f>IFERROR(__xludf.DUMMYFUNCTION("""COMPUTED_VALUE"""),"leidnamo@gmail.com")</f>
        <v>leidnamo@gmail.com</v>
      </c>
      <c r="AK527" s="6" t="str">
        <f>IFERROR(__xludf.DUMMYFUNCTION("""COMPUTED_VALUE"""),"FISIOTERAPEUTA ESPECIALISTA EN SALUD OCUPACIONAL")</f>
        <v>FISIOTERAPEUTA ESPECIALISTA EN SALUD OCUPACIONAL</v>
      </c>
      <c r="AL527" s="6" t="str">
        <f>IFERROR(__xludf.DUMMYFUNCTION("""COMPUTED_VALUE"""),"DICOLMADERAS S.A.S")</f>
        <v>DICOLMADERAS S.A.S</v>
      </c>
      <c r="AM527" s="12" t="str">
        <f>IFERROR(__xludf.DUMMYFUNCTION("""COMPUTED_VALUE"""),"31308104")</f>
        <v>31308104</v>
      </c>
      <c r="AN527" s="12" t="str">
        <f>IFERROR(__xludf.DUMMYFUNCTION("""COMPUTED_VALUE"""),"3043765361")</f>
        <v>3043765361</v>
      </c>
      <c r="AO527" s="6" t="str">
        <f>IFERROR(__xludf.DUMMYFUNCTION("""COMPUTED_VALUE"""),"Madre")</f>
        <v>Madre</v>
      </c>
      <c r="AP527" s="6" t="str">
        <f>IFERROR(__xludf.DUMMYFUNCTION("""COMPUTED_VALUE"""),"Estudiante(s): Molina Navarro")</f>
        <v>Estudiante(s): Molina Navarro</v>
      </c>
      <c r="AQ527" s="6" t="str">
        <f>IFERROR(__xludf.DUMMYFUNCTION("""COMPUTED_VALUE"""),"103970*Gi")</f>
        <v>103970*Gi</v>
      </c>
      <c r="AR527" s="6" t="str">
        <f>IFERROR(__xludf.DUMMYFUNCTION("""COMPUTED_VALUE"""),"Julian")</f>
        <v>Julian</v>
      </c>
      <c r="AS527" s="6" t="str">
        <f>IFERROR(__xludf.DUMMYFUNCTION("""COMPUTED_VALUE"""),"Mauricio")</f>
        <v>Mauricio</v>
      </c>
      <c r="AT527" s="6" t="str">
        <f>IFERROR(__xludf.DUMMYFUNCTION("""COMPUTED_VALUE"""),"Molina Rojas")</f>
        <v>Molina Rojas</v>
      </c>
      <c r="AU527" s="6" t="str">
        <f>IFERROR(__xludf.DUMMYFUNCTION("""COMPUTED_VALUE"""),"losmolinanavarro4@gmail.com")</f>
        <v>losmolinanavarro4@gmail.com</v>
      </c>
      <c r="AV527" s="6" t="str">
        <f>IFERROR(__xludf.DUMMYFUNCTION("""COMPUTED_VALUE"""),"INGENIERO INDUSTRIAL")</f>
        <v>INGENIERO INDUSTRIAL</v>
      </c>
      <c r="AW527" s="6" t="str">
        <f>IFERROR(__xludf.DUMMYFUNCTION("""COMPUTED_VALUE"""),"DICOLMADERAS S.A.S")</f>
        <v>DICOLMADERAS S.A.S</v>
      </c>
      <c r="AX527" s="12" t="str">
        <f>IFERROR(__xludf.DUMMYFUNCTION("""COMPUTED_VALUE"""),"80715384")</f>
        <v>80715384</v>
      </c>
      <c r="AY527" s="12" t="str">
        <f>IFERROR(__xludf.DUMMYFUNCTION("""COMPUTED_VALUE"""),"3132251428")</f>
        <v>3132251428</v>
      </c>
      <c r="AZ527" s="6" t="str">
        <f>IFERROR(__xludf.DUMMYFUNCTION("""COMPUTED_VALUE"""),"Padre")</f>
        <v>Padre</v>
      </c>
      <c r="BA527" s="6"/>
      <c r="BB527" s="6"/>
      <c r="BC527" s="6"/>
      <c r="BD527" s="12" t="str">
        <f>IFERROR(__xludf.DUMMYFUNCTION("""COMPUTED_VALUE"""),"mol0003")</f>
        <v>mol0003</v>
      </c>
      <c r="BE527" s="6"/>
      <c r="BF527" s="6"/>
      <c r="BG527" s="6">
        <f>IFERROR(__xludf.DUMMYFUNCTION("""COMPUTED_VALUE"""),2032.0)</f>
        <v>2032</v>
      </c>
      <c r="BH527" s="15">
        <f>IFERROR(__xludf.DUMMYFUNCTION("""COMPUTED_VALUE"""),46211.49511574074)</f>
        <v>46211.49512</v>
      </c>
      <c r="BI527" s="6">
        <f>IFERROR(__xludf.DUMMYFUNCTION("""COMPUTED_VALUE"""),527.0)</f>
        <v>527</v>
      </c>
      <c r="BJ527" s="6"/>
      <c r="BK527" s="6" t="str">
        <f>IFERROR(__xludf.DUMMYFUNCTION("""COMPUTED_VALUE"""),"Si: DOLEX 7")</f>
        <v>Si: DOLEX 7</v>
      </c>
      <c r="BL527" s="6" t="str">
        <f>IFERROR(__xludf.DUMMYFUNCTION("""COMPUTED_VALUE"""),"GISMOL0003")</f>
        <v>GISMOL0003</v>
      </c>
      <c r="BM527" s="6"/>
      <c r="BN527" s="6"/>
      <c r="BO527" s="6"/>
      <c r="BP527" s="6"/>
      <c r="BQ527" s="6"/>
      <c r="BR527" s="6"/>
      <c r="BS527" s="6"/>
      <c r="BT527" s="6"/>
      <c r="BU527" s="6" t="str">
        <f>IFERROR(__xludf.DUMMYFUNCTION("""COMPUTED_VALUE"""),"SI")</f>
        <v>SI</v>
      </c>
      <c r="BV527" s="6" t="str">
        <f>IFERROR(__xludf.DUMMYFUNCTION("""COMPUTED_VALUE"""),"juliana.m2032")</f>
        <v>juliana.m2032</v>
      </c>
      <c r="BW527" s="6"/>
      <c r="BX527" s="6"/>
      <c r="BY527" s="6"/>
      <c r="BZ527" s="6"/>
    </row>
    <row r="528">
      <c r="A528" s="12">
        <f>IFERROR(__xludf.DUMMYFUNCTION("""COMPUTED_VALUE"""),1.092857235E9)</f>
        <v>1092857235</v>
      </c>
      <c r="B528" s="6">
        <f>IFERROR(__xludf.DUMMYFUNCTION("""COMPUTED_VALUE"""),30.0)</f>
        <v>30</v>
      </c>
      <c r="C528" s="6" t="str">
        <f>IFERROR(__xludf.DUMMYFUNCTION("""COMPUTED_VALUE"""),"Salvador")</f>
        <v>Salvador</v>
      </c>
      <c r="D528" s="6"/>
      <c r="E528" s="6" t="str">
        <f>IFERROR(__xludf.DUMMYFUNCTION("""COMPUTED_VALUE"""),"Montes Cardona")</f>
        <v>Montes Cardona</v>
      </c>
      <c r="F528" s="6" t="str">
        <f>IFERROR(__xludf.DUMMYFUNCTION("""COMPUTED_VALUE"""),"Colina Del Parque Casa A9 - Cra 11 9Nte - 01 La Castellana")</f>
        <v>Colina Del Parque Casa A9 - Cra 11 9Nte - 01 La Castellana</v>
      </c>
      <c r="G528" s="12" t="str">
        <f>IFERROR(__xludf.DUMMYFUNCTION("""COMPUTED_VALUE"""),"2013")</f>
        <v>2013</v>
      </c>
      <c r="H528" s="6" t="str">
        <f>IFERROR(__xludf.DUMMYFUNCTION("""COMPUTED_VALUE"""),"Noviembre")</f>
        <v>Noviembre</v>
      </c>
      <c r="I528" s="12" t="str">
        <f>IFERROR(__xludf.DUMMYFUNCTION("""COMPUTED_VALUE"""),"1")</f>
        <v>1</v>
      </c>
      <c r="J528" s="6" t="str">
        <f>IFERROR(__xludf.DUMMYFUNCTION("""COMPUTED_VALUE"""),"Armenia")</f>
        <v>Armenia</v>
      </c>
      <c r="K528" s="6" t="str">
        <f>IFERROR(__xludf.DUMMYFUNCTION("""COMPUTED_VALUE"""),"salvador.m2032@gi.edu.co")</f>
        <v>salvador.m2032@gi.edu.co</v>
      </c>
      <c r="L528" s="6" t="str">
        <f>IFERROR(__xludf.DUMMYFUNCTION("""COMPUTED_VALUE"""),"TI")</f>
        <v>TI</v>
      </c>
      <c r="M528" s="6" t="str">
        <f>IFERROR(__xludf.DUMMYFUNCTION("""COMPUTED_VALUE"""),"Armenia")</f>
        <v>Armenia</v>
      </c>
      <c r="N528" s="6" t="str">
        <f>IFERROR(__xludf.DUMMYFUNCTION("""COMPUTED_VALUE"""),"M")</f>
        <v>M</v>
      </c>
      <c r="O528" s="6" t="str">
        <f>IFERROR(__xludf.DUMMYFUNCTION("""COMPUTED_VALUE"""),"INACTIVE")</f>
        <v>INACTIVE</v>
      </c>
      <c r="P528" s="6"/>
      <c r="Q528" s="6" t="str">
        <f>IFERROR(__xludf.DUMMYFUNCTION("""COMPUTED_VALUE"""),"Armenia")</f>
        <v>Armenia</v>
      </c>
      <c r="R528" s="12" t="str">
        <f>IFERROR(__xludf.DUMMYFUNCTION("""COMPUTED_VALUE"""),"Gik5n9d4n1*")</f>
        <v>Gik5n9d4n1*</v>
      </c>
      <c r="S528" s="6" t="str">
        <f>IFERROR(__xludf.DUMMYFUNCTION("""COMPUTED_VALUE"""),"Montes Cardona Salvador ")</f>
        <v>Montes Cardona Salvador </v>
      </c>
      <c r="T528" s="6" t="str">
        <f>IFERROR(__xludf.DUMMYFUNCTION("""COMPUTED_VALUE"""),"ÁNGELA MARIA CARDONA GARCIA")</f>
        <v>ÁNGELA MARIA CARDONA GARCIA</v>
      </c>
      <c r="U528" s="12" t="str">
        <f>IFERROR(__xludf.DUMMYFUNCTION("""COMPUTED_VALUE"""),"41940152")</f>
        <v>41940152</v>
      </c>
      <c r="V528" s="6">
        <f>IFERROR(__xludf.DUMMYFUNCTION("""COMPUTED_VALUE"""),3.117712077E9)</f>
        <v>3117712077</v>
      </c>
      <c r="W528" s="6" t="str">
        <f>IFERROR(__xludf.DUMMYFUNCTION("""COMPUTED_VALUE"""),"angelacardona78@hotmail.com")</f>
        <v>angelacardona78@hotmail.com</v>
      </c>
      <c r="X528" s="12" t="str">
        <f>IFERROR(__xludf.DUMMYFUNCTION("""COMPUTED_VALUE"""),"A+")</f>
        <v>A+</v>
      </c>
      <c r="Y528" s="12" t="str">
        <f>IFERROR(__xludf.DUMMYFUNCTION("""COMPUTED_VALUE"""),"7")</f>
        <v>7</v>
      </c>
      <c r="Z528" s="12">
        <f>IFERROR(__xludf.DUMMYFUNCTION("""COMPUTED_VALUE"""),103374.0)</f>
        <v>103374</v>
      </c>
      <c r="AA528" s="6" t="str">
        <f>IFERROR(__xludf.DUMMYFUNCTION("""COMPUTED_VALUE"""),"SANITAS")</f>
        <v>SANITAS</v>
      </c>
      <c r="AB528" s="6" t="str">
        <f>IFERROR(__xludf.DUMMYFUNCTION("""COMPUTED_VALUE"""),"Emi")</f>
        <v>Emi</v>
      </c>
      <c r="AC528" s="6"/>
      <c r="AD528" s="12" t="str">
        <f>IFERROR(__xludf.DUMMYFUNCTION("""COMPUTED_VALUE"""),"7B")</f>
        <v>7B</v>
      </c>
      <c r="AE528" s="12">
        <f>IFERROR(__xludf.DUMMYFUNCTION("""COMPUTED_VALUE"""),1.345281662E9)</f>
        <v>1345281662</v>
      </c>
      <c r="AF528" s="12" t="str">
        <f>IFERROR(__xludf.DUMMYFUNCTION("""COMPUTED_VALUE"""),"0692825363")</f>
        <v>0692825363</v>
      </c>
      <c r="AG528" s="12" t="str">
        <f>IFERROR(__xludf.DUMMYFUNCTION("""COMPUTED_VALUE"""),"Ángela")</f>
        <v>Ángela</v>
      </c>
      <c r="AH528" s="12" t="str">
        <f>IFERROR(__xludf.DUMMYFUNCTION("""COMPUTED_VALUE"""),"María")</f>
        <v>María</v>
      </c>
      <c r="AI528" s="6" t="str">
        <f>IFERROR(__xludf.DUMMYFUNCTION("""COMPUTED_VALUE"""),"Cardona García")</f>
        <v>Cardona García</v>
      </c>
      <c r="AJ528" s="6" t="str">
        <f>IFERROR(__xludf.DUMMYFUNCTION("""COMPUTED_VALUE"""),"angelacardona78@hotmail.com")</f>
        <v>angelacardona78@hotmail.com</v>
      </c>
      <c r="AK528" s="6" t="str">
        <f>IFERROR(__xludf.DUMMYFUNCTION("""COMPUTED_VALUE"""),"odontologa-Rehabilitadota")</f>
        <v>odontologa-Rehabilitadota</v>
      </c>
      <c r="AL528" s="6" t="str">
        <f>IFERROR(__xludf.DUMMYFUNCTION("""COMPUTED_VALUE"""),"Consultorio Odontologico")</f>
        <v>Consultorio Odontologico</v>
      </c>
      <c r="AM528" s="12" t="str">
        <f>IFERROR(__xludf.DUMMYFUNCTION("""COMPUTED_VALUE"""),"41940152")</f>
        <v>41940152</v>
      </c>
      <c r="AN528" s="12" t="str">
        <f>IFERROR(__xludf.DUMMYFUNCTION("""COMPUTED_VALUE"""),"3117712077")</f>
        <v>3117712077</v>
      </c>
      <c r="AO528" s="6" t="str">
        <f>IFERROR(__xludf.DUMMYFUNCTION("""COMPUTED_VALUE"""),"Madre")</f>
        <v>Madre</v>
      </c>
      <c r="AP528" s="6" t="str">
        <f>IFERROR(__xludf.DUMMYFUNCTION("""COMPUTED_VALUE"""),"Estudiante(s): Montes Cardona")</f>
        <v>Estudiante(s): Montes Cardona</v>
      </c>
      <c r="AQ528" s="6" t="str">
        <f>IFERROR(__xludf.DUMMYFUNCTION("""COMPUTED_VALUE"""),"102116*Gi")</f>
        <v>102116*Gi</v>
      </c>
      <c r="AR528" s="6" t="str">
        <f>IFERROR(__xludf.DUMMYFUNCTION("""COMPUTED_VALUE"""),"Luis")</f>
        <v>Luis</v>
      </c>
      <c r="AS528" s="6" t="str">
        <f>IFERROR(__xludf.DUMMYFUNCTION("""COMPUTED_VALUE"""),"Fernando")</f>
        <v>Fernando</v>
      </c>
      <c r="AT528" s="6" t="str">
        <f>IFERROR(__xludf.DUMMYFUNCTION("""COMPUTED_VALUE"""),"Montes")</f>
        <v>Montes</v>
      </c>
      <c r="AU528" s="6" t="str">
        <f>IFERROR(__xludf.DUMMYFUNCTION("""COMPUTED_VALUE"""),"montesluisf@yahoo.com")</f>
        <v>montesluisf@yahoo.com</v>
      </c>
      <c r="AV528" s="6" t="str">
        <f>IFERROR(__xludf.DUMMYFUNCTION("""COMPUTED_VALUE"""),"Odontólogo Periodont")</f>
        <v>Odontólogo Periodont</v>
      </c>
      <c r="AW528" s="6" t="str">
        <f>IFERROR(__xludf.DUMMYFUNCTION("""COMPUTED_VALUE"""),"Dentisalud")</f>
        <v>Dentisalud</v>
      </c>
      <c r="AX528" s="12" t="str">
        <f>IFERROR(__xludf.DUMMYFUNCTION("""COMPUTED_VALUE"""),"94458715")</f>
        <v>94458715</v>
      </c>
      <c r="AY528" s="12" t="str">
        <f>IFERROR(__xludf.DUMMYFUNCTION("""COMPUTED_VALUE"""),"3117712090")</f>
        <v>3117712090</v>
      </c>
      <c r="AZ528" s="6" t="str">
        <f>IFERROR(__xludf.DUMMYFUNCTION("""COMPUTED_VALUE"""),"Padre")</f>
        <v>Padre</v>
      </c>
      <c r="BA528" s="6"/>
      <c r="BB528" s="6"/>
      <c r="BC528" s="6"/>
      <c r="BD528" s="12" t="str">
        <f>IFERROR(__xludf.DUMMYFUNCTION("""COMPUTED_VALUE"""),"mon0002")</f>
        <v>mon0002</v>
      </c>
      <c r="BE528" s="6" t="str">
        <f>IFERROR(__xludf.DUMMYFUNCTION("""COMPUTED_VALUE"""),"FALTAN FIRMAS")</f>
        <v>FALTAN FIRMAS</v>
      </c>
      <c r="BF528" s="6"/>
      <c r="BG528" s="6">
        <f>IFERROR(__xludf.DUMMYFUNCTION("""COMPUTED_VALUE"""),2032.0)</f>
        <v>2032</v>
      </c>
      <c r="BH528" s="15">
        <f>IFERROR(__xludf.DUMMYFUNCTION("""COMPUTED_VALUE"""),46206.40520833333)</f>
        <v>46206.40521</v>
      </c>
      <c r="BI528" s="6">
        <f>IFERROR(__xludf.DUMMYFUNCTION("""COMPUTED_VALUE"""),528.0)</f>
        <v>528</v>
      </c>
      <c r="BJ528" s="6"/>
      <c r="BK528" s="6"/>
      <c r="BL528" s="6" t="str">
        <f>IFERROR(__xludf.DUMMYFUNCTION("""COMPUTED_VALUE"""),"GISMON0002")</f>
        <v>GISMON0002</v>
      </c>
      <c r="BM528" s="6"/>
      <c r="BN528" s="6"/>
      <c r="BO528" s="6"/>
      <c r="BP528" s="6" t="str">
        <f>IFERROR(__xludf.DUMMYFUNCTION("""COMPUTED_VALUE"""),"XC_SEC_BandaFW")</f>
        <v>XC_SEC_BandaFW</v>
      </c>
      <c r="BQ528" s="6"/>
      <c r="BR528" s="6"/>
      <c r="BS528" s="6"/>
      <c r="BT528" s="6"/>
      <c r="BU528" s="6" t="str">
        <f>IFERROR(__xludf.DUMMYFUNCTION("""COMPUTED_VALUE"""),"SI")</f>
        <v>SI</v>
      </c>
      <c r="BV528" s="6" t="str">
        <f>IFERROR(__xludf.DUMMYFUNCTION("""COMPUTED_VALUE"""),"salvador.m2032")</f>
        <v>salvador.m2032</v>
      </c>
      <c r="BW528" s="6"/>
      <c r="BX528" s="6"/>
      <c r="BY528" s="6"/>
      <c r="BZ528" s="6"/>
    </row>
    <row r="529">
      <c r="A529" s="12">
        <f>IFERROR(__xludf.DUMMYFUNCTION("""COMPUTED_VALUE"""),1.09712529E9)</f>
        <v>1097125290</v>
      </c>
      <c r="B529" s="6">
        <f>IFERROR(__xludf.DUMMYFUNCTION("""COMPUTED_VALUE"""),31.0)</f>
        <v>31</v>
      </c>
      <c r="C529" s="6" t="str">
        <f>IFERROR(__xludf.DUMMYFUNCTION("""COMPUTED_VALUE"""),"Alejandro")</f>
        <v>Alejandro</v>
      </c>
      <c r="D529" s="6"/>
      <c r="E529" s="6" t="str">
        <f>IFERROR(__xludf.DUMMYFUNCTION("""COMPUTED_VALUE"""),"Muñoz Gómez")</f>
        <v>Muñoz Gómez</v>
      </c>
      <c r="F529" s="6" t="str">
        <f>IFERROR(__xludf.DUMMYFUNCTION("""COMPUTED_VALUE"""),"Edificio Piamonte Apto 2020 - Calle 13 Nte No9 - 52 La Castellana")</f>
        <v>Edificio Piamonte Apto 2020 - Calle 13 Nte No9 - 52 La Castellana</v>
      </c>
      <c r="G529" s="12" t="str">
        <f>IFERROR(__xludf.DUMMYFUNCTION("""COMPUTED_VALUE"""),"2014")</f>
        <v>2014</v>
      </c>
      <c r="H529" s="6" t="str">
        <f>IFERROR(__xludf.DUMMYFUNCTION("""COMPUTED_VALUE"""),"Julio")</f>
        <v>Julio</v>
      </c>
      <c r="I529" s="12" t="str">
        <f>IFERROR(__xludf.DUMMYFUNCTION("""COMPUTED_VALUE"""),"2")</f>
        <v>2</v>
      </c>
      <c r="J529" s="6" t="str">
        <f>IFERROR(__xludf.DUMMYFUNCTION("""COMPUTED_VALUE"""),"Bucaramanga")</f>
        <v>Bucaramanga</v>
      </c>
      <c r="K529" s="6" t="str">
        <f>IFERROR(__xludf.DUMMYFUNCTION("""COMPUTED_VALUE"""),"alejandro.m2032@gi.edu.co")</f>
        <v>alejandro.m2032@gi.edu.co</v>
      </c>
      <c r="L529" s="6" t="str">
        <f>IFERROR(__xludf.DUMMYFUNCTION("""COMPUTED_VALUE"""),"TI")</f>
        <v>TI</v>
      </c>
      <c r="M529" s="6" t="str">
        <f>IFERROR(__xludf.DUMMYFUNCTION("""COMPUTED_VALUE"""),"Armenia")</f>
        <v>Armenia</v>
      </c>
      <c r="N529" s="6" t="str">
        <f>IFERROR(__xludf.DUMMYFUNCTION("""COMPUTED_VALUE"""),"M")</f>
        <v>M</v>
      </c>
      <c r="O529" s="6" t="str">
        <f>IFERROR(__xludf.DUMMYFUNCTION("""COMPUTED_VALUE"""),"ACTIVE")</f>
        <v>ACTIVE</v>
      </c>
      <c r="P529" s="6"/>
      <c r="Q529" s="6" t="str">
        <f>IFERROR(__xludf.DUMMYFUNCTION("""COMPUTED_VALUE"""),"Armenia")</f>
        <v>Armenia</v>
      </c>
      <c r="R529" s="12" t="str">
        <f>IFERROR(__xludf.DUMMYFUNCTION("""COMPUTED_VALUE"""),"Givr35h7*")</f>
        <v>Givr35h7*</v>
      </c>
      <c r="S529" s="6" t="str">
        <f>IFERROR(__xludf.DUMMYFUNCTION("""COMPUTED_VALUE"""),"Muñoz Gómez Alejandro ")</f>
        <v>Muñoz Gómez Alejandro </v>
      </c>
      <c r="T529" s="6" t="str">
        <f>IFERROR(__xludf.DUMMYFUNCTION("""COMPUTED_VALUE"""),"ALFONSO ENRIQUE MUÑOZ OSPINA")</f>
        <v>ALFONSO ENRIQUE MUÑOZ OSPINA</v>
      </c>
      <c r="U529" s="12" t="str">
        <f>IFERROR(__xludf.DUMMYFUNCTION("""COMPUTED_VALUE"""),"18495414")</f>
        <v>18495414</v>
      </c>
      <c r="V529" s="6">
        <f>IFERROR(__xludf.DUMMYFUNCTION("""COMPUTED_VALUE"""),3.113399099E9)</f>
        <v>3113399099</v>
      </c>
      <c r="W529" s="6" t="str">
        <f>IFERROR(__xludf.DUMMYFUNCTION("""COMPUTED_VALUE"""),"aemunoz@yahoo.com")</f>
        <v>aemunoz@yahoo.com</v>
      </c>
      <c r="X529" s="12" t="str">
        <f>IFERROR(__xludf.DUMMYFUNCTION("""COMPUTED_VALUE"""),"O+")</f>
        <v>O+</v>
      </c>
      <c r="Y529" s="12" t="str">
        <f>IFERROR(__xludf.DUMMYFUNCTION("""COMPUTED_VALUE"""),"7")</f>
        <v>7</v>
      </c>
      <c r="Z529" s="12">
        <f>IFERROR(__xludf.DUMMYFUNCTION("""COMPUTED_VALUE"""),120206.0)</f>
        <v>120206</v>
      </c>
      <c r="AA529" s="6" t="str">
        <f>IFERROR(__xludf.DUMMYFUNCTION("""COMPUTED_VALUE"""),"SURA")</f>
        <v>SURA</v>
      </c>
      <c r="AB529" s="6"/>
      <c r="AC529" s="6"/>
      <c r="AD529" s="12" t="str">
        <f>IFERROR(__xludf.DUMMYFUNCTION("""COMPUTED_VALUE"""),"7B")</f>
        <v>7B</v>
      </c>
      <c r="AE529" s="12">
        <f>IFERROR(__xludf.DUMMYFUNCTION("""COMPUTED_VALUE"""),1.345282193E9)</f>
        <v>1345282193</v>
      </c>
      <c r="AF529" s="12" t="str">
        <f>IFERROR(__xludf.DUMMYFUNCTION("""COMPUTED_VALUE"""),"0650776947")</f>
        <v>0650776947</v>
      </c>
      <c r="AG529" s="12" t="str">
        <f>IFERROR(__xludf.DUMMYFUNCTION("""COMPUTED_VALUE"""),"Andrea")</f>
        <v>Andrea</v>
      </c>
      <c r="AH529" s="6"/>
      <c r="AI529" s="6" t="str">
        <f>IFERROR(__xludf.DUMMYFUNCTION("""COMPUTED_VALUE"""),"Gómez Escudero")</f>
        <v>Gómez Escudero</v>
      </c>
      <c r="AJ529" s="6" t="str">
        <f>IFERROR(__xludf.DUMMYFUNCTION("""COMPUTED_VALUE"""),"andrea.gomez.escudero@gmail.com")</f>
        <v>andrea.gomez.escudero@gmail.com</v>
      </c>
      <c r="AK529" s="6" t="str">
        <f>IFERROR(__xludf.DUMMYFUNCTION("""COMPUTED_VALUE"""),"Química")</f>
        <v>Química</v>
      </c>
      <c r="AL529" s="6" t="str">
        <f>IFERROR(__xludf.DUMMYFUNCTION("""COMPUTED_VALUE"""),"Universidad del Quindío")</f>
        <v>Universidad del Quindío</v>
      </c>
      <c r="AM529" s="12" t="str">
        <f>IFERROR(__xludf.DUMMYFUNCTION("""COMPUTED_VALUE"""),"24813326")</f>
        <v>24813326</v>
      </c>
      <c r="AN529" s="12" t="str">
        <f>IFERROR(__xludf.DUMMYFUNCTION("""COMPUTED_VALUE"""),"3207232889")</f>
        <v>3207232889</v>
      </c>
      <c r="AO529" s="6" t="str">
        <f>IFERROR(__xludf.DUMMYFUNCTION("""COMPUTED_VALUE"""),"Madre")</f>
        <v>Madre</v>
      </c>
      <c r="AP529" s="6" t="str">
        <f>IFERROR(__xludf.DUMMYFUNCTION("""COMPUTED_VALUE"""),"Estudiante(s): Muñoz Gómez")</f>
        <v>Estudiante(s): Muñoz Gómez</v>
      </c>
      <c r="AQ529" s="6" t="str">
        <f>IFERROR(__xludf.DUMMYFUNCTION("""COMPUTED_VALUE"""),"120206*Gi")</f>
        <v>120206*Gi</v>
      </c>
      <c r="AR529" s="6" t="str">
        <f>IFERROR(__xludf.DUMMYFUNCTION("""COMPUTED_VALUE"""),"Alfonso")</f>
        <v>Alfonso</v>
      </c>
      <c r="AS529" s="6" t="str">
        <f>IFERROR(__xludf.DUMMYFUNCTION("""COMPUTED_VALUE"""),"Enrique")</f>
        <v>Enrique</v>
      </c>
      <c r="AT529" s="6" t="str">
        <f>IFERROR(__xludf.DUMMYFUNCTION("""COMPUTED_VALUE"""),"Muñoz Ospina")</f>
        <v>Muñoz Ospina</v>
      </c>
      <c r="AU529" s="6" t="str">
        <f>IFERROR(__xludf.DUMMYFUNCTION("""COMPUTED_VALUE"""),"aemunoz@yahoo.com")</f>
        <v>aemunoz@yahoo.com</v>
      </c>
      <c r="AV529" s="6" t="str">
        <f>IFERROR(__xludf.DUMMYFUNCTION("""COMPUTED_VALUE"""),"Arquitecto")</f>
        <v>Arquitecto</v>
      </c>
      <c r="AW529" s="6"/>
      <c r="AX529" s="12" t="str">
        <f>IFERROR(__xludf.DUMMYFUNCTION("""COMPUTED_VALUE"""),"18495414")</f>
        <v>18495414</v>
      </c>
      <c r="AY529" s="12" t="str">
        <f>IFERROR(__xludf.DUMMYFUNCTION("""COMPUTED_VALUE"""),"3113399099")</f>
        <v>3113399099</v>
      </c>
      <c r="AZ529" s="6" t="str">
        <f>IFERROR(__xludf.DUMMYFUNCTION("""COMPUTED_VALUE"""),"Padre")</f>
        <v>Padre</v>
      </c>
      <c r="BA529" s="6"/>
      <c r="BB529" s="6"/>
      <c r="BC529" s="6"/>
      <c r="BD529" s="12" t="str">
        <f>IFERROR(__xludf.DUMMYFUNCTION("""COMPUTED_VALUE"""),"mun0002")</f>
        <v>mun0002</v>
      </c>
      <c r="BE529" s="6"/>
      <c r="BF529" s="6"/>
      <c r="BG529" s="6">
        <f>IFERROR(__xludf.DUMMYFUNCTION("""COMPUTED_VALUE"""),2032.0)</f>
        <v>2032</v>
      </c>
      <c r="BH529" s="15">
        <f>IFERROR(__xludf.DUMMYFUNCTION("""COMPUTED_VALUE"""),46212.689155092594)</f>
        <v>46212.68916</v>
      </c>
      <c r="BI529" s="6">
        <f>IFERROR(__xludf.DUMMYFUNCTION("""COMPUTED_VALUE"""),529.0)</f>
        <v>529</v>
      </c>
      <c r="BJ529" s="6"/>
      <c r="BK529" s="6"/>
      <c r="BL529" s="6" t="str">
        <f>IFERROR(__xludf.DUMMYFUNCTION("""COMPUTED_VALUE"""),"GISMUN0002")</f>
        <v>GISMUN0002</v>
      </c>
      <c r="BM529" s="6"/>
      <c r="BN529" s="6"/>
      <c r="BO529" s="6" t="str">
        <f>IFERROR(__xludf.DUMMYFUNCTION("""COMPUTED_VALUE"""),"XC_SEC_Basquetbol")</f>
        <v>XC_SEC_Basquetbol</v>
      </c>
      <c r="BP529" s="6" t="str">
        <f>IFERROR(__xludf.DUMMYFUNCTION("""COMPUTED_VALUE"""),"XC_SEC_BandaFW")</f>
        <v>XC_SEC_BandaFW</v>
      </c>
      <c r="BQ529" s="6" t="str">
        <f>IFERROR(__xludf.DUMMYFUNCTION("""COMPUTED_VALUE"""),"XC_SEC_Basquetbol")</f>
        <v>XC_SEC_Basquetbol</v>
      </c>
      <c r="BR529" s="6" t="str">
        <f>IFERROR(__xludf.DUMMYFUNCTION("""COMPUTED_VALUE"""),"XC_SEC_Basquetbol")</f>
        <v>XC_SEC_Basquetbol</v>
      </c>
      <c r="BS529" s="6"/>
      <c r="BT529" s="6" t="str">
        <f>IFERROR(__xludf.DUMMYFUNCTION("""COMPUTED_VALUE"""),"XC_SEC_Basquetbol")</f>
        <v>XC_SEC_Basquetbol</v>
      </c>
      <c r="BU529" s="6" t="str">
        <f>IFERROR(__xludf.DUMMYFUNCTION("""COMPUTED_VALUE"""),"SI")</f>
        <v>SI</v>
      </c>
      <c r="BV529" s="6" t="str">
        <f>IFERROR(__xludf.DUMMYFUNCTION("""COMPUTED_VALUE"""),"alejandro.m2032")</f>
        <v>alejandro.m2032</v>
      </c>
      <c r="BW529" s="6"/>
      <c r="BX529" s="6"/>
      <c r="BY529" s="6"/>
      <c r="BZ529" s="6"/>
    </row>
    <row r="530">
      <c r="A530" s="12">
        <f>IFERROR(__xludf.DUMMYFUNCTION("""COMPUTED_VALUE"""),1.097125291E9)</f>
        <v>1097125291</v>
      </c>
      <c r="B530" s="6">
        <f>IFERROR(__xludf.DUMMYFUNCTION("""COMPUTED_VALUE"""),32.0)</f>
        <v>32</v>
      </c>
      <c r="C530" s="6" t="str">
        <f>IFERROR(__xludf.DUMMYFUNCTION("""COMPUTED_VALUE"""),"Sofía")</f>
        <v>Sofía</v>
      </c>
      <c r="D530" s="6"/>
      <c r="E530" s="6" t="str">
        <f>IFERROR(__xludf.DUMMYFUNCTION("""COMPUTED_VALUE"""),"Muñoz Gómez")</f>
        <v>Muñoz Gómez</v>
      </c>
      <c r="F530" s="6" t="str">
        <f>IFERROR(__xludf.DUMMYFUNCTION("""COMPUTED_VALUE"""),"Edificio Piamonte Apto 2020 - Calle 13 Nte No9 - 52 La Castellana")</f>
        <v>Edificio Piamonte Apto 2020 - Calle 13 Nte No9 - 52 La Castellana</v>
      </c>
      <c r="G530" s="12" t="str">
        <f>IFERROR(__xludf.DUMMYFUNCTION("""COMPUTED_VALUE"""),"2014")</f>
        <v>2014</v>
      </c>
      <c r="H530" s="6" t="str">
        <f>IFERROR(__xludf.DUMMYFUNCTION("""COMPUTED_VALUE"""),"Julio")</f>
        <v>Julio</v>
      </c>
      <c r="I530" s="12" t="str">
        <f>IFERROR(__xludf.DUMMYFUNCTION("""COMPUTED_VALUE"""),"2")</f>
        <v>2</v>
      </c>
      <c r="J530" s="6" t="str">
        <f>IFERROR(__xludf.DUMMYFUNCTION("""COMPUTED_VALUE"""),"Bucaramanga")</f>
        <v>Bucaramanga</v>
      </c>
      <c r="K530" s="6" t="str">
        <f>IFERROR(__xludf.DUMMYFUNCTION("""COMPUTED_VALUE"""),"sofia.m2032@gi.edu.co")</f>
        <v>sofia.m2032@gi.edu.co</v>
      </c>
      <c r="L530" s="6" t="str">
        <f>IFERROR(__xludf.DUMMYFUNCTION("""COMPUTED_VALUE"""),"TI")</f>
        <v>TI</v>
      </c>
      <c r="M530" s="6" t="str">
        <f>IFERROR(__xludf.DUMMYFUNCTION("""COMPUTED_VALUE"""),"Armenia")</f>
        <v>Armenia</v>
      </c>
      <c r="N530" s="6" t="str">
        <f>IFERROR(__xludf.DUMMYFUNCTION("""COMPUTED_VALUE"""),"F")</f>
        <v>F</v>
      </c>
      <c r="O530" s="6" t="str">
        <f>IFERROR(__xludf.DUMMYFUNCTION("""COMPUTED_VALUE"""),"ACTIVE")</f>
        <v>ACTIVE</v>
      </c>
      <c r="P530" s="6"/>
      <c r="Q530" s="6" t="str">
        <f>IFERROR(__xludf.DUMMYFUNCTION("""COMPUTED_VALUE"""),"Armenia")</f>
        <v>Armenia</v>
      </c>
      <c r="R530" s="12" t="str">
        <f>IFERROR(__xludf.DUMMYFUNCTION("""COMPUTED_VALUE"""),"Gie7yu3P*")</f>
        <v>Gie7yu3P*</v>
      </c>
      <c r="S530" s="6" t="str">
        <f>IFERROR(__xludf.DUMMYFUNCTION("""COMPUTED_VALUE"""),"Muñoz Gómez Sofía ")</f>
        <v>Muñoz Gómez Sofía </v>
      </c>
      <c r="T530" s="6" t="str">
        <f>IFERROR(__xludf.DUMMYFUNCTION("""COMPUTED_VALUE"""),"ALFONSO ENRIQUE MUÑOZ OSPINA")</f>
        <v>ALFONSO ENRIQUE MUÑOZ OSPINA</v>
      </c>
      <c r="U530" s="12" t="str">
        <f>IFERROR(__xludf.DUMMYFUNCTION("""COMPUTED_VALUE"""),"18495414")</f>
        <v>18495414</v>
      </c>
      <c r="V530" s="6">
        <f>IFERROR(__xludf.DUMMYFUNCTION("""COMPUTED_VALUE"""),3.113399099E9)</f>
        <v>3113399099</v>
      </c>
      <c r="W530" s="6" t="str">
        <f>IFERROR(__xludf.DUMMYFUNCTION("""COMPUTED_VALUE"""),"aemunoz@yahoo.com")</f>
        <v>aemunoz@yahoo.com</v>
      </c>
      <c r="X530" s="12" t="str">
        <f>IFERROR(__xludf.DUMMYFUNCTION("""COMPUTED_VALUE"""),"O+")</f>
        <v>O+</v>
      </c>
      <c r="Y530" s="12" t="str">
        <f>IFERROR(__xludf.DUMMYFUNCTION("""COMPUTED_VALUE"""),"7")</f>
        <v>7</v>
      </c>
      <c r="Z530" s="12">
        <f>IFERROR(__xludf.DUMMYFUNCTION("""COMPUTED_VALUE"""),120207.0)</f>
        <v>120207</v>
      </c>
      <c r="AA530" s="6" t="str">
        <f>IFERROR(__xludf.DUMMYFUNCTION("""COMPUTED_VALUE"""),"SURA")</f>
        <v>SURA</v>
      </c>
      <c r="AB530" s="6"/>
      <c r="AC530" s="6"/>
      <c r="AD530" s="12" t="str">
        <f>IFERROR(__xludf.DUMMYFUNCTION("""COMPUTED_VALUE"""),"7A")</f>
        <v>7A</v>
      </c>
      <c r="AE530" s="12">
        <f>IFERROR(__xludf.DUMMYFUNCTION("""COMPUTED_VALUE"""),1.345282194E9)</f>
        <v>1345282194</v>
      </c>
      <c r="AF530" s="12" t="str">
        <f>IFERROR(__xludf.DUMMYFUNCTION("""COMPUTED_VALUE"""),"0651001283")</f>
        <v>0651001283</v>
      </c>
      <c r="AG530" s="12" t="str">
        <f>IFERROR(__xludf.DUMMYFUNCTION("""COMPUTED_VALUE"""),"Andrea")</f>
        <v>Andrea</v>
      </c>
      <c r="AH530" s="6"/>
      <c r="AI530" s="6" t="str">
        <f>IFERROR(__xludf.DUMMYFUNCTION("""COMPUTED_VALUE"""),"Gómez Escudero")</f>
        <v>Gómez Escudero</v>
      </c>
      <c r="AJ530" s="6" t="str">
        <f>IFERROR(__xludf.DUMMYFUNCTION("""COMPUTED_VALUE"""),"andrea.gomez.escudero@gmail.com")</f>
        <v>andrea.gomez.escudero@gmail.com</v>
      </c>
      <c r="AK530" s="6" t="str">
        <f>IFERROR(__xludf.DUMMYFUNCTION("""COMPUTED_VALUE"""),"Química")</f>
        <v>Química</v>
      </c>
      <c r="AL530" s="6" t="str">
        <f>IFERROR(__xludf.DUMMYFUNCTION("""COMPUTED_VALUE"""),"Universidad del Quindío")</f>
        <v>Universidad del Quindío</v>
      </c>
      <c r="AM530" s="12" t="str">
        <f>IFERROR(__xludf.DUMMYFUNCTION("""COMPUTED_VALUE"""),"24813326")</f>
        <v>24813326</v>
      </c>
      <c r="AN530" s="12" t="str">
        <f>IFERROR(__xludf.DUMMYFUNCTION("""COMPUTED_VALUE"""),"3207232889")</f>
        <v>3207232889</v>
      </c>
      <c r="AO530" s="6" t="str">
        <f>IFERROR(__xludf.DUMMYFUNCTION("""COMPUTED_VALUE"""),"Madre")</f>
        <v>Madre</v>
      </c>
      <c r="AP530" s="6" t="str">
        <f>IFERROR(__xludf.DUMMYFUNCTION("""COMPUTED_VALUE"""),"Estudiante(s): Muñoz Gómez")</f>
        <v>Estudiante(s): Muñoz Gómez</v>
      </c>
      <c r="AQ530" s="6" t="str">
        <f>IFERROR(__xludf.DUMMYFUNCTION("""COMPUTED_VALUE"""),"120206*Gi")</f>
        <v>120206*Gi</v>
      </c>
      <c r="AR530" s="6" t="str">
        <f>IFERROR(__xludf.DUMMYFUNCTION("""COMPUTED_VALUE"""),"Alfonso")</f>
        <v>Alfonso</v>
      </c>
      <c r="AS530" s="6" t="str">
        <f>IFERROR(__xludf.DUMMYFUNCTION("""COMPUTED_VALUE"""),"Enrique")</f>
        <v>Enrique</v>
      </c>
      <c r="AT530" s="6" t="str">
        <f>IFERROR(__xludf.DUMMYFUNCTION("""COMPUTED_VALUE"""),"Muñoz Ospina")</f>
        <v>Muñoz Ospina</v>
      </c>
      <c r="AU530" s="6" t="str">
        <f>IFERROR(__xludf.DUMMYFUNCTION("""COMPUTED_VALUE"""),"aemunoz@yahoo.com")</f>
        <v>aemunoz@yahoo.com</v>
      </c>
      <c r="AV530" s="6" t="str">
        <f>IFERROR(__xludf.DUMMYFUNCTION("""COMPUTED_VALUE"""),"Arquitecto")</f>
        <v>Arquitecto</v>
      </c>
      <c r="AW530" s="6"/>
      <c r="AX530" s="12" t="str">
        <f>IFERROR(__xludf.DUMMYFUNCTION("""COMPUTED_VALUE"""),"18495414")</f>
        <v>18495414</v>
      </c>
      <c r="AY530" s="12" t="str">
        <f>IFERROR(__xludf.DUMMYFUNCTION("""COMPUTED_VALUE"""),"3113399099")</f>
        <v>3113399099</v>
      </c>
      <c r="AZ530" s="6" t="str">
        <f>IFERROR(__xludf.DUMMYFUNCTION("""COMPUTED_VALUE"""),"Padre")</f>
        <v>Padre</v>
      </c>
      <c r="BA530" s="6"/>
      <c r="BB530" s="6"/>
      <c r="BC530" s="6"/>
      <c r="BD530" s="12" t="str">
        <f>IFERROR(__xludf.DUMMYFUNCTION("""COMPUTED_VALUE"""),"mun0002")</f>
        <v>mun0002</v>
      </c>
      <c r="BE530" s="6"/>
      <c r="BF530" s="6"/>
      <c r="BG530" s="6">
        <f>IFERROR(__xludf.DUMMYFUNCTION("""COMPUTED_VALUE"""),2032.0)</f>
        <v>2032</v>
      </c>
      <c r="BH530" s="15">
        <f>IFERROR(__xludf.DUMMYFUNCTION("""COMPUTED_VALUE"""),46212.68822916667)</f>
        <v>46212.68823</v>
      </c>
      <c r="BI530" s="6">
        <f>IFERROR(__xludf.DUMMYFUNCTION("""COMPUTED_VALUE"""),530.0)</f>
        <v>530</v>
      </c>
      <c r="BJ530" s="6"/>
      <c r="BK530" s="6"/>
      <c r="BL530" s="6" t="str">
        <f>IFERROR(__xludf.DUMMYFUNCTION("""COMPUTED_VALUE"""),"GISMUN0002")</f>
        <v>GISMUN0002</v>
      </c>
      <c r="BM530" s="6"/>
      <c r="BN530" s="6"/>
      <c r="BO530" s="6"/>
      <c r="BP530" s="6"/>
      <c r="BQ530" s="6"/>
      <c r="BR530" s="6"/>
      <c r="BS530" s="6"/>
      <c r="BT530" s="6"/>
      <c r="BU530" s="6" t="str">
        <f>IFERROR(__xludf.DUMMYFUNCTION("""COMPUTED_VALUE"""),"SI")</f>
        <v>SI</v>
      </c>
      <c r="BV530" s="6" t="str">
        <f>IFERROR(__xludf.DUMMYFUNCTION("""COMPUTED_VALUE"""),"sofia.m2032")</f>
        <v>sofia.m2032</v>
      </c>
      <c r="BW530" s="6"/>
      <c r="BX530" s="6"/>
      <c r="BY530" s="6"/>
      <c r="BZ530" s="6"/>
    </row>
    <row r="531">
      <c r="A531" s="12">
        <f>IFERROR(__xludf.DUMMYFUNCTION("""COMPUTED_VALUE"""),1.092857877E9)</f>
        <v>1092857877</v>
      </c>
      <c r="B531" s="6">
        <f>IFERROR(__xludf.DUMMYFUNCTION("""COMPUTED_VALUE"""),33.0)</f>
        <v>33</v>
      </c>
      <c r="C531" s="6" t="str">
        <f>IFERROR(__xludf.DUMMYFUNCTION("""COMPUTED_VALUE"""),"Thomas")</f>
        <v>Thomas</v>
      </c>
      <c r="D531" s="6"/>
      <c r="E531" s="6" t="str">
        <f>IFERROR(__xludf.DUMMYFUNCTION("""COMPUTED_VALUE"""),"Orozco Nieto")</f>
        <v>Orozco Nieto</v>
      </c>
      <c r="F531" s="6" t="str">
        <f>IFERROR(__xludf.DUMMYFUNCTION("""COMPUTED_VALUE"""),"Barrio el Placer - Manzana G No137")</f>
        <v>Barrio el Placer - Manzana G No137</v>
      </c>
      <c r="G531" s="12" t="str">
        <f>IFERROR(__xludf.DUMMYFUNCTION("""COMPUTED_VALUE"""),"2014")</f>
        <v>2014</v>
      </c>
      <c r="H531" s="6" t="str">
        <f>IFERROR(__xludf.DUMMYFUNCTION("""COMPUTED_VALUE"""),"Julio")</f>
        <v>Julio</v>
      </c>
      <c r="I531" s="12" t="str">
        <f>IFERROR(__xludf.DUMMYFUNCTION("""COMPUTED_VALUE"""),"18")</f>
        <v>18</v>
      </c>
      <c r="J531" s="6" t="str">
        <f>IFERROR(__xludf.DUMMYFUNCTION("""COMPUTED_VALUE"""),"Armenia")</f>
        <v>Armenia</v>
      </c>
      <c r="K531" s="6" t="str">
        <f>IFERROR(__xludf.DUMMYFUNCTION("""COMPUTED_VALUE"""),"thomas.o2032@gi.edu.co")</f>
        <v>thomas.o2032@gi.edu.co</v>
      </c>
      <c r="L531" s="6" t="str">
        <f>IFERROR(__xludf.DUMMYFUNCTION("""COMPUTED_VALUE"""),"TI")</f>
        <v>TI</v>
      </c>
      <c r="M531" s="6" t="str">
        <f>IFERROR(__xludf.DUMMYFUNCTION("""COMPUTED_VALUE"""),"Armenia")</f>
        <v>Armenia</v>
      </c>
      <c r="N531" s="6" t="str">
        <f>IFERROR(__xludf.DUMMYFUNCTION("""COMPUTED_VALUE"""),"M")</f>
        <v>M</v>
      </c>
      <c r="O531" s="6" t="str">
        <f>IFERROR(__xludf.DUMMYFUNCTION("""COMPUTED_VALUE"""),"ACTIVE")</f>
        <v>ACTIVE</v>
      </c>
      <c r="P531" s="6"/>
      <c r="Q531" s="6" t="str">
        <f>IFERROR(__xludf.DUMMYFUNCTION("""COMPUTED_VALUE"""),"Armenia")</f>
        <v>Armenia</v>
      </c>
      <c r="R531" s="12" t="str">
        <f>IFERROR(__xludf.DUMMYFUNCTION("""COMPUTED_VALUE"""),"G6y7u8i9p*")</f>
        <v>G6y7u8i9p*</v>
      </c>
      <c r="S531" s="6" t="str">
        <f>IFERROR(__xludf.DUMMYFUNCTION("""COMPUTED_VALUE"""),"Orozco Nieto Thomas ")</f>
        <v>Orozco Nieto Thomas </v>
      </c>
      <c r="T531" s="6" t="str">
        <f>IFERROR(__xludf.DUMMYFUNCTION("""COMPUTED_VALUE"""),"DIANA CAROLINA NIETO CARDONA")</f>
        <v>DIANA CAROLINA NIETO CARDONA</v>
      </c>
      <c r="U531" s="12" t="str">
        <f>IFERROR(__xludf.DUMMYFUNCTION("""COMPUTED_VALUE"""),"41960837")</f>
        <v>41960837</v>
      </c>
      <c r="V531" s="6">
        <f>IFERROR(__xludf.DUMMYFUNCTION("""COMPUTED_VALUE"""),3.163173695E9)</f>
        <v>3163173695</v>
      </c>
      <c r="W531" s="6" t="str">
        <f>IFERROR(__xludf.DUMMYFUNCTION("""COMPUTED_VALUE"""),"dianan@gi.edu.co")</f>
        <v>dianan@gi.edu.co</v>
      </c>
      <c r="X531" s="12" t="str">
        <f>IFERROR(__xludf.DUMMYFUNCTION("""COMPUTED_VALUE"""),"O+")</f>
        <v>O+</v>
      </c>
      <c r="Y531" s="12" t="str">
        <f>IFERROR(__xludf.DUMMYFUNCTION("""COMPUTED_VALUE"""),"7")</f>
        <v>7</v>
      </c>
      <c r="Z531" s="12">
        <f>IFERROR(__xludf.DUMMYFUNCTION("""COMPUTED_VALUE"""),103596.0)</f>
        <v>103596</v>
      </c>
      <c r="AA531" s="6" t="str">
        <f>IFERROR(__xludf.DUMMYFUNCTION("""COMPUTED_VALUE"""),"SURA")</f>
        <v>SURA</v>
      </c>
      <c r="AB531" s="6"/>
      <c r="AC531" s="6"/>
      <c r="AD531" s="12" t="str">
        <f>IFERROR(__xludf.DUMMYFUNCTION("""COMPUTED_VALUE"""),"7B")</f>
        <v>7B</v>
      </c>
      <c r="AE531" s="12">
        <f>IFERROR(__xludf.DUMMYFUNCTION("""COMPUTED_VALUE"""),1.345281766E9)</f>
        <v>1345281766</v>
      </c>
      <c r="AF531" s="12" t="str">
        <f>IFERROR(__xludf.DUMMYFUNCTION("""COMPUTED_VALUE"""),"0676049043")</f>
        <v>0676049043</v>
      </c>
      <c r="AG531" s="12" t="str">
        <f>IFERROR(__xludf.DUMMYFUNCTION("""COMPUTED_VALUE"""),"Diana")</f>
        <v>Diana</v>
      </c>
      <c r="AH531" s="12" t="str">
        <f>IFERROR(__xludf.DUMMYFUNCTION("""COMPUTED_VALUE"""),"Carolina")</f>
        <v>Carolina</v>
      </c>
      <c r="AI531" s="6" t="str">
        <f>IFERROR(__xludf.DUMMYFUNCTION("""COMPUTED_VALUE"""),"Nieto Cardona")</f>
        <v>Nieto Cardona</v>
      </c>
      <c r="AJ531" s="6" t="str">
        <f>IFERROR(__xludf.DUMMYFUNCTION("""COMPUTED_VALUE"""),"dianan@gi.edu.co")</f>
        <v>dianan@gi.edu.co</v>
      </c>
      <c r="AK531" s="6" t="str">
        <f>IFERROR(__xludf.DUMMYFUNCTION("""COMPUTED_VALUE"""),"Docente")</f>
        <v>Docente</v>
      </c>
      <c r="AL531" s="6" t="str">
        <f>IFERROR(__xludf.DUMMYFUNCTION("""COMPUTED_VALUE"""),"Fundación Gimnasio Ingles")</f>
        <v>Fundación Gimnasio Ingles</v>
      </c>
      <c r="AM531" s="12" t="str">
        <f>IFERROR(__xludf.DUMMYFUNCTION("""COMPUTED_VALUE"""),"41960837")</f>
        <v>41960837</v>
      </c>
      <c r="AN531" s="12" t="str">
        <f>IFERROR(__xludf.DUMMYFUNCTION("""COMPUTED_VALUE"""),"3163173695")</f>
        <v>3163173695</v>
      </c>
      <c r="AO531" s="6" t="str">
        <f>IFERROR(__xludf.DUMMYFUNCTION("""COMPUTED_VALUE"""),"Madre")</f>
        <v>Madre</v>
      </c>
      <c r="AP531" s="6" t="str">
        <f>IFERROR(__xludf.DUMMYFUNCTION("""COMPUTED_VALUE"""),"Estudiante(s): Orozco Nieto")</f>
        <v>Estudiante(s): Orozco Nieto</v>
      </c>
      <c r="AQ531" s="6" t="str">
        <f>IFERROR(__xludf.DUMMYFUNCTION("""COMPUTED_VALUE"""),"103596*Gi")</f>
        <v>103596*Gi</v>
      </c>
      <c r="AR531" s="6" t="str">
        <f>IFERROR(__xludf.DUMMYFUNCTION("""COMPUTED_VALUE"""),"Luis")</f>
        <v>Luis</v>
      </c>
      <c r="AS531" s="6" t="str">
        <f>IFERROR(__xludf.DUMMYFUNCTION("""COMPUTED_VALUE"""),"Carlos")</f>
        <v>Carlos</v>
      </c>
      <c r="AT531" s="6" t="str">
        <f>IFERROR(__xludf.DUMMYFUNCTION("""COMPUTED_VALUE"""),"Orozco Posada")</f>
        <v>Orozco Posada</v>
      </c>
      <c r="AU531" s="6" t="str">
        <f>IFERROR(__xludf.DUMMYFUNCTION("""COMPUTED_VALUE"""),"ingenieriaambiental2004@gmail.com")</f>
        <v>ingenieriaambiental2004@gmail.com</v>
      </c>
      <c r="AV531" s="6" t="str">
        <f>IFERROR(__xludf.DUMMYFUNCTION("""COMPUTED_VALUE"""),"Ingeniero Ambiental")</f>
        <v>Ingeniero Ambiental</v>
      </c>
      <c r="AW531" s="6"/>
      <c r="AX531" s="12" t="str">
        <f>IFERROR(__xludf.DUMMYFUNCTION("""COMPUTED_VALUE"""),"9730764")</f>
        <v>9730764</v>
      </c>
      <c r="AY531" s="12" t="str">
        <f>IFERROR(__xludf.DUMMYFUNCTION("""COMPUTED_VALUE"""),"3173772289")</f>
        <v>3173772289</v>
      </c>
      <c r="AZ531" s="6" t="str">
        <f>IFERROR(__xludf.DUMMYFUNCTION("""COMPUTED_VALUE"""),"Padre")</f>
        <v>Padre</v>
      </c>
      <c r="BA531" s="6"/>
      <c r="BB531" s="6"/>
      <c r="BC531" s="6"/>
      <c r="BD531" s="12" t="str">
        <f>IFERROR(__xludf.DUMMYFUNCTION("""COMPUTED_VALUE"""),"oro0003")</f>
        <v>oro0003</v>
      </c>
      <c r="BE531" s="6"/>
      <c r="BF531" s="6"/>
      <c r="BG531" s="6">
        <f>IFERROR(__xludf.DUMMYFUNCTION("""COMPUTED_VALUE"""),2032.0)</f>
        <v>2032</v>
      </c>
      <c r="BH531" s="15">
        <f>IFERROR(__xludf.DUMMYFUNCTION("""COMPUTED_VALUE"""),46210.50027777778)</f>
        <v>46210.50028</v>
      </c>
      <c r="BI531" s="6">
        <f>IFERROR(__xludf.DUMMYFUNCTION("""COMPUTED_VALUE"""),531.0)</f>
        <v>531</v>
      </c>
      <c r="BJ531" s="6"/>
      <c r="BK531" s="6"/>
      <c r="BL531" s="6" t="str">
        <f>IFERROR(__xludf.DUMMYFUNCTION("""COMPUTED_VALUE"""),"GISORO0003")</f>
        <v>GISORO0003</v>
      </c>
      <c r="BM531" s="6"/>
      <c r="BN531" s="6"/>
      <c r="BO531" s="6"/>
      <c r="BP531" s="6"/>
      <c r="BQ531" s="6"/>
      <c r="BR531" s="6"/>
      <c r="BS531" s="6"/>
      <c r="BT531" s="6"/>
      <c r="BU531" s="6" t="str">
        <f>IFERROR(__xludf.DUMMYFUNCTION("""COMPUTED_VALUE"""),"SI")</f>
        <v>SI</v>
      </c>
      <c r="BV531" s="6" t="str">
        <f>IFERROR(__xludf.DUMMYFUNCTION("""COMPUTED_VALUE"""),"thomas.o2032")</f>
        <v>thomas.o2032</v>
      </c>
      <c r="BW531" s="6"/>
      <c r="BX531" s="6"/>
      <c r="BY531" s="6"/>
      <c r="BZ531" s="6"/>
    </row>
    <row r="532">
      <c r="A532" s="12">
        <f>IFERROR(__xludf.DUMMYFUNCTION("""COMPUTED_VALUE"""),1.09285806E9)</f>
        <v>1092858060</v>
      </c>
      <c r="B532" s="6">
        <f>IFERROR(__xludf.DUMMYFUNCTION("""COMPUTED_VALUE"""),34.0)</f>
        <v>34</v>
      </c>
      <c r="C532" s="6" t="str">
        <f>IFERROR(__xludf.DUMMYFUNCTION("""COMPUTED_VALUE"""),"Salomé")</f>
        <v>Salomé</v>
      </c>
      <c r="D532" s="6"/>
      <c r="E532" s="6" t="str">
        <f>IFERROR(__xludf.DUMMYFUNCTION("""COMPUTED_VALUE"""),"Ortega Urrea")</f>
        <v>Ortega Urrea</v>
      </c>
      <c r="F532" s="6" t="str">
        <f>IFERROR(__xludf.DUMMYFUNCTION("""COMPUTED_VALUE"""),"CALLE 27 NORTE 5-02 T2 APT 802 - Horizonte verde")</f>
        <v>CALLE 27 NORTE 5-02 T2 APT 802 - Horizonte verde</v>
      </c>
      <c r="G532" s="12">
        <f>IFERROR(__xludf.DUMMYFUNCTION("""COMPUTED_VALUE"""),2014.0)</f>
        <v>2014</v>
      </c>
      <c r="H532" s="12" t="str">
        <f>IFERROR(__xludf.DUMMYFUNCTION("""COMPUTED_VALUE"""),"Septiembre")</f>
        <v>Septiembre</v>
      </c>
      <c r="I532" s="12">
        <f>IFERROR(__xludf.DUMMYFUNCTION("""COMPUTED_VALUE"""),18.0)</f>
        <v>18</v>
      </c>
      <c r="J532" s="6"/>
      <c r="K532" s="12" t="str">
        <f>IFERROR(__xludf.DUMMYFUNCTION("""COMPUTED_VALUE"""),"salome.o2032@gi.edu.co")</f>
        <v>salome.o2032@gi.edu.co</v>
      </c>
      <c r="L532" s="6" t="str">
        <f>IFERROR(__xludf.DUMMYFUNCTION("""COMPUTED_VALUE"""),"TI")</f>
        <v>TI</v>
      </c>
      <c r="M532" s="6" t="str">
        <f>IFERROR(__xludf.DUMMYFUNCTION("""COMPUTED_VALUE"""),"Armenia")</f>
        <v>Armenia</v>
      </c>
      <c r="N532" s="6" t="str">
        <f>IFERROR(__xludf.DUMMYFUNCTION("""COMPUTED_VALUE"""),"F")</f>
        <v>F</v>
      </c>
      <c r="O532" s="6" t="str">
        <f>IFERROR(__xludf.DUMMYFUNCTION("""COMPUTED_VALUE"""),"ACTIVE")</f>
        <v>ACTIVE</v>
      </c>
      <c r="P532" s="6"/>
      <c r="Q532" s="6"/>
      <c r="R532" s="12" t="str">
        <f>IFERROR(__xludf.DUMMYFUNCTION("""COMPUTED_VALUE"""),"GiT9Xk5L*")</f>
        <v>GiT9Xk5L*</v>
      </c>
      <c r="S532" s="6" t="str">
        <f>IFERROR(__xludf.DUMMYFUNCTION("""COMPUTED_VALUE"""),"Ortega Urrea Salomé ")</f>
        <v>Ortega Urrea Salomé </v>
      </c>
      <c r="T532" s="6" t="str">
        <f>IFERROR(__xludf.DUMMYFUNCTION("""COMPUTED_VALUE"""),"JUAN SEBASTIAN ORTEGA OROZCO")</f>
        <v>JUAN SEBASTIAN ORTEGA OROZCO</v>
      </c>
      <c r="U532" s="12" t="str">
        <f>IFERROR(__xludf.DUMMYFUNCTION("""COMPUTED_VALUE"""),"1094918998")</f>
        <v>1094918998</v>
      </c>
      <c r="V532" s="6">
        <f>IFERROR(__xludf.DUMMYFUNCTION("""COMPUTED_VALUE"""),3.15647387E9)</f>
        <v>3156473870</v>
      </c>
      <c r="W532" s="6" t="str">
        <f>IFERROR(__xludf.DUMMYFUNCTION("""COMPUTED_VALUE"""),"arquitecturajso@gmail.com")</f>
        <v>arquitecturajso@gmail.com</v>
      </c>
      <c r="X532" s="12" t="str">
        <f>IFERROR(__xludf.DUMMYFUNCTION("""COMPUTED_VALUE"""),"A+")</f>
        <v>A+</v>
      </c>
      <c r="Y532" s="12" t="str">
        <f>IFERROR(__xludf.DUMMYFUNCTION("""COMPUTED_VALUE"""),"7")</f>
        <v>7</v>
      </c>
      <c r="Z532" s="6">
        <f>IFERROR(__xludf.DUMMYFUNCTION("""COMPUTED_VALUE"""),120629.0)</f>
        <v>120629</v>
      </c>
      <c r="AA532" s="6" t="str">
        <f>IFERROR(__xludf.DUMMYFUNCTION("""COMPUTED_VALUE"""),"SURA")</f>
        <v>SURA</v>
      </c>
      <c r="AB532" s="6"/>
      <c r="AC532" s="6"/>
      <c r="AD532" s="12" t="str">
        <f>IFERROR(__xludf.DUMMYFUNCTION("""COMPUTED_VALUE"""),"7A")</f>
        <v>7A</v>
      </c>
      <c r="AE532" s="12" t="str">
        <f>IFERROR(__xludf.DUMMYFUNCTION("""COMPUTED_VALUE"""),"1345282625")</f>
        <v>1345282625</v>
      </c>
      <c r="AF532" s="6"/>
      <c r="AG532" s="12" t="str">
        <f>IFERROR(__xludf.DUMMYFUNCTION("""COMPUTED_VALUE"""),"Susana")</f>
        <v>Susana</v>
      </c>
      <c r="AH532" s="6"/>
      <c r="AI532" s="6" t="str">
        <f>IFERROR(__xludf.DUMMYFUNCTION("""COMPUTED_VALUE"""),"Urrea Castaño")</f>
        <v>Urrea Castaño</v>
      </c>
      <c r="AJ532" s="6" t="str">
        <f>IFERROR(__xludf.DUMMYFUNCTION("""COMPUTED_VALUE"""),"susy_urrea@hotmail.com")</f>
        <v>susy_urrea@hotmail.com</v>
      </c>
      <c r="AK532" s="6" t="str">
        <f>IFERROR(__xludf.DUMMYFUNCTION("""COMPUTED_VALUE"""),"ADMINISTRADORA DE EMPREAS")</f>
        <v>ADMINISTRADORA DE EMPREAS</v>
      </c>
      <c r="AL532" s="6"/>
      <c r="AM532" s="12" t="str">
        <f>IFERROR(__xludf.DUMMYFUNCTION("""COMPUTED_VALUE"""),"1094928262")</f>
        <v>1094928262</v>
      </c>
      <c r="AN532" s="12" t="str">
        <f>IFERROR(__xludf.DUMMYFUNCTION("""COMPUTED_VALUE"""),"3168206876")</f>
        <v>3168206876</v>
      </c>
      <c r="AO532" s="6" t="str">
        <f>IFERROR(__xludf.DUMMYFUNCTION("""COMPUTED_VALUE"""),"Madre")</f>
        <v>Madre</v>
      </c>
      <c r="AP532" s="6" t="str">
        <f>IFERROR(__xludf.DUMMYFUNCTION("""COMPUTED_VALUE"""),"Estudiante(s): Ortega Urrea")</f>
        <v>Estudiante(s): Ortega Urrea</v>
      </c>
      <c r="AQ532" s="6" t="str">
        <f>IFERROR(__xludf.DUMMYFUNCTION("""COMPUTED_VALUE"""),"120629*Gi")</f>
        <v>120629*Gi</v>
      </c>
      <c r="AR532" s="6" t="str">
        <f>IFERROR(__xludf.DUMMYFUNCTION("""COMPUTED_VALUE"""),"Juan")</f>
        <v>Juan</v>
      </c>
      <c r="AS532" s="6" t="str">
        <f>IFERROR(__xludf.DUMMYFUNCTION("""COMPUTED_VALUE"""),"Sebastián")</f>
        <v>Sebastián</v>
      </c>
      <c r="AT532" s="6" t="str">
        <f>IFERROR(__xludf.DUMMYFUNCTION("""COMPUTED_VALUE"""),"Ortega Orozco")</f>
        <v>Ortega Orozco</v>
      </c>
      <c r="AU532" s="6" t="str">
        <f>IFERROR(__xludf.DUMMYFUNCTION("""COMPUTED_VALUE"""),"arquitecturajso@gmail.com")</f>
        <v>arquitecturajso@gmail.com</v>
      </c>
      <c r="AV532" s="6" t="str">
        <f>IFERROR(__xludf.DUMMYFUNCTION("""COMPUTED_VALUE"""),"ARQUITECTO")</f>
        <v>ARQUITECTO</v>
      </c>
      <c r="AW532" s="6"/>
      <c r="AX532" s="12" t="str">
        <f>IFERROR(__xludf.DUMMYFUNCTION("""COMPUTED_VALUE"""),"1094918998")</f>
        <v>1094918998</v>
      </c>
      <c r="AY532" s="12" t="str">
        <f>IFERROR(__xludf.DUMMYFUNCTION("""COMPUTED_VALUE"""),"3156473870")</f>
        <v>3156473870</v>
      </c>
      <c r="AZ532" s="6" t="str">
        <f>IFERROR(__xludf.DUMMYFUNCTION("""COMPUTED_VALUE"""),"Padre")</f>
        <v>Padre</v>
      </c>
      <c r="BA532" s="6"/>
      <c r="BB532" s="6"/>
      <c r="BC532" s="6"/>
      <c r="BD532" s="12" t="str">
        <f>IFERROR(__xludf.DUMMYFUNCTION("""COMPUTED_VALUE"""),"ort0005")</f>
        <v>ort0005</v>
      </c>
      <c r="BE532" s="6" t="str">
        <f>IFERROR(__xludf.DUMMYFUNCTION("""COMPUTED_VALUE"""),"NUEVO(A)")</f>
        <v>NUEVO(A)</v>
      </c>
      <c r="BF532" s="6"/>
      <c r="BG532" s="6">
        <f>IFERROR(__xludf.DUMMYFUNCTION("""COMPUTED_VALUE"""),2032.0)</f>
        <v>2032</v>
      </c>
      <c r="BH532" s="15">
        <f>IFERROR(__xludf.DUMMYFUNCTION("""COMPUTED_VALUE"""),46226.44204861111)</f>
        <v>46226.44205</v>
      </c>
      <c r="BI532" s="6">
        <f>IFERROR(__xludf.DUMMYFUNCTION("""COMPUTED_VALUE"""),532.0)</f>
        <v>532</v>
      </c>
      <c r="BJ532" s="6"/>
      <c r="BK532" s="6"/>
      <c r="BL532" s="6" t="str">
        <f>IFERROR(__xludf.DUMMYFUNCTION("""COMPUTED_VALUE"""),"GISORT0005")</f>
        <v>GISORT0005</v>
      </c>
      <c r="BM532" s="6"/>
      <c r="BN532" s="6"/>
      <c r="BO532" s="6"/>
      <c r="BP532" s="6"/>
      <c r="BQ532" s="6"/>
      <c r="BR532" s="6"/>
      <c r="BS532" s="6"/>
      <c r="BT532" s="6"/>
      <c r="BU532" s="6" t="str">
        <f>IFERROR(__xludf.DUMMYFUNCTION("""COMPUTED_VALUE"""),"SI")</f>
        <v>SI</v>
      </c>
      <c r="BV532" s="12" t="str">
        <f>IFERROR(__xludf.DUMMYFUNCTION("""COMPUTED_VALUE"""),"salome.o2032")</f>
        <v>salome.o2032</v>
      </c>
      <c r="BW532" s="6"/>
      <c r="BX532" s="6"/>
      <c r="BY532" s="6"/>
      <c r="BZ532" s="6"/>
    </row>
    <row r="533">
      <c r="A533" s="12">
        <f>IFERROR(__xludf.DUMMYFUNCTION("""COMPUTED_VALUE"""),1.092857185E9)</f>
        <v>1092857185</v>
      </c>
      <c r="B533" s="6">
        <f>IFERROR(__xludf.DUMMYFUNCTION("""COMPUTED_VALUE"""),35.0)</f>
        <v>35</v>
      </c>
      <c r="C533" s="6" t="str">
        <f>IFERROR(__xludf.DUMMYFUNCTION("""COMPUTED_VALUE"""),"Thomás")</f>
        <v>Thomás</v>
      </c>
      <c r="D533" s="6"/>
      <c r="E533" s="6" t="str">
        <f>IFERROR(__xludf.DUMMYFUNCTION("""COMPUTED_VALUE"""),"Oviedo Sierra")</f>
        <v>Oviedo Sierra</v>
      </c>
      <c r="F533" s="6" t="str">
        <f>IFERROR(__xludf.DUMMYFUNCTION("""COMPUTED_VALUE"""),"Lagos de Iraka Casa 82 - Casas de Campo Km 7 Via Armenia - El Caimo")</f>
        <v>Lagos de Iraka Casa 82 - Casas de Campo Km 7 Via Armenia - El Caimo</v>
      </c>
      <c r="G533" s="12" t="str">
        <f>IFERROR(__xludf.DUMMYFUNCTION("""COMPUTED_VALUE"""),"2013")</f>
        <v>2013</v>
      </c>
      <c r="H533" s="6" t="str">
        <f>IFERROR(__xludf.DUMMYFUNCTION("""COMPUTED_VALUE"""),"Septiembre")</f>
        <v>Septiembre</v>
      </c>
      <c r="I533" s="12" t="str">
        <f>IFERROR(__xludf.DUMMYFUNCTION("""COMPUTED_VALUE"""),"27")</f>
        <v>27</v>
      </c>
      <c r="J533" s="6" t="str">
        <f>IFERROR(__xludf.DUMMYFUNCTION("""COMPUTED_VALUE"""),"Armenia")</f>
        <v>Armenia</v>
      </c>
      <c r="K533" s="6" t="str">
        <f>IFERROR(__xludf.DUMMYFUNCTION("""COMPUTED_VALUE"""),"thomas.o2031@gi.edu.co")</f>
        <v>thomas.o2031@gi.edu.co</v>
      </c>
      <c r="L533" s="6" t="str">
        <f>IFERROR(__xludf.DUMMYFUNCTION("""COMPUTED_VALUE"""),"TI")</f>
        <v>TI</v>
      </c>
      <c r="M533" s="6" t="str">
        <f>IFERROR(__xludf.DUMMYFUNCTION("""COMPUTED_VALUE"""),"Armenia")</f>
        <v>Armenia</v>
      </c>
      <c r="N533" s="6" t="str">
        <f>IFERROR(__xludf.DUMMYFUNCTION("""COMPUTED_VALUE"""),"M")</f>
        <v>M</v>
      </c>
      <c r="O533" s="6" t="str">
        <f>IFERROR(__xludf.DUMMYFUNCTION("""COMPUTED_VALUE"""),"ACTIVE")</f>
        <v>ACTIVE</v>
      </c>
      <c r="P533" s="6"/>
      <c r="Q533" s="6" t="str">
        <f>IFERROR(__xludf.DUMMYFUNCTION("""COMPUTED_VALUE"""),"Armenia")</f>
        <v>Armenia</v>
      </c>
      <c r="R533" s="12" t="str">
        <f>IFERROR(__xludf.DUMMYFUNCTION("""COMPUTED_VALUE"""),"Gi4gdterg*")</f>
        <v>Gi4gdterg*</v>
      </c>
      <c r="S533" s="6" t="str">
        <f>IFERROR(__xludf.DUMMYFUNCTION("""COMPUTED_VALUE"""),"Oviedo Sierra Thomás ")</f>
        <v>Oviedo Sierra Thomás </v>
      </c>
      <c r="T533" s="6" t="str">
        <f>IFERROR(__xludf.DUMMYFUNCTION("""COMPUTED_VALUE"""),"UVIEL ALFONSO OVIEDO GIRALDO")</f>
        <v>UVIEL ALFONSO OVIEDO GIRALDO</v>
      </c>
      <c r="U533" s="12" t="str">
        <f>IFERROR(__xludf.DUMMYFUNCTION("""COMPUTED_VALUE"""),"18397247")</f>
        <v>18397247</v>
      </c>
      <c r="V533" s="6">
        <f>IFERROR(__xludf.DUMMYFUNCTION("""COMPUTED_VALUE"""),3.137336102E9)</f>
        <v>3137336102</v>
      </c>
      <c r="W533" s="6" t="str">
        <f>IFERROR(__xludf.DUMMYFUNCTION("""COMPUTED_VALUE"""),"salonesybanquetesmargareth@hotmail.com")</f>
        <v>salonesybanquetesmargareth@hotmail.com</v>
      </c>
      <c r="X533" s="12" t="str">
        <f>IFERROR(__xludf.DUMMYFUNCTION("""COMPUTED_VALUE"""),"O-")</f>
        <v>O-</v>
      </c>
      <c r="Y533" s="12" t="str">
        <f>IFERROR(__xludf.DUMMYFUNCTION("""COMPUTED_VALUE"""),"7")</f>
        <v>7</v>
      </c>
      <c r="Z533" s="12">
        <f>IFERROR(__xludf.DUMMYFUNCTION("""COMPUTED_VALUE"""),103482.0)</f>
        <v>103482</v>
      </c>
      <c r="AA533" s="6" t="str">
        <f>IFERROR(__xludf.DUMMYFUNCTION("""COMPUTED_VALUE"""),"SURA")</f>
        <v>SURA</v>
      </c>
      <c r="AB533" s="6" t="str">
        <f>IFERROR(__xludf.DUMMYFUNCTION("""COMPUTED_VALUE"""),"Medicina Prepagada")</f>
        <v>Medicina Prepagada</v>
      </c>
      <c r="AC533" s="6"/>
      <c r="AD533" s="12" t="str">
        <f>IFERROR(__xludf.DUMMYFUNCTION("""COMPUTED_VALUE"""),"7A")</f>
        <v>7A</v>
      </c>
      <c r="AE533" s="12">
        <f>IFERROR(__xludf.DUMMYFUNCTION("""COMPUTED_VALUE"""),1.345281704E9)</f>
        <v>1345281704</v>
      </c>
      <c r="AF533" s="12" t="str">
        <f>IFERROR(__xludf.DUMMYFUNCTION("""COMPUTED_VALUE"""),"0681897619")</f>
        <v>0681897619</v>
      </c>
      <c r="AG533" s="12" t="str">
        <f>IFERROR(__xludf.DUMMYFUNCTION("""COMPUTED_VALUE"""),"Martha")</f>
        <v>Martha</v>
      </c>
      <c r="AH533" s="12" t="str">
        <f>IFERROR(__xludf.DUMMYFUNCTION("""COMPUTED_VALUE"""),"Inés")</f>
        <v>Inés</v>
      </c>
      <c r="AI533" s="6" t="str">
        <f>IFERROR(__xludf.DUMMYFUNCTION("""COMPUTED_VALUE"""),"Sierra Cadavid")</f>
        <v>Sierra Cadavid</v>
      </c>
      <c r="AJ533" s="6" t="str">
        <f>IFERROR(__xludf.DUMMYFUNCTION("""COMPUTED_VALUE"""),"minesalome2014@gmail.com")</f>
        <v>minesalome2014@gmail.com</v>
      </c>
      <c r="AK533" s="6" t="str">
        <f>IFERROR(__xludf.DUMMYFUNCTION("""COMPUTED_VALUE"""),"Psicologa")</f>
        <v>Psicologa</v>
      </c>
      <c r="AL533" s="6" t="str">
        <f>IFERROR(__xludf.DUMMYFUNCTION("""COMPUTED_VALUE"""),"Banquetes Margarerh")</f>
        <v>Banquetes Margarerh</v>
      </c>
      <c r="AM533" s="12" t="str">
        <f>IFERROR(__xludf.DUMMYFUNCTION("""COMPUTED_VALUE"""),"41931500")</f>
        <v>41931500</v>
      </c>
      <c r="AN533" s="12" t="str">
        <f>IFERROR(__xludf.DUMMYFUNCTION("""COMPUTED_VALUE"""),"3137917125")</f>
        <v>3137917125</v>
      </c>
      <c r="AO533" s="6" t="str">
        <f>IFERROR(__xludf.DUMMYFUNCTION("""COMPUTED_VALUE"""),"Madre")</f>
        <v>Madre</v>
      </c>
      <c r="AP533" s="6" t="str">
        <f>IFERROR(__xludf.DUMMYFUNCTION("""COMPUTED_VALUE"""),"Estudiante(s): Oviedo Sierra")</f>
        <v>Estudiante(s): Oviedo Sierra</v>
      </c>
      <c r="AQ533" s="6" t="str">
        <f>IFERROR(__xludf.DUMMYFUNCTION("""COMPUTED_VALUE"""),"102278*Gi")</f>
        <v>102278*Gi</v>
      </c>
      <c r="AR533" s="6" t="str">
        <f>IFERROR(__xludf.DUMMYFUNCTION("""COMPUTED_VALUE"""),"Uviel")</f>
        <v>Uviel</v>
      </c>
      <c r="AS533" s="6" t="str">
        <f>IFERROR(__xludf.DUMMYFUNCTION("""COMPUTED_VALUE"""),"Alfonso")</f>
        <v>Alfonso</v>
      </c>
      <c r="AT533" s="6" t="str">
        <f>IFERROR(__xludf.DUMMYFUNCTION("""COMPUTED_VALUE"""),"Oviedo Giraldo")</f>
        <v>Oviedo Giraldo</v>
      </c>
      <c r="AU533" s="6" t="str">
        <f>IFERROR(__xludf.DUMMYFUNCTION("""COMPUTED_VALUE"""),"salonesybanquetesmargareth@hotmail.com")</f>
        <v>salonesybanquetesmargareth@hotmail.com</v>
      </c>
      <c r="AV533" s="6" t="str">
        <f>IFERROR(__xludf.DUMMYFUNCTION("""COMPUTED_VALUE"""),"Comerciante")</f>
        <v>Comerciante</v>
      </c>
      <c r="AW533" s="6" t="str">
        <f>IFERROR(__xludf.DUMMYFUNCTION("""COMPUTED_VALUE"""),"Salones y Banquetes Margaret")</f>
        <v>Salones y Banquetes Margaret</v>
      </c>
      <c r="AX533" s="12" t="str">
        <f>IFERROR(__xludf.DUMMYFUNCTION("""COMPUTED_VALUE"""),"18397247")</f>
        <v>18397247</v>
      </c>
      <c r="AY533" s="12" t="str">
        <f>IFERROR(__xludf.DUMMYFUNCTION("""COMPUTED_VALUE"""),"3137336102")</f>
        <v>3137336102</v>
      </c>
      <c r="AZ533" s="6" t="str">
        <f>IFERROR(__xludf.DUMMYFUNCTION("""COMPUTED_VALUE"""),"Padre")</f>
        <v>Padre</v>
      </c>
      <c r="BA533" s="6"/>
      <c r="BB533" s="6"/>
      <c r="BC533" s="6"/>
      <c r="BD533" s="12" t="str">
        <f>IFERROR(__xludf.DUMMYFUNCTION("""COMPUTED_VALUE"""),"ovi0002")</f>
        <v>ovi0002</v>
      </c>
      <c r="BE533" s="6"/>
      <c r="BF533" s="6"/>
      <c r="BG533" s="6">
        <f>IFERROR(__xludf.DUMMYFUNCTION("""COMPUTED_VALUE"""),2032.0)</f>
        <v>2032</v>
      </c>
      <c r="BH533" s="15">
        <f>IFERROR(__xludf.DUMMYFUNCTION("""COMPUTED_VALUE"""),46212.71738425926)</f>
        <v>46212.71738</v>
      </c>
      <c r="BI533" s="6">
        <f>IFERROR(__xludf.DUMMYFUNCTION("""COMPUTED_VALUE"""),533.0)</f>
        <v>533</v>
      </c>
      <c r="BJ533" s="6"/>
      <c r="BK533" s="6"/>
      <c r="BL533" s="6" t="str">
        <f>IFERROR(__xludf.DUMMYFUNCTION("""COMPUTED_VALUE"""),"GISOVI0002")</f>
        <v>GISOVI0002</v>
      </c>
      <c r="BM533" s="6"/>
      <c r="BN533" s="6"/>
      <c r="BO533" s="6"/>
      <c r="BP533" s="6"/>
      <c r="BQ533" s="6"/>
      <c r="BR533" s="6"/>
      <c r="BS533" s="6"/>
      <c r="BT533" s="6"/>
      <c r="BU533" s="6" t="str">
        <f>IFERROR(__xludf.DUMMYFUNCTION("""COMPUTED_VALUE"""),"SI")</f>
        <v>SI</v>
      </c>
      <c r="BV533" s="6" t="str">
        <f>IFERROR(__xludf.DUMMYFUNCTION("""COMPUTED_VALUE"""),"thomas.o2031")</f>
        <v>thomas.o2031</v>
      </c>
      <c r="BW533" s="6"/>
      <c r="BX533" s="6"/>
      <c r="BY533" s="6"/>
      <c r="BZ533" s="6"/>
    </row>
    <row r="534">
      <c r="A534" s="12">
        <f>IFERROR(__xludf.DUMMYFUNCTION("""COMPUTED_VALUE"""),1.232791246E9)</f>
        <v>1232791246</v>
      </c>
      <c r="B534" s="6">
        <f>IFERROR(__xludf.DUMMYFUNCTION("""COMPUTED_VALUE"""),36.0)</f>
        <v>36</v>
      </c>
      <c r="C534" s="6" t="str">
        <f>IFERROR(__xludf.DUMMYFUNCTION("""COMPUTED_VALUE"""),"Samuel")</f>
        <v>Samuel</v>
      </c>
      <c r="D534" s="6"/>
      <c r="E534" s="6" t="str">
        <f>IFERROR(__xludf.DUMMYFUNCTION("""COMPUTED_VALUE"""),"Pérez Piotrostanalzki")</f>
        <v>Pérez Piotrostanalzki</v>
      </c>
      <c r="F534" s="6" t="str">
        <f>IFERROR(__xludf.DUMMYFUNCTION("""COMPUTED_VALUE"""),"Edificio Torre San Esteban Apto 901 - Calle 15Nte No14 - 16 La Fogata")</f>
        <v>Edificio Torre San Esteban Apto 901 - Calle 15Nte No14 - 16 La Fogata</v>
      </c>
      <c r="G534" s="12" t="str">
        <f>IFERROR(__xludf.DUMMYFUNCTION("""COMPUTED_VALUE"""),"2015")</f>
        <v>2015</v>
      </c>
      <c r="H534" s="6" t="str">
        <f>IFERROR(__xludf.DUMMYFUNCTION("""COMPUTED_VALUE"""),"Enero")</f>
        <v>Enero</v>
      </c>
      <c r="I534" s="12" t="str">
        <f>IFERROR(__xludf.DUMMYFUNCTION("""COMPUTED_VALUE"""),"26")</f>
        <v>26</v>
      </c>
      <c r="J534" s="6" t="str">
        <f>IFERROR(__xludf.DUMMYFUNCTION("""COMPUTED_VALUE"""),"Cali")</f>
        <v>Cali</v>
      </c>
      <c r="K534" s="6" t="str">
        <f>IFERROR(__xludf.DUMMYFUNCTION("""COMPUTED_VALUE"""),"samuel.p2032@gi.edu.co")</f>
        <v>samuel.p2032@gi.edu.co</v>
      </c>
      <c r="L534" s="6" t="str">
        <f>IFERROR(__xludf.DUMMYFUNCTION("""COMPUTED_VALUE"""),"TI")</f>
        <v>TI</v>
      </c>
      <c r="M534" s="6" t="str">
        <f>IFERROR(__xludf.DUMMYFUNCTION("""COMPUTED_VALUE"""),"Armenia")</f>
        <v>Armenia</v>
      </c>
      <c r="N534" s="6" t="str">
        <f>IFERROR(__xludf.DUMMYFUNCTION("""COMPUTED_VALUE"""),"M")</f>
        <v>M</v>
      </c>
      <c r="O534" s="6" t="str">
        <f>IFERROR(__xludf.DUMMYFUNCTION("""COMPUTED_VALUE"""),"ACTIVE")</f>
        <v>ACTIVE</v>
      </c>
      <c r="P534" s="6"/>
      <c r="Q534" s="6" t="str">
        <f>IFERROR(__xludf.DUMMYFUNCTION("""COMPUTED_VALUE"""),"Armenia")</f>
        <v>Armenia</v>
      </c>
      <c r="R534" s="12" t="str">
        <f>IFERROR(__xludf.DUMMYFUNCTION("""COMPUTED_VALUE"""),"Gi8n7b6vc4*")</f>
        <v>Gi8n7b6vc4*</v>
      </c>
      <c r="S534" s="6" t="str">
        <f>IFERROR(__xludf.DUMMYFUNCTION("""COMPUTED_VALUE"""),"Pérez Piotrostanalzki Samuel ")</f>
        <v>Pérez Piotrostanalzki Samuel </v>
      </c>
      <c r="T534" s="6" t="str">
        <f>IFERROR(__xludf.DUMMYFUNCTION("""COMPUTED_VALUE"""),"AUDREY PIOTROSTANALZKI VARGAS")</f>
        <v>AUDREY PIOTROSTANALZKI VARGAS</v>
      </c>
      <c r="U534" s="12" t="str">
        <f>IFERROR(__xludf.DUMMYFUNCTION("""COMPUTED_VALUE"""),"52778312")</f>
        <v>52778312</v>
      </c>
      <c r="V534" s="6">
        <f>IFERROR(__xludf.DUMMYFUNCTION("""COMPUTED_VALUE"""),3.112800733E9)</f>
        <v>3112800733</v>
      </c>
      <c r="W534" s="6" t="str">
        <f>IFERROR(__xludf.DUMMYFUNCTION("""COMPUTED_VALUE"""),"apiotrostanalzki@icloud.com")</f>
        <v>apiotrostanalzki@icloud.com</v>
      </c>
      <c r="X534" s="12" t="str">
        <f>IFERROR(__xludf.DUMMYFUNCTION("""COMPUTED_VALUE"""),"A+")</f>
        <v>A+</v>
      </c>
      <c r="Y534" s="12" t="str">
        <f>IFERROR(__xludf.DUMMYFUNCTION("""COMPUTED_VALUE"""),"7")</f>
        <v>7</v>
      </c>
      <c r="Z534" s="12">
        <f>IFERROR(__xludf.DUMMYFUNCTION("""COMPUTED_VALUE"""),103602.0)</f>
        <v>103602</v>
      </c>
      <c r="AA534" s="6" t="str">
        <f>IFERROR(__xludf.DUMMYFUNCTION("""COMPUTED_VALUE"""),"SURA")</f>
        <v>SURA</v>
      </c>
      <c r="AB534" s="6" t="str">
        <f>IFERROR(__xludf.DUMMYFUNCTION("""COMPUTED_VALUE"""),"SURAMERICANA")</f>
        <v>SURAMERICANA</v>
      </c>
      <c r="AC534" s="6"/>
      <c r="AD534" s="12" t="str">
        <f>IFERROR(__xludf.DUMMYFUNCTION("""COMPUTED_VALUE"""),"7B")</f>
        <v>7B</v>
      </c>
      <c r="AE534" s="12">
        <f>IFERROR(__xludf.DUMMYFUNCTION("""COMPUTED_VALUE"""),1.345281777E9)</f>
        <v>1345281777</v>
      </c>
      <c r="AF534" s="12" t="str">
        <f>IFERROR(__xludf.DUMMYFUNCTION("""COMPUTED_VALUE"""),"0688974739")</f>
        <v>0688974739</v>
      </c>
      <c r="AG534" s="12" t="str">
        <f>IFERROR(__xludf.DUMMYFUNCTION("""COMPUTED_VALUE"""),"Audrey")</f>
        <v>Audrey</v>
      </c>
      <c r="AH534" s="6"/>
      <c r="AI534" s="6" t="str">
        <f>IFERROR(__xludf.DUMMYFUNCTION("""COMPUTED_VALUE"""),"Piotrostanalzki Vargas")</f>
        <v>Piotrostanalzki Vargas</v>
      </c>
      <c r="AJ534" s="6" t="str">
        <f>IFERROR(__xludf.DUMMYFUNCTION("""COMPUTED_VALUE"""),"apiotrostanalzki@icloud.com")</f>
        <v>apiotrostanalzki@icloud.com</v>
      </c>
      <c r="AK534" s="6" t="str">
        <f>IFERROR(__xludf.DUMMYFUNCTION("""COMPUTED_VALUE"""),"Médico")</f>
        <v>Médico</v>
      </c>
      <c r="AL534" s="6" t="str">
        <f>IFERROR(__xludf.DUMMYFUNCTION("""COMPUTED_VALUE"""),"Consultorio particular // Idime")</f>
        <v>Consultorio particular // Idime</v>
      </c>
      <c r="AM534" s="12" t="str">
        <f>IFERROR(__xludf.DUMMYFUNCTION("""COMPUTED_VALUE"""),"52778312")</f>
        <v>52778312</v>
      </c>
      <c r="AN534" s="12" t="str">
        <f>IFERROR(__xludf.DUMMYFUNCTION("""COMPUTED_VALUE"""),"3112800733")</f>
        <v>3112800733</v>
      </c>
      <c r="AO534" s="6" t="str">
        <f>IFERROR(__xludf.DUMMYFUNCTION("""COMPUTED_VALUE"""),"Madre")</f>
        <v>Madre</v>
      </c>
      <c r="AP534" s="6" t="str">
        <f>IFERROR(__xludf.DUMMYFUNCTION("""COMPUTED_VALUE"""),"Estudiante(s): Pérez Piotrostanalzki")</f>
        <v>Estudiante(s): Pérez Piotrostanalzki</v>
      </c>
      <c r="AQ534" s="6" t="str">
        <f>IFERROR(__xludf.DUMMYFUNCTION("""COMPUTED_VALUE"""),"103602*Gi")</f>
        <v>103602*Gi</v>
      </c>
      <c r="AR534" s="6" t="str">
        <f>IFERROR(__xludf.DUMMYFUNCTION("""COMPUTED_VALUE"""),"Manuel")</f>
        <v>Manuel</v>
      </c>
      <c r="AS534" s="6" t="str">
        <f>IFERROR(__xludf.DUMMYFUNCTION("""COMPUTED_VALUE"""),"Alberto")</f>
        <v>Alberto</v>
      </c>
      <c r="AT534" s="6" t="str">
        <f>IFERROR(__xludf.DUMMYFUNCTION("""COMPUTED_VALUE"""),"Pérez Mazorra")</f>
        <v>Pérez Mazorra</v>
      </c>
      <c r="AU534" s="6" t="str">
        <f>IFERROR(__xludf.DUMMYFUNCTION("""COMPUTED_VALUE"""),"manuel.perezm@hotmail.com")</f>
        <v>manuel.perezm@hotmail.com</v>
      </c>
      <c r="AV534" s="6" t="str">
        <f>IFERROR(__xludf.DUMMYFUNCTION("""COMPUTED_VALUE"""),"Medico")</f>
        <v>Medico</v>
      </c>
      <c r="AW534" s="6" t="str">
        <f>IFERROR(__xludf.DUMMYFUNCTION("""COMPUTED_VALUE"""),"Consultorio particular")</f>
        <v>Consultorio particular</v>
      </c>
      <c r="AX534" s="12" t="str">
        <f>IFERROR(__xludf.DUMMYFUNCTION("""COMPUTED_VALUE"""),"80092791")</f>
        <v>80092791</v>
      </c>
      <c r="AY534" s="12" t="str">
        <f>IFERROR(__xludf.DUMMYFUNCTION("""COMPUTED_VALUE"""),"3114770085")</f>
        <v>3114770085</v>
      </c>
      <c r="AZ534" s="6" t="str">
        <f>IFERROR(__xludf.DUMMYFUNCTION("""COMPUTED_VALUE"""),"Padre")</f>
        <v>Padre</v>
      </c>
      <c r="BA534" s="6"/>
      <c r="BB534" s="6"/>
      <c r="BC534" s="6"/>
      <c r="BD534" s="12" t="str">
        <f>IFERROR(__xludf.DUMMYFUNCTION("""COMPUTED_VALUE"""),"pre0006")</f>
        <v>pre0006</v>
      </c>
      <c r="BE534" s="6"/>
      <c r="BF534" s="6"/>
      <c r="BG534" s="6">
        <f>IFERROR(__xludf.DUMMYFUNCTION("""COMPUTED_VALUE"""),2032.0)</f>
        <v>2032</v>
      </c>
      <c r="BH534" s="15">
        <f>IFERROR(__xludf.DUMMYFUNCTION("""COMPUTED_VALUE"""),46210.59662037037)</f>
        <v>46210.59662</v>
      </c>
      <c r="BI534" s="6">
        <f>IFERROR(__xludf.DUMMYFUNCTION("""COMPUTED_VALUE"""),534.0)</f>
        <v>534</v>
      </c>
      <c r="BJ534" s="6"/>
      <c r="BK534" s="6"/>
      <c r="BL534" s="6" t="str">
        <f>IFERROR(__xludf.DUMMYFUNCTION("""COMPUTED_VALUE"""),"GISPRE0006")</f>
        <v>GISPRE0006</v>
      </c>
      <c r="BM534" s="6"/>
      <c r="BN534" s="6"/>
      <c r="BO534" s="6" t="str">
        <f>IFERROR(__xludf.DUMMYFUNCTION("""COMPUTED_VALUE"""),"XC_SEC_ProgRobot")</f>
        <v>XC_SEC_ProgRobot</v>
      </c>
      <c r="BP534" s="6" t="str">
        <f>IFERROR(__xludf.DUMMYFUNCTION("""COMPUTED_VALUE"""),"XC_SEC_OlympMath")</f>
        <v>XC_SEC_OlympMath</v>
      </c>
      <c r="BQ534" s="6"/>
      <c r="BR534" s="6"/>
      <c r="BS534" s="6"/>
      <c r="BT534" s="6"/>
      <c r="BU534" s="6" t="str">
        <f>IFERROR(__xludf.DUMMYFUNCTION("""COMPUTED_VALUE"""),"SI")</f>
        <v>SI</v>
      </c>
      <c r="BV534" s="6" t="str">
        <f>IFERROR(__xludf.DUMMYFUNCTION("""COMPUTED_VALUE"""),"samuel.p2032")</f>
        <v>samuel.p2032</v>
      </c>
      <c r="BW534" s="6"/>
      <c r="BX534" s="6"/>
      <c r="BY534" s="6"/>
      <c r="BZ534" s="6"/>
    </row>
    <row r="535">
      <c r="A535" s="12">
        <f>IFERROR(__xludf.DUMMYFUNCTION("""COMPUTED_VALUE"""),1.070016597E9)</f>
        <v>1070016597</v>
      </c>
      <c r="B535" s="6">
        <f>IFERROR(__xludf.DUMMYFUNCTION("""COMPUTED_VALUE"""),37.0)</f>
        <v>37</v>
      </c>
      <c r="C535" s="6" t="str">
        <f>IFERROR(__xludf.DUMMYFUNCTION("""COMPUTED_VALUE"""),"Joaquín")</f>
        <v>Joaquín</v>
      </c>
      <c r="D535" s="6"/>
      <c r="E535" s="6" t="str">
        <f>IFERROR(__xludf.DUMMYFUNCTION("""COMPUTED_VALUE"""),"Pinzón Tamayo")</f>
        <v>Pinzón Tamayo</v>
      </c>
      <c r="F535" s="6" t="str">
        <f>IFERROR(__xludf.DUMMYFUNCTION("""COMPUTED_VALUE"""),"Conjunto Residencial Rio Alto Torre 1 Apto 408 - Av Centenario No26Nte - 21")</f>
        <v>Conjunto Residencial Rio Alto Torre 1 Apto 408 - Av Centenario No26Nte - 21</v>
      </c>
      <c r="G535" s="12" t="str">
        <f>IFERROR(__xludf.DUMMYFUNCTION("""COMPUTED_VALUE"""),"2013")</f>
        <v>2013</v>
      </c>
      <c r="H535" s="6" t="str">
        <f>IFERROR(__xludf.DUMMYFUNCTION("""COMPUTED_VALUE"""),"Noviembre")</f>
        <v>Noviembre</v>
      </c>
      <c r="I535" s="12" t="str">
        <f>IFERROR(__xludf.DUMMYFUNCTION("""COMPUTED_VALUE"""),"9")</f>
        <v>9</v>
      </c>
      <c r="J535" s="6" t="str">
        <f>IFERROR(__xludf.DUMMYFUNCTION("""COMPUTED_VALUE"""),"Bogotá D.C.")</f>
        <v>Bogotá D.C.</v>
      </c>
      <c r="K535" s="6" t="str">
        <f>IFERROR(__xludf.DUMMYFUNCTION("""COMPUTED_VALUE"""),"joaquin.p2032@gi.edu.co")</f>
        <v>joaquin.p2032@gi.edu.co</v>
      </c>
      <c r="L535" s="6" t="str">
        <f>IFERROR(__xludf.DUMMYFUNCTION("""COMPUTED_VALUE"""),"TI")</f>
        <v>TI</v>
      </c>
      <c r="M535" s="6" t="str">
        <f>IFERROR(__xludf.DUMMYFUNCTION("""COMPUTED_VALUE"""),"Calarcá")</f>
        <v>Calarcá</v>
      </c>
      <c r="N535" s="6" t="str">
        <f>IFERROR(__xludf.DUMMYFUNCTION("""COMPUTED_VALUE"""),"M")</f>
        <v>M</v>
      </c>
      <c r="O535" s="6" t="str">
        <f>IFERROR(__xludf.DUMMYFUNCTION("""COMPUTED_VALUE"""),"ACTIVE")</f>
        <v>ACTIVE</v>
      </c>
      <c r="P535" s="6"/>
      <c r="Q535" s="6" t="str">
        <f>IFERROR(__xludf.DUMMYFUNCTION("""COMPUTED_VALUE"""),"Armenia")</f>
        <v>Armenia</v>
      </c>
      <c r="R535" s="12" t="str">
        <f>IFERROR(__xludf.DUMMYFUNCTION("""COMPUTED_VALUE"""),"Gianv8dc9*")</f>
        <v>Gianv8dc9*</v>
      </c>
      <c r="S535" s="6" t="str">
        <f>IFERROR(__xludf.DUMMYFUNCTION("""COMPUTED_VALUE"""),"Pinzón Tamayo Joaquín ")</f>
        <v>Pinzón Tamayo Joaquín </v>
      </c>
      <c r="T535" s="6" t="str">
        <f>IFERROR(__xludf.DUMMYFUNCTION("""COMPUTED_VALUE"""),"JUAN CAMILO PINZÓN TRUJILLO")</f>
        <v>JUAN CAMILO PINZÓN TRUJILLO</v>
      </c>
      <c r="U535" s="12" t="str">
        <f>IFERROR(__xludf.DUMMYFUNCTION("""COMPUTED_VALUE"""),"11276050")</f>
        <v>11276050</v>
      </c>
      <c r="V535" s="6">
        <f>IFERROR(__xludf.DUMMYFUNCTION("""COMPUTED_VALUE"""),3.103411775E9)</f>
        <v>3103411775</v>
      </c>
      <c r="W535" s="6" t="str">
        <f>IFERROR(__xludf.DUMMYFUNCTION("""COMPUTED_VALUE"""),"jcpinzontrujillo@gmail.com")</f>
        <v>jcpinzontrujillo@gmail.com</v>
      </c>
      <c r="X535" s="12" t="str">
        <f>IFERROR(__xludf.DUMMYFUNCTION("""COMPUTED_VALUE"""),"O+")</f>
        <v>O+</v>
      </c>
      <c r="Y535" s="12" t="str">
        <f>IFERROR(__xludf.DUMMYFUNCTION("""COMPUTED_VALUE"""),"7")</f>
        <v>7</v>
      </c>
      <c r="Z535" s="12">
        <f>IFERROR(__xludf.DUMMYFUNCTION("""COMPUTED_VALUE"""),120106.0)</f>
        <v>120106</v>
      </c>
      <c r="AA535" s="6" t="str">
        <f>IFERROR(__xludf.DUMMYFUNCTION("""COMPUTED_VALUE"""),"SANITAS")</f>
        <v>SANITAS</v>
      </c>
      <c r="AB535" s="6"/>
      <c r="AC535" s="6"/>
      <c r="AD535" s="12" t="str">
        <f>IFERROR(__xludf.DUMMYFUNCTION("""COMPUTED_VALUE"""),"7B")</f>
        <v>7B</v>
      </c>
      <c r="AE535" s="12">
        <f>IFERROR(__xludf.DUMMYFUNCTION("""COMPUTED_VALUE"""),1.345282076E9)</f>
        <v>1345282076</v>
      </c>
      <c r="AF535" s="12" t="str">
        <f>IFERROR(__xludf.DUMMYFUNCTION("""COMPUTED_VALUE"""),"0672996803")</f>
        <v>0672996803</v>
      </c>
      <c r="AG535" s="12" t="str">
        <f>IFERROR(__xludf.DUMMYFUNCTION("""COMPUTED_VALUE"""),"Carolina")</f>
        <v>Carolina</v>
      </c>
      <c r="AH535" s="6"/>
      <c r="AI535" s="6" t="str">
        <f>IFERROR(__xludf.DUMMYFUNCTION("""COMPUTED_VALUE"""),"Tamayo Londoño")</f>
        <v>Tamayo Londoño</v>
      </c>
      <c r="AJ535" s="6" t="str">
        <f>IFERROR(__xludf.DUMMYFUNCTION("""COMPUTED_VALUE"""),"tamayocarolina20@gmail.com")</f>
        <v>tamayocarolina20@gmail.com</v>
      </c>
      <c r="AK535" s="6" t="str">
        <f>IFERROR(__xludf.DUMMYFUNCTION("""COMPUTED_VALUE"""),"Diseño")</f>
        <v>Diseño</v>
      </c>
      <c r="AL535" s="6"/>
      <c r="AM535" s="12" t="str">
        <f>IFERROR(__xludf.DUMMYFUNCTION("""COMPUTED_VALUE"""),"53177084")</f>
        <v>53177084</v>
      </c>
      <c r="AN535" s="12" t="str">
        <f>IFERROR(__xludf.DUMMYFUNCTION("""COMPUTED_VALUE"""),"3213944955")</f>
        <v>3213944955</v>
      </c>
      <c r="AO535" s="6" t="str">
        <f>IFERROR(__xludf.DUMMYFUNCTION("""COMPUTED_VALUE"""),"Madre")</f>
        <v>Madre</v>
      </c>
      <c r="AP535" s="6" t="str">
        <f>IFERROR(__xludf.DUMMYFUNCTION("""COMPUTED_VALUE"""),"Estudiante(s): Pinzón Tamayo")</f>
        <v>Estudiante(s): Pinzón Tamayo</v>
      </c>
      <c r="AQ535" s="6" t="str">
        <f>IFERROR(__xludf.DUMMYFUNCTION("""COMPUTED_VALUE"""),"120039*Gi")</f>
        <v>120039*Gi</v>
      </c>
      <c r="AR535" s="6" t="str">
        <f>IFERROR(__xludf.DUMMYFUNCTION("""COMPUTED_VALUE"""),"Juan")</f>
        <v>Juan</v>
      </c>
      <c r="AS535" s="6" t="str">
        <f>IFERROR(__xludf.DUMMYFUNCTION("""COMPUTED_VALUE"""),"Camilo")</f>
        <v>Camilo</v>
      </c>
      <c r="AT535" s="6" t="str">
        <f>IFERROR(__xludf.DUMMYFUNCTION("""COMPUTED_VALUE"""),"Pinzón Trujillo")</f>
        <v>Pinzón Trujillo</v>
      </c>
      <c r="AU535" s="6" t="str">
        <f>IFERROR(__xludf.DUMMYFUNCTION("""COMPUTED_VALUE"""),"jcpinzontrujillo@gmail.com")</f>
        <v>jcpinzontrujillo@gmail.com</v>
      </c>
      <c r="AV535" s="6" t="str">
        <f>IFERROR(__xludf.DUMMYFUNCTION("""COMPUTED_VALUE"""),"Administrador")</f>
        <v>Administrador</v>
      </c>
      <c r="AW535" s="6"/>
      <c r="AX535" s="12" t="str">
        <f>IFERROR(__xludf.DUMMYFUNCTION("""COMPUTED_VALUE"""),"11276050")</f>
        <v>11276050</v>
      </c>
      <c r="AY535" s="12" t="str">
        <f>IFERROR(__xludf.DUMMYFUNCTION("""COMPUTED_VALUE"""),"3103411775")</f>
        <v>3103411775</v>
      </c>
      <c r="AZ535" s="6" t="str">
        <f>IFERROR(__xludf.DUMMYFUNCTION("""COMPUTED_VALUE"""),"Padre")</f>
        <v>Padre</v>
      </c>
      <c r="BA535" s="6"/>
      <c r="BB535" s="6"/>
      <c r="BC535" s="6"/>
      <c r="BD535" s="12" t="str">
        <f>IFERROR(__xludf.DUMMYFUNCTION("""COMPUTED_VALUE"""),"pin0008")</f>
        <v>pin0008</v>
      </c>
      <c r="BE535" s="6"/>
      <c r="BF535" s="6"/>
      <c r="BG535" s="6">
        <f>IFERROR(__xludf.DUMMYFUNCTION("""COMPUTED_VALUE"""),2032.0)</f>
        <v>2032</v>
      </c>
      <c r="BH535" s="15">
        <f>IFERROR(__xludf.DUMMYFUNCTION("""COMPUTED_VALUE"""),46213.60194444445)</f>
        <v>46213.60194</v>
      </c>
      <c r="BI535" s="6">
        <f>IFERROR(__xludf.DUMMYFUNCTION("""COMPUTED_VALUE"""),535.0)</f>
        <v>535</v>
      </c>
      <c r="BJ535" s="6"/>
      <c r="BK535" s="6"/>
      <c r="BL535" s="6" t="str">
        <f>IFERROR(__xludf.DUMMYFUNCTION("""COMPUTED_VALUE"""),"GISPIN0008")</f>
        <v>GISPIN0008</v>
      </c>
      <c r="BM535" s="6"/>
      <c r="BN535" s="6"/>
      <c r="BO535" s="6" t="str">
        <f>IFERROR(__xludf.DUMMYFUNCTION("""COMPUTED_VALUE"""),"XC_SEC_Basquetbol")</f>
        <v>XC_SEC_Basquetbol</v>
      </c>
      <c r="BP535" s="6" t="str">
        <f>IFERROR(__xludf.DUMMYFUNCTION("""COMPUTED_VALUE"""),"XC_SEC_BandaFW")</f>
        <v>XC_SEC_BandaFW</v>
      </c>
      <c r="BQ535" s="6" t="str">
        <f>IFERROR(__xludf.DUMMYFUNCTION("""COMPUTED_VALUE"""),"XC_SEC_Basquetbol")</f>
        <v>XC_SEC_Basquetbol</v>
      </c>
      <c r="BR535" s="6" t="str">
        <f>IFERROR(__xludf.DUMMYFUNCTION("""COMPUTED_VALUE"""),"XC_SEC_Basquetbol")</f>
        <v>XC_SEC_Basquetbol</v>
      </c>
      <c r="BS535" s="6"/>
      <c r="BT535" s="6" t="str">
        <f>IFERROR(__xludf.DUMMYFUNCTION("""COMPUTED_VALUE"""),"XC_SEC_Basquetbol")</f>
        <v>XC_SEC_Basquetbol</v>
      </c>
      <c r="BU535" s="6" t="str">
        <f>IFERROR(__xludf.DUMMYFUNCTION("""COMPUTED_VALUE"""),"SI")</f>
        <v>SI</v>
      </c>
      <c r="BV535" s="6" t="str">
        <f>IFERROR(__xludf.DUMMYFUNCTION("""COMPUTED_VALUE"""),"joaquin.p2032")</f>
        <v>joaquin.p2032</v>
      </c>
      <c r="BW535" s="6"/>
      <c r="BX535" s="6"/>
      <c r="BY535" s="6"/>
      <c r="BZ535" s="6"/>
    </row>
    <row r="536">
      <c r="A536" s="12">
        <f>IFERROR(__xludf.DUMMYFUNCTION("""COMPUTED_VALUE"""),1.014887272E9)</f>
        <v>1014887272</v>
      </c>
      <c r="B536" s="6">
        <f>IFERROR(__xludf.DUMMYFUNCTION("""COMPUTED_VALUE"""),38.0)</f>
        <v>38</v>
      </c>
      <c r="C536" s="6" t="str">
        <f>IFERROR(__xludf.DUMMYFUNCTION("""COMPUTED_VALUE"""),"Martín")</f>
        <v>Martín</v>
      </c>
      <c r="D536" s="6"/>
      <c r="E536" s="6" t="str">
        <f>IFERROR(__xludf.DUMMYFUNCTION("""COMPUTED_VALUE"""),"Quintero Pérez")</f>
        <v>Quintero Pérez</v>
      </c>
      <c r="F536" s="6" t="str">
        <f>IFERROR(__xludf.DUMMYFUNCTION("""COMPUTED_VALUE"""),"Cll 27 norte #5-02 - Horizonte Verde")</f>
        <v>Cll 27 norte #5-02 - Horizonte Verde</v>
      </c>
      <c r="G536" s="12">
        <f>IFERROR(__xludf.DUMMYFUNCTION("""COMPUTED_VALUE"""),2014.0)</f>
        <v>2014</v>
      </c>
      <c r="H536" s="12" t="str">
        <f>IFERROR(__xludf.DUMMYFUNCTION("""COMPUTED_VALUE"""),"Agosto")</f>
        <v>Agosto</v>
      </c>
      <c r="I536" s="12">
        <f>IFERROR(__xludf.DUMMYFUNCTION("""COMPUTED_VALUE"""),23.0)</f>
        <v>23</v>
      </c>
      <c r="J536" s="6"/>
      <c r="K536" s="12" t="str">
        <f>IFERROR(__xludf.DUMMYFUNCTION("""COMPUTED_VALUE"""),"martin.q2032@gi.edu.co")</f>
        <v>martin.q2032@gi.edu.co</v>
      </c>
      <c r="L536" s="6" t="str">
        <f>IFERROR(__xludf.DUMMYFUNCTION("""COMPUTED_VALUE"""),"TI")</f>
        <v>TI</v>
      </c>
      <c r="M536" s="6" t="str">
        <f>IFERROR(__xludf.DUMMYFUNCTION("""COMPUTED_VALUE"""),"Bogotá D.C.")</f>
        <v>Bogotá D.C.</v>
      </c>
      <c r="N536" s="6" t="str">
        <f>IFERROR(__xludf.DUMMYFUNCTION("""COMPUTED_VALUE"""),"M")</f>
        <v>M</v>
      </c>
      <c r="O536" s="6" t="str">
        <f>IFERROR(__xludf.DUMMYFUNCTION("""COMPUTED_VALUE"""),"ACTIVE")</f>
        <v>ACTIVE</v>
      </c>
      <c r="P536" s="6"/>
      <c r="Q536" s="6"/>
      <c r="R536" s="12" t="str">
        <f>IFERROR(__xludf.DUMMYFUNCTION("""COMPUTED_VALUE"""),"GiR8Yh2K*")</f>
        <v>GiR8Yh2K*</v>
      </c>
      <c r="S536" s="6" t="str">
        <f>IFERROR(__xludf.DUMMYFUNCTION("""COMPUTED_VALUE"""),"Quintero Pérez Martín ")</f>
        <v>Quintero Pérez Martín </v>
      </c>
      <c r="T536" s="6" t="str">
        <f>IFERROR(__xludf.DUMMYFUNCTION("""COMPUTED_VALUE"""),"JULIANA PEREZ PEREZ")</f>
        <v>JULIANA PEREZ PEREZ</v>
      </c>
      <c r="U536" s="12" t="str">
        <f>IFERROR(__xludf.DUMMYFUNCTION("""COMPUTED_VALUE"""),"35195547")</f>
        <v>35195547</v>
      </c>
      <c r="V536" s="6">
        <f>IFERROR(__xludf.DUMMYFUNCTION("""COMPUTED_VALUE"""),3.115313888E9)</f>
        <v>3115313888</v>
      </c>
      <c r="W536" s="6" t="str">
        <f>IFERROR(__xludf.DUMMYFUNCTION("""COMPUTED_VALUE"""),"juliana_perez_perez@hotmail.com")</f>
        <v>juliana_perez_perez@hotmail.com</v>
      </c>
      <c r="X536" s="12" t="str">
        <f>IFERROR(__xludf.DUMMYFUNCTION("""COMPUTED_VALUE"""),"B+")</f>
        <v>B+</v>
      </c>
      <c r="Y536" s="12" t="str">
        <f>IFERROR(__xludf.DUMMYFUNCTION("""COMPUTED_VALUE"""),"7")</f>
        <v>7</v>
      </c>
      <c r="Z536" s="6">
        <f>IFERROR(__xludf.DUMMYFUNCTION("""COMPUTED_VALUE"""),120627.0)</f>
        <v>120627</v>
      </c>
      <c r="AA536" s="6" t="str">
        <f>IFERROR(__xludf.DUMMYFUNCTION("""COMPUTED_VALUE"""),"SANITAS")</f>
        <v>SANITAS</v>
      </c>
      <c r="AB536" s="6"/>
      <c r="AC536" s="6"/>
      <c r="AD536" s="12" t="str">
        <f>IFERROR(__xludf.DUMMYFUNCTION("""COMPUTED_VALUE"""),"7B")</f>
        <v>7B</v>
      </c>
      <c r="AE536" s="12" t="str">
        <f>IFERROR(__xludf.DUMMYFUNCTION("""COMPUTED_VALUE"""),"1345282623")</f>
        <v>1345282623</v>
      </c>
      <c r="AF536" s="6"/>
      <c r="AG536" s="12" t="str">
        <f>IFERROR(__xludf.DUMMYFUNCTION("""COMPUTED_VALUE"""),"Juliana")</f>
        <v>Juliana</v>
      </c>
      <c r="AH536" s="6"/>
      <c r="AI536" s="6" t="str">
        <f>IFERROR(__xludf.DUMMYFUNCTION("""COMPUTED_VALUE"""),"Pérez Pérez")</f>
        <v>Pérez Pérez</v>
      </c>
      <c r="AJ536" s="6" t="str">
        <f>IFERROR(__xludf.DUMMYFUNCTION("""COMPUTED_VALUE"""),"juliana_perez_perez@hotmail.com")</f>
        <v>juliana_perez_perez@hotmail.com</v>
      </c>
      <c r="AK536" s="6" t="str">
        <f>IFERROR(__xludf.DUMMYFUNCTION("""COMPUTED_VALUE"""),"Pediatra")</f>
        <v>Pediatra</v>
      </c>
      <c r="AL536" s="6"/>
      <c r="AM536" s="12" t="str">
        <f>IFERROR(__xludf.DUMMYFUNCTION("""COMPUTED_VALUE"""),"35195547")</f>
        <v>35195547</v>
      </c>
      <c r="AN536" s="12" t="str">
        <f>IFERROR(__xludf.DUMMYFUNCTION("""COMPUTED_VALUE"""),"3115313888")</f>
        <v>3115313888</v>
      </c>
      <c r="AO536" s="6" t="str">
        <f>IFERROR(__xludf.DUMMYFUNCTION("""COMPUTED_VALUE"""),"Madre")</f>
        <v>Madre</v>
      </c>
      <c r="AP536" s="6" t="str">
        <f>IFERROR(__xludf.DUMMYFUNCTION("""COMPUTED_VALUE"""),"Estudiante(s): Quintero Pérez")</f>
        <v>Estudiante(s): Quintero Pérez</v>
      </c>
      <c r="AQ536" s="6" t="str">
        <f>IFERROR(__xludf.DUMMYFUNCTION("""COMPUTED_VALUE"""),"120627*Gi")</f>
        <v>120627*Gi</v>
      </c>
      <c r="AR536" s="6" t="str">
        <f>IFERROR(__xludf.DUMMYFUNCTION("""COMPUTED_VALUE"""),"Jorge")</f>
        <v>Jorge</v>
      </c>
      <c r="AS536" s="6" t="str">
        <f>IFERROR(__xludf.DUMMYFUNCTION("""COMPUTED_VALUE"""),"Alberto")</f>
        <v>Alberto</v>
      </c>
      <c r="AT536" s="6" t="str">
        <f>IFERROR(__xludf.DUMMYFUNCTION("""COMPUTED_VALUE"""),"Quintero Vásquez")</f>
        <v>Quintero Vásquez</v>
      </c>
      <c r="AU536" s="6" t="str">
        <f>IFERROR(__xludf.DUMMYFUNCTION("""COMPUTED_VALUE"""),"quinterojorge@hotmail.com")</f>
        <v>quinterojorge@hotmail.com</v>
      </c>
      <c r="AV536" s="6" t="str">
        <f>IFERROR(__xludf.DUMMYFUNCTION("""COMPUTED_VALUE"""),"Administrador")</f>
        <v>Administrador</v>
      </c>
      <c r="AW536" s="6"/>
      <c r="AX536" s="12" t="str">
        <f>IFERROR(__xludf.DUMMYFUNCTION("""COMPUTED_VALUE"""),"94390879")</f>
        <v>94390879</v>
      </c>
      <c r="AY536" s="12" t="str">
        <f>IFERROR(__xludf.DUMMYFUNCTION("""COMPUTED_VALUE"""),"3212202407")</f>
        <v>3212202407</v>
      </c>
      <c r="AZ536" s="6" t="str">
        <f>IFERROR(__xludf.DUMMYFUNCTION("""COMPUTED_VALUE"""),"Padre")</f>
        <v>Padre</v>
      </c>
      <c r="BA536" s="6"/>
      <c r="BB536" s="6"/>
      <c r="BC536" s="6"/>
      <c r="BD536" s="12" t="str">
        <f>IFERROR(__xludf.DUMMYFUNCTION("""COMPUTED_VALUE"""),"qui0008")</f>
        <v>qui0008</v>
      </c>
      <c r="BE536" s="6" t="str">
        <f>IFERROR(__xludf.DUMMYFUNCTION("""COMPUTED_VALUE"""),"NUEVO(A)")</f>
        <v>NUEVO(A)</v>
      </c>
      <c r="BF536" s="6"/>
      <c r="BG536" s="6">
        <f>IFERROR(__xludf.DUMMYFUNCTION("""COMPUTED_VALUE"""),2032.0)</f>
        <v>2032</v>
      </c>
      <c r="BH536" s="15">
        <f>IFERROR(__xludf.DUMMYFUNCTION("""COMPUTED_VALUE"""),46197.4453125)</f>
        <v>46197.44531</v>
      </c>
      <c r="BI536" s="6">
        <f>IFERROR(__xludf.DUMMYFUNCTION("""COMPUTED_VALUE"""),536.0)</f>
        <v>536</v>
      </c>
      <c r="BJ536" s="6"/>
      <c r="BK536" s="6"/>
      <c r="BL536" s="6" t="str">
        <f>IFERROR(__xludf.DUMMYFUNCTION("""COMPUTED_VALUE"""),"GISQUI0008")</f>
        <v>GISQUI0008</v>
      </c>
      <c r="BM536" s="6"/>
      <c r="BN536" s="6"/>
      <c r="BO536" s="6"/>
      <c r="BP536" s="6" t="str">
        <f>IFERROR(__xludf.DUMMYFUNCTION("""COMPUTED_VALUE"""),"XC_SEC_OlympMath")</f>
        <v>XC_SEC_OlympMath</v>
      </c>
      <c r="BQ536" s="6"/>
      <c r="BR536" s="6"/>
      <c r="BS536" s="6"/>
      <c r="BT536" s="6"/>
      <c r="BU536" s="6" t="str">
        <f>IFERROR(__xludf.DUMMYFUNCTION("""COMPUTED_VALUE"""),"SI")</f>
        <v>SI</v>
      </c>
      <c r="BV536" s="12" t="str">
        <f>IFERROR(__xludf.DUMMYFUNCTION("""COMPUTED_VALUE"""),"martin.q2032")</f>
        <v>martin.q2032</v>
      </c>
      <c r="BW536" s="6"/>
      <c r="BX536" s="6"/>
      <c r="BY536" s="6"/>
      <c r="BZ536" s="6"/>
    </row>
    <row r="537">
      <c r="A537" s="12">
        <f>IFERROR(__xludf.DUMMYFUNCTION("""COMPUTED_VALUE"""),1.092857426E9)</f>
        <v>1092857426</v>
      </c>
      <c r="B537" s="6">
        <f>IFERROR(__xludf.DUMMYFUNCTION("""COMPUTED_VALUE"""),39.0)</f>
        <v>39</v>
      </c>
      <c r="C537" s="6" t="str">
        <f>IFERROR(__xludf.DUMMYFUNCTION("""COMPUTED_VALUE"""),"Luciana")</f>
        <v>Luciana</v>
      </c>
      <c r="D537" s="6"/>
      <c r="E537" s="6" t="str">
        <f>IFERROR(__xludf.DUMMYFUNCTION("""COMPUTED_VALUE"""),"Ramírez Ortiz")</f>
        <v>Ramírez Ortiz</v>
      </c>
      <c r="F537" s="6" t="str">
        <f>IFERROR(__xludf.DUMMYFUNCTION("""COMPUTED_VALUE"""),"Edificio el Remanso Apto 102 - Calle 15 Nte No12 - 27")</f>
        <v>Edificio el Remanso Apto 102 - Calle 15 Nte No12 - 27</v>
      </c>
      <c r="G537" s="12" t="str">
        <f>IFERROR(__xludf.DUMMYFUNCTION("""COMPUTED_VALUE"""),"2014")</f>
        <v>2014</v>
      </c>
      <c r="H537" s="6" t="str">
        <f>IFERROR(__xludf.DUMMYFUNCTION("""COMPUTED_VALUE"""),"Febrero")</f>
        <v>Febrero</v>
      </c>
      <c r="I537" s="12" t="str">
        <f>IFERROR(__xludf.DUMMYFUNCTION("""COMPUTED_VALUE"""),"1")</f>
        <v>1</v>
      </c>
      <c r="J537" s="6" t="str">
        <f>IFERROR(__xludf.DUMMYFUNCTION("""COMPUTED_VALUE"""),"Armenia")</f>
        <v>Armenia</v>
      </c>
      <c r="K537" s="6" t="str">
        <f>IFERROR(__xludf.DUMMYFUNCTION("""COMPUTED_VALUE"""),"luciana.r2032@gi.edu.co")</f>
        <v>luciana.r2032@gi.edu.co</v>
      </c>
      <c r="L537" s="6" t="str">
        <f>IFERROR(__xludf.DUMMYFUNCTION("""COMPUTED_VALUE"""),"TI")</f>
        <v>TI</v>
      </c>
      <c r="M537" s="6" t="str">
        <f>IFERROR(__xludf.DUMMYFUNCTION("""COMPUTED_VALUE"""),"Calarcá")</f>
        <v>Calarcá</v>
      </c>
      <c r="N537" s="6" t="str">
        <f>IFERROR(__xludf.DUMMYFUNCTION("""COMPUTED_VALUE"""),"F")</f>
        <v>F</v>
      </c>
      <c r="O537" s="6" t="str">
        <f>IFERROR(__xludf.DUMMYFUNCTION("""COMPUTED_VALUE"""),"ACTIVE")</f>
        <v>ACTIVE</v>
      </c>
      <c r="P537" s="6"/>
      <c r="Q537" s="6" t="str">
        <f>IFERROR(__xludf.DUMMYFUNCTION("""COMPUTED_VALUE"""),"Armenia")</f>
        <v>Armenia</v>
      </c>
      <c r="R537" s="12" t="str">
        <f>IFERROR(__xludf.DUMMYFUNCTION("""COMPUTED_VALUE"""),"Gigtdr98n*")</f>
        <v>Gigtdr98n*</v>
      </c>
      <c r="S537" s="6" t="str">
        <f>IFERROR(__xludf.DUMMYFUNCTION("""COMPUTED_VALUE"""),"Ramírez Ortiz Luciana ")</f>
        <v>Ramírez Ortiz Luciana </v>
      </c>
      <c r="T537" s="6" t="str">
        <f>IFERROR(__xludf.DUMMYFUNCTION("""COMPUTED_VALUE"""),"RICARDO ARTURO RAMIREZ LONDOÑO")</f>
        <v>RICARDO ARTURO RAMIREZ LONDOÑO</v>
      </c>
      <c r="U537" s="12" t="str">
        <f>IFERROR(__xludf.DUMMYFUNCTION("""COMPUTED_VALUE"""),"18469011")</f>
        <v>18469011</v>
      </c>
      <c r="V537" s="6">
        <f>IFERROR(__xludf.DUMMYFUNCTION("""COMPUTED_VALUE"""),3.007669414E9)</f>
        <v>3007669414</v>
      </c>
      <c r="W537" s="6" t="str">
        <f>IFERROR(__xludf.DUMMYFUNCTION("""COMPUTED_VALUE"""),"ricardoaramirezl@gmail.com")</f>
        <v>ricardoaramirezl@gmail.com</v>
      </c>
      <c r="X537" s="12" t="str">
        <f>IFERROR(__xludf.DUMMYFUNCTION("""COMPUTED_VALUE"""),"A+")</f>
        <v>A+</v>
      </c>
      <c r="Y537" s="12" t="str">
        <f>IFERROR(__xludf.DUMMYFUNCTION("""COMPUTED_VALUE"""),"7")</f>
        <v>7</v>
      </c>
      <c r="Z537" s="12">
        <f>IFERROR(__xludf.DUMMYFUNCTION("""COMPUTED_VALUE"""),103696.0)</f>
        <v>103696</v>
      </c>
      <c r="AA537" s="6" t="str">
        <f>IFERROR(__xludf.DUMMYFUNCTION("""COMPUTED_VALUE"""),"SANITAS")</f>
        <v>SANITAS</v>
      </c>
      <c r="AB537" s="6"/>
      <c r="AC537" s="12" t="str">
        <f>IFERROR(__xludf.DUMMYFUNCTION("""COMPUTED_VALUE"""),"Al polvo")</f>
        <v>Al polvo</v>
      </c>
      <c r="AD537" s="12" t="str">
        <f>IFERROR(__xludf.DUMMYFUNCTION("""COMPUTED_VALUE"""),"7B")</f>
        <v>7B</v>
      </c>
      <c r="AE537" s="12">
        <f>IFERROR(__xludf.DUMMYFUNCTION("""COMPUTED_VALUE"""),1.345281805E9)</f>
        <v>1345281805</v>
      </c>
      <c r="AF537" s="12" t="str">
        <f>IFERROR(__xludf.DUMMYFUNCTION("""COMPUTED_VALUE"""),"0650560291")</f>
        <v>0650560291</v>
      </c>
      <c r="AG537" s="12" t="str">
        <f>IFERROR(__xludf.DUMMYFUNCTION("""COMPUTED_VALUE"""),"María")</f>
        <v>María</v>
      </c>
      <c r="AH537" s="12" t="str">
        <f>IFERROR(__xludf.DUMMYFUNCTION("""COMPUTED_VALUE"""),"Constanza")</f>
        <v>Constanza</v>
      </c>
      <c r="AI537" s="6" t="str">
        <f>IFERROR(__xludf.DUMMYFUNCTION("""COMPUTED_VALUE"""),"Ortiz Londoño")</f>
        <v>Ortiz Londoño</v>
      </c>
      <c r="AJ537" s="6" t="str">
        <f>IFERROR(__xludf.DUMMYFUNCTION("""COMPUTED_VALUE"""),"mariaortizlondono82@gmail.com")</f>
        <v>mariaortizlondono82@gmail.com</v>
      </c>
      <c r="AK537" s="6" t="str">
        <f>IFERROR(__xludf.DUMMYFUNCTION("""COMPUTED_VALUE"""),"ABOGADA")</f>
        <v>ABOGADA</v>
      </c>
      <c r="AL537" s="6" t="str">
        <f>IFERROR(__xludf.DUMMYFUNCTION("""COMPUTED_VALUE"""),"ALCALDIA DE ARMENIA")</f>
        <v>ALCALDIA DE ARMENIA</v>
      </c>
      <c r="AM537" s="12" t="str">
        <f>IFERROR(__xludf.DUMMYFUNCTION("""COMPUTED_VALUE"""),"41951328")</f>
        <v>41951328</v>
      </c>
      <c r="AN537" s="12" t="str">
        <f>IFERROR(__xludf.DUMMYFUNCTION("""COMPUTED_VALUE"""),"3233968272")</f>
        <v>3233968272</v>
      </c>
      <c r="AO537" s="6" t="str">
        <f>IFERROR(__xludf.DUMMYFUNCTION("""COMPUTED_VALUE"""),"Madre")</f>
        <v>Madre</v>
      </c>
      <c r="AP537" s="6" t="str">
        <f>IFERROR(__xludf.DUMMYFUNCTION("""COMPUTED_VALUE"""),"Estudiante(s): Ramírez Ortiz")</f>
        <v>Estudiante(s): Ramírez Ortiz</v>
      </c>
      <c r="AQ537" s="6" t="str">
        <f>IFERROR(__xludf.DUMMYFUNCTION("""COMPUTED_VALUE"""),"103696*Gi")</f>
        <v>103696*Gi</v>
      </c>
      <c r="AR537" s="6" t="str">
        <f>IFERROR(__xludf.DUMMYFUNCTION("""COMPUTED_VALUE"""),"Ricardo")</f>
        <v>Ricardo</v>
      </c>
      <c r="AS537" s="6" t="str">
        <f>IFERROR(__xludf.DUMMYFUNCTION("""COMPUTED_VALUE"""),"Arturo")</f>
        <v>Arturo</v>
      </c>
      <c r="AT537" s="6" t="str">
        <f>IFERROR(__xludf.DUMMYFUNCTION("""COMPUTED_VALUE"""),"Ramirez londoño")</f>
        <v>Ramirez londoño</v>
      </c>
      <c r="AU537" s="6" t="str">
        <f>IFERROR(__xludf.DUMMYFUNCTION("""COMPUTED_VALUE"""),"ricardoaramirezl@gmail.com")</f>
        <v>ricardoaramirezl@gmail.com</v>
      </c>
      <c r="AV537" s="6" t="str">
        <f>IFERROR(__xludf.DUMMYFUNCTION("""COMPUTED_VALUE"""),"abogado")</f>
        <v>abogado</v>
      </c>
      <c r="AW537" s="6" t="str">
        <f>IFERROR(__xludf.DUMMYFUNCTION("""COMPUTED_VALUE"""),"RAMIREZ LONDOÑO Y ASOCIADOS")</f>
        <v>RAMIREZ LONDOÑO Y ASOCIADOS</v>
      </c>
      <c r="AX537" s="12" t="str">
        <f>IFERROR(__xludf.DUMMYFUNCTION("""COMPUTED_VALUE"""),"18469011")</f>
        <v>18469011</v>
      </c>
      <c r="AY537" s="12" t="str">
        <f>IFERROR(__xludf.DUMMYFUNCTION("""COMPUTED_VALUE"""),"3007669414")</f>
        <v>3007669414</v>
      </c>
      <c r="AZ537" s="6" t="str">
        <f>IFERROR(__xludf.DUMMYFUNCTION("""COMPUTED_VALUE"""),"Padre")</f>
        <v>Padre</v>
      </c>
      <c r="BA537" s="6"/>
      <c r="BB537" s="6"/>
      <c r="BC537" s="6"/>
      <c r="BD537" s="12" t="str">
        <f>IFERROR(__xludf.DUMMYFUNCTION("""COMPUTED_VALUE"""),"ram0014")</f>
        <v>ram0014</v>
      </c>
      <c r="BE537" s="6"/>
      <c r="BF537" s="6"/>
      <c r="BG537" s="6">
        <f>IFERROR(__xludf.DUMMYFUNCTION("""COMPUTED_VALUE"""),2032.0)</f>
        <v>2032</v>
      </c>
      <c r="BH537" s="15">
        <f>IFERROR(__xludf.DUMMYFUNCTION("""COMPUTED_VALUE"""),46210.387025462966)</f>
        <v>46210.38703</v>
      </c>
      <c r="BI537" s="6">
        <f>IFERROR(__xludf.DUMMYFUNCTION("""COMPUTED_VALUE"""),537.0)</f>
        <v>537</v>
      </c>
      <c r="BJ537" s="6"/>
      <c r="BK537" s="6"/>
      <c r="BL537" s="6" t="str">
        <f>IFERROR(__xludf.DUMMYFUNCTION("""COMPUTED_VALUE"""),"GISRAM0014")</f>
        <v>GISRAM0014</v>
      </c>
      <c r="BM537" s="6"/>
      <c r="BN537" s="6"/>
      <c r="BO537" s="6" t="str">
        <f>IFERROR(__xludf.DUMMYFUNCTION("""COMPUTED_VALUE"""),"XC_MS_Voleibol_F")</f>
        <v>XC_MS_Voleibol_F</v>
      </c>
      <c r="BP537" s="6"/>
      <c r="BQ537" s="6" t="str">
        <f>IFERROR(__xludf.DUMMYFUNCTION("""COMPUTED_VALUE"""),"XC_MS_Voleibol_F")</f>
        <v>XC_MS_Voleibol_F</v>
      </c>
      <c r="BR537" s="6" t="str">
        <f>IFERROR(__xludf.DUMMYFUNCTION("""COMPUTED_VALUE"""),"XC_MS_Voleibol_F")</f>
        <v>XC_MS_Voleibol_F</v>
      </c>
      <c r="BS537" s="6"/>
      <c r="BT537" s="6" t="str">
        <f>IFERROR(__xludf.DUMMYFUNCTION("""COMPUTED_VALUE"""),"XC_MS_Voleibol_F")</f>
        <v>XC_MS_Voleibol_F</v>
      </c>
      <c r="BU537" s="6" t="str">
        <f>IFERROR(__xludf.DUMMYFUNCTION("""COMPUTED_VALUE"""),"SI")</f>
        <v>SI</v>
      </c>
      <c r="BV537" s="6" t="str">
        <f>IFERROR(__xludf.DUMMYFUNCTION("""COMPUTED_VALUE"""),"luciana.r2032")</f>
        <v>luciana.r2032</v>
      </c>
      <c r="BW537" s="6"/>
      <c r="BX537" s="6"/>
      <c r="BY537" s="6"/>
      <c r="BZ537" s="6"/>
    </row>
    <row r="538">
      <c r="A538" s="12">
        <f>IFERROR(__xludf.DUMMYFUNCTION("""COMPUTED_VALUE"""),1.089388169E9)</f>
        <v>1089388169</v>
      </c>
      <c r="B538" s="6">
        <f>IFERROR(__xludf.DUMMYFUNCTION("""COMPUTED_VALUE"""),40.0)</f>
        <v>40</v>
      </c>
      <c r="C538" s="6" t="str">
        <f>IFERROR(__xludf.DUMMYFUNCTION("""COMPUTED_VALUE"""),"Gerónimo")</f>
        <v>Gerónimo</v>
      </c>
      <c r="D538" s="6"/>
      <c r="E538" s="6" t="str">
        <f>IFERROR(__xludf.DUMMYFUNCTION("""COMPUTED_VALUE"""),"Rivera Londoño")</f>
        <v>Rivera Londoño</v>
      </c>
      <c r="F538" s="6" t="str">
        <f>IFERROR(__xludf.DUMMYFUNCTION("""COMPUTED_VALUE"""),"Condominio Mattiz Torre A Apto 705 - Cra 14 No50Nte - 42 Sector Oro negro")</f>
        <v>Condominio Mattiz Torre A Apto 705 - Cra 14 No50Nte - 42 Sector Oro negro</v>
      </c>
      <c r="G538" s="12" t="str">
        <f>IFERROR(__xludf.DUMMYFUNCTION("""COMPUTED_VALUE"""),"2014")</f>
        <v>2014</v>
      </c>
      <c r="H538" s="6" t="str">
        <f>IFERROR(__xludf.DUMMYFUNCTION("""COMPUTED_VALUE"""),"Mayo")</f>
        <v>Mayo</v>
      </c>
      <c r="I538" s="12" t="str">
        <f>IFERROR(__xludf.DUMMYFUNCTION("""COMPUTED_VALUE"""),"1")</f>
        <v>1</v>
      </c>
      <c r="J538" s="6" t="str">
        <f>IFERROR(__xludf.DUMMYFUNCTION("""COMPUTED_VALUE"""),"Pereira")</f>
        <v>Pereira</v>
      </c>
      <c r="K538" s="6" t="str">
        <f>IFERROR(__xludf.DUMMYFUNCTION("""COMPUTED_VALUE"""),"geronimo.r2032@gi.edu.co")</f>
        <v>geronimo.r2032@gi.edu.co</v>
      </c>
      <c r="L538" s="6" t="str">
        <f>IFERROR(__xludf.DUMMYFUNCTION("""COMPUTED_VALUE"""),"TI")</f>
        <v>TI</v>
      </c>
      <c r="M538" s="6" t="str">
        <f>IFERROR(__xludf.DUMMYFUNCTION("""COMPUTED_VALUE"""),"Pereira")</f>
        <v>Pereira</v>
      </c>
      <c r="N538" s="6" t="str">
        <f>IFERROR(__xludf.DUMMYFUNCTION("""COMPUTED_VALUE"""),"M")</f>
        <v>M</v>
      </c>
      <c r="O538" s="6" t="str">
        <f>IFERROR(__xludf.DUMMYFUNCTION("""COMPUTED_VALUE"""),"ACTIVE")</f>
        <v>ACTIVE</v>
      </c>
      <c r="P538" s="6"/>
      <c r="Q538" s="6" t="str">
        <f>IFERROR(__xludf.DUMMYFUNCTION("""COMPUTED_VALUE"""),"Armenia")</f>
        <v>Armenia</v>
      </c>
      <c r="R538" s="12" t="str">
        <f>IFERROR(__xludf.DUMMYFUNCTION("""COMPUTED_VALUE"""),"Gie45n8*")</f>
        <v>Gie45n8*</v>
      </c>
      <c r="S538" s="6" t="str">
        <f>IFERROR(__xludf.DUMMYFUNCTION("""COMPUTED_VALUE"""),"Rivera Londoño Gerónimo ")</f>
        <v>Rivera Londoño Gerónimo </v>
      </c>
      <c r="T538" s="6" t="str">
        <f>IFERROR(__xludf.DUMMYFUNCTION("""COMPUTED_VALUE"""),"LUISA MARIA LONDOÑO VALENCIA")</f>
        <v>LUISA MARIA LONDOÑO VALENCIA</v>
      </c>
      <c r="U538" s="12" t="str">
        <f>IFERROR(__xludf.DUMMYFUNCTION("""COMPUTED_VALUE"""),"1088274785")</f>
        <v>1088274785</v>
      </c>
      <c r="V538" s="6">
        <f>IFERROR(__xludf.DUMMYFUNCTION("""COMPUTED_VALUE"""),3.105318256E9)</f>
        <v>3105318256</v>
      </c>
      <c r="W538" s="6" t="str">
        <f>IFERROR(__xludf.DUMMYFUNCTION("""COMPUTED_VALUE"""),"pablor_55@hotmail.com")</f>
        <v>pablor_55@hotmail.com</v>
      </c>
      <c r="X538" s="12" t="str">
        <f>IFERROR(__xludf.DUMMYFUNCTION("""COMPUTED_VALUE"""),"A+")</f>
        <v>A+</v>
      </c>
      <c r="Y538" s="12" t="str">
        <f>IFERROR(__xludf.DUMMYFUNCTION("""COMPUTED_VALUE"""),"7")</f>
        <v>7</v>
      </c>
      <c r="Z538" s="12">
        <f>IFERROR(__xludf.DUMMYFUNCTION("""COMPUTED_VALUE"""),120385.0)</f>
        <v>120385</v>
      </c>
      <c r="AA538" s="6" t="str">
        <f>IFERROR(__xludf.DUMMYFUNCTION("""COMPUTED_VALUE"""),"SURA")</f>
        <v>SURA</v>
      </c>
      <c r="AB538" s="6"/>
      <c r="AC538" s="12" t="str">
        <f>IFERROR(__xludf.DUMMYFUNCTION("""COMPUTED_VALUE"""),"Insectos y sufre de rinitis Fresa, frutos secos, mariscos y camarones")</f>
        <v>Insectos y sufre de rinitis Fresa, frutos secos, mariscos y camarones</v>
      </c>
      <c r="AD538" s="12" t="str">
        <f>IFERROR(__xludf.DUMMYFUNCTION("""COMPUTED_VALUE"""),"7B")</f>
        <v>7B</v>
      </c>
      <c r="AE538" s="12" t="str">
        <f>IFERROR(__xludf.DUMMYFUNCTION("""COMPUTED_VALUE"""),"1345282385")</f>
        <v>1345282385</v>
      </c>
      <c r="AF538" s="12" t="str">
        <f>IFERROR(__xludf.DUMMYFUNCTION("""COMPUTED_VALUE"""),"0674403347")</f>
        <v>0674403347</v>
      </c>
      <c r="AG538" s="12" t="str">
        <f>IFERROR(__xludf.DUMMYFUNCTION("""COMPUTED_VALUE"""),"Luisa")</f>
        <v>Luisa</v>
      </c>
      <c r="AH538" s="12" t="str">
        <f>IFERROR(__xludf.DUMMYFUNCTION("""COMPUTED_VALUE"""),"Maria")</f>
        <v>Maria</v>
      </c>
      <c r="AI538" s="6" t="str">
        <f>IFERROR(__xludf.DUMMYFUNCTION("""COMPUTED_VALUE"""),"Londoño Valencia")</f>
        <v>Londoño Valencia</v>
      </c>
      <c r="AJ538" s="6" t="str">
        <f>IFERROR(__xludf.DUMMYFUNCTION("""COMPUTED_VALUE"""),"luisalondo30@gmail.com")</f>
        <v>luisalondo30@gmail.com</v>
      </c>
      <c r="AK538" s="6" t="str">
        <f>IFERROR(__xludf.DUMMYFUNCTION("""COMPUTED_VALUE"""),"Química Industrial")</f>
        <v>Química Industrial</v>
      </c>
      <c r="AL538" s="6" t="str">
        <f>IFERROR(__xludf.DUMMYFUNCTION("""COMPUTED_VALUE"""),"Gimansio Ingles")</f>
        <v>Gimansio Ingles</v>
      </c>
      <c r="AM538" s="12" t="str">
        <f>IFERROR(__xludf.DUMMYFUNCTION("""COMPUTED_VALUE"""),"1088274785")</f>
        <v>1088274785</v>
      </c>
      <c r="AN538" s="12" t="str">
        <f>IFERROR(__xludf.DUMMYFUNCTION("""COMPUTED_VALUE"""),"3105318256")</f>
        <v>3105318256</v>
      </c>
      <c r="AO538" s="6" t="str">
        <f>IFERROR(__xludf.DUMMYFUNCTION("""COMPUTED_VALUE"""),"Madre")</f>
        <v>Madre</v>
      </c>
      <c r="AP538" s="6" t="str">
        <f>IFERROR(__xludf.DUMMYFUNCTION("""COMPUTED_VALUE"""),"Estudiante(s): Rivera Londoño")</f>
        <v>Estudiante(s): Rivera Londoño</v>
      </c>
      <c r="AQ538" s="6" t="str">
        <f>IFERROR(__xludf.DUMMYFUNCTION("""COMPUTED_VALUE"""),"120385*Gi")</f>
        <v>120385*Gi</v>
      </c>
      <c r="AR538" s="6" t="str">
        <f>IFERROR(__xludf.DUMMYFUNCTION("""COMPUTED_VALUE"""),"Pablo")</f>
        <v>Pablo</v>
      </c>
      <c r="AS538" s="6"/>
      <c r="AT538" s="6" t="str">
        <f>IFERROR(__xludf.DUMMYFUNCTION("""COMPUTED_VALUE"""),"Rivera Machado")</f>
        <v>Rivera Machado</v>
      </c>
      <c r="AU538" s="6" t="str">
        <f>IFERROR(__xludf.DUMMYFUNCTION("""COMPUTED_VALUE"""),"pablor_55@hotmail.com")</f>
        <v>pablor_55@hotmail.com</v>
      </c>
      <c r="AV538" s="6" t="str">
        <f>IFERROR(__xludf.DUMMYFUNCTION("""COMPUTED_VALUE"""),"Químico Industrial")</f>
        <v>Químico Industrial</v>
      </c>
      <c r="AW538" s="6" t="str">
        <f>IFERROR(__xludf.DUMMYFUNCTION("""COMPUTED_VALUE"""),"Fundación Gimnasio Ingles de Armenia")</f>
        <v>Fundación Gimnasio Ingles de Armenia</v>
      </c>
      <c r="AX538" s="12" t="str">
        <f>IFERROR(__xludf.DUMMYFUNCTION("""COMPUTED_VALUE"""),"1088269851")</f>
        <v>1088269851</v>
      </c>
      <c r="AY538" s="12">
        <f>IFERROR(__xludf.DUMMYFUNCTION("""COMPUTED_VALUE"""),3.116093463E9)</f>
        <v>3116093463</v>
      </c>
      <c r="AZ538" s="6" t="str">
        <f>IFERROR(__xludf.DUMMYFUNCTION("""COMPUTED_VALUE"""),"Padre")</f>
        <v>Padre</v>
      </c>
      <c r="BA538" s="6"/>
      <c r="BB538" s="6"/>
      <c r="BC538" s="6"/>
      <c r="BD538" s="12" t="str">
        <f>IFERROR(__xludf.DUMMYFUNCTION("""COMPUTED_VALUE"""),"riv0005")</f>
        <v>riv0005</v>
      </c>
      <c r="BE538" s="6"/>
      <c r="BF538" s="6"/>
      <c r="BG538" s="6">
        <f>IFERROR(__xludf.DUMMYFUNCTION("""COMPUTED_VALUE"""),2032.0)</f>
        <v>2032</v>
      </c>
      <c r="BH538" s="15">
        <f>IFERROR(__xludf.DUMMYFUNCTION("""COMPUTED_VALUE"""),46207.56832175926)</f>
        <v>46207.56832</v>
      </c>
      <c r="BI538" s="6">
        <f>IFERROR(__xludf.DUMMYFUNCTION("""COMPUTED_VALUE"""),538.0)</f>
        <v>538</v>
      </c>
      <c r="BJ538" s="6"/>
      <c r="BK538" s="6" t="str">
        <f>IFERROR(__xludf.DUMMYFUNCTION("""COMPUTED_VALUE"""),"Si: Mometasona, Montelukas y Bilastina")</f>
        <v>Si: Mometasona, Montelukas y Bilastina</v>
      </c>
      <c r="BL538" s="6" t="str">
        <f>IFERROR(__xludf.DUMMYFUNCTION("""COMPUTED_VALUE"""),"GISRIV0005")</f>
        <v>GISRIV0005</v>
      </c>
      <c r="BM538" s="6"/>
      <c r="BN538" s="6"/>
      <c r="BO538" s="6" t="str">
        <f>IFERROR(__xludf.DUMMYFUNCTION("""COMPUTED_VALUE"""),"XC_MS_Futbol_M")</f>
        <v>XC_MS_Futbol_M</v>
      </c>
      <c r="BP538" s="6"/>
      <c r="BQ538" s="6" t="str">
        <f>IFERROR(__xludf.DUMMYFUNCTION("""COMPUTED_VALUE"""),"XC_MS_Futbol_M")</f>
        <v>XC_MS_Futbol_M</v>
      </c>
      <c r="BR538" s="6" t="str">
        <f>IFERROR(__xludf.DUMMYFUNCTION("""COMPUTED_VALUE"""),"XC_MS_Futbol_M")</f>
        <v>XC_MS_Futbol_M</v>
      </c>
      <c r="BS538" s="6"/>
      <c r="BT538" s="6" t="str">
        <f>IFERROR(__xludf.DUMMYFUNCTION("""COMPUTED_VALUE"""),"XC_MS_Futbol_M")</f>
        <v>XC_MS_Futbol_M</v>
      </c>
      <c r="BU538" s="6" t="str">
        <f>IFERROR(__xludf.DUMMYFUNCTION("""COMPUTED_VALUE"""),"SI")</f>
        <v>SI</v>
      </c>
      <c r="BV538" s="6" t="str">
        <f>IFERROR(__xludf.DUMMYFUNCTION("""COMPUTED_VALUE"""),"geronimo.r2032")</f>
        <v>geronimo.r2032</v>
      </c>
      <c r="BW538" s="6"/>
      <c r="BX538" s="6"/>
      <c r="BY538" s="6"/>
      <c r="BZ538" s="6"/>
    </row>
    <row r="539">
      <c r="A539" s="12">
        <f>IFERROR(__xludf.DUMMYFUNCTION("""COMPUTED_VALUE"""),1.091887421E9)</f>
        <v>1091887421</v>
      </c>
      <c r="B539" s="6">
        <f>IFERROR(__xludf.DUMMYFUNCTION("""COMPUTED_VALUE"""),41.0)</f>
        <v>41</v>
      </c>
      <c r="C539" s="6" t="str">
        <f>IFERROR(__xludf.DUMMYFUNCTION("""COMPUTED_VALUE"""),"Martín")</f>
        <v>Martín</v>
      </c>
      <c r="D539" s="6"/>
      <c r="E539" s="6" t="str">
        <f>IFERROR(__xludf.DUMMYFUNCTION("""COMPUTED_VALUE"""),"Rodríguez Giraldo")</f>
        <v>Rodríguez Giraldo</v>
      </c>
      <c r="F539" s="6" t="str">
        <f>IFERROR(__xludf.DUMMYFUNCTION("""COMPUTED_VALUE"""),"Colina Del Parque - Cra 11 9Nte - 01 La Castellana")</f>
        <v>Colina Del Parque - Cra 11 9Nte - 01 La Castellana</v>
      </c>
      <c r="G539" s="12" t="str">
        <f>IFERROR(__xludf.DUMMYFUNCTION("""COMPUTED_VALUE"""),"2013")</f>
        <v>2013</v>
      </c>
      <c r="H539" s="6" t="str">
        <f>IFERROR(__xludf.DUMMYFUNCTION("""COMPUTED_VALUE"""),"Abril")</f>
        <v>Abril</v>
      </c>
      <c r="I539" s="12" t="str">
        <f>IFERROR(__xludf.DUMMYFUNCTION("""COMPUTED_VALUE"""),"29")</f>
        <v>29</v>
      </c>
      <c r="J539" s="6" t="str">
        <f>IFERROR(__xludf.DUMMYFUNCTION("""COMPUTED_VALUE"""),"Armenia")</f>
        <v>Armenia</v>
      </c>
      <c r="K539" s="6" t="str">
        <f>IFERROR(__xludf.DUMMYFUNCTION("""COMPUTED_VALUE"""),"martin.r2031@gi.edu.co")</f>
        <v>martin.r2031@gi.edu.co</v>
      </c>
      <c r="L539" s="6" t="str">
        <f>IFERROR(__xludf.DUMMYFUNCTION("""COMPUTED_VALUE"""),"TI")</f>
        <v>TI</v>
      </c>
      <c r="M539" s="6" t="str">
        <f>IFERROR(__xludf.DUMMYFUNCTION("""COMPUTED_VALUE"""),"Armenia")</f>
        <v>Armenia</v>
      </c>
      <c r="N539" s="6" t="str">
        <f>IFERROR(__xludf.DUMMYFUNCTION("""COMPUTED_VALUE"""),"M")</f>
        <v>M</v>
      </c>
      <c r="O539" s="6" t="str">
        <f>IFERROR(__xludf.DUMMYFUNCTION("""COMPUTED_VALUE"""),"ACTIVE")</f>
        <v>ACTIVE</v>
      </c>
      <c r="P539" s="6"/>
      <c r="Q539" s="6" t="str">
        <f>IFERROR(__xludf.DUMMYFUNCTION("""COMPUTED_VALUE"""),"Armenia")</f>
        <v>Armenia</v>
      </c>
      <c r="R539" s="12" t="str">
        <f>IFERROR(__xludf.DUMMYFUNCTION("""COMPUTED_VALUE"""),"Gi875frtu*")</f>
        <v>Gi875frtu*</v>
      </c>
      <c r="S539" s="6" t="str">
        <f>IFERROR(__xludf.DUMMYFUNCTION("""COMPUTED_VALUE"""),"Rodríguez Giraldo Martín ")</f>
        <v>Rodríguez Giraldo Martín </v>
      </c>
      <c r="T539" s="6" t="str">
        <f>IFERROR(__xludf.DUMMYFUNCTION("""COMPUTED_VALUE"""),"ISABEL CRISTINA GIRALDO RESTREPO")</f>
        <v>ISABEL CRISTINA GIRALDO RESTREPO</v>
      </c>
      <c r="U539" s="12" t="str">
        <f>IFERROR(__xludf.DUMMYFUNCTION("""COMPUTED_VALUE"""),"25026457")</f>
        <v>25026457</v>
      </c>
      <c r="V539" s="6">
        <f>IFERROR(__xludf.DUMMYFUNCTION("""COMPUTED_VALUE"""),3.164703109E9)</f>
        <v>3164703109</v>
      </c>
      <c r="W539" s="6" t="str">
        <f>IFERROR(__xludf.DUMMYFUNCTION("""COMPUTED_VALUE"""),"isagira2023@gmail.com")</f>
        <v>isagira2023@gmail.com</v>
      </c>
      <c r="X539" s="12" t="str">
        <f>IFERROR(__xludf.DUMMYFUNCTION("""COMPUTED_VALUE"""),"A+")</f>
        <v>A+</v>
      </c>
      <c r="Y539" s="12" t="str">
        <f>IFERROR(__xludf.DUMMYFUNCTION("""COMPUTED_VALUE"""),"7")</f>
        <v>7</v>
      </c>
      <c r="Z539" s="12" t="str">
        <f>IFERROR(__xludf.DUMMYFUNCTION("""COMPUTED_VALUE"""),"120113")</f>
        <v>120113</v>
      </c>
      <c r="AA539" s="6" t="str">
        <f>IFERROR(__xludf.DUMMYFUNCTION("""COMPUTED_VALUE"""),"SANITAS")</f>
        <v>SANITAS</v>
      </c>
      <c r="AB539" s="6"/>
      <c r="AC539" s="6"/>
      <c r="AD539" s="12" t="str">
        <f>IFERROR(__xludf.DUMMYFUNCTION("""COMPUTED_VALUE"""),"7")</f>
        <v>7</v>
      </c>
      <c r="AE539" s="12" t="str">
        <f>IFERROR(__xludf.DUMMYFUNCTION("""COMPUTED_VALUE"""),"1345282127")</f>
        <v>1345282127</v>
      </c>
      <c r="AF539" s="12" t="str">
        <f>IFERROR(__xludf.DUMMYFUNCTION("""COMPUTED_VALUE"""),"0677869811")</f>
        <v>0677869811</v>
      </c>
      <c r="AG539" s="12" t="str">
        <f>IFERROR(__xludf.DUMMYFUNCTION("""COMPUTED_VALUE"""),"Isabel")</f>
        <v>Isabel</v>
      </c>
      <c r="AH539" s="12" t="str">
        <f>IFERROR(__xludf.DUMMYFUNCTION("""COMPUTED_VALUE"""),"Cristina")</f>
        <v>Cristina</v>
      </c>
      <c r="AI539" s="6" t="str">
        <f>IFERROR(__xludf.DUMMYFUNCTION("""COMPUTED_VALUE"""),"Giraldo Restrepo")</f>
        <v>Giraldo Restrepo</v>
      </c>
      <c r="AJ539" s="6" t="str">
        <f>IFERROR(__xludf.DUMMYFUNCTION("""COMPUTED_VALUE"""),"isagira2023@gmail.com")</f>
        <v>isagira2023@gmail.com</v>
      </c>
      <c r="AK539" s="6" t="str">
        <f>IFERROR(__xludf.DUMMYFUNCTION("""COMPUTED_VALUE"""),"Odontóloga")</f>
        <v>Odontóloga</v>
      </c>
      <c r="AL539" s="6" t="str">
        <f>IFERROR(__xludf.DUMMYFUNCTION("""COMPUTED_VALUE"""),"MARLON BECERRA ODONTOLOGÍA")</f>
        <v>MARLON BECERRA ODONTOLOGÍA</v>
      </c>
      <c r="AM539" s="12" t="str">
        <f>IFERROR(__xludf.DUMMYFUNCTION("""COMPUTED_VALUE"""),"25026457")</f>
        <v>25026457</v>
      </c>
      <c r="AN539" s="12" t="str">
        <f>IFERROR(__xludf.DUMMYFUNCTION("""COMPUTED_VALUE"""),"3164703109")</f>
        <v>3164703109</v>
      </c>
      <c r="AO539" s="6" t="str">
        <f>IFERROR(__xludf.DUMMYFUNCTION("""COMPUTED_VALUE"""),"Madre")</f>
        <v>Madre</v>
      </c>
      <c r="AP539" s="6" t="str">
        <f>IFERROR(__xludf.DUMMYFUNCTION("""COMPUTED_VALUE"""),"Estudiante(s): Rodríguez Giraldo")</f>
        <v>Estudiante(s): Rodríguez Giraldo</v>
      </c>
      <c r="AQ539" s="6" t="str">
        <f>IFERROR(__xludf.DUMMYFUNCTION("""COMPUTED_VALUE"""),"120112*Gi")</f>
        <v>120112*Gi</v>
      </c>
      <c r="AR539" s="6" t="str">
        <f>IFERROR(__xludf.DUMMYFUNCTION("""COMPUTED_VALUE"""),"Juan")</f>
        <v>Juan</v>
      </c>
      <c r="AS539" s="6" t="str">
        <f>IFERROR(__xludf.DUMMYFUNCTION("""COMPUTED_VALUE"""),"Manuel")</f>
        <v>Manuel</v>
      </c>
      <c r="AT539" s="6" t="str">
        <f>IFERROR(__xludf.DUMMYFUNCTION("""COMPUTED_VALUE"""),"Rodriguez Britto")</f>
        <v>Rodriguez Britto</v>
      </c>
      <c r="AU539" s="6" t="str">
        <f>IFERROR(__xludf.DUMMYFUNCTION("""COMPUTED_VALUE"""),"jmbrito00@hotmail.com")</f>
        <v>jmbrito00@hotmail.com</v>
      </c>
      <c r="AV539" s="6" t="str">
        <f>IFERROR(__xludf.DUMMYFUNCTION("""COMPUTED_VALUE"""),"Abogado")</f>
        <v>Abogado</v>
      </c>
      <c r="AW539" s="6" t="str">
        <f>IFERROR(__xludf.DUMMYFUNCTION("""COMPUTED_VALUE"""),"Gobernación del Quindío")</f>
        <v>Gobernación del Quindío</v>
      </c>
      <c r="AX539" s="12" t="str">
        <f>IFERROR(__xludf.DUMMYFUNCTION("""COMPUTED_VALUE"""),"18471146")</f>
        <v>18471146</v>
      </c>
      <c r="AY539" s="12" t="str">
        <f>IFERROR(__xludf.DUMMYFUNCTION("""COMPUTED_VALUE"""),"3103816519")</f>
        <v>3103816519</v>
      </c>
      <c r="AZ539" s="6" t="str">
        <f>IFERROR(__xludf.DUMMYFUNCTION("""COMPUTED_VALUE"""),"Padre")</f>
        <v>Padre</v>
      </c>
      <c r="BA539" s="6"/>
      <c r="BB539" s="6"/>
      <c r="BC539" s="6"/>
      <c r="BD539" s="12" t="str">
        <f>IFERROR(__xludf.DUMMYFUNCTION("""COMPUTED_VALUE"""),"rod0002")</f>
        <v>rod0002</v>
      </c>
      <c r="BE539" s="12" t="str">
        <f>IFERROR(__xludf.DUMMYFUNCTION("""COMPUTED_VALUE"""),"REPITENTE")</f>
        <v>REPITENTE</v>
      </c>
      <c r="BF539" s="12" t="str">
        <f>IFERROR(__xludf.DUMMYFUNCTION("""COMPUTED_VALUE"""),"REPITENTE")</f>
        <v>REPITENTE</v>
      </c>
      <c r="BG539" s="6">
        <f>IFERROR(__xludf.DUMMYFUNCTION("""COMPUTED_VALUE"""),2032.0)</f>
        <v>2032</v>
      </c>
      <c r="BH539" s="15">
        <f>IFERROR(__xludf.DUMMYFUNCTION("""COMPUTED_VALUE"""),46212.623125)</f>
        <v>46212.62313</v>
      </c>
      <c r="BI539" s="6">
        <f>IFERROR(__xludf.DUMMYFUNCTION("""COMPUTED_VALUE"""),539.0)</f>
        <v>539</v>
      </c>
      <c r="BJ539" s="6"/>
      <c r="BK539" s="6"/>
      <c r="BL539" s="6" t="str">
        <f>IFERROR(__xludf.DUMMYFUNCTION("""COMPUTED_VALUE"""),"GISROD0002")</f>
        <v>GISROD0002</v>
      </c>
      <c r="BM539" s="6"/>
      <c r="BN539" s="6"/>
      <c r="BO539" s="6" t="str">
        <f>IFERROR(__xludf.DUMMYFUNCTION("""COMPUTED_VALUE"""),"XC_MS_Futbol_M")</f>
        <v>XC_MS_Futbol_M</v>
      </c>
      <c r="BP539" s="6"/>
      <c r="BQ539" s="6" t="str">
        <f>IFERROR(__xludf.DUMMYFUNCTION("""COMPUTED_VALUE"""),"XC_MS_Futbol_M")</f>
        <v>XC_MS_Futbol_M</v>
      </c>
      <c r="BR539" s="6" t="str">
        <f>IFERROR(__xludf.DUMMYFUNCTION("""COMPUTED_VALUE"""),"XC_MS_Futbol_M")</f>
        <v>XC_MS_Futbol_M</v>
      </c>
      <c r="BS539" s="6"/>
      <c r="BT539" s="6" t="str">
        <f>IFERROR(__xludf.DUMMYFUNCTION("""COMPUTED_VALUE"""),"XC_MS_Futbol_M")</f>
        <v>XC_MS_Futbol_M</v>
      </c>
      <c r="BU539" s="6" t="str">
        <f>IFERROR(__xludf.DUMMYFUNCTION("""COMPUTED_VALUE"""),"SI")</f>
        <v>SI</v>
      </c>
      <c r="BV539" s="6" t="str">
        <f>IFERROR(__xludf.DUMMYFUNCTION("""COMPUTED_VALUE"""),"martin.r2031")</f>
        <v>martin.r2031</v>
      </c>
      <c r="BW539" s="6"/>
      <c r="BX539" s="6"/>
      <c r="BY539" s="6"/>
      <c r="BZ539" s="6"/>
    </row>
    <row r="540">
      <c r="A540" s="12">
        <f>IFERROR(__xludf.DUMMYFUNCTION("""COMPUTED_VALUE"""),1.220467601E9)</f>
        <v>1220467601</v>
      </c>
      <c r="B540" s="6">
        <f>IFERROR(__xludf.DUMMYFUNCTION("""COMPUTED_VALUE"""),42.0)</f>
        <v>42</v>
      </c>
      <c r="C540" s="6" t="str">
        <f>IFERROR(__xludf.DUMMYFUNCTION("""COMPUTED_VALUE"""),"Isabella")</f>
        <v>Isabella</v>
      </c>
      <c r="D540" s="6"/>
      <c r="E540" s="6" t="str">
        <f>IFERROR(__xludf.DUMMYFUNCTION("""COMPUTED_VALUE"""),"Rodríguez Morales")</f>
        <v>Rodríguez Morales</v>
      </c>
      <c r="F540" s="6" t="str">
        <f>IFERROR(__xludf.DUMMYFUNCTION("""COMPUTED_VALUE"""),"Conjunto Ecológico San Miguel Casa 4 Vereda el Congal")</f>
        <v>Conjunto Ecológico San Miguel Casa 4 Vereda el Congal</v>
      </c>
      <c r="G540" s="12" t="str">
        <f>IFERROR(__xludf.DUMMYFUNCTION("""COMPUTED_VALUE"""),"2014")</f>
        <v>2014</v>
      </c>
      <c r="H540" s="6" t="str">
        <f>IFERROR(__xludf.DUMMYFUNCTION("""COMPUTED_VALUE"""),"Julio")</f>
        <v>Julio</v>
      </c>
      <c r="I540" s="12" t="str">
        <f>IFERROR(__xludf.DUMMYFUNCTION("""COMPUTED_VALUE"""),"9")</f>
        <v>9</v>
      </c>
      <c r="J540" s="6" t="str">
        <f>IFERROR(__xludf.DUMMYFUNCTION("""COMPUTED_VALUE"""),"Fort Lauderdale")</f>
        <v>Fort Lauderdale</v>
      </c>
      <c r="K540" s="6" t="str">
        <f>IFERROR(__xludf.DUMMYFUNCTION("""COMPUTED_VALUE"""),"isabella.r2032@gi.edu.co")</f>
        <v>isabella.r2032@gi.edu.co</v>
      </c>
      <c r="L540" s="6" t="str">
        <f>IFERROR(__xludf.DUMMYFUNCTION("""COMPUTED_VALUE"""),"TI")</f>
        <v>TI</v>
      </c>
      <c r="M540" s="6" t="str">
        <f>IFERROR(__xludf.DUMMYFUNCTION("""COMPUTED_VALUE"""),"Armenia")</f>
        <v>Armenia</v>
      </c>
      <c r="N540" s="6" t="str">
        <f>IFERROR(__xludf.DUMMYFUNCTION("""COMPUTED_VALUE"""),"F")</f>
        <v>F</v>
      </c>
      <c r="O540" s="6" t="str">
        <f>IFERROR(__xludf.DUMMYFUNCTION("""COMPUTED_VALUE"""),"ACTIVE")</f>
        <v>ACTIVE</v>
      </c>
      <c r="P540" s="6"/>
      <c r="Q540" s="6" t="str">
        <f>IFERROR(__xludf.DUMMYFUNCTION("""COMPUTED_VALUE"""),"Armenia")</f>
        <v>Armenia</v>
      </c>
      <c r="R540" s="12" t="str">
        <f>IFERROR(__xludf.DUMMYFUNCTION("""COMPUTED_VALUE"""),"Gi5xb92*")</f>
        <v>Gi5xb92*</v>
      </c>
      <c r="S540" s="6" t="str">
        <f>IFERROR(__xludf.DUMMYFUNCTION("""COMPUTED_VALUE"""),"Rodríguez Morales Isabella ")</f>
        <v>Rodríguez Morales Isabella </v>
      </c>
      <c r="T540" s="6" t="str">
        <f>IFERROR(__xludf.DUMMYFUNCTION("""COMPUTED_VALUE"""),"CARLOS ALBERTO RODRIGUEZ PALACIOS")</f>
        <v>CARLOS ALBERTO RODRIGUEZ PALACIOS</v>
      </c>
      <c r="U540" s="12" t="str">
        <f>IFERROR(__xludf.DUMMYFUNCTION("""COMPUTED_VALUE"""),"16915258")</f>
        <v>16915258</v>
      </c>
      <c r="V540" s="6">
        <f>IFERROR(__xludf.DUMMYFUNCTION("""COMPUTED_VALUE"""),3.145410126E9)</f>
        <v>3145410126</v>
      </c>
      <c r="W540" s="6" t="str">
        <f>IFERROR(__xludf.DUMMYFUNCTION("""COMPUTED_VALUE"""),"crodriguezp@yahoo.com")</f>
        <v>crodriguezp@yahoo.com</v>
      </c>
      <c r="X540" s="12" t="str">
        <f>IFERROR(__xludf.DUMMYFUNCTION("""COMPUTED_VALUE"""),"O-")</f>
        <v>O-</v>
      </c>
      <c r="Y540" s="12" t="str">
        <f>IFERROR(__xludf.DUMMYFUNCTION("""COMPUTED_VALUE"""),"7")</f>
        <v>7</v>
      </c>
      <c r="Z540" s="12">
        <f>IFERROR(__xludf.DUMMYFUNCTION("""COMPUTED_VALUE"""),120157.0)</f>
        <v>120157</v>
      </c>
      <c r="AA540" s="6" t="str">
        <f>IFERROR(__xludf.DUMMYFUNCTION("""COMPUTED_VALUE"""),"SURA")</f>
        <v>SURA</v>
      </c>
      <c r="AB540" s="6"/>
      <c r="AC540" s="12" t="str">
        <f>IFERROR(__xludf.DUMMYFUNCTION("""COMPUTED_VALUE"""),"Amoxicillina/penicilina")</f>
        <v>Amoxicillina/penicilina</v>
      </c>
      <c r="AD540" s="12" t="str">
        <f>IFERROR(__xludf.DUMMYFUNCTION("""COMPUTED_VALUE"""),"7B")</f>
        <v>7B</v>
      </c>
      <c r="AE540" s="12">
        <f>IFERROR(__xludf.DUMMYFUNCTION("""COMPUTED_VALUE"""),1.345282141E9)</f>
        <v>1345282141</v>
      </c>
      <c r="AF540" s="12" t="str">
        <f>IFERROR(__xludf.DUMMYFUNCTION("""COMPUTED_VALUE"""),"0687243187")</f>
        <v>0687243187</v>
      </c>
      <c r="AG540" s="12" t="str">
        <f>IFERROR(__xludf.DUMMYFUNCTION("""COMPUTED_VALUE"""),"Diana")</f>
        <v>Diana</v>
      </c>
      <c r="AH540" s="12" t="str">
        <f>IFERROR(__xludf.DUMMYFUNCTION("""COMPUTED_VALUE"""),"María")</f>
        <v>María</v>
      </c>
      <c r="AI540" s="6" t="str">
        <f>IFERROR(__xludf.DUMMYFUNCTION("""COMPUTED_VALUE"""),"Morales Hurtado")</f>
        <v>Morales Hurtado</v>
      </c>
      <c r="AJ540" s="6" t="str">
        <f>IFERROR(__xludf.DUMMYFUNCTION("""COMPUTED_VALUE"""),"dianiscas@yahoo.com")</f>
        <v>dianiscas@yahoo.com</v>
      </c>
      <c r="AK540" s="6" t="str">
        <f>IFERROR(__xludf.DUMMYFUNCTION("""COMPUTED_VALUE"""),"Agente de crédito")</f>
        <v>Agente de crédito</v>
      </c>
      <c r="AL540" s="6"/>
      <c r="AM540" s="12" t="str">
        <f>IFERROR(__xludf.DUMMYFUNCTION("""COMPUTED_VALUE"""),"38602239")</f>
        <v>38602239</v>
      </c>
      <c r="AN540" s="12" t="str">
        <f>IFERROR(__xludf.DUMMYFUNCTION("""COMPUTED_VALUE"""),"3226910866")</f>
        <v>3226910866</v>
      </c>
      <c r="AO540" s="6" t="str">
        <f>IFERROR(__xludf.DUMMYFUNCTION("""COMPUTED_VALUE"""),"Madre")</f>
        <v>Madre</v>
      </c>
      <c r="AP540" s="6" t="str">
        <f>IFERROR(__xludf.DUMMYFUNCTION("""COMPUTED_VALUE"""),"Estudiante(s): Rodríguez Morales")</f>
        <v>Estudiante(s): Rodríguez Morales</v>
      </c>
      <c r="AQ540" s="6" t="str">
        <f>IFERROR(__xludf.DUMMYFUNCTION("""COMPUTED_VALUE"""),"120157*Gi")</f>
        <v>120157*Gi</v>
      </c>
      <c r="AR540" s="6" t="str">
        <f>IFERROR(__xludf.DUMMYFUNCTION("""COMPUTED_VALUE"""),"Carlos")</f>
        <v>Carlos</v>
      </c>
      <c r="AS540" s="6" t="str">
        <f>IFERROR(__xludf.DUMMYFUNCTION("""COMPUTED_VALUE"""),"Alberto")</f>
        <v>Alberto</v>
      </c>
      <c r="AT540" s="6" t="str">
        <f>IFERROR(__xludf.DUMMYFUNCTION("""COMPUTED_VALUE"""),"Rodríguez Palacios")</f>
        <v>Rodríguez Palacios</v>
      </c>
      <c r="AU540" s="6" t="str">
        <f>IFERROR(__xludf.DUMMYFUNCTION("""COMPUTED_VALUE"""),"crodriguezp@yahoo.com")</f>
        <v>crodriguezp@yahoo.com</v>
      </c>
      <c r="AV540" s="6" t="str">
        <f>IFERROR(__xludf.DUMMYFUNCTION("""COMPUTED_VALUE"""),"Empresario")</f>
        <v>Empresario</v>
      </c>
      <c r="AW540" s="6" t="str">
        <f>IFERROR(__xludf.DUMMYFUNCTION("""COMPUTED_VALUE"""),"No aplica")</f>
        <v>No aplica</v>
      </c>
      <c r="AX540" s="12" t="str">
        <f>IFERROR(__xludf.DUMMYFUNCTION("""COMPUTED_VALUE"""),"16915258")</f>
        <v>16915258</v>
      </c>
      <c r="AY540" s="12" t="str">
        <f>IFERROR(__xludf.DUMMYFUNCTION("""COMPUTED_VALUE"""),"3145410126")</f>
        <v>3145410126</v>
      </c>
      <c r="AZ540" s="6" t="str">
        <f>IFERROR(__xludf.DUMMYFUNCTION("""COMPUTED_VALUE"""),"Padre")</f>
        <v>Padre</v>
      </c>
      <c r="BA540" s="6" t="str">
        <f>IFERROR(__xludf.DUMMYFUNCTION("""COMPUTED_VALUE"""),"BLANCA OLIVA HURTADO TORO")</f>
        <v>BLANCA OLIVA HURTADO TORO</v>
      </c>
      <c r="BB540" s="6">
        <f>IFERROR(__xludf.DUMMYFUNCTION("""COMPUTED_VALUE"""),3.235303207E9)</f>
        <v>3235303207</v>
      </c>
      <c r="BC540" s="6" t="str">
        <f>IFERROR(__xludf.DUMMYFUNCTION("""COMPUTED_VALUE"""),"Abuelo(a)")</f>
        <v>Abuelo(a)</v>
      </c>
      <c r="BD540" s="12" t="str">
        <f>IFERROR(__xludf.DUMMYFUNCTION("""COMPUTED_VALUE"""),"rod0004")</f>
        <v>rod0004</v>
      </c>
      <c r="BE540" s="6"/>
      <c r="BF540" s="6"/>
      <c r="BG540" s="6">
        <f>IFERROR(__xludf.DUMMYFUNCTION("""COMPUTED_VALUE"""),2032.0)</f>
        <v>2032</v>
      </c>
      <c r="BH540" s="15">
        <f>IFERROR(__xludf.DUMMYFUNCTION("""COMPUTED_VALUE"""),46209.888553240744)</f>
        <v>46209.88855</v>
      </c>
      <c r="BI540" s="6">
        <f>IFERROR(__xludf.DUMMYFUNCTION("""COMPUTED_VALUE"""),540.0)</f>
        <v>540</v>
      </c>
      <c r="BJ540" s="6"/>
      <c r="BK540" s="6"/>
      <c r="BL540" s="6" t="str">
        <f>IFERROR(__xludf.DUMMYFUNCTION("""COMPUTED_VALUE"""),"GISROD0004")</f>
        <v>GISROD0004</v>
      </c>
      <c r="BM540" s="6"/>
      <c r="BN540" s="6"/>
      <c r="BO540" s="6" t="str">
        <f>IFERROR(__xludf.DUMMYFUNCTION("""COMPUTED_VALUE"""),"XC_SEC_Futbol_F")</f>
        <v>XC_SEC_Futbol_F</v>
      </c>
      <c r="BP540" s="6"/>
      <c r="BQ540" s="6" t="str">
        <f>IFERROR(__xludf.DUMMYFUNCTION("""COMPUTED_VALUE"""),"XC_SEC_Futbol_F")</f>
        <v>XC_SEC_Futbol_F</v>
      </c>
      <c r="BR540" s="6" t="str">
        <f>IFERROR(__xludf.DUMMYFUNCTION("""COMPUTED_VALUE"""),"XC_SEC_Futbol_F")</f>
        <v>XC_SEC_Futbol_F</v>
      </c>
      <c r="BS540" s="6"/>
      <c r="BT540" s="6" t="str">
        <f>IFERROR(__xludf.DUMMYFUNCTION("""COMPUTED_VALUE"""),"XC_SEC_Futbol_F")</f>
        <v>XC_SEC_Futbol_F</v>
      </c>
      <c r="BU540" s="6" t="str">
        <f>IFERROR(__xludf.DUMMYFUNCTION("""COMPUTED_VALUE"""),"SI")</f>
        <v>SI</v>
      </c>
      <c r="BV540" s="6" t="str">
        <f>IFERROR(__xludf.DUMMYFUNCTION("""COMPUTED_VALUE"""),"isabella.r2032")</f>
        <v>isabella.r2032</v>
      </c>
      <c r="BW540" s="6"/>
      <c r="BX540" s="6"/>
      <c r="BY540" s="6"/>
      <c r="BZ540" s="6"/>
    </row>
    <row r="541">
      <c r="A541" s="12">
        <f>IFERROR(__xludf.DUMMYFUNCTION("""COMPUTED_VALUE"""),1.043317483E9)</f>
        <v>1043317483</v>
      </c>
      <c r="B541" s="6">
        <f>IFERROR(__xludf.DUMMYFUNCTION("""COMPUTED_VALUE"""),43.0)</f>
        <v>43</v>
      </c>
      <c r="C541" s="6" t="str">
        <f>IFERROR(__xludf.DUMMYFUNCTION("""COMPUTED_VALUE"""),"Nicolás")</f>
        <v>Nicolás</v>
      </c>
      <c r="D541" s="6"/>
      <c r="E541" s="6" t="str">
        <f>IFERROR(__xludf.DUMMYFUNCTION("""COMPUTED_VALUE"""),"Rodríguez Ochoa")</f>
        <v>Rodríguez Ochoa</v>
      </c>
      <c r="F541" s="6" t="str">
        <f>IFERROR(__xludf.DUMMYFUNCTION("""COMPUTED_VALUE"""),"Condominio el Tesoro Campestre Casa 58 - Vereda La Floresta Altos del Rio Km 1 Via Armenia Calarca")</f>
        <v>Condominio el Tesoro Campestre Casa 58 - Vereda La Floresta Altos del Rio Km 1 Via Armenia Calarca</v>
      </c>
      <c r="G541" s="12">
        <f>IFERROR(__xludf.DUMMYFUNCTION("""COMPUTED_VALUE"""),2014.0)</f>
        <v>2014</v>
      </c>
      <c r="H541" s="12" t="str">
        <f>IFERROR(__xludf.DUMMYFUNCTION("""COMPUTED_VALUE"""),"Febrero")</f>
        <v>Febrero</v>
      </c>
      <c r="I541" s="12">
        <f>IFERROR(__xludf.DUMMYFUNCTION("""COMPUTED_VALUE"""),25.0)</f>
        <v>25</v>
      </c>
      <c r="J541" s="6"/>
      <c r="K541" s="12" t="str">
        <f>IFERROR(__xludf.DUMMYFUNCTION("""COMPUTED_VALUE"""),"nicolas.r2032@gi.edu.co")</f>
        <v>nicolas.r2032@gi.edu.co</v>
      </c>
      <c r="L541" s="6" t="str">
        <f>IFERROR(__xludf.DUMMYFUNCTION("""COMPUTED_VALUE"""),"TI")</f>
        <v>TI</v>
      </c>
      <c r="M541" s="6" t="str">
        <f>IFERROR(__xludf.DUMMYFUNCTION("""COMPUTED_VALUE"""),"Chinácota")</f>
        <v>Chinácota</v>
      </c>
      <c r="N541" s="6" t="str">
        <f>IFERROR(__xludf.DUMMYFUNCTION("""COMPUTED_VALUE"""),"M")</f>
        <v>M</v>
      </c>
      <c r="O541" s="6" t="str">
        <f>IFERROR(__xludf.DUMMYFUNCTION("""COMPUTED_VALUE"""),"ACTIVE")</f>
        <v>ACTIVE</v>
      </c>
      <c r="P541" s="6" t="str">
        <f>IFERROR(__xludf.DUMMYFUNCTION("""COMPUTED_VALUE"""),"2°Hermano")</f>
        <v>2°Hermano</v>
      </c>
      <c r="Q541" s="6" t="str">
        <f>IFERROR(__xludf.DUMMYFUNCTION("""COMPUTED_VALUE"""),"Armenia")</f>
        <v>Armenia</v>
      </c>
      <c r="R541" s="12" t="str">
        <f>IFERROR(__xludf.DUMMYFUNCTION("""COMPUTED_VALUE"""),"GiS3Vq7T*")</f>
        <v>GiS3Vq7T*</v>
      </c>
      <c r="S541" s="6" t="str">
        <f>IFERROR(__xludf.DUMMYFUNCTION("""COMPUTED_VALUE"""),"Rodríguez Ochoa Nicolás ")</f>
        <v>Rodríguez Ochoa Nicolás </v>
      </c>
      <c r="T541" s="6" t="str">
        <f>IFERROR(__xludf.DUMMYFUNCTION("""COMPUTED_VALUE"""),"EDGAR ANDRES RODRIGUEZ DELGADO")</f>
        <v>EDGAR ANDRES RODRIGUEZ DELGADO</v>
      </c>
      <c r="U541" s="12" t="str">
        <f>IFERROR(__xludf.DUMMYFUNCTION("""COMPUTED_VALUE"""),"88215636")</f>
        <v>88215636</v>
      </c>
      <c r="V541" s="6">
        <f>IFERROR(__xludf.DUMMYFUNCTION("""COMPUTED_VALUE"""),3.002096922E9)</f>
        <v>3002096922</v>
      </c>
      <c r="W541" s="6" t="str">
        <f>IFERROR(__xludf.DUMMYFUNCTION("""COMPUTED_VALUE"""),"andres2015@hotmail.com")</f>
        <v>andres2015@hotmail.com</v>
      </c>
      <c r="X541" s="12" t="str">
        <f>IFERROR(__xludf.DUMMYFUNCTION("""COMPUTED_VALUE"""),"AB+")</f>
        <v>AB+</v>
      </c>
      <c r="Y541" s="12" t="str">
        <f>IFERROR(__xludf.DUMMYFUNCTION("""COMPUTED_VALUE"""),"7")</f>
        <v>7</v>
      </c>
      <c r="Z541" s="6">
        <f>IFERROR(__xludf.DUMMYFUNCTION("""COMPUTED_VALUE"""),120628.0)</f>
        <v>120628</v>
      </c>
      <c r="AA541" s="6"/>
      <c r="AB541" s="6"/>
      <c r="AC541" s="6"/>
      <c r="AD541" s="12" t="str">
        <f>IFERROR(__xludf.DUMMYFUNCTION("""COMPUTED_VALUE"""),"7A")</f>
        <v>7A</v>
      </c>
      <c r="AE541" s="12" t="str">
        <f>IFERROR(__xludf.DUMMYFUNCTION("""COMPUTED_VALUE"""),"1345282624")</f>
        <v>1345282624</v>
      </c>
      <c r="AF541" s="6"/>
      <c r="AG541" s="12" t="str">
        <f>IFERROR(__xludf.DUMMYFUNCTION("""COMPUTED_VALUE"""),"Katherine")</f>
        <v>Katherine</v>
      </c>
      <c r="AH541" s="12" t="str">
        <f>IFERROR(__xludf.DUMMYFUNCTION("""COMPUTED_VALUE"""),"Patricia")</f>
        <v>Patricia</v>
      </c>
      <c r="AI541" s="6" t="str">
        <f>IFERROR(__xludf.DUMMYFUNCTION("""COMPUTED_VALUE"""),"Ochoa Villalba")</f>
        <v>Ochoa Villalba</v>
      </c>
      <c r="AJ541" s="6" t="str">
        <f>IFERROR(__xludf.DUMMYFUNCTION("""COMPUTED_VALUE"""),"kp_8a@hotmail.com")</f>
        <v>kp_8a@hotmail.com</v>
      </c>
      <c r="AK541" s="6" t="str">
        <f>IFERROR(__xludf.DUMMYFUNCTION("""COMPUTED_VALUE"""),"INGENIERA INDUSTRIAL")</f>
        <v>INGENIERA INDUSTRIAL</v>
      </c>
      <c r="AL541" s="6" t="str">
        <f>IFERROR(__xludf.DUMMYFUNCTION("""COMPUTED_VALUE"""),"Csc coffee and soft company ")</f>
        <v>Csc coffee and soft company </v>
      </c>
      <c r="AM541" s="12" t="str">
        <f>IFERROR(__xludf.DUMMYFUNCTION("""COMPUTED_VALUE"""),"63543337")</f>
        <v>63543337</v>
      </c>
      <c r="AN541" s="12" t="str">
        <f>IFERROR(__xludf.DUMMYFUNCTION("""COMPUTED_VALUE"""),"3008025032")</f>
        <v>3008025032</v>
      </c>
      <c r="AO541" s="6" t="str">
        <f>IFERROR(__xludf.DUMMYFUNCTION("""COMPUTED_VALUE"""),"Madre")</f>
        <v>Madre</v>
      </c>
      <c r="AP541" s="6" t="str">
        <f>IFERROR(__xludf.DUMMYFUNCTION("""COMPUTED_VALUE"""),"Estudiante(s): Rodríguez Ochoa")</f>
        <v>Estudiante(s): Rodríguez Ochoa</v>
      </c>
      <c r="AQ541" s="6" t="str">
        <f>IFERROR(__xludf.DUMMYFUNCTION("""COMPUTED_VALUE"""),"120543*Gi")</f>
        <v>120543*Gi</v>
      </c>
      <c r="AR541" s="6" t="str">
        <f>IFERROR(__xludf.DUMMYFUNCTION("""COMPUTED_VALUE"""),"Edgar")</f>
        <v>Edgar</v>
      </c>
      <c r="AS541" s="6" t="str">
        <f>IFERROR(__xludf.DUMMYFUNCTION("""COMPUTED_VALUE"""),"Andrés")</f>
        <v>Andrés</v>
      </c>
      <c r="AT541" s="6" t="str">
        <f>IFERROR(__xludf.DUMMYFUNCTION("""COMPUTED_VALUE"""),"Rodríguez Delgado")</f>
        <v>Rodríguez Delgado</v>
      </c>
      <c r="AU541" s="6" t="str">
        <f>IFERROR(__xludf.DUMMYFUNCTION("""COMPUTED_VALUE"""),"andres2015@hotmail.com")</f>
        <v>andres2015@hotmail.com</v>
      </c>
      <c r="AV541" s="6" t="str">
        <f>IFERROR(__xludf.DUMMYFUNCTION("""COMPUTED_VALUE"""),"INGENIERO INDUSTRIAL")</f>
        <v>INGENIERO INDUSTRIAL</v>
      </c>
      <c r="AW541" s="6" t="str">
        <f>IFERROR(__xludf.DUMMYFUNCTION("""COMPUTED_VALUE"""),"Csc cofre and soft /inversiones chitacomar")</f>
        <v>Csc cofre and soft /inversiones chitacomar</v>
      </c>
      <c r="AX541" s="12" t="str">
        <f>IFERROR(__xludf.DUMMYFUNCTION("""COMPUTED_VALUE"""),"88215636")</f>
        <v>88215636</v>
      </c>
      <c r="AY541" s="12" t="str">
        <f>IFERROR(__xludf.DUMMYFUNCTION("""COMPUTED_VALUE"""),"3002096922")</f>
        <v>3002096922</v>
      </c>
      <c r="AZ541" s="6" t="str">
        <f>IFERROR(__xludf.DUMMYFUNCTION("""COMPUTED_VALUE"""),"Padre")</f>
        <v>Padre</v>
      </c>
      <c r="BA541" s="6"/>
      <c r="BB541" s="6"/>
      <c r="BC541" s="6"/>
      <c r="BD541" s="12" t="str">
        <f>IFERROR(__xludf.DUMMYFUNCTION("""COMPUTED_VALUE"""),"rod0016")</f>
        <v>rod0016</v>
      </c>
      <c r="BE541" s="6" t="str">
        <f>IFERROR(__xludf.DUMMYFUNCTION("""COMPUTED_VALUE"""),"NUEVO(A)")</f>
        <v>NUEVO(A)</v>
      </c>
      <c r="BF541" s="6"/>
      <c r="BG541" s="6">
        <f>IFERROR(__xludf.DUMMYFUNCTION("""COMPUTED_VALUE"""),2032.0)</f>
        <v>2032</v>
      </c>
      <c r="BH541" s="15">
        <f>IFERROR(__xludf.DUMMYFUNCTION("""COMPUTED_VALUE"""),46197.949282407404)</f>
        <v>46197.94928</v>
      </c>
      <c r="BI541" s="6">
        <f>IFERROR(__xludf.DUMMYFUNCTION("""COMPUTED_VALUE"""),541.0)</f>
        <v>541</v>
      </c>
      <c r="BJ541" s="6"/>
      <c r="BK541" s="6"/>
      <c r="BL541" s="6" t="str">
        <f>IFERROR(__xludf.DUMMYFUNCTION("""COMPUTED_VALUE"""),"GISROD0016")</f>
        <v>GISROD0016</v>
      </c>
      <c r="BM541" s="6"/>
      <c r="BN541" s="6"/>
      <c r="BO541" s="6"/>
      <c r="BP541" s="6"/>
      <c r="BQ541" s="6"/>
      <c r="BR541" s="6"/>
      <c r="BS541" s="6"/>
      <c r="BT541" s="6"/>
      <c r="BU541" s="6" t="str">
        <f>IFERROR(__xludf.DUMMYFUNCTION("""COMPUTED_VALUE"""),"SI")</f>
        <v>SI</v>
      </c>
      <c r="BV541" s="12" t="str">
        <f>IFERROR(__xludf.DUMMYFUNCTION("""COMPUTED_VALUE"""),"nicolas.r2032")</f>
        <v>nicolas.r2032</v>
      </c>
      <c r="BW541" s="6"/>
      <c r="BX541" s="6"/>
      <c r="BY541" s="6"/>
      <c r="BZ541" s="6"/>
    </row>
    <row r="542">
      <c r="A542" s="12">
        <f>IFERROR(__xludf.DUMMYFUNCTION("""COMPUTED_VALUE"""),1.092857811E9)</f>
        <v>1092857811</v>
      </c>
      <c r="B542" s="6">
        <f>IFERROR(__xludf.DUMMYFUNCTION("""COMPUTED_VALUE"""),44.0)</f>
        <v>44</v>
      </c>
      <c r="C542" s="6" t="str">
        <f>IFERROR(__xludf.DUMMYFUNCTION("""COMPUTED_VALUE"""),"Luis")</f>
        <v>Luis</v>
      </c>
      <c r="D542" s="6" t="str">
        <f>IFERROR(__xludf.DUMMYFUNCTION("""COMPUTED_VALUE"""),"Miguel")</f>
        <v>Miguel</v>
      </c>
      <c r="E542" s="6" t="str">
        <f>IFERROR(__xludf.DUMMYFUNCTION("""COMPUTED_VALUE"""),"Rojas Vallejo")</f>
        <v>Rojas Vallejo</v>
      </c>
      <c r="F542" s="6" t="str">
        <f>IFERROR(__xludf.DUMMYFUNCTION("""COMPUTED_VALUE"""),"Condominio El Paraiso Casa 4 - Km 6 Via Armenia Pereira")</f>
        <v>Condominio El Paraiso Casa 4 - Km 6 Via Armenia Pereira</v>
      </c>
      <c r="G542" s="12" t="str">
        <f>IFERROR(__xludf.DUMMYFUNCTION("""COMPUTED_VALUE"""),"2014")</f>
        <v>2014</v>
      </c>
      <c r="H542" s="6" t="str">
        <f>IFERROR(__xludf.DUMMYFUNCTION("""COMPUTED_VALUE"""),"Junio")</f>
        <v>Junio</v>
      </c>
      <c r="I542" s="12" t="str">
        <f>IFERROR(__xludf.DUMMYFUNCTION("""COMPUTED_VALUE"""),"10")</f>
        <v>10</v>
      </c>
      <c r="J542" s="6" t="str">
        <f>IFERROR(__xludf.DUMMYFUNCTION("""COMPUTED_VALUE"""),"Armenia")</f>
        <v>Armenia</v>
      </c>
      <c r="K542" s="6" t="str">
        <f>IFERROR(__xludf.DUMMYFUNCTION("""COMPUTED_VALUE"""),"luis.r2032@gi.edu.co")</f>
        <v>luis.r2032@gi.edu.co</v>
      </c>
      <c r="L542" s="6" t="str">
        <f>IFERROR(__xludf.DUMMYFUNCTION("""COMPUTED_VALUE"""),"RC")</f>
        <v>RC</v>
      </c>
      <c r="M542" s="6" t="str">
        <f>IFERROR(__xludf.DUMMYFUNCTION("""COMPUTED_VALUE"""),"Armenia")</f>
        <v>Armenia</v>
      </c>
      <c r="N542" s="6" t="str">
        <f>IFERROR(__xludf.DUMMYFUNCTION("""COMPUTED_VALUE"""),"M")</f>
        <v>M</v>
      </c>
      <c r="O542" s="6" t="str">
        <f>IFERROR(__xludf.DUMMYFUNCTION("""COMPUTED_VALUE"""),"ACTIVE")</f>
        <v>ACTIVE</v>
      </c>
      <c r="P542" s="6"/>
      <c r="Q542" s="6" t="str">
        <f>IFERROR(__xludf.DUMMYFUNCTION("""COMPUTED_VALUE"""),"Circasia")</f>
        <v>Circasia</v>
      </c>
      <c r="R542" s="12" t="str">
        <f>IFERROR(__xludf.DUMMYFUNCTION("""COMPUTED_VALUE"""),"Gi3q1dszxw*")</f>
        <v>Gi3q1dszxw*</v>
      </c>
      <c r="S542" s="6" t="str">
        <f>IFERROR(__xludf.DUMMYFUNCTION("""COMPUTED_VALUE"""),"Rojas Vallejo Luis Miguel")</f>
        <v>Rojas Vallejo Luis Miguel</v>
      </c>
      <c r="T542" s="6" t="str">
        <f>IFERROR(__xludf.DUMMYFUNCTION("""COMPUTED_VALUE"""),"LUIS ALBERTO ROJAS ECHEVERRY")</f>
        <v>LUIS ALBERTO ROJAS ECHEVERRY</v>
      </c>
      <c r="U542" s="12" t="str">
        <f>IFERROR(__xludf.DUMMYFUNCTION("""COMPUTED_VALUE"""),"7539353")</f>
        <v>7539353</v>
      </c>
      <c r="V542" s="6">
        <f>IFERROR(__xludf.DUMMYFUNCTION("""COMPUTED_VALUE"""),3.157397228E9)</f>
        <v>3157397228</v>
      </c>
      <c r="W542" s="6" t="str">
        <f>IFERROR(__xludf.DUMMYFUNCTION("""COMPUTED_VALUE"""),"larda1234@gmail.com")</f>
        <v>larda1234@gmail.com</v>
      </c>
      <c r="X542" s="12" t="str">
        <f>IFERROR(__xludf.DUMMYFUNCTION("""COMPUTED_VALUE"""),"A+")</f>
        <v>A+</v>
      </c>
      <c r="Y542" s="12" t="str">
        <f>IFERROR(__xludf.DUMMYFUNCTION("""COMPUTED_VALUE"""),"7")</f>
        <v>7</v>
      </c>
      <c r="Z542" s="12">
        <f>IFERROR(__xludf.DUMMYFUNCTION("""COMPUTED_VALUE"""),103496.0)</f>
        <v>103496</v>
      </c>
      <c r="AA542" s="6" t="str">
        <f>IFERROR(__xludf.DUMMYFUNCTION("""COMPUTED_VALUE"""),"SURA")</f>
        <v>SURA</v>
      </c>
      <c r="AB542" s="6"/>
      <c r="AC542" s="12" t="str">
        <f>IFERROR(__xludf.DUMMYFUNCTION("""COMPUTED_VALUE"""),"RINITIS")</f>
        <v>RINITIS</v>
      </c>
      <c r="AD542" s="12" t="str">
        <f>IFERROR(__xludf.DUMMYFUNCTION("""COMPUTED_VALUE"""),"7A")</f>
        <v>7A</v>
      </c>
      <c r="AE542" s="12">
        <f>IFERROR(__xludf.DUMMYFUNCTION("""COMPUTED_VALUE"""),1.345281721E9)</f>
        <v>1345281721</v>
      </c>
      <c r="AF542" s="12" t="str">
        <f>IFERROR(__xludf.DUMMYFUNCTION("""COMPUTED_VALUE"""),"0689551779")</f>
        <v>0689551779</v>
      </c>
      <c r="AG542" s="12" t="str">
        <f>IFERROR(__xludf.DUMMYFUNCTION("""COMPUTED_VALUE"""),"Isabel")</f>
        <v>Isabel</v>
      </c>
      <c r="AH542" s="6"/>
      <c r="AI542" s="6" t="str">
        <f>IFERROR(__xludf.DUMMYFUNCTION("""COMPUTED_VALUE"""),"Vallejo Quintero")</f>
        <v>Vallejo Quintero</v>
      </c>
      <c r="AJ542" s="6" t="str">
        <f>IFERROR(__xludf.DUMMYFUNCTION("""COMPUTED_VALUE"""),"isabelvallejoquintero@yahoo.es")</f>
        <v>isabelvallejoquintero@yahoo.es</v>
      </c>
      <c r="AK542" s="6" t="str">
        <f>IFERROR(__xludf.DUMMYFUNCTION("""COMPUTED_VALUE"""),"CONTADOR PUBLICO")</f>
        <v>CONTADOR PUBLICO</v>
      </c>
      <c r="AL542" s="6"/>
      <c r="AM542" s="12" t="str">
        <f>IFERROR(__xludf.DUMMYFUNCTION("""COMPUTED_VALUE"""),"1094879240")</f>
        <v>1094879240</v>
      </c>
      <c r="AN542" s="12" t="str">
        <f>IFERROR(__xludf.DUMMYFUNCTION("""COMPUTED_VALUE"""),"3206949862")</f>
        <v>3206949862</v>
      </c>
      <c r="AO542" s="6" t="str">
        <f>IFERROR(__xludf.DUMMYFUNCTION("""COMPUTED_VALUE"""),"Madre")</f>
        <v>Madre</v>
      </c>
      <c r="AP542" s="6" t="str">
        <f>IFERROR(__xludf.DUMMYFUNCTION("""COMPUTED_VALUE"""),"Estudiante(s): Rojas Vallejo")</f>
        <v>Estudiante(s): Rojas Vallejo</v>
      </c>
      <c r="AQ542" s="6" t="str">
        <f>IFERROR(__xludf.DUMMYFUNCTION("""COMPUTED_VALUE"""),"103496*Gi")</f>
        <v>103496*Gi</v>
      </c>
      <c r="AR542" s="6" t="str">
        <f>IFERROR(__xludf.DUMMYFUNCTION("""COMPUTED_VALUE"""),"Luis")</f>
        <v>Luis</v>
      </c>
      <c r="AS542" s="6" t="str">
        <f>IFERROR(__xludf.DUMMYFUNCTION("""COMPUTED_VALUE"""),"Alberto")</f>
        <v>Alberto</v>
      </c>
      <c r="AT542" s="6" t="str">
        <f>IFERROR(__xludf.DUMMYFUNCTION("""COMPUTED_VALUE"""),"Rojas Echeverry")</f>
        <v>Rojas Echeverry</v>
      </c>
      <c r="AU542" s="6" t="str">
        <f>IFERROR(__xludf.DUMMYFUNCTION("""COMPUTED_VALUE"""),"larda1234@gmail.com")</f>
        <v>larda1234@gmail.com</v>
      </c>
      <c r="AV542" s="6" t="str">
        <f>IFERROR(__xludf.DUMMYFUNCTION("""COMPUTED_VALUE"""),"medico")</f>
        <v>medico</v>
      </c>
      <c r="AW542" s="6" t="str">
        <f>IFERROR(__xludf.DUMMYFUNCTION("""COMPUTED_VALUE"""),"medicos radiologos")</f>
        <v>medicos radiologos</v>
      </c>
      <c r="AX542" s="12" t="str">
        <f>IFERROR(__xludf.DUMMYFUNCTION("""COMPUTED_VALUE"""),"7539353")</f>
        <v>7539353</v>
      </c>
      <c r="AY542" s="12" t="str">
        <f>IFERROR(__xludf.DUMMYFUNCTION("""COMPUTED_VALUE"""),"3157397228")</f>
        <v>3157397228</v>
      </c>
      <c r="AZ542" s="6" t="str">
        <f>IFERROR(__xludf.DUMMYFUNCTION("""COMPUTED_VALUE"""),"Padre")</f>
        <v>Padre</v>
      </c>
      <c r="BA542" s="6"/>
      <c r="BB542" s="6"/>
      <c r="BC542" s="6"/>
      <c r="BD542" s="12" t="str">
        <f>IFERROR(__xludf.DUMMYFUNCTION("""COMPUTED_VALUE"""),"lui0001")</f>
        <v>lui0001</v>
      </c>
      <c r="BE542" s="6"/>
      <c r="BF542" s="6"/>
      <c r="BG542" s="6">
        <f>IFERROR(__xludf.DUMMYFUNCTION("""COMPUTED_VALUE"""),2032.0)</f>
        <v>2032</v>
      </c>
      <c r="BH542" s="15">
        <f>IFERROR(__xludf.DUMMYFUNCTION("""COMPUTED_VALUE"""),46229.74456018519)</f>
        <v>46229.74456</v>
      </c>
      <c r="BI542" s="6">
        <f>IFERROR(__xludf.DUMMYFUNCTION("""COMPUTED_VALUE"""),542.0)</f>
        <v>542</v>
      </c>
      <c r="BJ542" s="6"/>
      <c r="BK542" s="6"/>
      <c r="BL542" s="6" t="str">
        <f>IFERROR(__xludf.DUMMYFUNCTION("""COMPUTED_VALUE"""),"GISLUI0001")</f>
        <v>GISLUI0001</v>
      </c>
      <c r="BM542" s="6"/>
      <c r="BN542" s="6"/>
      <c r="BO542" s="6"/>
      <c r="BP542" s="6"/>
      <c r="BQ542" s="6"/>
      <c r="BR542" s="6"/>
      <c r="BS542" s="6"/>
      <c r="BT542" s="6"/>
      <c r="BU542" s="6" t="str">
        <f>IFERROR(__xludf.DUMMYFUNCTION("""COMPUTED_VALUE"""),"SI")</f>
        <v>SI</v>
      </c>
      <c r="BV542" s="6" t="str">
        <f>IFERROR(__xludf.DUMMYFUNCTION("""COMPUTED_VALUE"""),"luis.r2032")</f>
        <v>luis.r2032</v>
      </c>
      <c r="BW542" s="6"/>
      <c r="BX542" s="6"/>
      <c r="BY542" s="6"/>
      <c r="BZ542" s="6"/>
    </row>
    <row r="543">
      <c r="A543" s="12">
        <f>IFERROR(__xludf.DUMMYFUNCTION("""COMPUTED_VALUE"""),1.092858117E9)</f>
        <v>1092858117</v>
      </c>
      <c r="B543" s="6">
        <f>IFERROR(__xludf.DUMMYFUNCTION("""COMPUTED_VALUE"""),45.0)</f>
        <v>45</v>
      </c>
      <c r="C543" s="6" t="str">
        <f>IFERROR(__xludf.DUMMYFUNCTION("""COMPUTED_VALUE"""),"Samuel")</f>
        <v>Samuel</v>
      </c>
      <c r="D543" s="6"/>
      <c r="E543" s="6" t="str">
        <f>IFERROR(__xludf.DUMMYFUNCTION("""COMPUTED_VALUE"""),"Roldán Buitrago")</f>
        <v>Roldán Buitrago</v>
      </c>
      <c r="F543" s="6" t="str">
        <f>IFERROR(__xludf.DUMMYFUNCTION("""COMPUTED_VALUE"""),"Los Ocobos Parque Residencial Casa B2 - Calle 31 Nte No20 - 10")</f>
        <v>Los Ocobos Parque Residencial Casa B2 - Calle 31 Nte No20 - 10</v>
      </c>
      <c r="G543" s="12">
        <f>IFERROR(__xludf.DUMMYFUNCTION("""COMPUTED_VALUE"""),2014.0)</f>
        <v>2014</v>
      </c>
      <c r="H543" s="6" t="str">
        <f>IFERROR(__xludf.DUMMYFUNCTION("""COMPUTED_VALUE"""),"Octubre")</f>
        <v>Octubre</v>
      </c>
      <c r="I543" s="12">
        <f>IFERROR(__xludf.DUMMYFUNCTION("""COMPUTED_VALUE"""),10.0)</f>
        <v>10</v>
      </c>
      <c r="J543" s="6" t="str">
        <f>IFERROR(__xludf.DUMMYFUNCTION("""COMPUTED_VALUE"""),"Armenia")</f>
        <v>Armenia</v>
      </c>
      <c r="K543" s="6" t="str">
        <f>IFERROR(__xludf.DUMMYFUNCTION("""COMPUTED_VALUE"""),"samuel.r2032@gi.edu.co")</f>
        <v>samuel.r2032@gi.edu.co</v>
      </c>
      <c r="L543" s="6" t="str">
        <f>IFERROR(__xludf.DUMMYFUNCTION("""COMPUTED_VALUE"""),"TI")</f>
        <v>TI</v>
      </c>
      <c r="M543" s="6" t="str">
        <f>IFERROR(__xludf.DUMMYFUNCTION("""COMPUTED_VALUE"""),"Armenia")</f>
        <v>Armenia</v>
      </c>
      <c r="N543" s="6" t="str">
        <f>IFERROR(__xludf.DUMMYFUNCTION("""COMPUTED_VALUE"""),"M")</f>
        <v>M</v>
      </c>
      <c r="O543" s="6" t="str">
        <f>IFERROR(__xludf.DUMMYFUNCTION("""COMPUTED_VALUE"""),"ACTIVE")</f>
        <v>ACTIVE</v>
      </c>
      <c r="P543" s="6"/>
      <c r="Q543" s="6" t="str">
        <f>IFERROR(__xludf.DUMMYFUNCTION("""COMPUTED_VALUE"""),"Armenia")</f>
        <v>Armenia</v>
      </c>
      <c r="R543" s="12" t="str">
        <f>IFERROR(__xludf.DUMMYFUNCTION("""COMPUTED_VALUE"""),"Gij4w9m1z*")</f>
        <v>Gij4w9m1z*</v>
      </c>
      <c r="S543" s="6" t="str">
        <f>IFERROR(__xludf.DUMMYFUNCTION("""COMPUTED_VALUE"""),"Roldán Buitrago Samuel ")</f>
        <v>Roldán Buitrago Samuel </v>
      </c>
      <c r="T543" s="6" t="str">
        <f>IFERROR(__xludf.DUMMYFUNCTION("""COMPUTED_VALUE"""),"MARTHA ELENA BUITRAGO SUAREZ")</f>
        <v>MARTHA ELENA BUITRAGO SUAREZ</v>
      </c>
      <c r="U543" s="12" t="str">
        <f>IFERROR(__xludf.DUMMYFUNCTION("""COMPUTED_VALUE"""),"41925884")</f>
        <v>41925884</v>
      </c>
      <c r="V543" s="6">
        <f>IFERROR(__xludf.DUMMYFUNCTION("""COMPUTED_VALUE"""),3.136863301E9)</f>
        <v>3136863301</v>
      </c>
      <c r="W543" s="6" t="str">
        <f>IFERROR(__xludf.DUMMYFUNCTION("""COMPUTED_VALUE"""),"marta_buitrago@hotmail.com")</f>
        <v>marta_buitrago@hotmail.com</v>
      </c>
      <c r="X543" s="12" t="str">
        <f>IFERROR(__xludf.DUMMYFUNCTION("""COMPUTED_VALUE"""),"A-")</f>
        <v>A-</v>
      </c>
      <c r="Y543" s="12" t="str">
        <f>IFERROR(__xludf.DUMMYFUNCTION("""COMPUTED_VALUE"""),"7")</f>
        <v>7</v>
      </c>
      <c r="Z543" s="12">
        <f>IFERROR(__xludf.DUMMYFUNCTION("""COMPUTED_VALUE"""),120466.0)</f>
        <v>120466</v>
      </c>
      <c r="AA543" s="6" t="str">
        <f>IFERROR(__xludf.DUMMYFUNCTION("""COMPUTED_VALUE"""),"SANITAS")</f>
        <v>SANITAS</v>
      </c>
      <c r="AB543" s="6"/>
      <c r="AC543" s="6"/>
      <c r="AD543" s="12" t="str">
        <f>IFERROR(__xludf.DUMMYFUNCTION("""COMPUTED_VALUE"""),"7B")</f>
        <v>7B</v>
      </c>
      <c r="AE543" s="12" t="str">
        <f>IFERROR(__xludf.DUMMYFUNCTION("""COMPUTED_VALUE"""),"1345282439")</f>
        <v>1345282439</v>
      </c>
      <c r="AF543" s="12" t="str">
        <f>IFERROR(__xludf.DUMMYFUNCTION("""COMPUTED_VALUE"""),"0235146211")</f>
        <v>0235146211</v>
      </c>
      <c r="AG543" s="12" t="str">
        <f>IFERROR(__xludf.DUMMYFUNCTION("""COMPUTED_VALUE"""),"Martha")</f>
        <v>Martha</v>
      </c>
      <c r="AH543" s="12" t="str">
        <f>IFERROR(__xludf.DUMMYFUNCTION("""COMPUTED_VALUE"""),"Elena")</f>
        <v>Elena</v>
      </c>
      <c r="AI543" s="6" t="str">
        <f>IFERROR(__xludf.DUMMYFUNCTION("""COMPUTED_VALUE"""),"Buitrago Suárez")</f>
        <v>Buitrago Suárez</v>
      </c>
      <c r="AJ543" s="6" t="str">
        <f>IFERROR(__xludf.DUMMYFUNCTION("""COMPUTED_VALUE"""),"marta_buitrago@hotmail.com")</f>
        <v>marta_buitrago@hotmail.com</v>
      </c>
      <c r="AK543" s="6" t="str">
        <f>IFERROR(__xludf.DUMMYFUNCTION("""COMPUTED_VALUE"""),"Odontóloga")</f>
        <v>Odontóloga</v>
      </c>
      <c r="AL543" s="6" t="str">
        <f>IFERROR(__xludf.DUMMYFUNCTION("""COMPUTED_VALUE"""),"Clínica del Café- 416")</f>
        <v>Clínica del Café- 416</v>
      </c>
      <c r="AM543" s="12" t="str">
        <f>IFERROR(__xludf.DUMMYFUNCTION("""COMPUTED_VALUE"""),"41925884")</f>
        <v>41925884</v>
      </c>
      <c r="AN543" s="12" t="str">
        <f>IFERROR(__xludf.DUMMYFUNCTION("""COMPUTED_VALUE"""),"3136863301")</f>
        <v>3136863301</v>
      </c>
      <c r="AO543" s="6" t="str">
        <f>IFERROR(__xludf.DUMMYFUNCTION("""COMPUTED_VALUE"""),"Madre")</f>
        <v>Madre</v>
      </c>
      <c r="AP543" s="6" t="str">
        <f>IFERROR(__xludf.DUMMYFUNCTION("""COMPUTED_VALUE"""),"Estudiante(s): Roldán Buitrago")</f>
        <v>Estudiante(s): Roldán Buitrago</v>
      </c>
      <c r="AQ543" s="6" t="str">
        <f>IFERROR(__xludf.DUMMYFUNCTION("""COMPUTED_VALUE"""),"120466*Gi")</f>
        <v>120466*Gi</v>
      </c>
      <c r="AR543" s="6" t="str">
        <f>IFERROR(__xludf.DUMMYFUNCTION("""COMPUTED_VALUE"""),"Andrés")</f>
        <v>Andrés</v>
      </c>
      <c r="AS543" s="6" t="str">
        <f>IFERROR(__xludf.DUMMYFUNCTION("""COMPUTED_VALUE"""),"Orlando")</f>
        <v>Orlando</v>
      </c>
      <c r="AT543" s="6" t="str">
        <f>IFERROR(__xludf.DUMMYFUNCTION("""COMPUTED_VALUE"""),"Roldán Rojas")</f>
        <v>Roldán Rojas</v>
      </c>
      <c r="AU543" s="6" t="str">
        <f>IFERROR(__xludf.DUMMYFUNCTION("""COMPUTED_VALUE"""),"andresrol@gmail.com")</f>
        <v>andresrol@gmail.com</v>
      </c>
      <c r="AV543" s="6" t="str">
        <f>IFERROR(__xludf.DUMMYFUNCTION("""COMPUTED_VALUE"""),"Odontólogo")</f>
        <v>Odontólogo</v>
      </c>
      <c r="AW543" s="6" t="str">
        <f>IFERROR(__xludf.DUMMYFUNCTION("""COMPUTED_VALUE"""),"Cínica del Café Consultorio 416")</f>
        <v>Cínica del Café Consultorio 416</v>
      </c>
      <c r="AX543" s="12" t="str">
        <f>IFERROR(__xludf.DUMMYFUNCTION("""COMPUTED_VALUE"""),"79627804")</f>
        <v>79627804</v>
      </c>
      <c r="AY543" s="12" t="str">
        <f>IFERROR(__xludf.DUMMYFUNCTION("""COMPUTED_VALUE"""),"3103288282")</f>
        <v>3103288282</v>
      </c>
      <c r="AZ543" s="6" t="str">
        <f>IFERROR(__xludf.DUMMYFUNCTION("""COMPUTED_VALUE"""),"Padre")</f>
        <v>Padre</v>
      </c>
      <c r="BA543" s="6"/>
      <c r="BB543" s="6"/>
      <c r="BC543" s="6"/>
      <c r="BD543" s="12" t="str">
        <f>IFERROR(__xludf.DUMMYFUNCTION("""COMPUTED_VALUE"""),"rol0004")</f>
        <v>rol0004</v>
      </c>
      <c r="BE543" s="6"/>
      <c r="BF543" s="6"/>
      <c r="BG543" s="6">
        <f>IFERROR(__xludf.DUMMYFUNCTION("""COMPUTED_VALUE"""),2032.0)</f>
        <v>2032</v>
      </c>
      <c r="BH543" s="15">
        <f>IFERROR(__xludf.DUMMYFUNCTION("""COMPUTED_VALUE"""),46212.33987268519)</f>
        <v>46212.33987</v>
      </c>
      <c r="BI543" s="6">
        <f>IFERROR(__xludf.DUMMYFUNCTION("""COMPUTED_VALUE"""),543.0)</f>
        <v>543</v>
      </c>
      <c r="BJ543" s="6"/>
      <c r="BK543" s="6"/>
      <c r="BL543" s="6" t="str">
        <f>IFERROR(__xludf.DUMMYFUNCTION("""COMPUTED_VALUE"""),"GISROL0004")</f>
        <v>GISROL0004</v>
      </c>
      <c r="BM543" s="6"/>
      <c r="BN543" s="6"/>
      <c r="BO543" s="6" t="str">
        <f>IFERROR(__xludf.DUMMYFUNCTION("""COMPUTED_VALUE"""),"XC_SEC_Basquetbol")</f>
        <v>XC_SEC_Basquetbol</v>
      </c>
      <c r="BP543" s="6"/>
      <c r="BQ543" s="6" t="str">
        <f>IFERROR(__xludf.DUMMYFUNCTION("""COMPUTED_VALUE"""),"XC_SEC_Basquetbol")</f>
        <v>XC_SEC_Basquetbol</v>
      </c>
      <c r="BR543" s="6" t="str">
        <f>IFERROR(__xludf.DUMMYFUNCTION("""COMPUTED_VALUE"""),"XC_SEC_Basquetbol")</f>
        <v>XC_SEC_Basquetbol</v>
      </c>
      <c r="BS543" s="6"/>
      <c r="BT543" s="6" t="str">
        <f>IFERROR(__xludf.DUMMYFUNCTION("""COMPUTED_VALUE"""),"XC_SEC_Basquetbol")</f>
        <v>XC_SEC_Basquetbol</v>
      </c>
      <c r="BU543" s="6" t="str">
        <f>IFERROR(__xludf.DUMMYFUNCTION("""COMPUTED_VALUE"""),"SI")</f>
        <v>SI</v>
      </c>
      <c r="BV543" s="6" t="str">
        <f>IFERROR(__xludf.DUMMYFUNCTION("""COMPUTED_VALUE"""),"samuel.r2032")</f>
        <v>samuel.r2032</v>
      </c>
      <c r="BW543" s="6"/>
      <c r="BX543" s="6"/>
      <c r="BY543" s="6"/>
      <c r="BZ543" s="6"/>
    </row>
    <row r="544">
      <c r="A544" s="12">
        <f>IFERROR(__xludf.DUMMYFUNCTION("""COMPUTED_VALUE"""),1.091887533E9)</f>
        <v>1091887533</v>
      </c>
      <c r="B544" s="6">
        <f>IFERROR(__xludf.DUMMYFUNCTION("""COMPUTED_VALUE"""),46.0)</f>
        <v>46</v>
      </c>
      <c r="C544" s="6" t="str">
        <f>IFERROR(__xludf.DUMMYFUNCTION("""COMPUTED_VALUE"""),"Salomé")</f>
        <v>Salomé</v>
      </c>
      <c r="D544" s="6"/>
      <c r="E544" s="6" t="str">
        <f>IFERROR(__xludf.DUMMYFUNCTION("""COMPUTED_VALUE"""),"Sánchez Flórez")</f>
        <v>Sánchez Flórez</v>
      </c>
      <c r="F544" s="6" t="str">
        <f>IFERROR(__xludf.DUMMYFUNCTION("""COMPUTED_VALUE"""),"Pradera Boreal Casa 31")</f>
        <v>Pradera Boreal Casa 31</v>
      </c>
      <c r="G544" s="12">
        <f>IFERROR(__xludf.DUMMYFUNCTION("""COMPUTED_VALUE"""),2013.0)</f>
        <v>2013</v>
      </c>
      <c r="H544" s="12" t="str">
        <f>IFERROR(__xludf.DUMMYFUNCTION("""COMPUTED_VALUE"""),"Septiembre")</f>
        <v>Septiembre</v>
      </c>
      <c r="I544" s="12">
        <f>IFERROR(__xludf.DUMMYFUNCTION("""COMPUTED_VALUE"""),3.0)</f>
        <v>3</v>
      </c>
      <c r="J544" s="6" t="str">
        <f>IFERROR(__xludf.DUMMYFUNCTION("""COMPUTED_VALUE"""),"Armenia")</f>
        <v>Armenia</v>
      </c>
      <c r="K544" s="12" t="str">
        <f>IFERROR(__xludf.DUMMYFUNCTION("""COMPUTED_VALUE"""),"salome.sf2032@gi.edu.co")</f>
        <v>salome.sf2032@gi.edu.co</v>
      </c>
      <c r="L544" s="6" t="str">
        <f>IFERROR(__xludf.DUMMYFUNCTION("""COMPUTED_VALUE"""),"TI")</f>
        <v>TI</v>
      </c>
      <c r="M544" s="6" t="str">
        <f>IFERROR(__xludf.DUMMYFUNCTION("""COMPUTED_VALUE"""),"Armenia")</f>
        <v>Armenia</v>
      </c>
      <c r="N544" s="6" t="str">
        <f>IFERROR(__xludf.DUMMYFUNCTION("""COMPUTED_VALUE"""),"F")</f>
        <v>F</v>
      </c>
      <c r="O544" s="6" t="str">
        <f>IFERROR(__xludf.DUMMYFUNCTION("""COMPUTED_VALUE"""),"ACTIVE")</f>
        <v>ACTIVE</v>
      </c>
      <c r="P544" s="6"/>
      <c r="Q544" s="6" t="str">
        <f>IFERROR(__xludf.DUMMYFUNCTION("""COMPUTED_VALUE"""),"Circasia")</f>
        <v>Circasia</v>
      </c>
      <c r="R544" s="12" t="str">
        <f>IFERROR(__xludf.DUMMYFUNCTION("""COMPUTED_VALUE"""),"Gi76pnv4*")</f>
        <v>Gi76pnv4*</v>
      </c>
      <c r="S544" s="6" t="str">
        <f>IFERROR(__xludf.DUMMYFUNCTION("""COMPUTED_VALUE"""),"Sánchez Flórez Salomé ")</f>
        <v>Sánchez Flórez Salomé </v>
      </c>
      <c r="T544" s="6" t="str">
        <f>IFERROR(__xludf.DUMMYFUNCTION("""COMPUTED_VALUE"""),"IVAN DARIO SANCHEZ GALEANO")</f>
        <v>IVAN DARIO SANCHEZ GALEANO</v>
      </c>
      <c r="U544" s="12" t="str">
        <f>IFERROR(__xludf.DUMMYFUNCTION("""COMPUTED_VALUE"""),"4372978")</f>
        <v>4372978</v>
      </c>
      <c r="V544" s="6">
        <f>IFERROR(__xludf.DUMMYFUNCTION("""COMPUTED_VALUE"""),3.205502933E9)</f>
        <v>3205502933</v>
      </c>
      <c r="W544" s="6" t="str">
        <f>IFERROR(__xludf.DUMMYFUNCTION("""COMPUTED_VALUE"""),"idsanchez@uniquindio.edu.co")</f>
        <v>idsanchez@uniquindio.edu.co</v>
      </c>
      <c r="X544" s="12" t="str">
        <f>IFERROR(__xludf.DUMMYFUNCTION("""COMPUTED_VALUE"""),"O+")</f>
        <v>O+</v>
      </c>
      <c r="Y544" s="12" t="str">
        <f>IFERROR(__xludf.DUMMYFUNCTION("""COMPUTED_VALUE"""),"7")</f>
        <v>7</v>
      </c>
      <c r="Z544" s="6">
        <f>IFERROR(__xludf.DUMMYFUNCTION("""COMPUTED_VALUE"""),120635.0)</f>
        <v>120635</v>
      </c>
      <c r="AA544" s="6" t="str">
        <f>IFERROR(__xludf.DUMMYFUNCTION("""COMPUTED_VALUE"""),"SANITAS")</f>
        <v>SANITAS</v>
      </c>
      <c r="AB544" s="6"/>
      <c r="AC544" s="6"/>
      <c r="AD544" s="12" t="str">
        <f>IFERROR(__xludf.DUMMYFUNCTION("""COMPUTED_VALUE"""),"7B")</f>
        <v>7B</v>
      </c>
      <c r="AE544" s="12" t="str">
        <f>IFERROR(__xludf.DUMMYFUNCTION("""COMPUTED_VALUE"""),"1345282632")</f>
        <v>1345282632</v>
      </c>
      <c r="AF544" s="6"/>
      <c r="AG544" s="12" t="str">
        <f>IFERROR(__xludf.DUMMYFUNCTION("""COMPUTED_VALUE"""),"Ángela")</f>
        <v>Ángela</v>
      </c>
      <c r="AH544" s="12" t="str">
        <f>IFERROR(__xludf.DUMMYFUNCTION("""COMPUTED_VALUE"""),"Patricia")</f>
        <v>Patricia</v>
      </c>
      <c r="AI544" s="6" t="str">
        <f>IFERROR(__xludf.DUMMYFUNCTION("""COMPUTED_VALUE"""),"Flórez Castrillón")</f>
        <v>Flórez Castrillón</v>
      </c>
      <c r="AJ544" s="6" t="str">
        <f>IFERROR(__xludf.DUMMYFUNCTION("""COMPUTED_VALUE"""),"gerencia@issaf.com.co")</f>
        <v>gerencia@issaf.com.co</v>
      </c>
      <c r="AK544" s="6" t="str">
        <f>IFERROR(__xludf.DUMMYFUNCTION("""COMPUTED_VALUE"""),"Contadora - Administradora de Negocios")</f>
        <v>Contadora - Administradora de Negocios</v>
      </c>
      <c r="AL544" s="6"/>
      <c r="AM544" s="12" t="str">
        <f>IFERROR(__xludf.DUMMYFUNCTION("""COMPUTED_VALUE"""),"1094898054")</f>
        <v>1094898054</v>
      </c>
      <c r="AN544" s="12" t="str">
        <f>IFERROR(__xludf.DUMMYFUNCTION("""COMPUTED_VALUE"""),"3127152199")</f>
        <v>3127152199</v>
      </c>
      <c r="AO544" s="6" t="str">
        <f>IFERROR(__xludf.DUMMYFUNCTION("""COMPUTED_VALUE"""),"Madre")</f>
        <v>Madre</v>
      </c>
      <c r="AP544" s="6" t="str">
        <f>IFERROR(__xludf.DUMMYFUNCTION("""COMPUTED_VALUE"""),"Estudiante(s): Sánchez Flórez")</f>
        <v>Estudiante(s): Sánchez Flórez</v>
      </c>
      <c r="AQ544" s="6" t="str">
        <f>IFERROR(__xludf.DUMMYFUNCTION("""COMPUTED_VALUE"""),"120635*Gi")</f>
        <v>120635*Gi</v>
      </c>
      <c r="AR544" s="6" t="str">
        <f>IFERROR(__xludf.DUMMYFUNCTION("""COMPUTED_VALUE"""),"Iván")</f>
        <v>Iván</v>
      </c>
      <c r="AS544" s="6" t="str">
        <f>IFERROR(__xludf.DUMMYFUNCTION("""COMPUTED_VALUE"""),"Darío")</f>
        <v>Darío</v>
      </c>
      <c r="AT544" s="6" t="str">
        <f>IFERROR(__xludf.DUMMYFUNCTION("""COMPUTED_VALUE"""),"Sánchez Galeano")</f>
        <v>Sánchez Galeano</v>
      </c>
      <c r="AU544" s="6" t="str">
        <f>IFERROR(__xludf.DUMMYFUNCTION("""COMPUTED_VALUE"""),"idsanchez@uniquindio.edu.co")</f>
        <v>idsanchez@uniquindio.edu.co</v>
      </c>
      <c r="AV544" s="6" t="str">
        <f>IFERROR(__xludf.DUMMYFUNCTION("""COMPUTED_VALUE"""),"Administrador de Empresas")</f>
        <v>Administrador de Empresas</v>
      </c>
      <c r="AW544" s="6"/>
      <c r="AX544" s="12" t="str">
        <f>IFERROR(__xludf.DUMMYFUNCTION("""COMPUTED_VALUE"""),"4372978")</f>
        <v>4372978</v>
      </c>
      <c r="AY544" s="12" t="str">
        <f>IFERROR(__xludf.DUMMYFUNCTION("""COMPUTED_VALUE"""),"3205502933")</f>
        <v>3205502933</v>
      </c>
      <c r="AZ544" s="6" t="str">
        <f>IFERROR(__xludf.DUMMYFUNCTION("""COMPUTED_VALUE"""),"Padre")</f>
        <v>Padre</v>
      </c>
      <c r="BA544" s="6"/>
      <c r="BB544" s="6"/>
      <c r="BC544" s="6"/>
      <c r="BD544" s="12" t="str">
        <f>IFERROR(__xludf.DUMMYFUNCTION("""COMPUTED_VALUE"""),"san0010")</f>
        <v>san0010</v>
      </c>
      <c r="BE544" s="6" t="str">
        <f>IFERROR(__xludf.DUMMYFUNCTION("""COMPUTED_VALUE"""),"NUEVO(A)")</f>
        <v>NUEVO(A)</v>
      </c>
      <c r="BF544" s="6"/>
      <c r="BG544" s="6">
        <f>IFERROR(__xludf.DUMMYFUNCTION("""COMPUTED_VALUE"""),2032.0)</f>
        <v>2032</v>
      </c>
      <c r="BH544" s="15">
        <f>IFERROR(__xludf.DUMMYFUNCTION("""COMPUTED_VALUE"""),46198.58001157407)</f>
        <v>46198.58001</v>
      </c>
      <c r="BI544" s="6">
        <f>IFERROR(__xludf.DUMMYFUNCTION("""COMPUTED_VALUE"""),544.0)</f>
        <v>544</v>
      </c>
      <c r="BJ544" s="6"/>
      <c r="BK544" s="6"/>
      <c r="BL544" s="6" t="str">
        <f>IFERROR(__xludf.DUMMYFUNCTION("""COMPUTED_VALUE"""),"GISSAN0010")</f>
        <v>GISSAN0010</v>
      </c>
      <c r="BM544" s="6"/>
      <c r="BN544" s="6"/>
      <c r="BO544" s="6" t="str">
        <f>IFERROR(__xludf.DUMMYFUNCTION("""COMPUTED_VALUE"""),"XC_SEC_Basquetbol")</f>
        <v>XC_SEC_Basquetbol</v>
      </c>
      <c r="BP544" s="6"/>
      <c r="BQ544" s="6" t="str">
        <f>IFERROR(__xludf.DUMMYFUNCTION("""COMPUTED_VALUE"""),"XC_SEC_Basquetbol")</f>
        <v>XC_SEC_Basquetbol</v>
      </c>
      <c r="BR544" s="6" t="str">
        <f>IFERROR(__xludf.DUMMYFUNCTION("""COMPUTED_VALUE"""),"XC_SEC_Basquetbol")</f>
        <v>XC_SEC_Basquetbol</v>
      </c>
      <c r="BS544" s="6"/>
      <c r="BT544" s="6" t="str">
        <f>IFERROR(__xludf.DUMMYFUNCTION("""COMPUTED_VALUE"""),"XC_SEC_Basquetbol")</f>
        <v>XC_SEC_Basquetbol</v>
      </c>
      <c r="BU544" s="6" t="str">
        <f>IFERROR(__xludf.DUMMYFUNCTION("""COMPUTED_VALUE"""),"SI")</f>
        <v>SI</v>
      </c>
      <c r="BV544" s="12" t="str">
        <f>IFERROR(__xludf.DUMMYFUNCTION("""COMPUTED_VALUE"""),"salome.sf2032")</f>
        <v>salome.sf2032</v>
      </c>
      <c r="BW544" s="6"/>
      <c r="BX544" s="6"/>
      <c r="BY544" s="6"/>
      <c r="BZ544" s="6"/>
    </row>
    <row r="545">
      <c r="A545" s="12">
        <f>IFERROR(__xludf.DUMMYFUNCTION("""COMPUTED_VALUE"""),1.125805358E9)</f>
        <v>1125805358</v>
      </c>
      <c r="B545" s="6">
        <f>IFERROR(__xludf.DUMMYFUNCTION("""COMPUTED_VALUE"""),47.0)</f>
        <v>47</v>
      </c>
      <c r="C545" s="6" t="str">
        <f>IFERROR(__xludf.DUMMYFUNCTION("""COMPUTED_VALUE"""),"Salomé")</f>
        <v>Salomé</v>
      </c>
      <c r="D545" s="6"/>
      <c r="E545" s="6" t="str">
        <f>IFERROR(__xludf.DUMMYFUNCTION("""COMPUTED_VALUE"""),"Tamayo Caro")</f>
        <v>Tamayo Caro</v>
      </c>
      <c r="F545" s="6" t="str">
        <f>IFERROR(__xludf.DUMMYFUNCTION("""COMPUTED_VALUE"""),"Parque Residencial Colombia Casa 51 - Cra 18A No72 - 15 Rio Verde")</f>
        <v>Parque Residencial Colombia Casa 51 - Cra 18A No72 - 15 Rio Verde</v>
      </c>
      <c r="G545" s="12" t="str">
        <f>IFERROR(__xludf.DUMMYFUNCTION("""COMPUTED_VALUE"""),"2014")</f>
        <v>2014</v>
      </c>
      <c r="H545" s="6" t="str">
        <f>IFERROR(__xludf.DUMMYFUNCTION("""COMPUTED_VALUE"""),"Enero")</f>
        <v>Enero</v>
      </c>
      <c r="I545" s="12" t="str">
        <f>IFERROR(__xludf.DUMMYFUNCTION("""COMPUTED_VALUE"""),"3")</f>
        <v>3</v>
      </c>
      <c r="J545" s="6" t="str">
        <f>IFERROR(__xludf.DUMMYFUNCTION("""COMPUTED_VALUE"""),"Queens Village")</f>
        <v>Queens Village</v>
      </c>
      <c r="K545" s="6" t="str">
        <f>IFERROR(__xludf.DUMMYFUNCTION("""COMPUTED_VALUE"""),"salome.t2032@gi.edu.co")</f>
        <v>salome.t2032@gi.edu.co</v>
      </c>
      <c r="L545" s="6" t="str">
        <f>IFERROR(__xludf.DUMMYFUNCTION("""COMPUTED_VALUE"""),"TI")</f>
        <v>TI</v>
      </c>
      <c r="M545" s="6" t="str">
        <f>IFERROR(__xludf.DUMMYFUNCTION("""COMPUTED_VALUE"""),"Armenia")</f>
        <v>Armenia</v>
      </c>
      <c r="N545" s="6" t="str">
        <f>IFERROR(__xludf.DUMMYFUNCTION("""COMPUTED_VALUE"""),"F")</f>
        <v>F</v>
      </c>
      <c r="O545" s="6" t="str">
        <f>IFERROR(__xludf.DUMMYFUNCTION("""COMPUTED_VALUE"""),"ACTIVE")</f>
        <v>ACTIVE</v>
      </c>
      <c r="P545" s="6"/>
      <c r="Q545" s="6" t="str">
        <f>IFERROR(__xludf.DUMMYFUNCTION("""COMPUTED_VALUE"""),"Armenia")</f>
        <v>Armenia</v>
      </c>
      <c r="R545" s="12" t="str">
        <f>IFERROR(__xludf.DUMMYFUNCTION("""COMPUTED_VALUE"""),"Gi35gh7*")</f>
        <v>Gi35gh7*</v>
      </c>
      <c r="S545" s="6" t="str">
        <f>IFERROR(__xludf.DUMMYFUNCTION("""COMPUTED_VALUE"""),"Tamayo Caro Salomé ")</f>
        <v>Tamayo Caro Salomé </v>
      </c>
      <c r="T545" s="6" t="str">
        <f>IFERROR(__xludf.DUMMYFUNCTION("""COMPUTED_VALUE"""),"PEDRO LUIS TAMAYO OROZCO")</f>
        <v>PEDRO LUIS TAMAYO OROZCO</v>
      </c>
      <c r="U545" s="12" t="str">
        <f>IFERROR(__xludf.DUMMYFUNCTION("""COMPUTED_VALUE"""),"1094896653")</f>
        <v>1094896653</v>
      </c>
      <c r="V545" s="6">
        <f>IFERROR(__xludf.DUMMYFUNCTION("""COMPUTED_VALUE"""),3.146786658E9)</f>
        <v>3146786658</v>
      </c>
      <c r="W545" s="6" t="str">
        <f>IFERROR(__xludf.DUMMYFUNCTION("""COMPUTED_VALUE"""),"pedrotamayo_10@hotmail.com")</f>
        <v>pedrotamayo_10@hotmail.com</v>
      </c>
      <c r="X545" s="12" t="str">
        <f>IFERROR(__xludf.DUMMYFUNCTION("""COMPUTED_VALUE"""),"A+")</f>
        <v>A+</v>
      </c>
      <c r="Y545" s="12" t="str">
        <f>IFERROR(__xludf.DUMMYFUNCTION("""COMPUTED_VALUE"""),"7")</f>
        <v>7</v>
      </c>
      <c r="Z545" s="12">
        <f>IFERROR(__xludf.DUMMYFUNCTION("""COMPUTED_VALUE"""),120292.0)</f>
        <v>120292</v>
      </c>
      <c r="AA545" s="6" t="str">
        <f>IFERROR(__xludf.DUMMYFUNCTION("""COMPUTED_VALUE"""),"SURA")</f>
        <v>SURA</v>
      </c>
      <c r="AB545" s="6"/>
      <c r="AC545" s="6"/>
      <c r="AD545" s="12" t="str">
        <f>IFERROR(__xludf.DUMMYFUNCTION("""COMPUTED_VALUE"""),"7B")</f>
        <v>7B</v>
      </c>
      <c r="AE545" s="12">
        <f>IFERROR(__xludf.DUMMYFUNCTION("""COMPUTED_VALUE"""),1.345282268E9)</f>
        <v>1345282268</v>
      </c>
      <c r="AF545" s="12" t="str">
        <f>IFERROR(__xludf.DUMMYFUNCTION("""COMPUTED_VALUE"""),"0708559315")</f>
        <v>0708559315</v>
      </c>
      <c r="AG545" s="12" t="str">
        <f>IFERROR(__xludf.DUMMYFUNCTION("""COMPUTED_VALUE"""),"Lina ")</f>
        <v>Lina </v>
      </c>
      <c r="AH545" s="12" t="str">
        <f>IFERROR(__xludf.DUMMYFUNCTION("""COMPUTED_VALUE"""),"Marcela")</f>
        <v>Marcela</v>
      </c>
      <c r="AI545" s="6" t="str">
        <f>IFERROR(__xludf.DUMMYFUNCTION("""COMPUTED_VALUE"""),"Caro Aristizábal")</f>
        <v>Caro Aristizábal</v>
      </c>
      <c r="AJ545" s="6" t="str">
        <f>IFERROR(__xludf.DUMMYFUNCTION("""COMPUTED_VALUE"""),"linita_caro@hotmail.com")</f>
        <v>linita_caro@hotmail.com</v>
      </c>
      <c r="AK545" s="6" t="str">
        <f>IFERROR(__xludf.DUMMYFUNCTION("""COMPUTED_VALUE"""),"Administradora de Empresas")</f>
        <v>Administradora de Empresas</v>
      </c>
      <c r="AL545" s="6"/>
      <c r="AM545" s="12" t="str">
        <f>IFERROR(__xludf.DUMMYFUNCTION("""COMPUTED_VALUE"""),"41958188")</f>
        <v>41958188</v>
      </c>
      <c r="AN545" s="12" t="str">
        <f>IFERROR(__xludf.DUMMYFUNCTION("""COMPUTED_VALUE"""),"3206910790")</f>
        <v>3206910790</v>
      </c>
      <c r="AO545" s="6" t="str">
        <f>IFERROR(__xludf.DUMMYFUNCTION("""COMPUTED_VALUE"""),"Madre")</f>
        <v>Madre</v>
      </c>
      <c r="AP545" s="6" t="str">
        <f>IFERROR(__xludf.DUMMYFUNCTION("""COMPUTED_VALUE"""),"Estudiante(s): Tamayo Caro")</f>
        <v>Estudiante(s): Tamayo Caro</v>
      </c>
      <c r="AQ545" s="6" t="str">
        <f>IFERROR(__xludf.DUMMYFUNCTION("""COMPUTED_VALUE"""),"120292*Gi")</f>
        <v>120292*Gi</v>
      </c>
      <c r="AR545" s="6" t="str">
        <f>IFERROR(__xludf.DUMMYFUNCTION("""COMPUTED_VALUE"""),"Pedro")</f>
        <v>Pedro</v>
      </c>
      <c r="AS545" s="6" t="str">
        <f>IFERROR(__xludf.DUMMYFUNCTION("""COMPUTED_VALUE"""),"Luis")</f>
        <v>Luis</v>
      </c>
      <c r="AT545" s="6" t="str">
        <f>IFERROR(__xludf.DUMMYFUNCTION("""COMPUTED_VALUE"""),"Tamayo Orozco")</f>
        <v>Tamayo Orozco</v>
      </c>
      <c r="AU545" s="6" t="str">
        <f>IFERROR(__xludf.DUMMYFUNCTION("""COMPUTED_VALUE"""),"pedrotamayo_10@hotmail.com")</f>
        <v>pedrotamayo_10@hotmail.com</v>
      </c>
      <c r="AV545" s="6" t="str">
        <f>IFERROR(__xludf.DUMMYFUNCTION("""COMPUTED_VALUE"""),"Comerciante")</f>
        <v>Comerciante</v>
      </c>
      <c r="AW545" s="6"/>
      <c r="AX545" s="12" t="str">
        <f>IFERROR(__xludf.DUMMYFUNCTION("""COMPUTED_VALUE"""),"1094896653")</f>
        <v>1094896653</v>
      </c>
      <c r="AY545" s="12" t="str">
        <f>IFERROR(__xludf.DUMMYFUNCTION("""COMPUTED_VALUE"""),"3146786658")</f>
        <v>3146786658</v>
      </c>
      <c r="AZ545" s="6" t="str">
        <f>IFERROR(__xludf.DUMMYFUNCTION("""COMPUTED_VALUE"""),"Padre")</f>
        <v>Padre</v>
      </c>
      <c r="BA545" s="6"/>
      <c r="BB545" s="6"/>
      <c r="BC545" s="6"/>
      <c r="BD545" s="12" t="str">
        <f>IFERROR(__xludf.DUMMYFUNCTION("""COMPUTED_VALUE"""),"tam0002")</f>
        <v>tam0002</v>
      </c>
      <c r="BE545" s="6"/>
      <c r="BF545" s="6"/>
      <c r="BG545" s="6">
        <f>IFERROR(__xludf.DUMMYFUNCTION("""COMPUTED_VALUE"""),2032.0)</f>
        <v>2032</v>
      </c>
      <c r="BH545" s="15">
        <f>IFERROR(__xludf.DUMMYFUNCTION("""COMPUTED_VALUE"""),46212.597905092596)</f>
        <v>46212.59791</v>
      </c>
      <c r="BI545" s="6">
        <f>IFERROR(__xludf.DUMMYFUNCTION("""COMPUTED_VALUE"""),545.0)</f>
        <v>545</v>
      </c>
      <c r="BJ545" s="6"/>
      <c r="BK545" s="6"/>
      <c r="BL545" s="6" t="str">
        <f>IFERROR(__xludf.DUMMYFUNCTION("""COMPUTED_VALUE"""),"GISTAM0002")</f>
        <v>GISTAM0002</v>
      </c>
      <c r="BM545" s="6"/>
      <c r="BN545" s="6"/>
      <c r="BO545" s="6" t="str">
        <f>IFERROR(__xludf.DUMMYFUNCTION("""COMPUTED_VALUE"""),"XC_MS_Voleibol_F")</f>
        <v>XC_MS_Voleibol_F</v>
      </c>
      <c r="BP545" s="6"/>
      <c r="BQ545" s="6" t="str">
        <f>IFERROR(__xludf.DUMMYFUNCTION("""COMPUTED_VALUE"""),"XC_MS_Voleibol_F")</f>
        <v>XC_MS_Voleibol_F</v>
      </c>
      <c r="BR545" s="6" t="str">
        <f>IFERROR(__xludf.DUMMYFUNCTION("""COMPUTED_VALUE"""),"XC_MS_Voleibol_F")</f>
        <v>XC_MS_Voleibol_F</v>
      </c>
      <c r="BS545" s="6"/>
      <c r="BT545" s="6" t="str">
        <f>IFERROR(__xludf.DUMMYFUNCTION("""COMPUTED_VALUE"""),"XC_MS_Voleibol_F")</f>
        <v>XC_MS_Voleibol_F</v>
      </c>
      <c r="BU545" s="6" t="str">
        <f>IFERROR(__xludf.DUMMYFUNCTION("""COMPUTED_VALUE"""),"SI")</f>
        <v>SI</v>
      </c>
      <c r="BV545" s="6" t="str">
        <f>IFERROR(__xludf.DUMMYFUNCTION("""COMPUTED_VALUE"""),"salome.t2032")</f>
        <v>salome.t2032</v>
      </c>
      <c r="BW545" s="6"/>
      <c r="BX545" s="6"/>
      <c r="BY545" s="6"/>
      <c r="BZ545" s="6"/>
    </row>
    <row r="546">
      <c r="A546" s="12">
        <f>IFERROR(__xludf.DUMMYFUNCTION("""COMPUTED_VALUE"""),1.218464856E9)</f>
        <v>1218464856</v>
      </c>
      <c r="B546" s="6">
        <f>IFERROR(__xludf.DUMMYFUNCTION("""COMPUTED_VALUE"""),48.0)</f>
        <v>48</v>
      </c>
      <c r="C546" s="6" t="str">
        <f>IFERROR(__xludf.DUMMYFUNCTION("""COMPUTED_VALUE"""),"Adelyn")</f>
        <v>Adelyn</v>
      </c>
      <c r="D546" s="6"/>
      <c r="E546" s="6" t="str">
        <f>IFERROR(__xludf.DUMMYFUNCTION("""COMPUTED_VALUE"""),"Torres Sánchez")</f>
        <v>Torres Sánchez</v>
      </c>
      <c r="F546" s="6" t="str">
        <f>IFERROR(__xludf.DUMMYFUNCTION("""COMPUTED_VALUE"""),"Conjunto Nogales de Quimbaya Casa 2 - Via Panaca")</f>
        <v>Conjunto Nogales de Quimbaya Casa 2 - Via Panaca</v>
      </c>
      <c r="G546" s="12" t="str">
        <f>IFERROR(__xludf.DUMMYFUNCTION("""COMPUTED_VALUE"""),"2014")</f>
        <v>2014</v>
      </c>
      <c r="H546" s="6" t="str">
        <f>IFERROR(__xludf.DUMMYFUNCTION("""COMPUTED_VALUE"""),"Agosto")</f>
        <v>Agosto</v>
      </c>
      <c r="I546" s="12" t="str">
        <f>IFERROR(__xludf.DUMMYFUNCTION("""COMPUTED_VALUE"""),"15")</f>
        <v>15</v>
      </c>
      <c r="J546" s="6" t="str">
        <f>IFERROR(__xludf.DUMMYFUNCTION("""COMPUTED_VALUE"""),"New Jersey")</f>
        <v>New Jersey</v>
      </c>
      <c r="K546" s="6" t="str">
        <f>IFERROR(__xludf.DUMMYFUNCTION("""COMPUTED_VALUE"""),"adelyn.t2032@gi.edu.co")</f>
        <v>adelyn.t2032@gi.edu.co</v>
      </c>
      <c r="L546" s="6" t="str">
        <f>IFERROR(__xludf.DUMMYFUNCTION("""COMPUTED_VALUE"""),"TI")</f>
        <v>TI</v>
      </c>
      <c r="M546" s="6" t="str">
        <f>IFERROR(__xludf.DUMMYFUNCTION("""COMPUTED_VALUE"""),"Quimbaya")</f>
        <v>Quimbaya</v>
      </c>
      <c r="N546" s="6" t="str">
        <f>IFERROR(__xludf.DUMMYFUNCTION("""COMPUTED_VALUE"""),"F")</f>
        <v>F</v>
      </c>
      <c r="O546" s="6" t="str">
        <f>IFERROR(__xludf.DUMMYFUNCTION("""COMPUTED_VALUE"""),"ACTIVE")</f>
        <v>ACTIVE</v>
      </c>
      <c r="P546" s="6"/>
      <c r="Q546" s="6" t="str">
        <f>IFERROR(__xludf.DUMMYFUNCTION("""COMPUTED_VALUE"""),"Quimbaya")</f>
        <v>Quimbaya</v>
      </c>
      <c r="R546" s="12" t="str">
        <f>IFERROR(__xludf.DUMMYFUNCTION("""COMPUTED_VALUE"""),"Giwbuzrr*")</f>
        <v>Giwbuzrr*</v>
      </c>
      <c r="S546" s="6" t="str">
        <f>IFERROR(__xludf.DUMMYFUNCTION("""COMPUTED_VALUE"""),"Torres Sánchez Adelyn ")</f>
        <v>Torres Sánchez Adelyn </v>
      </c>
      <c r="T546" s="6" t="str">
        <f>IFERROR(__xludf.DUMMYFUNCTION("""COMPUTED_VALUE"""),"ELMER TORRES CASTAÑO")</f>
        <v>ELMER TORRES CASTAÑO</v>
      </c>
      <c r="U546" s="12" t="str">
        <f>IFERROR(__xludf.DUMMYFUNCTION("""COMPUTED_VALUE"""),"18465486")</f>
        <v>18465486</v>
      </c>
      <c r="V546" s="6">
        <f>IFERROR(__xludf.DUMMYFUNCTION("""COMPUTED_VALUE"""),3.127262214E9)</f>
        <v>3127262214</v>
      </c>
      <c r="W546" s="6" t="str">
        <f>IFERROR(__xludf.DUMMYFUNCTION("""COMPUTED_VALUE"""),"elmertorre70@hotmail.com")</f>
        <v>elmertorre70@hotmail.com</v>
      </c>
      <c r="X546" s="12" t="str">
        <f>IFERROR(__xludf.DUMMYFUNCTION("""COMPUTED_VALUE"""),"O+")</f>
        <v>O+</v>
      </c>
      <c r="Y546" s="12" t="str">
        <f>IFERROR(__xludf.DUMMYFUNCTION("""COMPUTED_VALUE"""),"7")</f>
        <v>7</v>
      </c>
      <c r="Z546" s="12">
        <f>IFERROR(__xludf.DUMMYFUNCTION("""COMPUTED_VALUE"""),120576.0)</f>
        <v>120576</v>
      </c>
      <c r="AA546" s="6" t="str">
        <f>IFERROR(__xludf.DUMMYFUNCTION("""COMPUTED_VALUE"""),"SANITAS")</f>
        <v>SANITAS</v>
      </c>
      <c r="AB546" s="6"/>
      <c r="AC546" s="6"/>
      <c r="AD546" s="12" t="str">
        <f>IFERROR(__xludf.DUMMYFUNCTION("""COMPUTED_VALUE"""),"7B")</f>
        <v>7B</v>
      </c>
      <c r="AE546" s="12">
        <f>IFERROR(__xludf.DUMMYFUNCTION("""COMPUTED_VALUE"""),1.345282572E9)</f>
        <v>1345282572</v>
      </c>
      <c r="AF546" s="6"/>
      <c r="AG546" s="12" t="str">
        <f>IFERROR(__xludf.DUMMYFUNCTION("""COMPUTED_VALUE"""),"Yubelly")</f>
        <v>Yubelly</v>
      </c>
      <c r="AH546" s="6"/>
      <c r="AI546" s="6" t="str">
        <f>IFERROR(__xludf.DUMMYFUNCTION("""COMPUTED_VALUE"""),"Sánchez Vélez")</f>
        <v>Sánchez Vélez</v>
      </c>
      <c r="AJ546" s="6" t="str">
        <f>IFERROR(__xludf.DUMMYFUNCTION("""COMPUTED_VALUE"""),"lluvia948@hotmail.com")</f>
        <v>lluvia948@hotmail.com</v>
      </c>
      <c r="AK546" s="6" t="str">
        <f>IFERROR(__xludf.DUMMYFUNCTION("""COMPUTED_VALUE"""),"Administradora")</f>
        <v>Administradora</v>
      </c>
      <c r="AL546" s="6" t="str">
        <f>IFERROR(__xludf.DUMMYFUNCTION("""COMPUTED_VALUE"""),"Hotel Las Torres ")</f>
        <v>Hotel Las Torres </v>
      </c>
      <c r="AM546" s="12">
        <f>IFERROR(__xludf.DUMMYFUNCTION("""COMPUTED_VALUE"""),2.5024344E7)</f>
        <v>25024344</v>
      </c>
      <c r="AN546" s="12">
        <f>IFERROR(__xludf.DUMMYFUNCTION("""COMPUTED_VALUE"""),3.123324053E9)</f>
        <v>3123324053</v>
      </c>
      <c r="AO546" s="6" t="str">
        <f>IFERROR(__xludf.DUMMYFUNCTION("""COMPUTED_VALUE"""),"Madre")</f>
        <v>Madre</v>
      </c>
      <c r="AP546" s="6" t="str">
        <f>IFERROR(__xludf.DUMMYFUNCTION("""COMPUTED_VALUE"""),"Estudiante(s): Torres Sánchez")</f>
        <v>Estudiante(s): Torres Sánchez</v>
      </c>
      <c r="AQ546" s="6" t="str">
        <f>IFERROR(__xludf.DUMMYFUNCTION("""COMPUTED_VALUE"""),"120576*Gi")</f>
        <v>120576*Gi</v>
      </c>
      <c r="AR546" s="6" t="str">
        <f>IFERROR(__xludf.DUMMYFUNCTION("""COMPUTED_VALUE"""),"Elmer")</f>
        <v>Elmer</v>
      </c>
      <c r="AS546" s="6"/>
      <c r="AT546" s="6" t="str">
        <f>IFERROR(__xludf.DUMMYFUNCTION("""COMPUTED_VALUE"""),"Torres Castaño")</f>
        <v>Torres Castaño</v>
      </c>
      <c r="AU546" s="6" t="str">
        <f>IFERROR(__xludf.DUMMYFUNCTION("""COMPUTED_VALUE"""),"elmertorre70@hotmail.com")</f>
        <v>elmertorre70@hotmail.com</v>
      </c>
      <c r="AV546" s="6" t="str">
        <f>IFERROR(__xludf.DUMMYFUNCTION("""COMPUTED_VALUE"""),"Administrador")</f>
        <v>Administrador</v>
      </c>
      <c r="AW546" s="6" t="str">
        <f>IFERROR(__xludf.DUMMYFUNCTION("""COMPUTED_VALUE"""),"Hotel Las Torres")</f>
        <v>Hotel Las Torres</v>
      </c>
      <c r="AX546" s="12">
        <f>IFERROR(__xludf.DUMMYFUNCTION("""COMPUTED_VALUE"""),1.8465486E7)</f>
        <v>18465486</v>
      </c>
      <c r="AY546" s="12">
        <f>IFERROR(__xludf.DUMMYFUNCTION("""COMPUTED_VALUE"""),3.127262214E9)</f>
        <v>3127262214</v>
      </c>
      <c r="AZ546" s="6" t="str">
        <f>IFERROR(__xludf.DUMMYFUNCTION("""COMPUTED_VALUE"""),"Padre")</f>
        <v>Padre</v>
      </c>
      <c r="BA546" s="6"/>
      <c r="BB546" s="6"/>
      <c r="BC546" s="6"/>
      <c r="BD546" s="12" t="str">
        <f>IFERROR(__xludf.DUMMYFUNCTION("""COMPUTED_VALUE"""),"tor0011")</f>
        <v>tor0011</v>
      </c>
      <c r="BE546" s="6"/>
      <c r="BF546" s="6"/>
      <c r="BG546" s="6">
        <f>IFERROR(__xludf.DUMMYFUNCTION("""COMPUTED_VALUE"""),2032.0)</f>
        <v>2032</v>
      </c>
      <c r="BH546" s="15">
        <f>IFERROR(__xludf.DUMMYFUNCTION("""COMPUTED_VALUE"""),46211.505578703705)</f>
        <v>46211.50558</v>
      </c>
      <c r="BI546" s="6">
        <f>IFERROR(__xludf.DUMMYFUNCTION("""COMPUTED_VALUE"""),546.0)</f>
        <v>546</v>
      </c>
      <c r="BJ546" s="6"/>
      <c r="BK546" s="6"/>
      <c r="BL546" s="6" t="str">
        <f>IFERROR(__xludf.DUMMYFUNCTION("""COMPUTED_VALUE"""),"GISTOR0011")</f>
        <v>GISTOR0011</v>
      </c>
      <c r="BM546" s="6"/>
      <c r="BN546" s="6"/>
      <c r="BO546" s="6"/>
      <c r="BP546" s="6"/>
      <c r="BQ546" s="6"/>
      <c r="BR546" s="6"/>
      <c r="BS546" s="6"/>
      <c r="BT546" s="6"/>
      <c r="BU546" s="6" t="str">
        <f>IFERROR(__xludf.DUMMYFUNCTION("""COMPUTED_VALUE"""),"SI")</f>
        <v>SI</v>
      </c>
      <c r="BV546" s="6" t="str">
        <f>IFERROR(__xludf.DUMMYFUNCTION("""COMPUTED_VALUE"""),"adelyn.t2032")</f>
        <v>adelyn.t2032</v>
      </c>
      <c r="BW546" s="6"/>
      <c r="BX546" s="6"/>
      <c r="BY546" s="6"/>
      <c r="BZ546" s="6"/>
    </row>
    <row r="547">
      <c r="A547" s="12">
        <f>IFERROR(__xludf.DUMMYFUNCTION("""COMPUTED_VALUE"""),1.092857776E9)</f>
        <v>1092857776</v>
      </c>
      <c r="B547" s="6">
        <f>IFERROR(__xludf.DUMMYFUNCTION("""COMPUTED_VALUE"""),49.0)</f>
        <v>49</v>
      </c>
      <c r="C547" s="6" t="str">
        <f>IFERROR(__xludf.DUMMYFUNCTION("""COMPUTED_VALUE"""),"Juan")</f>
        <v>Juan</v>
      </c>
      <c r="D547" s="6" t="str">
        <f>IFERROR(__xludf.DUMMYFUNCTION("""COMPUTED_VALUE"""),"Martín")</f>
        <v>Martín</v>
      </c>
      <c r="E547" s="6" t="str">
        <f>IFERROR(__xludf.DUMMYFUNCTION("""COMPUTED_VALUE"""),"Trujillo Gordillo")</f>
        <v>Trujillo Gordillo</v>
      </c>
      <c r="F547" s="6" t="str">
        <f>IFERROR(__xludf.DUMMYFUNCTION("""COMPUTED_VALUE"""),"Cra 11 No9Nte - 01 Mz C 11 - La Castellana")</f>
        <v>Cra 11 No9Nte - 01 Mz C 11 - La Castellana</v>
      </c>
      <c r="G547" s="12" t="str">
        <f>IFERROR(__xludf.DUMMYFUNCTION("""COMPUTED_VALUE"""),"2014")</f>
        <v>2014</v>
      </c>
      <c r="H547" s="6" t="str">
        <f>IFERROR(__xludf.DUMMYFUNCTION("""COMPUTED_VALUE"""),"Mayo")</f>
        <v>Mayo</v>
      </c>
      <c r="I547" s="12" t="str">
        <f>IFERROR(__xludf.DUMMYFUNCTION("""COMPUTED_VALUE"""),"30")</f>
        <v>30</v>
      </c>
      <c r="J547" s="6" t="str">
        <f>IFERROR(__xludf.DUMMYFUNCTION("""COMPUTED_VALUE"""),"Santiago de Cali")</f>
        <v>Santiago de Cali</v>
      </c>
      <c r="K547" s="6" t="str">
        <f>IFERROR(__xludf.DUMMYFUNCTION("""COMPUTED_VALUE"""),"juanm.t2032@gi.edu.co")</f>
        <v>juanm.t2032@gi.edu.co</v>
      </c>
      <c r="L547" s="6" t="str">
        <f>IFERROR(__xludf.DUMMYFUNCTION("""COMPUTED_VALUE"""),"TI")</f>
        <v>TI</v>
      </c>
      <c r="M547" s="6" t="str">
        <f>IFERROR(__xludf.DUMMYFUNCTION("""COMPUTED_VALUE"""),"Armenia")</f>
        <v>Armenia</v>
      </c>
      <c r="N547" s="6" t="str">
        <f>IFERROR(__xludf.DUMMYFUNCTION("""COMPUTED_VALUE"""),"M")</f>
        <v>M</v>
      </c>
      <c r="O547" s="6" t="str">
        <f>IFERROR(__xludf.DUMMYFUNCTION("""COMPUTED_VALUE"""),"INACTIVE")</f>
        <v>INACTIVE</v>
      </c>
      <c r="P547" s="6"/>
      <c r="Q547" s="6" t="str">
        <f>IFERROR(__xludf.DUMMYFUNCTION("""COMPUTED_VALUE"""),"Armenia")</f>
        <v>Armenia</v>
      </c>
      <c r="R547" s="12" t="str">
        <f>IFERROR(__xludf.DUMMYFUNCTION("""COMPUTED_VALUE"""),"Gi3e4ras*")</f>
        <v>Gi3e4ras*</v>
      </c>
      <c r="S547" s="6" t="str">
        <f>IFERROR(__xludf.DUMMYFUNCTION("""COMPUTED_VALUE"""),"Trujillo Gordillo Juan Martín")</f>
        <v>Trujillo Gordillo Juan Martín</v>
      </c>
      <c r="T547" s="6" t="str">
        <f>IFERROR(__xludf.DUMMYFUNCTION("""COMPUTED_VALUE"""),"JUAN FERNANDO TRUJILLO VARGAS")</f>
        <v>JUAN FERNANDO TRUJILLO VARGAS</v>
      </c>
      <c r="U547" s="12" t="str">
        <f>IFERROR(__xludf.DUMMYFUNCTION("""COMPUTED_VALUE"""),"9725282")</f>
        <v>9725282</v>
      </c>
      <c r="V547" s="6">
        <f>IFERROR(__xludf.DUMMYFUNCTION("""COMPUTED_VALUE"""),3.155485024E9)</f>
        <v>3155485024</v>
      </c>
      <c r="W547" s="6" t="str">
        <f>IFERROR(__xludf.DUMMYFUNCTION("""COMPUTED_VALUE"""),"isabelcristina_gordillo@hotmail.com")</f>
        <v>isabelcristina_gordillo@hotmail.com</v>
      </c>
      <c r="X547" s="12" t="str">
        <f>IFERROR(__xludf.DUMMYFUNCTION("""COMPUTED_VALUE"""),"O+")</f>
        <v>O+</v>
      </c>
      <c r="Y547" s="12" t="str">
        <f>IFERROR(__xludf.DUMMYFUNCTION("""COMPUTED_VALUE"""),"7")</f>
        <v>7</v>
      </c>
      <c r="Z547" s="12">
        <f>IFERROR(__xludf.DUMMYFUNCTION("""COMPUTED_VALUE"""),103802.0)</f>
        <v>103802</v>
      </c>
      <c r="AA547" s="6" t="str">
        <f>IFERROR(__xludf.DUMMYFUNCTION("""COMPUTED_VALUE"""),"SURA")</f>
        <v>SURA</v>
      </c>
      <c r="AB547" s="6"/>
      <c r="AC547" s="6"/>
      <c r="AD547" s="12" t="str">
        <f>IFERROR(__xludf.DUMMYFUNCTION("""COMPUTED_VALUE"""),"7B")</f>
        <v>7B</v>
      </c>
      <c r="AE547" s="12">
        <f>IFERROR(__xludf.DUMMYFUNCTION("""COMPUTED_VALUE"""),1.345281896E9)</f>
        <v>1345281896</v>
      </c>
      <c r="AF547" s="12" t="str">
        <f>IFERROR(__xludf.DUMMYFUNCTION("""COMPUTED_VALUE"""),"0696825043")</f>
        <v>0696825043</v>
      </c>
      <c r="AG547" s="12" t="str">
        <f>IFERROR(__xludf.DUMMYFUNCTION("""COMPUTED_VALUE"""),"Isabel")</f>
        <v>Isabel</v>
      </c>
      <c r="AH547" s="12" t="str">
        <f>IFERROR(__xludf.DUMMYFUNCTION("""COMPUTED_VALUE"""),"Cristina")</f>
        <v>Cristina</v>
      </c>
      <c r="AI547" s="6" t="str">
        <f>IFERROR(__xludf.DUMMYFUNCTION("""COMPUTED_VALUE"""),"Gordillo Solarte")</f>
        <v>Gordillo Solarte</v>
      </c>
      <c r="AJ547" s="6" t="str">
        <f>IFERROR(__xludf.DUMMYFUNCTION("""COMPUTED_VALUE"""),"isabelcristina_gordillo@hotmail.com")</f>
        <v>isabelcristina_gordillo@hotmail.com</v>
      </c>
      <c r="AK547" s="6" t="str">
        <f>IFERROR(__xludf.DUMMYFUNCTION("""COMPUTED_VALUE"""),"medico")</f>
        <v>medico</v>
      </c>
      <c r="AL547" s="6" t="str">
        <f>IFERROR(__xludf.DUMMYFUNCTION("""COMPUTED_VALUE"""),"Hospital Universitario San Jorge")</f>
        <v>Hospital Universitario San Jorge</v>
      </c>
      <c r="AM547" s="12" t="str">
        <f>IFERROR(__xludf.DUMMYFUNCTION("""COMPUTED_VALUE"""),"29361155")</f>
        <v>29361155</v>
      </c>
      <c r="AN547" s="12" t="str">
        <f>IFERROR(__xludf.DUMMYFUNCTION("""COMPUTED_VALUE"""),"3154833713")</f>
        <v>3154833713</v>
      </c>
      <c r="AO547" s="6" t="str">
        <f>IFERROR(__xludf.DUMMYFUNCTION("""COMPUTED_VALUE"""),"Madre")</f>
        <v>Madre</v>
      </c>
      <c r="AP547" s="6" t="str">
        <f>IFERROR(__xludf.DUMMYFUNCTION("""COMPUTED_VALUE"""),"Estudiante(s): Trujillo Gordillo")</f>
        <v>Estudiante(s): Trujillo Gordillo</v>
      </c>
      <c r="AQ547" s="6" t="str">
        <f>IFERROR(__xludf.DUMMYFUNCTION("""COMPUTED_VALUE"""),"103802*Gi")</f>
        <v>103802*Gi</v>
      </c>
      <c r="AR547" s="6" t="str">
        <f>IFERROR(__xludf.DUMMYFUNCTION("""COMPUTED_VALUE"""),"Juan")</f>
        <v>Juan</v>
      </c>
      <c r="AS547" s="6" t="str">
        <f>IFERROR(__xludf.DUMMYFUNCTION("""COMPUTED_VALUE"""),"Fernando")</f>
        <v>Fernando</v>
      </c>
      <c r="AT547" s="6" t="str">
        <f>IFERROR(__xludf.DUMMYFUNCTION("""COMPUTED_VALUE"""),"Trujillo Vargas")</f>
        <v>Trujillo Vargas</v>
      </c>
      <c r="AU547" s="6" t="str">
        <f>IFERROR(__xludf.DUMMYFUNCTION("""COMPUTED_VALUE"""),"jufertru@hotmail.es")</f>
        <v>jufertru@hotmail.es</v>
      </c>
      <c r="AV547" s="6" t="str">
        <f>IFERROR(__xludf.DUMMYFUNCTION("""COMPUTED_VALUE"""),"Médico, Pediatra")</f>
        <v>Médico, Pediatra</v>
      </c>
      <c r="AW547" s="6"/>
      <c r="AX547" s="12" t="str">
        <f>IFERROR(__xludf.DUMMYFUNCTION("""COMPUTED_VALUE"""),"9725282")</f>
        <v>9725282</v>
      </c>
      <c r="AY547" s="12" t="str">
        <f>IFERROR(__xludf.DUMMYFUNCTION("""COMPUTED_VALUE"""),"3155485024")</f>
        <v>3155485024</v>
      </c>
      <c r="AZ547" s="6" t="str">
        <f>IFERROR(__xludf.DUMMYFUNCTION("""COMPUTED_VALUE"""),"Padre")</f>
        <v>Padre</v>
      </c>
      <c r="BA547" s="6"/>
      <c r="BB547" s="6"/>
      <c r="BC547" s="6"/>
      <c r="BD547" s="12" t="str">
        <f>IFERROR(__xludf.DUMMYFUNCTION("""COMPUTED_VALUE"""),"tru0008")</f>
        <v>tru0008</v>
      </c>
      <c r="BE547" s="6" t="str">
        <f>IFERROR(__xludf.DUMMYFUNCTION("""COMPUTED_VALUE"""),"FALTAN FIRMAS")</f>
        <v>FALTAN FIRMAS</v>
      </c>
      <c r="BF547" s="6"/>
      <c r="BG547" s="6">
        <f>IFERROR(__xludf.DUMMYFUNCTION("""COMPUTED_VALUE"""),2032.0)</f>
        <v>2032</v>
      </c>
      <c r="BH547" s="15">
        <f>IFERROR(__xludf.DUMMYFUNCTION("""COMPUTED_VALUE"""),46212.8878587963)</f>
        <v>46212.88786</v>
      </c>
      <c r="BI547" s="6">
        <f>IFERROR(__xludf.DUMMYFUNCTION("""COMPUTED_VALUE"""),547.0)</f>
        <v>547</v>
      </c>
      <c r="BJ547" s="6" t="str">
        <f>IFERROR(__xludf.DUMMYFUNCTION("""COMPUTED_VALUE"""),"SIMAT: trastorno por déficit de atención con o sin hiperactividad (Nov 13 2024)")</f>
        <v>SIMAT: trastorno por déficit de atención con o sin hiperactividad (Nov 13 2024)</v>
      </c>
      <c r="BK547" s="6"/>
      <c r="BL547" s="6" t="str">
        <f>IFERROR(__xludf.DUMMYFUNCTION("""COMPUTED_VALUE"""),"GISTRU0008")</f>
        <v>GISTRU0008</v>
      </c>
      <c r="BM547" s="6"/>
      <c r="BN547" s="6"/>
      <c r="BO547" s="6" t="str">
        <f>IFERROR(__xludf.DUMMYFUNCTION("""COMPUTED_VALUE"""),"XC_MS_Futbol_M")</f>
        <v>XC_MS_Futbol_M</v>
      </c>
      <c r="BP547" s="6"/>
      <c r="BQ547" s="6" t="str">
        <f>IFERROR(__xludf.DUMMYFUNCTION("""COMPUTED_VALUE"""),"XC_MS_Futbol_M")</f>
        <v>XC_MS_Futbol_M</v>
      </c>
      <c r="BR547" s="6" t="str">
        <f>IFERROR(__xludf.DUMMYFUNCTION("""COMPUTED_VALUE"""),"XC_MS_Futbol_M")</f>
        <v>XC_MS_Futbol_M</v>
      </c>
      <c r="BS547" s="6"/>
      <c r="BT547" s="6" t="str">
        <f>IFERROR(__xludf.DUMMYFUNCTION("""COMPUTED_VALUE"""),"XC_MS_Futbol_M")</f>
        <v>XC_MS_Futbol_M</v>
      </c>
      <c r="BU547" s="6" t="str">
        <f>IFERROR(__xludf.DUMMYFUNCTION("""COMPUTED_VALUE"""),"SI")</f>
        <v>SI</v>
      </c>
      <c r="BV547" s="6" t="str">
        <f>IFERROR(__xludf.DUMMYFUNCTION("""COMPUTED_VALUE"""),"juanm.t2032")</f>
        <v>juanm.t2032</v>
      </c>
      <c r="BW547" s="6"/>
      <c r="BX547" s="6"/>
      <c r="BY547" s="6"/>
      <c r="BZ547" s="6"/>
    </row>
    <row r="548">
      <c r="A548" s="12">
        <f>IFERROR(__xludf.DUMMYFUNCTION("""COMPUTED_VALUE"""),1.116874304E9)</f>
        <v>1116874304</v>
      </c>
      <c r="B548" s="6">
        <f>IFERROR(__xludf.DUMMYFUNCTION("""COMPUTED_VALUE"""),50.0)</f>
        <v>50</v>
      </c>
      <c r="C548" s="6" t="str">
        <f>IFERROR(__xludf.DUMMYFUNCTION("""COMPUTED_VALUE"""),"Luciana")</f>
        <v>Luciana</v>
      </c>
      <c r="D548" s="6"/>
      <c r="E548" s="6" t="str">
        <f>IFERROR(__xludf.DUMMYFUNCTION("""COMPUTED_VALUE"""),"Trujillo Jaramillo")</f>
        <v>Trujillo Jaramillo</v>
      </c>
      <c r="F548" s="6" t="str">
        <f>IFERROR(__xludf.DUMMYFUNCTION("""COMPUTED_VALUE"""),"Condominio Zinamayca Casa 9 Vereda Murillo - Km 7 Via El Eden")</f>
        <v>Condominio Zinamayca Casa 9 Vereda Murillo - Km 7 Via El Eden</v>
      </c>
      <c r="G548" s="12" t="str">
        <f>IFERROR(__xludf.DUMMYFUNCTION("""COMPUTED_VALUE"""),"2013")</f>
        <v>2013</v>
      </c>
      <c r="H548" s="6" t="str">
        <f>IFERROR(__xludf.DUMMYFUNCTION("""COMPUTED_VALUE"""),"Diciembre")</f>
        <v>Diciembre</v>
      </c>
      <c r="I548" s="12" t="str">
        <f>IFERROR(__xludf.DUMMYFUNCTION("""COMPUTED_VALUE"""),"1")</f>
        <v>1</v>
      </c>
      <c r="J548" s="6" t="str">
        <f>IFERROR(__xludf.DUMMYFUNCTION("""COMPUTED_VALUE"""),"Tame")</f>
        <v>Tame</v>
      </c>
      <c r="K548" s="6" t="str">
        <f>IFERROR(__xludf.DUMMYFUNCTION("""COMPUTED_VALUE"""),"luciana.t2032@gi.edu.co")</f>
        <v>luciana.t2032@gi.edu.co</v>
      </c>
      <c r="L548" s="6" t="str">
        <f>IFERROR(__xludf.DUMMYFUNCTION("""COMPUTED_VALUE"""),"TI")</f>
        <v>TI</v>
      </c>
      <c r="M548" s="6" t="str">
        <f>IFERROR(__xludf.DUMMYFUNCTION("""COMPUTED_VALUE"""),"Chía")</f>
        <v>Chía</v>
      </c>
      <c r="N548" s="6" t="str">
        <f>IFERROR(__xludf.DUMMYFUNCTION("""COMPUTED_VALUE"""),"F")</f>
        <v>F</v>
      </c>
      <c r="O548" s="6" t="str">
        <f>IFERROR(__xludf.DUMMYFUNCTION("""COMPUTED_VALUE"""),"ACTIVE")</f>
        <v>ACTIVE</v>
      </c>
      <c r="P548" s="6"/>
      <c r="Q548" s="6" t="str">
        <f>IFERROR(__xludf.DUMMYFUNCTION("""COMPUTED_VALUE"""),"Armenia")</f>
        <v>Armenia</v>
      </c>
      <c r="R548" s="12" t="str">
        <f>IFERROR(__xludf.DUMMYFUNCTION("""COMPUTED_VALUE"""),"Giahc74*")</f>
        <v>Giahc74*</v>
      </c>
      <c r="S548" s="6" t="str">
        <f>IFERROR(__xludf.DUMMYFUNCTION("""COMPUTED_VALUE"""),"Trujillo Jaramillo Luciana ")</f>
        <v>Trujillo Jaramillo Luciana </v>
      </c>
      <c r="T548" s="6" t="str">
        <f>IFERROR(__xludf.DUMMYFUNCTION("""COMPUTED_VALUE"""),"LUIS GONZALO TRUJILLO JARAMILLO")</f>
        <v>LUIS GONZALO TRUJILLO JARAMILLO</v>
      </c>
      <c r="U548" s="12" t="str">
        <f>IFERROR(__xludf.DUMMYFUNCTION("""COMPUTED_VALUE"""),"75072165")</f>
        <v>75072165</v>
      </c>
      <c r="V548" s="6">
        <f>IFERROR(__xludf.DUMMYFUNCTION("""COMPUTED_VALUE"""),3.006167939E9)</f>
        <v>3006167939</v>
      </c>
      <c r="W548" s="6" t="str">
        <f>IFERROR(__xludf.DUMMYFUNCTION("""COMPUTED_VALUE"""),"luisgtrujilloj@gmail.com")</f>
        <v>luisgtrujilloj@gmail.com</v>
      </c>
      <c r="X548" s="12" t="str">
        <f>IFERROR(__xludf.DUMMYFUNCTION("""COMPUTED_VALUE"""),"O+")</f>
        <v>O+</v>
      </c>
      <c r="Y548" s="12" t="str">
        <f>IFERROR(__xludf.DUMMYFUNCTION("""COMPUTED_VALUE"""),"7")</f>
        <v>7</v>
      </c>
      <c r="Z548" s="12">
        <f>IFERROR(__xludf.DUMMYFUNCTION("""COMPUTED_VALUE"""),120308.0)</f>
        <v>120308</v>
      </c>
      <c r="AA548" s="6" t="str">
        <f>IFERROR(__xludf.DUMMYFUNCTION("""COMPUTED_VALUE"""),"SANITAS")</f>
        <v>SANITAS</v>
      </c>
      <c r="AB548" s="6"/>
      <c r="AC548" s="6"/>
      <c r="AD548" s="12" t="str">
        <f>IFERROR(__xludf.DUMMYFUNCTION("""COMPUTED_VALUE"""),"7A")</f>
        <v>7A</v>
      </c>
      <c r="AE548" s="12">
        <f>IFERROR(__xludf.DUMMYFUNCTION("""COMPUTED_VALUE"""),1.345282302E9)</f>
        <v>1345282302</v>
      </c>
      <c r="AF548" s="12" t="str">
        <f>IFERROR(__xludf.DUMMYFUNCTION("""COMPUTED_VALUE"""),"0707791123")</f>
        <v>0707791123</v>
      </c>
      <c r="AG548" s="12" t="str">
        <f>IFERROR(__xludf.DUMMYFUNCTION("""COMPUTED_VALUE"""),"Luz")</f>
        <v>Luz</v>
      </c>
      <c r="AH548" s="12" t="str">
        <f>IFERROR(__xludf.DUMMYFUNCTION("""COMPUTED_VALUE"""),"Adriana")</f>
        <v>Adriana</v>
      </c>
      <c r="AI548" s="6" t="str">
        <f>IFERROR(__xludf.DUMMYFUNCTION("""COMPUTED_VALUE"""),"Jaramillo Trujillo")</f>
        <v>Jaramillo Trujillo</v>
      </c>
      <c r="AJ548" s="6" t="str">
        <f>IFERROR(__xludf.DUMMYFUNCTION("""COMPUTED_VALUE"""),"adrijara100@yahoo.com")</f>
        <v>adrijara100@yahoo.com</v>
      </c>
      <c r="AK548" s="6" t="str">
        <f>IFERROR(__xludf.DUMMYFUNCTION("""COMPUTED_VALUE"""),"DISEÑADORA")</f>
        <v>DISEÑADORA</v>
      </c>
      <c r="AL548" s="6"/>
      <c r="AM548" s="12" t="str">
        <f>IFERROR(__xludf.DUMMYFUNCTION("""COMPUTED_VALUE"""),"51957427")</f>
        <v>51957427</v>
      </c>
      <c r="AN548" s="12" t="str">
        <f>IFERROR(__xludf.DUMMYFUNCTION("""COMPUTED_VALUE"""),"3246804276")</f>
        <v>3246804276</v>
      </c>
      <c r="AO548" s="6" t="str">
        <f>IFERROR(__xludf.DUMMYFUNCTION("""COMPUTED_VALUE"""),"Madre")</f>
        <v>Madre</v>
      </c>
      <c r="AP548" s="6" t="str">
        <f>IFERROR(__xludf.DUMMYFUNCTION("""COMPUTED_VALUE"""),"Estudiante(s): Trujillo Jaramillo")</f>
        <v>Estudiante(s): Trujillo Jaramillo</v>
      </c>
      <c r="AQ548" s="6" t="str">
        <f>IFERROR(__xludf.DUMMYFUNCTION("""COMPUTED_VALUE"""),"120308*Gi")</f>
        <v>120308*Gi</v>
      </c>
      <c r="AR548" s="6" t="str">
        <f>IFERROR(__xludf.DUMMYFUNCTION("""COMPUTED_VALUE"""),"Luis")</f>
        <v>Luis</v>
      </c>
      <c r="AS548" s="6" t="str">
        <f>IFERROR(__xludf.DUMMYFUNCTION("""COMPUTED_VALUE"""),"Gonzalo")</f>
        <v>Gonzalo</v>
      </c>
      <c r="AT548" s="6" t="str">
        <f>IFERROR(__xludf.DUMMYFUNCTION("""COMPUTED_VALUE"""),"Trujillo Jaramillo")</f>
        <v>Trujillo Jaramillo</v>
      </c>
      <c r="AU548" s="6" t="str">
        <f>IFERROR(__xludf.DUMMYFUNCTION("""COMPUTED_VALUE"""),"luisgtrujilloj@gmail.com")</f>
        <v>luisgtrujilloj@gmail.com</v>
      </c>
      <c r="AV548" s="6" t="str">
        <f>IFERROR(__xludf.DUMMYFUNCTION("""COMPUTED_VALUE"""),"GEOLOGO")</f>
        <v>GEOLOGO</v>
      </c>
      <c r="AW548" s="6"/>
      <c r="AX548" s="12" t="str">
        <f>IFERROR(__xludf.DUMMYFUNCTION("""COMPUTED_VALUE"""),"75072165")</f>
        <v>75072165</v>
      </c>
      <c r="AY548" s="12" t="str">
        <f>IFERROR(__xludf.DUMMYFUNCTION("""COMPUTED_VALUE"""),"3006167939")</f>
        <v>3006167939</v>
      </c>
      <c r="AZ548" s="6" t="str">
        <f>IFERROR(__xludf.DUMMYFUNCTION("""COMPUTED_VALUE"""),"Padre")</f>
        <v>Padre</v>
      </c>
      <c r="BA548" s="6"/>
      <c r="BB548" s="6"/>
      <c r="BC548" s="6"/>
      <c r="BD548" s="12" t="str">
        <f>IFERROR(__xludf.DUMMYFUNCTION("""COMPUTED_VALUE"""),"jar0024")</f>
        <v>jar0024</v>
      </c>
      <c r="BE548" s="6"/>
      <c r="BF548" s="6"/>
      <c r="BG548" s="6">
        <f>IFERROR(__xludf.DUMMYFUNCTION("""COMPUTED_VALUE"""),2032.0)</f>
        <v>2032</v>
      </c>
      <c r="BH548" s="15">
        <f>IFERROR(__xludf.DUMMYFUNCTION("""COMPUTED_VALUE"""),46206.49)</f>
        <v>46206.49</v>
      </c>
      <c r="BI548" s="6">
        <f>IFERROR(__xludf.DUMMYFUNCTION("""COMPUTED_VALUE"""),548.0)</f>
        <v>548</v>
      </c>
      <c r="BJ548" s="6" t="str">
        <f>IFERROR(__xludf.DUMMYFUNCTION("""COMPUTED_VALUE"""),"SIMAT: trastorno por déficit de atención con o sin hiperactividad (Nov 13 2024)")</f>
        <v>SIMAT: trastorno por déficit de atención con o sin hiperactividad (Nov 13 2024)</v>
      </c>
      <c r="BK548" s="6"/>
      <c r="BL548" s="6" t="str">
        <f>IFERROR(__xludf.DUMMYFUNCTION("""COMPUTED_VALUE"""),"GISJAR0024")</f>
        <v>GISJAR0024</v>
      </c>
      <c r="BM548" s="6"/>
      <c r="BN548" s="6"/>
      <c r="BO548" s="6"/>
      <c r="BP548" s="6"/>
      <c r="BQ548" s="6"/>
      <c r="BR548" s="6"/>
      <c r="BS548" s="6"/>
      <c r="BT548" s="6"/>
      <c r="BU548" s="6" t="str">
        <f>IFERROR(__xludf.DUMMYFUNCTION("""COMPUTED_VALUE"""),"SI")</f>
        <v>SI</v>
      </c>
      <c r="BV548" s="6" t="str">
        <f>IFERROR(__xludf.DUMMYFUNCTION("""COMPUTED_VALUE"""),"luciana.t2032")</f>
        <v>luciana.t2032</v>
      </c>
      <c r="BW548" s="6"/>
      <c r="BX548" s="6"/>
      <c r="BY548" s="6"/>
      <c r="BZ548" s="6"/>
    </row>
    <row r="549">
      <c r="A549" s="12">
        <f>IFERROR(__xludf.DUMMYFUNCTION("""COMPUTED_VALUE"""),1.013018416E9)</f>
        <v>1013018416</v>
      </c>
      <c r="B549" s="6">
        <f>IFERROR(__xludf.DUMMYFUNCTION("""COMPUTED_VALUE"""),51.0)</f>
        <v>51</v>
      </c>
      <c r="C549" s="6" t="str">
        <f>IFERROR(__xludf.DUMMYFUNCTION("""COMPUTED_VALUE"""),"Ana")</f>
        <v>Ana</v>
      </c>
      <c r="D549" s="6" t="str">
        <f>IFERROR(__xludf.DUMMYFUNCTION("""COMPUTED_VALUE"""),"Sofía")</f>
        <v>Sofía</v>
      </c>
      <c r="E549" s="6" t="str">
        <f>IFERROR(__xludf.DUMMYFUNCTION("""COMPUTED_VALUE"""),"Vargas Uribe")</f>
        <v>Vargas Uribe</v>
      </c>
      <c r="F549" s="6" t="str">
        <f>IFERROR(__xludf.DUMMYFUNCTION("""COMPUTED_VALUE"""),"Edificio Prive Apto 501 - Cra 10 11Nte - 40 La Castellana")</f>
        <v>Edificio Prive Apto 501 - Cra 10 11Nte - 40 La Castellana</v>
      </c>
      <c r="G549" s="12" t="str">
        <f>IFERROR(__xludf.DUMMYFUNCTION("""COMPUTED_VALUE"""),"2013")</f>
        <v>2013</v>
      </c>
      <c r="H549" s="6" t="str">
        <f>IFERROR(__xludf.DUMMYFUNCTION("""COMPUTED_VALUE"""),"Septiembre")</f>
        <v>Septiembre</v>
      </c>
      <c r="I549" s="12" t="str">
        <f>IFERROR(__xludf.DUMMYFUNCTION("""COMPUTED_VALUE"""),"11")</f>
        <v>11</v>
      </c>
      <c r="J549" s="6" t="str">
        <f>IFERROR(__xludf.DUMMYFUNCTION("""COMPUTED_VALUE"""),"Bogotá D.C.")</f>
        <v>Bogotá D.C.</v>
      </c>
      <c r="K549" s="6" t="str">
        <f>IFERROR(__xludf.DUMMYFUNCTION("""COMPUTED_VALUE"""),"anas.v2032@gi.edu.co")</f>
        <v>anas.v2032@gi.edu.co</v>
      </c>
      <c r="L549" s="6" t="str">
        <f>IFERROR(__xludf.DUMMYFUNCTION("""COMPUTED_VALUE"""),"TI")</f>
        <v>TI</v>
      </c>
      <c r="M549" s="6" t="str">
        <f>IFERROR(__xludf.DUMMYFUNCTION("""COMPUTED_VALUE"""),"Armenia")</f>
        <v>Armenia</v>
      </c>
      <c r="N549" s="6" t="str">
        <f>IFERROR(__xludf.DUMMYFUNCTION("""COMPUTED_VALUE"""),"F")</f>
        <v>F</v>
      </c>
      <c r="O549" s="6" t="str">
        <f>IFERROR(__xludf.DUMMYFUNCTION("""COMPUTED_VALUE"""),"INACTIVE")</f>
        <v>INACTIVE</v>
      </c>
      <c r="P549" s="6"/>
      <c r="Q549" s="6" t="str">
        <f>IFERROR(__xludf.DUMMYFUNCTION("""COMPUTED_VALUE"""),"Armenia")</f>
        <v>Armenia</v>
      </c>
      <c r="R549" s="12" t="str">
        <f>IFERROR(__xludf.DUMMYFUNCTION("""COMPUTED_VALUE"""),"Gi8932cdf*")</f>
        <v>Gi8932cdf*</v>
      </c>
      <c r="S549" s="6" t="str">
        <f>IFERROR(__xludf.DUMMYFUNCTION("""COMPUTED_VALUE"""),"Vargas Uribe Ana Sofía")</f>
        <v>Vargas Uribe Ana Sofía</v>
      </c>
      <c r="T549" s="6" t="str">
        <f>IFERROR(__xludf.DUMMYFUNCTION("""COMPUTED_VALUE"""),"NELSON DARIO VARGAS MORENO")</f>
        <v>NELSON DARIO VARGAS MORENO</v>
      </c>
      <c r="U549" s="12" t="str">
        <f>IFERROR(__xludf.DUMMYFUNCTION("""COMPUTED_VALUE"""),"79910055")</f>
        <v>79910055</v>
      </c>
      <c r="V549" s="6">
        <f>IFERROR(__xludf.DUMMYFUNCTION("""COMPUTED_VALUE"""),3.114406066E9)</f>
        <v>3114406066</v>
      </c>
      <c r="W549" s="6" t="str">
        <f>IFERROR(__xludf.DUMMYFUNCTION("""COMPUTED_VALUE"""),"nelsondvm@gmail.com")</f>
        <v>nelsondvm@gmail.com</v>
      </c>
      <c r="X549" s="12" t="str">
        <f>IFERROR(__xludf.DUMMYFUNCTION("""COMPUTED_VALUE"""),"O+")</f>
        <v>O+</v>
      </c>
      <c r="Y549" s="12" t="str">
        <f>IFERROR(__xludf.DUMMYFUNCTION("""COMPUTED_VALUE"""),"7")</f>
        <v>7</v>
      </c>
      <c r="Z549" s="12">
        <f>IFERROR(__xludf.DUMMYFUNCTION("""COMPUTED_VALUE"""),120058.0)</f>
        <v>120058</v>
      </c>
      <c r="AA549" s="6" t="str">
        <f>IFERROR(__xludf.DUMMYFUNCTION("""COMPUTED_VALUE"""),"SURA")</f>
        <v>SURA</v>
      </c>
      <c r="AB549" s="6"/>
      <c r="AC549" s="6"/>
      <c r="AD549" s="12" t="str">
        <f>IFERROR(__xludf.DUMMYFUNCTION("""COMPUTED_VALUE"""),"7A")</f>
        <v>7A</v>
      </c>
      <c r="AE549" s="12">
        <f>IFERROR(__xludf.DUMMYFUNCTION("""COMPUTED_VALUE"""),1.345282073E9)</f>
        <v>1345282073</v>
      </c>
      <c r="AF549" s="12" t="str">
        <f>IFERROR(__xludf.DUMMYFUNCTION("""COMPUTED_VALUE"""),"0688743891")</f>
        <v>0688743891</v>
      </c>
      <c r="AG549" s="12" t="str">
        <f>IFERROR(__xludf.DUMMYFUNCTION("""COMPUTED_VALUE"""),"Claudia")</f>
        <v>Claudia</v>
      </c>
      <c r="AH549" s="12" t="str">
        <f>IFERROR(__xludf.DUMMYFUNCTION("""COMPUTED_VALUE"""),"Marcela")</f>
        <v>Marcela</v>
      </c>
      <c r="AI549" s="6" t="str">
        <f>IFERROR(__xludf.DUMMYFUNCTION("""COMPUTED_VALUE"""),"Uribe Cardona")</f>
        <v>Uribe Cardona</v>
      </c>
      <c r="AJ549" s="6" t="str">
        <f>IFERROR(__xludf.DUMMYFUNCTION("""COMPUTED_VALUE"""),"maclau76281@gmail.com")</f>
        <v>maclau76281@gmail.com</v>
      </c>
      <c r="AK549" s="6" t="str">
        <f>IFERROR(__xludf.DUMMYFUNCTION("""COMPUTED_VALUE"""),"COMUNICADORA SOCIAL")</f>
        <v>COMUNICADORA SOCIAL</v>
      </c>
      <c r="AL549" s="6" t="str">
        <f>IFERROR(__xludf.DUMMYFUNCTION("""COMPUTED_VALUE"""),"NV &amp; MARKETING SAS")</f>
        <v>NV &amp; MARKETING SAS</v>
      </c>
      <c r="AM549" s="12" t="str">
        <f>IFERROR(__xludf.DUMMYFUNCTION("""COMPUTED_VALUE"""),"24585330")</f>
        <v>24585330</v>
      </c>
      <c r="AN549" s="12" t="str">
        <f>IFERROR(__xludf.DUMMYFUNCTION("""COMPUTED_VALUE"""),"3164978962")</f>
        <v>3164978962</v>
      </c>
      <c r="AO549" s="6" t="str">
        <f>IFERROR(__xludf.DUMMYFUNCTION("""COMPUTED_VALUE"""),"Madre")</f>
        <v>Madre</v>
      </c>
      <c r="AP549" s="6" t="str">
        <f>IFERROR(__xludf.DUMMYFUNCTION("""COMPUTED_VALUE"""),"Estudiante(s): Vargas Uribe")</f>
        <v>Estudiante(s): Vargas Uribe</v>
      </c>
      <c r="AQ549" s="6" t="str">
        <f>IFERROR(__xludf.DUMMYFUNCTION("""COMPUTED_VALUE"""),"120058*Gi")</f>
        <v>120058*Gi</v>
      </c>
      <c r="AR549" s="6" t="str">
        <f>IFERROR(__xludf.DUMMYFUNCTION("""COMPUTED_VALUE"""),"Nelson")</f>
        <v>Nelson</v>
      </c>
      <c r="AS549" s="6" t="str">
        <f>IFERROR(__xludf.DUMMYFUNCTION("""COMPUTED_VALUE"""),"Darío")</f>
        <v>Darío</v>
      </c>
      <c r="AT549" s="6" t="str">
        <f>IFERROR(__xludf.DUMMYFUNCTION("""COMPUTED_VALUE"""),"Vargas Moreno")</f>
        <v>Vargas Moreno</v>
      </c>
      <c r="AU549" s="6" t="str">
        <f>IFERROR(__xludf.DUMMYFUNCTION("""COMPUTED_VALUE"""),"nelsondvm@gmail.com")</f>
        <v>nelsondvm@gmail.com</v>
      </c>
      <c r="AV549" s="6" t="str">
        <f>IFERROR(__xludf.DUMMYFUNCTION("""COMPUTED_VALUE"""),"Ingeniero Civil")</f>
        <v>Ingeniero Civil</v>
      </c>
      <c r="AW549" s="6" t="str">
        <f>IFERROR(__xludf.DUMMYFUNCTION("""COMPUTED_VALUE"""),"NV &amp; MARKETING")</f>
        <v>NV &amp; MARKETING</v>
      </c>
      <c r="AX549" s="12" t="str">
        <f>IFERROR(__xludf.DUMMYFUNCTION("""COMPUTED_VALUE"""),"79910055")</f>
        <v>79910055</v>
      </c>
      <c r="AY549" s="12" t="str">
        <f>IFERROR(__xludf.DUMMYFUNCTION("""COMPUTED_VALUE"""),"3114406066")</f>
        <v>3114406066</v>
      </c>
      <c r="AZ549" s="6" t="str">
        <f>IFERROR(__xludf.DUMMYFUNCTION("""COMPUTED_VALUE"""),"Padre")</f>
        <v>Padre</v>
      </c>
      <c r="BA549" s="6"/>
      <c r="BB549" s="6"/>
      <c r="BC549" s="6"/>
      <c r="BD549" s="12" t="str">
        <f>IFERROR(__xludf.DUMMYFUNCTION("""COMPUTED_VALUE"""),"var0001")</f>
        <v>var0001</v>
      </c>
      <c r="BE549" s="6" t="str">
        <f>IFERROR(__xludf.DUMMYFUNCTION("""COMPUTED_VALUE"""),"FALTAN FIRMAS")</f>
        <v>FALTAN FIRMAS</v>
      </c>
      <c r="BF549" s="6"/>
      <c r="BG549" s="6">
        <f>IFERROR(__xludf.DUMMYFUNCTION("""COMPUTED_VALUE"""),2032.0)</f>
        <v>2032</v>
      </c>
      <c r="BH549" s="15">
        <f>IFERROR(__xludf.DUMMYFUNCTION("""COMPUTED_VALUE"""),46212.66884259259)</f>
        <v>46212.66884</v>
      </c>
      <c r="BI549" s="6">
        <f>IFERROR(__xludf.DUMMYFUNCTION("""COMPUTED_VALUE"""),549.0)</f>
        <v>549</v>
      </c>
      <c r="BJ549" s="6"/>
      <c r="BK549" s="6"/>
      <c r="BL549" s="6" t="str">
        <f>IFERROR(__xludf.DUMMYFUNCTION("""COMPUTED_VALUE"""),"GISVAR0001")</f>
        <v>GISVAR0001</v>
      </c>
      <c r="BM549" s="6"/>
      <c r="BN549" s="6"/>
      <c r="BO549" s="6" t="str">
        <f>IFERROR(__xludf.DUMMYFUNCTION("""COMPUTED_VALUE"""),"XC_MS_Voleibol_F")</f>
        <v>XC_MS_Voleibol_F</v>
      </c>
      <c r="BP549" s="6"/>
      <c r="BQ549" s="6" t="str">
        <f>IFERROR(__xludf.DUMMYFUNCTION("""COMPUTED_VALUE"""),"XC_MS_Voleibol_F")</f>
        <v>XC_MS_Voleibol_F</v>
      </c>
      <c r="BR549" s="6" t="str">
        <f>IFERROR(__xludf.DUMMYFUNCTION("""COMPUTED_VALUE"""),"XC_MS_Voleibol_F")</f>
        <v>XC_MS_Voleibol_F</v>
      </c>
      <c r="BS549" s="6"/>
      <c r="BT549" s="6" t="str">
        <f>IFERROR(__xludf.DUMMYFUNCTION("""COMPUTED_VALUE"""),"XC_MS_Voleibol_F")</f>
        <v>XC_MS_Voleibol_F</v>
      </c>
      <c r="BU549" s="6" t="str">
        <f>IFERROR(__xludf.DUMMYFUNCTION("""COMPUTED_VALUE"""),"SI")</f>
        <v>SI</v>
      </c>
      <c r="BV549" s="6" t="str">
        <f>IFERROR(__xludf.DUMMYFUNCTION("""COMPUTED_VALUE"""),"anas.v2032")</f>
        <v>anas.v2032</v>
      </c>
      <c r="BW549" s="6"/>
      <c r="BX549" s="6"/>
      <c r="BY549" s="6"/>
      <c r="BZ549" s="6"/>
    </row>
    <row r="550">
      <c r="A550" s="12">
        <f>IFERROR(__xludf.DUMMYFUNCTION("""COMPUTED_VALUE"""),1.019909996E9)</f>
        <v>1019909996</v>
      </c>
      <c r="B550" s="6">
        <f>IFERROR(__xludf.DUMMYFUNCTION("""COMPUTED_VALUE"""),52.0)</f>
        <v>52</v>
      </c>
      <c r="C550" s="6" t="str">
        <f>IFERROR(__xludf.DUMMYFUNCTION("""COMPUTED_VALUE"""),"Violeta")</f>
        <v>Violeta</v>
      </c>
      <c r="D550" s="6"/>
      <c r="E550" s="6" t="str">
        <f>IFERROR(__xludf.DUMMYFUNCTION("""COMPUTED_VALUE"""),"Vásquez Gómez")</f>
        <v>Vásquez Gómez</v>
      </c>
      <c r="F550" s="6" t="str">
        <f>IFERROR(__xludf.DUMMYFUNCTION("""COMPUTED_VALUE"""),"Condominio Cedro Negro Casa 39 - Km 6 Via Circasia Vereda El Congal")</f>
        <v>Condominio Cedro Negro Casa 39 - Km 6 Via Circasia Vereda El Congal</v>
      </c>
      <c r="G550" s="12" t="str">
        <f>IFERROR(__xludf.DUMMYFUNCTION("""COMPUTED_VALUE"""),"2014")</f>
        <v>2014</v>
      </c>
      <c r="H550" s="6" t="str">
        <f>IFERROR(__xludf.DUMMYFUNCTION("""COMPUTED_VALUE"""),"Septiembre")</f>
        <v>Septiembre</v>
      </c>
      <c r="I550" s="12" t="str">
        <f>IFERROR(__xludf.DUMMYFUNCTION("""COMPUTED_VALUE"""),"4")</f>
        <v>4</v>
      </c>
      <c r="J550" s="6" t="str">
        <f>IFERROR(__xludf.DUMMYFUNCTION("""COMPUTED_VALUE"""),"Bogotá D.C.")</f>
        <v>Bogotá D.C.</v>
      </c>
      <c r="K550" s="6" t="str">
        <f>IFERROR(__xludf.DUMMYFUNCTION("""COMPUTED_VALUE"""),"violeta.v2032@gi.edu.co")</f>
        <v>violeta.v2032@gi.edu.co</v>
      </c>
      <c r="L550" s="6" t="str">
        <f>IFERROR(__xludf.DUMMYFUNCTION("""COMPUTED_VALUE"""),"TI")</f>
        <v>TI</v>
      </c>
      <c r="M550" s="6" t="str">
        <f>IFERROR(__xludf.DUMMYFUNCTION("""COMPUTED_VALUE"""),"Circasia")</f>
        <v>Circasia</v>
      </c>
      <c r="N550" s="6" t="str">
        <f>IFERROR(__xludf.DUMMYFUNCTION("""COMPUTED_VALUE"""),"F")</f>
        <v>F</v>
      </c>
      <c r="O550" s="6" t="str">
        <f>IFERROR(__xludf.DUMMYFUNCTION("""COMPUTED_VALUE"""),"ACTIVE")</f>
        <v>ACTIVE</v>
      </c>
      <c r="P550" s="6"/>
      <c r="Q550" s="6" t="str">
        <f>IFERROR(__xludf.DUMMYFUNCTION("""COMPUTED_VALUE"""),"Circasia")</f>
        <v>Circasia</v>
      </c>
      <c r="R550" s="12" t="str">
        <f>IFERROR(__xludf.DUMMYFUNCTION("""COMPUTED_VALUE"""),"Gitshtq34s*")</f>
        <v>Gitshtq34s*</v>
      </c>
      <c r="S550" s="6" t="str">
        <f>IFERROR(__xludf.DUMMYFUNCTION("""COMPUTED_VALUE"""),"Vásquez Gómez Violeta ")</f>
        <v>Vásquez Gómez Violeta </v>
      </c>
      <c r="T550" s="6" t="str">
        <f>IFERROR(__xludf.DUMMYFUNCTION("""COMPUTED_VALUE"""),"LINA GOMEZ GIRALDO")</f>
        <v>LINA GOMEZ GIRALDO</v>
      </c>
      <c r="U550" s="12" t="str">
        <f>IFERROR(__xludf.DUMMYFUNCTION("""COMPUTED_VALUE"""),"41934561")</f>
        <v>41934561</v>
      </c>
      <c r="V550" s="6">
        <f>IFERROR(__xludf.DUMMYFUNCTION("""COMPUTED_VALUE"""),3.203487432E9)</f>
        <v>3203487432</v>
      </c>
      <c r="W550" s="6" t="str">
        <f>IFERROR(__xludf.DUMMYFUNCTION("""COMPUTED_VALUE"""),"linaproduccion.gomez@live.com")</f>
        <v>linaproduccion.gomez@live.com</v>
      </c>
      <c r="X550" s="12" t="str">
        <f>IFERROR(__xludf.DUMMYFUNCTION("""COMPUTED_VALUE"""),"B+")</f>
        <v>B+</v>
      </c>
      <c r="Y550" s="12" t="str">
        <f>IFERROR(__xludf.DUMMYFUNCTION("""COMPUTED_VALUE"""),"7")</f>
        <v>7</v>
      </c>
      <c r="Z550" s="12">
        <f>IFERROR(__xludf.DUMMYFUNCTION("""COMPUTED_VALUE"""),103684.0)</f>
        <v>103684</v>
      </c>
      <c r="AA550" s="6" t="str">
        <f>IFERROR(__xludf.DUMMYFUNCTION("""COMPUTED_VALUE"""),"SANITAS")</f>
        <v>SANITAS</v>
      </c>
      <c r="AB550" s="6" t="str">
        <f>IFERROR(__xludf.DUMMYFUNCTION("""COMPUTED_VALUE"""),"EMI")</f>
        <v>EMI</v>
      </c>
      <c r="AC550" s="6"/>
      <c r="AD550" s="12" t="str">
        <f>IFERROR(__xludf.DUMMYFUNCTION("""COMPUTED_VALUE"""),"7B")</f>
        <v>7B</v>
      </c>
      <c r="AE550" s="12">
        <f>IFERROR(__xludf.DUMMYFUNCTION("""COMPUTED_VALUE"""),1.345281803E9)</f>
        <v>1345281803</v>
      </c>
      <c r="AF550" s="12" t="str">
        <f>IFERROR(__xludf.DUMMYFUNCTION("""COMPUTED_VALUE"""),"0695926291")</f>
        <v>0695926291</v>
      </c>
      <c r="AG550" s="12" t="str">
        <f>IFERROR(__xludf.DUMMYFUNCTION("""COMPUTED_VALUE"""),"Lina")</f>
        <v>Lina</v>
      </c>
      <c r="AH550" s="6"/>
      <c r="AI550" s="6" t="str">
        <f>IFERROR(__xludf.DUMMYFUNCTION("""COMPUTED_VALUE"""),"Gomez Giraldo")</f>
        <v>Gomez Giraldo</v>
      </c>
      <c r="AJ550" s="6" t="str">
        <f>IFERROR(__xludf.DUMMYFUNCTION("""COMPUTED_VALUE"""),"linaproduccion.gomez@live.com")</f>
        <v>linaproduccion.gomez@live.com</v>
      </c>
      <c r="AK550" s="6" t="str">
        <f>IFERROR(__xludf.DUMMYFUNCTION("""COMPUTED_VALUE"""),"Productora de Television y Cine")</f>
        <v>Productora de Television y Cine</v>
      </c>
      <c r="AL550" s="6" t="str">
        <f>IFERROR(__xludf.DUMMYFUNCTION("""COMPUTED_VALUE"""),"Nube")</f>
        <v>Nube</v>
      </c>
      <c r="AM550" s="12" t="str">
        <f>IFERROR(__xludf.DUMMYFUNCTION("""COMPUTED_VALUE"""),"41934561")</f>
        <v>41934561</v>
      </c>
      <c r="AN550" s="12" t="str">
        <f>IFERROR(__xludf.DUMMYFUNCTION("""COMPUTED_VALUE"""),"3203487432")</f>
        <v>3203487432</v>
      </c>
      <c r="AO550" s="6" t="str">
        <f>IFERROR(__xludf.DUMMYFUNCTION("""COMPUTED_VALUE"""),"Madre")</f>
        <v>Madre</v>
      </c>
      <c r="AP550" s="6" t="str">
        <f>IFERROR(__xludf.DUMMYFUNCTION("""COMPUTED_VALUE"""),"Estudiante(s): Vásquez Gómez")</f>
        <v>Estudiante(s): Vásquez Gómez</v>
      </c>
      <c r="AQ550" s="6" t="str">
        <f>IFERROR(__xludf.DUMMYFUNCTION("""COMPUTED_VALUE"""),"103684*Gi")</f>
        <v>103684*Gi</v>
      </c>
      <c r="AR550" s="6" t="str">
        <f>IFERROR(__xludf.DUMMYFUNCTION("""COMPUTED_VALUE"""),"Mauricio")</f>
        <v>Mauricio</v>
      </c>
      <c r="AS550" s="6"/>
      <c r="AT550" s="6" t="str">
        <f>IFERROR(__xludf.DUMMYFUNCTION("""COMPUTED_VALUE"""),"Vasquez Gonzalez")</f>
        <v>Vasquez Gonzalez</v>
      </c>
      <c r="AU550" s="6" t="str">
        <f>IFERROR(__xludf.DUMMYFUNCTION("""COMPUTED_VALUE"""),"mavezgo@hotmail.com")</f>
        <v>mavezgo@hotmail.com</v>
      </c>
      <c r="AV550" s="6" t="str">
        <f>IFERROR(__xludf.DUMMYFUNCTION("""COMPUTED_VALUE"""),"Administrador de Empresas")</f>
        <v>Administrador de Empresas</v>
      </c>
      <c r="AW550" s="6" t="str">
        <f>IFERROR(__xludf.DUMMYFUNCTION("""COMPUTED_VALUE"""),"Agrobol SAS BIC")</f>
        <v>Agrobol SAS BIC</v>
      </c>
      <c r="AX550" s="12" t="str">
        <f>IFERROR(__xludf.DUMMYFUNCTION("""COMPUTED_VALUE"""),"14899801")</f>
        <v>14899801</v>
      </c>
      <c r="AY550" s="12" t="str">
        <f>IFERROR(__xludf.DUMMYFUNCTION("""COMPUTED_VALUE"""),"3214687620")</f>
        <v>3214687620</v>
      </c>
      <c r="AZ550" s="6" t="str">
        <f>IFERROR(__xludf.DUMMYFUNCTION("""COMPUTED_VALUE"""),"Padre")</f>
        <v>Padre</v>
      </c>
      <c r="BA550" s="6"/>
      <c r="BB550" s="6"/>
      <c r="BC550" s="6"/>
      <c r="BD550" s="12" t="str">
        <f>IFERROR(__xludf.DUMMYFUNCTION("""COMPUTED_VALUE"""),"vas0002")</f>
        <v>vas0002</v>
      </c>
      <c r="BE550" s="6"/>
      <c r="BF550" s="6"/>
      <c r="BG550" s="6">
        <f>IFERROR(__xludf.DUMMYFUNCTION("""COMPUTED_VALUE"""),2032.0)</f>
        <v>2032</v>
      </c>
      <c r="BH550" s="15">
        <f>IFERROR(__xludf.DUMMYFUNCTION("""COMPUTED_VALUE"""),46206.38892361111)</f>
        <v>46206.38892</v>
      </c>
      <c r="BI550" s="6">
        <f>IFERROR(__xludf.DUMMYFUNCTION("""COMPUTED_VALUE"""),550.0)</f>
        <v>550</v>
      </c>
      <c r="BJ550" s="6"/>
      <c r="BK550" s="6"/>
      <c r="BL550" s="6" t="str">
        <f>IFERROR(__xludf.DUMMYFUNCTION("""COMPUTED_VALUE"""),"GISVAS0002")</f>
        <v>GISVAS0002</v>
      </c>
      <c r="BM550" s="6"/>
      <c r="BN550" s="6"/>
      <c r="BO550" s="6" t="str">
        <f>IFERROR(__xludf.DUMMYFUNCTION("""COMPUTED_VALUE"""),"XC_SEC_Futbol_F")</f>
        <v>XC_SEC_Futbol_F</v>
      </c>
      <c r="BP550" s="6" t="str">
        <f>IFERROR(__xludf.DUMMYFUNCTION("""COMPUTED_VALUE"""),"XC_SEC_BandaFW")</f>
        <v>XC_SEC_BandaFW</v>
      </c>
      <c r="BQ550" s="6" t="str">
        <f>IFERROR(__xludf.DUMMYFUNCTION("""COMPUTED_VALUE"""),"XC_SEC_Futbol_F")</f>
        <v>XC_SEC_Futbol_F</v>
      </c>
      <c r="BR550" s="6" t="str">
        <f>IFERROR(__xludf.DUMMYFUNCTION("""COMPUTED_VALUE"""),"XC_SEC_Futbol_F")</f>
        <v>XC_SEC_Futbol_F</v>
      </c>
      <c r="BS550" s="6"/>
      <c r="BT550" s="6" t="str">
        <f>IFERROR(__xludf.DUMMYFUNCTION("""COMPUTED_VALUE"""),"XC_SEC_Futbol_F")</f>
        <v>XC_SEC_Futbol_F</v>
      </c>
      <c r="BU550" s="6" t="str">
        <f>IFERROR(__xludf.DUMMYFUNCTION("""COMPUTED_VALUE"""),"SI")</f>
        <v>SI</v>
      </c>
      <c r="BV550" s="6" t="str">
        <f>IFERROR(__xludf.DUMMYFUNCTION("""COMPUTED_VALUE"""),"violeta.v2032")</f>
        <v>violeta.v2032</v>
      </c>
      <c r="BW550" s="6"/>
      <c r="BX550" s="6"/>
      <c r="BY550" s="6"/>
      <c r="BZ550" s="6"/>
    </row>
    <row r="551">
      <c r="A551" s="12">
        <f>IFERROR(__xludf.DUMMYFUNCTION("""COMPUTED_VALUE"""),1.125813727E9)</f>
        <v>1125813727</v>
      </c>
      <c r="B551" s="6">
        <f>IFERROR(__xludf.DUMMYFUNCTION("""COMPUTED_VALUE"""),53.0)</f>
        <v>53</v>
      </c>
      <c r="C551" s="6" t="str">
        <f>IFERROR(__xludf.DUMMYFUNCTION("""COMPUTED_VALUE"""),"Emma")</f>
        <v>Emma</v>
      </c>
      <c r="D551" s="6"/>
      <c r="E551" s="6" t="str">
        <f>IFERROR(__xludf.DUMMYFUNCTION("""COMPUTED_VALUE"""),"Vega Cordero")</f>
        <v>Vega Cordero</v>
      </c>
      <c r="F551" s="6" t="str">
        <f>IFERROR(__xludf.DUMMYFUNCTION("""COMPUTED_VALUE"""),"Calle 31Nte No20 - 15 Torre 2 Apto 704")</f>
        <v>Calle 31Nte No20 - 15 Torre 2 Apto 704</v>
      </c>
      <c r="G551" s="12">
        <f>IFERROR(__xludf.DUMMYFUNCTION("""COMPUTED_VALUE"""),2014.0)</f>
        <v>2014</v>
      </c>
      <c r="H551" s="6" t="str">
        <f>IFERROR(__xludf.DUMMYFUNCTION("""COMPUTED_VALUE"""),"Marzo")</f>
        <v>Marzo</v>
      </c>
      <c r="I551" s="12">
        <f>IFERROR(__xludf.DUMMYFUNCTION("""COMPUTED_VALUE"""),26.0)</f>
        <v>26</v>
      </c>
      <c r="J551" s="6" t="str">
        <f>IFERROR(__xludf.DUMMYFUNCTION("""COMPUTED_VALUE"""),"New York")</f>
        <v>New York</v>
      </c>
      <c r="K551" s="6" t="str">
        <f>IFERROR(__xludf.DUMMYFUNCTION("""COMPUTED_VALUE"""),"emma.v2032@gi.edu.co")</f>
        <v>emma.v2032@gi.edu.co</v>
      </c>
      <c r="L551" s="6" t="str">
        <f>IFERROR(__xludf.DUMMYFUNCTION("""COMPUTED_VALUE"""),"TI")</f>
        <v>TI</v>
      </c>
      <c r="M551" s="6" t="str">
        <f>IFERROR(__xludf.DUMMYFUNCTION("""COMPUTED_VALUE"""),"New York")</f>
        <v>New York</v>
      </c>
      <c r="N551" s="6" t="str">
        <f>IFERROR(__xludf.DUMMYFUNCTION("""COMPUTED_VALUE"""),"F")</f>
        <v>F</v>
      </c>
      <c r="O551" s="6" t="str">
        <f>IFERROR(__xludf.DUMMYFUNCTION("""COMPUTED_VALUE"""),"ACTIVE")</f>
        <v>ACTIVE</v>
      </c>
      <c r="P551" s="6"/>
      <c r="Q551" s="6" t="str">
        <f>IFERROR(__xludf.DUMMYFUNCTION("""COMPUTED_VALUE"""),"Armenia")</f>
        <v>Armenia</v>
      </c>
      <c r="R551" s="12" t="str">
        <f>IFERROR(__xludf.DUMMYFUNCTION("""COMPUTED_VALUE"""),"Giws86f4s*")</f>
        <v>Giws86f4s*</v>
      </c>
      <c r="S551" s="6" t="str">
        <f>IFERROR(__xludf.DUMMYFUNCTION("""COMPUTED_VALUE"""),"Vega Cordero Emma ")</f>
        <v>Vega Cordero Emma </v>
      </c>
      <c r="T551" s="6" t="str">
        <f>IFERROR(__xludf.DUMMYFUNCTION("""COMPUTED_VALUE"""),"MARIA FERNANDA CORDERO ARCINIEGAS")</f>
        <v>MARIA FERNANDA CORDERO ARCINIEGAS</v>
      </c>
      <c r="U551" s="12" t="str">
        <f>IFERROR(__xludf.DUMMYFUNCTION("""COMPUTED_VALUE"""),"1125789540")</f>
        <v>1125789540</v>
      </c>
      <c r="V551" s="6">
        <f>IFERROR(__xludf.DUMMYFUNCTION("""COMPUTED_VALUE"""),3.025050382E9)</f>
        <v>3025050382</v>
      </c>
      <c r="W551" s="6" t="str">
        <f>IFERROR(__xludf.DUMMYFUNCTION("""COMPUTED_VALUE"""),"corderofernandaa@gmail.com")</f>
        <v>corderofernandaa@gmail.com</v>
      </c>
      <c r="X551" s="12" t="str">
        <f>IFERROR(__xludf.DUMMYFUNCTION("""COMPUTED_VALUE"""),"A+")</f>
        <v>A+</v>
      </c>
      <c r="Y551" s="12" t="str">
        <f>IFERROR(__xludf.DUMMYFUNCTION("""COMPUTED_VALUE"""),"7")</f>
        <v>7</v>
      </c>
      <c r="Z551" s="12">
        <f>IFERROR(__xludf.DUMMYFUNCTION("""COMPUTED_VALUE"""),120475.0)</f>
        <v>120475</v>
      </c>
      <c r="AA551" s="6" t="str">
        <f>IFERROR(__xludf.DUMMYFUNCTION("""COMPUTED_VALUE"""),"SANITAS")</f>
        <v>SANITAS</v>
      </c>
      <c r="AB551" s="6"/>
      <c r="AC551" s="12" t="str">
        <f>IFERROR(__xludf.DUMMYFUNCTION("""COMPUTED_VALUE"""),"AVES AL AGUACATE, MANZANA, BANANO Seasonals")</f>
        <v>AVES AL AGUACATE, MANZANA, BANANO Seasonals</v>
      </c>
      <c r="AD551" s="12" t="str">
        <f>IFERROR(__xludf.DUMMYFUNCTION("""COMPUTED_VALUE"""),"7A")</f>
        <v>7A</v>
      </c>
      <c r="AE551" s="12" t="str">
        <f>IFERROR(__xludf.DUMMYFUNCTION("""COMPUTED_VALUE"""),"1345282485")</f>
        <v>1345282485</v>
      </c>
      <c r="AF551" s="12" t="str">
        <f>IFERROR(__xludf.DUMMYFUNCTION("""COMPUTED_VALUE"""),"0736160531")</f>
        <v>0736160531</v>
      </c>
      <c r="AG551" s="12" t="str">
        <f>IFERROR(__xludf.DUMMYFUNCTION("""COMPUTED_VALUE"""),"María")</f>
        <v>María</v>
      </c>
      <c r="AH551" s="12" t="str">
        <f>IFERROR(__xludf.DUMMYFUNCTION("""COMPUTED_VALUE"""),"Fernanda")</f>
        <v>Fernanda</v>
      </c>
      <c r="AI551" s="6" t="str">
        <f>IFERROR(__xludf.DUMMYFUNCTION("""COMPUTED_VALUE"""),"Cordero Arciniegas")</f>
        <v>Cordero Arciniegas</v>
      </c>
      <c r="AJ551" s="6" t="str">
        <f>IFERROR(__xludf.DUMMYFUNCTION("""COMPUTED_VALUE"""),"corderofernandaa@gmail.com")</f>
        <v>corderofernandaa@gmail.com</v>
      </c>
      <c r="AK551" s="6" t="str">
        <f>IFERROR(__xludf.DUMMYFUNCTION("""COMPUTED_VALUE"""),"Dental Surgical Assistant ")</f>
        <v>Dental Surgical Assistant </v>
      </c>
      <c r="AL551" s="6" t="str">
        <f>IFERROR(__xludf.DUMMYFUNCTION("""COMPUTED_VALUE"""),"SELF EMPLOYEE")</f>
        <v>SELF EMPLOYEE</v>
      </c>
      <c r="AM551" s="12" t="str">
        <f>IFERROR(__xludf.DUMMYFUNCTION("""COMPUTED_VALUE"""),"1125789540")</f>
        <v>1125789540</v>
      </c>
      <c r="AN551" s="12" t="str">
        <f>IFERROR(__xludf.DUMMYFUNCTION("""COMPUTED_VALUE"""),"3025050382")</f>
        <v>3025050382</v>
      </c>
      <c r="AO551" s="6" t="str">
        <f>IFERROR(__xludf.DUMMYFUNCTION("""COMPUTED_VALUE"""),"Madre")</f>
        <v>Madre</v>
      </c>
      <c r="AP551" s="6" t="str">
        <f>IFERROR(__xludf.DUMMYFUNCTION("""COMPUTED_VALUE"""),"Estudiante(s): Vega Cordero")</f>
        <v>Estudiante(s): Vega Cordero</v>
      </c>
      <c r="AQ551" s="6" t="str">
        <f>IFERROR(__xludf.DUMMYFUNCTION("""COMPUTED_VALUE"""),"120475*Gi")</f>
        <v>120475*Gi</v>
      </c>
      <c r="AR551" s="6" t="str">
        <f>IFERROR(__xludf.DUMMYFUNCTION("""COMPUTED_VALUE"""),"Jean")</f>
        <v>Jean</v>
      </c>
      <c r="AS551" s="6" t="str">
        <f>IFERROR(__xludf.DUMMYFUNCTION("""COMPUTED_VALUE"""),"Paul")</f>
        <v>Paul</v>
      </c>
      <c r="AT551" s="6" t="str">
        <f>IFERROR(__xludf.DUMMYFUNCTION("""COMPUTED_VALUE"""),"Vega Jaramillo")</f>
        <v>Vega Jaramillo</v>
      </c>
      <c r="AU551" s="6" t="str">
        <f>IFERROR(__xludf.DUMMYFUNCTION("""COMPUTED_VALUE"""),"corderofernandaa@gmail.com")</f>
        <v>corderofernandaa@gmail.com</v>
      </c>
      <c r="AV551" s="6" t="str">
        <f>IFERROR(__xludf.DUMMYFUNCTION("""COMPUTED_VALUE"""),"Self employee ")</f>
        <v>Self employee </v>
      </c>
      <c r="AW551" s="6"/>
      <c r="AX551" s="12" t="str">
        <f>IFERROR(__xludf.DUMMYFUNCTION("""COMPUTED_VALUE"""),"1125786989")</f>
        <v>1125786989</v>
      </c>
      <c r="AY551" s="12" t="str">
        <f>IFERROR(__xludf.DUMMYFUNCTION("""COMPUTED_VALUE"""),"3103954884")</f>
        <v>3103954884</v>
      </c>
      <c r="AZ551" s="6" t="str">
        <f>IFERROR(__xludf.DUMMYFUNCTION("""COMPUTED_VALUE"""),"Padre")</f>
        <v>Padre</v>
      </c>
      <c r="BA551" s="6"/>
      <c r="BB551" s="6"/>
      <c r="BC551" s="6"/>
      <c r="BD551" s="12" t="str">
        <f>IFERROR(__xludf.DUMMYFUNCTION("""COMPUTED_VALUE"""),"veg0001")</f>
        <v>veg0001</v>
      </c>
      <c r="BE551" s="6"/>
      <c r="BF551" s="6"/>
      <c r="BG551" s="6">
        <f>IFERROR(__xludf.DUMMYFUNCTION("""COMPUTED_VALUE"""),2032.0)</f>
        <v>2032</v>
      </c>
      <c r="BH551" s="15">
        <f>IFERROR(__xludf.DUMMYFUNCTION("""COMPUTED_VALUE"""),46222.5249537037)</f>
        <v>46222.52495</v>
      </c>
      <c r="BI551" s="6">
        <f>IFERROR(__xludf.DUMMYFUNCTION("""COMPUTED_VALUE"""),551.0)</f>
        <v>551</v>
      </c>
      <c r="BJ551" s="6"/>
      <c r="BK551" s="6"/>
      <c r="BL551" s="6" t="str">
        <f>IFERROR(__xludf.DUMMYFUNCTION("""COMPUTED_VALUE"""),"GISVEG0001")</f>
        <v>GISVEG0001</v>
      </c>
      <c r="BM551" s="6"/>
      <c r="BN551" s="6"/>
      <c r="BO551" s="6" t="str">
        <f>IFERROR(__xludf.DUMMYFUNCTION("""COMPUTED_VALUE"""),"XC_SEC_Futbol_F")</f>
        <v>XC_SEC_Futbol_F</v>
      </c>
      <c r="BP551" s="6"/>
      <c r="BQ551" s="6" t="str">
        <f>IFERROR(__xludf.DUMMYFUNCTION("""COMPUTED_VALUE"""),"XC_SEC_Futbol_F")</f>
        <v>XC_SEC_Futbol_F</v>
      </c>
      <c r="BR551" s="6" t="str">
        <f>IFERROR(__xludf.DUMMYFUNCTION("""COMPUTED_VALUE"""),"XC_SEC_Futbol_F")</f>
        <v>XC_SEC_Futbol_F</v>
      </c>
      <c r="BS551" s="6"/>
      <c r="BT551" s="6" t="str">
        <f>IFERROR(__xludf.DUMMYFUNCTION("""COMPUTED_VALUE"""),"XC_SEC_Futbol_F")</f>
        <v>XC_SEC_Futbol_F</v>
      </c>
      <c r="BU551" s="6" t="str">
        <f>IFERROR(__xludf.DUMMYFUNCTION("""COMPUTED_VALUE"""),"SI")</f>
        <v>SI</v>
      </c>
      <c r="BV551" s="6" t="str">
        <f>IFERROR(__xludf.DUMMYFUNCTION("""COMPUTED_VALUE"""),"emma.v2032")</f>
        <v>emma.v2032</v>
      </c>
      <c r="BW551" s="6"/>
      <c r="BX551" s="6"/>
      <c r="BY551" s="6"/>
      <c r="BZ551" s="6"/>
    </row>
    <row r="552">
      <c r="A552" s="12">
        <f>IFERROR(__xludf.DUMMYFUNCTION("""COMPUTED_VALUE"""),1.092857263E9)</f>
        <v>1092857263</v>
      </c>
      <c r="B552" s="6">
        <f>IFERROR(__xludf.DUMMYFUNCTION("""COMPUTED_VALUE"""),54.0)</f>
        <v>54</v>
      </c>
      <c r="C552" s="6" t="str">
        <f>IFERROR(__xludf.DUMMYFUNCTION("""COMPUTED_VALUE"""),"María")</f>
        <v>María</v>
      </c>
      <c r="D552" s="6"/>
      <c r="E552" s="6" t="str">
        <f>IFERROR(__xludf.DUMMYFUNCTION("""COMPUTED_VALUE"""),"Vélez Heredia")</f>
        <v>Vélez Heredia</v>
      </c>
      <c r="F552" s="6" t="str">
        <f>IFERROR(__xludf.DUMMYFUNCTION("""COMPUTED_VALUE"""),"Edificio Torre Alicante Apto 802 - Cra 11 No12Nte - 60 La Castellana")</f>
        <v>Edificio Torre Alicante Apto 802 - Cra 11 No12Nte - 60 La Castellana</v>
      </c>
      <c r="G552" s="12" t="str">
        <f>IFERROR(__xludf.DUMMYFUNCTION("""COMPUTED_VALUE"""),"2013")</f>
        <v>2013</v>
      </c>
      <c r="H552" s="6" t="str">
        <f>IFERROR(__xludf.DUMMYFUNCTION("""COMPUTED_VALUE"""),"Noviembre")</f>
        <v>Noviembre</v>
      </c>
      <c r="I552" s="12" t="str">
        <f>IFERROR(__xludf.DUMMYFUNCTION("""COMPUTED_VALUE"""),"12")</f>
        <v>12</v>
      </c>
      <c r="J552" s="6" t="str">
        <f>IFERROR(__xludf.DUMMYFUNCTION("""COMPUTED_VALUE"""),"Armenia")</f>
        <v>Armenia</v>
      </c>
      <c r="K552" s="6" t="str">
        <f>IFERROR(__xludf.DUMMYFUNCTION("""COMPUTED_VALUE"""),"maria.v2032@gi.edu.co")</f>
        <v>maria.v2032@gi.edu.co</v>
      </c>
      <c r="L552" s="6" t="str">
        <f>IFERROR(__xludf.DUMMYFUNCTION("""COMPUTED_VALUE"""),"TI")</f>
        <v>TI</v>
      </c>
      <c r="M552" s="6" t="str">
        <f>IFERROR(__xludf.DUMMYFUNCTION("""COMPUTED_VALUE"""),"Armenia")</f>
        <v>Armenia</v>
      </c>
      <c r="N552" s="6" t="str">
        <f>IFERROR(__xludf.DUMMYFUNCTION("""COMPUTED_VALUE"""),"F")</f>
        <v>F</v>
      </c>
      <c r="O552" s="6" t="str">
        <f>IFERROR(__xludf.DUMMYFUNCTION("""COMPUTED_VALUE"""),"INACTIVE")</f>
        <v>INACTIVE</v>
      </c>
      <c r="P552" s="6"/>
      <c r="Q552" s="6" t="str">
        <f>IFERROR(__xludf.DUMMYFUNCTION("""COMPUTED_VALUE"""),"Armenia")</f>
        <v>Armenia</v>
      </c>
      <c r="R552" s="12" t="str">
        <f>IFERROR(__xludf.DUMMYFUNCTION("""COMPUTED_VALUE"""),"Gi2sdfrt67*")</f>
        <v>Gi2sdfrt67*</v>
      </c>
      <c r="S552" s="6" t="str">
        <f>IFERROR(__xludf.DUMMYFUNCTION("""COMPUTED_VALUE"""),"Vélez Heredia María ")</f>
        <v>Vélez Heredia María </v>
      </c>
      <c r="T552" s="6" t="str">
        <f>IFERROR(__xludf.DUMMYFUNCTION("""COMPUTED_VALUE"""),"ANA MARÍA HEREDIA BOTERO")</f>
        <v>ANA MARÍA HEREDIA BOTERO</v>
      </c>
      <c r="U552" s="12" t="str">
        <f>IFERROR(__xludf.DUMMYFUNCTION("""COMPUTED_VALUE"""),"30393736")</f>
        <v>30393736</v>
      </c>
      <c r="V552" s="6">
        <f>IFERROR(__xludf.DUMMYFUNCTION("""COMPUTED_VALUE"""),3.168781317E9)</f>
        <v>3168781317</v>
      </c>
      <c r="W552" s="6" t="str">
        <f>IFERROR(__xludf.DUMMYFUNCTION("""COMPUTED_VALUE"""),"anahebo2003@hotmail.com")</f>
        <v>anahebo2003@hotmail.com</v>
      </c>
      <c r="X552" s="12" t="str">
        <f>IFERROR(__xludf.DUMMYFUNCTION("""COMPUTED_VALUE"""),"O+")</f>
        <v>O+</v>
      </c>
      <c r="Y552" s="12" t="str">
        <f>IFERROR(__xludf.DUMMYFUNCTION("""COMPUTED_VALUE"""),"7")</f>
        <v>7</v>
      </c>
      <c r="Z552" s="12">
        <f>IFERROR(__xludf.DUMMYFUNCTION("""COMPUTED_VALUE"""),103485.0)</f>
        <v>103485</v>
      </c>
      <c r="AA552" s="6" t="str">
        <f>IFERROR(__xludf.DUMMYFUNCTION("""COMPUTED_VALUE"""),"SURA")</f>
        <v>SURA</v>
      </c>
      <c r="AB552" s="6" t="str">
        <f>IFERROR(__xludf.DUMMYFUNCTION("""COMPUTED_VALUE"""),"sanitas y emi")</f>
        <v>sanitas y emi</v>
      </c>
      <c r="AC552" s="12" t="str">
        <f>IFERROR(__xludf.DUMMYFUNCTION("""COMPUTED_VALUE"""),"renitis o alergia al frio")</f>
        <v>renitis o alergia al frio</v>
      </c>
      <c r="AD552" s="12" t="str">
        <f>IFERROR(__xludf.DUMMYFUNCTION("""COMPUTED_VALUE"""),"7A")</f>
        <v>7A</v>
      </c>
      <c r="AE552" s="12">
        <f>IFERROR(__xludf.DUMMYFUNCTION("""COMPUTED_VALUE"""),1.345281678E9)</f>
        <v>1345281678</v>
      </c>
      <c r="AF552" s="12" t="str">
        <f>IFERROR(__xludf.DUMMYFUNCTION("""COMPUTED_VALUE"""),"0691580851")</f>
        <v>0691580851</v>
      </c>
      <c r="AG552" s="12" t="str">
        <f>IFERROR(__xludf.DUMMYFUNCTION("""COMPUTED_VALUE"""),"Ana")</f>
        <v>Ana</v>
      </c>
      <c r="AH552" s="12" t="str">
        <f>IFERROR(__xludf.DUMMYFUNCTION("""COMPUTED_VALUE"""),"María")</f>
        <v>María</v>
      </c>
      <c r="AI552" s="6" t="str">
        <f>IFERROR(__xludf.DUMMYFUNCTION("""COMPUTED_VALUE"""),"Heredia Botero")</f>
        <v>Heredia Botero</v>
      </c>
      <c r="AJ552" s="6" t="str">
        <f>IFERROR(__xludf.DUMMYFUNCTION("""COMPUTED_VALUE"""),"anahebo2003@hotmail.com")</f>
        <v>anahebo2003@hotmail.com</v>
      </c>
      <c r="AK552" s="6" t="str">
        <f>IFERROR(__xludf.DUMMYFUNCTION("""COMPUTED_VALUE"""),"Mercadeo")</f>
        <v>Mercadeo</v>
      </c>
      <c r="AL552" s="6" t="str">
        <f>IFERROR(__xludf.DUMMYFUNCTION("""COMPUTED_VALUE"""),"Tigo")</f>
        <v>Tigo</v>
      </c>
      <c r="AM552" s="12" t="str">
        <f>IFERROR(__xludf.DUMMYFUNCTION("""COMPUTED_VALUE"""),"30393736")</f>
        <v>30393736</v>
      </c>
      <c r="AN552" s="12" t="str">
        <f>IFERROR(__xludf.DUMMYFUNCTION("""COMPUTED_VALUE"""),"3168781317")</f>
        <v>3168781317</v>
      </c>
      <c r="AO552" s="6" t="str">
        <f>IFERROR(__xludf.DUMMYFUNCTION("""COMPUTED_VALUE"""),"Madre")</f>
        <v>Madre</v>
      </c>
      <c r="AP552" s="6" t="str">
        <f>IFERROR(__xludf.DUMMYFUNCTION("""COMPUTED_VALUE"""),"Estudiante(s): Vélez Heredia")</f>
        <v>Estudiante(s): Vélez Heredia</v>
      </c>
      <c r="AQ552" s="6" t="str">
        <f>IFERROR(__xludf.DUMMYFUNCTION("""COMPUTED_VALUE"""),"102094*Gi")</f>
        <v>102094*Gi</v>
      </c>
      <c r="AR552" s="6" t="str">
        <f>IFERROR(__xludf.DUMMYFUNCTION("""COMPUTED_VALUE"""),"Rubén")</f>
        <v>Rubén</v>
      </c>
      <c r="AS552" s="6" t="str">
        <f>IFERROR(__xludf.DUMMYFUNCTION("""COMPUTED_VALUE"""),"Darío")</f>
        <v>Darío</v>
      </c>
      <c r="AT552" s="6" t="str">
        <f>IFERROR(__xludf.DUMMYFUNCTION("""COMPUTED_VALUE"""),"Vélez Villegas")</f>
        <v>Vélez Villegas</v>
      </c>
      <c r="AU552" s="6" t="str">
        <f>IFERROR(__xludf.DUMMYFUNCTION("""COMPUTED_VALUE"""),"rudave@hotmail.com")</f>
        <v>rudave@hotmail.com</v>
      </c>
      <c r="AV552" s="6" t="str">
        <f>IFERROR(__xludf.DUMMYFUNCTION("""COMPUTED_VALUE"""),"Avicultor")</f>
        <v>Avicultor</v>
      </c>
      <c r="AW552" s="6"/>
      <c r="AX552" s="12" t="str">
        <f>IFERROR(__xludf.DUMMYFUNCTION("""COMPUTED_VALUE"""),"89008021")</f>
        <v>89008021</v>
      </c>
      <c r="AY552" s="12" t="str">
        <f>IFERROR(__xludf.DUMMYFUNCTION("""COMPUTED_VALUE"""),"3154763112")</f>
        <v>3154763112</v>
      </c>
      <c r="AZ552" s="6" t="str">
        <f>IFERROR(__xludf.DUMMYFUNCTION("""COMPUTED_VALUE"""),"Padre")</f>
        <v>Padre</v>
      </c>
      <c r="BA552" s="6"/>
      <c r="BB552" s="6"/>
      <c r="BC552" s="6"/>
      <c r="BD552" s="12" t="str">
        <f>IFERROR(__xludf.DUMMYFUNCTION("""COMPUTED_VALUE"""),"vle0001")</f>
        <v>vle0001</v>
      </c>
      <c r="BE552" s="6" t="str">
        <f>IFERROR(__xludf.DUMMYFUNCTION("""COMPUTED_VALUE"""),"FALTAN FIRMAS")</f>
        <v>FALTAN FIRMAS</v>
      </c>
      <c r="BF552" s="6"/>
      <c r="BG552" s="6">
        <f>IFERROR(__xludf.DUMMYFUNCTION("""COMPUTED_VALUE"""),2032.0)</f>
        <v>2032</v>
      </c>
      <c r="BH552" s="15">
        <f>IFERROR(__xludf.DUMMYFUNCTION("""COMPUTED_VALUE"""),46203.960069444445)</f>
        <v>46203.96007</v>
      </c>
      <c r="BI552" s="6">
        <f>IFERROR(__xludf.DUMMYFUNCTION("""COMPUTED_VALUE"""),552.0)</f>
        <v>552</v>
      </c>
      <c r="BJ552" s="6"/>
      <c r="BK552" s="6"/>
      <c r="BL552" s="6" t="str">
        <f>IFERROR(__xludf.DUMMYFUNCTION("""COMPUTED_VALUE"""),"GISVLE0001")</f>
        <v>GISVLE0001</v>
      </c>
      <c r="BM552" s="6"/>
      <c r="BN552" s="6"/>
      <c r="BO552" s="6"/>
      <c r="BP552" s="6"/>
      <c r="BQ552" s="6"/>
      <c r="BR552" s="6"/>
      <c r="BS552" s="6"/>
      <c r="BT552" s="6"/>
      <c r="BU552" s="6" t="str">
        <f>IFERROR(__xludf.DUMMYFUNCTION("""COMPUTED_VALUE"""),"SI")</f>
        <v>SI</v>
      </c>
      <c r="BV552" s="6" t="str">
        <f>IFERROR(__xludf.DUMMYFUNCTION("""COMPUTED_VALUE"""),"maria.v2032")</f>
        <v>maria.v2032</v>
      </c>
      <c r="BW552" s="6"/>
      <c r="BX552" s="6"/>
      <c r="BY552" s="6"/>
      <c r="BZ552" s="6"/>
    </row>
    <row r="553">
      <c r="A553" s="12">
        <f>IFERROR(__xludf.DUMMYFUNCTION("""COMPUTED_VALUE"""),1.092857613E9)</f>
        <v>1092857613</v>
      </c>
      <c r="B553" s="6">
        <f>IFERROR(__xludf.DUMMYFUNCTION("""COMPUTED_VALUE"""),55.0)</f>
        <v>55</v>
      </c>
      <c r="C553" s="6" t="str">
        <f>IFERROR(__xludf.DUMMYFUNCTION("""COMPUTED_VALUE"""),"Samuel")</f>
        <v>Samuel</v>
      </c>
      <c r="D553" s="6"/>
      <c r="E553" s="6" t="str">
        <f>IFERROR(__xludf.DUMMYFUNCTION("""COMPUTED_VALUE"""),"Zuluaga Valencia")</f>
        <v>Zuluaga Valencia</v>
      </c>
      <c r="F553" s="6" t="str">
        <f>IFERROR(__xludf.DUMMYFUNCTION("""COMPUTED_VALUE"""),"Edificio Tacuara Apto 1101 - Cra 14 No4 - 15")</f>
        <v>Edificio Tacuara Apto 1101 - Cra 14 No4 - 15</v>
      </c>
      <c r="G553" s="12" t="str">
        <f>IFERROR(__xludf.DUMMYFUNCTION("""COMPUTED_VALUE"""),"2014")</f>
        <v>2014</v>
      </c>
      <c r="H553" s="6" t="str">
        <f>IFERROR(__xludf.DUMMYFUNCTION("""COMPUTED_VALUE"""),"Marzo")</f>
        <v>Marzo</v>
      </c>
      <c r="I553" s="12" t="str">
        <f>IFERROR(__xludf.DUMMYFUNCTION("""COMPUTED_VALUE"""),"18")</f>
        <v>18</v>
      </c>
      <c r="J553" s="6" t="str">
        <f>IFERROR(__xludf.DUMMYFUNCTION("""COMPUTED_VALUE"""),"Armenia")</f>
        <v>Armenia</v>
      </c>
      <c r="K553" s="6" t="str">
        <f>IFERROR(__xludf.DUMMYFUNCTION("""COMPUTED_VALUE"""),"samuel.z2032@gi.edu.co")</f>
        <v>samuel.z2032@gi.edu.co</v>
      </c>
      <c r="L553" s="6" t="str">
        <f>IFERROR(__xludf.DUMMYFUNCTION("""COMPUTED_VALUE"""),"RC")</f>
        <v>RC</v>
      </c>
      <c r="M553" s="6" t="str">
        <f>IFERROR(__xludf.DUMMYFUNCTION("""COMPUTED_VALUE"""),"Armenia")</f>
        <v>Armenia</v>
      </c>
      <c r="N553" s="6" t="str">
        <f>IFERROR(__xludf.DUMMYFUNCTION("""COMPUTED_VALUE"""),"M")</f>
        <v>M</v>
      </c>
      <c r="O553" s="6" t="str">
        <f>IFERROR(__xludf.DUMMYFUNCTION("""COMPUTED_VALUE"""),"INACTIVE")</f>
        <v>INACTIVE</v>
      </c>
      <c r="P553" s="6"/>
      <c r="Q553" s="6" t="str">
        <f>IFERROR(__xludf.DUMMYFUNCTION("""COMPUTED_VALUE"""),"Armenia")</f>
        <v>Armenia</v>
      </c>
      <c r="R553" s="12" t="str">
        <f>IFERROR(__xludf.DUMMYFUNCTION("""COMPUTED_VALUE"""),"Gin9m34d1*")</f>
        <v>Gin9m34d1*</v>
      </c>
      <c r="S553" s="6" t="str">
        <f>IFERROR(__xludf.DUMMYFUNCTION("""COMPUTED_VALUE"""),"Zuluaga Valencia Samuel ")</f>
        <v>Zuluaga Valencia Samuel </v>
      </c>
      <c r="T553" s="6" t="str">
        <f>IFERROR(__xludf.DUMMYFUNCTION("""COMPUTED_VALUE"""),"CLAUDIA MARCELA VALENCIA CUARTAS")</f>
        <v>CLAUDIA MARCELA VALENCIA CUARTAS</v>
      </c>
      <c r="U553" s="12" t="str">
        <f>IFERROR(__xludf.DUMMYFUNCTION("""COMPUTED_VALUE"""),"41951649")</f>
        <v>41951649</v>
      </c>
      <c r="V553" s="6">
        <f>IFERROR(__xludf.DUMMYFUNCTION("""COMPUTED_VALUE"""),3.216212065E9)</f>
        <v>3216212065</v>
      </c>
      <c r="W553" s="6" t="str">
        <f>IFERROR(__xludf.DUMMYFUNCTION("""COMPUTED_VALUE"""),"clax82_09@hotmail.com")</f>
        <v>clax82_09@hotmail.com</v>
      </c>
      <c r="X553" s="12" t="str">
        <f>IFERROR(__xludf.DUMMYFUNCTION("""COMPUTED_VALUE"""),"O+")</f>
        <v>O+</v>
      </c>
      <c r="Y553" s="12" t="str">
        <f>IFERROR(__xludf.DUMMYFUNCTION("""COMPUTED_VALUE"""),"7")</f>
        <v>7</v>
      </c>
      <c r="Z553" s="12">
        <f>IFERROR(__xludf.DUMMYFUNCTION("""COMPUTED_VALUE"""),120070.0)</f>
        <v>120070</v>
      </c>
      <c r="AA553" s="6" t="str">
        <f>IFERROR(__xludf.DUMMYFUNCTION("""COMPUTED_VALUE"""),"NUEVA EPS")</f>
        <v>NUEVA EPS</v>
      </c>
      <c r="AB553" s="6"/>
      <c r="AC553" s="6"/>
      <c r="AD553" s="12" t="str">
        <f>IFERROR(__xludf.DUMMYFUNCTION("""COMPUTED_VALUE"""),"7A")</f>
        <v>7A</v>
      </c>
      <c r="AE553" s="12">
        <f>IFERROR(__xludf.DUMMYFUNCTION("""COMPUTED_VALUE"""),1.345282096E9)</f>
        <v>1345282096</v>
      </c>
      <c r="AF553" s="12" t="str">
        <f>IFERROR(__xludf.DUMMYFUNCTION("""COMPUTED_VALUE"""),"0685975779")</f>
        <v>0685975779</v>
      </c>
      <c r="AG553" s="12" t="str">
        <f>IFERROR(__xludf.DUMMYFUNCTION("""COMPUTED_VALUE"""),"Claudia")</f>
        <v>Claudia</v>
      </c>
      <c r="AH553" s="12" t="str">
        <f>IFERROR(__xludf.DUMMYFUNCTION("""COMPUTED_VALUE"""),"Marcela")</f>
        <v>Marcela</v>
      </c>
      <c r="AI553" s="6" t="str">
        <f>IFERROR(__xludf.DUMMYFUNCTION("""COMPUTED_VALUE"""),"Valencia Cuartas")</f>
        <v>Valencia Cuartas</v>
      </c>
      <c r="AJ553" s="6" t="str">
        <f>IFERROR(__xludf.DUMMYFUNCTION("""COMPUTED_VALUE"""),"clax82_09@hotmail.com")</f>
        <v>clax82_09@hotmail.com</v>
      </c>
      <c r="AK553" s="6" t="str">
        <f>IFERROR(__xludf.DUMMYFUNCTION("""COMPUTED_VALUE"""),"trabajo social")</f>
        <v>trabajo social</v>
      </c>
      <c r="AL553" s="6" t="str">
        <f>IFERROR(__xludf.DUMMYFUNCTION("""COMPUTED_VALUE"""),"Independiente")</f>
        <v>Independiente</v>
      </c>
      <c r="AM553" s="12" t="str">
        <f>IFERROR(__xludf.DUMMYFUNCTION("""COMPUTED_VALUE"""),"41951649")</f>
        <v>41951649</v>
      </c>
      <c r="AN553" s="12" t="str">
        <f>IFERROR(__xludf.DUMMYFUNCTION("""COMPUTED_VALUE"""),"3216212065")</f>
        <v>3216212065</v>
      </c>
      <c r="AO553" s="6" t="str">
        <f>IFERROR(__xludf.DUMMYFUNCTION("""COMPUTED_VALUE"""),"Madre")</f>
        <v>Madre</v>
      </c>
      <c r="AP553" s="6" t="str">
        <f>IFERROR(__xludf.DUMMYFUNCTION("""COMPUTED_VALUE"""),"Estudiante(s): Zuluaga Valencia")</f>
        <v>Estudiante(s): Zuluaga Valencia</v>
      </c>
      <c r="AQ553" s="6" t="str">
        <f>IFERROR(__xludf.DUMMYFUNCTION("""COMPUTED_VALUE"""),"120070*Gi")</f>
        <v>120070*Gi</v>
      </c>
      <c r="AR553" s="6" t="str">
        <f>IFERROR(__xludf.DUMMYFUNCTION("""COMPUTED_VALUE"""),"Ómar")</f>
        <v>Ómar</v>
      </c>
      <c r="AS553" s="6" t="str">
        <f>IFERROR(__xludf.DUMMYFUNCTION("""COMPUTED_VALUE"""),"Andrés")</f>
        <v>Andrés</v>
      </c>
      <c r="AT553" s="6" t="str">
        <f>IFERROR(__xludf.DUMMYFUNCTION("""COMPUTED_VALUE"""),"Zuluaga Castaño")</f>
        <v>Zuluaga Castaño</v>
      </c>
      <c r="AU553" s="6" t="str">
        <f>IFERROR(__xludf.DUMMYFUNCTION("""COMPUTED_VALUE"""),"oadrez1344@yahoo.com")</f>
        <v>oadrez1344@yahoo.com</v>
      </c>
      <c r="AV553" s="6"/>
      <c r="AW553" s="6"/>
      <c r="AX553" s="12" t="str">
        <f>IFERROR(__xludf.DUMMYFUNCTION("""COMPUTED_VALUE"""),"9730689")</f>
        <v>9730689</v>
      </c>
      <c r="AY553" s="12" t="str">
        <f>IFERROR(__xludf.DUMMYFUNCTION("""COMPUTED_VALUE"""),"3235461807")</f>
        <v>3235461807</v>
      </c>
      <c r="AZ553" s="6" t="str">
        <f>IFERROR(__xludf.DUMMYFUNCTION("""COMPUTED_VALUE"""),"Padre")</f>
        <v>Padre</v>
      </c>
      <c r="BA553" s="6"/>
      <c r="BB553" s="6"/>
      <c r="BC553" s="6"/>
      <c r="BD553" s="12" t="str">
        <f>IFERROR(__xludf.DUMMYFUNCTION("""COMPUTED_VALUE"""),"zul0002")</f>
        <v>zul0002</v>
      </c>
      <c r="BE553" s="6" t="str">
        <f>IFERROR(__xludf.DUMMYFUNCTION("""COMPUTED_VALUE"""),"FALTAN FIRMAS")</f>
        <v>FALTAN FIRMAS</v>
      </c>
      <c r="BF553" s="6"/>
      <c r="BG553" s="6">
        <f>IFERROR(__xludf.DUMMYFUNCTION("""COMPUTED_VALUE"""),2032.0)</f>
        <v>2032</v>
      </c>
      <c r="BH553" s="15">
        <f>IFERROR(__xludf.DUMMYFUNCTION("""COMPUTED_VALUE"""),46234.795023148145)</f>
        <v>46234.79502</v>
      </c>
      <c r="BI553" s="6">
        <f>IFERROR(__xludf.DUMMYFUNCTION("""COMPUTED_VALUE"""),553.0)</f>
        <v>553</v>
      </c>
      <c r="BJ553" s="6"/>
      <c r="BK553" s="6"/>
      <c r="BL553" s="6" t="str">
        <f>IFERROR(__xludf.DUMMYFUNCTION("""COMPUTED_VALUE"""),"GISZUL0002")</f>
        <v>GISZUL0002</v>
      </c>
      <c r="BM553" s="6"/>
      <c r="BN553" s="6"/>
      <c r="BO553" s="6" t="str">
        <f>IFERROR(__xludf.DUMMYFUNCTION("""COMPUTED_VALUE"""),"XC_MS_Futbol_M")</f>
        <v>XC_MS_Futbol_M</v>
      </c>
      <c r="BP553" s="6"/>
      <c r="BQ553" s="6" t="str">
        <f>IFERROR(__xludf.DUMMYFUNCTION("""COMPUTED_VALUE"""),"XC_MS_Futbol_M")</f>
        <v>XC_MS_Futbol_M</v>
      </c>
      <c r="BR553" s="6" t="str">
        <f>IFERROR(__xludf.DUMMYFUNCTION("""COMPUTED_VALUE"""),"XC_MS_Futbol_M")</f>
        <v>XC_MS_Futbol_M</v>
      </c>
      <c r="BS553" s="6"/>
      <c r="BT553" s="6" t="str">
        <f>IFERROR(__xludf.DUMMYFUNCTION("""COMPUTED_VALUE"""),"XC_MS_Futbol_M")</f>
        <v>XC_MS_Futbol_M</v>
      </c>
      <c r="BU553" s="6" t="str">
        <f>IFERROR(__xludf.DUMMYFUNCTION("""COMPUTED_VALUE"""),"SI")</f>
        <v>SI</v>
      </c>
      <c r="BV553" s="6" t="str">
        <f>IFERROR(__xludf.DUMMYFUNCTION("""COMPUTED_VALUE"""),"samuel.z2032")</f>
        <v>samuel.z2032</v>
      </c>
      <c r="BW553" s="6"/>
      <c r="BX553" s="6"/>
      <c r="BY553" s="6"/>
      <c r="BZ553" s="6"/>
    </row>
    <row r="554">
      <c r="A554" s="12">
        <f>IFERROR(__xludf.DUMMYFUNCTION("""COMPUTED_VALUE"""),1.153465383E9)</f>
        <v>1153465383</v>
      </c>
      <c r="B554" s="6">
        <f>IFERROR(__xludf.DUMMYFUNCTION("""COMPUTED_VALUE"""),56.0)</f>
        <v>56</v>
      </c>
      <c r="C554" s="6" t="str">
        <f>IFERROR(__xludf.DUMMYFUNCTION("""COMPUTED_VALUE"""),"Matteo")</f>
        <v>Matteo</v>
      </c>
      <c r="D554" s="6"/>
      <c r="E554" s="6" t="str">
        <f>IFERROR(__xludf.DUMMYFUNCTION("""COMPUTED_VALUE"""),"Zúñiga Sepúlveda")</f>
        <v>Zúñiga Sepúlveda</v>
      </c>
      <c r="F554" s="6" t="str">
        <f>IFERROR(__xludf.DUMMYFUNCTION("""COMPUTED_VALUE"""),"Condominio Cedro Negro Casa 29 - Km 6 Via Circasia Vereda El Congal")</f>
        <v>Condominio Cedro Negro Casa 29 - Km 6 Via Circasia Vereda El Congal</v>
      </c>
      <c r="G554" s="12" t="str">
        <f>IFERROR(__xludf.DUMMYFUNCTION("""COMPUTED_VALUE"""),"2014")</f>
        <v>2014</v>
      </c>
      <c r="H554" s="6" t="str">
        <f>IFERROR(__xludf.DUMMYFUNCTION("""COMPUTED_VALUE"""),"Agosto")</f>
        <v>Agosto</v>
      </c>
      <c r="I554" s="12" t="str">
        <f>IFERROR(__xludf.DUMMYFUNCTION("""COMPUTED_VALUE"""),"8")</f>
        <v>8</v>
      </c>
      <c r="J554" s="6" t="str">
        <f>IFERROR(__xludf.DUMMYFUNCTION("""COMPUTED_VALUE"""),"San Diego")</f>
        <v>San Diego</v>
      </c>
      <c r="K554" s="6" t="str">
        <f>IFERROR(__xludf.DUMMYFUNCTION("""COMPUTED_VALUE"""),"matteo.z2032@gi.edu.co")</f>
        <v>matteo.z2032@gi.edu.co</v>
      </c>
      <c r="L554" s="6" t="str">
        <f>IFERROR(__xludf.DUMMYFUNCTION("""COMPUTED_VALUE"""),"TI")</f>
        <v>TI</v>
      </c>
      <c r="M554" s="6" t="str">
        <f>IFERROR(__xludf.DUMMYFUNCTION("""COMPUTED_VALUE"""),"Circacia")</f>
        <v>Circacia</v>
      </c>
      <c r="N554" s="6" t="str">
        <f>IFERROR(__xludf.DUMMYFUNCTION("""COMPUTED_VALUE"""),"M")</f>
        <v>M</v>
      </c>
      <c r="O554" s="6" t="str">
        <f>IFERROR(__xludf.DUMMYFUNCTION("""COMPUTED_VALUE"""),"INACTIVE")</f>
        <v>INACTIVE</v>
      </c>
      <c r="P554" s="6"/>
      <c r="Q554" s="6" t="str">
        <f>IFERROR(__xludf.DUMMYFUNCTION("""COMPUTED_VALUE"""),"Circasia")</f>
        <v>Circasia</v>
      </c>
      <c r="R554" s="12" t="str">
        <f>IFERROR(__xludf.DUMMYFUNCTION("""COMPUTED_VALUE"""),"Giwexc58*")</f>
        <v>Giwexc58*</v>
      </c>
      <c r="S554" s="6" t="str">
        <f>IFERROR(__xludf.DUMMYFUNCTION("""COMPUTED_VALUE"""),"Zúñiga Sepúlveda Matteo ")</f>
        <v>Zúñiga Sepúlveda Matteo </v>
      </c>
      <c r="T554" s="6" t="str">
        <f>IFERROR(__xludf.DUMMYFUNCTION("""COMPUTED_VALUE"""),"JUAN BERNARDO ZUNIGA GIRALDO")</f>
        <v>JUAN BERNARDO ZUNIGA GIRALDO</v>
      </c>
      <c r="U554" s="12" t="str">
        <f>IFERROR(__xludf.DUMMYFUNCTION("""COMPUTED_VALUE"""),"16367088")</f>
        <v>16367088</v>
      </c>
      <c r="V554" s="6">
        <f>IFERROR(__xludf.DUMMYFUNCTION("""COMPUTED_VALUE"""),3.158049579E9)</f>
        <v>3158049579</v>
      </c>
      <c r="W554" s="6" t="str">
        <f>IFERROR(__xludf.DUMMYFUNCTION("""COMPUTED_VALUE"""),"arepanchita@hotmail.com")</f>
        <v>arepanchita@hotmail.com</v>
      </c>
      <c r="X554" s="12" t="str">
        <f>IFERROR(__xludf.DUMMYFUNCTION("""COMPUTED_VALUE"""),"O+")</f>
        <v>O+</v>
      </c>
      <c r="Y554" s="12" t="str">
        <f>IFERROR(__xludf.DUMMYFUNCTION("""COMPUTED_VALUE"""),"7")</f>
        <v>7</v>
      </c>
      <c r="Z554" s="12">
        <f>IFERROR(__xludf.DUMMYFUNCTION("""COMPUTED_VALUE"""),103806.0)</f>
        <v>103806</v>
      </c>
      <c r="AA554" s="6" t="str">
        <f>IFERROR(__xludf.DUMMYFUNCTION("""COMPUTED_VALUE"""),"SALUD TOTAL")</f>
        <v>SALUD TOTAL</v>
      </c>
      <c r="AB554" s="6" t="str">
        <f>IFERROR(__xludf.DUMMYFUNCTION("""COMPUTED_VALUE"""),"COOMEVA MEDICINA PREPAGADA ORO PLUS")</f>
        <v>COOMEVA MEDICINA PREPAGADA ORO PLUS</v>
      </c>
      <c r="AC554" s="6"/>
      <c r="AD554" s="12" t="str">
        <f>IFERROR(__xludf.DUMMYFUNCTION("""COMPUTED_VALUE"""),"7B")</f>
        <v>7B</v>
      </c>
      <c r="AE554" s="12">
        <f>IFERROR(__xludf.DUMMYFUNCTION("""COMPUTED_VALUE"""),1.345281894E9)</f>
        <v>1345281894</v>
      </c>
      <c r="AF554" s="12" t="str">
        <f>IFERROR(__xludf.DUMMYFUNCTION("""COMPUTED_VALUE"""),"0694996291")</f>
        <v>0694996291</v>
      </c>
      <c r="AG554" s="12" t="str">
        <f>IFERROR(__xludf.DUMMYFUNCTION("""COMPUTED_VALUE"""),"Paula")</f>
        <v>Paula</v>
      </c>
      <c r="AH554" s="12" t="str">
        <f>IFERROR(__xludf.DUMMYFUNCTION("""COMPUTED_VALUE"""),"Andrea")</f>
        <v>Andrea</v>
      </c>
      <c r="AI554" s="6" t="str">
        <f>IFERROR(__xludf.DUMMYFUNCTION("""COMPUTED_VALUE"""),"Sepúlveda Hincapié")</f>
        <v>Sepúlveda Hincapié</v>
      </c>
      <c r="AJ554" s="6" t="str">
        <f>IFERROR(__xludf.DUMMYFUNCTION("""COMPUTED_VALUE"""),"paulaandrea.0621@gmail.com")</f>
        <v>paulaandrea.0621@gmail.com</v>
      </c>
      <c r="AK554" s="6" t="str">
        <f>IFERROR(__xludf.DUMMYFUNCTION("""COMPUTED_VALUE"""),"INGENIERA INDUSTRIAL")</f>
        <v>INGENIERA INDUSTRIAL</v>
      </c>
      <c r="AL554" s="6" t="str">
        <f>IFERROR(__xludf.DUMMYFUNCTION("""COMPUTED_VALUE"""),"RENTISTA")</f>
        <v>RENTISTA</v>
      </c>
      <c r="AM554" s="12" t="str">
        <f>IFERROR(__xludf.DUMMYFUNCTION("""COMPUTED_VALUE"""),"29877810")</f>
        <v>29877810</v>
      </c>
      <c r="AN554" s="12" t="str">
        <f>IFERROR(__xludf.DUMMYFUNCTION("""COMPUTED_VALUE"""),"3153593107")</f>
        <v>3153593107</v>
      </c>
      <c r="AO554" s="6" t="str">
        <f>IFERROR(__xludf.DUMMYFUNCTION("""COMPUTED_VALUE"""),"Madre")</f>
        <v>Madre</v>
      </c>
      <c r="AP554" s="6" t="str">
        <f>IFERROR(__xludf.DUMMYFUNCTION("""COMPUTED_VALUE"""),"Estudiante(s): Zúñiga Sepúlveda")</f>
        <v>Estudiante(s): Zúñiga Sepúlveda</v>
      </c>
      <c r="AQ554" s="6" t="str">
        <f>IFERROR(__xludf.DUMMYFUNCTION("""COMPUTED_VALUE"""),"103527*Gi")</f>
        <v>103527*Gi</v>
      </c>
      <c r="AR554" s="6" t="str">
        <f>IFERROR(__xludf.DUMMYFUNCTION("""COMPUTED_VALUE"""),"Juan")</f>
        <v>Juan</v>
      </c>
      <c r="AS554" s="6" t="str">
        <f>IFERROR(__xludf.DUMMYFUNCTION("""COMPUTED_VALUE"""),"Bernardo")</f>
        <v>Bernardo</v>
      </c>
      <c r="AT554" s="6" t="str">
        <f>IFERROR(__xludf.DUMMYFUNCTION("""COMPUTED_VALUE"""),"Zúñiga Giraldo")</f>
        <v>Zúñiga Giraldo</v>
      </c>
      <c r="AU554" s="6" t="str">
        <f>IFERROR(__xludf.DUMMYFUNCTION("""COMPUTED_VALUE"""),"arepanchita@hotmail.com")</f>
        <v>arepanchita@hotmail.com</v>
      </c>
      <c r="AV554" s="6" t="str">
        <f>IFERROR(__xludf.DUMMYFUNCTION("""COMPUTED_VALUE"""),"ADMINISTRADOR DE EMPRESAS")</f>
        <v>ADMINISTRADOR DE EMPRESAS</v>
      </c>
      <c r="AW554" s="6" t="str">
        <f>IFERROR(__xludf.DUMMYFUNCTION("""COMPUTED_VALUE"""),"PRODUCTOS ALIMENTICIOS PANCHITA")</f>
        <v>PRODUCTOS ALIMENTICIOS PANCHITA</v>
      </c>
      <c r="AX554" s="12" t="str">
        <f>IFERROR(__xludf.DUMMYFUNCTION("""COMPUTED_VALUE"""),"16367088")</f>
        <v>16367088</v>
      </c>
      <c r="AY554" s="12" t="str">
        <f>IFERROR(__xludf.DUMMYFUNCTION("""COMPUTED_VALUE"""),"3158049579")</f>
        <v>3158049579</v>
      </c>
      <c r="AZ554" s="6" t="str">
        <f>IFERROR(__xludf.DUMMYFUNCTION("""COMPUTED_VALUE"""),"Padre")</f>
        <v>Padre</v>
      </c>
      <c r="BA554" s="6"/>
      <c r="BB554" s="6"/>
      <c r="BC554" s="6"/>
      <c r="BD554" s="12" t="str">
        <f>IFERROR(__xludf.DUMMYFUNCTION("""COMPUTED_VALUE"""),"zui0001")</f>
        <v>zui0001</v>
      </c>
      <c r="BE554" s="6" t="str">
        <f>IFERROR(__xludf.DUMMYFUNCTION("""COMPUTED_VALUE"""),"FALTAN FIRMAS")</f>
        <v>FALTAN FIRMAS</v>
      </c>
      <c r="BF554" s="6"/>
      <c r="BG554" s="6">
        <f>IFERROR(__xludf.DUMMYFUNCTION("""COMPUTED_VALUE"""),2032.0)</f>
        <v>2032</v>
      </c>
      <c r="BH554" s="15">
        <f>IFERROR(__xludf.DUMMYFUNCTION("""COMPUTED_VALUE"""),46211.87642361111)</f>
        <v>46211.87642</v>
      </c>
      <c r="BI554" s="6">
        <f>IFERROR(__xludf.DUMMYFUNCTION("""COMPUTED_VALUE"""),554.0)</f>
        <v>554</v>
      </c>
      <c r="BJ554" s="6"/>
      <c r="BK554" s="6"/>
      <c r="BL554" s="6" t="str">
        <f>IFERROR(__xludf.DUMMYFUNCTION("""COMPUTED_VALUE"""),"GISZUI0001")</f>
        <v>GISZUI0001</v>
      </c>
      <c r="BM554" s="6"/>
      <c r="BN554" s="6"/>
      <c r="BO554" s="6" t="str">
        <f>IFERROR(__xludf.DUMMYFUNCTION("""COMPUTED_VALUE"""),"XC_MS_Futbol_M")</f>
        <v>XC_MS_Futbol_M</v>
      </c>
      <c r="BP554" s="6"/>
      <c r="BQ554" s="6" t="str">
        <f>IFERROR(__xludf.DUMMYFUNCTION("""COMPUTED_VALUE"""),"XC_MS_Futbol_M")</f>
        <v>XC_MS_Futbol_M</v>
      </c>
      <c r="BR554" s="6" t="str">
        <f>IFERROR(__xludf.DUMMYFUNCTION("""COMPUTED_VALUE"""),"XC_MS_Futbol_M")</f>
        <v>XC_MS_Futbol_M</v>
      </c>
      <c r="BS554" s="6"/>
      <c r="BT554" s="6" t="str">
        <f>IFERROR(__xludf.DUMMYFUNCTION("""COMPUTED_VALUE"""),"XC_MS_Futbol_M")</f>
        <v>XC_MS_Futbol_M</v>
      </c>
      <c r="BU554" s="6" t="str">
        <f>IFERROR(__xludf.DUMMYFUNCTION("""COMPUTED_VALUE"""),"SI")</f>
        <v>SI</v>
      </c>
      <c r="BV554" s="6" t="str">
        <f>IFERROR(__xludf.DUMMYFUNCTION("""COMPUTED_VALUE"""),"matteo.z2032")</f>
        <v>matteo.z2032</v>
      </c>
      <c r="BW554" s="6"/>
      <c r="BX554" s="6"/>
      <c r="BY554" s="6"/>
      <c r="B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 t="str">
        <f>IFERROR(__xludf.DUMMYFUNCTION("""COMPUTED_VALUE"""),"Madre")</f>
        <v>Madre</v>
      </c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 t="str">
        <f>IFERROR(__xludf.DUMMYFUNCTION("""COMPUTED_VALUE"""),"Padre")</f>
        <v>Padre</v>
      </c>
      <c r="BA555" s="6"/>
      <c r="BB555" s="6"/>
      <c r="BC555" s="6"/>
      <c r="BD555" s="6"/>
      <c r="BE555" s="6"/>
      <c r="BF555" s="6"/>
      <c r="BG555" s="6"/>
      <c r="BH555" s="6"/>
      <c r="BI555" s="6">
        <f>IFERROR(__xludf.DUMMYFUNCTION("""COMPUTED_VALUE"""),555.0)</f>
        <v>555</v>
      </c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6"/>
      <c r="BW555" s="6"/>
      <c r="BX555" s="6"/>
      <c r="BY555" s="6"/>
      <c r="BZ555" s="6"/>
    </row>
    <row r="556">
      <c r="A556" s="12">
        <f>IFERROR(__xludf.DUMMYFUNCTION("""COMPUTED_VALUE"""),1.020315015E9)</f>
        <v>1020315015</v>
      </c>
      <c r="B556" s="6">
        <f>IFERROR(__xludf.DUMMYFUNCTION("""COMPUTED_VALUE"""),1.0)</f>
        <v>1</v>
      </c>
      <c r="C556" s="6" t="str">
        <f>IFERROR(__xludf.DUMMYFUNCTION("""COMPUTED_VALUE"""),"Juan")</f>
        <v>Juan</v>
      </c>
      <c r="D556" s="6" t="str">
        <f>IFERROR(__xludf.DUMMYFUNCTION("""COMPUTED_VALUE"""),"Andrés")</f>
        <v>Andrés</v>
      </c>
      <c r="E556" s="6" t="str">
        <f>IFERROR(__xludf.DUMMYFUNCTION("""COMPUTED_VALUE"""),"Acosta Berrío")</f>
        <v>Acosta Berrío</v>
      </c>
      <c r="F556" s="6" t="str">
        <f>IFERROR(__xludf.DUMMYFUNCTION("""COMPUTED_VALUE"""),"Bosque Residencial La Pradera Casa 12 - Cra 6 No50Nte - 1 Av Centenario")</f>
        <v>Bosque Residencial La Pradera Casa 12 - Cra 6 No50Nte - 1 Av Centenario</v>
      </c>
      <c r="G556" s="12" t="str">
        <f>IFERROR(__xludf.DUMMYFUNCTION("""COMPUTED_VALUE"""),"2013")</f>
        <v>2013</v>
      </c>
      <c r="H556" s="6" t="str">
        <f>IFERROR(__xludf.DUMMYFUNCTION("""COMPUTED_VALUE"""),"Abril")</f>
        <v>Abril</v>
      </c>
      <c r="I556" s="12" t="str">
        <f>IFERROR(__xludf.DUMMYFUNCTION("""COMPUTED_VALUE"""),"11")</f>
        <v>11</v>
      </c>
      <c r="J556" s="6" t="str">
        <f>IFERROR(__xludf.DUMMYFUNCTION("""COMPUTED_VALUE"""),"Medellín")</f>
        <v>Medellín</v>
      </c>
      <c r="K556" s="6" t="str">
        <f>IFERROR(__xludf.DUMMYFUNCTION("""COMPUTED_VALUE"""),"jandres.a2031@gi.edu.co")</f>
        <v>jandres.a2031@gi.edu.co</v>
      </c>
      <c r="L556" s="6" t="str">
        <f>IFERROR(__xludf.DUMMYFUNCTION("""COMPUTED_VALUE"""),"TI")</f>
        <v>TI</v>
      </c>
      <c r="M556" s="6" t="str">
        <f>IFERROR(__xludf.DUMMYFUNCTION("""COMPUTED_VALUE"""),"Armenia")</f>
        <v>Armenia</v>
      </c>
      <c r="N556" s="6" t="str">
        <f>IFERROR(__xludf.DUMMYFUNCTION("""COMPUTED_VALUE"""),"M")</f>
        <v>M</v>
      </c>
      <c r="O556" s="6" t="str">
        <f>IFERROR(__xludf.DUMMYFUNCTION("""COMPUTED_VALUE"""),"ACTIVE")</f>
        <v>ACTIVE</v>
      </c>
      <c r="P556" s="6"/>
      <c r="Q556" s="6" t="str">
        <f>IFERROR(__xludf.DUMMYFUNCTION("""COMPUTED_VALUE"""),"Armenia")</f>
        <v>Armenia</v>
      </c>
      <c r="R556" s="12" t="str">
        <f>IFERROR(__xludf.DUMMYFUNCTION("""COMPUTED_VALUE"""),"Gicm879575*")</f>
        <v>Gicm879575*</v>
      </c>
      <c r="S556" s="6" t="str">
        <f>IFERROR(__xludf.DUMMYFUNCTION("""COMPUTED_VALUE"""),"Acosta Berrío Juan Andrés")</f>
        <v>Acosta Berrío Juan Andrés</v>
      </c>
      <c r="T556" s="6" t="str">
        <f>IFERROR(__xludf.DUMMYFUNCTION("""COMPUTED_VALUE"""),"LILIANA MARCELA BERRÍO ALZATE")</f>
        <v>LILIANA MARCELA BERRÍO ALZATE</v>
      </c>
      <c r="U556" s="12" t="str">
        <f>IFERROR(__xludf.DUMMYFUNCTION("""COMPUTED_VALUE"""),"41956187")</f>
        <v>41956187</v>
      </c>
      <c r="V556" s="6">
        <f>IFERROR(__xludf.DUMMYFUNCTION("""COMPUTED_VALUE"""),3.122863398E9)</f>
        <v>3122863398</v>
      </c>
      <c r="W556" s="6" t="str">
        <f>IFERROR(__xludf.DUMMYFUNCTION("""COMPUTED_VALUE"""),"lmberrio@icloud.com")</f>
        <v>lmberrio@icloud.com</v>
      </c>
      <c r="X556" s="12" t="str">
        <f>IFERROR(__xludf.DUMMYFUNCTION("""COMPUTED_VALUE"""),"B+")</f>
        <v>B+</v>
      </c>
      <c r="Y556" s="12" t="str">
        <f>IFERROR(__xludf.DUMMYFUNCTION("""COMPUTED_VALUE"""),"8")</f>
        <v>8</v>
      </c>
      <c r="Z556" s="12">
        <f>IFERROR(__xludf.DUMMYFUNCTION("""COMPUTED_VALUE"""),103342.0)</f>
        <v>103342</v>
      </c>
      <c r="AA556" s="6" t="str">
        <f>IFERROR(__xludf.DUMMYFUNCTION("""COMPUTED_VALUE"""),"SURA")</f>
        <v>SURA</v>
      </c>
      <c r="AB556" s="6" t="str">
        <f>IFERROR(__xludf.DUMMYFUNCTION("""COMPUTED_VALUE"""),"EMI")</f>
        <v>EMI</v>
      </c>
      <c r="AC556" s="6"/>
      <c r="AD556" s="12" t="str">
        <f>IFERROR(__xludf.DUMMYFUNCTION("""COMPUTED_VALUE"""),"8C")</f>
        <v>8C</v>
      </c>
      <c r="AE556" s="12">
        <f>IFERROR(__xludf.DUMMYFUNCTION("""COMPUTED_VALUE"""),1.345281642E9)</f>
        <v>1345281642</v>
      </c>
      <c r="AF556" s="12" t="str">
        <f>IFERROR(__xludf.DUMMYFUNCTION("""COMPUTED_VALUE"""),"0687758131")</f>
        <v>0687758131</v>
      </c>
      <c r="AG556" s="12" t="str">
        <f>IFERROR(__xludf.DUMMYFUNCTION("""COMPUTED_VALUE"""),"Liliana")</f>
        <v>Liliana</v>
      </c>
      <c r="AH556" s="12" t="str">
        <f>IFERROR(__xludf.DUMMYFUNCTION("""COMPUTED_VALUE"""),"Marcela")</f>
        <v>Marcela</v>
      </c>
      <c r="AI556" s="6" t="str">
        <f>IFERROR(__xludf.DUMMYFUNCTION("""COMPUTED_VALUE"""),"Berrío Alzate")</f>
        <v>Berrío Alzate</v>
      </c>
      <c r="AJ556" s="6" t="str">
        <f>IFERROR(__xludf.DUMMYFUNCTION("""COMPUTED_VALUE"""),"lmberrio@icloud.com")</f>
        <v>lmberrio@icloud.com</v>
      </c>
      <c r="AK556" s="6" t="str">
        <f>IFERROR(__xludf.DUMMYFUNCTION("""COMPUTED_VALUE"""),"Contaduria Publica y Finanzas Int")</f>
        <v>Contaduria Publica y Finanzas Int</v>
      </c>
      <c r="AL556" s="6" t="str">
        <f>IFERROR(__xludf.DUMMYFUNCTION("""COMPUTED_VALUE"""),"Berhlan de Colombia")</f>
        <v>Berhlan de Colombia</v>
      </c>
      <c r="AM556" s="12" t="str">
        <f>IFERROR(__xludf.DUMMYFUNCTION("""COMPUTED_VALUE"""),"41956187")</f>
        <v>41956187</v>
      </c>
      <c r="AN556" s="12" t="str">
        <f>IFERROR(__xludf.DUMMYFUNCTION("""COMPUTED_VALUE"""),"3122863398")</f>
        <v>3122863398</v>
      </c>
      <c r="AO556" s="6" t="str">
        <f>IFERROR(__xludf.DUMMYFUNCTION("""COMPUTED_VALUE"""),"Madre")</f>
        <v>Madre</v>
      </c>
      <c r="AP556" s="6" t="str">
        <f>IFERROR(__xludf.DUMMYFUNCTION("""COMPUTED_VALUE"""),"Estudiante(s): Acosta Berrio")</f>
        <v>Estudiante(s): Acosta Berrio</v>
      </c>
      <c r="AQ556" s="6" t="str">
        <f>IFERROR(__xludf.DUMMYFUNCTION("""COMPUTED_VALUE"""),"103342*Gi")</f>
        <v>103342*Gi</v>
      </c>
      <c r="AR556" s="6" t="str">
        <f>IFERROR(__xludf.DUMMYFUNCTION("""COMPUTED_VALUE"""),"Andrés")</f>
        <v>Andrés</v>
      </c>
      <c r="AS556" s="6" t="str">
        <f>IFERROR(__xludf.DUMMYFUNCTION("""COMPUTED_VALUE"""),"Felipe")</f>
        <v>Felipe</v>
      </c>
      <c r="AT556" s="6" t="str">
        <f>IFERROR(__xludf.DUMMYFUNCTION("""COMPUTED_VALUE"""),"Acosta Mejía")</f>
        <v>Acosta Mejía</v>
      </c>
      <c r="AU556" s="6" t="str">
        <f>IFERROR(__xludf.DUMMYFUNCTION("""COMPUTED_VALUE"""),"andres.acosta.mejia@icloud.com")</f>
        <v>andres.acosta.mejia@icloud.com</v>
      </c>
      <c r="AV556" s="6" t="str">
        <f>IFERROR(__xludf.DUMMYFUNCTION("""COMPUTED_VALUE"""),"Piloto")</f>
        <v>Piloto</v>
      </c>
      <c r="AW556" s="6" t="str">
        <f>IFERROR(__xludf.DUMMYFUNCTION("""COMPUTED_VALUE"""),"Berhlan de Colombia")</f>
        <v>Berhlan de Colombia</v>
      </c>
      <c r="AX556" s="12" t="str">
        <f>IFERROR(__xludf.DUMMYFUNCTION("""COMPUTED_VALUE"""),"8162034")</f>
        <v>8162034</v>
      </c>
      <c r="AY556" s="12" t="str">
        <f>IFERROR(__xludf.DUMMYFUNCTION("""COMPUTED_VALUE"""),"3122863395")</f>
        <v>3122863395</v>
      </c>
      <c r="AZ556" s="6" t="str">
        <f>IFERROR(__xludf.DUMMYFUNCTION("""COMPUTED_VALUE"""),"Padre")</f>
        <v>Padre</v>
      </c>
      <c r="BA556" s="6"/>
      <c r="BB556" s="6"/>
      <c r="BC556" s="6"/>
      <c r="BD556" s="12" t="str">
        <f>IFERROR(__xludf.DUMMYFUNCTION("""COMPUTED_VALUE"""),"aco0007")</f>
        <v>aco0007</v>
      </c>
      <c r="BE556" s="6"/>
      <c r="BF556" s="6"/>
      <c r="BG556" s="6">
        <f>IFERROR(__xludf.DUMMYFUNCTION("""COMPUTED_VALUE"""),2031.0)</f>
        <v>2031</v>
      </c>
      <c r="BH556" s="15">
        <f>IFERROR(__xludf.DUMMYFUNCTION("""COMPUTED_VALUE"""),46212.80847222222)</f>
        <v>46212.80847</v>
      </c>
      <c r="BI556" s="6">
        <f>IFERROR(__xludf.DUMMYFUNCTION("""COMPUTED_VALUE"""),556.0)</f>
        <v>556</v>
      </c>
      <c r="BJ556" s="6" t="str">
        <f>IFERROR(__xludf.DUMMYFUNCTION("""COMPUTED_VALUE"""),"DANE: Déficit de atención
SIMAT: Transtorno por deficit de atencion con/sin hiperactividad")</f>
        <v>DANE: Déficit de atención
SIMAT: Transtorno por deficit de atencion con/sin hiperactividad</v>
      </c>
      <c r="BK556" s="6"/>
      <c r="BL556" s="6" t="str">
        <f>IFERROR(__xludf.DUMMYFUNCTION("""COMPUTED_VALUE"""),"GISACO0007")</f>
        <v>GISACO0007</v>
      </c>
      <c r="BM556" s="6"/>
      <c r="BN556" s="6"/>
      <c r="BO556" s="6"/>
      <c r="BP556" s="6"/>
      <c r="BQ556" s="6"/>
      <c r="BR556" s="6"/>
      <c r="BS556" s="6"/>
      <c r="BT556" s="6"/>
      <c r="BU556" s="6" t="str">
        <f>IFERROR(__xludf.DUMMYFUNCTION("""COMPUTED_VALUE"""),"SI")</f>
        <v>SI</v>
      </c>
      <c r="BV556" s="6" t="str">
        <f>IFERROR(__xludf.DUMMYFUNCTION("""COMPUTED_VALUE"""),"jandres.a2031")</f>
        <v>jandres.a2031</v>
      </c>
      <c r="BW556" s="6"/>
      <c r="BX556" s="6"/>
      <c r="BY556" s="6"/>
      <c r="BZ556" s="6"/>
    </row>
    <row r="557">
      <c r="A557" s="12">
        <f>IFERROR(__xludf.DUMMYFUNCTION("""COMPUTED_VALUE"""),1.220465111E9)</f>
        <v>1220465111</v>
      </c>
      <c r="B557" s="6">
        <f>IFERROR(__xludf.DUMMYFUNCTION("""COMPUTED_VALUE"""),2.0)</f>
        <v>2</v>
      </c>
      <c r="C557" s="6" t="str">
        <f>IFERROR(__xludf.DUMMYFUNCTION("""COMPUTED_VALUE"""),"Juan")</f>
        <v>Juan</v>
      </c>
      <c r="D557" s="6" t="str">
        <f>IFERROR(__xludf.DUMMYFUNCTION("""COMPUTED_VALUE"""),"Simón")</f>
        <v>Simón</v>
      </c>
      <c r="E557" s="6" t="str">
        <f>IFERROR(__xludf.DUMMYFUNCTION("""COMPUTED_VALUE"""),"Aguilar Ramirez")</f>
        <v>Aguilar Ramirez</v>
      </c>
      <c r="F557" s="6" t="str">
        <f>IFERROR(__xludf.DUMMYFUNCTION("""COMPUTED_VALUE"""),"Torre Versalles Apto1001 - Cra 11 Calle 12Nte - 73 La Castellana")</f>
        <v>Torre Versalles Apto1001 - Cra 11 Calle 12Nte - 73 La Castellana</v>
      </c>
      <c r="G557" s="12" t="str">
        <f>IFERROR(__xludf.DUMMYFUNCTION("""COMPUTED_VALUE"""),"2013")</f>
        <v>2013</v>
      </c>
      <c r="H557" s="6" t="str">
        <f>IFERROR(__xludf.DUMMYFUNCTION("""COMPUTED_VALUE"""),"Mayo")</f>
        <v>Mayo</v>
      </c>
      <c r="I557" s="12" t="str">
        <f>IFERROR(__xludf.DUMMYFUNCTION("""COMPUTED_VALUE"""),"2")</f>
        <v>2</v>
      </c>
      <c r="J557" s="6" t="str">
        <f>IFERROR(__xludf.DUMMYFUNCTION("""COMPUTED_VALUE"""),"Florida")</f>
        <v>Florida</v>
      </c>
      <c r="K557" s="6" t="str">
        <f>IFERROR(__xludf.DUMMYFUNCTION("""COMPUTED_VALUE"""),"juans.a2031@gi.edu.co")</f>
        <v>juans.a2031@gi.edu.co</v>
      </c>
      <c r="L557" s="6" t="str">
        <f>IFERROR(__xludf.DUMMYFUNCTION("""COMPUTED_VALUE"""),"TI")</f>
        <v>TI</v>
      </c>
      <c r="M557" s="6" t="str">
        <f>IFERROR(__xludf.DUMMYFUNCTION("""COMPUTED_VALUE"""),"Carmen de Viboral")</f>
        <v>Carmen de Viboral</v>
      </c>
      <c r="N557" s="6" t="str">
        <f>IFERROR(__xludf.DUMMYFUNCTION("""COMPUTED_VALUE"""),"M")</f>
        <v>M</v>
      </c>
      <c r="O557" s="6" t="str">
        <f>IFERROR(__xludf.DUMMYFUNCTION("""COMPUTED_VALUE"""),"ACTIVE")</f>
        <v>ACTIVE</v>
      </c>
      <c r="P557" s="6"/>
      <c r="Q557" s="6" t="str">
        <f>IFERROR(__xludf.DUMMYFUNCTION("""COMPUTED_VALUE"""),"Armenia")</f>
        <v>Armenia</v>
      </c>
      <c r="R557" s="12" t="str">
        <f>IFERROR(__xludf.DUMMYFUNCTION("""COMPUTED_VALUE"""),"Gire432s1a*")</f>
        <v>Gire432s1a*</v>
      </c>
      <c r="S557" s="6" t="str">
        <f>IFERROR(__xludf.DUMMYFUNCTION("""COMPUTED_VALUE"""),"Aguilar Ramirez Juan Simón")</f>
        <v>Aguilar Ramirez Juan Simón</v>
      </c>
      <c r="T557" s="6" t="str">
        <f>IFERROR(__xludf.DUMMYFUNCTION("""COMPUTED_VALUE"""),"JUAN DIEGO AGUILAR SALDARRIAGA")</f>
        <v>JUAN DIEGO AGUILAR SALDARRIAGA</v>
      </c>
      <c r="U557" s="12" t="str">
        <f>IFERROR(__xludf.DUMMYFUNCTION("""COMPUTED_VALUE"""),"89004159")</f>
        <v>89004159</v>
      </c>
      <c r="V557" s="6">
        <f>IFERROR(__xludf.DUMMYFUNCTION("""COMPUTED_VALUE"""),3.116350968E9)</f>
        <v>3116350968</v>
      </c>
      <c r="W557" s="6" t="str">
        <f>IFERROR(__xludf.DUMMYFUNCTION("""COMPUTED_VALUE"""),"judias75@hotmail.com")</f>
        <v>judias75@hotmail.com</v>
      </c>
      <c r="X557" s="12" t="str">
        <f>IFERROR(__xludf.DUMMYFUNCTION("""COMPUTED_VALUE"""),"A+")</f>
        <v>A+</v>
      </c>
      <c r="Y557" s="12" t="str">
        <f>IFERROR(__xludf.DUMMYFUNCTION("""COMPUTED_VALUE"""),"8")</f>
        <v>8</v>
      </c>
      <c r="Z557" s="12">
        <f>IFERROR(__xludf.DUMMYFUNCTION("""COMPUTED_VALUE"""),103287.0)</f>
        <v>103287</v>
      </c>
      <c r="AA557" s="6" t="str">
        <f>IFERROR(__xludf.DUMMYFUNCTION("""COMPUTED_VALUE"""),"SALUD TOTAL")</f>
        <v>SALUD TOTAL</v>
      </c>
      <c r="AB557" s="6"/>
      <c r="AC557" s="12" t="str">
        <f>IFERROR(__xludf.DUMMYFUNCTION("""COMPUTED_VALUE"""),"Cerdo y todos los embutidos")</f>
        <v>Cerdo y todos los embutidos</v>
      </c>
      <c r="AD557" s="12" t="str">
        <f>IFERROR(__xludf.DUMMYFUNCTION("""COMPUTED_VALUE"""),"8C")</f>
        <v>8C</v>
      </c>
      <c r="AE557" s="12">
        <f>IFERROR(__xludf.DUMMYFUNCTION("""COMPUTED_VALUE"""),1.345281617E9)</f>
        <v>1345281617</v>
      </c>
      <c r="AF557" s="6"/>
      <c r="AG557" s="12" t="str">
        <f>IFERROR(__xludf.DUMMYFUNCTION("""COMPUTED_VALUE"""),"Carolina")</f>
        <v>Carolina</v>
      </c>
      <c r="AH557" s="6"/>
      <c r="AI557" s="6" t="str">
        <f>IFERROR(__xludf.DUMMYFUNCTION("""COMPUTED_VALUE"""),"Ramírez Villa")</f>
        <v>Ramírez Villa</v>
      </c>
      <c r="AJ557" s="6" t="str">
        <f>IFERROR(__xludf.DUMMYFUNCTION("""COMPUTED_VALUE"""),"ninacaro78@outlook.es")</f>
        <v>ninacaro78@outlook.es</v>
      </c>
      <c r="AK557" s="6" t="str">
        <f>IFERROR(__xludf.DUMMYFUNCTION("""COMPUTED_VALUE"""),"Comunicadora Social y Periodista")</f>
        <v>Comunicadora Social y Periodista</v>
      </c>
      <c r="AL557" s="6" t="str">
        <f>IFERROR(__xludf.DUMMYFUNCTION("""COMPUTED_VALUE"""),"Ravi Inversiones")</f>
        <v>Ravi Inversiones</v>
      </c>
      <c r="AM557" s="12" t="str">
        <f>IFERROR(__xludf.DUMMYFUNCTION("""COMPUTED_VALUE"""),"41941052")</f>
        <v>41941052</v>
      </c>
      <c r="AN557" s="12" t="str">
        <f>IFERROR(__xludf.DUMMYFUNCTION("""COMPUTED_VALUE"""),"3158804279")</f>
        <v>3158804279</v>
      </c>
      <c r="AO557" s="6" t="str">
        <f>IFERROR(__xludf.DUMMYFUNCTION("""COMPUTED_VALUE"""),"Madre")</f>
        <v>Madre</v>
      </c>
      <c r="AP557" s="6" t="str">
        <f>IFERROR(__xludf.DUMMYFUNCTION("""COMPUTED_VALUE"""),"Estudiante(s): Aguilar Ramírez")</f>
        <v>Estudiante(s): Aguilar Ramírez</v>
      </c>
      <c r="AQ557" s="6" t="str">
        <f>IFERROR(__xludf.DUMMYFUNCTION("""COMPUTED_VALUE"""),"103287*Gi")</f>
        <v>103287*Gi</v>
      </c>
      <c r="AR557" s="6" t="str">
        <f>IFERROR(__xludf.DUMMYFUNCTION("""COMPUTED_VALUE"""),"Juan")</f>
        <v>Juan</v>
      </c>
      <c r="AS557" s="6" t="str">
        <f>IFERROR(__xludf.DUMMYFUNCTION("""COMPUTED_VALUE"""),"Diego")</f>
        <v>Diego</v>
      </c>
      <c r="AT557" s="6" t="str">
        <f>IFERROR(__xludf.DUMMYFUNCTION("""COMPUTED_VALUE"""),"Aguilar Saldarriaga")</f>
        <v>Aguilar Saldarriaga</v>
      </c>
      <c r="AU557" s="6" t="str">
        <f>IFERROR(__xludf.DUMMYFUNCTION("""COMPUTED_VALUE"""),"judias75@hotmail.com")</f>
        <v>judias75@hotmail.com</v>
      </c>
      <c r="AV557" s="6" t="str">
        <f>IFERROR(__xludf.DUMMYFUNCTION("""COMPUTED_VALUE"""),"Negociador Internacional")</f>
        <v>Negociador Internacional</v>
      </c>
      <c r="AW557" s="6" t="str">
        <f>IFERROR(__xludf.DUMMYFUNCTION("""COMPUTED_VALUE"""),"independiente")</f>
        <v>independiente</v>
      </c>
      <c r="AX557" s="12" t="str">
        <f>IFERROR(__xludf.DUMMYFUNCTION("""COMPUTED_VALUE"""),"89004159")</f>
        <v>89004159</v>
      </c>
      <c r="AY557" s="12" t="str">
        <f>IFERROR(__xludf.DUMMYFUNCTION("""COMPUTED_VALUE"""),"3116350968")</f>
        <v>3116350968</v>
      </c>
      <c r="AZ557" s="6" t="str">
        <f>IFERROR(__xludf.DUMMYFUNCTION("""COMPUTED_VALUE"""),"Padre")</f>
        <v>Padre</v>
      </c>
      <c r="BA557" s="6"/>
      <c r="BB557" s="6"/>
      <c r="BC557" s="6"/>
      <c r="BD557" s="12" t="str">
        <f>IFERROR(__xludf.DUMMYFUNCTION("""COMPUTED_VALUE"""),"agu0007")</f>
        <v>agu0007</v>
      </c>
      <c r="BE557" s="6"/>
      <c r="BF557" s="6"/>
      <c r="BG557" s="6">
        <f>IFERROR(__xludf.DUMMYFUNCTION("""COMPUTED_VALUE"""),2031.0)</f>
        <v>2031</v>
      </c>
      <c r="BH557" s="15">
        <f>IFERROR(__xludf.DUMMYFUNCTION("""COMPUTED_VALUE"""),46204.51149305556)</f>
        <v>46204.51149</v>
      </c>
      <c r="BI557" s="6">
        <f>IFERROR(__xludf.DUMMYFUNCTION("""COMPUTED_VALUE"""),557.0)</f>
        <v>557</v>
      </c>
      <c r="BJ557" s="6"/>
      <c r="BK557" s="6"/>
      <c r="BL557" s="6" t="str">
        <f>IFERROR(__xludf.DUMMYFUNCTION("""COMPUTED_VALUE"""),"GISAGU0007")</f>
        <v>GISAGU0007</v>
      </c>
      <c r="BM557" s="6"/>
      <c r="BN557" s="6"/>
      <c r="BO557" s="6"/>
      <c r="BP557" s="6" t="str">
        <f>IFERROR(__xludf.DUMMYFUNCTION("""COMPUTED_VALUE"""),"XC_SEC_OlympMath")</f>
        <v>XC_SEC_OlympMath</v>
      </c>
      <c r="BQ557" s="6"/>
      <c r="BR557" s="6"/>
      <c r="BS557" s="6"/>
      <c r="BT557" s="6"/>
      <c r="BU557" s="6" t="str">
        <f>IFERROR(__xludf.DUMMYFUNCTION("""COMPUTED_VALUE"""),"SI")</f>
        <v>SI</v>
      </c>
      <c r="BV557" s="6" t="str">
        <f>IFERROR(__xludf.DUMMYFUNCTION("""COMPUTED_VALUE"""),"juans.a2031")</f>
        <v>juans.a2031</v>
      </c>
      <c r="BW557" s="6"/>
      <c r="BX557" s="6"/>
      <c r="BY557" s="6"/>
      <c r="BZ557" s="6"/>
    </row>
    <row r="558">
      <c r="A558" s="12">
        <f>IFERROR(__xludf.DUMMYFUNCTION("""COMPUTED_VALUE"""),1.097201042E9)</f>
        <v>1097201042</v>
      </c>
      <c r="B558" s="6">
        <f>IFERROR(__xludf.DUMMYFUNCTION("""COMPUTED_VALUE"""),3.0)</f>
        <v>3</v>
      </c>
      <c r="C558" s="6" t="str">
        <f>IFERROR(__xludf.DUMMYFUNCTION("""COMPUTED_VALUE"""),"Silvia")</f>
        <v>Silvia</v>
      </c>
      <c r="D558" s="6" t="str">
        <f>IFERROR(__xludf.DUMMYFUNCTION("""COMPUTED_VALUE"""),"Juliana")</f>
        <v>Juliana</v>
      </c>
      <c r="E558" s="6" t="str">
        <f>IFERROR(__xludf.DUMMYFUNCTION("""COMPUTED_VALUE"""),"Amador Rincón")</f>
        <v>Amador Rincón</v>
      </c>
      <c r="F558" s="6" t="str">
        <f>IFERROR(__xludf.DUMMYFUNCTION("""COMPUTED_VALUE"""),"Calle 11A No21 - 42 - Barrio La Cabaña")</f>
        <v>Calle 11A No21 - 42 - Barrio La Cabaña</v>
      </c>
      <c r="G558" s="12" t="str">
        <f>IFERROR(__xludf.DUMMYFUNCTION("""COMPUTED_VALUE"""),"2013")</f>
        <v>2013</v>
      </c>
      <c r="H558" s="6" t="str">
        <f>IFERROR(__xludf.DUMMYFUNCTION("""COMPUTED_VALUE"""),"Septiembre")</f>
        <v>Septiembre</v>
      </c>
      <c r="I558" s="12" t="str">
        <f>IFERROR(__xludf.DUMMYFUNCTION("""COMPUTED_VALUE"""),"20")</f>
        <v>20</v>
      </c>
      <c r="J558" s="6" t="str">
        <f>IFERROR(__xludf.DUMMYFUNCTION("""COMPUTED_VALUE"""),"Barrancabermeja")</f>
        <v>Barrancabermeja</v>
      </c>
      <c r="K558" s="6" t="str">
        <f>IFERROR(__xludf.DUMMYFUNCTION("""COMPUTED_VALUE"""),"silvia.a2031@gi.edu.co")</f>
        <v>silvia.a2031@gi.edu.co</v>
      </c>
      <c r="L558" s="6" t="str">
        <f>IFERROR(__xludf.DUMMYFUNCTION("""COMPUTED_VALUE"""),"TI")</f>
        <v>TI</v>
      </c>
      <c r="M558" s="6" t="str">
        <f>IFERROR(__xludf.DUMMYFUNCTION("""COMPUTED_VALUE"""),"Armenia")</f>
        <v>Armenia</v>
      </c>
      <c r="N558" s="6" t="str">
        <f>IFERROR(__xludf.DUMMYFUNCTION("""COMPUTED_VALUE"""),"F")</f>
        <v>F</v>
      </c>
      <c r="O558" s="6" t="str">
        <f>IFERROR(__xludf.DUMMYFUNCTION("""COMPUTED_VALUE"""),"ACTIVE")</f>
        <v>ACTIVE</v>
      </c>
      <c r="P558" s="6"/>
      <c r="Q558" s="6" t="str">
        <f>IFERROR(__xludf.DUMMYFUNCTION("""COMPUTED_VALUE"""),"Armenia")</f>
        <v>Armenia</v>
      </c>
      <c r="R558" s="12" t="str">
        <f>IFERROR(__xludf.DUMMYFUNCTION("""COMPUTED_VALUE"""),"Gi28ipfg5*")</f>
        <v>Gi28ipfg5*</v>
      </c>
      <c r="S558" s="6" t="str">
        <f>IFERROR(__xludf.DUMMYFUNCTION("""COMPUTED_VALUE"""),"Amador Rincón Silvia Juliana")</f>
        <v>Amador Rincón Silvia Juliana</v>
      </c>
      <c r="T558" s="6" t="str">
        <f>IFERROR(__xludf.DUMMYFUNCTION("""COMPUTED_VALUE"""),"LUIS AMADOR GONZALEZ")</f>
        <v>LUIS AMADOR GONZALEZ</v>
      </c>
      <c r="U558" s="12" t="str">
        <f>IFERROR(__xludf.DUMMYFUNCTION("""COMPUTED_VALUE"""),"5562654")</f>
        <v>5562654</v>
      </c>
      <c r="V558" s="6">
        <f>IFERROR(__xludf.DUMMYFUNCTION("""COMPUTED_VALUE"""),3.002653627E9)</f>
        <v>3002653627</v>
      </c>
      <c r="W558" s="6" t="str">
        <f>IFERROR(__xludf.DUMMYFUNCTION("""COMPUTED_VALUE"""),"luis.amadorg@hotmail.com")</f>
        <v>luis.amadorg@hotmail.com</v>
      </c>
      <c r="X558" s="12" t="str">
        <f>IFERROR(__xludf.DUMMYFUNCTION("""COMPUTED_VALUE"""),"O+")</f>
        <v>O+</v>
      </c>
      <c r="Y558" s="12" t="str">
        <f>IFERROR(__xludf.DUMMYFUNCTION("""COMPUTED_VALUE"""),"8")</f>
        <v>8</v>
      </c>
      <c r="Z558" s="12">
        <f>IFERROR(__xludf.DUMMYFUNCTION("""COMPUTED_VALUE"""),103954.0)</f>
        <v>103954</v>
      </c>
      <c r="AA558" s="6" t="str">
        <f>IFERROR(__xludf.DUMMYFUNCTION("""COMPUTED_VALUE"""),"OTRA")</f>
        <v>OTRA</v>
      </c>
      <c r="AB558" s="6"/>
      <c r="AC558" s="6"/>
      <c r="AD558" s="12" t="str">
        <f>IFERROR(__xludf.DUMMYFUNCTION("""COMPUTED_VALUE"""),"8B")</f>
        <v>8B</v>
      </c>
      <c r="AE558" s="12">
        <f>IFERROR(__xludf.DUMMYFUNCTION("""COMPUTED_VALUE"""),1.345281992E9)</f>
        <v>1345281992</v>
      </c>
      <c r="AF558" s="12" t="str">
        <f>IFERROR(__xludf.DUMMYFUNCTION("""COMPUTED_VALUE"""),"0700311507")</f>
        <v>0700311507</v>
      </c>
      <c r="AG558" s="12" t="str">
        <f>IFERROR(__xludf.DUMMYFUNCTION("""COMPUTED_VALUE"""),"Nasly")</f>
        <v>Nasly</v>
      </c>
      <c r="AH558" s="12" t="str">
        <f>IFERROR(__xludf.DUMMYFUNCTION("""COMPUTED_VALUE"""),"Patricia")</f>
        <v>Patricia</v>
      </c>
      <c r="AI558" s="6" t="str">
        <f>IFERROR(__xludf.DUMMYFUNCTION("""COMPUTED_VALUE"""),"Rincon Restrepo")</f>
        <v>Rincon Restrepo</v>
      </c>
      <c r="AJ558" s="6" t="str">
        <f>IFERROR(__xludf.DUMMYFUNCTION("""COMPUTED_VALUE"""),"patyrinconrestrepo@gmail.com")</f>
        <v>patyrinconrestrepo@gmail.com</v>
      </c>
      <c r="AK558" s="6" t="str">
        <f>IFERROR(__xludf.DUMMYFUNCTION("""COMPUTED_VALUE"""),"ing sistemas")</f>
        <v>ing sistemas</v>
      </c>
      <c r="AL558" s="6" t="str">
        <f>IFERROR(__xludf.DUMMYFUNCTION("""COMPUTED_VALUE"""),"Ama de casa")</f>
        <v>Ama de casa</v>
      </c>
      <c r="AM558" s="12" t="str">
        <f>IFERROR(__xludf.DUMMYFUNCTION("""COMPUTED_VALUE"""),"63466299")</f>
        <v>63466299</v>
      </c>
      <c r="AN558" s="12" t="str">
        <f>IFERROR(__xludf.DUMMYFUNCTION("""COMPUTED_VALUE"""),"3012623991")</f>
        <v>3012623991</v>
      </c>
      <c r="AO558" s="6" t="str">
        <f>IFERROR(__xludf.DUMMYFUNCTION("""COMPUTED_VALUE"""),"Madre")</f>
        <v>Madre</v>
      </c>
      <c r="AP558" s="6" t="str">
        <f>IFERROR(__xludf.DUMMYFUNCTION("""COMPUTED_VALUE"""),"Estudiante(s): Amador Rincón")</f>
        <v>Estudiante(s): Amador Rincón</v>
      </c>
      <c r="AQ558" s="6" t="str">
        <f>IFERROR(__xludf.DUMMYFUNCTION("""COMPUTED_VALUE"""),"103954*Gi")</f>
        <v>103954*Gi</v>
      </c>
      <c r="AR558" s="6" t="str">
        <f>IFERROR(__xludf.DUMMYFUNCTION("""COMPUTED_VALUE"""),"Luis")</f>
        <v>Luis</v>
      </c>
      <c r="AS558" s="6"/>
      <c r="AT558" s="6" t="str">
        <f>IFERROR(__xludf.DUMMYFUNCTION("""COMPUTED_VALUE"""),"Amador González")</f>
        <v>Amador González</v>
      </c>
      <c r="AU558" s="6" t="str">
        <f>IFERROR(__xludf.DUMMYFUNCTION("""COMPUTED_VALUE"""),"luis.amadorg@hotmail.com")</f>
        <v>luis.amadorg@hotmail.com</v>
      </c>
      <c r="AV558" s="6"/>
      <c r="AW558" s="6"/>
      <c r="AX558" s="12" t="str">
        <f>IFERROR(__xludf.DUMMYFUNCTION("""COMPUTED_VALUE"""),"5562654")</f>
        <v>5562654</v>
      </c>
      <c r="AY558" s="12" t="str">
        <f>IFERROR(__xludf.DUMMYFUNCTION("""COMPUTED_VALUE"""),"3002653627")</f>
        <v>3002653627</v>
      </c>
      <c r="AZ558" s="6" t="str">
        <f>IFERROR(__xludf.DUMMYFUNCTION("""COMPUTED_VALUE"""),"Padre")</f>
        <v>Padre</v>
      </c>
      <c r="BA558" s="6"/>
      <c r="BB558" s="6"/>
      <c r="BC558" s="6"/>
      <c r="BD558" s="12" t="str">
        <f>IFERROR(__xludf.DUMMYFUNCTION("""COMPUTED_VALUE"""),"ama0002")</f>
        <v>ama0002</v>
      </c>
      <c r="BE558" s="6"/>
      <c r="BF558" s="6"/>
      <c r="BG558" s="6">
        <f>IFERROR(__xludf.DUMMYFUNCTION("""COMPUTED_VALUE"""),2031.0)</f>
        <v>2031</v>
      </c>
      <c r="BH558" s="15">
        <f>IFERROR(__xludf.DUMMYFUNCTION("""COMPUTED_VALUE"""),46209.511145833334)</f>
        <v>46209.51115</v>
      </c>
      <c r="BI558" s="6">
        <f>IFERROR(__xludf.DUMMYFUNCTION("""COMPUTED_VALUE"""),558.0)</f>
        <v>558</v>
      </c>
      <c r="BJ558" s="6"/>
      <c r="BK558" s="6"/>
      <c r="BL558" s="6" t="str">
        <f>IFERROR(__xludf.DUMMYFUNCTION("""COMPUTED_VALUE"""),"GISAMA0002")</f>
        <v>GISAMA0002</v>
      </c>
      <c r="BM558" s="6"/>
      <c r="BN558" s="6"/>
      <c r="BO558" s="6" t="str">
        <f>IFERROR(__xludf.DUMMYFUNCTION("""COMPUTED_VALUE"""),"XC_SEC_Futbol_F")</f>
        <v>XC_SEC_Futbol_F</v>
      </c>
      <c r="BP558" s="6"/>
      <c r="BQ558" s="6" t="str">
        <f>IFERROR(__xludf.DUMMYFUNCTION("""COMPUTED_VALUE"""),"XC_SEC_Futbol_F")</f>
        <v>XC_SEC_Futbol_F</v>
      </c>
      <c r="BR558" s="6" t="str">
        <f>IFERROR(__xludf.DUMMYFUNCTION("""COMPUTED_VALUE"""),"XC_SEC_Futbol_F")</f>
        <v>XC_SEC_Futbol_F</v>
      </c>
      <c r="BS558" s="6"/>
      <c r="BT558" s="6" t="str">
        <f>IFERROR(__xludf.DUMMYFUNCTION("""COMPUTED_VALUE"""),"XC_SEC_Futbol_F")</f>
        <v>XC_SEC_Futbol_F</v>
      </c>
      <c r="BU558" s="6" t="str">
        <f>IFERROR(__xludf.DUMMYFUNCTION("""COMPUTED_VALUE"""),"SI")</f>
        <v>SI</v>
      </c>
      <c r="BV558" s="6" t="str">
        <f>IFERROR(__xludf.DUMMYFUNCTION("""COMPUTED_VALUE"""),"silvia.a2031")</f>
        <v>silvia.a2031</v>
      </c>
      <c r="BW558" s="6"/>
      <c r="BX558" s="6"/>
      <c r="BY558" s="6"/>
      <c r="BZ558" s="6"/>
    </row>
    <row r="559">
      <c r="A559" s="12">
        <f>IFERROR(__xludf.DUMMYFUNCTION("""COMPUTED_VALUE"""),1.046718415E9)</f>
        <v>1046718415</v>
      </c>
      <c r="B559" s="6">
        <f>IFERROR(__xludf.DUMMYFUNCTION("""COMPUTED_VALUE"""),4.0)</f>
        <v>4</v>
      </c>
      <c r="C559" s="6" t="str">
        <f>IFERROR(__xludf.DUMMYFUNCTION("""COMPUTED_VALUE"""),"Esteban")</f>
        <v>Esteban</v>
      </c>
      <c r="D559" s="6"/>
      <c r="E559" s="6" t="str">
        <f>IFERROR(__xludf.DUMMYFUNCTION("""COMPUTED_VALUE"""),"Amaris De La Vega")</f>
        <v>Amaris De La Vega</v>
      </c>
      <c r="F559" s="6" t="str">
        <f>IFERROR(__xludf.DUMMYFUNCTION("""COMPUTED_VALUE"""),"Conjunto Los Rosales - Km 1 Via Circasia")</f>
        <v>Conjunto Los Rosales - Km 1 Via Circasia</v>
      </c>
      <c r="G559" s="12" t="str">
        <f>IFERROR(__xludf.DUMMYFUNCTION("""COMPUTED_VALUE"""),"2013")</f>
        <v>2013</v>
      </c>
      <c r="H559" s="6" t="str">
        <f>IFERROR(__xludf.DUMMYFUNCTION("""COMPUTED_VALUE"""),"Septiembre")</f>
        <v>Septiembre</v>
      </c>
      <c r="I559" s="12" t="str">
        <f>IFERROR(__xludf.DUMMYFUNCTION("""COMPUTED_VALUE"""),"20")</f>
        <v>20</v>
      </c>
      <c r="J559" s="6" t="str">
        <f>IFERROR(__xludf.DUMMYFUNCTION("""COMPUTED_VALUE"""),"Barranquilla")</f>
        <v>Barranquilla</v>
      </c>
      <c r="K559" s="6" t="str">
        <f>IFERROR(__xludf.DUMMYFUNCTION("""COMPUTED_VALUE"""),"esteban.a2031@gi.edu.co")</f>
        <v>esteban.a2031@gi.edu.co</v>
      </c>
      <c r="L559" s="6" t="str">
        <f>IFERROR(__xludf.DUMMYFUNCTION("""COMPUTED_VALUE"""),"TI")</f>
        <v>TI</v>
      </c>
      <c r="M559" s="6" t="str">
        <f>IFERROR(__xludf.DUMMYFUNCTION("""COMPUTED_VALUE"""),"Barranquilla")</f>
        <v>Barranquilla</v>
      </c>
      <c r="N559" s="6" t="str">
        <f>IFERROR(__xludf.DUMMYFUNCTION("""COMPUTED_VALUE"""),"M")</f>
        <v>M</v>
      </c>
      <c r="O559" s="6" t="str">
        <f>IFERROR(__xludf.DUMMYFUNCTION("""COMPUTED_VALUE"""),"ACTIVE")</f>
        <v>ACTIVE</v>
      </c>
      <c r="P559" s="6"/>
      <c r="Q559" s="6" t="str">
        <f>IFERROR(__xludf.DUMMYFUNCTION("""COMPUTED_VALUE"""),"Armenia")</f>
        <v>Armenia</v>
      </c>
      <c r="R559" s="12" t="str">
        <f>IFERROR(__xludf.DUMMYFUNCTION("""COMPUTED_VALUE"""),"Gi7b6v5c4x*")</f>
        <v>Gi7b6v5c4x*</v>
      </c>
      <c r="S559" s="6" t="str">
        <f>IFERROR(__xludf.DUMMYFUNCTION("""COMPUTED_VALUE"""),"Amaris De La Vega Esteban ")</f>
        <v>Amaris De La Vega Esteban </v>
      </c>
      <c r="T559" s="6" t="str">
        <f>IFERROR(__xludf.DUMMYFUNCTION("""COMPUTED_VALUE"""),"DANIELA DE LA VEGA CANTILLO")</f>
        <v>DANIELA DE LA VEGA CANTILLO</v>
      </c>
      <c r="U559" s="12" t="str">
        <f>IFERROR(__xludf.DUMMYFUNCTION("""COMPUTED_VALUE"""),"1140830187")</f>
        <v>1140830187</v>
      </c>
      <c r="V559" s="6">
        <f>IFERROR(__xludf.DUMMYFUNCTION("""COMPUTED_VALUE"""),3.218021328E9)</f>
        <v>3218021328</v>
      </c>
      <c r="W559" s="6" t="str">
        <f>IFERROR(__xludf.DUMMYFUNCTION("""COMPUTED_VALUE"""),"danidv293@hotmail.com")</f>
        <v>danidv293@hotmail.com</v>
      </c>
      <c r="X559" s="12" t="str">
        <f>IFERROR(__xludf.DUMMYFUNCTION("""COMPUTED_VALUE"""),"O+")</f>
        <v>O+</v>
      </c>
      <c r="Y559" s="12" t="str">
        <f>IFERROR(__xludf.DUMMYFUNCTION("""COMPUTED_VALUE"""),"8")</f>
        <v>8</v>
      </c>
      <c r="Z559" s="12">
        <f>IFERROR(__xludf.DUMMYFUNCTION("""COMPUTED_VALUE"""),103541.0)</f>
        <v>103541</v>
      </c>
      <c r="AA559" s="6" t="str">
        <f>IFERROR(__xludf.DUMMYFUNCTION("""COMPUTED_VALUE"""),"SANITAS")</f>
        <v>SANITAS</v>
      </c>
      <c r="AB559" s="6" t="str">
        <f>IFERROR(__xludf.DUMMYFUNCTION("""COMPUTED_VALUE"""),"EMI")</f>
        <v>EMI</v>
      </c>
      <c r="AC559" s="6"/>
      <c r="AD559" s="12" t="str">
        <f>IFERROR(__xludf.DUMMYFUNCTION("""COMPUTED_VALUE"""),"8C")</f>
        <v>8C</v>
      </c>
      <c r="AE559" s="12">
        <f>IFERROR(__xludf.DUMMYFUNCTION("""COMPUTED_VALUE"""),1.345281744E9)</f>
        <v>1345281744</v>
      </c>
      <c r="AF559" s="12" t="str">
        <f>IFERROR(__xludf.DUMMYFUNCTION("""COMPUTED_VALUE"""),"0696468675")</f>
        <v>0696468675</v>
      </c>
      <c r="AG559" s="12" t="str">
        <f>IFERROR(__xludf.DUMMYFUNCTION("""COMPUTED_VALUE"""),"Daniela")</f>
        <v>Daniela</v>
      </c>
      <c r="AH559" s="6"/>
      <c r="AI559" s="6" t="str">
        <f>IFERROR(__xludf.DUMMYFUNCTION("""COMPUTED_VALUE"""),"De La Vega Cantillo")</f>
        <v>De La Vega Cantillo</v>
      </c>
      <c r="AJ559" s="6" t="str">
        <f>IFERROR(__xludf.DUMMYFUNCTION("""COMPUTED_VALUE"""),"danidv293@hotmail.com")</f>
        <v>danidv293@hotmail.com</v>
      </c>
      <c r="AK559" s="6" t="str">
        <f>IFERROR(__xludf.DUMMYFUNCTION("""COMPUTED_VALUE"""),"Administradora de empresas")</f>
        <v>Administradora de empresas</v>
      </c>
      <c r="AL559" s="6" t="str">
        <f>IFERROR(__xludf.DUMMYFUNCTION("""COMPUTED_VALUE"""),"Clínica médica vivir")</f>
        <v>Clínica médica vivir</v>
      </c>
      <c r="AM559" s="12" t="str">
        <f>IFERROR(__xludf.DUMMYFUNCTION("""COMPUTED_VALUE"""),"1140830187")</f>
        <v>1140830187</v>
      </c>
      <c r="AN559" s="12" t="str">
        <f>IFERROR(__xludf.DUMMYFUNCTION("""COMPUTED_VALUE"""),"3218021328")</f>
        <v>3218021328</v>
      </c>
      <c r="AO559" s="6" t="str">
        <f>IFERROR(__xludf.DUMMYFUNCTION("""COMPUTED_VALUE"""),"Madre")</f>
        <v>Madre</v>
      </c>
      <c r="AP559" s="6" t="str">
        <f>IFERROR(__xludf.DUMMYFUNCTION("""COMPUTED_VALUE"""),"Estudiante(s): Amaris De La Vega")</f>
        <v>Estudiante(s): Amaris De La Vega</v>
      </c>
      <c r="AQ559" s="6" t="str">
        <f>IFERROR(__xludf.DUMMYFUNCTION("""COMPUTED_VALUE"""),"103541*Gi")</f>
        <v>103541*Gi</v>
      </c>
      <c r="AR559" s="6" t="str">
        <f>IFERROR(__xludf.DUMMYFUNCTION("""COMPUTED_VALUE"""),"Fabián")</f>
        <v>Fabián</v>
      </c>
      <c r="AS559" s="6" t="str">
        <f>IFERROR(__xludf.DUMMYFUNCTION("""COMPUTED_VALUE"""),"Arturo")</f>
        <v>Arturo</v>
      </c>
      <c r="AT559" s="6" t="str">
        <f>IFERROR(__xludf.DUMMYFUNCTION("""COMPUTED_VALUE"""),"Amaris Peñuela")</f>
        <v>Amaris Peñuela</v>
      </c>
      <c r="AU559" s="6" t="str">
        <f>IFERROR(__xludf.DUMMYFUNCTION("""COMPUTED_VALUE"""),"f_amaris@hotmail.com")</f>
        <v>f_amaris@hotmail.com</v>
      </c>
      <c r="AV559" s="6" t="str">
        <f>IFERROR(__xludf.DUMMYFUNCTION("""COMPUTED_VALUE"""),"Negocios Internacion")</f>
        <v>Negocios Internacion</v>
      </c>
      <c r="AW559" s="6" t="str">
        <f>IFERROR(__xludf.DUMMYFUNCTION("""COMPUTED_VALUE"""),"Gruvicacol")</f>
        <v>Gruvicacol</v>
      </c>
      <c r="AX559" s="12" t="str">
        <f>IFERROR(__xludf.DUMMYFUNCTION("""COMPUTED_VALUE"""),"1140814468")</f>
        <v>1140814468</v>
      </c>
      <c r="AY559" s="12" t="str">
        <f>IFERROR(__xludf.DUMMYFUNCTION("""COMPUTED_VALUE"""),"3174311899")</f>
        <v>3174311899</v>
      </c>
      <c r="AZ559" s="6" t="str">
        <f>IFERROR(__xludf.DUMMYFUNCTION("""COMPUTED_VALUE"""),"Padre")</f>
        <v>Padre</v>
      </c>
      <c r="BA559" s="6"/>
      <c r="BB559" s="6"/>
      <c r="BC559" s="6"/>
      <c r="BD559" s="12" t="str">
        <f>IFERROR(__xludf.DUMMYFUNCTION("""COMPUTED_VALUE"""),"ama0001")</f>
        <v>ama0001</v>
      </c>
      <c r="BE559" s="6"/>
      <c r="BF559" s="6"/>
      <c r="BG559" s="6">
        <f>IFERROR(__xludf.DUMMYFUNCTION("""COMPUTED_VALUE"""),2031.0)</f>
        <v>2031</v>
      </c>
      <c r="BH559" s="15">
        <f>IFERROR(__xludf.DUMMYFUNCTION("""COMPUTED_VALUE"""),46253.618159722224)</f>
        <v>46253.61816</v>
      </c>
      <c r="BI559" s="6">
        <f>IFERROR(__xludf.DUMMYFUNCTION("""COMPUTED_VALUE"""),559.0)</f>
        <v>559</v>
      </c>
      <c r="BJ559" s="6" t="str">
        <f>IFERROR(__xludf.DUMMYFUNCTION("""COMPUTED_VALUE"""),"DANE: Perturbación de la atención
SIMAT: Trastorno de la atención")</f>
        <v>DANE: Perturbación de la atención
SIMAT: Trastorno de la atención</v>
      </c>
      <c r="BK559" s="6"/>
      <c r="BL559" s="6" t="str">
        <f>IFERROR(__xludf.DUMMYFUNCTION("""COMPUTED_VALUE"""),"GISAMA0001")</f>
        <v>GISAMA0001</v>
      </c>
      <c r="BM559" s="6"/>
      <c r="BN559" s="6"/>
      <c r="BO559" s="6" t="str">
        <f>IFERROR(__xludf.DUMMYFUNCTION("""COMPUTED_VALUE"""),"XC_MS_Futbol_M")</f>
        <v>XC_MS_Futbol_M</v>
      </c>
      <c r="BP559" s="6"/>
      <c r="BQ559" s="6" t="str">
        <f>IFERROR(__xludf.DUMMYFUNCTION("""COMPUTED_VALUE"""),"XC_MS_Futbol_M")</f>
        <v>XC_MS_Futbol_M</v>
      </c>
      <c r="BR559" s="6" t="str">
        <f>IFERROR(__xludf.DUMMYFUNCTION("""COMPUTED_VALUE"""),"XC_MS_Futbol_M")</f>
        <v>XC_MS_Futbol_M</v>
      </c>
      <c r="BS559" s="6"/>
      <c r="BT559" s="6" t="str">
        <f>IFERROR(__xludf.DUMMYFUNCTION("""COMPUTED_VALUE"""),"XC_MS_Futbol_M")</f>
        <v>XC_MS_Futbol_M</v>
      </c>
      <c r="BU559" s="6" t="str">
        <f>IFERROR(__xludf.DUMMYFUNCTION("""COMPUTED_VALUE"""),"SI")</f>
        <v>SI</v>
      </c>
      <c r="BV559" s="6" t="str">
        <f>IFERROR(__xludf.DUMMYFUNCTION("""COMPUTED_VALUE"""),"esteban.a2031")</f>
        <v>esteban.a2031</v>
      </c>
      <c r="BW559" s="6"/>
      <c r="BX559" s="6"/>
      <c r="BY559" s="6"/>
      <c r="BZ559" s="6"/>
    </row>
    <row r="560">
      <c r="A560" s="12">
        <f>IFERROR(__xludf.DUMMYFUNCTION("""COMPUTED_VALUE"""),1.092856928E9)</f>
        <v>1092856928</v>
      </c>
      <c r="B560" s="6">
        <f>IFERROR(__xludf.DUMMYFUNCTION("""COMPUTED_VALUE"""),5.0)</f>
        <v>5</v>
      </c>
      <c r="C560" s="6" t="str">
        <f>IFERROR(__xludf.DUMMYFUNCTION("""COMPUTED_VALUE"""),"Paulina")</f>
        <v>Paulina</v>
      </c>
      <c r="D560" s="6"/>
      <c r="E560" s="6" t="str">
        <f>IFERROR(__xludf.DUMMYFUNCTION("""COMPUTED_VALUE"""),"Bedoya López")</f>
        <v>Bedoya López</v>
      </c>
      <c r="F560" s="6" t="str">
        <f>IFERROR(__xludf.DUMMYFUNCTION("""COMPUTED_VALUE"""),"Km 1 Via Armenia-Pereira - Finca Villa Rosita - Bayano - Correspondencia Calle 6Nte No17 - 40 Profesionales")</f>
        <v>Km 1 Via Armenia-Pereira - Finca Villa Rosita - Bayano - Correspondencia Calle 6Nte No17 - 40 Profesionales</v>
      </c>
      <c r="G560" s="12" t="str">
        <f>IFERROR(__xludf.DUMMYFUNCTION("""COMPUTED_VALUE"""),"2013")</f>
        <v>2013</v>
      </c>
      <c r="H560" s="6" t="str">
        <f>IFERROR(__xludf.DUMMYFUNCTION("""COMPUTED_VALUE"""),"Julio")</f>
        <v>Julio</v>
      </c>
      <c r="I560" s="12" t="str">
        <f>IFERROR(__xludf.DUMMYFUNCTION("""COMPUTED_VALUE"""),"4")</f>
        <v>4</v>
      </c>
      <c r="J560" s="6" t="str">
        <f>IFERROR(__xludf.DUMMYFUNCTION("""COMPUTED_VALUE"""),"Armenia")</f>
        <v>Armenia</v>
      </c>
      <c r="K560" s="6" t="str">
        <f>IFERROR(__xludf.DUMMYFUNCTION("""COMPUTED_VALUE"""),"paulina.b2031@gi.edu.co")</f>
        <v>paulina.b2031@gi.edu.co</v>
      </c>
      <c r="L560" s="6" t="str">
        <f>IFERROR(__xludf.DUMMYFUNCTION("""COMPUTED_VALUE"""),"TI")</f>
        <v>TI</v>
      </c>
      <c r="M560" s="6" t="str">
        <f>IFERROR(__xludf.DUMMYFUNCTION("""COMPUTED_VALUE"""),"Armenia")</f>
        <v>Armenia</v>
      </c>
      <c r="N560" s="6" t="str">
        <f>IFERROR(__xludf.DUMMYFUNCTION("""COMPUTED_VALUE"""),"F")</f>
        <v>F</v>
      </c>
      <c r="O560" s="6" t="str">
        <f>IFERROR(__xludf.DUMMYFUNCTION("""COMPUTED_VALUE"""),"INACTIVE")</f>
        <v>INACTIVE</v>
      </c>
      <c r="P560" s="6"/>
      <c r="Q560" s="6" t="str">
        <f>IFERROR(__xludf.DUMMYFUNCTION("""COMPUTED_VALUE"""),"Armenia")</f>
        <v>Armenia</v>
      </c>
      <c r="R560" s="12" t="str">
        <f>IFERROR(__xludf.DUMMYFUNCTION("""COMPUTED_VALUE"""),"Gi8n7b6v5c*")</f>
        <v>Gi8n7b6v5c*</v>
      </c>
      <c r="S560" s="6" t="str">
        <f>IFERROR(__xludf.DUMMYFUNCTION("""COMPUTED_VALUE"""),"Bedoya López Paulina ")</f>
        <v>Bedoya López Paulina </v>
      </c>
      <c r="T560" s="6" t="str">
        <f>IFERROR(__xludf.DUMMYFUNCTION("""COMPUTED_VALUE"""),"ELIZABETH LOPEZ TOBON")</f>
        <v>ELIZABETH LOPEZ TOBON</v>
      </c>
      <c r="U560" s="12" t="str">
        <f>IFERROR(__xludf.DUMMYFUNCTION("""COMPUTED_VALUE"""),"41960136")</f>
        <v>41960136</v>
      </c>
      <c r="V560" s="6">
        <f>IFERROR(__xludf.DUMMYFUNCTION("""COMPUTED_VALUE"""),3.166170394E9)</f>
        <v>3166170394</v>
      </c>
      <c r="W560" s="6" t="str">
        <f>IFERROR(__xludf.DUMMYFUNCTION("""COMPUTED_VALUE"""),"hliabogada@gmail.com")</f>
        <v>hliabogada@gmail.com</v>
      </c>
      <c r="X560" s="12" t="str">
        <f>IFERROR(__xludf.DUMMYFUNCTION("""COMPUTED_VALUE"""),"O+")</f>
        <v>O+</v>
      </c>
      <c r="Y560" s="12" t="str">
        <f>IFERROR(__xludf.DUMMYFUNCTION("""COMPUTED_VALUE"""),"8")</f>
        <v>8</v>
      </c>
      <c r="Z560" s="12">
        <f>IFERROR(__xludf.DUMMYFUNCTION("""COMPUTED_VALUE"""),103563.0)</f>
        <v>103563</v>
      </c>
      <c r="AA560" s="6" t="str">
        <f>IFERROR(__xludf.DUMMYFUNCTION("""COMPUTED_VALUE"""),"SURA")</f>
        <v>SURA</v>
      </c>
      <c r="AB560" s="6" t="str">
        <f>IFERROR(__xludf.DUMMYFUNCTION("""COMPUTED_VALUE"""),"EMI")</f>
        <v>EMI</v>
      </c>
      <c r="AC560" s="6"/>
      <c r="AD560" s="12" t="str">
        <f>IFERROR(__xludf.DUMMYFUNCTION("""COMPUTED_VALUE"""),"8C")</f>
        <v>8C</v>
      </c>
      <c r="AE560" s="12">
        <f>IFERROR(__xludf.DUMMYFUNCTION("""COMPUTED_VALUE"""),1.345281756E9)</f>
        <v>1345281756</v>
      </c>
      <c r="AF560" s="12" t="str">
        <f>IFERROR(__xludf.DUMMYFUNCTION("""COMPUTED_VALUE"""),"0682960227")</f>
        <v>0682960227</v>
      </c>
      <c r="AG560" s="12" t="str">
        <f>IFERROR(__xludf.DUMMYFUNCTION("""COMPUTED_VALUE"""),"Elizabeth")</f>
        <v>Elizabeth</v>
      </c>
      <c r="AH560" s="6"/>
      <c r="AI560" s="6" t="str">
        <f>IFERROR(__xludf.DUMMYFUNCTION("""COMPUTED_VALUE"""),"López Tobón")</f>
        <v>López Tobón</v>
      </c>
      <c r="AJ560" s="6" t="str">
        <f>IFERROR(__xludf.DUMMYFUNCTION("""COMPUTED_VALUE"""),"hliabogada@gmail.com")</f>
        <v>hliabogada@gmail.com</v>
      </c>
      <c r="AK560" s="6" t="str">
        <f>IFERROR(__xludf.DUMMYFUNCTION("""COMPUTED_VALUE"""),"Abogada")</f>
        <v>Abogada</v>
      </c>
      <c r="AL560" s="6" t="str">
        <f>IFERROR(__xludf.DUMMYFUNCTION("""COMPUTED_VALUE"""),"Constructora Hlincober SAS")</f>
        <v>Constructora Hlincober SAS</v>
      </c>
      <c r="AM560" s="12" t="str">
        <f>IFERROR(__xludf.DUMMYFUNCTION("""COMPUTED_VALUE"""),"41960136")</f>
        <v>41960136</v>
      </c>
      <c r="AN560" s="12" t="str">
        <f>IFERROR(__xludf.DUMMYFUNCTION("""COMPUTED_VALUE"""),"3166170394")</f>
        <v>3166170394</v>
      </c>
      <c r="AO560" s="6" t="str">
        <f>IFERROR(__xludf.DUMMYFUNCTION("""COMPUTED_VALUE"""),"Madre")</f>
        <v>Madre</v>
      </c>
      <c r="AP560" s="6" t="str">
        <f>IFERROR(__xludf.DUMMYFUNCTION("""COMPUTED_VALUE"""),"Estudiante(s): Paulina Bedoya López &amp; Isabella Martínez López")</f>
        <v>Estudiante(s): Paulina Bedoya López &amp; Isabella Martínez López</v>
      </c>
      <c r="AQ560" s="6" t="str">
        <f>IFERROR(__xludf.DUMMYFUNCTION("""COMPUTED_VALUE"""),"103563*Gi")</f>
        <v>103563*Gi</v>
      </c>
      <c r="AR560" s="6" t="str">
        <f>IFERROR(__xludf.DUMMYFUNCTION("""COMPUTED_VALUE"""),"Héctor")</f>
        <v>Héctor</v>
      </c>
      <c r="AS560" s="6" t="str">
        <f>IFERROR(__xludf.DUMMYFUNCTION("""COMPUTED_VALUE"""),"Mario")</f>
        <v>Mario</v>
      </c>
      <c r="AT560" s="6" t="str">
        <f>IFERROR(__xludf.DUMMYFUNCTION("""COMPUTED_VALUE"""),"Bedoya Hoyos")</f>
        <v>Bedoya Hoyos</v>
      </c>
      <c r="AU560" s="6" t="str">
        <f>IFERROR(__xludf.DUMMYFUNCTION("""COMPUTED_VALUE"""),"pincho80@hotmail.com")</f>
        <v>pincho80@hotmail.com</v>
      </c>
      <c r="AV560" s="6"/>
      <c r="AW560" s="6"/>
      <c r="AX560" s="12" t="str">
        <f>IFERROR(__xludf.DUMMYFUNCTION("""COMPUTED_VALUE"""),"89003542")</f>
        <v>89003542</v>
      </c>
      <c r="AY560" s="12" t="str">
        <f>IFERROR(__xludf.DUMMYFUNCTION("""COMPUTED_VALUE"""),"3187352403")</f>
        <v>3187352403</v>
      </c>
      <c r="AZ560" s="6" t="str">
        <f>IFERROR(__xludf.DUMMYFUNCTION("""COMPUTED_VALUE"""),"Padre")</f>
        <v>Padre</v>
      </c>
      <c r="BA560" s="6"/>
      <c r="BB560" s="6"/>
      <c r="BC560" s="6"/>
      <c r="BD560" s="12" t="str">
        <f>IFERROR(__xludf.DUMMYFUNCTION("""COMPUTED_VALUE"""),"bed0003")</f>
        <v>bed0003</v>
      </c>
      <c r="BE560" s="6" t="str">
        <f>IFERROR(__xludf.DUMMYFUNCTION("""COMPUTED_VALUE"""),"FALTAN FIRMAS")</f>
        <v>FALTAN FIRMAS</v>
      </c>
      <c r="BF560" s="6"/>
      <c r="BG560" s="6">
        <f>IFERROR(__xludf.DUMMYFUNCTION("""COMPUTED_VALUE"""),2031.0)</f>
        <v>2031</v>
      </c>
      <c r="BH560" s="15">
        <f>IFERROR(__xludf.DUMMYFUNCTION("""COMPUTED_VALUE"""),46210.408159722225)</f>
        <v>46210.40816</v>
      </c>
      <c r="BI560" s="6">
        <f>IFERROR(__xludf.DUMMYFUNCTION("""COMPUTED_VALUE"""),560.0)</f>
        <v>560</v>
      </c>
      <c r="BJ560" s="6"/>
      <c r="BK560" s="6"/>
      <c r="BL560" s="6" t="str">
        <f>IFERROR(__xludf.DUMMYFUNCTION("""COMPUTED_VALUE"""),"GISBED0003")</f>
        <v>GISBED0003</v>
      </c>
      <c r="BM560" s="6"/>
      <c r="BN560" s="6"/>
      <c r="BO560" s="6" t="str">
        <f>IFERROR(__xludf.DUMMYFUNCTION("""COMPUTED_VALUE"""),"XC_MS_Voleibol_F")</f>
        <v>XC_MS_Voleibol_F</v>
      </c>
      <c r="BP560" s="6"/>
      <c r="BQ560" s="6" t="str">
        <f>IFERROR(__xludf.DUMMYFUNCTION("""COMPUTED_VALUE"""),"XC_MS_Voleibol_F")</f>
        <v>XC_MS_Voleibol_F</v>
      </c>
      <c r="BR560" s="6" t="str">
        <f>IFERROR(__xludf.DUMMYFUNCTION("""COMPUTED_VALUE"""),"XC_MS_Voleibol_F")</f>
        <v>XC_MS_Voleibol_F</v>
      </c>
      <c r="BS560" s="6"/>
      <c r="BT560" s="6" t="str">
        <f>IFERROR(__xludf.DUMMYFUNCTION("""COMPUTED_VALUE"""),"XC_MS_Voleibol_F")</f>
        <v>XC_MS_Voleibol_F</v>
      </c>
      <c r="BU560" s="6" t="str">
        <f>IFERROR(__xludf.DUMMYFUNCTION("""COMPUTED_VALUE"""),"SI")</f>
        <v>SI</v>
      </c>
      <c r="BV560" s="6" t="str">
        <f>IFERROR(__xludf.DUMMYFUNCTION("""COMPUTED_VALUE"""),"paulina.b2031")</f>
        <v>paulina.b2031</v>
      </c>
      <c r="BW560" s="6"/>
      <c r="BX560" s="6"/>
      <c r="BY560" s="6"/>
      <c r="BZ560" s="6"/>
    </row>
    <row r="561">
      <c r="A561" s="12">
        <f>IFERROR(__xludf.DUMMYFUNCTION("""COMPUTED_VALUE"""),1.092463231E9)</f>
        <v>1092463231</v>
      </c>
      <c r="B561" s="6">
        <f>IFERROR(__xludf.DUMMYFUNCTION("""COMPUTED_VALUE"""),6.0)</f>
        <v>6</v>
      </c>
      <c r="C561" s="6" t="str">
        <f>IFERROR(__xludf.DUMMYFUNCTION("""COMPUTED_VALUE"""),"Victoria")</f>
        <v>Victoria</v>
      </c>
      <c r="D561" s="6"/>
      <c r="E561" s="6" t="str">
        <f>IFERROR(__xludf.DUMMYFUNCTION("""COMPUTED_VALUE"""),"Belalcázar Isaza")</f>
        <v>Belalcázar Isaza</v>
      </c>
      <c r="F561" s="6" t="str">
        <f>IFERROR(__xludf.DUMMYFUNCTION("""COMPUTED_VALUE"""),"Los Ocobos Parque Residencial D-1 - Calle 31 Nte No20 - 10")</f>
        <v>Los Ocobos Parque Residencial D-1 - Calle 31 Nte No20 - 10</v>
      </c>
      <c r="G561" s="12" t="str">
        <f>IFERROR(__xludf.DUMMYFUNCTION("""COMPUTED_VALUE"""),"2013")</f>
        <v>2013</v>
      </c>
      <c r="H561" s="6" t="str">
        <f>IFERROR(__xludf.DUMMYFUNCTION("""COMPUTED_VALUE"""),"Julio")</f>
        <v>Julio</v>
      </c>
      <c r="I561" s="12" t="str">
        <f>IFERROR(__xludf.DUMMYFUNCTION("""COMPUTED_VALUE"""),"9")</f>
        <v>9</v>
      </c>
      <c r="J561" s="6" t="str">
        <f>IFERROR(__xludf.DUMMYFUNCTION("""COMPUTED_VALUE"""),"Armenia")</f>
        <v>Armenia</v>
      </c>
      <c r="K561" s="6" t="str">
        <f>IFERROR(__xludf.DUMMYFUNCTION("""COMPUTED_VALUE"""),"victoria.b2031@gi.edu.co")</f>
        <v>victoria.b2031@gi.edu.co</v>
      </c>
      <c r="L561" s="6" t="str">
        <f>IFERROR(__xludf.DUMMYFUNCTION("""COMPUTED_VALUE"""),"RC")</f>
        <v>RC</v>
      </c>
      <c r="M561" s="6" t="str">
        <f>IFERROR(__xludf.DUMMYFUNCTION("""COMPUTED_VALUE"""),"Armenia")</f>
        <v>Armenia</v>
      </c>
      <c r="N561" s="6" t="str">
        <f>IFERROR(__xludf.DUMMYFUNCTION("""COMPUTED_VALUE"""),"F")</f>
        <v>F</v>
      </c>
      <c r="O561" s="6" t="str">
        <f>IFERROR(__xludf.DUMMYFUNCTION("""COMPUTED_VALUE"""),"INACTIVE")</f>
        <v>INACTIVE</v>
      </c>
      <c r="P561" s="6"/>
      <c r="Q561" s="6" t="str">
        <f>IFERROR(__xludf.DUMMYFUNCTION("""COMPUTED_VALUE"""),"Armenia")</f>
        <v>Armenia</v>
      </c>
      <c r="R561" s="12" t="str">
        <f>IFERROR(__xludf.DUMMYFUNCTION("""COMPUTED_VALUE"""),"Gi9f8n7v62*")</f>
        <v>Gi9f8n7v62*</v>
      </c>
      <c r="S561" s="6" t="str">
        <f>IFERROR(__xludf.DUMMYFUNCTION("""COMPUTED_VALUE"""),"Belalcázar Isaza Victoria ")</f>
        <v>Belalcázar Isaza Victoria </v>
      </c>
      <c r="T561" s="6" t="str">
        <f>IFERROR(__xludf.DUMMYFUNCTION("""COMPUTED_VALUE"""),"NELSON ENRIQUE BELALCAZAR CARVAJAL")</f>
        <v>NELSON ENRIQUE BELALCAZAR CARVAJAL</v>
      </c>
      <c r="U561" s="12" t="str">
        <f>IFERROR(__xludf.DUMMYFUNCTION("""COMPUTED_VALUE"""),"10539621")</f>
        <v>10539621</v>
      </c>
      <c r="V561" s="6">
        <f>IFERROR(__xludf.DUMMYFUNCTION("""COMPUTED_VALUE"""),3.187079182E9)</f>
        <v>3187079182</v>
      </c>
      <c r="W561" s="6" t="str">
        <f>IFERROR(__xludf.DUMMYFUNCTION("""COMPUTED_VALUE"""),"nbelalcazar@gmail.com")</f>
        <v>nbelalcazar@gmail.com</v>
      </c>
      <c r="X561" s="12" t="str">
        <f>IFERROR(__xludf.DUMMYFUNCTION("""COMPUTED_VALUE"""),"A+")</f>
        <v>A+</v>
      </c>
      <c r="Y561" s="12" t="str">
        <f>IFERROR(__xludf.DUMMYFUNCTION("""COMPUTED_VALUE"""),"8")</f>
        <v>8</v>
      </c>
      <c r="Z561" s="12">
        <f>IFERROR(__xludf.DUMMYFUNCTION("""COMPUTED_VALUE"""),103406.0)</f>
        <v>103406</v>
      </c>
      <c r="AA561" s="6" t="str">
        <f>IFERROR(__xludf.DUMMYFUNCTION("""COMPUTED_VALUE"""),"COOMEVA")</f>
        <v>COOMEVA</v>
      </c>
      <c r="AB561" s="6"/>
      <c r="AC561" s="12" t="str">
        <f>IFERROR(__xludf.DUMMYFUNCTION("""COMPUTED_VALUE"""),"buscapina")</f>
        <v>buscapina</v>
      </c>
      <c r="AD561" s="12" t="str">
        <f>IFERROR(__xludf.DUMMYFUNCTION("""COMPUTED_VALUE"""),"8B")</f>
        <v>8B</v>
      </c>
      <c r="AE561" s="12">
        <f>IFERROR(__xludf.DUMMYFUNCTION("""COMPUTED_VALUE"""),1.345281676E9)</f>
        <v>1345281676</v>
      </c>
      <c r="AF561" s="12" t="str">
        <f>IFERROR(__xludf.DUMMYFUNCTION("""COMPUTED_VALUE"""),"0706141827")</f>
        <v>0706141827</v>
      </c>
      <c r="AG561" s="12" t="str">
        <f>IFERROR(__xludf.DUMMYFUNCTION("""COMPUTED_VALUE"""),"Lina")</f>
        <v>Lina</v>
      </c>
      <c r="AH561" s="12" t="str">
        <f>IFERROR(__xludf.DUMMYFUNCTION("""COMPUTED_VALUE"""),"María")</f>
        <v>María</v>
      </c>
      <c r="AI561" s="6" t="str">
        <f>IFERROR(__xludf.DUMMYFUNCTION("""COMPUTED_VALUE"""),"Isaza Pérez")</f>
        <v>Isaza Pérez</v>
      </c>
      <c r="AJ561" s="6" t="str">
        <f>IFERROR(__xludf.DUMMYFUNCTION("""COMPUTED_VALUE"""),"isazaperezlinamaria@gmail.com")</f>
        <v>isazaperezlinamaria@gmail.com</v>
      </c>
      <c r="AK561" s="6" t="str">
        <f>IFERROR(__xludf.DUMMYFUNCTION("""COMPUTED_VALUE"""),"Esteticista")</f>
        <v>Esteticista</v>
      </c>
      <c r="AL561" s="6" t="str">
        <f>IFERROR(__xludf.DUMMYFUNCTION("""COMPUTED_VALUE"""),"Oncolos de Occidente")</f>
        <v>Oncolos de Occidente</v>
      </c>
      <c r="AM561" s="12" t="str">
        <f>IFERROR(__xludf.DUMMYFUNCTION("""COMPUTED_VALUE"""),"41942904")</f>
        <v>41942904</v>
      </c>
      <c r="AN561" s="12" t="str">
        <f>IFERROR(__xludf.DUMMYFUNCTION("""COMPUTED_VALUE"""),"3155884867")</f>
        <v>3155884867</v>
      </c>
      <c r="AO561" s="6" t="str">
        <f>IFERROR(__xludf.DUMMYFUNCTION("""COMPUTED_VALUE"""),"Madre")</f>
        <v>Madre</v>
      </c>
      <c r="AP561" s="6" t="str">
        <f>IFERROR(__xludf.DUMMYFUNCTION("""COMPUTED_VALUE"""),"Estudiante(s): Belalcázar Isaza")</f>
        <v>Estudiante(s): Belalcázar Isaza</v>
      </c>
      <c r="AQ561" s="6" t="str">
        <f>IFERROR(__xludf.DUMMYFUNCTION("""COMPUTED_VALUE"""),"103406*Gi")</f>
        <v>103406*Gi</v>
      </c>
      <c r="AR561" s="6" t="str">
        <f>IFERROR(__xludf.DUMMYFUNCTION("""COMPUTED_VALUE"""),"Nelson")</f>
        <v>Nelson</v>
      </c>
      <c r="AS561" s="6" t="str">
        <f>IFERROR(__xludf.DUMMYFUNCTION("""COMPUTED_VALUE"""),"Enrique")</f>
        <v>Enrique</v>
      </c>
      <c r="AT561" s="6" t="str">
        <f>IFERROR(__xludf.DUMMYFUNCTION("""COMPUTED_VALUE"""),"Belalcázar Carvajal")</f>
        <v>Belalcázar Carvajal</v>
      </c>
      <c r="AU561" s="6" t="str">
        <f>IFERROR(__xludf.DUMMYFUNCTION("""COMPUTED_VALUE"""),"nbelalcazar@gmail.com")</f>
        <v>nbelalcazar@gmail.com</v>
      </c>
      <c r="AV561" s="6" t="str">
        <f>IFERROR(__xludf.DUMMYFUNCTION("""COMPUTED_VALUE"""),"MEDICO ONCOLOGO")</f>
        <v>MEDICO ONCOLOGO</v>
      </c>
      <c r="AW561" s="6" t="str">
        <f>IFERROR(__xludf.DUMMYFUNCTION("""COMPUTED_VALUE"""),"Oncólogos de Occidente")</f>
        <v>Oncólogos de Occidente</v>
      </c>
      <c r="AX561" s="12" t="str">
        <f>IFERROR(__xludf.DUMMYFUNCTION("""COMPUTED_VALUE"""),"10539621")</f>
        <v>10539621</v>
      </c>
      <c r="AY561" s="12" t="str">
        <f>IFERROR(__xludf.DUMMYFUNCTION("""COMPUTED_VALUE"""),"3187079182")</f>
        <v>3187079182</v>
      </c>
      <c r="AZ561" s="6" t="str">
        <f>IFERROR(__xludf.DUMMYFUNCTION("""COMPUTED_VALUE"""),"Padre")</f>
        <v>Padre</v>
      </c>
      <c r="BA561" s="6"/>
      <c r="BB561" s="6"/>
      <c r="BC561" s="6"/>
      <c r="BD561" s="12" t="str">
        <f>IFERROR(__xludf.DUMMYFUNCTION("""COMPUTED_VALUE"""),"bel0001")</f>
        <v>bel0001</v>
      </c>
      <c r="BE561" s="6" t="str">
        <f>IFERROR(__xludf.DUMMYFUNCTION("""COMPUTED_VALUE"""),"FALTAN FIRMAS")</f>
        <v>FALTAN FIRMAS</v>
      </c>
      <c r="BF561" s="6"/>
      <c r="BG561" s="6">
        <f>IFERROR(__xludf.DUMMYFUNCTION("""COMPUTED_VALUE"""),2031.0)</f>
        <v>2031</v>
      </c>
      <c r="BH561" s="15">
        <f>IFERROR(__xludf.DUMMYFUNCTION("""COMPUTED_VALUE"""),46239.32592592593)</f>
        <v>46239.32593</v>
      </c>
      <c r="BI561" s="6">
        <f>IFERROR(__xludf.DUMMYFUNCTION("""COMPUTED_VALUE"""),561.0)</f>
        <v>561</v>
      </c>
      <c r="BJ561" s="6"/>
      <c r="BK561" s="6"/>
      <c r="BL561" s="6" t="str">
        <f>IFERROR(__xludf.DUMMYFUNCTION("""COMPUTED_VALUE"""),"GISBEL0001")</f>
        <v>GISBEL0001</v>
      </c>
      <c r="BM561" s="6"/>
      <c r="BN561" s="6"/>
      <c r="BO561" s="6"/>
      <c r="BP561" s="6"/>
      <c r="BQ561" s="6"/>
      <c r="BR561" s="6"/>
      <c r="BS561" s="6"/>
      <c r="BT561" s="6"/>
      <c r="BU561" s="6" t="str">
        <f>IFERROR(__xludf.DUMMYFUNCTION("""COMPUTED_VALUE"""),"SI")</f>
        <v>SI</v>
      </c>
      <c r="BV561" s="6" t="str">
        <f>IFERROR(__xludf.DUMMYFUNCTION("""COMPUTED_VALUE"""),"victoria.b2031")</f>
        <v>victoria.b2031</v>
      </c>
      <c r="BW561" s="6"/>
      <c r="BX561" s="6"/>
      <c r="BY561" s="6"/>
      <c r="BZ561" s="6"/>
    </row>
    <row r="562">
      <c r="A562" s="12">
        <f>IFERROR(__xludf.DUMMYFUNCTION("""COMPUTED_VALUE"""),1.092857052E9)</f>
        <v>1092857052</v>
      </c>
      <c r="B562" s="6">
        <f>IFERROR(__xludf.DUMMYFUNCTION("""COMPUTED_VALUE"""),7.0)</f>
        <v>7</v>
      </c>
      <c r="C562" s="6" t="str">
        <f>IFERROR(__xludf.DUMMYFUNCTION("""COMPUTED_VALUE"""),"Salvador")</f>
        <v>Salvador</v>
      </c>
      <c r="D562" s="6"/>
      <c r="E562" s="6" t="str">
        <f>IFERROR(__xludf.DUMMYFUNCTION("""COMPUTED_VALUE"""),"Botero Cortés")</f>
        <v>Botero Cortés</v>
      </c>
      <c r="F562" s="6" t="str">
        <f>IFERROR(__xludf.DUMMYFUNCTION("""COMPUTED_VALUE"""),"Conjunto Las Colinas Casa 5 - Km 5 Via Armenia Pereira")</f>
        <v>Conjunto Las Colinas Casa 5 - Km 5 Via Armenia Pereira</v>
      </c>
      <c r="G562" s="12" t="str">
        <f>IFERROR(__xludf.DUMMYFUNCTION("""COMPUTED_VALUE"""),"2013")</f>
        <v>2013</v>
      </c>
      <c r="H562" s="6" t="str">
        <f>IFERROR(__xludf.DUMMYFUNCTION("""COMPUTED_VALUE"""),"Agosto")</f>
        <v>Agosto</v>
      </c>
      <c r="I562" s="12" t="str">
        <f>IFERROR(__xludf.DUMMYFUNCTION("""COMPUTED_VALUE"""),"23")</f>
        <v>23</v>
      </c>
      <c r="J562" s="6" t="str">
        <f>IFERROR(__xludf.DUMMYFUNCTION("""COMPUTED_VALUE"""),"Armenia")</f>
        <v>Armenia</v>
      </c>
      <c r="K562" s="6" t="str">
        <f>IFERROR(__xludf.DUMMYFUNCTION("""COMPUTED_VALUE"""),"salvador.b2031@gi.edu.co")</f>
        <v>salvador.b2031@gi.edu.co</v>
      </c>
      <c r="L562" s="6" t="str">
        <f>IFERROR(__xludf.DUMMYFUNCTION("""COMPUTED_VALUE"""),"TI")</f>
        <v>TI</v>
      </c>
      <c r="M562" s="6" t="str">
        <f>IFERROR(__xludf.DUMMYFUNCTION("""COMPUTED_VALUE"""),"Circasia")</f>
        <v>Circasia</v>
      </c>
      <c r="N562" s="6" t="str">
        <f>IFERROR(__xludf.DUMMYFUNCTION("""COMPUTED_VALUE"""),"M")</f>
        <v>M</v>
      </c>
      <c r="O562" s="6" t="str">
        <f>IFERROR(__xludf.DUMMYFUNCTION("""COMPUTED_VALUE"""),"INACTIVE")</f>
        <v>INACTIVE</v>
      </c>
      <c r="P562" s="6"/>
      <c r="Q562" s="6" t="str">
        <f>IFERROR(__xludf.DUMMYFUNCTION("""COMPUTED_VALUE"""),"Circasia")</f>
        <v>Circasia</v>
      </c>
      <c r="R562" s="12" t="str">
        <f>IFERROR(__xludf.DUMMYFUNCTION("""COMPUTED_VALUE"""),"Gihs894567*")</f>
        <v>Gihs894567*</v>
      </c>
      <c r="S562" s="6" t="str">
        <f>IFERROR(__xludf.DUMMYFUNCTION("""COMPUTED_VALUE"""),"Botero Cortés Salvador ")</f>
        <v>Botero Cortés Salvador </v>
      </c>
      <c r="T562" s="6" t="str">
        <f>IFERROR(__xludf.DUMMYFUNCTION("""COMPUTED_VALUE"""),"LUISA FERNANDA CORTÉS GÓMEZ")</f>
        <v>LUISA FERNANDA CORTÉS GÓMEZ</v>
      </c>
      <c r="U562" s="12" t="str">
        <f>IFERROR(__xludf.DUMMYFUNCTION("""COMPUTED_VALUE"""),"24606246")</f>
        <v>24606246</v>
      </c>
      <c r="V562" s="6">
        <f>IFERROR(__xludf.DUMMYFUNCTION("""COMPUTED_VALUE"""),3.173754718E9)</f>
        <v>3173754718</v>
      </c>
      <c r="W562" s="6" t="str">
        <f>IFERROR(__xludf.DUMMYFUNCTION("""COMPUTED_VALUE"""),"luisac3@hotmail.com")</f>
        <v>luisac3@hotmail.com</v>
      </c>
      <c r="X562" s="12" t="str">
        <f>IFERROR(__xludf.DUMMYFUNCTION("""COMPUTED_VALUE"""),"O+")</f>
        <v>O+</v>
      </c>
      <c r="Y562" s="12" t="str">
        <f>IFERROR(__xludf.DUMMYFUNCTION("""COMPUTED_VALUE"""),"8")</f>
        <v>8</v>
      </c>
      <c r="Z562" s="12">
        <f>IFERROR(__xludf.DUMMYFUNCTION("""COMPUTED_VALUE"""),103352.0)</f>
        <v>103352</v>
      </c>
      <c r="AA562" s="6" t="str">
        <f>IFERROR(__xludf.DUMMYFUNCTION("""COMPUTED_VALUE"""),"SURA")</f>
        <v>SURA</v>
      </c>
      <c r="AB562" s="6" t="str">
        <f>IFERROR(__xludf.DUMMYFUNCTION("""COMPUTED_VALUE"""),"Emi")</f>
        <v>Emi</v>
      </c>
      <c r="AC562" s="6"/>
      <c r="AD562" s="12" t="str">
        <f>IFERROR(__xludf.DUMMYFUNCTION("""COMPUTED_VALUE"""),"8B")</f>
        <v>8B</v>
      </c>
      <c r="AE562" s="12">
        <f>IFERROR(__xludf.DUMMYFUNCTION("""COMPUTED_VALUE"""),1.345281653E9)</f>
        <v>1345281653</v>
      </c>
      <c r="AF562" s="12" t="str">
        <f>IFERROR(__xludf.DUMMYFUNCTION("""COMPUTED_VALUE"""),"0681508051")</f>
        <v>0681508051</v>
      </c>
      <c r="AG562" s="12" t="str">
        <f>IFERROR(__xludf.DUMMYFUNCTION("""COMPUTED_VALUE"""),"Luisa")</f>
        <v>Luisa</v>
      </c>
      <c r="AH562" s="12" t="str">
        <f>IFERROR(__xludf.DUMMYFUNCTION("""COMPUTED_VALUE"""),"Fernanda")</f>
        <v>Fernanda</v>
      </c>
      <c r="AI562" s="6" t="str">
        <f>IFERROR(__xludf.DUMMYFUNCTION("""COMPUTED_VALUE"""),"Cortés Gómez")</f>
        <v>Cortés Gómez</v>
      </c>
      <c r="AJ562" s="6" t="str">
        <f>IFERROR(__xludf.DUMMYFUNCTION("""COMPUTED_VALUE"""),"luisac3@hotmail.com")</f>
        <v>luisac3@hotmail.com</v>
      </c>
      <c r="AK562" s="6" t="str">
        <f>IFERROR(__xludf.DUMMYFUNCTION("""COMPUTED_VALUE"""),"Administradora de Negocios")</f>
        <v>Administradora de Negocios</v>
      </c>
      <c r="AL562" s="6" t="str">
        <f>IFERROR(__xludf.DUMMYFUNCTION("""COMPUTED_VALUE"""),"LA FABRICA DE INSTANTES")</f>
        <v>LA FABRICA DE INSTANTES</v>
      </c>
      <c r="AM562" s="12" t="str">
        <f>IFERROR(__xludf.DUMMYFUNCTION("""COMPUTED_VALUE"""),"24606246")</f>
        <v>24606246</v>
      </c>
      <c r="AN562" s="12" t="str">
        <f>IFERROR(__xludf.DUMMYFUNCTION("""COMPUTED_VALUE"""),"3173754718")</f>
        <v>3173754718</v>
      </c>
      <c r="AO562" s="6" t="str">
        <f>IFERROR(__xludf.DUMMYFUNCTION("""COMPUTED_VALUE"""),"Madre")</f>
        <v>Madre</v>
      </c>
      <c r="AP562" s="6" t="str">
        <f>IFERROR(__xludf.DUMMYFUNCTION("""COMPUTED_VALUE"""),"Estudiante(s): Botero Cortés")</f>
        <v>Estudiante(s): Botero Cortés</v>
      </c>
      <c r="AQ562" s="6" t="str">
        <f>IFERROR(__xludf.DUMMYFUNCTION("""COMPUTED_VALUE"""),"103352*Gi")</f>
        <v>103352*Gi</v>
      </c>
      <c r="AR562" s="6" t="str">
        <f>IFERROR(__xludf.DUMMYFUNCTION("""COMPUTED_VALUE"""),"Alberto")</f>
        <v>Alberto</v>
      </c>
      <c r="AS562" s="6"/>
      <c r="AT562" s="6" t="str">
        <f>IFERROR(__xludf.DUMMYFUNCTION("""COMPUTED_VALUE"""),"Botero Páez")</f>
        <v>Botero Páez</v>
      </c>
      <c r="AU562" s="6" t="str">
        <f>IFERROR(__xludf.DUMMYFUNCTION("""COMPUTED_VALUE"""),"albertoboterop@hotmail.com")</f>
        <v>albertoboterop@hotmail.com</v>
      </c>
      <c r="AV562" s="6" t="str">
        <f>IFERROR(__xludf.DUMMYFUNCTION("""COMPUTED_VALUE"""),"zootecnista")</f>
        <v>zootecnista</v>
      </c>
      <c r="AW562" s="6" t="str">
        <f>IFERROR(__xludf.DUMMYFUNCTION("""COMPUTED_VALUE"""),"FINCA TRES PALITOS")</f>
        <v>FINCA TRES PALITOS</v>
      </c>
      <c r="AX562" s="12" t="str">
        <f>IFERROR(__xludf.DUMMYFUNCTION("""COMPUTED_VALUE"""),"9730245")</f>
        <v>9730245</v>
      </c>
      <c r="AY562" s="12" t="str">
        <f>IFERROR(__xludf.DUMMYFUNCTION("""COMPUTED_VALUE"""),"3168325780")</f>
        <v>3168325780</v>
      </c>
      <c r="AZ562" s="6" t="str">
        <f>IFERROR(__xludf.DUMMYFUNCTION("""COMPUTED_VALUE"""),"Padre")</f>
        <v>Padre</v>
      </c>
      <c r="BA562" s="6"/>
      <c r="BB562" s="6"/>
      <c r="BC562" s="6"/>
      <c r="BD562" s="12" t="str">
        <f>IFERROR(__xludf.DUMMYFUNCTION("""COMPUTED_VALUE"""),"bot0014")</f>
        <v>bot0014</v>
      </c>
      <c r="BE562" s="6" t="str">
        <f>IFERROR(__xludf.DUMMYFUNCTION("""COMPUTED_VALUE"""),"FALTAN FIRMAS")</f>
        <v>FALTAN FIRMAS</v>
      </c>
      <c r="BF562" s="6"/>
      <c r="BG562" s="6">
        <f>IFERROR(__xludf.DUMMYFUNCTION("""COMPUTED_VALUE"""),2031.0)</f>
        <v>2031</v>
      </c>
      <c r="BH562" s="15">
        <f>IFERROR(__xludf.DUMMYFUNCTION("""COMPUTED_VALUE"""),46211.59)</f>
        <v>46211.59</v>
      </c>
      <c r="BI562" s="6">
        <f>IFERROR(__xludf.DUMMYFUNCTION("""COMPUTED_VALUE"""),562.0)</f>
        <v>562</v>
      </c>
      <c r="BJ562" s="6"/>
      <c r="BK562" s="6"/>
      <c r="BL562" s="6" t="str">
        <f>IFERROR(__xludf.DUMMYFUNCTION("""COMPUTED_VALUE"""),"GISBOT0014")</f>
        <v>GISBOT0014</v>
      </c>
      <c r="BM562" s="6"/>
      <c r="BN562" s="6"/>
      <c r="BO562" s="6" t="str">
        <f>IFERROR(__xludf.DUMMYFUNCTION("""COMPUTED_VALUE"""),"XC_MS_Futbol_M")</f>
        <v>XC_MS_Futbol_M</v>
      </c>
      <c r="BP562" s="6"/>
      <c r="BQ562" s="6" t="str">
        <f>IFERROR(__xludf.DUMMYFUNCTION("""COMPUTED_VALUE"""),"XC_MS_Futbol_M")</f>
        <v>XC_MS_Futbol_M</v>
      </c>
      <c r="BR562" s="6" t="str">
        <f>IFERROR(__xludf.DUMMYFUNCTION("""COMPUTED_VALUE"""),"XC_MS_Futbol_M")</f>
        <v>XC_MS_Futbol_M</v>
      </c>
      <c r="BS562" s="6"/>
      <c r="BT562" s="6" t="str">
        <f>IFERROR(__xludf.DUMMYFUNCTION("""COMPUTED_VALUE"""),"XC_MS_Futbol_M")</f>
        <v>XC_MS_Futbol_M</v>
      </c>
      <c r="BU562" s="6" t="str">
        <f>IFERROR(__xludf.DUMMYFUNCTION("""COMPUTED_VALUE"""),"SI")</f>
        <v>SI</v>
      </c>
      <c r="BV562" s="6" t="str">
        <f>IFERROR(__xludf.DUMMYFUNCTION("""COMPUTED_VALUE"""),"salvador.b2031")</f>
        <v>salvador.b2031</v>
      </c>
      <c r="BW562" s="6"/>
      <c r="BX562" s="6"/>
      <c r="BY562" s="6"/>
      <c r="BZ562" s="6"/>
    </row>
    <row r="563">
      <c r="A563" s="12">
        <f>IFERROR(__xludf.DUMMYFUNCTION("""COMPUTED_VALUE"""),1.092859141E9)</f>
        <v>1092859141</v>
      </c>
      <c r="B563" s="6">
        <f>IFERROR(__xludf.DUMMYFUNCTION("""COMPUTED_VALUE"""),8.0)</f>
        <v>8</v>
      </c>
      <c r="C563" s="6" t="str">
        <f>IFERROR(__xludf.DUMMYFUNCTION("""COMPUTED_VALUE"""),"Paloma")</f>
        <v>Paloma</v>
      </c>
      <c r="D563" s="6"/>
      <c r="E563" s="6" t="str">
        <f>IFERROR(__xludf.DUMMYFUNCTION("""COMPUTED_VALUE"""),"Botero Graciano")</f>
        <v>Botero Graciano</v>
      </c>
      <c r="F563" s="6" t="str">
        <f>IFERROR(__xludf.DUMMYFUNCTION("""COMPUTED_VALUE"""),"Conjunto Alqueria Casa 47 - Av Centenario No3 - 40")</f>
        <v>Conjunto Alqueria Casa 47 - Av Centenario No3 - 40</v>
      </c>
      <c r="G563" s="12" t="str">
        <f>IFERROR(__xludf.DUMMYFUNCTION("""COMPUTED_VALUE"""),"2013")</f>
        <v>2013</v>
      </c>
      <c r="H563" s="6" t="str">
        <f>IFERROR(__xludf.DUMMYFUNCTION("""COMPUTED_VALUE"""),"Octubre")</f>
        <v>Octubre</v>
      </c>
      <c r="I563" s="12" t="str">
        <f>IFERROR(__xludf.DUMMYFUNCTION("""COMPUTED_VALUE"""),"26")</f>
        <v>26</v>
      </c>
      <c r="J563" s="6" t="str">
        <f>IFERROR(__xludf.DUMMYFUNCTION("""COMPUTED_VALUE"""),"Miami")</f>
        <v>Miami</v>
      </c>
      <c r="K563" s="6" t="str">
        <f>IFERROR(__xludf.DUMMYFUNCTION("""COMPUTED_VALUE"""),"paloma.bg2031@gi.edu.co")</f>
        <v>paloma.bg2031@gi.edu.co</v>
      </c>
      <c r="L563" s="6" t="str">
        <f>IFERROR(__xludf.DUMMYFUNCTION("""COMPUTED_VALUE"""),"TI")</f>
        <v>TI</v>
      </c>
      <c r="M563" s="6" t="str">
        <f>IFERROR(__xludf.DUMMYFUNCTION("""COMPUTED_VALUE"""),"Armenia")</f>
        <v>Armenia</v>
      </c>
      <c r="N563" s="6" t="str">
        <f>IFERROR(__xludf.DUMMYFUNCTION("""COMPUTED_VALUE"""),"F")</f>
        <v>F</v>
      </c>
      <c r="O563" s="6" t="str">
        <f>IFERROR(__xludf.DUMMYFUNCTION("""COMPUTED_VALUE"""),"INACTIVE")</f>
        <v>INACTIVE</v>
      </c>
      <c r="P563" s="6"/>
      <c r="Q563" s="6" t="str">
        <f>IFERROR(__xludf.DUMMYFUNCTION("""COMPUTED_VALUE"""),"Armenia")</f>
        <v>Armenia</v>
      </c>
      <c r="R563" s="12" t="str">
        <f>IFERROR(__xludf.DUMMYFUNCTION("""COMPUTED_VALUE"""),"Gi7nd7u3nd*")</f>
        <v>Gi7nd7u3nd*</v>
      </c>
      <c r="S563" s="6" t="str">
        <f>IFERROR(__xludf.DUMMYFUNCTION("""COMPUTED_VALUE"""),"Botero Graciano Paloma ")</f>
        <v>Botero Graciano Paloma </v>
      </c>
      <c r="T563" s="6" t="str">
        <f>IFERROR(__xludf.DUMMYFUNCTION("""COMPUTED_VALUE"""),"MARIO ALEJANDRO BOTERO ESPAÑA")</f>
        <v>MARIO ALEJANDRO BOTERO ESPAÑA</v>
      </c>
      <c r="U563" s="12" t="str">
        <f>IFERROR(__xludf.DUMMYFUNCTION("""COMPUTED_VALUE"""),"1094895103")</f>
        <v>1094895103</v>
      </c>
      <c r="V563" s="6">
        <f>IFERROR(__xludf.DUMMYFUNCTION("""COMPUTED_VALUE"""),3.162681568E9)</f>
        <v>3162681568</v>
      </c>
      <c r="W563" s="6" t="str">
        <f>IFERROR(__xludf.DUMMYFUNCTION("""COMPUTED_VALUE"""),"alejoboter@gmail.com")</f>
        <v>alejoboter@gmail.com</v>
      </c>
      <c r="X563" s="12" t="str">
        <f>IFERROR(__xludf.DUMMYFUNCTION("""COMPUTED_VALUE"""),"O+")</f>
        <v>O+</v>
      </c>
      <c r="Y563" s="12" t="str">
        <f>IFERROR(__xludf.DUMMYFUNCTION("""COMPUTED_VALUE"""),"8")</f>
        <v>8</v>
      </c>
      <c r="Z563" s="12">
        <f>IFERROR(__xludf.DUMMYFUNCTION("""COMPUTED_VALUE"""),103423.0)</f>
        <v>103423</v>
      </c>
      <c r="AA563" s="6" t="str">
        <f>IFERROR(__xludf.DUMMYFUNCTION("""COMPUTED_VALUE"""),"SURA")</f>
        <v>SURA</v>
      </c>
      <c r="AB563" s="6"/>
      <c r="AC563" s="6"/>
      <c r="AD563" s="12" t="str">
        <f>IFERROR(__xludf.DUMMYFUNCTION("""COMPUTED_VALUE"""),"8A")</f>
        <v>8A</v>
      </c>
      <c r="AE563" s="12">
        <f>IFERROR(__xludf.DUMMYFUNCTION("""COMPUTED_VALUE"""),1.345281682E9)</f>
        <v>1345281682</v>
      </c>
      <c r="AF563" s="12" t="str">
        <f>IFERROR(__xludf.DUMMYFUNCTION("""COMPUTED_VALUE"""),"0707797683")</f>
        <v>0707797683</v>
      </c>
      <c r="AG563" s="12" t="str">
        <f>IFERROR(__xludf.DUMMYFUNCTION("""COMPUTED_VALUE"""),"Sandra")</f>
        <v>Sandra</v>
      </c>
      <c r="AH563" s="12" t="str">
        <f>IFERROR(__xludf.DUMMYFUNCTION("""COMPUTED_VALUE"""),"Cristina")</f>
        <v>Cristina</v>
      </c>
      <c r="AI563" s="6" t="str">
        <f>IFERROR(__xludf.DUMMYFUNCTION("""COMPUTED_VALUE"""),"Graciano Cano")</f>
        <v>Graciano Cano</v>
      </c>
      <c r="AJ563" s="6" t="str">
        <f>IFERROR(__xludf.DUMMYFUNCTION("""COMPUTED_VALUE"""),"sandris1111@yahoo.com")</f>
        <v>sandris1111@yahoo.com</v>
      </c>
      <c r="AK563" s="6" t="str">
        <f>IFERROR(__xludf.DUMMYFUNCTION("""COMPUTED_VALUE"""),"ARQUITECTA")</f>
        <v>ARQUITECTA</v>
      </c>
      <c r="AL563" s="6" t="str">
        <f>IFERROR(__xludf.DUMMYFUNCTION("""COMPUTED_VALUE"""),"APOSTAR SA")</f>
        <v>APOSTAR SA</v>
      </c>
      <c r="AM563" s="12" t="str">
        <f>IFERROR(__xludf.DUMMYFUNCTION("""COMPUTED_VALUE"""),"41916161")</f>
        <v>41916161</v>
      </c>
      <c r="AN563" s="12" t="str">
        <f>IFERROR(__xludf.DUMMYFUNCTION("""COMPUTED_VALUE"""),"3153750418")</f>
        <v>3153750418</v>
      </c>
      <c r="AO563" s="6" t="str">
        <f>IFERROR(__xludf.DUMMYFUNCTION("""COMPUTED_VALUE"""),"Madre")</f>
        <v>Madre</v>
      </c>
      <c r="AP563" s="6" t="str">
        <f>IFERROR(__xludf.DUMMYFUNCTION("""COMPUTED_VALUE"""),"Estudiante(s): Botero Graciano")</f>
        <v>Estudiante(s): Botero Graciano</v>
      </c>
      <c r="AQ563" s="6" t="str">
        <f>IFERROR(__xludf.DUMMYFUNCTION("""COMPUTED_VALUE"""),"103423*Gi")</f>
        <v>103423*Gi</v>
      </c>
      <c r="AR563" s="6" t="str">
        <f>IFERROR(__xludf.DUMMYFUNCTION("""COMPUTED_VALUE"""),"Mario")</f>
        <v>Mario</v>
      </c>
      <c r="AS563" s="6" t="str">
        <f>IFERROR(__xludf.DUMMYFUNCTION("""COMPUTED_VALUE"""),"Alejandro")</f>
        <v>Alejandro</v>
      </c>
      <c r="AT563" s="6" t="str">
        <f>IFERROR(__xludf.DUMMYFUNCTION("""COMPUTED_VALUE"""),"Botero España")</f>
        <v>Botero España</v>
      </c>
      <c r="AU563" s="6" t="str">
        <f>IFERROR(__xludf.DUMMYFUNCTION("""COMPUTED_VALUE"""),"alejoboter@gmail.com")</f>
        <v>alejoboter@gmail.com</v>
      </c>
      <c r="AV563" s="6"/>
      <c r="AW563" s="6" t="str">
        <f>IFERROR(__xludf.DUMMYFUNCTION("""COMPUTED_VALUE"""),"KEIZAKI SUSHI WOK")</f>
        <v>KEIZAKI SUSHI WOK</v>
      </c>
      <c r="AX563" s="12" t="str">
        <f>IFERROR(__xludf.DUMMYFUNCTION("""COMPUTED_VALUE"""),"1094895103")</f>
        <v>1094895103</v>
      </c>
      <c r="AY563" s="12" t="str">
        <f>IFERROR(__xludf.DUMMYFUNCTION("""COMPUTED_VALUE"""),"3162681568")</f>
        <v>3162681568</v>
      </c>
      <c r="AZ563" s="6" t="str">
        <f>IFERROR(__xludf.DUMMYFUNCTION("""COMPUTED_VALUE"""),"Padre")</f>
        <v>Padre</v>
      </c>
      <c r="BA563" s="6"/>
      <c r="BB563" s="6"/>
      <c r="BC563" s="6"/>
      <c r="BD563" s="12" t="str">
        <f>IFERROR(__xludf.DUMMYFUNCTION("""COMPUTED_VALUE"""),"bot0015")</f>
        <v>bot0015</v>
      </c>
      <c r="BE563" s="6" t="str">
        <f>IFERROR(__xludf.DUMMYFUNCTION("""COMPUTED_VALUE"""),"FALTAN FIRMAS")</f>
        <v>FALTAN FIRMAS</v>
      </c>
      <c r="BF563" s="6"/>
      <c r="BG563" s="6">
        <f>IFERROR(__xludf.DUMMYFUNCTION("""COMPUTED_VALUE"""),2031.0)</f>
        <v>2031</v>
      </c>
      <c r="BH563" s="15">
        <f>IFERROR(__xludf.DUMMYFUNCTION("""COMPUTED_VALUE"""),46238.47692129629)</f>
        <v>46238.47692</v>
      </c>
      <c r="BI563" s="6">
        <f>IFERROR(__xludf.DUMMYFUNCTION("""COMPUTED_VALUE"""),563.0)</f>
        <v>563</v>
      </c>
      <c r="BJ563" s="6"/>
      <c r="BK563" s="6"/>
      <c r="BL563" s="6" t="str">
        <f>IFERROR(__xludf.DUMMYFUNCTION("""COMPUTED_VALUE"""),"GISBOT0015")</f>
        <v>GISBOT0015</v>
      </c>
      <c r="BM563" s="6"/>
      <c r="BN563" s="6"/>
      <c r="BO563" s="6"/>
      <c r="BP563" s="6"/>
      <c r="BQ563" s="6"/>
      <c r="BR563" s="6"/>
      <c r="BS563" s="6"/>
      <c r="BT563" s="6"/>
      <c r="BU563" s="6" t="str">
        <f>IFERROR(__xludf.DUMMYFUNCTION("""COMPUTED_VALUE"""),"SI")</f>
        <v>SI</v>
      </c>
      <c r="BV563" s="6" t="str">
        <f>IFERROR(__xludf.DUMMYFUNCTION("""COMPUTED_VALUE"""),"paloma.bg2031")</f>
        <v>paloma.bg2031</v>
      </c>
      <c r="BW563" s="6"/>
      <c r="BX563" s="6"/>
      <c r="BY563" s="6"/>
      <c r="BZ563" s="6"/>
    </row>
    <row r="564">
      <c r="A564" s="12">
        <f>IFERROR(__xludf.DUMMYFUNCTION("""COMPUTED_VALUE"""),1.090278212E9)</f>
        <v>1090278212</v>
      </c>
      <c r="B564" s="6">
        <f>IFERROR(__xludf.DUMMYFUNCTION("""COMPUTED_VALUE"""),9.0)</f>
        <v>9</v>
      </c>
      <c r="C564" s="6" t="str">
        <f>IFERROR(__xludf.DUMMYFUNCTION("""COMPUTED_VALUE"""),"Juan")</f>
        <v>Juan</v>
      </c>
      <c r="D564" s="6" t="str">
        <f>IFERROR(__xludf.DUMMYFUNCTION("""COMPUTED_VALUE"""),"José")</f>
        <v>José</v>
      </c>
      <c r="E564" s="6" t="str">
        <f>IFERROR(__xludf.DUMMYFUNCTION("""COMPUTED_VALUE"""),"Carvajal Castro")</f>
        <v>Carvajal Castro</v>
      </c>
      <c r="F564" s="6" t="str">
        <f>IFERROR(__xludf.DUMMYFUNCTION("""COMPUTED_VALUE"""),"Condominio Hacienda Horizontes Casa 6 - Km 3 Via Circasia Vereda la Florida")</f>
        <v>Condominio Hacienda Horizontes Casa 6 - Km 3 Via Circasia Vereda la Florida</v>
      </c>
      <c r="G564" s="12" t="str">
        <f>IFERROR(__xludf.DUMMYFUNCTION("""COMPUTED_VALUE"""),"2012")</f>
        <v>2012</v>
      </c>
      <c r="H564" s="6" t="str">
        <f>IFERROR(__xludf.DUMMYFUNCTION("""COMPUTED_VALUE"""),"Diciembre")</f>
        <v>Diciembre</v>
      </c>
      <c r="I564" s="12" t="str">
        <f>IFERROR(__xludf.DUMMYFUNCTION("""COMPUTED_VALUE"""),"26")</f>
        <v>26</v>
      </c>
      <c r="J564" s="6" t="str">
        <f>IFERROR(__xludf.DUMMYFUNCTION("""COMPUTED_VALUE"""),"Armenia")</f>
        <v>Armenia</v>
      </c>
      <c r="K564" s="6" t="str">
        <f>IFERROR(__xludf.DUMMYFUNCTION("""COMPUTED_VALUE"""),"juanj.c2031@gi.edu.co")</f>
        <v>juanj.c2031@gi.edu.co</v>
      </c>
      <c r="L564" s="6" t="str">
        <f>IFERROR(__xludf.DUMMYFUNCTION("""COMPUTED_VALUE"""),"TI")</f>
        <v>TI</v>
      </c>
      <c r="M564" s="6" t="str">
        <f>IFERROR(__xludf.DUMMYFUNCTION("""COMPUTED_VALUE"""),"Armenia")</f>
        <v>Armenia</v>
      </c>
      <c r="N564" s="6" t="str">
        <f>IFERROR(__xludf.DUMMYFUNCTION("""COMPUTED_VALUE"""),"M")</f>
        <v>M</v>
      </c>
      <c r="O564" s="6" t="str">
        <f>IFERROR(__xludf.DUMMYFUNCTION("""COMPUTED_VALUE"""),"INACTIVE")</f>
        <v>INACTIVE</v>
      </c>
      <c r="P564" s="6"/>
      <c r="Q564" s="6" t="str">
        <f>IFERROR(__xludf.DUMMYFUNCTION("""COMPUTED_VALUE"""),"Armenia")</f>
        <v>Armenia</v>
      </c>
      <c r="R564" s="12" t="str">
        <f>IFERROR(__xludf.DUMMYFUNCTION("""COMPUTED_VALUE"""),"Gihd7a6dmd*")</f>
        <v>Gihd7a6dmd*</v>
      </c>
      <c r="S564" s="6" t="str">
        <f>IFERROR(__xludf.DUMMYFUNCTION("""COMPUTED_VALUE"""),"Carvajal Castro Juan José")</f>
        <v>Carvajal Castro Juan José</v>
      </c>
      <c r="T564" s="6" t="str">
        <f>IFERROR(__xludf.DUMMYFUNCTION("""COMPUTED_VALUE"""),"YEIMY HERNAN CARVAJAL GALLO.")</f>
        <v>YEIMY HERNAN CARVAJAL GALLO.</v>
      </c>
      <c r="U564" s="12" t="str">
        <f>IFERROR(__xludf.DUMMYFUNCTION("""COMPUTED_VALUE"""),"9726688")</f>
        <v>9726688</v>
      </c>
      <c r="V564" s="6">
        <f>IFERROR(__xludf.DUMMYFUNCTION("""COMPUTED_VALUE"""),3.014157718E9)</f>
        <v>3014157718</v>
      </c>
      <c r="W564" s="6" t="str">
        <f>IFERROR(__xludf.DUMMYFUNCTION("""COMPUTED_VALUE"""),"jhernancarvajal@hotmail.com")</f>
        <v>jhernancarvajal@hotmail.com</v>
      </c>
      <c r="X564" s="12" t="str">
        <f>IFERROR(__xludf.DUMMYFUNCTION("""COMPUTED_VALUE"""),"AB+")</f>
        <v>AB+</v>
      </c>
      <c r="Y564" s="12" t="str">
        <f>IFERROR(__xludf.DUMMYFUNCTION("""COMPUTED_VALUE"""),"8")</f>
        <v>8</v>
      </c>
      <c r="Z564" s="12">
        <f>IFERROR(__xludf.DUMMYFUNCTION("""COMPUTED_VALUE"""),103408.0)</f>
        <v>103408</v>
      </c>
      <c r="AA564" s="6" t="str">
        <f>IFERROR(__xludf.DUMMYFUNCTION("""COMPUTED_VALUE"""),"OTRA")</f>
        <v>OTRA</v>
      </c>
      <c r="AB564" s="6" t="str">
        <f>IFERROR(__xludf.DUMMYFUNCTION("""COMPUTED_VALUE"""),"EMI")</f>
        <v>EMI</v>
      </c>
      <c r="AC564" s="6"/>
      <c r="AD564" s="12" t="str">
        <f>IFERROR(__xludf.DUMMYFUNCTION("""COMPUTED_VALUE"""),"8A")</f>
        <v>8A</v>
      </c>
      <c r="AE564" s="12">
        <f>IFERROR(__xludf.DUMMYFUNCTION("""COMPUTED_VALUE"""),1.345281679E9)</f>
        <v>1345281679</v>
      </c>
      <c r="AF564" s="12" t="str">
        <f>IFERROR(__xludf.DUMMYFUNCTION("""COMPUTED_VALUE"""),"0696165235")</f>
        <v>0696165235</v>
      </c>
      <c r="AG564" s="12" t="str">
        <f>IFERROR(__xludf.DUMMYFUNCTION("""COMPUTED_VALUE"""),"Leidy")</f>
        <v>Leidy</v>
      </c>
      <c r="AH564" s="12" t="str">
        <f>IFERROR(__xludf.DUMMYFUNCTION("""COMPUTED_VALUE"""),"Jhanninni")</f>
        <v>Jhanninni</v>
      </c>
      <c r="AI564" s="6" t="str">
        <f>IFERROR(__xludf.DUMMYFUNCTION("""COMPUTED_VALUE"""),"Castro Salcedo")</f>
        <v>Castro Salcedo</v>
      </c>
      <c r="AJ564" s="6" t="str">
        <f>IFERROR(__xludf.DUMMYFUNCTION("""COMPUTED_VALUE"""),"lcastros@dian.gov.co")</f>
        <v>lcastros@dian.gov.co</v>
      </c>
      <c r="AK564" s="6" t="str">
        <f>IFERROR(__xludf.DUMMYFUNCTION("""COMPUTED_VALUE"""),"Abogada")</f>
        <v>Abogada</v>
      </c>
      <c r="AL564" s="6" t="str">
        <f>IFERROR(__xludf.DUMMYFUNCTION("""COMPUTED_VALUE"""),"DIAN")</f>
        <v>DIAN</v>
      </c>
      <c r="AM564" s="12" t="str">
        <f>IFERROR(__xludf.DUMMYFUNCTION("""COMPUTED_VALUE"""),"41959534")</f>
        <v>41959534</v>
      </c>
      <c r="AN564" s="12" t="str">
        <f>IFERROR(__xludf.DUMMYFUNCTION("""COMPUTED_VALUE"""),"3014917486")</f>
        <v>3014917486</v>
      </c>
      <c r="AO564" s="6" t="str">
        <f>IFERROR(__xludf.DUMMYFUNCTION("""COMPUTED_VALUE"""),"Madre")</f>
        <v>Madre</v>
      </c>
      <c r="AP564" s="6" t="str">
        <f>IFERROR(__xludf.DUMMYFUNCTION("""COMPUTED_VALUE"""),"Estudiante(s): Juan José Carvajal Castro &amp; Isabella Uribe Castro")</f>
        <v>Estudiante(s): Juan José Carvajal Castro &amp; Isabella Uribe Castro</v>
      </c>
      <c r="AQ564" s="6" t="str">
        <f>IFERROR(__xludf.DUMMYFUNCTION("""COMPUTED_VALUE"""),"103170*Gi")</f>
        <v>103170*Gi</v>
      </c>
      <c r="AR564" s="6" t="str">
        <f>IFERROR(__xludf.DUMMYFUNCTION("""COMPUTED_VALUE"""),"Yeimy")</f>
        <v>Yeimy</v>
      </c>
      <c r="AS564" s="6" t="str">
        <f>IFERROR(__xludf.DUMMYFUNCTION("""COMPUTED_VALUE"""),"Hernán")</f>
        <v>Hernán</v>
      </c>
      <c r="AT564" s="6" t="str">
        <f>IFERROR(__xludf.DUMMYFUNCTION("""COMPUTED_VALUE"""),"Carvajal Gallo")</f>
        <v>Carvajal Gallo</v>
      </c>
      <c r="AU564" s="6" t="str">
        <f>IFERROR(__xludf.DUMMYFUNCTION("""COMPUTED_VALUE"""),"jhernancarvajal@hotmail.com")</f>
        <v>jhernancarvajal@hotmail.com</v>
      </c>
      <c r="AV564" s="6" t="str">
        <f>IFERROR(__xludf.DUMMYFUNCTION("""COMPUTED_VALUE"""),"OFICIAL POLICIA NACIONAL")</f>
        <v>OFICIAL POLICIA NACIONAL</v>
      </c>
      <c r="AW564" s="6" t="str">
        <f>IFERROR(__xludf.DUMMYFUNCTION("""COMPUTED_VALUE"""),"policia nacional")</f>
        <v>policia nacional</v>
      </c>
      <c r="AX564" s="12" t="str">
        <f>IFERROR(__xludf.DUMMYFUNCTION("""COMPUTED_VALUE"""),"9726688")</f>
        <v>9726688</v>
      </c>
      <c r="AY564" s="12" t="str">
        <f>IFERROR(__xludf.DUMMYFUNCTION("""COMPUTED_VALUE"""),"3014157718")</f>
        <v>3014157718</v>
      </c>
      <c r="AZ564" s="6" t="str">
        <f>IFERROR(__xludf.DUMMYFUNCTION("""COMPUTED_VALUE"""),"Padre")</f>
        <v>Padre</v>
      </c>
      <c r="BA564" s="6"/>
      <c r="BB564" s="6"/>
      <c r="BC564" s="6"/>
      <c r="BD564" s="12" t="str">
        <f>IFERROR(__xludf.DUMMYFUNCTION("""COMPUTED_VALUE"""),"uri0009")</f>
        <v>uri0009</v>
      </c>
      <c r="BE564" s="6" t="str">
        <f>IFERROR(__xludf.DUMMYFUNCTION("""COMPUTED_VALUE"""),"FALTAN FIRMAS")</f>
        <v>FALTAN FIRMAS</v>
      </c>
      <c r="BF564" s="6"/>
      <c r="BG564" s="6">
        <f>IFERROR(__xludf.DUMMYFUNCTION("""COMPUTED_VALUE"""),2031.0)</f>
        <v>2031</v>
      </c>
      <c r="BH564" s="15">
        <f>IFERROR(__xludf.DUMMYFUNCTION("""COMPUTED_VALUE"""),46211.38165509259)</f>
        <v>46211.38166</v>
      </c>
      <c r="BI564" s="6">
        <f>IFERROR(__xludf.DUMMYFUNCTION("""COMPUTED_VALUE"""),564.0)</f>
        <v>564</v>
      </c>
      <c r="BJ564" s="6"/>
      <c r="BK564" s="6"/>
      <c r="BL564" s="6" t="str">
        <f>IFERROR(__xludf.DUMMYFUNCTION("""COMPUTED_VALUE"""),"GISURI0009")</f>
        <v>GISURI0009</v>
      </c>
      <c r="BM564" s="6"/>
      <c r="BN564" s="6"/>
      <c r="BO564" s="6"/>
      <c r="BP564" s="6"/>
      <c r="BQ564" s="6"/>
      <c r="BR564" s="6"/>
      <c r="BS564" s="6"/>
      <c r="BT564" s="6"/>
      <c r="BU564" s="6" t="str">
        <f>IFERROR(__xludf.DUMMYFUNCTION("""COMPUTED_VALUE"""),"NO")</f>
        <v>NO</v>
      </c>
      <c r="BV564" s="6" t="str">
        <f>IFERROR(__xludf.DUMMYFUNCTION("""COMPUTED_VALUE"""),"juanj.c2031")</f>
        <v>juanj.c2031</v>
      </c>
      <c r="BW564" s="6"/>
      <c r="BX564" s="6"/>
      <c r="BY564" s="6"/>
      <c r="BZ564" s="6"/>
    </row>
    <row r="565">
      <c r="A565" s="12">
        <f>IFERROR(__xludf.DUMMYFUNCTION("""COMPUTED_VALUE"""),1.034303895E9)</f>
        <v>1034303895</v>
      </c>
      <c r="B565" s="6">
        <f>IFERROR(__xludf.DUMMYFUNCTION("""COMPUTED_VALUE"""),10.0)</f>
        <v>10</v>
      </c>
      <c r="C565" s="6" t="str">
        <f>IFERROR(__xludf.DUMMYFUNCTION("""COMPUTED_VALUE"""),"Lucciana")</f>
        <v>Lucciana</v>
      </c>
      <c r="D565" s="6"/>
      <c r="E565" s="6" t="str">
        <f>IFERROR(__xludf.DUMMYFUNCTION("""COMPUTED_VALUE"""),"Castillo Artunduaga")</f>
        <v>Castillo Artunduaga</v>
      </c>
      <c r="F565" s="6" t="str">
        <f>IFERROR(__xludf.DUMMYFUNCTION("""COMPUTED_VALUE"""),"Quintas de la Castellana Mz Casa 2 - Av. Centenario 16Nte 61")</f>
        <v>Quintas de la Castellana Mz Casa 2 - Av. Centenario 16Nte 61</v>
      </c>
      <c r="G565" s="12" t="str">
        <f>IFERROR(__xludf.DUMMYFUNCTION("""COMPUTED_VALUE"""),"2013")</f>
        <v>2013</v>
      </c>
      <c r="H565" s="6" t="str">
        <f>IFERROR(__xludf.DUMMYFUNCTION("""COMPUTED_VALUE"""),"Febrero")</f>
        <v>Febrero</v>
      </c>
      <c r="I565" s="12" t="str">
        <f>IFERROR(__xludf.DUMMYFUNCTION("""COMPUTED_VALUE"""),"11")</f>
        <v>11</v>
      </c>
      <c r="J565" s="6" t="str">
        <f>IFERROR(__xludf.DUMMYFUNCTION("""COMPUTED_VALUE"""),"Miramar Beach")</f>
        <v>Miramar Beach</v>
      </c>
      <c r="K565" s="6" t="str">
        <f>IFERROR(__xludf.DUMMYFUNCTION("""COMPUTED_VALUE"""),"lucciana.a2031@gi.edu.co")</f>
        <v>lucciana.a2031@gi.edu.co</v>
      </c>
      <c r="L565" s="6" t="str">
        <f>IFERROR(__xludf.DUMMYFUNCTION("""COMPUTED_VALUE"""),"RC")</f>
        <v>RC</v>
      </c>
      <c r="M565" s="6" t="str">
        <f>IFERROR(__xludf.DUMMYFUNCTION("""COMPUTED_VALUE"""),"Bogotá D.C.")</f>
        <v>Bogotá D.C.</v>
      </c>
      <c r="N565" s="6" t="str">
        <f>IFERROR(__xludf.DUMMYFUNCTION("""COMPUTED_VALUE"""),"F")</f>
        <v>F</v>
      </c>
      <c r="O565" s="6" t="str">
        <f>IFERROR(__xludf.DUMMYFUNCTION("""COMPUTED_VALUE"""),"INACTIVE")</f>
        <v>INACTIVE</v>
      </c>
      <c r="P565" s="6"/>
      <c r="Q565" s="6" t="str">
        <f>IFERROR(__xludf.DUMMYFUNCTION("""COMPUTED_VALUE"""),"Armenia")</f>
        <v>Armenia</v>
      </c>
      <c r="R565" s="12" t="str">
        <f>IFERROR(__xludf.DUMMYFUNCTION("""COMPUTED_VALUE"""),"Gim9n7b6v6*")</f>
        <v>Gim9n7b6v6*</v>
      </c>
      <c r="S565" s="6" t="str">
        <f>IFERROR(__xludf.DUMMYFUNCTION("""COMPUTED_VALUE"""),"Castillo Artunduaga Lucciana ")</f>
        <v>Castillo Artunduaga Lucciana </v>
      </c>
      <c r="T565" s="6" t="str">
        <f>IFERROR(__xludf.DUMMYFUNCTION("""COMPUTED_VALUE"""),"ISMAEL DAVID CASTILLO GONZALEZ")</f>
        <v>ISMAEL DAVID CASTILLO GONZALEZ</v>
      </c>
      <c r="U565" s="12" t="str">
        <f>IFERROR(__xludf.DUMMYFUNCTION("""COMPUTED_VALUE"""),"79525868")</f>
        <v>79525868</v>
      </c>
      <c r="V565" s="6">
        <f>IFERROR(__xludf.DUMMYFUNCTION("""COMPUTED_VALUE"""),3.209022265E9)</f>
        <v>3209022265</v>
      </c>
      <c r="W565" s="6" t="str">
        <f>IFERROR(__xludf.DUMMYFUNCTION("""COMPUTED_VALUE"""),"castillobarajas_david@yahoo.com.mx")</f>
        <v>castillobarajas_david@yahoo.com.mx</v>
      </c>
      <c r="X565" s="12" t="str">
        <f>IFERROR(__xludf.DUMMYFUNCTION("""COMPUTED_VALUE"""),"O+")</f>
        <v>O+</v>
      </c>
      <c r="Y565" s="12" t="str">
        <f>IFERROR(__xludf.DUMMYFUNCTION("""COMPUTED_VALUE"""),"8")</f>
        <v>8</v>
      </c>
      <c r="Z565" s="12">
        <f>IFERROR(__xludf.DUMMYFUNCTION("""COMPUTED_VALUE"""),103573.0)</f>
        <v>103573</v>
      </c>
      <c r="AA565" s="6" t="str">
        <f>IFERROR(__xludf.DUMMYFUNCTION("""COMPUTED_VALUE"""),"SURA")</f>
        <v>SURA</v>
      </c>
      <c r="AB565" s="6" t="str">
        <f>IFERROR(__xludf.DUMMYFUNCTION("""COMPUTED_VALUE"""),"EMI")</f>
        <v>EMI</v>
      </c>
      <c r="AC565" s="6"/>
      <c r="AD565" s="12" t="str">
        <f>IFERROR(__xludf.DUMMYFUNCTION("""COMPUTED_VALUE"""),"8B")</f>
        <v>8B</v>
      </c>
      <c r="AE565" s="12">
        <f>IFERROR(__xludf.DUMMYFUNCTION("""COMPUTED_VALUE"""),1.34528176E9)</f>
        <v>1345281760</v>
      </c>
      <c r="AF565" s="12" t="str">
        <f>IFERROR(__xludf.DUMMYFUNCTION("""COMPUTED_VALUE"""),"0739324627")</f>
        <v>0739324627</v>
      </c>
      <c r="AG565" s="12" t="str">
        <f>IFERROR(__xludf.DUMMYFUNCTION("""COMPUTED_VALUE"""),"Érica")</f>
        <v>Érica</v>
      </c>
      <c r="AH565" s="12" t="str">
        <f>IFERROR(__xludf.DUMMYFUNCTION("""COMPUTED_VALUE"""),"María")</f>
        <v>María</v>
      </c>
      <c r="AI565" s="6" t="str">
        <f>IFERROR(__xludf.DUMMYFUNCTION("""COMPUTED_VALUE"""),"Artunduaga Ricaurte")</f>
        <v>Artunduaga Ricaurte</v>
      </c>
      <c r="AJ565" s="6" t="str">
        <f>IFERROR(__xludf.DUMMYFUNCTION("""COMPUTED_VALUE"""),"davidminever@yahoo.com.ar")</f>
        <v>davidminever@yahoo.com.ar</v>
      </c>
      <c r="AK565" s="6" t="str">
        <f>IFERROR(__xludf.DUMMYFUNCTION("""COMPUTED_VALUE"""),"Ingeniera")</f>
        <v>Ingeniera</v>
      </c>
      <c r="AL565" s="6"/>
      <c r="AM565" s="12" t="str">
        <f>IFERROR(__xludf.DUMMYFUNCTION("""COMPUTED_VALUE"""),"26425122")</f>
        <v>26425122</v>
      </c>
      <c r="AN565" s="12" t="str">
        <f>IFERROR(__xludf.DUMMYFUNCTION("""COMPUTED_VALUE"""),"3113030543")</f>
        <v>3113030543</v>
      </c>
      <c r="AO565" s="6" t="str">
        <f>IFERROR(__xludf.DUMMYFUNCTION("""COMPUTED_VALUE"""),"Madre")</f>
        <v>Madre</v>
      </c>
      <c r="AP565" s="6" t="str">
        <f>IFERROR(__xludf.DUMMYFUNCTION("""COMPUTED_VALUE"""),"Estudiante(s): Castillo Artunduaga")</f>
        <v>Estudiante(s): Castillo Artunduaga</v>
      </c>
      <c r="AQ565" s="6" t="str">
        <f>IFERROR(__xludf.DUMMYFUNCTION("""COMPUTED_VALUE"""),"102162*Gi")</f>
        <v>102162*Gi</v>
      </c>
      <c r="AR565" s="6" t="str">
        <f>IFERROR(__xludf.DUMMYFUNCTION("""COMPUTED_VALUE"""),"Ismael")</f>
        <v>Ismael</v>
      </c>
      <c r="AS565" s="6" t="str">
        <f>IFERROR(__xludf.DUMMYFUNCTION("""COMPUTED_VALUE"""),"David")</f>
        <v>David</v>
      </c>
      <c r="AT565" s="6" t="str">
        <f>IFERROR(__xludf.DUMMYFUNCTION("""COMPUTED_VALUE"""),"Castillo González")</f>
        <v>Castillo González</v>
      </c>
      <c r="AU565" s="6" t="str">
        <f>IFERROR(__xludf.DUMMYFUNCTION("""COMPUTED_VALUE"""),"castillobarajas_david@yahoo.com.mx")</f>
        <v>castillobarajas_david@yahoo.com.mx</v>
      </c>
      <c r="AV565" s="6" t="str">
        <f>IFERROR(__xludf.DUMMYFUNCTION("""COMPUTED_VALUE"""),"ingeniero")</f>
        <v>ingeniero</v>
      </c>
      <c r="AW565" s="6" t="str">
        <f>IFERROR(__xludf.DUMMYFUNCTION("""COMPUTED_VALUE"""),"AAR")</f>
        <v>AAR</v>
      </c>
      <c r="AX565" s="12" t="str">
        <f>IFERROR(__xludf.DUMMYFUNCTION("""COMPUTED_VALUE"""),"79525868")</f>
        <v>79525868</v>
      </c>
      <c r="AY565" s="12" t="str">
        <f>IFERROR(__xludf.DUMMYFUNCTION("""COMPUTED_VALUE"""),"3209022265")</f>
        <v>3209022265</v>
      </c>
      <c r="AZ565" s="6" t="str">
        <f>IFERROR(__xludf.DUMMYFUNCTION("""COMPUTED_VALUE"""),"Padre")</f>
        <v>Padre</v>
      </c>
      <c r="BA565" s="6"/>
      <c r="BB565" s="6"/>
      <c r="BC565" s="6"/>
      <c r="BD565" s="12" t="str">
        <f>IFERROR(__xludf.DUMMYFUNCTION("""COMPUTED_VALUE"""),"cas0006")</f>
        <v>cas0006</v>
      </c>
      <c r="BE565" s="6" t="str">
        <f>IFERROR(__xludf.DUMMYFUNCTION("""COMPUTED_VALUE"""),"FALTAN FIRMAS")</f>
        <v>FALTAN FIRMAS</v>
      </c>
      <c r="BF565" s="6"/>
      <c r="BG565" s="6">
        <f>IFERROR(__xludf.DUMMYFUNCTION("""COMPUTED_VALUE"""),2031.0)</f>
        <v>2031</v>
      </c>
      <c r="BH565" s="15">
        <f>IFERROR(__xludf.DUMMYFUNCTION("""COMPUTED_VALUE"""),46206.436527777776)</f>
        <v>46206.43653</v>
      </c>
      <c r="BI565" s="6">
        <f>IFERROR(__xludf.DUMMYFUNCTION("""COMPUTED_VALUE"""),565.0)</f>
        <v>565</v>
      </c>
      <c r="BJ565" s="6"/>
      <c r="BK565" s="6"/>
      <c r="BL565" s="6" t="str">
        <f>IFERROR(__xludf.DUMMYFUNCTION("""COMPUTED_VALUE"""),"GISCAS0006")</f>
        <v>GISCAS0006</v>
      </c>
      <c r="BM565" s="6"/>
      <c r="BN565" s="6"/>
      <c r="BO565" s="6"/>
      <c r="BP565" s="6"/>
      <c r="BQ565" s="6"/>
      <c r="BR565" s="6"/>
      <c r="BS565" s="6"/>
      <c r="BT565" s="6"/>
      <c r="BU565" s="6" t="str">
        <f>IFERROR(__xludf.DUMMYFUNCTION("""COMPUTED_VALUE"""),"SI")</f>
        <v>SI</v>
      </c>
      <c r="BV565" s="6" t="str">
        <f>IFERROR(__xludf.DUMMYFUNCTION("""COMPUTED_VALUE"""),"lucciana.a2031")</f>
        <v>lucciana.a2031</v>
      </c>
      <c r="BW565" s="6"/>
      <c r="BX565" s="6"/>
      <c r="BY565" s="6"/>
      <c r="BZ565" s="6"/>
    </row>
    <row r="566">
      <c r="A566" s="12">
        <f>IFERROR(__xludf.DUMMYFUNCTION("""COMPUTED_VALUE"""),1.092856886E9)</f>
        <v>1092856886</v>
      </c>
      <c r="B566" s="6">
        <f>IFERROR(__xludf.DUMMYFUNCTION("""COMPUTED_VALUE"""),11.0)</f>
        <v>11</v>
      </c>
      <c r="C566" s="6" t="str">
        <f>IFERROR(__xludf.DUMMYFUNCTION("""COMPUTED_VALUE"""),"Juan")</f>
        <v>Juan</v>
      </c>
      <c r="D566" s="6" t="str">
        <f>IFERROR(__xludf.DUMMYFUNCTION("""COMPUTED_VALUE"""),"Sebastián")</f>
        <v>Sebastián</v>
      </c>
      <c r="E566" s="6" t="str">
        <f>IFERROR(__xludf.DUMMYFUNCTION("""COMPUTED_VALUE"""),"Castrillón Bernal")</f>
        <v>Castrillón Bernal</v>
      </c>
      <c r="F566" s="6" t="str">
        <f>IFERROR(__xludf.DUMMYFUNCTION("""COMPUTED_VALUE"""),"Los Ocobos Parque Residencial Casa 4 - Calle 31Nte No20 - 10")</f>
        <v>Los Ocobos Parque Residencial Casa 4 - Calle 31Nte No20 - 10</v>
      </c>
      <c r="G566" s="12" t="str">
        <f>IFERROR(__xludf.DUMMYFUNCTION("""COMPUTED_VALUE"""),"2013")</f>
        <v>2013</v>
      </c>
      <c r="H566" s="6" t="str">
        <f>IFERROR(__xludf.DUMMYFUNCTION("""COMPUTED_VALUE"""),"Junio")</f>
        <v>Junio</v>
      </c>
      <c r="I566" s="12" t="str">
        <f>IFERROR(__xludf.DUMMYFUNCTION("""COMPUTED_VALUE"""),"16")</f>
        <v>16</v>
      </c>
      <c r="J566" s="6" t="str">
        <f>IFERROR(__xludf.DUMMYFUNCTION("""COMPUTED_VALUE"""),"Armenia")</f>
        <v>Armenia</v>
      </c>
      <c r="K566" s="6" t="str">
        <f>IFERROR(__xludf.DUMMYFUNCTION("""COMPUTED_VALUE"""),"juan.c2031@gi.edu.co")</f>
        <v>juan.c2031@gi.edu.co</v>
      </c>
      <c r="L566" s="6" t="str">
        <f>IFERROR(__xludf.DUMMYFUNCTION("""COMPUTED_VALUE"""),"TI")</f>
        <v>TI</v>
      </c>
      <c r="M566" s="6" t="str">
        <f>IFERROR(__xludf.DUMMYFUNCTION("""COMPUTED_VALUE"""),"Armenia")</f>
        <v>Armenia</v>
      </c>
      <c r="N566" s="6" t="str">
        <f>IFERROR(__xludf.DUMMYFUNCTION("""COMPUTED_VALUE"""),"M")</f>
        <v>M</v>
      </c>
      <c r="O566" s="6" t="str">
        <f>IFERROR(__xludf.DUMMYFUNCTION("""COMPUTED_VALUE"""),"ACTIVE")</f>
        <v>ACTIVE</v>
      </c>
      <c r="P566" s="6"/>
      <c r="Q566" s="6" t="str">
        <f>IFERROR(__xludf.DUMMYFUNCTION("""COMPUTED_VALUE"""),"Armenia")</f>
        <v>Armenia</v>
      </c>
      <c r="R566" s="12" t="str">
        <f>IFERROR(__xludf.DUMMYFUNCTION("""COMPUTED_VALUE"""),"Gi258jhv*")</f>
        <v>Gi258jhv*</v>
      </c>
      <c r="S566" s="6" t="str">
        <f>IFERROR(__xludf.DUMMYFUNCTION("""COMPUTED_VALUE"""),"Castrillón Bernal Juan Sebastián")</f>
        <v>Castrillón Bernal Juan Sebastián</v>
      </c>
      <c r="T566" s="6" t="str">
        <f>IFERROR(__xludf.DUMMYFUNCTION("""COMPUTED_VALUE"""),"DIANA MARCELA BERNAL MEDINA")</f>
        <v>DIANA MARCELA BERNAL MEDINA</v>
      </c>
      <c r="U566" s="12" t="str">
        <f>IFERROR(__xludf.DUMMYFUNCTION("""COMPUTED_VALUE"""),"41961907")</f>
        <v>41961907</v>
      </c>
      <c r="V566" s="6">
        <f>IFERROR(__xludf.DUMMYFUNCTION("""COMPUTED_VALUE"""),3.137420165E9)</f>
        <v>3137420165</v>
      </c>
      <c r="W566" s="6" t="str">
        <f>IFERROR(__xludf.DUMMYFUNCTION("""COMPUTED_VALUE"""),"dbernalmedina@gmail.com")</f>
        <v>dbernalmedina@gmail.com</v>
      </c>
      <c r="X566" s="12" t="str">
        <f>IFERROR(__xludf.DUMMYFUNCTION("""COMPUTED_VALUE"""),"O+")</f>
        <v>O+</v>
      </c>
      <c r="Y566" s="12" t="str">
        <f>IFERROR(__xludf.DUMMYFUNCTION("""COMPUTED_VALUE"""),"8")</f>
        <v>8</v>
      </c>
      <c r="Z566" s="12">
        <f>IFERROR(__xludf.DUMMYFUNCTION("""COMPUTED_VALUE"""),120233.0)</f>
        <v>120233</v>
      </c>
      <c r="AA566" s="6" t="str">
        <f>IFERROR(__xludf.DUMMYFUNCTION("""COMPUTED_VALUE"""),"SURA")</f>
        <v>SURA</v>
      </c>
      <c r="AB566" s="6"/>
      <c r="AC566" s="6"/>
      <c r="AD566" s="12" t="str">
        <f>IFERROR(__xludf.DUMMYFUNCTION("""COMPUTED_VALUE"""),"8A")</f>
        <v>8A</v>
      </c>
      <c r="AE566" s="12">
        <f>IFERROR(__xludf.DUMMYFUNCTION("""COMPUTED_VALUE"""),1.345282208E9)</f>
        <v>1345282208</v>
      </c>
      <c r="AF566" s="12" t="str">
        <f>IFERROR(__xludf.DUMMYFUNCTION("""COMPUTED_VALUE"""),"0696529347")</f>
        <v>0696529347</v>
      </c>
      <c r="AG566" s="12" t="str">
        <f>IFERROR(__xludf.DUMMYFUNCTION("""COMPUTED_VALUE"""),"Diana")</f>
        <v>Diana</v>
      </c>
      <c r="AH566" s="12" t="str">
        <f>IFERROR(__xludf.DUMMYFUNCTION("""COMPUTED_VALUE"""),"Marcela")</f>
        <v>Marcela</v>
      </c>
      <c r="AI566" s="6" t="str">
        <f>IFERROR(__xludf.DUMMYFUNCTION("""COMPUTED_VALUE"""),"Bernal Medina")</f>
        <v>Bernal Medina</v>
      </c>
      <c r="AJ566" s="6" t="str">
        <f>IFERROR(__xludf.DUMMYFUNCTION("""COMPUTED_VALUE"""),"dbernalmedina@gmail.com")</f>
        <v>dbernalmedina@gmail.com</v>
      </c>
      <c r="AK566" s="6" t="str">
        <f>IFERROR(__xludf.DUMMYFUNCTION("""COMPUTED_VALUE"""),"ADMINISTRADOR DE EMPRESAS")</f>
        <v>ADMINISTRADOR DE EMPRESAS</v>
      </c>
      <c r="AL566" s="6"/>
      <c r="AM566" s="12" t="str">
        <f>IFERROR(__xludf.DUMMYFUNCTION("""COMPUTED_VALUE"""),"41961907")</f>
        <v>41961907</v>
      </c>
      <c r="AN566" s="12" t="str">
        <f>IFERROR(__xludf.DUMMYFUNCTION("""COMPUTED_VALUE"""),"3137420165")</f>
        <v>3137420165</v>
      </c>
      <c r="AO566" s="6" t="str">
        <f>IFERROR(__xludf.DUMMYFUNCTION("""COMPUTED_VALUE"""),"Madre")</f>
        <v>Madre</v>
      </c>
      <c r="AP566" s="6" t="str">
        <f>IFERROR(__xludf.DUMMYFUNCTION("""COMPUTED_VALUE"""),"Estudiante(s): Castrillón Bernal")</f>
        <v>Estudiante(s): Castrillón Bernal</v>
      </c>
      <c r="AQ566" s="6" t="str">
        <f>IFERROR(__xludf.DUMMYFUNCTION("""COMPUTED_VALUE"""),"120233*Gi")</f>
        <v>120233*Gi</v>
      </c>
      <c r="AR566" s="6" t="str">
        <f>IFERROR(__xludf.DUMMYFUNCTION("""COMPUTED_VALUE"""),"Mauricio")</f>
        <v>Mauricio</v>
      </c>
      <c r="AS566" s="6"/>
      <c r="AT566" s="6" t="str">
        <f>IFERROR(__xludf.DUMMYFUNCTION("""COMPUTED_VALUE"""),"Castrillón Mejía")</f>
        <v>Castrillón Mejía</v>
      </c>
      <c r="AU566" s="6" t="str">
        <f>IFERROR(__xludf.DUMMYFUNCTION("""COMPUTED_VALUE"""),"mauriciocastrillonmejia@gmail.com")</f>
        <v>mauriciocastrillonmejia@gmail.com</v>
      </c>
      <c r="AV566" s="6" t="str">
        <f>IFERROR(__xludf.DUMMYFUNCTION("""COMPUTED_VALUE"""),"ADMINISTRACIÓN DE EMPRESAS")</f>
        <v>ADMINISTRACIÓN DE EMPRESAS</v>
      </c>
      <c r="AW566" s="6"/>
      <c r="AX566" s="12" t="str">
        <f>IFERROR(__xludf.DUMMYFUNCTION("""COMPUTED_VALUE"""),"71761489")</f>
        <v>71761489</v>
      </c>
      <c r="AY566" s="12" t="str">
        <f>IFERROR(__xludf.DUMMYFUNCTION("""COMPUTED_VALUE"""),"3127572997")</f>
        <v>3127572997</v>
      </c>
      <c r="AZ566" s="6" t="str">
        <f>IFERROR(__xludf.DUMMYFUNCTION("""COMPUTED_VALUE"""),"Padre")</f>
        <v>Padre</v>
      </c>
      <c r="BA566" s="6"/>
      <c r="BB566" s="6"/>
      <c r="BC566" s="6"/>
      <c r="BD566" s="12" t="str">
        <f>IFERROR(__xludf.DUMMYFUNCTION("""COMPUTED_VALUE"""),"cas0014")</f>
        <v>cas0014</v>
      </c>
      <c r="BE566" s="6"/>
      <c r="BF566" s="6"/>
      <c r="BG566" s="6">
        <f>IFERROR(__xludf.DUMMYFUNCTION("""COMPUTED_VALUE"""),2031.0)</f>
        <v>2031</v>
      </c>
      <c r="BH566" s="15">
        <f>IFERROR(__xludf.DUMMYFUNCTION("""COMPUTED_VALUE"""),46208.88508101852)</f>
        <v>46208.88508</v>
      </c>
      <c r="BI566" s="6">
        <f>IFERROR(__xludf.DUMMYFUNCTION("""COMPUTED_VALUE"""),566.0)</f>
        <v>566</v>
      </c>
      <c r="BJ566" s="6"/>
      <c r="BK566" s="6"/>
      <c r="BL566" s="6" t="str">
        <f>IFERROR(__xludf.DUMMYFUNCTION("""COMPUTED_VALUE"""),"GISCAS0014")</f>
        <v>GISCAS0014</v>
      </c>
      <c r="BM566" s="6"/>
      <c r="BN566" s="6"/>
      <c r="BO566" s="6"/>
      <c r="BP566" s="6"/>
      <c r="BQ566" s="6"/>
      <c r="BR566" s="6"/>
      <c r="BS566" s="6"/>
      <c r="BT566" s="6"/>
      <c r="BU566" s="6" t="str">
        <f>IFERROR(__xludf.DUMMYFUNCTION("""COMPUTED_VALUE"""),"SI")</f>
        <v>SI</v>
      </c>
      <c r="BV566" s="6" t="str">
        <f>IFERROR(__xludf.DUMMYFUNCTION("""COMPUTED_VALUE"""),"juan.c2031")</f>
        <v>juan.c2031</v>
      </c>
      <c r="BW566" s="6"/>
      <c r="BX566" s="6"/>
      <c r="BY566" s="6"/>
      <c r="BZ566" s="6"/>
    </row>
    <row r="567">
      <c r="A567" s="12">
        <f>IFERROR(__xludf.DUMMYFUNCTION("""COMPUTED_VALUE"""),1.092857365E9)</f>
        <v>1092857365</v>
      </c>
      <c r="B567" s="6">
        <f>IFERROR(__xludf.DUMMYFUNCTION("""COMPUTED_VALUE"""),12.0)</f>
        <v>12</v>
      </c>
      <c r="C567" s="6" t="str">
        <f>IFERROR(__xludf.DUMMYFUNCTION("""COMPUTED_VALUE"""),"Thomas")</f>
        <v>Thomas</v>
      </c>
      <c r="D567" s="6" t="str">
        <f>IFERROR(__xludf.DUMMYFUNCTION("""COMPUTED_VALUE"""),"Ángel")</f>
        <v>Ángel</v>
      </c>
      <c r="E567" s="6" t="str">
        <f>IFERROR(__xludf.DUMMYFUNCTION("""COMPUTED_VALUE"""),"Correal Narváez")</f>
        <v>Correal Narváez</v>
      </c>
      <c r="F567" s="6" t="str">
        <f>IFERROR(__xludf.DUMMYFUNCTION("""COMPUTED_VALUE"""),"Conjunto Bosques de San Juan Casa 3 - Cra 6 No43Nte - 50 Av Centenario")</f>
        <v>Conjunto Bosques de San Juan Casa 3 - Cra 6 No43Nte - 50 Av Centenario</v>
      </c>
      <c r="G567" s="12" t="str">
        <f>IFERROR(__xludf.DUMMYFUNCTION("""COMPUTED_VALUE"""),"2013")</f>
        <v>2013</v>
      </c>
      <c r="H567" s="6" t="str">
        <f>IFERROR(__xludf.DUMMYFUNCTION("""COMPUTED_VALUE"""),"Octubre")</f>
        <v>Octubre</v>
      </c>
      <c r="I567" s="12" t="str">
        <f>IFERROR(__xludf.DUMMYFUNCTION("""COMPUTED_VALUE"""),"21")</f>
        <v>21</v>
      </c>
      <c r="J567" s="6" t="str">
        <f>IFERROR(__xludf.DUMMYFUNCTION("""COMPUTED_VALUE"""),"Cocoa Beach")</f>
        <v>Cocoa Beach</v>
      </c>
      <c r="K567" s="6" t="str">
        <f>IFERROR(__xludf.DUMMYFUNCTION("""COMPUTED_VALUE"""),"thomas.c2031@gi.edu.co")</f>
        <v>thomas.c2031@gi.edu.co</v>
      </c>
      <c r="L567" s="6" t="str">
        <f>IFERROR(__xludf.DUMMYFUNCTION("""COMPUTED_VALUE"""),"TI")</f>
        <v>TI</v>
      </c>
      <c r="M567" s="6" t="str">
        <f>IFERROR(__xludf.DUMMYFUNCTION("""COMPUTED_VALUE"""),"Armenia")</f>
        <v>Armenia</v>
      </c>
      <c r="N567" s="6" t="str">
        <f>IFERROR(__xludf.DUMMYFUNCTION("""COMPUTED_VALUE"""),"M")</f>
        <v>M</v>
      </c>
      <c r="O567" s="6" t="str">
        <f>IFERROR(__xludf.DUMMYFUNCTION("""COMPUTED_VALUE"""),"ACTIVE")</f>
        <v>ACTIVE</v>
      </c>
      <c r="P567" s="6"/>
      <c r="Q567" s="6" t="str">
        <f>IFERROR(__xludf.DUMMYFUNCTION("""COMPUTED_VALUE"""),"Armenia")</f>
        <v>Armenia</v>
      </c>
      <c r="R567" s="12" t="str">
        <f>IFERROR(__xludf.DUMMYFUNCTION("""COMPUTED_VALUE"""),"Giefdtrn54*")</f>
        <v>Giefdtrn54*</v>
      </c>
      <c r="S567" s="6" t="str">
        <f>IFERROR(__xludf.DUMMYFUNCTION("""COMPUTED_VALUE"""),"Correal Narváez Thomas Ángel")</f>
        <v>Correal Narváez Thomas Ángel</v>
      </c>
      <c r="T567" s="6" t="str">
        <f>IFERROR(__xludf.DUMMYFUNCTION("""COMPUTED_VALUE"""),"DANIEL ADONIRAN CORREAL GENTRY")</f>
        <v>DANIEL ADONIRAN CORREAL GENTRY</v>
      </c>
      <c r="U567" s="12" t="str">
        <f>IFERROR(__xludf.DUMMYFUNCTION("""COMPUTED_VALUE"""),"9735213")</f>
        <v>9735213</v>
      </c>
      <c r="V567" s="6">
        <f>IFERROR(__xludf.DUMMYFUNCTION("""COMPUTED_VALUE"""),3.104223653E9)</f>
        <v>3104223653</v>
      </c>
      <c r="W567" s="6" t="str">
        <f>IFERROR(__xludf.DUMMYFUNCTION("""COMPUTED_VALUE"""),"daniel.correal@hotmail.com")</f>
        <v>daniel.correal@hotmail.com</v>
      </c>
      <c r="X567" s="12" t="str">
        <f>IFERROR(__xludf.DUMMYFUNCTION("""COMPUTED_VALUE"""),"O+")</f>
        <v>O+</v>
      </c>
      <c r="Y567" s="12" t="str">
        <f>IFERROR(__xludf.DUMMYFUNCTION("""COMPUTED_VALUE"""),"8")</f>
        <v>8</v>
      </c>
      <c r="Z567" s="12">
        <f>IFERROR(__xludf.DUMMYFUNCTION("""COMPUTED_VALUE"""),103626.0)</f>
        <v>103626</v>
      </c>
      <c r="AA567" s="6" t="str">
        <f>IFERROR(__xludf.DUMMYFUNCTION("""COMPUTED_VALUE"""),"SURA")</f>
        <v>SURA</v>
      </c>
      <c r="AB567" s="6" t="str">
        <f>IFERROR(__xludf.DUMMYFUNCTION("""COMPUTED_VALUE"""),"Suramericana")</f>
        <v>Suramericana</v>
      </c>
      <c r="AC567" s="12" t="str">
        <f>IFERROR(__xludf.DUMMYFUNCTION("""COMPUTED_VALUE"""),"Dipirona - AJO, CAMARONES, ATÚN, MARISCOS.")</f>
        <v>Dipirona - AJO, CAMARONES, ATÚN, MARISCOS.</v>
      </c>
      <c r="AD567" s="12" t="str">
        <f>IFERROR(__xludf.DUMMYFUNCTION("""COMPUTED_VALUE"""),"8B")</f>
        <v>8B</v>
      </c>
      <c r="AE567" s="12">
        <f>IFERROR(__xludf.DUMMYFUNCTION("""COMPUTED_VALUE"""),1.345281806E9)</f>
        <v>1345281806</v>
      </c>
      <c r="AF567" s="12" t="str">
        <f>IFERROR(__xludf.DUMMYFUNCTION("""COMPUTED_VALUE"""),"0694248611")</f>
        <v>0694248611</v>
      </c>
      <c r="AG567" s="12" t="str">
        <f>IFERROR(__xludf.DUMMYFUNCTION("""COMPUTED_VALUE"""),"Catalina")</f>
        <v>Catalina</v>
      </c>
      <c r="AH567" s="6"/>
      <c r="AI567" s="6" t="str">
        <f>IFERROR(__xludf.DUMMYFUNCTION("""COMPUTED_VALUE"""),"Narváez Grisales")</f>
        <v>Narváez Grisales</v>
      </c>
      <c r="AJ567" s="6" t="str">
        <f>IFERROR(__xludf.DUMMYFUNCTION("""COMPUTED_VALUE"""),"catanagri13@icloud.com")</f>
        <v>catanagri13@icloud.com</v>
      </c>
      <c r="AK567" s="6" t="str">
        <f>IFERROR(__xludf.DUMMYFUNCTION("""COMPUTED_VALUE"""),"Médica")</f>
        <v>Médica</v>
      </c>
      <c r="AL567" s="6" t="str">
        <f>IFERROR(__xludf.DUMMYFUNCTION("""COMPUTED_VALUE"""),"Clínica Alcazar")</f>
        <v>Clínica Alcazar</v>
      </c>
      <c r="AM567" s="12" t="str">
        <f>IFERROR(__xludf.DUMMYFUNCTION("""COMPUTED_VALUE"""),"30237411")</f>
        <v>30237411</v>
      </c>
      <c r="AN567" s="12" t="str">
        <f>IFERROR(__xludf.DUMMYFUNCTION("""COMPUTED_VALUE"""),"3136158150")</f>
        <v>3136158150</v>
      </c>
      <c r="AO567" s="6" t="str">
        <f>IFERROR(__xludf.DUMMYFUNCTION("""COMPUTED_VALUE"""),"Madre")</f>
        <v>Madre</v>
      </c>
      <c r="AP567" s="6" t="str">
        <f>IFERROR(__xludf.DUMMYFUNCTION("""COMPUTED_VALUE"""),"Estudiante(s): Correal Narváez")</f>
        <v>Estudiante(s): Correal Narváez</v>
      </c>
      <c r="AQ567" s="6" t="str">
        <f>IFERROR(__xludf.DUMMYFUNCTION("""COMPUTED_VALUE"""),"103626*Gi")</f>
        <v>103626*Gi</v>
      </c>
      <c r="AR567" s="6" t="str">
        <f>IFERROR(__xludf.DUMMYFUNCTION("""COMPUTED_VALUE"""),"Daniel")</f>
        <v>Daniel</v>
      </c>
      <c r="AS567" s="6" t="str">
        <f>IFERROR(__xludf.DUMMYFUNCTION("""COMPUTED_VALUE"""),"Adonirán")</f>
        <v>Adonirán</v>
      </c>
      <c r="AT567" s="6" t="str">
        <f>IFERROR(__xludf.DUMMYFUNCTION("""COMPUTED_VALUE"""),"Correal Gentry")</f>
        <v>Correal Gentry</v>
      </c>
      <c r="AU567" s="6" t="str">
        <f>IFERROR(__xludf.DUMMYFUNCTION("""COMPUTED_VALUE"""),"daniel.correal@hotmail.com")</f>
        <v>daniel.correal@hotmail.com</v>
      </c>
      <c r="AV567" s="6" t="str">
        <f>IFERROR(__xludf.DUMMYFUNCTION("""COMPUTED_VALUE"""),"Cirujano plástico facial y otorrinolaringologo")</f>
        <v>Cirujano plástico facial y otorrinolaringologo</v>
      </c>
      <c r="AW567" s="6" t="str">
        <f>IFERROR(__xludf.DUMMYFUNCTION("""COMPUTED_VALUE"""),"Clínica Alcazar")</f>
        <v>Clínica Alcazar</v>
      </c>
      <c r="AX567" s="12" t="str">
        <f>IFERROR(__xludf.DUMMYFUNCTION("""COMPUTED_VALUE"""),"9735213")</f>
        <v>9735213</v>
      </c>
      <c r="AY567" s="12" t="str">
        <f>IFERROR(__xludf.DUMMYFUNCTION("""COMPUTED_VALUE"""),"3104223653")</f>
        <v>3104223653</v>
      </c>
      <c r="AZ567" s="6" t="str">
        <f>IFERROR(__xludf.DUMMYFUNCTION("""COMPUTED_VALUE"""),"Padre")</f>
        <v>Padre</v>
      </c>
      <c r="BA567" s="6" t="str">
        <f>IFERROR(__xludf.DUMMYFUNCTION("""COMPUTED_VALUE"""),"GILBERTO NARVAEZ GONZALEZ")</f>
        <v>GILBERTO NARVAEZ GONZALEZ</v>
      </c>
      <c r="BB567" s="6">
        <f>IFERROR(__xludf.DUMMYFUNCTION("""COMPUTED_VALUE"""),3.103906362E9)</f>
        <v>3103906362</v>
      </c>
      <c r="BC567" s="6" t="str">
        <f>IFERROR(__xludf.DUMMYFUNCTION("""COMPUTED_VALUE"""),"Abuelo(a)")</f>
        <v>Abuelo(a)</v>
      </c>
      <c r="BD567" s="12" t="str">
        <f>IFERROR(__xludf.DUMMYFUNCTION("""COMPUTED_VALUE"""),"cor0011")</f>
        <v>cor0011</v>
      </c>
      <c r="BE567" s="6"/>
      <c r="BF567" s="6"/>
      <c r="BG567" s="6">
        <f>IFERROR(__xludf.DUMMYFUNCTION("""COMPUTED_VALUE"""),2031.0)</f>
        <v>2031</v>
      </c>
      <c r="BH567" s="15">
        <f>IFERROR(__xludf.DUMMYFUNCTION("""COMPUTED_VALUE"""),46204.88275462963)</f>
        <v>46204.88275</v>
      </c>
      <c r="BI567" s="6">
        <f>IFERROR(__xludf.DUMMYFUNCTION("""COMPUTED_VALUE"""),567.0)</f>
        <v>567</v>
      </c>
      <c r="BJ567" s="6"/>
      <c r="BK567" s="6"/>
      <c r="BL567" s="6" t="str">
        <f>IFERROR(__xludf.DUMMYFUNCTION("""COMPUTED_VALUE"""),"GISCOR0011")</f>
        <v>GISCOR0011</v>
      </c>
      <c r="BM567" s="6"/>
      <c r="BN567" s="6"/>
      <c r="BO567" s="6" t="str">
        <f>IFERROR(__xludf.DUMMYFUNCTION("""COMPUTED_VALUE"""),"XC_SEC_ProgRobot")</f>
        <v>XC_SEC_ProgRobot</v>
      </c>
      <c r="BP567" s="6" t="str">
        <f>IFERROR(__xludf.DUMMYFUNCTION("""COMPUTED_VALUE"""),"XC_SEC_OlympMath")</f>
        <v>XC_SEC_OlympMath</v>
      </c>
      <c r="BQ567" s="6"/>
      <c r="BR567" s="6"/>
      <c r="BS567" s="6"/>
      <c r="BT567" s="6"/>
      <c r="BU567" s="6" t="str">
        <f>IFERROR(__xludf.DUMMYFUNCTION("""COMPUTED_VALUE"""),"SI")</f>
        <v>SI</v>
      </c>
      <c r="BV567" s="6" t="str">
        <f>IFERROR(__xludf.DUMMYFUNCTION("""COMPUTED_VALUE"""),"thomas.c2031")</f>
        <v>thomas.c2031</v>
      </c>
      <c r="BW567" s="6"/>
      <c r="BX567" s="6"/>
      <c r="BY567" s="6"/>
      <c r="BZ567" s="6"/>
    </row>
    <row r="568">
      <c r="A568" s="12" t="str">
        <f>IFERROR(__xludf.DUMMYFUNCTION("""COMPUTED_VALUE"""),"a32968545")</f>
        <v>a32968545</v>
      </c>
      <c r="B568" s="6">
        <f>IFERROR(__xludf.DUMMYFUNCTION("""COMPUTED_VALUE"""),13.0)</f>
        <v>13</v>
      </c>
      <c r="C568" s="6" t="str">
        <f>IFERROR(__xludf.DUMMYFUNCTION("""COMPUTED_VALUE"""),"Luciana")</f>
        <v>Luciana</v>
      </c>
      <c r="D568" s="6"/>
      <c r="E568" s="6" t="str">
        <f>IFERROR(__xludf.DUMMYFUNCTION("""COMPUTED_VALUE"""),"Cortés Jaramillo")</f>
        <v>Cortés Jaramillo</v>
      </c>
      <c r="F568" s="6" t="str">
        <f>IFERROR(__xludf.DUMMYFUNCTION("""COMPUTED_VALUE"""),"16 white Oak Drive - no aplica")</f>
        <v>16 white Oak Drive - no aplica</v>
      </c>
      <c r="G568" s="12">
        <f>IFERROR(__xludf.DUMMYFUNCTION("""COMPUTED_VALUE"""),2013.0)</f>
        <v>2013</v>
      </c>
      <c r="H568" s="12" t="str">
        <f>IFERROR(__xludf.DUMMYFUNCTION("""COMPUTED_VALUE"""),"Marzo")</f>
        <v>Marzo</v>
      </c>
      <c r="I568" s="12">
        <f>IFERROR(__xludf.DUMMYFUNCTION("""COMPUTED_VALUE"""),27.0)</f>
        <v>27</v>
      </c>
      <c r="J568" s="6"/>
      <c r="K568" s="12" t="str">
        <f>IFERROR(__xludf.DUMMYFUNCTION("""COMPUTED_VALUE"""),"luciana.c2031@gi.edu.co")</f>
        <v>luciana.c2031@gi.edu.co</v>
      </c>
      <c r="L568" s="6" t="str">
        <f>IFERROR(__xludf.DUMMYFUNCTION("""COMPUTED_VALUE"""),"PS")</f>
        <v>PS</v>
      </c>
      <c r="M568" s="6" t="str">
        <f>IFERROR(__xludf.DUMMYFUNCTION("""COMPUTED_VALUE"""),"Hackensack")</f>
        <v>Hackensack</v>
      </c>
      <c r="N568" s="6" t="str">
        <f>IFERROR(__xludf.DUMMYFUNCTION("""COMPUTED_VALUE"""),"F")</f>
        <v>F</v>
      </c>
      <c r="O568" s="6" t="str">
        <f>IFERROR(__xludf.DUMMYFUNCTION("""COMPUTED_VALUE"""),"ACTIVE")</f>
        <v>ACTIVE</v>
      </c>
      <c r="P568" s="6"/>
      <c r="Q568" s="6"/>
      <c r="R568" s="12" t="str">
        <f>IFERROR(__xludf.DUMMYFUNCTION("""COMPUTED_VALUE"""),"GiU2Mj8R*")</f>
        <v>GiU2Mj8R*</v>
      </c>
      <c r="S568" s="6" t="str">
        <f>IFERROR(__xludf.DUMMYFUNCTION("""COMPUTED_VALUE"""),"Cortés Jaramillo Luciana ")</f>
        <v>Cortés Jaramillo Luciana </v>
      </c>
      <c r="T568" s="6" t="str">
        <f>IFERROR(__xludf.DUMMYFUNCTION("""COMPUTED_VALUE"""),"ALEXANDER CORTES AGUDELO")</f>
        <v>ALEXANDER CORTES AGUDELO</v>
      </c>
      <c r="U568" s="12" t="str">
        <f>IFERROR(__xludf.DUMMYFUNCTION("""COMPUTED_VALUE"""),"18498285")</f>
        <v>18498285</v>
      </c>
      <c r="V568" s="6">
        <f>IFERROR(__xludf.DUMMYFUNCTION("""COMPUTED_VALUE"""),2.019236175E9)</f>
        <v>2019236175</v>
      </c>
      <c r="W568" s="6" t="str">
        <f>IFERROR(__xludf.DUMMYFUNCTION("""COMPUTED_VALUE"""),"vigalexusa@yahoo.com")</f>
        <v>vigalexusa@yahoo.com</v>
      </c>
      <c r="X568" s="12" t="str">
        <f>IFERROR(__xludf.DUMMYFUNCTION("""COMPUTED_VALUE"""),"O+")</f>
        <v>O+</v>
      </c>
      <c r="Y568" s="12" t="str">
        <f>IFERROR(__xludf.DUMMYFUNCTION("""COMPUTED_VALUE"""),"8")</f>
        <v>8</v>
      </c>
      <c r="Z568" s="6">
        <f>IFERROR(__xludf.DUMMYFUNCTION("""COMPUTED_VALUE"""),120618.0)</f>
        <v>120618</v>
      </c>
      <c r="AA568" s="6" t="str">
        <f>IFERROR(__xludf.DUMMYFUNCTION("""COMPUTED_VALUE"""),"SURA")</f>
        <v>SURA</v>
      </c>
      <c r="AB568" s="6"/>
      <c r="AC568" s="6"/>
      <c r="AD568" s="12" t="str">
        <f>IFERROR(__xludf.DUMMYFUNCTION("""COMPUTED_VALUE"""),"8B")</f>
        <v>8B</v>
      </c>
      <c r="AE568" s="12" t="str">
        <f>IFERROR(__xludf.DUMMYFUNCTION("""COMPUTED_VALUE"""),"1345282616")</f>
        <v>1345282616</v>
      </c>
      <c r="AF568" s="6"/>
      <c r="AG568" s="12" t="str">
        <f>IFERROR(__xludf.DUMMYFUNCTION("""COMPUTED_VALUE"""),"Diana")</f>
        <v>Diana</v>
      </c>
      <c r="AH568" s="12" t="str">
        <f>IFERROR(__xludf.DUMMYFUNCTION("""COMPUTED_VALUE"""),"Lorena")</f>
        <v>Lorena</v>
      </c>
      <c r="AI568" s="6" t="str">
        <f>IFERROR(__xludf.DUMMYFUNCTION("""COMPUTED_VALUE"""),"Jaramillo Corrales")</f>
        <v>Jaramillo Corrales</v>
      </c>
      <c r="AJ568" s="6" t="str">
        <f>IFERROR(__xludf.DUMMYFUNCTION("""COMPUTED_VALUE"""),"myhomeusaemail@gmail.com")</f>
        <v>myhomeusaemail@gmail.com</v>
      </c>
      <c r="AK568" s="6" t="str">
        <f>IFERROR(__xludf.DUMMYFUNCTION("""COMPUTED_VALUE"""),"Retail WHS ")</f>
        <v>Retail WHS </v>
      </c>
      <c r="AL568" s="6"/>
      <c r="AM568" s="12" t="str">
        <f>IFERROR(__xludf.DUMMYFUNCTION("""COMPUTED_VALUE"""),"25196024")</f>
        <v>25196024</v>
      </c>
      <c r="AN568" s="12" t="str">
        <f>IFERROR(__xludf.DUMMYFUNCTION("""COMPUTED_VALUE"""),"2016865163")</f>
        <v>2016865163</v>
      </c>
      <c r="AO568" s="6" t="str">
        <f>IFERROR(__xludf.DUMMYFUNCTION("""COMPUTED_VALUE"""),"Madre")</f>
        <v>Madre</v>
      </c>
      <c r="AP568" s="6" t="str">
        <f>IFERROR(__xludf.DUMMYFUNCTION("""COMPUTED_VALUE"""),"Estudiante(s): Cortés Jaramillo")</f>
        <v>Estudiante(s): Cortés Jaramillo</v>
      </c>
      <c r="AQ568" s="6" t="str">
        <f>IFERROR(__xludf.DUMMYFUNCTION("""COMPUTED_VALUE"""),"120618*Gi")</f>
        <v>120618*Gi</v>
      </c>
      <c r="AR568" s="6" t="str">
        <f>IFERROR(__xludf.DUMMYFUNCTION("""COMPUTED_VALUE"""),"Alexander")</f>
        <v>Alexander</v>
      </c>
      <c r="AS568" s="6"/>
      <c r="AT568" s="6" t="str">
        <f>IFERROR(__xludf.DUMMYFUNCTION("""COMPUTED_VALUE"""),"Cortes Agudelo")</f>
        <v>Cortes Agudelo</v>
      </c>
      <c r="AU568" s="6" t="str">
        <f>IFERROR(__xludf.DUMMYFUNCTION("""COMPUTED_VALUE"""),"vigalexusa@yahoo.com")</f>
        <v>vigalexusa@yahoo.com</v>
      </c>
      <c r="AV568" s="6" t="str">
        <f>IFERROR(__xludf.DUMMYFUNCTION("""COMPUTED_VALUE"""),"IT ")</f>
        <v>IT </v>
      </c>
      <c r="AW568" s="6"/>
      <c r="AX568" s="12" t="str">
        <f>IFERROR(__xludf.DUMMYFUNCTION("""COMPUTED_VALUE"""),"18498285")</f>
        <v>18498285</v>
      </c>
      <c r="AY568" s="12" t="str">
        <f>IFERROR(__xludf.DUMMYFUNCTION("""COMPUTED_VALUE"""),"2019236175")</f>
        <v>2019236175</v>
      </c>
      <c r="AZ568" s="6" t="str">
        <f>IFERROR(__xludf.DUMMYFUNCTION("""COMPUTED_VALUE"""),"Padre")</f>
        <v>Padre</v>
      </c>
      <c r="BA568" s="6"/>
      <c r="BB568" s="6"/>
      <c r="BC568" s="6"/>
      <c r="BD568" s="12" t="str">
        <f>IFERROR(__xludf.DUMMYFUNCTION("""COMPUTED_VALUE"""),"cor0018")</f>
        <v>cor0018</v>
      </c>
      <c r="BE568" s="6" t="str">
        <f>IFERROR(__xludf.DUMMYFUNCTION("""COMPUTED_VALUE"""),"NUEVO(A)")</f>
        <v>NUEVO(A)</v>
      </c>
      <c r="BF568" s="6"/>
      <c r="BG568" s="6">
        <f>IFERROR(__xludf.DUMMYFUNCTION("""COMPUTED_VALUE"""),2031.0)</f>
        <v>2031</v>
      </c>
      <c r="BH568" s="15">
        <f>IFERROR(__xludf.DUMMYFUNCTION("""COMPUTED_VALUE"""),46199.728680555556)</f>
        <v>46199.72868</v>
      </c>
      <c r="BI568" s="6">
        <f>IFERROR(__xludf.DUMMYFUNCTION("""COMPUTED_VALUE"""),568.0)</f>
        <v>568</v>
      </c>
      <c r="BJ568" s="6"/>
      <c r="BK568" s="6"/>
      <c r="BL568" s="6" t="str">
        <f>IFERROR(__xludf.DUMMYFUNCTION("""COMPUTED_VALUE"""),"GISCOR0018")</f>
        <v>GISCOR0018</v>
      </c>
      <c r="BM568" s="6"/>
      <c r="BN568" s="6"/>
      <c r="BO568" s="6" t="str">
        <f>IFERROR(__xludf.DUMMYFUNCTION("""COMPUTED_VALUE"""),"XC_MS_Voleibol_F")</f>
        <v>XC_MS_Voleibol_F</v>
      </c>
      <c r="BP568" s="6"/>
      <c r="BQ568" s="6" t="str">
        <f>IFERROR(__xludf.DUMMYFUNCTION("""COMPUTED_VALUE"""),"XC_MS_Voleibol_F")</f>
        <v>XC_MS_Voleibol_F</v>
      </c>
      <c r="BR568" s="6" t="str">
        <f>IFERROR(__xludf.DUMMYFUNCTION("""COMPUTED_VALUE"""),"XC_MS_Voleibol_F")</f>
        <v>XC_MS_Voleibol_F</v>
      </c>
      <c r="BS568" s="6"/>
      <c r="BT568" s="6" t="str">
        <f>IFERROR(__xludf.DUMMYFUNCTION("""COMPUTED_VALUE"""),"XC_MS_Voleibol_F")</f>
        <v>XC_MS_Voleibol_F</v>
      </c>
      <c r="BU568" s="6" t="str">
        <f>IFERROR(__xludf.DUMMYFUNCTION("""COMPUTED_VALUE"""),"SI")</f>
        <v>SI</v>
      </c>
      <c r="BV568" s="12" t="str">
        <f>IFERROR(__xludf.DUMMYFUNCTION("""COMPUTED_VALUE"""),"luciana.c2031")</f>
        <v>luciana.c2031</v>
      </c>
      <c r="BW568" s="6"/>
      <c r="BX568" s="6"/>
      <c r="BY568" s="6"/>
      <c r="BZ568" s="6"/>
    </row>
    <row r="569">
      <c r="A569" s="12">
        <f>IFERROR(__xludf.DUMMYFUNCTION("""COMPUTED_VALUE"""),1.014882992E9)</f>
        <v>1014882992</v>
      </c>
      <c r="B569" s="6">
        <f>IFERROR(__xludf.DUMMYFUNCTION("""COMPUTED_VALUE"""),14.0)</f>
        <v>14</v>
      </c>
      <c r="C569" s="6" t="str">
        <f>IFERROR(__xludf.DUMMYFUNCTION("""COMPUTED_VALUE"""),"Juan")</f>
        <v>Juan</v>
      </c>
      <c r="D569" s="6" t="str">
        <f>IFERROR(__xludf.DUMMYFUNCTION("""COMPUTED_VALUE"""),"Martín")</f>
        <v>Martín</v>
      </c>
      <c r="E569" s="6" t="str">
        <f>IFERROR(__xludf.DUMMYFUNCTION("""COMPUTED_VALUE"""),"Cubillos González")</f>
        <v>Cubillos González</v>
      </c>
      <c r="F569" s="6" t="str">
        <f>IFERROR(__xludf.DUMMYFUNCTION("""COMPUTED_VALUE"""),"Condominio Hacienda Horizontes Casa 7 - Km 3 Via Circasia Vereda la Florida")</f>
        <v>Condominio Hacienda Horizontes Casa 7 - Km 3 Via Circasia Vereda la Florida</v>
      </c>
      <c r="G569" s="12" t="str">
        <f>IFERROR(__xludf.DUMMYFUNCTION("""COMPUTED_VALUE"""),"2012")</f>
        <v>2012</v>
      </c>
      <c r="H569" s="6" t="str">
        <f>IFERROR(__xludf.DUMMYFUNCTION("""COMPUTED_VALUE"""),"Noviembre")</f>
        <v>Noviembre</v>
      </c>
      <c r="I569" s="12" t="str">
        <f>IFERROR(__xludf.DUMMYFUNCTION("""COMPUTED_VALUE"""),"12")</f>
        <v>12</v>
      </c>
      <c r="J569" s="6" t="str">
        <f>IFERROR(__xludf.DUMMYFUNCTION("""COMPUTED_VALUE"""),"Bogotá D.C.")</f>
        <v>Bogotá D.C.</v>
      </c>
      <c r="K569" s="6" t="str">
        <f>IFERROR(__xludf.DUMMYFUNCTION("""COMPUTED_VALUE"""),"juanm.c2031@gi.edu.co")</f>
        <v>juanm.c2031@gi.edu.co</v>
      </c>
      <c r="L569" s="6" t="str">
        <f>IFERROR(__xludf.DUMMYFUNCTION("""COMPUTED_VALUE"""),"TI")</f>
        <v>TI</v>
      </c>
      <c r="M569" s="6" t="str">
        <f>IFERROR(__xludf.DUMMYFUNCTION("""COMPUTED_VALUE"""),"Armenia")</f>
        <v>Armenia</v>
      </c>
      <c r="N569" s="6" t="str">
        <f>IFERROR(__xludf.DUMMYFUNCTION("""COMPUTED_VALUE"""),"M")</f>
        <v>M</v>
      </c>
      <c r="O569" s="6" t="str">
        <f>IFERROR(__xludf.DUMMYFUNCTION("""COMPUTED_VALUE"""),"ACTIVE")</f>
        <v>ACTIVE</v>
      </c>
      <c r="P569" s="6"/>
      <c r="Q569" s="6" t="str">
        <f>IFERROR(__xludf.DUMMYFUNCTION("""COMPUTED_VALUE"""),"Circasia")</f>
        <v>Circasia</v>
      </c>
      <c r="R569" s="12" t="str">
        <f>IFERROR(__xludf.DUMMYFUNCTION("""COMPUTED_VALUE"""),"Gi3830jm*")</f>
        <v>Gi3830jm*</v>
      </c>
      <c r="S569" s="6" t="str">
        <f>IFERROR(__xludf.DUMMYFUNCTION("""COMPUTED_VALUE"""),"Cubillos González Juan Martín")</f>
        <v>Cubillos González Juan Martín</v>
      </c>
      <c r="T569" s="6" t="str">
        <f>IFERROR(__xludf.DUMMYFUNCTION("""COMPUTED_VALUE"""),"PAULA MARCELA GONZALEZ RESTREPO")</f>
        <v>PAULA MARCELA GONZALEZ RESTREPO</v>
      </c>
      <c r="U569" s="12" t="str">
        <f>IFERROR(__xludf.DUMMYFUNCTION("""COMPUTED_VALUE"""),"41948785")</f>
        <v>41948785</v>
      </c>
      <c r="V569" s="6">
        <f>IFERROR(__xludf.DUMMYFUNCTION("""COMPUTED_VALUE"""),3.132085592E9)</f>
        <v>3132085592</v>
      </c>
      <c r="W569" s="6" t="str">
        <f>IFERROR(__xludf.DUMMYFUNCTION("""COMPUTED_VALUE"""),"gonzalez.paulam@gmail.com")</f>
        <v>gonzalez.paulam@gmail.com</v>
      </c>
      <c r="X569" s="12" t="str">
        <f>IFERROR(__xludf.DUMMYFUNCTION("""COMPUTED_VALUE"""),"A+")</f>
        <v>A+</v>
      </c>
      <c r="Y569" s="12" t="str">
        <f>IFERROR(__xludf.DUMMYFUNCTION("""COMPUTED_VALUE"""),"8")</f>
        <v>8</v>
      </c>
      <c r="Z569" s="12">
        <f>IFERROR(__xludf.DUMMYFUNCTION("""COMPUTED_VALUE"""),103830.0)</f>
        <v>103830</v>
      </c>
      <c r="AA569" s="6" t="str">
        <f>IFERROR(__xludf.DUMMYFUNCTION("""COMPUTED_VALUE"""),"SURA")</f>
        <v>SURA</v>
      </c>
      <c r="AB569" s="6" t="str">
        <f>IFERROR(__xludf.DUMMYFUNCTION("""COMPUTED_VALUE"""),"EMI")</f>
        <v>EMI</v>
      </c>
      <c r="AC569" s="12" t="str">
        <f>IFERROR(__xludf.DUMMYFUNCTION("""COMPUTED_VALUE"""),"Loratadina, Penicilina")</f>
        <v>Loratadina, Penicilina</v>
      </c>
      <c r="AD569" s="12" t="str">
        <f>IFERROR(__xludf.DUMMYFUNCTION("""COMPUTED_VALUE"""),"8C")</f>
        <v>8C</v>
      </c>
      <c r="AE569" s="12">
        <f>IFERROR(__xludf.DUMMYFUNCTION("""COMPUTED_VALUE"""),1.345281926E9)</f>
        <v>1345281926</v>
      </c>
      <c r="AF569" s="12" t="str">
        <f>IFERROR(__xludf.DUMMYFUNCTION("""COMPUTED_VALUE"""),"0688273411")</f>
        <v>0688273411</v>
      </c>
      <c r="AG569" s="12" t="str">
        <f>IFERROR(__xludf.DUMMYFUNCTION("""COMPUTED_VALUE"""),"Paula")</f>
        <v>Paula</v>
      </c>
      <c r="AH569" s="12" t="str">
        <f>IFERROR(__xludf.DUMMYFUNCTION("""COMPUTED_VALUE"""),"Marcela")</f>
        <v>Marcela</v>
      </c>
      <c r="AI569" s="6" t="str">
        <f>IFERROR(__xludf.DUMMYFUNCTION("""COMPUTED_VALUE"""),"González Restrepo")</f>
        <v>González Restrepo</v>
      </c>
      <c r="AJ569" s="6" t="str">
        <f>IFERROR(__xludf.DUMMYFUNCTION("""COMPUTED_VALUE"""),"gonzalez.paulam@gmail.com")</f>
        <v>gonzalez.paulam@gmail.com</v>
      </c>
      <c r="AK569" s="6" t="str">
        <f>IFERROR(__xludf.DUMMYFUNCTION("""COMPUTED_VALUE"""),"Ingeniera Electrónica")</f>
        <v>Ingeniera Electrónica</v>
      </c>
      <c r="AL569" s="6" t="str">
        <f>IFERROR(__xludf.DUMMYFUNCTION("""COMPUTED_VALUE"""),"GASOLY SAS")</f>
        <v>GASOLY SAS</v>
      </c>
      <c r="AM569" s="12" t="str">
        <f>IFERROR(__xludf.DUMMYFUNCTION("""COMPUTED_VALUE"""),"41948785")</f>
        <v>41948785</v>
      </c>
      <c r="AN569" s="12" t="str">
        <f>IFERROR(__xludf.DUMMYFUNCTION("""COMPUTED_VALUE"""),"3132085592")</f>
        <v>3132085592</v>
      </c>
      <c r="AO569" s="6" t="str">
        <f>IFERROR(__xludf.DUMMYFUNCTION("""COMPUTED_VALUE"""),"Madre")</f>
        <v>Madre</v>
      </c>
      <c r="AP569" s="6" t="str">
        <f>IFERROR(__xludf.DUMMYFUNCTION("""COMPUTED_VALUE"""),"Estudiante(s): Cubillos González")</f>
        <v>Estudiante(s): Cubillos González</v>
      </c>
      <c r="AQ569" s="6" t="str">
        <f>IFERROR(__xludf.DUMMYFUNCTION("""COMPUTED_VALUE"""),"103830*Gi")</f>
        <v>103830*Gi</v>
      </c>
      <c r="AR569" s="6" t="str">
        <f>IFERROR(__xludf.DUMMYFUNCTION("""COMPUTED_VALUE"""),"Jaime")</f>
        <v>Jaime</v>
      </c>
      <c r="AS569" s="6" t="str">
        <f>IFERROR(__xludf.DUMMYFUNCTION("""COMPUTED_VALUE"""),"Andrés")</f>
        <v>Andrés</v>
      </c>
      <c r="AT569" s="6" t="str">
        <f>IFERROR(__xludf.DUMMYFUNCTION("""COMPUTED_VALUE"""),"Cubillos Patiño")</f>
        <v>Cubillos Patiño</v>
      </c>
      <c r="AU569" s="6" t="str">
        <f>IFERROR(__xludf.DUMMYFUNCTION("""COMPUTED_VALUE"""),"jcubillos555@hotmail.com")</f>
        <v>jcubillos555@hotmail.com</v>
      </c>
      <c r="AV569" s="6" t="str">
        <f>IFERROR(__xludf.DUMMYFUNCTION("""COMPUTED_VALUE"""),"Ingeniero Electrónico")</f>
        <v>Ingeniero Electrónico</v>
      </c>
      <c r="AW569" s="6" t="str">
        <f>IFERROR(__xludf.DUMMYFUNCTION("""COMPUTED_VALUE"""),"GLOBANT")</f>
        <v>GLOBANT</v>
      </c>
      <c r="AX569" s="12" t="str">
        <f>IFERROR(__xludf.DUMMYFUNCTION("""COMPUTED_VALUE"""),"9725915")</f>
        <v>9725915</v>
      </c>
      <c r="AY569" s="12" t="str">
        <f>IFERROR(__xludf.DUMMYFUNCTION("""COMPUTED_VALUE"""),"3187159445")</f>
        <v>3187159445</v>
      </c>
      <c r="AZ569" s="6" t="str">
        <f>IFERROR(__xludf.DUMMYFUNCTION("""COMPUTED_VALUE"""),"Padre")</f>
        <v>Padre</v>
      </c>
      <c r="BA569" s="6"/>
      <c r="BB569" s="6"/>
      <c r="BC569" s="6"/>
      <c r="BD569" s="12" t="str">
        <f>IFERROR(__xludf.DUMMYFUNCTION("""COMPUTED_VALUE"""),"cub0002")</f>
        <v>cub0002</v>
      </c>
      <c r="BE569" s="6"/>
      <c r="BF569" s="6"/>
      <c r="BG569" s="6">
        <f>IFERROR(__xludf.DUMMYFUNCTION("""COMPUTED_VALUE"""),2031.0)</f>
        <v>2031</v>
      </c>
      <c r="BH569" s="15">
        <f>IFERROR(__xludf.DUMMYFUNCTION("""COMPUTED_VALUE"""),46213.584178240744)</f>
        <v>46213.58418</v>
      </c>
      <c r="BI569" s="6">
        <f>IFERROR(__xludf.DUMMYFUNCTION("""COMPUTED_VALUE"""),569.0)</f>
        <v>569</v>
      </c>
      <c r="BJ569" s="6"/>
      <c r="BK569" s="6"/>
      <c r="BL569" s="6" t="str">
        <f>IFERROR(__xludf.DUMMYFUNCTION("""COMPUTED_VALUE"""),"GISCUB0002")</f>
        <v>GISCUB0002</v>
      </c>
      <c r="BM569" s="6"/>
      <c r="BN569" s="6"/>
      <c r="BO569" s="6"/>
      <c r="BP569" s="6"/>
      <c r="BQ569" s="6"/>
      <c r="BR569" s="6"/>
      <c r="BS569" s="6"/>
      <c r="BT569" s="6"/>
      <c r="BU569" s="6" t="str">
        <f>IFERROR(__xludf.DUMMYFUNCTION("""COMPUTED_VALUE"""),"SI")</f>
        <v>SI</v>
      </c>
      <c r="BV569" s="6" t="str">
        <f>IFERROR(__xludf.DUMMYFUNCTION("""COMPUTED_VALUE"""),"juanm.c2031")</f>
        <v>juanm.c2031</v>
      </c>
      <c r="BW569" s="6"/>
      <c r="BX569" s="6"/>
      <c r="BY569" s="6"/>
      <c r="BZ569" s="6"/>
    </row>
    <row r="570">
      <c r="A570" s="12">
        <f>IFERROR(__xludf.DUMMYFUNCTION("""COMPUTED_VALUE"""),1.025072126E9)</f>
        <v>1025072126</v>
      </c>
      <c r="B570" s="6">
        <f>IFERROR(__xludf.DUMMYFUNCTION("""COMPUTED_VALUE"""),15.0)</f>
        <v>15</v>
      </c>
      <c r="C570" s="6" t="str">
        <f>IFERROR(__xludf.DUMMYFUNCTION("""COMPUTED_VALUE"""),"Emilia")</f>
        <v>Emilia</v>
      </c>
      <c r="D570" s="6"/>
      <c r="E570" s="6" t="str">
        <f>IFERROR(__xludf.DUMMYFUNCTION("""COMPUTED_VALUE"""),"Cuéllar Adolphs")</f>
        <v>Cuéllar Adolphs</v>
      </c>
      <c r="F570" s="6" t="str">
        <f>IFERROR(__xludf.DUMMYFUNCTION("""COMPUTED_VALUE"""),"Condominio Campestre La Reserva Casa 36 - Cra 5 No10Nte - 25 Av Centenario")</f>
        <v>Condominio Campestre La Reserva Casa 36 - Cra 5 No10Nte - 25 Av Centenario</v>
      </c>
      <c r="G570" s="12" t="str">
        <f>IFERROR(__xludf.DUMMYFUNCTION("""COMPUTED_VALUE"""),"2013")</f>
        <v>2013</v>
      </c>
      <c r="H570" s="6" t="str">
        <f>IFERROR(__xludf.DUMMYFUNCTION("""COMPUTED_VALUE"""),"Septiembre")</f>
        <v>Septiembre</v>
      </c>
      <c r="I570" s="12" t="str">
        <f>IFERROR(__xludf.DUMMYFUNCTION("""COMPUTED_VALUE"""),"19")</f>
        <v>19</v>
      </c>
      <c r="J570" s="6" t="str">
        <f>IFERROR(__xludf.DUMMYFUNCTION("""COMPUTED_VALUE"""),"Bogotá D.C.")</f>
        <v>Bogotá D.C.</v>
      </c>
      <c r="K570" s="6" t="str">
        <f>IFERROR(__xludf.DUMMYFUNCTION("""COMPUTED_VALUE"""),"emilia.c2031@gi.edu.co")</f>
        <v>emilia.c2031@gi.edu.co</v>
      </c>
      <c r="L570" s="6" t="str">
        <f>IFERROR(__xludf.DUMMYFUNCTION("""COMPUTED_VALUE"""),"TI")</f>
        <v>TI</v>
      </c>
      <c r="M570" s="6" t="str">
        <f>IFERROR(__xludf.DUMMYFUNCTION("""COMPUTED_VALUE"""),"Circacia")</f>
        <v>Circacia</v>
      </c>
      <c r="N570" s="6" t="str">
        <f>IFERROR(__xludf.DUMMYFUNCTION("""COMPUTED_VALUE"""),"F")</f>
        <v>F</v>
      </c>
      <c r="O570" s="6" t="str">
        <f>IFERROR(__xludf.DUMMYFUNCTION("""COMPUTED_VALUE"""),"ACTIVE")</f>
        <v>ACTIVE</v>
      </c>
      <c r="P570" s="6"/>
      <c r="Q570" s="6" t="str">
        <f>IFERROR(__xludf.DUMMYFUNCTION("""COMPUTED_VALUE"""),"Armenia")</f>
        <v>Armenia</v>
      </c>
      <c r="R570" s="12" t="str">
        <f>IFERROR(__xludf.DUMMYFUNCTION("""COMPUTED_VALUE"""),"Gi3wr4ahg*")</f>
        <v>Gi3wr4ahg*</v>
      </c>
      <c r="S570" s="6" t="str">
        <f>IFERROR(__xludf.DUMMYFUNCTION("""COMPUTED_VALUE"""),"Cuéllar Adolphs Emilia ")</f>
        <v>Cuéllar Adolphs Emilia </v>
      </c>
      <c r="T570" s="6" t="str">
        <f>IFERROR(__xludf.DUMMYFUNCTION("""COMPUTED_VALUE"""),"TATIANA ESPERANZA ADOLPHS MONTES")</f>
        <v>TATIANA ESPERANZA ADOLPHS MONTES</v>
      </c>
      <c r="U570" s="12" t="str">
        <f>IFERROR(__xludf.DUMMYFUNCTION("""COMPUTED_VALUE"""),"52702258")</f>
        <v>52702258</v>
      </c>
      <c r="V570" s="6">
        <f>IFERROR(__xludf.DUMMYFUNCTION("""COMPUTED_VALUE"""),3.134018769E9)</f>
        <v>3134018769</v>
      </c>
      <c r="W570" s="6" t="str">
        <f>IFERROR(__xludf.DUMMYFUNCTION("""COMPUTED_VALUE"""),"tatianaadolphs@gmail.com")</f>
        <v>tatianaadolphs@gmail.com</v>
      </c>
      <c r="X570" s="12" t="str">
        <f>IFERROR(__xludf.DUMMYFUNCTION("""COMPUTED_VALUE"""),"O+")</f>
        <v>O+</v>
      </c>
      <c r="Y570" s="12" t="str">
        <f>IFERROR(__xludf.DUMMYFUNCTION("""COMPUTED_VALUE"""),"8")</f>
        <v>8</v>
      </c>
      <c r="Z570" s="12">
        <f>IFERROR(__xludf.DUMMYFUNCTION("""COMPUTED_VALUE"""),103628.0)</f>
        <v>103628</v>
      </c>
      <c r="AA570" s="6" t="str">
        <f>IFERROR(__xludf.DUMMYFUNCTION("""COMPUTED_VALUE"""),"SURA")</f>
        <v>SURA</v>
      </c>
      <c r="AB570" s="6" t="str">
        <f>IFERROR(__xludf.DUMMYFUNCTION("""COMPUTED_VALUE"""),"Med Plus")</f>
        <v>Med Plus</v>
      </c>
      <c r="AC570" s="12" t="str">
        <f>IFERROR(__xludf.DUMMYFUNCTION("""COMPUTED_VALUE"""),"CAMBIOS DE CLIMA")</f>
        <v>CAMBIOS DE CLIMA</v>
      </c>
      <c r="AD570" s="12" t="str">
        <f>IFERROR(__xludf.DUMMYFUNCTION("""COMPUTED_VALUE"""),"8B")</f>
        <v>8B</v>
      </c>
      <c r="AE570" s="12">
        <f>IFERROR(__xludf.DUMMYFUNCTION("""COMPUTED_VALUE"""),1.345281779E9)</f>
        <v>1345281779</v>
      </c>
      <c r="AF570" s="12" t="str">
        <f>IFERROR(__xludf.DUMMYFUNCTION("""COMPUTED_VALUE"""),"0688467283")</f>
        <v>0688467283</v>
      </c>
      <c r="AG570" s="12" t="str">
        <f>IFERROR(__xludf.DUMMYFUNCTION("""COMPUTED_VALUE"""),"Tatiana")</f>
        <v>Tatiana</v>
      </c>
      <c r="AH570" s="12" t="str">
        <f>IFERROR(__xludf.DUMMYFUNCTION("""COMPUTED_VALUE"""),"Esperanza")</f>
        <v>Esperanza</v>
      </c>
      <c r="AI570" s="6" t="str">
        <f>IFERROR(__xludf.DUMMYFUNCTION("""COMPUTED_VALUE"""),"Adolphs Montes")</f>
        <v>Adolphs Montes</v>
      </c>
      <c r="AJ570" s="6" t="str">
        <f>IFERROR(__xludf.DUMMYFUNCTION("""COMPUTED_VALUE"""),"tatianaadolphs@gmail.com")</f>
        <v>tatianaadolphs@gmail.com</v>
      </c>
      <c r="AK570" s="6" t="str">
        <f>IFERROR(__xludf.DUMMYFUNCTION("""COMPUTED_VALUE"""),"INGENIERA QUIMICA")</f>
        <v>INGENIERA QUIMICA</v>
      </c>
      <c r="AL570" s="6" t="str">
        <f>IFERROR(__xludf.DUMMYFUNCTION("""COMPUTED_VALUE"""),"Med Line Colombia S.A.S")</f>
        <v>Med Line Colombia S.A.S</v>
      </c>
      <c r="AM570" s="12" t="str">
        <f>IFERROR(__xludf.DUMMYFUNCTION("""COMPUTED_VALUE"""),"52702258")</f>
        <v>52702258</v>
      </c>
      <c r="AN570" s="12" t="str">
        <f>IFERROR(__xludf.DUMMYFUNCTION("""COMPUTED_VALUE"""),"3134018769")</f>
        <v>3134018769</v>
      </c>
      <c r="AO570" s="6" t="str">
        <f>IFERROR(__xludf.DUMMYFUNCTION("""COMPUTED_VALUE"""),"Madre")</f>
        <v>Madre</v>
      </c>
      <c r="AP570" s="6" t="str">
        <f>IFERROR(__xludf.DUMMYFUNCTION("""COMPUTED_VALUE"""),"Estudiante(s): Cuéllar Adolphs")</f>
        <v>Estudiante(s): Cuéllar Adolphs</v>
      </c>
      <c r="AQ570" s="6" t="str">
        <f>IFERROR(__xludf.DUMMYFUNCTION("""COMPUTED_VALUE"""),"103628*Gi")</f>
        <v>103628*Gi</v>
      </c>
      <c r="AR570" s="6" t="str">
        <f>IFERROR(__xludf.DUMMYFUNCTION("""COMPUTED_VALUE"""),"Gildardo")</f>
        <v>Gildardo</v>
      </c>
      <c r="AS570" s="6"/>
      <c r="AT570" s="6" t="str">
        <f>IFERROR(__xludf.DUMMYFUNCTION("""COMPUTED_VALUE"""),"Cuéllar Montes")</f>
        <v>Cuéllar Montes</v>
      </c>
      <c r="AU570" s="6" t="str">
        <f>IFERROR(__xludf.DUMMYFUNCTION("""COMPUTED_VALUE"""),"gildardocuellar77@hotmail.com")</f>
        <v>gildardocuellar77@hotmail.com</v>
      </c>
      <c r="AV570" s="6" t="str">
        <f>IFERROR(__xludf.DUMMYFUNCTION("""COMPUTED_VALUE"""),"Comerciante")</f>
        <v>Comerciante</v>
      </c>
      <c r="AW570" s="6" t="str">
        <f>IFERROR(__xludf.DUMMYFUNCTION("""COMPUTED_VALUE"""),"Med Line Colombia S.A.S")</f>
        <v>Med Line Colombia S.A.S</v>
      </c>
      <c r="AX570" s="12" t="str">
        <f>IFERROR(__xludf.DUMMYFUNCTION("""COMPUTED_VALUE"""),"89007338")</f>
        <v>89007338</v>
      </c>
      <c r="AY570" s="12" t="str">
        <f>IFERROR(__xludf.DUMMYFUNCTION("""COMPUTED_VALUE"""),"3212140379")</f>
        <v>3212140379</v>
      </c>
      <c r="AZ570" s="6" t="str">
        <f>IFERROR(__xludf.DUMMYFUNCTION("""COMPUTED_VALUE"""),"Padre")</f>
        <v>Padre</v>
      </c>
      <c r="BA570" s="6"/>
      <c r="BB570" s="6"/>
      <c r="BC570" s="6"/>
      <c r="BD570" s="12" t="str">
        <f>IFERROR(__xludf.DUMMYFUNCTION("""COMPUTED_VALUE"""),"cue0003")</f>
        <v>cue0003</v>
      </c>
      <c r="BE570" s="6"/>
      <c r="BF570" s="6"/>
      <c r="BG570" s="6">
        <f>IFERROR(__xludf.DUMMYFUNCTION("""COMPUTED_VALUE"""),2031.0)</f>
        <v>2031</v>
      </c>
      <c r="BH570" s="15">
        <f>IFERROR(__xludf.DUMMYFUNCTION("""COMPUTED_VALUE"""),46205.42418981482)</f>
        <v>46205.42419</v>
      </c>
      <c r="BI570" s="6">
        <f>IFERROR(__xludf.DUMMYFUNCTION("""COMPUTED_VALUE"""),570.0)</f>
        <v>570</v>
      </c>
      <c r="BJ570" s="6"/>
      <c r="BK570" s="6"/>
      <c r="BL570" s="6" t="str">
        <f>IFERROR(__xludf.DUMMYFUNCTION("""COMPUTED_VALUE"""),"GISCUE0003")</f>
        <v>GISCUE0003</v>
      </c>
      <c r="BM570" s="6"/>
      <c r="BN570" s="6"/>
      <c r="BO570" s="6" t="str">
        <f>IFERROR(__xludf.DUMMYFUNCTION("""COMPUTED_VALUE"""),"XC_SEC_Futbol_F")</f>
        <v>XC_SEC_Futbol_F</v>
      </c>
      <c r="BP570" s="6"/>
      <c r="BQ570" s="6" t="str">
        <f>IFERROR(__xludf.DUMMYFUNCTION("""COMPUTED_VALUE"""),"XC_SEC_Futbol_F")</f>
        <v>XC_SEC_Futbol_F</v>
      </c>
      <c r="BR570" s="6" t="str">
        <f>IFERROR(__xludf.DUMMYFUNCTION("""COMPUTED_VALUE"""),"XC_SEC_Futbol_F")</f>
        <v>XC_SEC_Futbol_F</v>
      </c>
      <c r="BS570" s="6"/>
      <c r="BT570" s="6" t="str">
        <f>IFERROR(__xludf.DUMMYFUNCTION("""COMPUTED_VALUE"""),"XC_SEC_Futbol_F")</f>
        <v>XC_SEC_Futbol_F</v>
      </c>
      <c r="BU570" s="6" t="str">
        <f>IFERROR(__xludf.DUMMYFUNCTION("""COMPUTED_VALUE"""),"SI")</f>
        <v>SI</v>
      </c>
      <c r="BV570" s="6" t="str">
        <f>IFERROR(__xludf.DUMMYFUNCTION("""COMPUTED_VALUE"""),"emilia.c2031")</f>
        <v>emilia.c2031</v>
      </c>
      <c r="BW570" s="6"/>
      <c r="BX570" s="6"/>
      <c r="BY570" s="6"/>
      <c r="BZ570" s="6"/>
    </row>
    <row r="571">
      <c r="A571" s="12">
        <f>IFERROR(__xludf.DUMMYFUNCTION("""COMPUTED_VALUE"""),1.220464974E9)</f>
        <v>1220464974</v>
      </c>
      <c r="B571" s="6">
        <f>IFERROR(__xludf.DUMMYFUNCTION("""COMPUTED_VALUE"""),16.0)</f>
        <v>16</v>
      </c>
      <c r="C571" s="6" t="str">
        <f>IFERROR(__xludf.DUMMYFUNCTION("""COMPUTED_VALUE"""),"Matías")</f>
        <v>Matías</v>
      </c>
      <c r="D571" s="6"/>
      <c r="E571" s="6" t="str">
        <f>IFERROR(__xludf.DUMMYFUNCTION("""COMPUTED_VALUE"""),"De León Rodríguez")</f>
        <v>De León Rodríguez</v>
      </c>
      <c r="F571" s="6" t="str">
        <f>IFERROR(__xludf.DUMMYFUNCTION("""COMPUTED_VALUE"""),"Condominio Campestre La Reserva Casa 23 - Cra 5 No10Nte - 25 Av Centenario")</f>
        <v>Condominio Campestre La Reserva Casa 23 - Cra 5 No10Nte - 25 Av Centenario</v>
      </c>
      <c r="G571" s="12" t="str">
        <f>IFERROR(__xludf.DUMMYFUNCTION("""COMPUTED_VALUE"""),"2013")</f>
        <v>2013</v>
      </c>
      <c r="H571" s="6" t="str">
        <f>IFERROR(__xludf.DUMMYFUNCTION("""COMPUTED_VALUE"""),"Abril")</f>
        <v>Abril</v>
      </c>
      <c r="I571" s="12" t="str">
        <f>IFERROR(__xludf.DUMMYFUNCTION("""COMPUTED_VALUE"""),"5")</f>
        <v>5</v>
      </c>
      <c r="J571" s="6" t="str">
        <f>IFERROR(__xludf.DUMMYFUNCTION("""COMPUTED_VALUE"""),"Miami")</f>
        <v>Miami</v>
      </c>
      <c r="K571" s="6" t="str">
        <f>IFERROR(__xludf.DUMMYFUNCTION("""COMPUTED_VALUE"""),"matias.d2031@gi.edu.co")</f>
        <v>matias.d2031@gi.edu.co</v>
      </c>
      <c r="L571" s="6" t="str">
        <f>IFERROR(__xludf.DUMMYFUNCTION("""COMPUTED_VALUE"""),"TI")</f>
        <v>TI</v>
      </c>
      <c r="M571" s="6" t="str">
        <f>IFERROR(__xludf.DUMMYFUNCTION("""COMPUTED_VALUE"""),"Circacia")</f>
        <v>Circacia</v>
      </c>
      <c r="N571" s="6" t="str">
        <f>IFERROR(__xludf.DUMMYFUNCTION("""COMPUTED_VALUE"""),"M")</f>
        <v>M</v>
      </c>
      <c r="O571" s="6" t="str">
        <f>IFERROR(__xludf.DUMMYFUNCTION("""COMPUTED_VALUE"""),"INACTIVE")</f>
        <v>INACTIVE</v>
      </c>
      <c r="P571" s="6"/>
      <c r="Q571" s="6" t="str">
        <f>IFERROR(__xludf.DUMMYFUNCTION("""COMPUTED_VALUE"""),"Armenia")</f>
        <v>Armenia</v>
      </c>
      <c r="R571" s="12" t="str">
        <f>IFERROR(__xludf.DUMMYFUNCTION("""COMPUTED_VALUE"""),"Ginh56dyu*")</f>
        <v>Ginh56dyu*</v>
      </c>
      <c r="S571" s="6" t="str">
        <f>IFERROR(__xludf.DUMMYFUNCTION("""COMPUTED_VALUE"""),"De León Rodríguez Matías ")</f>
        <v>De León Rodríguez Matías </v>
      </c>
      <c r="T571" s="6" t="str">
        <f>IFERROR(__xludf.DUMMYFUNCTION("""COMPUTED_VALUE"""),"MAURICIO ANDRES DE LEON OSPINA")</f>
        <v>MAURICIO ANDRES DE LEON OSPINA</v>
      </c>
      <c r="U571" s="12" t="str">
        <f>IFERROR(__xludf.DUMMYFUNCTION("""COMPUTED_VALUE"""),"73144658")</f>
        <v>73144658</v>
      </c>
      <c r="V571" s="6">
        <f>IFERROR(__xludf.DUMMYFUNCTION("""COMPUTED_VALUE"""),3.107519019E9)</f>
        <v>3107519019</v>
      </c>
      <c r="W571" s="6" t="str">
        <f>IFERROR(__xludf.DUMMYFUNCTION("""COMPUTED_VALUE"""),"maodeleon@gmail.com")</f>
        <v>maodeleon@gmail.com</v>
      </c>
      <c r="X571" s="12" t="str">
        <f>IFERROR(__xludf.DUMMYFUNCTION("""COMPUTED_VALUE"""),"O+")</f>
        <v>O+</v>
      </c>
      <c r="Y571" s="12" t="str">
        <f>IFERROR(__xludf.DUMMYFUNCTION("""COMPUTED_VALUE"""),"8")</f>
        <v>8</v>
      </c>
      <c r="Z571" s="12">
        <f>IFERROR(__xludf.DUMMYFUNCTION("""COMPUTED_VALUE"""),120095.0)</f>
        <v>120095</v>
      </c>
      <c r="AA571" s="6" t="str">
        <f>IFERROR(__xludf.DUMMYFUNCTION("""COMPUTED_VALUE"""),"OTRA")</f>
        <v>OTRA</v>
      </c>
      <c r="AB571" s="6"/>
      <c r="AC571" s="12" t="str">
        <f>IFERROR(__xludf.DUMMYFUNCTION("""COMPUTED_VALUE"""),"ácaros, lácteos, evitar consumir cerdo, evitar salsas y dulces")</f>
        <v>ácaros, lácteos, evitar consumir cerdo, evitar salsas y dulces</v>
      </c>
      <c r="AD571" s="12" t="str">
        <f>IFERROR(__xludf.DUMMYFUNCTION("""COMPUTED_VALUE"""),"8A")</f>
        <v>8A</v>
      </c>
      <c r="AE571" s="12">
        <f>IFERROR(__xludf.DUMMYFUNCTION("""COMPUTED_VALUE"""),1.345282057E9)</f>
        <v>1345282057</v>
      </c>
      <c r="AF571" s="12" t="str">
        <f>IFERROR(__xludf.DUMMYFUNCTION("""COMPUTED_VALUE"""),"0705748979")</f>
        <v>0705748979</v>
      </c>
      <c r="AG571" s="12" t="str">
        <f>IFERROR(__xludf.DUMMYFUNCTION("""COMPUTED_VALUE"""),"Ana")</f>
        <v>Ana</v>
      </c>
      <c r="AH571" s="12" t="str">
        <f>IFERROR(__xludf.DUMMYFUNCTION("""COMPUTED_VALUE"""),"Milena")</f>
        <v>Milena</v>
      </c>
      <c r="AI571" s="6" t="str">
        <f>IFERROR(__xludf.DUMMYFUNCTION("""COMPUTED_VALUE"""),"Rodríguez González")</f>
        <v>Rodríguez González</v>
      </c>
      <c r="AJ571" s="6" t="str">
        <f>IFERROR(__xludf.DUMMYFUNCTION("""COMPUTED_VALUE"""),"rogoam7@gmail.com")</f>
        <v>rogoam7@gmail.com</v>
      </c>
      <c r="AK571" s="6" t="str">
        <f>IFERROR(__xludf.DUMMYFUNCTION("""COMPUTED_VALUE"""),"Oficial Naval - Administrador Maritimo")</f>
        <v>Oficial Naval - Administrador Maritimo</v>
      </c>
      <c r="AL571" s="6" t="str">
        <f>IFERROR(__xludf.DUMMYFUNCTION("""COMPUTED_VALUE"""),"Armada Nacional")</f>
        <v>Armada Nacional</v>
      </c>
      <c r="AM571" s="12" t="str">
        <f>IFERROR(__xludf.DUMMYFUNCTION("""COMPUTED_VALUE"""),"37864856")</f>
        <v>37864856</v>
      </c>
      <c r="AN571" s="12" t="str">
        <f>IFERROR(__xludf.DUMMYFUNCTION("""COMPUTED_VALUE"""),"3125337393")</f>
        <v>3125337393</v>
      </c>
      <c r="AO571" s="6" t="str">
        <f>IFERROR(__xludf.DUMMYFUNCTION("""COMPUTED_VALUE"""),"Madre")</f>
        <v>Madre</v>
      </c>
      <c r="AP571" s="6" t="str">
        <f>IFERROR(__xludf.DUMMYFUNCTION("""COMPUTED_VALUE"""),"Estudiante(s): De León Rodríguez")</f>
        <v>Estudiante(s): De León Rodríguez</v>
      </c>
      <c r="AQ571" s="6" t="str">
        <f>IFERROR(__xludf.DUMMYFUNCTION("""COMPUTED_VALUE"""),"120053*Gi")</f>
        <v>120053*Gi</v>
      </c>
      <c r="AR571" s="6" t="str">
        <f>IFERROR(__xludf.DUMMYFUNCTION("""COMPUTED_VALUE"""),"Mauricio")</f>
        <v>Mauricio</v>
      </c>
      <c r="AS571" s="6" t="str">
        <f>IFERROR(__xludf.DUMMYFUNCTION("""COMPUTED_VALUE"""),"Andrés")</f>
        <v>Andrés</v>
      </c>
      <c r="AT571" s="6" t="str">
        <f>IFERROR(__xludf.DUMMYFUNCTION("""COMPUTED_VALUE"""),"De León Ospina")</f>
        <v>De León Ospina</v>
      </c>
      <c r="AU571" s="6" t="str">
        <f>IFERROR(__xludf.DUMMYFUNCTION("""COMPUTED_VALUE"""),"maodeleon@gmail.com")</f>
        <v>maodeleon@gmail.com</v>
      </c>
      <c r="AV571" s="6" t="str">
        <f>IFERROR(__xludf.DUMMYFUNCTION("""COMPUTED_VALUE"""),"Oficial Naval - Administrador Maritimo")</f>
        <v>Oficial Naval - Administrador Maritimo</v>
      </c>
      <c r="AW571" s="6" t="str">
        <f>IFERROR(__xludf.DUMMYFUNCTION("""COMPUTED_VALUE"""),"Armada Nacional")</f>
        <v>Armada Nacional</v>
      </c>
      <c r="AX571" s="12" t="str">
        <f>IFERROR(__xludf.DUMMYFUNCTION("""COMPUTED_VALUE"""),"73144658")</f>
        <v>73144658</v>
      </c>
      <c r="AY571" s="12" t="str">
        <f>IFERROR(__xludf.DUMMYFUNCTION("""COMPUTED_VALUE"""),"3107519019")</f>
        <v>3107519019</v>
      </c>
      <c r="AZ571" s="6" t="str">
        <f>IFERROR(__xludf.DUMMYFUNCTION("""COMPUTED_VALUE"""),"Padre")</f>
        <v>Padre</v>
      </c>
      <c r="BA571" s="6"/>
      <c r="BB571" s="6"/>
      <c r="BC571" s="6"/>
      <c r="BD571" s="12" t="str">
        <f>IFERROR(__xludf.DUMMYFUNCTION("""COMPUTED_VALUE"""),"del0002")</f>
        <v>del0002</v>
      </c>
      <c r="BE571" s="6" t="str">
        <f>IFERROR(__xludf.DUMMYFUNCTION("""COMPUTED_VALUE"""),"FALTAN FIRMAS")</f>
        <v>FALTAN FIRMAS</v>
      </c>
      <c r="BF571" s="6"/>
      <c r="BG571" s="6">
        <f>IFERROR(__xludf.DUMMYFUNCTION("""COMPUTED_VALUE"""),2031.0)</f>
        <v>2031</v>
      </c>
      <c r="BH571" s="15">
        <f>IFERROR(__xludf.DUMMYFUNCTION("""COMPUTED_VALUE"""),46213.59056712963)</f>
        <v>46213.59057</v>
      </c>
      <c r="BI571" s="6">
        <f>IFERROR(__xludf.DUMMYFUNCTION("""COMPUTED_VALUE"""),571.0)</f>
        <v>571</v>
      </c>
      <c r="BJ571" s="6" t="str">
        <f>IFERROR(__xludf.DUMMYFUNCTION("""COMPUTED_VALUE"""),"SIMAT: trastorno por déficit de atención con o sin hiperactividad (Nov 13 2024)")</f>
        <v>SIMAT: trastorno por déficit de atención con o sin hiperactividad (Nov 13 2024)</v>
      </c>
      <c r="BK571" s="6"/>
      <c r="BL571" s="6" t="str">
        <f>IFERROR(__xludf.DUMMYFUNCTION("""COMPUTED_VALUE"""),"GISDEL0002")</f>
        <v>GISDEL0002</v>
      </c>
      <c r="BM571" s="6"/>
      <c r="BN571" s="6"/>
      <c r="BO571" s="6"/>
      <c r="BP571" s="6" t="str">
        <f>IFERROR(__xludf.DUMMYFUNCTION("""COMPUTED_VALUE"""),"XC_SEC_OlympMath")</f>
        <v>XC_SEC_OlympMath</v>
      </c>
      <c r="BQ571" s="6"/>
      <c r="BR571" s="6"/>
      <c r="BS571" s="6"/>
      <c r="BT571" s="6"/>
      <c r="BU571" s="6" t="str">
        <f>IFERROR(__xludf.DUMMYFUNCTION("""COMPUTED_VALUE"""),"SI")</f>
        <v>SI</v>
      </c>
      <c r="BV571" s="6" t="str">
        <f>IFERROR(__xludf.DUMMYFUNCTION("""COMPUTED_VALUE"""),"matias.d2031")</f>
        <v>matias.d2031</v>
      </c>
      <c r="BW571" s="6"/>
      <c r="BX571" s="6"/>
      <c r="BY571" s="6"/>
      <c r="BZ571" s="6"/>
    </row>
    <row r="572">
      <c r="A572" s="12">
        <f>IFERROR(__xludf.DUMMYFUNCTION("""COMPUTED_VALUE"""),1.019908478E9)</f>
        <v>1019908478</v>
      </c>
      <c r="B572" s="6">
        <f>IFERROR(__xludf.DUMMYFUNCTION("""COMPUTED_VALUE"""),17.0)</f>
        <v>17</v>
      </c>
      <c r="C572" s="6" t="str">
        <f>IFERROR(__xludf.DUMMYFUNCTION("""COMPUTED_VALUE"""),"Joaquín")</f>
        <v>Joaquín</v>
      </c>
      <c r="D572" s="6"/>
      <c r="E572" s="6" t="str">
        <f>IFERROR(__xludf.DUMMYFUNCTION("""COMPUTED_VALUE"""),"Gil Botero")</f>
        <v>Gil Botero</v>
      </c>
      <c r="F572" s="6" t="str">
        <f>IFERROR(__xludf.DUMMYFUNCTION("""COMPUTED_VALUE"""),"Conjunto Hacienda El Cabrero - Km 9 Via Armenia-La Tebaida")</f>
        <v>Conjunto Hacienda El Cabrero - Km 9 Via Armenia-La Tebaida</v>
      </c>
      <c r="G572" s="12" t="str">
        <f>IFERROR(__xludf.DUMMYFUNCTION("""COMPUTED_VALUE"""),"2013")</f>
        <v>2013</v>
      </c>
      <c r="H572" s="6" t="str">
        <f>IFERROR(__xludf.DUMMYFUNCTION("""COMPUTED_VALUE"""),"Septiembre")</f>
        <v>Septiembre</v>
      </c>
      <c r="I572" s="12" t="str">
        <f>IFERROR(__xludf.DUMMYFUNCTION("""COMPUTED_VALUE"""),"26")</f>
        <v>26</v>
      </c>
      <c r="J572" s="6" t="str">
        <f>IFERROR(__xludf.DUMMYFUNCTION("""COMPUTED_VALUE"""),"Bogotá D.C.")</f>
        <v>Bogotá D.C.</v>
      </c>
      <c r="K572" s="6" t="str">
        <f>IFERROR(__xludf.DUMMYFUNCTION("""COMPUTED_VALUE"""),"joaquin.g2031@gi.edu.co")</f>
        <v>joaquin.g2031@gi.edu.co</v>
      </c>
      <c r="L572" s="6" t="str">
        <f>IFERROR(__xludf.DUMMYFUNCTION("""COMPUTED_VALUE"""),"TI")</f>
        <v>TI</v>
      </c>
      <c r="M572" s="6" t="str">
        <f>IFERROR(__xludf.DUMMYFUNCTION("""COMPUTED_VALUE"""),"Armenia")</f>
        <v>Armenia</v>
      </c>
      <c r="N572" s="6" t="str">
        <f>IFERROR(__xludf.DUMMYFUNCTION("""COMPUTED_VALUE"""),"M")</f>
        <v>M</v>
      </c>
      <c r="O572" s="6" t="str">
        <f>IFERROR(__xludf.DUMMYFUNCTION("""COMPUTED_VALUE"""),"ACTIVE")</f>
        <v>ACTIVE</v>
      </c>
      <c r="P572" s="6"/>
      <c r="Q572" s="6" t="str">
        <f>IFERROR(__xludf.DUMMYFUNCTION("""COMPUTED_VALUE"""),"Armenia")</f>
        <v>Armenia</v>
      </c>
      <c r="R572" s="12" t="str">
        <f>IFERROR(__xludf.DUMMYFUNCTION("""COMPUTED_VALUE"""),"Gikj672kln*")</f>
        <v>Gikj672kln*</v>
      </c>
      <c r="S572" s="6" t="str">
        <f>IFERROR(__xludf.DUMMYFUNCTION("""COMPUTED_VALUE"""),"Gil Botero Joaquín ")</f>
        <v>Gil Botero Joaquín </v>
      </c>
      <c r="T572" s="6" t="str">
        <f>IFERROR(__xludf.DUMMYFUNCTION("""COMPUTED_VALUE"""),"STEFANÍA BOTERO MEJÍA")</f>
        <v>STEFANÍA BOTERO MEJÍA</v>
      </c>
      <c r="U572" s="12" t="str">
        <f>IFERROR(__xludf.DUMMYFUNCTION("""COMPUTED_VALUE"""),"41948164")</f>
        <v>41948164</v>
      </c>
      <c r="V572" s="6">
        <f>IFERROR(__xludf.DUMMYFUNCTION("""COMPUTED_VALUE"""),3.163432326E9)</f>
        <v>3163432326</v>
      </c>
      <c r="W572" s="6" t="str">
        <f>IFERROR(__xludf.DUMMYFUNCTION("""COMPUTED_VALUE"""),"stefania_ibg@hotmail.com")</f>
        <v>stefania_ibg@hotmail.com</v>
      </c>
      <c r="X572" s="12" t="str">
        <f>IFERROR(__xludf.DUMMYFUNCTION("""COMPUTED_VALUE"""),"B-")</f>
        <v>B-</v>
      </c>
      <c r="Y572" s="12" t="str">
        <f>IFERROR(__xludf.DUMMYFUNCTION("""COMPUTED_VALUE"""),"8")</f>
        <v>8</v>
      </c>
      <c r="Z572" s="12">
        <f>IFERROR(__xludf.DUMMYFUNCTION("""COMPUTED_VALUE"""),103329.0)</f>
        <v>103329</v>
      </c>
      <c r="AA572" s="6" t="str">
        <f>IFERROR(__xludf.DUMMYFUNCTION("""COMPUTED_VALUE"""),"SANITAS")</f>
        <v>SANITAS</v>
      </c>
      <c r="AB572" s="6" t="str">
        <f>IFERROR(__xludf.DUMMYFUNCTION("""COMPUTED_VALUE"""),"EMI")</f>
        <v>EMI</v>
      </c>
      <c r="AC572" s="6"/>
      <c r="AD572" s="12" t="str">
        <f>IFERROR(__xludf.DUMMYFUNCTION("""COMPUTED_VALUE"""),"8B")</f>
        <v>8B</v>
      </c>
      <c r="AE572" s="12">
        <f>IFERROR(__xludf.DUMMYFUNCTION("""COMPUTED_VALUE"""),1.345281632E9)</f>
        <v>1345281632</v>
      </c>
      <c r="AF572" s="12" t="str">
        <f>IFERROR(__xludf.DUMMYFUNCTION("""COMPUTED_VALUE"""),"0651675331")</f>
        <v>0651675331</v>
      </c>
      <c r="AG572" s="12" t="str">
        <f>IFERROR(__xludf.DUMMYFUNCTION("""COMPUTED_VALUE"""),"Stefanía")</f>
        <v>Stefanía</v>
      </c>
      <c r="AH572" s="6"/>
      <c r="AI572" s="6" t="str">
        <f>IFERROR(__xludf.DUMMYFUNCTION("""COMPUTED_VALUE"""),"Botero Mejía")</f>
        <v>Botero Mejía</v>
      </c>
      <c r="AJ572" s="6" t="str">
        <f>IFERROR(__xludf.DUMMYFUNCTION("""COMPUTED_VALUE"""),"boterostefania@gmail.com")</f>
        <v>boterostefania@gmail.com</v>
      </c>
      <c r="AK572" s="6" t="str">
        <f>IFERROR(__xludf.DUMMYFUNCTION("""COMPUTED_VALUE"""),"Abogada")</f>
        <v>Abogada</v>
      </c>
      <c r="AL572" s="6" t="str">
        <f>IFERROR(__xludf.DUMMYFUNCTION("""COMPUTED_VALUE"""),"Ibg")</f>
        <v>Ibg</v>
      </c>
      <c r="AM572" s="12">
        <f>IFERROR(__xludf.DUMMYFUNCTION("""COMPUTED_VALUE"""),4.1948164E7)</f>
        <v>41948164</v>
      </c>
      <c r="AN572" s="12" t="str">
        <f>IFERROR(__xludf.DUMMYFUNCTION("""COMPUTED_VALUE"""),"3163432326")</f>
        <v>3163432326</v>
      </c>
      <c r="AO572" s="6" t="str">
        <f>IFERROR(__xludf.DUMMYFUNCTION("""COMPUTED_VALUE"""),"Madre")</f>
        <v>Madre</v>
      </c>
      <c r="AP572" s="6" t="str">
        <f>IFERROR(__xludf.DUMMYFUNCTION("""COMPUTED_VALUE"""),"Estudiante(s): Gil Botero")</f>
        <v>Estudiante(s): Gil Botero</v>
      </c>
      <c r="AQ572" s="6" t="str">
        <f>IFERROR(__xludf.DUMMYFUNCTION("""COMPUTED_VALUE"""),"103275*Gi")</f>
        <v>103275*Gi</v>
      </c>
      <c r="AR572" s="6" t="str">
        <f>IFERROR(__xludf.DUMMYFUNCTION("""COMPUTED_VALUE"""),"Juan")</f>
        <v>Juan</v>
      </c>
      <c r="AS572" s="6" t="str">
        <f>IFERROR(__xludf.DUMMYFUNCTION("""COMPUTED_VALUE"""),"Carlos")</f>
        <v>Carlos</v>
      </c>
      <c r="AT572" s="6" t="str">
        <f>IFERROR(__xludf.DUMMYFUNCTION("""COMPUTED_VALUE"""),"Gil Quintero")</f>
        <v>Gil Quintero</v>
      </c>
      <c r="AU572" s="6" t="str">
        <f>IFERROR(__xludf.DUMMYFUNCTION("""COMPUTED_VALUE"""),"juangil888@hotmail.com")</f>
        <v>juangil888@hotmail.com</v>
      </c>
      <c r="AV572" s="6"/>
      <c r="AW572" s="6"/>
      <c r="AX572" s="12">
        <f>IFERROR(__xludf.DUMMYFUNCTION("""COMPUTED_VALUE"""),7553324.0)</f>
        <v>7553324</v>
      </c>
      <c r="AY572" s="12" t="str">
        <f>IFERROR(__xludf.DUMMYFUNCTION("""COMPUTED_VALUE"""),"3154853047")</f>
        <v>3154853047</v>
      </c>
      <c r="AZ572" s="6" t="str">
        <f>IFERROR(__xludf.DUMMYFUNCTION("""COMPUTED_VALUE"""),"Padre")</f>
        <v>Padre</v>
      </c>
      <c r="BA572" s="6"/>
      <c r="BB572" s="6"/>
      <c r="BC572" s="6"/>
      <c r="BD572" s="12" t="str">
        <f>IFERROR(__xludf.DUMMYFUNCTION("""COMPUTED_VALUE"""),"gil0002")</f>
        <v>gil0002</v>
      </c>
      <c r="BE572" s="6"/>
      <c r="BF572" s="6"/>
      <c r="BG572" s="6">
        <f>IFERROR(__xludf.DUMMYFUNCTION("""COMPUTED_VALUE"""),2031.0)</f>
        <v>2031</v>
      </c>
      <c r="BH572" s="15">
        <f>IFERROR(__xludf.DUMMYFUNCTION("""COMPUTED_VALUE"""),46212.194016203706)</f>
        <v>46212.19402</v>
      </c>
      <c r="BI572" s="6">
        <f>IFERROR(__xludf.DUMMYFUNCTION("""COMPUTED_VALUE"""),572.0)</f>
        <v>572</v>
      </c>
      <c r="BJ572" s="6"/>
      <c r="BK572" s="6"/>
      <c r="BL572" s="6" t="str">
        <f>IFERROR(__xludf.DUMMYFUNCTION("""COMPUTED_VALUE"""),"GISGIL0002")</f>
        <v>GISGIL0002</v>
      </c>
      <c r="BM572" s="6"/>
      <c r="BN572" s="6"/>
      <c r="BO572" s="6"/>
      <c r="BP572" s="6"/>
      <c r="BQ572" s="6"/>
      <c r="BR572" s="6"/>
      <c r="BS572" s="6"/>
      <c r="BT572" s="6"/>
      <c r="BU572" s="6" t="str">
        <f>IFERROR(__xludf.DUMMYFUNCTION("""COMPUTED_VALUE"""),"SI")</f>
        <v>SI</v>
      </c>
      <c r="BV572" s="6" t="str">
        <f>IFERROR(__xludf.DUMMYFUNCTION("""COMPUTED_VALUE"""),"joaquin.g2031")</f>
        <v>joaquin.g2031</v>
      </c>
      <c r="BW572" s="6"/>
      <c r="BX572" s="6"/>
      <c r="BY572" s="6"/>
      <c r="BZ572" s="6"/>
    </row>
    <row r="573">
      <c r="A573" s="12">
        <f>IFERROR(__xludf.DUMMYFUNCTION("""COMPUTED_VALUE"""),1.01084429E9)</f>
        <v>1010844290</v>
      </c>
      <c r="B573" s="6">
        <f>IFERROR(__xludf.DUMMYFUNCTION("""COMPUTED_VALUE"""),18.0)</f>
        <v>18</v>
      </c>
      <c r="C573" s="6" t="str">
        <f>IFERROR(__xludf.DUMMYFUNCTION("""COMPUTED_VALUE"""),"Valería")</f>
        <v>Valería</v>
      </c>
      <c r="D573" s="6"/>
      <c r="E573" s="6" t="str">
        <f>IFERROR(__xludf.DUMMYFUNCTION("""COMPUTED_VALUE"""),"Gil Sánchez")</f>
        <v>Gil Sánchez</v>
      </c>
      <c r="F573" s="6" t="str">
        <f>IFERROR(__xludf.DUMMYFUNCTION("""COMPUTED_VALUE"""),"Edificio Amara Apto 1006 - Cra 17 No22Nte - 66 Laureles ")</f>
        <v>Edificio Amara Apto 1006 - Cra 17 No22Nte - 66 Laureles </v>
      </c>
      <c r="G573" s="12" t="str">
        <f>IFERROR(__xludf.DUMMYFUNCTION("""COMPUTED_VALUE"""),"2013")</f>
        <v>2013</v>
      </c>
      <c r="H573" s="6" t="str">
        <f>IFERROR(__xludf.DUMMYFUNCTION("""COMPUTED_VALUE"""),"Julio")</f>
        <v>Julio</v>
      </c>
      <c r="I573" s="12" t="str">
        <f>IFERROR(__xludf.DUMMYFUNCTION("""COMPUTED_VALUE"""),"15")</f>
        <v>15</v>
      </c>
      <c r="J573" s="6" t="str">
        <f>IFERROR(__xludf.DUMMYFUNCTION("""COMPUTED_VALUE"""),"Bogotá D.C.")</f>
        <v>Bogotá D.C.</v>
      </c>
      <c r="K573" s="6" t="str">
        <f>IFERROR(__xludf.DUMMYFUNCTION("""COMPUTED_VALUE"""),"valeria.g2031@gi.edu.co")</f>
        <v>valeria.g2031@gi.edu.co</v>
      </c>
      <c r="L573" s="6" t="str">
        <f>IFERROR(__xludf.DUMMYFUNCTION("""COMPUTED_VALUE"""),"TI")</f>
        <v>TI</v>
      </c>
      <c r="M573" s="6" t="str">
        <f>IFERROR(__xludf.DUMMYFUNCTION("""COMPUTED_VALUE"""),"Armenia")</f>
        <v>Armenia</v>
      </c>
      <c r="N573" s="6" t="str">
        <f>IFERROR(__xludf.DUMMYFUNCTION("""COMPUTED_VALUE"""),"F")</f>
        <v>F</v>
      </c>
      <c r="O573" s="6" t="str">
        <f>IFERROR(__xludf.DUMMYFUNCTION("""COMPUTED_VALUE"""),"ACTIVE")</f>
        <v>ACTIVE</v>
      </c>
      <c r="P573" s="6"/>
      <c r="Q573" s="6" t="str">
        <f>IFERROR(__xludf.DUMMYFUNCTION("""COMPUTED_VALUE"""),"Armenia")</f>
        <v>Armenia</v>
      </c>
      <c r="R573" s="12" t="str">
        <f>IFERROR(__xludf.DUMMYFUNCTION("""COMPUTED_VALUE"""),"Giwx3956823*")</f>
        <v>Giwx3956823*</v>
      </c>
      <c r="S573" s="6" t="str">
        <f>IFERROR(__xludf.DUMMYFUNCTION("""COMPUTED_VALUE"""),"Gil Sánchez Valería ")</f>
        <v>Gil Sánchez Valería </v>
      </c>
      <c r="T573" s="6" t="str">
        <f>IFERROR(__xludf.DUMMYFUNCTION("""COMPUTED_VALUE"""),"JUAN ESTEBAN GIL CHAVARRIA")</f>
        <v>JUAN ESTEBAN GIL CHAVARRIA</v>
      </c>
      <c r="U573" s="12" t="str">
        <f>IFERROR(__xludf.DUMMYFUNCTION("""COMPUTED_VALUE"""),"71216519")</f>
        <v>71216519</v>
      </c>
      <c r="V573" s="6">
        <f>IFERROR(__xludf.DUMMYFUNCTION("""COMPUTED_VALUE"""),3.176401187E9)</f>
        <v>3176401187</v>
      </c>
      <c r="W573" s="6" t="str">
        <f>IFERROR(__xludf.DUMMYFUNCTION("""COMPUTED_VALUE"""),"juanesgil@hotmail.com")</f>
        <v>juanesgil@hotmail.com</v>
      </c>
      <c r="X573" s="12" t="str">
        <f>IFERROR(__xludf.DUMMYFUNCTION("""COMPUTED_VALUE"""),"O+")</f>
        <v>O+</v>
      </c>
      <c r="Y573" s="12" t="str">
        <f>IFERROR(__xludf.DUMMYFUNCTION("""COMPUTED_VALUE"""),"8")</f>
        <v>8</v>
      </c>
      <c r="Z573" s="12">
        <f>IFERROR(__xludf.DUMMYFUNCTION("""COMPUTED_VALUE"""),103337.0)</f>
        <v>103337</v>
      </c>
      <c r="AA573" s="6" t="str">
        <f>IFERROR(__xludf.DUMMYFUNCTION("""COMPUTED_VALUE"""),"SURA")</f>
        <v>SURA</v>
      </c>
      <c r="AB573" s="6" t="str">
        <f>IFERROR(__xludf.DUMMYFUNCTION("""COMPUTED_VALUE"""),"EMI")</f>
        <v>EMI</v>
      </c>
      <c r="AC573" s="12" t="str">
        <f>IFERROR(__xludf.DUMMYFUNCTION("""COMPUTED_VALUE"""),"Polvo")</f>
        <v>Polvo</v>
      </c>
      <c r="AD573" s="12" t="str">
        <f>IFERROR(__xludf.DUMMYFUNCTION("""COMPUTED_VALUE"""),"8A")</f>
        <v>8A</v>
      </c>
      <c r="AE573" s="12">
        <f>IFERROR(__xludf.DUMMYFUNCTION("""COMPUTED_VALUE"""),1.345281636E9)</f>
        <v>1345281636</v>
      </c>
      <c r="AF573" s="12" t="str">
        <f>IFERROR(__xludf.DUMMYFUNCTION("""COMPUTED_VALUE"""),"0692745635")</f>
        <v>0692745635</v>
      </c>
      <c r="AG573" s="12" t="str">
        <f>IFERROR(__xludf.DUMMYFUNCTION("""COMPUTED_VALUE"""),"Ángela")</f>
        <v>Ángela</v>
      </c>
      <c r="AH573" s="12" t="str">
        <f>IFERROR(__xludf.DUMMYFUNCTION("""COMPUTED_VALUE"""),"Patricia")</f>
        <v>Patricia</v>
      </c>
      <c r="AI573" s="6" t="str">
        <f>IFERROR(__xludf.DUMMYFUNCTION("""COMPUTED_VALUE"""),"Sánchez Murillo")</f>
        <v>Sánchez Murillo</v>
      </c>
      <c r="AJ573" s="6" t="str">
        <f>IFERROR(__xludf.DUMMYFUNCTION("""COMPUTED_VALUE"""),"paticosanmu@hotmail.com")</f>
        <v>paticosanmu@hotmail.com</v>
      </c>
      <c r="AK573" s="6" t="str">
        <f>IFERROR(__xludf.DUMMYFUNCTION("""COMPUTED_VALUE"""),"Ing Civil")</f>
        <v>Ing Civil</v>
      </c>
      <c r="AL573" s="6" t="str">
        <f>IFERROR(__xludf.DUMMYFUNCTION("""COMPUTED_VALUE"""),"Constructora 1A")</f>
        <v>Constructora 1A</v>
      </c>
      <c r="AM573" s="12" t="str">
        <f>IFERROR(__xludf.DUMMYFUNCTION("""COMPUTED_VALUE"""),"52983999")</f>
        <v>52983999</v>
      </c>
      <c r="AN573" s="12" t="str">
        <f>IFERROR(__xludf.DUMMYFUNCTION("""COMPUTED_VALUE"""),"3185896748")</f>
        <v>3185896748</v>
      </c>
      <c r="AO573" s="6" t="str">
        <f>IFERROR(__xludf.DUMMYFUNCTION("""COMPUTED_VALUE"""),"Madre")</f>
        <v>Madre</v>
      </c>
      <c r="AP573" s="6" t="str">
        <f>IFERROR(__xludf.DUMMYFUNCTION("""COMPUTED_VALUE"""),"Estudiante(s): Gil Sánchez")</f>
        <v>Estudiante(s): Gil Sánchez</v>
      </c>
      <c r="AQ573" s="6" t="str">
        <f>IFERROR(__xludf.DUMMYFUNCTION("""COMPUTED_VALUE"""),"103337*Gi")</f>
        <v>103337*Gi</v>
      </c>
      <c r="AR573" s="6" t="str">
        <f>IFERROR(__xludf.DUMMYFUNCTION("""COMPUTED_VALUE"""),"Juan")</f>
        <v>Juan</v>
      </c>
      <c r="AS573" s="6" t="str">
        <f>IFERROR(__xludf.DUMMYFUNCTION("""COMPUTED_VALUE"""),"Esteban")</f>
        <v>Esteban</v>
      </c>
      <c r="AT573" s="6" t="str">
        <f>IFERROR(__xludf.DUMMYFUNCTION("""COMPUTED_VALUE"""),"Gil Chavarría")</f>
        <v>Gil Chavarría</v>
      </c>
      <c r="AU573" s="6" t="str">
        <f>IFERROR(__xludf.DUMMYFUNCTION("""COMPUTED_VALUE"""),"juanesgil@hotmail.com")</f>
        <v>juanesgil@hotmail.com</v>
      </c>
      <c r="AV573" s="6" t="str">
        <f>IFERROR(__xludf.DUMMYFUNCTION("""COMPUTED_VALUE"""),"ing civil")</f>
        <v>ing civil</v>
      </c>
      <c r="AW573" s="6" t="str">
        <f>IFERROR(__xludf.DUMMYFUNCTION("""COMPUTED_VALUE"""),"INVIAS")</f>
        <v>INVIAS</v>
      </c>
      <c r="AX573" s="12" t="str">
        <f>IFERROR(__xludf.DUMMYFUNCTION("""COMPUTED_VALUE"""),"71216519")</f>
        <v>71216519</v>
      </c>
      <c r="AY573" s="12" t="str">
        <f>IFERROR(__xludf.DUMMYFUNCTION("""COMPUTED_VALUE"""),"3176401187")</f>
        <v>3176401187</v>
      </c>
      <c r="AZ573" s="6" t="str">
        <f>IFERROR(__xludf.DUMMYFUNCTION("""COMPUTED_VALUE"""),"Padre")</f>
        <v>Padre</v>
      </c>
      <c r="BA573" s="6" t="str">
        <f>IFERROR(__xludf.DUMMYFUNCTION("""COMPUTED_VALUE"""),"AMPARO MURILLO BOTERO")</f>
        <v>AMPARO MURILLO BOTERO</v>
      </c>
      <c r="BB573" s="6">
        <f>IFERROR(__xludf.DUMMYFUNCTION("""COMPUTED_VALUE"""),3.108819978E9)</f>
        <v>3108819978</v>
      </c>
      <c r="BC573" s="6" t="str">
        <f>IFERROR(__xludf.DUMMYFUNCTION("""COMPUTED_VALUE"""),"Abuelo(a)")</f>
        <v>Abuelo(a)</v>
      </c>
      <c r="BD573" s="12" t="str">
        <f>IFERROR(__xludf.DUMMYFUNCTION("""COMPUTED_VALUE"""),"gil0003")</f>
        <v>gil0003</v>
      </c>
      <c r="BE573" s="6"/>
      <c r="BF573" s="6"/>
      <c r="BG573" s="6">
        <f>IFERROR(__xludf.DUMMYFUNCTION("""COMPUTED_VALUE"""),2031.0)</f>
        <v>2031</v>
      </c>
      <c r="BH573" s="15">
        <f>IFERROR(__xludf.DUMMYFUNCTION("""COMPUTED_VALUE"""),46210.48740740741)</f>
        <v>46210.48741</v>
      </c>
      <c r="BI573" s="6">
        <f>IFERROR(__xludf.DUMMYFUNCTION("""COMPUTED_VALUE"""),573.0)</f>
        <v>573</v>
      </c>
      <c r="BJ573" s="6"/>
      <c r="BK573" s="6"/>
      <c r="BL573" s="6" t="str">
        <f>IFERROR(__xludf.DUMMYFUNCTION("""COMPUTED_VALUE"""),"GISGIL0003")</f>
        <v>GISGIL0003</v>
      </c>
      <c r="BM573" s="6"/>
      <c r="BN573" s="6"/>
      <c r="BO573" s="6" t="str">
        <f>IFERROR(__xludf.DUMMYFUNCTION("""COMPUTED_VALUE"""),"XC_SEC_Futbol_F")</f>
        <v>XC_SEC_Futbol_F</v>
      </c>
      <c r="BP573" s="6"/>
      <c r="BQ573" s="6" t="str">
        <f>IFERROR(__xludf.DUMMYFUNCTION("""COMPUTED_VALUE"""),"XC_SEC_Futbol_F")</f>
        <v>XC_SEC_Futbol_F</v>
      </c>
      <c r="BR573" s="6" t="str">
        <f>IFERROR(__xludf.DUMMYFUNCTION("""COMPUTED_VALUE"""),"XC_SEC_Futbol_F")</f>
        <v>XC_SEC_Futbol_F</v>
      </c>
      <c r="BS573" s="6"/>
      <c r="BT573" s="6" t="str">
        <f>IFERROR(__xludf.DUMMYFUNCTION("""COMPUTED_VALUE"""),"XC_SEC_Futbol_F")</f>
        <v>XC_SEC_Futbol_F</v>
      </c>
      <c r="BU573" s="6" t="str">
        <f>IFERROR(__xludf.DUMMYFUNCTION("""COMPUTED_VALUE"""),"SI")</f>
        <v>SI</v>
      </c>
      <c r="BV573" s="6" t="str">
        <f>IFERROR(__xludf.DUMMYFUNCTION("""COMPUTED_VALUE"""),"valeria.g2031")</f>
        <v>valeria.g2031</v>
      </c>
      <c r="BW573" s="6"/>
      <c r="BX573" s="6"/>
      <c r="BY573" s="6"/>
      <c r="BZ573" s="6"/>
    </row>
    <row r="574">
      <c r="A574" s="12">
        <f>IFERROR(__xludf.DUMMYFUNCTION("""COMPUTED_VALUE"""),1.092857057E9)</f>
        <v>1092857057</v>
      </c>
      <c r="B574" s="6">
        <f>IFERROR(__xludf.DUMMYFUNCTION("""COMPUTED_VALUE"""),19.0)</f>
        <v>19</v>
      </c>
      <c r="C574" s="6" t="str">
        <f>IFERROR(__xludf.DUMMYFUNCTION("""COMPUTED_VALUE"""),"Luciana")</f>
        <v>Luciana</v>
      </c>
      <c r="D574" s="6"/>
      <c r="E574" s="6" t="str">
        <f>IFERROR(__xludf.DUMMYFUNCTION("""COMPUTED_VALUE"""),"Giraldo Cortés")</f>
        <v>Giraldo Cortés</v>
      </c>
      <c r="F574" s="6" t="str">
        <f>IFERROR(__xludf.DUMMYFUNCTION("""COMPUTED_VALUE"""),"Condominio Reserva de la Sabana Casa 50 - Calle 24Nte No5 - 07 Av Centenario")</f>
        <v>Condominio Reserva de la Sabana Casa 50 - Calle 24Nte No5 - 07 Av Centenario</v>
      </c>
      <c r="G574" s="12" t="str">
        <f>IFERROR(__xludf.DUMMYFUNCTION("""COMPUTED_VALUE"""),"2013")</f>
        <v>2013</v>
      </c>
      <c r="H574" s="6" t="str">
        <f>IFERROR(__xludf.DUMMYFUNCTION("""COMPUTED_VALUE"""),"Agosto")</f>
        <v>Agosto</v>
      </c>
      <c r="I574" s="12" t="str">
        <f>IFERROR(__xludf.DUMMYFUNCTION("""COMPUTED_VALUE"""),"17")</f>
        <v>17</v>
      </c>
      <c r="J574" s="6" t="str">
        <f>IFERROR(__xludf.DUMMYFUNCTION("""COMPUTED_VALUE"""),"Armenia")</f>
        <v>Armenia</v>
      </c>
      <c r="K574" s="6" t="str">
        <f>IFERROR(__xludf.DUMMYFUNCTION("""COMPUTED_VALUE"""),"luciana.g2031@gi.edu.co")</f>
        <v>luciana.g2031@gi.edu.co</v>
      </c>
      <c r="L574" s="6" t="str">
        <f>IFERROR(__xludf.DUMMYFUNCTION("""COMPUTED_VALUE"""),"TI")</f>
        <v>TI</v>
      </c>
      <c r="M574" s="6" t="str">
        <f>IFERROR(__xludf.DUMMYFUNCTION("""COMPUTED_VALUE"""),"Armenia")</f>
        <v>Armenia</v>
      </c>
      <c r="N574" s="6" t="str">
        <f>IFERROR(__xludf.DUMMYFUNCTION("""COMPUTED_VALUE"""),"F")</f>
        <v>F</v>
      </c>
      <c r="O574" s="6" t="str">
        <f>IFERROR(__xludf.DUMMYFUNCTION("""COMPUTED_VALUE"""),"ACTIVE")</f>
        <v>ACTIVE</v>
      </c>
      <c r="P574" s="6"/>
      <c r="Q574" s="6" t="str">
        <f>IFERROR(__xludf.DUMMYFUNCTION("""COMPUTED_VALUE"""),"Armenia")</f>
        <v>Armenia</v>
      </c>
      <c r="R574" s="12" t="str">
        <f>IFERROR(__xludf.DUMMYFUNCTION("""COMPUTED_VALUE"""),"Gifg24wt*")</f>
        <v>Gifg24wt*</v>
      </c>
      <c r="S574" s="6" t="str">
        <f>IFERROR(__xludf.DUMMYFUNCTION("""COMPUTED_VALUE"""),"Giraldo Cortés Luciana ")</f>
        <v>Giraldo Cortés Luciana </v>
      </c>
      <c r="T574" s="6" t="str">
        <f>IFERROR(__xludf.DUMMYFUNCTION("""COMPUTED_VALUE"""),"ANDRES JIOVANNY GIRALDO VARGAS")</f>
        <v>ANDRES JIOVANNY GIRALDO VARGAS</v>
      </c>
      <c r="U574" s="12" t="str">
        <f>IFERROR(__xludf.DUMMYFUNCTION("""COMPUTED_VALUE"""),"89000859")</f>
        <v>89000859</v>
      </c>
      <c r="V574" s="6">
        <f>IFERROR(__xludf.DUMMYFUNCTION("""COMPUTED_VALUE"""),3.187068773E9)</f>
        <v>3187068773</v>
      </c>
      <c r="W574" s="6" t="str">
        <f>IFERROR(__xludf.DUMMYFUNCTION("""COMPUTED_VALUE"""),"gerenciasupertintas@gmail.com")</f>
        <v>gerenciasupertintas@gmail.com</v>
      </c>
      <c r="X574" s="12" t="str">
        <f>IFERROR(__xludf.DUMMYFUNCTION("""COMPUTED_VALUE"""),"O+")</f>
        <v>O+</v>
      </c>
      <c r="Y574" s="12" t="str">
        <f>IFERROR(__xludf.DUMMYFUNCTION("""COMPUTED_VALUE"""),"8")</f>
        <v>8</v>
      </c>
      <c r="Z574" s="12">
        <f>IFERROR(__xludf.DUMMYFUNCTION("""COMPUTED_VALUE"""),103833.0)</f>
        <v>103833</v>
      </c>
      <c r="AA574" s="6" t="str">
        <f>IFERROR(__xludf.DUMMYFUNCTION("""COMPUTED_VALUE"""),"SURA")</f>
        <v>SURA</v>
      </c>
      <c r="AB574" s="6" t="str">
        <f>IFERROR(__xludf.DUMMYFUNCTION("""COMPUTED_VALUE"""),"EMI")</f>
        <v>EMI</v>
      </c>
      <c r="AC574" s="6"/>
      <c r="AD574" s="12" t="str">
        <f>IFERROR(__xludf.DUMMYFUNCTION("""COMPUTED_VALUE"""),"8A")</f>
        <v>8A</v>
      </c>
      <c r="AE574" s="12">
        <f>IFERROR(__xludf.DUMMYFUNCTION("""COMPUTED_VALUE"""),1.345281933E9)</f>
        <v>1345281933</v>
      </c>
      <c r="AF574" s="12" t="str">
        <f>IFERROR(__xludf.DUMMYFUNCTION("""COMPUTED_VALUE"""),"0687655171")</f>
        <v>0687655171</v>
      </c>
      <c r="AG574" s="12" t="str">
        <f>IFERROR(__xludf.DUMMYFUNCTION("""COMPUTED_VALUE"""),"Carolina")</f>
        <v>Carolina</v>
      </c>
      <c r="AH574" s="6"/>
      <c r="AI574" s="6" t="str">
        <f>IFERROR(__xludf.DUMMYFUNCTION("""COMPUTED_VALUE"""),"Cortés Hoyos")</f>
        <v>Cortés Hoyos</v>
      </c>
      <c r="AJ574" s="6" t="str">
        <f>IFERROR(__xludf.DUMMYFUNCTION("""COMPUTED_VALUE"""),"gerenciatecnoenter@gmail.com")</f>
        <v>gerenciatecnoenter@gmail.com</v>
      </c>
      <c r="AK574" s="6" t="str">
        <f>IFERROR(__xludf.DUMMYFUNCTION("""COMPUTED_VALUE"""),"Ingeniera Industrial")</f>
        <v>Ingeniera Industrial</v>
      </c>
      <c r="AL574" s="6" t="str">
        <f>IFERROR(__xludf.DUMMYFUNCTION("""COMPUTED_VALUE"""),"SUPERTINTAS Y SUMINISTROS SAS")</f>
        <v>SUPERTINTAS Y SUMINISTROS SAS</v>
      </c>
      <c r="AM574" s="12" t="str">
        <f>IFERROR(__xludf.DUMMYFUNCTION("""COMPUTED_VALUE"""),"41946688")</f>
        <v>41946688</v>
      </c>
      <c r="AN574" s="12" t="str">
        <f>IFERROR(__xludf.DUMMYFUNCTION("""COMPUTED_VALUE"""),"3176684037")</f>
        <v>3176684037</v>
      </c>
      <c r="AO574" s="6" t="str">
        <f>IFERROR(__xludf.DUMMYFUNCTION("""COMPUTED_VALUE"""),"Madre")</f>
        <v>Madre</v>
      </c>
      <c r="AP574" s="6" t="str">
        <f>IFERROR(__xludf.DUMMYFUNCTION("""COMPUTED_VALUE"""),"Estudiante(s): Giraldo Cortés")</f>
        <v>Estudiante(s): Giraldo Cortés</v>
      </c>
      <c r="AQ574" s="6" t="str">
        <f>IFERROR(__xludf.DUMMYFUNCTION("""COMPUTED_VALUE"""),"103739*Gi")</f>
        <v>103739*Gi</v>
      </c>
      <c r="AR574" s="6" t="str">
        <f>IFERROR(__xludf.DUMMYFUNCTION("""COMPUTED_VALUE"""),"Andrés")</f>
        <v>Andrés</v>
      </c>
      <c r="AS574" s="6" t="str">
        <f>IFERROR(__xludf.DUMMYFUNCTION("""COMPUTED_VALUE"""),"Jiovanny")</f>
        <v>Jiovanny</v>
      </c>
      <c r="AT574" s="6" t="str">
        <f>IFERROR(__xludf.DUMMYFUNCTION("""COMPUTED_VALUE"""),"Giraldo Vargas")</f>
        <v>Giraldo Vargas</v>
      </c>
      <c r="AU574" s="6" t="str">
        <f>IFERROR(__xludf.DUMMYFUNCTION("""COMPUTED_VALUE"""),"gerenciatecnoenter@gmail.com")</f>
        <v>gerenciatecnoenter@gmail.com</v>
      </c>
      <c r="AV574" s="6" t="str">
        <f>IFERROR(__xludf.DUMMYFUNCTION("""COMPUTED_VALUE"""),"Ingeniero Sistemas")</f>
        <v>Ingeniero Sistemas</v>
      </c>
      <c r="AW574" s="6" t="str">
        <f>IFERROR(__xludf.DUMMYFUNCTION("""COMPUTED_VALUE"""),"SEVEN S.A.S.")</f>
        <v>SEVEN S.A.S.</v>
      </c>
      <c r="AX574" s="12" t="str">
        <f>IFERROR(__xludf.DUMMYFUNCTION("""COMPUTED_VALUE"""),"89000859")</f>
        <v>89000859</v>
      </c>
      <c r="AY574" s="12" t="str">
        <f>IFERROR(__xludf.DUMMYFUNCTION("""COMPUTED_VALUE"""),"3187068773")</f>
        <v>3187068773</v>
      </c>
      <c r="AZ574" s="6" t="str">
        <f>IFERROR(__xludf.DUMMYFUNCTION("""COMPUTED_VALUE"""),"Padre")</f>
        <v>Padre</v>
      </c>
      <c r="BA574" s="6"/>
      <c r="BB574" s="6"/>
      <c r="BC574" s="6"/>
      <c r="BD574" s="12" t="str">
        <f>IFERROR(__xludf.DUMMYFUNCTION("""COMPUTED_VALUE"""),"gir0011")</f>
        <v>gir0011</v>
      </c>
      <c r="BE574" s="6"/>
      <c r="BF574" s="6"/>
      <c r="BG574" s="6">
        <f>IFERROR(__xludf.DUMMYFUNCTION("""COMPUTED_VALUE"""),2031.0)</f>
        <v>2031</v>
      </c>
      <c r="BH574" s="15">
        <f>IFERROR(__xludf.DUMMYFUNCTION("""COMPUTED_VALUE"""),46211.94537037037)</f>
        <v>46211.94537</v>
      </c>
      <c r="BI574" s="6">
        <f>IFERROR(__xludf.DUMMYFUNCTION("""COMPUTED_VALUE"""),574.0)</f>
        <v>574</v>
      </c>
      <c r="BJ574" s="6"/>
      <c r="BK574" s="6"/>
      <c r="BL574" s="6" t="str">
        <f>IFERROR(__xludf.DUMMYFUNCTION("""COMPUTED_VALUE"""),"GISGIR0011")</f>
        <v>GISGIR0011</v>
      </c>
      <c r="BM574" s="6"/>
      <c r="BN574" s="6"/>
      <c r="BO574" s="6"/>
      <c r="BP574" s="6"/>
      <c r="BQ574" s="6"/>
      <c r="BR574" s="6"/>
      <c r="BS574" s="6"/>
      <c r="BT574" s="6"/>
      <c r="BU574" s="6" t="str">
        <f>IFERROR(__xludf.DUMMYFUNCTION("""COMPUTED_VALUE"""),"SI")</f>
        <v>SI</v>
      </c>
      <c r="BV574" s="6" t="str">
        <f>IFERROR(__xludf.DUMMYFUNCTION("""COMPUTED_VALUE"""),"luciana.g2031")</f>
        <v>luciana.g2031</v>
      </c>
      <c r="BW574" s="6"/>
      <c r="BX574" s="6"/>
      <c r="BY574" s="6"/>
      <c r="BZ574" s="6"/>
    </row>
    <row r="575">
      <c r="A575" s="12">
        <f>IFERROR(__xludf.DUMMYFUNCTION("""COMPUTED_VALUE"""),1.019844962E9)</f>
        <v>1019844962</v>
      </c>
      <c r="B575" s="6">
        <f>IFERROR(__xludf.DUMMYFUNCTION("""COMPUTED_VALUE"""),20.0)</f>
        <v>20</v>
      </c>
      <c r="C575" s="6" t="str">
        <f>IFERROR(__xludf.DUMMYFUNCTION("""COMPUTED_VALUE"""),"Mariana")</f>
        <v>Mariana</v>
      </c>
      <c r="D575" s="6"/>
      <c r="E575" s="6" t="str">
        <f>IFERROR(__xludf.DUMMYFUNCTION("""COMPUTED_VALUE"""),"Giraldo Quintero")</f>
        <v>Giraldo Quintero</v>
      </c>
      <c r="F575" s="6" t="str">
        <f>IFERROR(__xludf.DUMMYFUNCTION("""COMPUTED_VALUE"""),"Conjunto Encenillos del Manantial Casa 1 - Vereda San Antonio Circasia")</f>
        <v>Conjunto Encenillos del Manantial Casa 1 - Vereda San Antonio Circasia</v>
      </c>
      <c r="G575" s="12" t="str">
        <f>IFERROR(__xludf.DUMMYFUNCTION("""COMPUTED_VALUE"""),"2013")</f>
        <v>2013</v>
      </c>
      <c r="H575" s="6" t="str">
        <f>IFERROR(__xludf.DUMMYFUNCTION("""COMPUTED_VALUE"""),"Mayo")</f>
        <v>Mayo</v>
      </c>
      <c r="I575" s="12" t="str">
        <f>IFERROR(__xludf.DUMMYFUNCTION("""COMPUTED_VALUE"""),"25")</f>
        <v>25</v>
      </c>
      <c r="J575" s="6" t="str">
        <f>IFERROR(__xludf.DUMMYFUNCTION("""COMPUTED_VALUE"""),"Bogotá D.C.")</f>
        <v>Bogotá D.C.</v>
      </c>
      <c r="K575" s="6" t="str">
        <f>IFERROR(__xludf.DUMMYFUNCTION("""COMPUTED_VALUE"""),"mariana.g2031@gi.edu.co")</f>
        <v>mariana.g2031@gi.edu.co</v>
      </c>
      <c r="L575" s="6" t="str">
        <f>IFERROR(__xludf.DUMMYFUNCTION("""COMPUTED_VALUE"""),"TI")</f>
        <v>TI</v>
      </c>
      <c r="M575" s="6" t="str">
        <f>IFERROR(__xludf.DUMMYFUNCTION("""COMPUTED_VALUE"""),"Circasia")</f>
        <v>Circasia</v>
      </c>
      <c r="N575" s="6" t="str">
        <f>IFERROR(__xludf.DUMMYFUNCTION("""COMPUTED_VALUE"""),"F")</f>
        <v>F</v>
      </c>
      <c r="O575" s="6" t="str">
        <f>IFERROR(__xludf.DUMMYFUNCTION("""COMPUTED_VALUE"""),"ACTIVE")</f>
        <v>ACTIVE</v>
      </c>
      <c r="P575" s="6"/>
      <c r="Q575" s="6" t="str">
        <f>IFERROR(__xludf.DUMMYFUNCTION("""COMPUTED_VALUE"""),"Circasia")</f>
        <v>Circasia</v>
      </c>
      <c r="R575" s="12" t="str">
        <f>IFERROR(__xludf.DUMMYFUNCTION("""COMPUTED_VALUE"""),"Gijs398461*")</f>
        <v>Gijs398461*</v>
      </c>
      <c r="S575" s="6" t="str">
        <f>IFERROR(__xludf.DUMMYFUNCTION("""COMPUTED_VALUE"""),"Giraldo Quintero Mariana ")</f>
        <v>Giraldo Quintero Mariana </v>
      </c>
      <c r="T575" s="6" t="str">
        <f>IFERROR(__xludf.DUMMYFUNCTION("""COMPUTED_VALUE"""),"MARCO MAURICIO GIRALDO OROZCO")</f>
        <v>MARCO MAURICIO GIRALDO OROZCO</v>
      </c>
      <c r="U575" s="12" t="str">
        <f>IFERROR(__xludf.DUMMYFUNCTION("""COMPUTED_VALUE"""),"79575473")</f>
        <v>79575473</v>
      </c>
      <c r="V575" s="6">
        <f>IFERROR(__xludf.DUMMYFUNCTION("""COMPUTED_VALUE"""),3.003059955E9)</f>
        <v>3003059955</v>
      </c>
      <c r="W575" s="6" t="str">
        <f>IFERROR(__xludf.DUMMYFUNCTION("""COMPUTED_VALUE"""),"lmqg@yahoo.com")</f>
        <v>lmqg@yahoo.com</v>
      </c>
      <c r="X575" s="12" t="str">
        <f>IFERROR(__xludf.DUMMYFUNCTION("""COMPUTED_VALUE"""),"O+")</f>
        <v>O+</v>
      </c>
      <c r="Y575" s="12" t="str">
        <f>IFERROR(__xludf.DUMMYFUNCTION("""COMPUTED_VALUE"""),"8")</f>
        <v>8</v>
      </c>
      <c r="Z575" s="12">
        <f>IFERROR(__xludf.DUMMYFUNCTION("""COMPUTED_VALUE"""),103340.0)</f>
        <v>103340</v>
      </c>
      <c r="AA575" s="6" t="str">
        <f>IFERROR(__xludf.DUMMYFUNCTION("""COMPUTED_VALUE"""),"SANITAS")</f>
        <v>SANITAS</v>
      </c>
      <c r="AB575" s="6" t="str">
        <f>IFERROR(__xludf.DUMMYFUNCTION("""COMPUTED_VALUE"""),"Medicina Prepagada Mafre")</f>
        <v>Medicina Prepagada Mafre</v>
      </c>
      <c r="AC575" s="6"/>
      <c r="AD575" s="12" t="str">
        <f>IFERROR(__xludf.DUMMYFUNCTION("""COMPUTED_VALUE"""),"8A")</f>
        <v>8A</v>
      </c>
      <c r="AE575" s="12" t="str">
        <f>IFERROR(__xludf.DUMMYFUNCTION("""COMPUTED_VALUE"""),"1345281640")</f>
        <v>1345281640</v>
      </c>
      <c r="AF575" s="12" t="str">
        <f>IFERROR(__xludf.DUMMYFUNCTION("""COMPUTED_VALUE"""),"0680630019")</f>
        <v>0680630019</v>
      </c>
      <c r="AG575" s="12" t="str">
        <f>IFERROR(__xludf.DUMMYFUNCTION("""COMPUTED_VALUE"""),"Laura")</f>
        <v>Laura</v>
      </c>
      <c r="AH575" s="12" t="str">
        <f>IFERROR(__xludf.DUMMYFUNCTION("""COMPUTED_VALUE"""),"Marcela")</f>
        <v>Marcela</v>
      </c>
      <c r="AI575" s="6" t="str">
        <f>IFERROR(__xludf.DUMMYFUNCTION("""COMPUTED_VALUE"""),"Quintero Gómez")</f>
        <v>Quintero Gómez</v>
      </c>
      <c r="AJ575" s="6" t="str">
        <f>IFERROR(__xludf.DUMMYFUNCTION("""COMPUTED_VALUE"""),"lmqg@yahoo.com")</f>
        <v>lmqg@yahoo.com</v>
      </c>
      <c r="AK575" s="6" t="str">
        <f>IFERROR(__xludf.DUMMYFUNCTION("""COMPUTED_VALUE"""),"abogado")</f>
        <v>abogado</v>
      </c>
      <c r="AL575" s="6" t="str">
        <f>IFERROR(__xludf.DUMMYFUNCTION("""COMPUTED_VALUE"""),"Sena Regional Quindío")</f>
        <v>Sena Regional Quindío</v>
      </c>
      <c r="AM575" s="12" t="str">
        <f>IFERROR(__xludf.DUMMYFUNCTION("""COMPUTED_VALUE"""),"24605868")</f>
        <v>24605868</v>
      </c>
      <c r="AN575" s="12" t="str">
        <f>IFERROR(__xludf.DUMMYFUNCTION("""COMPUTED_VALUE"""),"3116356564")</f>
        <v>3116356564</v>
      </c>
      <c r="AO575" s="6" t="str">
        <f>IFERROR(__xludf.DUMMYFUNCTION("""COMPUTED_VALUE"""),"Madre")</f>
        <v>Madre</v>
      </c>
      <c r="AP575" s="6" t="str">
        <f>IFERROR(__xludf.DUMMYFUNCTION("""COMPUTED_VALUE"""),"Estudiante(s): Giraldo Quintero")</f>
        <v>Estudiante(s): Giraldo Quintero</v>
      </c>
      <c r="AQ575" s="6" t="str">
        <f>IFERROR(__xludf.DUMMYFUNCTION("""COMPUTED_VALUE"""),"103340*Gi")</f>
        <v>103340*Gi</v>
      </c>
      <c r="AR575" s="6" t="str">
        <f>IFERROR(__xludf.DUMMYFUNCTION("""COMPUTED_VALUE"""),"Mauricio")</f>
        <v>Mauricio</v>
      </c>
      <c r="AS575" s="6" t="str">
        <f>IFERROR(__xludf.DUMMYFUNCTION("""COMPUTED_VALUE"""),"Marco")</f>
        <v>Marco</v>
      </c>
      <c r="AT575" s="6" t="str">
        <f>IFERROR(__xludf.DUMMYFUNCTION("""COMPUTED_VALUE"""),"Giraldo Orozco")</f>
        <v>Giraldo Orozco</v>
      </c>
      <c r="AU575" s="6" t="str">
        <f>IFERROR(__xludf.DUMMYFUNCTION("""COMPUTED_VALUE"""),"lmqg@yahoo.com")</f>
        <v>lmqg@yahoo.com</v>
      </c>
      <c r="AV575" s="6" t="str">
        <f>IFERROR(__xludf.DUMMYFUNCTION("""COMPUTED_VALUE"""),"comerciante")</f>
        <v>comerciante</v>
      </c>
      <c r="AW575" s="6" t="str">
        <f>IFERROR(__xludf.DUMMYFUNCTION("""COMPUTED_VALUE"""),"Hotel Salento Plaza")</f>
        <v>Hotel Salento Plaza</v>
      </c>
      <c r="AX575" s="12" t="str">
        <f>IFERROR(__xludf.DUMMYFUNCTION("""COMPUTED_VALUE"""),"79575473")</f>
        <v>79575473</v>
      </c>
      <c r="AY575" s="12" t="str">
        <f>IFERROR(__xludf.DUMMYFUNCTION("""COMPUTED_VALUE"""),"3003059955")</f>
        <v>3003059955</v>
      </c>
      <c r="AZ575" s="6" t="str">
        <f>IFERROR(__xludf.DUMMYFUNCTION("""COMPUTED_VALUE"""),"Padre")</f>
        <v>Padre</v>
      </c>
      <c r="BA575" s="6"/>
      <c r="BB575" s="6"/>
      <c r="BC575" s="6"/>
      <c r="BD575" s="12" t="str">
        <f>IFERROR(__xludf.DUMMYFUNCTION("""COMPUTED_VALUE"""),"gir0009")</f>
        <v>gir0009</v>
      </c>
      <c r="BE575" s="6"/>
      <c r="BF575" s="6"/>
      <c r="BG575" s="6">
        <f>IFERROR(__xludf.DUMMYFUNCTION("""COMPUTED_VALUE"""),2031.0)</f>
        <v>2031</v>
      </c>
      <c r="BH575" s="15">
        <f>IFERROR(__xludf.DUMMYFUNCTION("""COMPUTED_VALUE"""),46204.437789351854)</f>
        <v>46204.43779</v>
      </c>
      <c r="BI575" s="6">
        <f>IFERROR(__xludf.DUMMYFUNCTION("""COMPUTED_VALUE"""),575.0)</f>
        <v>575</v>
      </c>
      <c r="BJ575" s="6" t="str">
        <f>IFERROR(__xludf.DUMMYFUNCTION("""COMPUTED_VALUE"""),"DANE: Hipoacúsia Neurosensorial
SIMAT: Auditiva usuario del castellano")</f>
        <v>DANE: Hipoacúsia Neurosensorial
SIMAT: Auditiva usuario del castellano</v>
      </c>
      <c r="BK575" s="6"/>
      <c r="BL575" s="6" t="str">
        <f>IFERROR(__xludf.DUMMYFUNCTION("""COMPUTED_VALUE"""),"GISGIR0009")</f>
        <v>GISGIR0009</v>
      </c>
      <c r="BM575" s="6"/>
      <c r="BN575" s="6"/>
      <c r="BO575" s="6" t="str">
        <f>IFERROR(__xludf.DUMMYFUNCTION("""COMPUTED_VALUE"""),"XC_SEC_Futbol_F")</f>
        <v>XC_SEC_Futbol_F</v>
      </c>
      <c r="BP575" s="6"/>
      <c r="BQ575" s="6" t="str">
        <f>IFERROR(__xludf.DUMMYFUNCTION("""COMPUTED_VALUE"""),"XC_SEC_Futbol_F")</f>
        <v>XC_SEC_Futbol_F</v>
      </c>
      <c r="BR575" s="6" t="str">
        <f>IFERROR(__xludf.DUMMYFUNCTION("""COMPUTED_VALUE"""),"XC_SEC_Futbol_F")</f>
        <v>XC_SEC_Futbol_F</v>
      </c>
      <c r="BS575" s="6"/>
      <c r="BT575" s="6" t="str">
        <f>IFERROR(__xludf.DUMMYFUNCTION("""COMPUTED_VALUE"""),"XC_SEC_Futbol_F")</f>
        <v>XC_SEC_Futbol_F</v>
      </c>
      <c r="BU575" s="6" t="str">
        <f>IFERROR(__xludf.DUMMYFUNCTION("""COMPUTED_VALUE"""),"SI")</f>
        <v>SI</v>
      </c>
      <c r="BV575" s="6" t="str">
        <f>IFERROR(__xludf.DUMMYFUNCTION("""COMPUTED_VALUE"""),"mariana.g2031")</f>
        <v>mariana.g2031</v>
      </c>
      <c r="BW575" s="6"/>
      <c r="BX575" s="6"/>
      <c r="BY575" s="6"/>
      <c r="BZ575" s="6"/>
    </row>
    <row r="576">
      <c r="A576" s="12">
        <f>IFERROR(__xludf.DUMMYFUNCTION("""COMPUTED_VALUE"""),1.019908356E9)</f>
        <v>1019908356</v>
      </c>
      <c r="B576" s="6">
        <f>IFERROR(__xludf.DUMMYFUNCTION("""COMPUTED_VALUE"""),21.0)</f>
        <v>21</v>
      </c>
      <c r="C576" s="6" t="str">
        <f>IFERROR(__xludf.DUMMYFUNCTION("""COMPUTED_VALUE"""),"Mariana")</f>
        <v>Mariana</v>
      </c>
      <c r="D576" s="6"/>
      <c r="E576" s="6" t="str">
        <f>IFERROR(__xludf.DUMMYFUNCTION("""COMPUTED_VALUE"""),"Gómez Bravo")</f>
        <v>Gómez Bravo</v>
      </c>
      <c r="F576" s="6" t="str">
        <f>IFERROR(__xludf.DUMMYFUNCTION("""COMPUTED_VALUE"""),"Edificio Montebello Apto 501 Cra 10 No12Nte - 31 - La Castellana")</f>
        <v>Edificio Montebello Apto 501 Cra 10 No12Nte - 31 - La Castellana</v>
      </c>
      <c r="G576" s="12" t="str">
        <f>IFERROR(__xludf.DUMMYFUNCTION("""COMPUTED_VALUE"""),"2013")</f>
        <v>2013</v>
      </c>
      <c r="H576" s="6" t="str">
        <f>IFERROR(__xludf.DUMMYFUNCTION("""COMPUTED_VALUE"""),"Septiembre")</f>
        <v>Septiembre</v>
      </c>
      <c r="I576" s="12" t="str">
        <f>IFERROR(__xludf.DUMMYFUNCTION("""COMPUTED_VALUE"""),"2")</f>
        <v>2</v>
      </c>
      <c r="J576" s="6" t="str">
        <f>IFERROR(__xludf.DUMMYFUNCTION("""COMPUTED_VALUE"""),"Bogotá D.C.")</f>
        <v>Bogotá D.C.</v>
      </c>
      <c r="K576" s="6" t="str">
        <f>IFERROR(__xludf.DUMMYFUNCTION("""COMPUTED_VALUE"""),"mariana.gb2031@gi.edu.co")</f>
        <v>mariana.gb2031@gi.edu.co</v>
      </c>
      <c r="L576" s="6" t="str">
        <f>IFERROR(__xludf.DUMMYFUNCTION("""COMPUTED_VALUE"""),"TI")</f>
        <v>TI</v>
      </c>
      <c r="M576" s="6" t="str">
        <f>IFERROR(__xludf.DUMMYFUNCTION("""COMPUTED_VALUE"""),"Armenia")</f>
        <v>Armenia</v>
      </c>
      <c r="N576" s="6" t="str">
        <f>IFERROR(__xludf.DUMMYFUNCTION("""COMPUTED_VALUE"""),"F")</f>
        <v>F</v>
      </c>
      <c r="O576" s="6" t="str">
        <f>IFERROR(__xludf.DUMMYFUNCTION("""COMPUTED_VALUE"""),"ACTIVE")</f>
        <v>ACTIVE</v>
      </c>
      <c r="P576" s="6"/>
      <c r="Q576" s="6" t="str">
        <f>IFERROR(__xludf.DUMMYFUNCTION("""COMPUTED_VALUE"""),"Armenia")</f>
        <v>Armenia</v>
      </c>
      <c r="R576" s="12" t="str">
        <f>IFERROR(__xludf.DUMMYFUNCTION("""COMPUTED_VALUE"""),"Gilo693828*")</f>
        <v>Gilo693828*</v>
      </c>
      <c r="S576" s="6" t="str">
        <f>IFERROR(__xludf.DUMMYFUNCTION("""COMPUTED_VALUE"""),"Gómez Bravo Mariana ")</f>
        <v>Gómez Bravo Mariana </v>
      </c>
      <c r="T576" s="6" t="str">
        <f>IFERROR(__xludf.DUMMYFUNCTION("""COMPUTED_VALUE"""),"GABRIEL RODRIGO GOMEZ WILLIAMSON")</f>
        <v>GABRIEL RODRIGO GOMEZ WILLIAMSON</v>
      </c>
      <c r="U576" s="12" t="str">
        <f>IFERROR(__xludf.DUMMYFUNCTION("""COMPUTED_VALUE"""),"79984400")</f>
        <v>79984400</v>
      </c>
      <c r="V576" s="6">
        <f>IFERROR(__xludf.DUMMYFUNCTION("""COMPUTED_VALUE"""),3.20696854E9)</f>
        <v>3206968540</v>
      </c>
      <c r="W576" s="6" t="str">
        <f>IFERROR(__xludf.DUMMYFUNCTION("""COMPUTED_VALUE"""),"gabrielgomezw@gmail.com")</f>
        <v>gabrielgomezw@gmail.com</v>
      </c>
      <c r="X576" s="12" t="str">
        <f>IFERROR(__xludf.DUMMYFUNCTION("""COMPUTED_VALUE"""),"O+")</f>
        <v>O+</v>
      </c>
      <c r="Y576" s="12" t="str">
        <f>IFERROR(__xludf.DUMMYFUNCTION("""COMPUTED_VALUE"""),"8")</f>
        <v>8</v>
      </c>
      <c r="Z576" s="12">
        <f>IFERROR(__xludf.DUMMYFUNCTION("""COMPUTED_VALUE"""),103351.0)</f>
        <v>103351</v>
      </c>
      <c r="AA576" s="6" t="str">
        <f>IFERROR(__xludf.DUMMYFUNCTION("""COMPUTED_VALUE"""),"SANITAS")</f>
        <v>SANITAS</v>
      </c>
      <c r="AB576" s="6" t="str">
        <f>IFERROR(__xludf.DUMMYFUNCTION("""COMPUTED_VALUE"""),"Medicina Pregada Allianz Medicall Gold")</f>
        <v>Medicina Pregada Allianz Medicall Gold</v>
      </c>
      <c r="AC576" s="12" t="str">
        <f>IFERROR(__xludf.DUMMYFUNCTION("""COMPUTED_VALUE"""),"RINITIS")</f>
        <v>RINITIS</v>
      </c>
      <c r="AD576" s="12" t="str">
        <f>IFERROR(__xludf.DUMMYFUNCTION("""COMPUTED_VALUE"""),"8B")</f>
        <v>8B</v>
      </c>
      <c r="AE576" s="12">
        <f>IFERROR(__xludf.DUMMYFUNCTION("""COMPUTED_VALUE"""),1.345281651E9)</f>
        <v>1345281651</v>
      </c>
      <c r="AF576" s="12" t="str">
        <f>IFERROR(__xludf.DUMMYFUNCTION("""COMPUTED_VALUE"""),"0696906819")</f>
        <v>0696906819</v>
      </c>
      <c r="AG576" s="12" t="str">
        <f>IFERROR(__xludf.DUMMYFUNCTION("""COMPUTED_VALUE"""),"Ana")</f>
        <v>Ana</v>
      </c>
      <c r="AH576" s="12" t="str">
        <f>IFERROR(__xludf.DUMMYFUNCTION("""COMPUTED_VALUE"""),"María")</f>
        <v>María</v>
      </c>
      <c r="AI576" s="6" t="str">
        <f>IFERROR(__xludf.DUMMYFUNCTION("""COMPUTED_VALUE"""),"Bravo Escobar")</f>
        <v>Bravo Escobar</v>
      </c>
      <c r="AJ576" s="6" t="str">
        <f>IFERROR(__xludf.DUMMYFUNCTION("""COMPUTED_VALUE"""),"anabravoescobar@gmail.com")</f>
        <v>anabravoescobar@gmail.com</v>
      </c>
      <c r="AK576" s="6" t="str">
        <f>IFERROR(__xludf.DUMMYFUNCTION("""COMPUTED_VALUE"""),"Comunicadora Social")</f>
        <v>Comunicadora Social</v>
      </c>
      <c r="AL576" s="6" t="str">
        <f>IFERROR(__xludf.DUMMYFUNCTION("""COMPUTED_VALUE"""),"TRES NEVADOS SAS")</f>
        <v>TRES NEVADOS SAS</v>
      </c>
      <c r="AM576" s="12" t="str">
        <f>IFERROR(__xludf.DUMMYFUNCTION("""COMPUTED_VALUE"""),"52869113")</f>
        <v>52869113</v>
      </c>
      <c r="AN576" s="12" t="str">
        <f>IFERROR(__xludf.DUMMYFUNCTION("""COMPUTED_VALUE"""),"3102151273")</f>
        <v>3102151273</v>
      </c>
      <c r="AO576" s="6" t="str">
        <f>IFERROR(__xludf.DUMMYFUNCTION("""COMPUTED_VALUE"""),"Madre")</f>
        <v>Madre</v>
      </c>
      <c r="AP576" s="6" t="str">
        <f>IFERROR(__xludf.DUMMYFUNCTION("""COMPUTED_VALUE"""),"Estudiante(s): Gómez Bravo")</f>
        <v>Estudiante(s): Gómez Bravo</v>
      </c>
      <c r="AQ576" s="6" t="str">
        <f>IFERROR(__xludf.DUMMYFUNCTION("""COMPUTED_VALUE"""),"103351*Gi")</f>
        <v>103351*Gi</v>
      </c>
      <c r="AR576" s="6" t="str">
        <f>IFERROR(__xludf.DUMMYFUNCTION("""COMPUTED_VALUE"""),"Gabriel")</f>
        <v>Gabriel</v>
      </c>
      <c r="AS576" s="6" t="str">
        <f>IFERROR(__xludf.DUMMYFUNCTION("""COMPUTED_VALUE"""),"Rodrigo")</f>
        <v>Rodrigo</v>
      </c>
      <c r="AT576" s="6" t="str">
        <f>IFERROR(__xludf.DUMMYFUNCTION("""COMPUTED_VALUE"""),"Gómez Williamson")</f>
        <v>Gómez Williamson</v>
      </c>
      <c r="AU576" s="6" t="str">
        <f>IFERROR(__xludf.DUMMYFUNCTION("""COMPUTED_VALUE"""),"gabrielgomezw@gmail.com")</f>
        <v>gabrielgomezw@gmail.com</v>
      </c>
      <c r="AV576" s="6" t="str">
        <f>IFERROR(__xludf.DUMMYFUNCTION("""COMPUTED_VALUE"""),"Administrador de empresas")</f>
        <v>Administrador de empresas</v>
      </c>
      <c r="AW576" s="6" t="str">
        <f>IFERROR(__xludf.DUMMYFUNCTION("""COMPUTED_VALUE"""),"TRES NEVADOS SAS")</f>
        <v>TRES NEVADOS SAS</v>
      </c>
      <c r="AX576" s="12" t="str">
        <f>IFERROR(__xludf.DUMMYFUNCTION("""COMPUTED_VALUE"""),"79984400")</f>
        <v>79984400</v>
      </c>
      <c r="AY576" s="12" t="str">
        <f>IFERROR(__xludf.DUMMYFUNCTION("""COMPUTED_VALUE"""),"3206968540")</f>
        <v>3206968540</v>
      </c>
      <c r="AZ576" s="6" t="str">
        <f>IFERROR(__xludf.DUMMYFUNCTION("""COMPUTED_VALUE"""),"Padre")</f>
        <v>Padre</v>
      </c>
      <c r="BA576" s="6"/>
      <c r="BB576" s="6"/>
      <c r="BC576" s="6"/>
      <c r="BD576" s="12" t="str">
        <f>IFERROR(__xludf.DUMMYFUNCTION("""COMPUTED_VALUE"""),"gme0018")</f>
        <v>gme0018</v>
      </c>
      <c r="BE576" s="6"/>
      <c r="BF576" s="6"/>
      <c r="BG576" s="6">
        <f>IFERROR(__xludf.DUMMYFUNCTION("""COMPUTED_VALUE"""),2031.0)</f>
        <v>2031</v>
      </c>
      <c r="BH576" s="15">
        <f>IFERROR(__xludf.DUMMYFUNCTION("""COMPUTED_VALUE"""),46205.52334490741)</f>
        <v>46205.52334</v>
      </c>
      <c r="BI576" s="6">
        <f>IFERROR(__xludf.DUMMYFUNCTION("""COMPUTED_VALUE"""),576.0)</f>
        <v>576</v>
      </c>
      <c r="BJ576" s="6"/>
      <c r="BK576" s="6"/>
      <c r="BL576" s="6" t="str">
        <f>IFERROR(__xludf.DUMMYFUNCTION("""COMPUTED_VALUE"""),"GISGME0018")</f>
        <v>GISGME0018</v>
      </c>
      <c r="BM576" s="6"/>
      <c r="BN576" s="6"/>
      <c r="BO576" s="6" t="str">
        <f>IFERROR(__xludf.DUMMYFUNCTION("""COMPUTED_VALUE"""),"XC_MS_Voleibol_F")</f>
        <v>XC_MS_Voleibol_F</v>
      </c>
      <c r="BP576" s="6"/>
      <c r="BQ576" s="6" t="str">
        <f>IFERROR(__xludf.DUMMYFUNCTION("""COMPUTED_VALUE"""),"XC_MS_Voleibol_F")</f>
        <v>XC_MS_Voleibol_F</v>
      </c>
      <c r="BR576" s="6" t="str">
        <f>IFERROR(__xludf.DUMMYFUNCTION("""COMPUTED_VALUE"""),"XC_MS_Voleibol_F")</f>
        <v>XC_MS_Voleibol_F</v>
      </c>
      <c r="BS576" s="6"/>
      <c r="BT576" s="6" t="str">
        <f>IFERROR(__xludf.DUMMYFUNCTION("""COMPUTED_VALUE"""),"XC_MS_Voleibol_F")</f>
        <v>XC_MS_Voleibol_F</v>
      </c>
      <c r="BU576" s="6" t="str">
        <f>IFERROR(__xludf.DUMMYFUNCTION("""COMPUTED_VALUE"""),"NO")</f>
        <v>NO</v>
      </c>
      <c r="BV576" s="6" t="str">
        <f>IFERROR(__xludf.DUMMYFUNCTION("""COMPUTED_VALUE"""),"mariana.gb2031")</f>
        <v>mariana.gb2031</v>
      </c>
      <c r="BW576" s="6"/>
      <c r="BX576" s="6"/>
      <c r="BY576" s="6"/>
      <c r="BZ576" s="6"/>
    </row>
    <row r="577">
      <c r="A577" s="12">
        <f>IFERROR(__xludf.DUMMYFUNCTION("""COMPUTED_VALUE"""),1.092857033E9)</f>
        <v>1092857033</v>
      </c>
      <c r="B577" s="6">
        <f>IFERROR(__xludf.DUMMYFUNCTION("""COMPUTED_VALUE"""),22.0)</f>
        <v>22</v>
      </c>
      <c r="C577" s="6" t="str">
        <f>IFERROR(__xludf.DUMMYFUNCTION("""COMPUTED_VALUE"""),"Jerónimo")</f>
        <v>Jerónimo</v>
      </c>
      <c r="D577" s="6"/>
      <c r="E577" s="6" t="str">
        <f>IFERROR(__xludf.DUMMYFUNCTION("""COMPUTED_VALUE"""),"Gómez Mora")</f>
        <v>Gómez Mora</v>
      </c>
      <c r="F577" s="6" t="str">
        <f>IFERROR(__xludf.DUMMYFUNCTION("""COMPUTED_VALUE"""),"Condominio Casas de Campo - Calle 23ANte No19 - 47")</f>
        <v>Condominio Casas de Campo - Calle 23ANte No19 - 47</v>
      </c>
      <c r="G577" s="12" t="str">
        <f>IFERROR(__xludf.DUMMYFUNCTION("""COMPUTED_VALUE"""),"2013")</f>
        <v>2013</v>
      </c>
      <c r="H577" s="6" t="str">
        <f>IFERROR(__xludf.DUMMYFUNCTION("""COMPUTED_VALUE"""),"Agosto")</f>
        <v>Agosto</v>
      </c>
      <c r="I577" s="12" t="str">
        <f>IFERROR(__xludf.DUMMYFUNCTION("""COMPUTED_VALUE"""),"18")</f>
        <v>18</v>
      </c>
      <c r="J577" s="6" t="str">
        <f>IFERROR(__xludf.DUMMYFUNCTION("""COMPUTED_VALUE"""),"Armenia")</f>
        <v>Armenia</v>
      </c>
      <c r="K577" s="6" t="str">
        <f>IFERROR(__xludf.DUMMYFUNCTION("""COMPUTED_VALUE"""),"jeronimo.g2031@gi.edu.co")</f>
        <v>jeronimo.g2031@gi.edu.co</v>
      </c>
      <c r="L577" s="6" t="str">
        <f>IFERROR(__xludf.DUMMYFUNCTION("""COMPUTED_VALUE"""),"TI")</f>
        <v>TI</v>
      </c>
      <c r="M577" s="6" t="str">
        <f>IFERROR(__xludf.DUMMYFUNCTION("""COMPUTED_VALUE"""),"Armenia")</f>
        <v>Armenia</v>
      </c>
      <c r="N577" s="6" t="str">
        <f>IFERROR(__xludf.DUMMYFUNCTION("""COMPUTED_VALUE"""),"M")</f>
        <v>M</v>
      </c>
      <c r="O577" s="6" t="str">
        <f>IFERROR(__xludf.DUMMYFUNCTION("""COMPUTED_VALUE"""),"ACTIVE")</f>
        <v>ACTIVE</v>
      </c>
      <c r="P577" s="6"/>
      <c r="Q577" s="6" t="str">
        <f>IFERROR(__xludf.DUMMYFUNCTION("""COMPUTED_VALUE"""),"Armenia")</f>
        <v>Armenia</v>
      </c>
      <c r="R577" s="12" t="str">
        <f>IFERROR(__xludf.DUMMYFUNCTION("""COMPUTED_VALUE"""),"Gi47dgc98a*")</f>
        <v>Gi47dgc98a*</v>
      </c>
      <c r="S577" s="6" t="str">
        <f>IFERROR(__xludf.DUMMYFUNCTION("""COMPUTED_VALUE"""),"Gómez Mora Jerónimo ")</f>
        <v>Gómez Mora Jerónimo </v>
      </c>
      <c r="T577" s="6" t="str">
        <f>IFERROR(__xludf.DUMMYFUNCTION("""COMPUTED_VALUE"""),"SUSAN CARRIE MORA ARIAS")</f>
        <v>SUSAN CARRIE MORA ARIAS</v>
      </c>
      <c r="U577" s="12" t="str">
        <f>IFERROR(__xludf.DUMMYFUNCTION("""COMPUTED_VALUE"""),"1094904035")</f>
        <v>1094904035</v>
      </c>
      <c r="V577" s="6">
        <f>IFERROR(__xludf.DUMMYFUNCTION("""COMPUTED_VALUE"""),3.117538323E9)</f>
        <v>3117538323</v>
      </c>
      <c r="W577" s="6" t="str">
        <f>IFERROR(__xludf.DUMMYFUNCTION("""COMPUTED_VALUE"""),"susan_mora@hotmail.com")</f>
        <v>susan_mora@hotmail.com</v>
      </c>
      <c r="X577" s="12" t="str">
        <f>IFERROR(__xludf.DUMMYFUNCTION("""COMPUTED_VALUE"""),"A+")</f>
        <v>A+</v>
      </c>
      <c r="Y577" s="12" t="str">
        <f>IFERROR(__xludf.DUMMYFUNCTION("""COMPUTED_VALUE"""),"8")</f>
        <v>8</v>
      </c>
      <c r="Z577" s="12">
        <f>IFERROR(__xludf.DUMMYFUNCTION("""COMPUTED_VALUE"""),103407.0)</f>
        <v>103407</v>
      </c>
      <c r="AA577" s="6" t="str">
        <f>IFERROR(__xludf.DUMMYFUNCTION("""COMPUTED_VALUE"""),"SURA")</f>
        <v>SURA</v>
      </c>
      <c r="AB577" s="6" t="str">
        <f>IFERROR(__xludf.DUMMYFUNCTION("""COMPUTED_VALUE"""),"Póliza de salud sura")</f>
        <v>Póliza de salud sura</v>
      </c>
      <c r="AC577" s="12" t="str">
        <f>IFERROR(__xludf.DUMMYFUNCTION("""COMPUTED_VALUE"""),"alergia a los ácaros y a los perros")</f>
        <v>alergia a los ácaros y a los perros</v>
      </c>
      <c r="AD577" s="12" t="str">
        <f>IFERROR(__xludf.DUMMYFUNCTION("""COMPUTED_VALUE"""),"8C")</f>
        <v>8C</v>
      </c>
      <c r="AE577" s="12">
        <f>IFERROR(__xludf.DUMMYFUNCTION("""COMPUTED_VALUE"""),1.345281677E9)</f>
        <v>1345281677</v>
      </c>
      <c r="AF577" s="12" t="str">
        <f>IFERROR(__xludf.DUMMYFUNCTION("""COMPUTED_VALUE"""),"0674423907")</f>
        <v>0674423907</v>
      </c>
      <c r="AG577" s="12" t="str">
        <f>IFERROR(__xludf.DUMMYFUNCTION("""COMPUTED_VALUE"""),"Susan")</f>
        <v>Susan</v>
      </c>
      <c r="AH577" s="12" t="str">
        <f>IFERROR(__xludf.DUMMYFUNCTION("""COMPUTED_VALUE"""),"Carrie")</f>
        <v>Carrie</v>
      </c>
      <c r="AI577" s="6" t="str">
        <f>IFERROR(__xludf.DUMMYFUNCTION("""COMPUTED_VALUE"""),"Mora Arias")</f>
        <v>Mora Arias</v>
      </c>
      <c r="AJ577" s="6" t="str">
        <f>IFERROR(__xludf.DUMMYFUNCTION("""COMPUTED_VALUE"""),"susan_mora@hotmail.com")</f>
        <v>susan_mora@hotmail.com</v>
      </c>
      <c r="AK577" s="6" t="str">
        <f>IFERROR(__xludf.DUMMYFUNCTION("""COMPUTED_VALUE"""),"Abogada")</f>
        <v>Abogada</v>
      </c>
      <c r="AL577" s="6" t="str">
        <f>IFERROR(__xludf.DUMMYFUNCTION("""COMPUTED_VALUE"""),"contratista del estado")</f>
        <v>contratista del estado</v>
      </c>
      <c r="AM577" s="12" t="str">
        <f>IFERROR(__xludf.DUMMYFUNCTION("""COMPUTED_VALUE"""),"1094904035")</f>
        <v>1094904035</v>
      </c>
      <c r="AN577" s="12" t="str">
        <f>IFERROR(__xludf.DUMMYFUNCTION("""COMPUTED_VALUE"""),"3117538323")</f>
        <v>3117538323</v>
      </c>
      <c r="AO577" s="6" t="str">
        <f>IFERROR(__xludf.DUMMYFUNCTION("""COMPUTED_VALUE"""),"Madre")</f>
        <v>Madre</v>
      </c>
      <c r="AP577" s="6" t="str">
        <f>IFERROR(__xludf.DUMMYFUNCTION("""COMPUTED_VALUE"""),"Estudiante(s): Gómez Mora")</f>
        <v>Estudiante(s): Gómez Mora</v>
      </c>
      <c r="AQ577" s="6" t="str">
        <f>IFERROR(__xludf.DUMMYFUNCTION("""COMPUTED_VALUE"""),"103407*Gi")</f>
        <v>103407*Gi</v>
      </c>
      <c r="AR577" s="6" t="str">
        <f>IFERROR(__xludf.DUMMYFUNCTION("""COMPUTED_VALUE"""),"Mauricio")</f>
        <v>Mauricio</v>
      </c>
      <c r="AS577" s="6"/>
      <c r="AT577" s="6" t="str">
        <f>IFERROR(__xludf.DUMMYFUNCTION("""COMPUTED_VALUE"""),"Gómez Arango")</f>
        <v>Gómez Arango</v>
      </c>
      <c r="AU577" s="6" t="str">
        <f>IFERROR(__xludf.DUMMYFUNCTION("""COMPUTED_VALUE"""),"gomez_1980@hotmail.com")</f>
        <v>gomez_1980@hotmail.com</v>
      </c>
      <c r="AV577" s="6" t="str">
        <f>IFERROR(__xludf.DUMMYFUNCTION("""COMPUTED_VALUE"""),"Abogado")</f>
        <v>Abogado</v>
      </c>
      <c r="AW577" s="6" t="str">
        <f>IFERROR(__xludf.DUMMYFUNCTION("""COMPUTED_VALUE"""),"Galeano &amp; mora asociados")</f>
        <v>Galeano &amp; mora asociados</v>
      </c>
      <c r="AX577" s="12" t="str">
        <f>IFERROR(__xludf.DUMMYFUNCTION("""COMPUTED_VALUE"""),"9726351")</f>
        <v>9726351</v>
      </c>
      <c r="AY577" s="12" t="str">
        <f>IFERROR(__xludf.DUMMYFUNCTION("""COMPUTED_VALUE"""),"3138701873")</f>
        <v>3138701873</v>
      </c>
      <c r="AZ577" s="6" t="str">
        <f>IFERROR(__xludf.DUMMYFUNCTION("""COMPUTED_VALUE"""),"Padre")</f>
        <v>Padre</v>
      </c>
      <c r="BA577" s="6"/>
      <c r="BB577" s="6"/>
      <c r="BC577" s="6"/>
      <c r="BD577" s="12" t="str">
        <f>IFERROR(__xludf.DUMMYFUNCTION("""COMPUTED_VALUE"""),"gom0003")</f>
        <v>gom0003</v>
      </c>
      <c r="BE577" s="6"/>
      <c r="BF577" s="6"/>
      <c r="BG577" s="6">
        <f>IFERROR(__xludf.DUMMYFUNCTION("""COMPUTED_VALUE"""),2031.0)</f>
        <v>2031</v>
      </c>
      <c r="BH577" s="15">
        <f>IFERROR(__xludf.DUMMYFUNCTION("""COMPUTED_VALUE"""),46185.50611111111)</f>
        <v>46185.50611</v>
      </c>
      <c r="BI577" s="6">
        <f>IFERROR(__xludf.DUMMYFUNCTION("""COMPUTED_VALUE"""),577.0)</f>
        <v>577</v>
      </c>
      <c r="BJ577" s="6"/>
      <c r="BK577" s="6"/>
      <c r="BL577" s="6" t="str">
        <f>IFERROR(__xludf.DUMMYFUNCTION("""COMPUTED_VALUE"""),"GISGOM0003")</f>
        <v>GISGOM0003</v>
      </c>
      <c r="BM577" s="6"/>
      <c r="BN577" s="6"/>
      <c r="BO577" s="6"/>
      <c r="BP577" s="6"/>
      <c r="BQ577" s="6"/>
      <c r="BR577" s="6"/>
      <c r="BS577" s="6"/>
      <c r="BT577" s="6"/>
      <c r="BU577" s="6" t="str">
        <f>IFERROR(__xludf.DUMMYFUNCTION("""COMPUTED_VALUE"""),"SI")</f>
        <v>SI</v>
      </c>
      <c r="BV577" s="6" t="str">
        <f>IFERROR(__xludf.DUMMYFUNCTION("""COMPUTED_VALUE"""),"jeronimo.g2031")</f>
        <v>jeronimo.g2031</v>
      </c>
      <c r="BW577" s="6"/>
      <c r="BX577" s="6"/>
      <c r="BY577" s="6"/>
      <c r="BZ577" s="6"/>
    </row>
    <row r="578">
      <c r="A578" s="12">
        <f>IFERROR(__xludf.DUMMYFUNCTION("""COMPUTED_VALUE"""),1.092856694E9)</f>
        <v>1092856694</v>
      </c>
      <c r="B578" s="6">
        <f>IFERROR(__xludf.DUMMYFUNCTION("""COMPUTED_VALUE"""),23.0)</f>
        <v>23</v>
      </c>
      <c r="C578" s="6" t="str">
        <f>IFERROR(__xludf.DUMMYFUNCTION("""COMPUTED_VALUE"""),"Martín")</f>
        <v>Martín</v>
      </c>
      <c r="D578" s="6"/>
      <c r="E578" s="6" t="str">
        <f>IFERROR(__xludf.DUMMYFUNCTION("""COMPUTED_VALUE"""),"González Marín")</f>
        <v>González Marín</v>
      </c>
      <c r="F578" s="6" t="str">
        <f>IFERROR(__xludf.DUMMYFUNCTION("""COMPUTED_VALUE"""),"Floresta de San Juan - Cra 6 No47Nte - 20")</f>
        <v>Floresta de San Juan - Cra 6 No47Nte - 20</v>
      </c>
      <c r="G578" s="12" t="str">
        <f>IFERROR(__xludf.DUMMYFUNCTION("""COMPUTED_VALUE"""),"2013")</f>
        <v>2013</v>
      </c>
      <c r="H578" s="6" t="str">
        <f>IFERROR(__xludf.DUMMYFUNCTION("""COMPUTED_VALUE"""),"Marzo")</f>
        <v>Marzo</v>
      </c>
      <c r="I578" s="12" t="str">
        <f>IFERROR(__xludf.DUMMYFUNCTION("""COMPUTED_VALUE"""),"22")</f>
        <v>22</v>
      </c>
      <c r="J578" s="6" t="str">
        <f>IFERROR(__xludf.DUMMYFUNCTION("""COMPUTED_VALUE"""),"Armenia")</f>
        <v>Armenia</v>
      </c>
      <c r="K578" s="6" t="str">
        <f>IFERROR(__xludf.DUMMYFUNCTION("""COMPUTED_VALUE"""),"martin.g2031@gi.edu.co")</f>
        <v>martin.g2031@gi.edu.co</v>
      </c>
      <c r="L578" s="6" t="str">
        <f>IFERROR(__xludf.DUMMYFUNCTION("""COMPUTED_VALUE"""),"TI")</f>
        <v>TI</v>
      </c>
      <c r="M578" s="6" t="str">
        <f>IFERROR(__xludf.DUMMYFUNCTION("""COMPUTED_VALUE"""),"Armenia")</f>
        <v>Armenia</v>
      </c>
      <c r="N578" s="6" t="str">
        <f>IFERROR(__xludf.DUMMYFUNCTION("""COMPUTED_VALUE"""),"M")</f>
        <v>M</v>
      </c>
      <c r="O578" s="6" t="str">
        <f>IFERROR(__xludf.DUMMYFUNCTION("""COMPUTED_VALUE"""),"INACTIVE")</f>
        <v>INACTIVE</v>
      </c>
      <c r="P578" s="6"/>
      <c r="Q578" s="6" t="str">
        <f>IFERROR(__xludf.DUMMYFUNCTION("""COMPUTED_VALUE"""),"Armenia")</f>
        <v>Armenia</v>
      </c>
      <c r="R578" s="12" t="str">
        <f>IFERROR(__xludf.DUMMYFUNCTION("""COMPUTED_VALUE"""),"Gif9nd1c18n*")</f>
        <v>Gif9nd1c18n*</v>
      </c>
      <c r="S578" s="6" t="str">
        <f>IFERROR(__xludf.DUMMYFUNCTION("""COMPUTED_VALUE"""),"González Marín Martín ")</f>
        <v>González Marín Martín </v>
      </c>
      <c r="T578" s="6" t="str">
        <f>IFERROR(__xludf.DUMMYFUNCTION("""COMPUTED_VALUE"""),"OMAR GONZALEZ CHAPARRO")</f>
        <v>OMAR GONZALEZ CHAPARRO</v>
      </c>
      <c r="U578" s="12" t="str">
        <f>IFERROR(__xludf.DUMMYFUNCTION("""COMPUTED_VALUE"""),"7540522")</f>
        <v>7540522</v>
      </c>
      <c r="V578" s="6">
        <f>IFERROR(__xludf.DUMMYFUNCTION("""COMPUTED_VALUE"""),3.108467893E9)</f>
        <v>3108467893</v>
      </c>
      <c r="W578" s="6" t="str">
        <f>IFERROR(__xludf.DUMMYFUNCTION("""COMPUTED_VALUE"""),"chaparro-2525@hotmail.com")</f>
        <v>chaparro-2525@hotmail.com</v>
      </c>
      <c r="X578" s="12" t="str">
        <f>IFERROR(__xludf.DUMMYFUNCTION("""COMPUTED_VALUE"""),"O-")</f>
        <v>O-</v>
      </c>
      <c r="Y578" s="12" t="str">
        <f>IFERROR(__xludf.DUMMYFUNCTION("""COMPUTED_VALUE"""),"8")</f>
        <v>8</v>
      </c>
      <c r="Z578" s="12">
        <f>IFERROR(__xludf.DUMMYFUNCTION("""COMPUTED_VALUE"""),103395.0)</f>
        <v>103395</v>
      </c>
      <c r="AA578" s="6" t="str">
        <f>IFERROR(__xludf.DUMMYFUNCTION("""COMPUTED_VALUE"""),"SURA")</f>
        <v>SURA</v>
      </c>
      <c r="AB578" s="6" t="str">
        <f>IFERROR(__xludf.DUMMYFUNCTION("""COMPUTED_VALUE"""),"EMI")</f>
        <v>EMI</v>
      </c>
      <c r="AC578" s="12" t="str">
        <f>IFERROR(__xludf.DUMMYFUNCTION("""COMPUTED_VALUE"""),"rinitis alérgica al frio - polvo")</f>
        <v>rinitis alérgica al frio - polvo</v>
      </c>
      <c r="AD578" s="12" t="str">
        <f>IFERROR(__xludf.DUMMYFUNCTION("""COMPUTED_VALUE"""),"8B")</f>
        <v>8B</v>
      </c>
      <c r="AE578" s="12">
        <f>IFERROR(__xludf.DUMMYFUNCTION("""COMPUTED_VALUE"""),1.345281672E9)</f>
        <v>1345281672</v>
      </c>
      <c r="AF578" s="12" t="str">
        <f>IFERROR(__xludf.DUMMYFUNCTION("""COMPUTED_VALUE"""),"0708555171")</f>
        <v>0708555171</v>
      </c>
      <c r="AG578" s="12" t="str">
        <f>IFERROR(__xludf.DUMMYFUNCTION("""COMPUTED_VALUE"""),"Constanza")</f>
        <v>Constanza</v>
      </c>
      <c r="AH578" s="12" t="str">
        <f>IFERROR(__xludf.DUMMYFUNCTION("""COMPUTED_VALUE"""),"Eugenia")</f>
        <v>Eugenia</v>
      </c>
      <c r="AI578" s="6" t="str">
        <f>IFERROR(__xludf.DUMMYFUNCTION("""COMPUTED_VALUE"""),"Marín Carmona")</f>
        <v>Marín Carmona</v>
      </c>
      <c r="AJ578" s="6" t="str">
        <f>IFERROR(__xludf.DUMMYFUNCTION("""COMPUTED_VALUE"""),"connymarin549@gmail.com")</f>
        <v>connymarin549@gmail.com</v>
      </c>
      <c r="AK578" s="6" t="str">
        <f>IFERROR(__xludf.DUMMYFUNCTION("""COMPUTED_VALUE"""),"Psicologa")</f>
        <v>Psicologa</v>
      </c>
      <c r="AL578" s="6" t="str">
        <f>IFERROR(__xludf.DUMMYFUNCTION("""COMPUTED_VALUE"""),"Activa tu mente")</f>
        <v>Activa tu mente</v>
      </c>
      <c r="AM578" s="12" t="str">
        <f>IFERROR(__xludf.DUMMYFUNCTION("""COMPUTED_VALUE"""),"30337215")</f>
        <v>30337215</v>
      </c>
      <c r="AN578" s="12" t="str">
        <f>IFERROR(__xludf.DUMMYFUNCTION("""COMPUTED_VALUE"""),"3136214946")</f>
        <v>3136214946</v>
      </c>
      <c r="AO578" s="6" t="str">
        <f>IFERROR(__xludf.DUMMYFUNCTION("""COMPUTED_VALUE"""),"Madre")</f>
        <v>Madre</v>
      </c>
      <c r="AP578" s="6" t="str">
        <f>IFERROR(__xludf.DUMMYFUNCTION("""COMPUTED_VALUE"""),"Estudiante(s): González Marín")</f>
        <v>Estudiante(s): González Marín</v>
      </c>
      <c r="AQ578" s="6" t="str">
        <f>IFERROR(__xludf.DUMMYFUNCTION("""COMPUTED_VALUE"""),"103395*Gi")</f>
        <v>103395*Gi</v>
      </c>
      <c r="AR578" s="6" t="str">
        <f>IFERROR(__xludf.DUMMYFUNCTION("""COMPUTED_VALUE"""),"Omar")</f>
        <v>Omar</v>
      </c>
      <c r="AS578" s="6"/>
      <c r="AT578" s="6" t="str">
        <f>IFERROR(__xludf.DUMMYFUNCTION("""COMPUTED_VALUE"""),"González Chaparro")</f>
        <v>González Chaparro</v>
      </c>
      <c r="AU578" s="6" t="str">
        <f>IFERROR(__xludf.DUMMYFUNCTION("""COMPUTED_VALUE"""),"chaparro-2525@hotmail.com")</f>
        <v>chaparro-2525@hotmail.com</v>
      </c>
      <c r="AV578" s="6" t="str">
        <f>IFERROR(__xludf.DUMMYFUNCTION("""COMPUTED_VALUE"""),"Abogado")</f>
        <v>Abogado</v>
      </c>
      <c r="AW578" s="6" t="str">
        <f>IFERROR(__xludf.DUMMYFUNCTION("""COMPUTED_VALUE"""),"Independiente")</f>
        <v>Independiente</v>
      </c>
      <c r="AX578" s="12" t="str">
        <f>IFERROR(__xludf.DUMMYFUNCTION("""COMPUTED_VALUE"""),"7540522")</f>
        <v>7540522</v>
      </c>
      <c r="AY578" s="12" t="str">
        <f>IFERROR(__xludf.DUMMYFUNCTION("""COMPUTED_VALUE"""),"3108467893")</f>
        <v>3108467893</v>
      </c>
      <c r="AZ578" s="6" t="str">
        <f>IFERROR(__xludf.DUMMYFUNCTION("""COMPUTED_VALUE"""),"Padre")</f>
        <v>Padre</v>
      </c>
      <c r="BA578" s="6"/>
      <c r="BB578" s="6"/>
      <c r="BC578" s="6"/>
      <c r="BD578" s="12" t="str">
        <f>IFERROR(__xludf.DUMMYFUNCTION("""COMPUTED_VALUE"""),"gon0011")</f>
        <v>gon0011</v>
      </c>
      <c r="BE578" s="6" t="str">
        <f>IFERROR(__xludf.DUMMYFUNCTION("""COMPUTED_VALUE"""),"FALTAN FIRMAS")</f>
        <v>FALTAN FIRMAS</v>
      </c>
      <c r="BF578" s="6"/>
      <c r="BG578" s="6">
        <f>IFERROR(__xludf.DUMMYFUNCTION("""COMPUTED_VALUE"""),2031.0)</f>
        <v>2031</v>
      </c>
      <c r="BH578" s="15">
        <f>IFERROR(__xludf.DUMMYFUNCTION("""COMPUTED_VALUE"""),46212.296064814815)</f>
        <v>46212.29606</v>
      </c>
      <c r="BI578" s="6">
        <f>IFERROR(__xludf.DUMMYFUNCTION("""COMPUTED_VALUE"""),578.0)</f>
        <v>578</v>
      </c>
      <c r="BJ578" s="6" t="str">
        <f>IFERROR(__xludf.DUMMYFUNCTION("""COMPUTED_VALUE"""),"Mayo 14/2024 SIMAT: Transtorno por déficit con/sin hiperactividad")</f>
        <v>Mayo 14/2024 SIMAT: Transtorno por déficit con/sin hiperactividad</v>
      </c>
      <c r="BK578" s="6"/>
      <c r="BL578" s="6" t="str">
        <f>IFERROR(__xludf.DUMMYFUNCTION("""COMPUTED_VALUE"""),"GISGON0011")</f>
        <v>GISGON0011</v>
      </c>
      <c r="BM578" s="6"/>
      <c r="BN578" s="6"/>
      <c r="BO578" s="6"/>
      <c r="BP578" s="6"/>
      <c r="BQ578" s="6"/>
      <c r="BR578" s="6"/>
      <c r="BS578" s="6"/>
      <c r="BT578" s="6"/>
      <c r="BU578" s="6" t="str">
        <f>IFERROR(__xludf.DUMMYFUNCTION("""COMPUTED_VALUE"""),"NO")</f>
        <v>NO</v>
      </c>
      <c r="BV578" s="6" t="str">
        <f>IFERROR(__xludf.DUMMYFUNCTION("""COMPUTED_VALUE"""),"martin.g2031")</f>
        <v>martin.g2031</v>
      </c>
      <c r="BW578" s="6"/>
      <c r="BX578" s="6"/>
      <c r="BY578" s="6"/>
      <c r="BZ578" s="6"/>
    </row>
    <row r="579">
      <c r="A579" s="12">
        <f>IFERROR(__xludf.DUMMYFUNCTION("""COMPUTED_VALUE"""),1.125249196E9)</f>
        <v>1125249196</v>
      </c>
      <c r="B579" s="6">
        <f>IFERROR(__xludf.DUMMYFUNCTION("""COMPUTED_VALUE"""),24.0)</f>
        <v>24</v>
      </c>
      <c r="C579" s="6" t="str">
        <f>IFERROR(__xludf.DUMMYFUNCTION("""COMPUTED_VALUE"""),"Vicente")</f>
        <v>Vicente</v>
      </c>
      <c r="D579" s="6"/>
      <c r="E579" s="6" t="str">
        <f>IFERROR(__xludf.DUMMYFUNCTION("""COMPUTED_VALUE"""),"Gutiérrez Montoya")</f>
        <v>Gutiérrez Montoya</v>
      </c>
      <c r="F579" s="6" t="str">
        <f>IFERROR(__xludf.DUMMYFUNCTION("""COMPUTED_VALUE"""),"Conjunto Hacienda El Cabrero Casa 29 - Km 9 Via Armenia-La Tebaida")</f>
        <v>Conjunto Hacienda El Cabrero Casa 29 - Km 9 Via Armenia-La Tebaida</v>
      </c>
      <c r="G579" s="12" t="str">
        <f>IFERROR(__xludf.DUMMYFUNCTION("""COMPUTED_VALUE"""),"2012")</f>
        <v>2012</v>
      </c>
      <c r="H579" s="6" t="str">
        <f>IFERROR(__xludf.DUMMYFUNCTION("""COMPUTED_VALUE"""),"Enero")</f>
        <v>Enero</v>
      </c>
      <c r="I579" s="12" t="str">
        <f>IFERROR(__xludf.DUMMYFUNCTION("""COMPUTED_VALUE"""),"13")</f>
        <v>13</v>
      </c>
      <c r="J579" s="6" t="str">
        <f>IFERROR(__xludf.DUMMYFUNCTION("""COMPUTED_VALUE"""),"Santiago")</f>
        <v>Santiago</v>
      </c>
      <c r="K579" s="6" t="str">
        <f>IFERROR(__xludf.DUMMYFUNCTION("""COMPUTED_VALUE"""),"vicente.g2031@gi.edu.co")</f>
        <v>vicente.g2031@gi.edu.co</v>
      </c>
      <c r="L579" s="6" t="str">
        <f>IFERROR(__xludf.DUMMYFUNCTION("""COMPUTED_VALUE"""),"TI")</f>
        <v>TI</v>
      </c>
      <c r="M579" s="6" t="str">
        <f>IFERROR(__xludf.DUMMYFUNCTION("""COMPUTED_VALUE"""),"Santiago")</f>
        <v>Santiago</v>
      </c>
      <c r="N579" s="6" t="str">
        <f>IFERROR(__xludf.DUMMYFUNCTION("""COMPUTED_VALUE"""),"M")</f>
        <v>M</v>
      </c>
      <c r="O579" s="6" t="str">
        <f>IFERROR(__xludf.DUMMYFUNCTION("""COMPUTED_VALUE"""),"ACTIVE")</f>
        <v>ACTIVE</v>
      </c>
      <c r="P579" s="6"/>
      <c r="Q579" s="6" t="str">
        <f>IFERROR(__xludf.DUMMYFUNCTION("""COMPUTED_VALUE"""),"Armenia")</f>
        <v>Armenia</v>
      </c>
      <c r="R579" s="12" t="str">
        <f>IFERROR(__xludf.DUMMYFUNCTION("""COMPUTED_VALUE"""),"Giarr79uk*")</f>
        <v>Giarr79uk*</v>
      </c>
      <c r="S579" s="6" t="str">
        <f>IFERROR(__xludf.DUMMYFUNCTION("""COMPUTED_VALUE"""),"Gutiérrez Montoya Vicente ")</f>
        <v>Gutiérrez Montoya Vicente </v>
      </c>
      <c r="T579" s="6" t="str">
        <f>IFERROR(__xludf.DUMMYFUNCTION("""COMPUTED_VALUE"""),"JORGE HERNAN GUTIERREZ RAMIREZ")</f>
        <v>JORGE HERNAN GUTIERREZ RAMIREZ</v>
      </c>
      <c r="U579" s="12" t="str">
        <f>IFERROR(__xludf.DUMMYFUNCTION("""COMPUTED_VALUE"""),"79981271")</f>
        <v>79981271</v>
      </c>
      <c r="V579" s="6">
        <f>IFERROR(__xludf.DUMMYFUNCTION("""COMPUTED_VALUE"""),3.103201164E9)</f>
        <v>3103201164</v>
      </c>
      <c r="W579" s="6" t="str">
        <f>IFERROR(__xludf.DUMMYFUNCTION("""COMPUTED_VALUE"""),"gutierrezjorge@gmail.com")</f>
        <v>gutierrezjorge@gmail.com</v>
      </c>
      <c r="X579" s="12" t="str">
        <f>IFERROR(__xludf.DUMMYFUNCTION("""COMPUTED_VALUE"""),"O+")</f>
        <v>O+</v>
      </c>
      <c r="Y579" s="12" t="str">
        <f>IFERROR(__xludf.DUMMYFUNCTION("""COMPUTED_VALUE"""),"8")</f>
        <v>8</v>
      </c>
      <c r="Z579" s="12">
        <f>IFERROR(__xludf.DUMMYFUNCTION("""COMPUTED_VALUE"""),120518.0)</f>
        <v>120518</v>
      </c>
      <c r="AA579" s="6" t="str">
        <f>IFERROR(__xludf.DUMMYFUNCTION("""COMPUTED_VALUE"""),"SURA")</f>
        <v>SURA</v>
      </c>
      <c r="AB579" s="6"/>
      <c r="AC579" s="6"/>
      <c r="AD579" s="12" t="str">
        <f>IFERROR(__xludf.DUMMYFUNCTION("""COMPUTED_VALUE"""),"8C")</f>
        <v>8C</v>
      </c>
      <c r="AE579" s="12" t="str">
        <f>IFERROR(__xludf.DUMMYFUNCTION("""COMPUTED_VALUE"""),"1345282517")</f>
        <v>1345282517</v>
      </c>
      <c r="AF579" s="6"/>
      <c r="AG579" s="12" t="str">
        <f>IFERROR(__xludf.DUMMYFUNCTION("""COMPUTED_VALUE"""),"Laura")</f>
        <v>Laura</v>
      </c>
      <c r="AH579" s="6"/>
      <c r="AI579" s="6" t="str">
        <f>IFERROR(__xludf.DUMMYFUNCTION("""COMPUTED_VALUE"""),"Montoya Carioso")</f>
        <v>Montoya Carioso</v>
      </c>
      <c r="AJ579" s="6" t="str">
        <f>IFERROR(__xludf.DUMMYFUNCTION("""COMPUTED_VALUE"""),"lalamontoya@gmail.com")</f>
        <v>lalamontoya@gmail.com</v>
      </c>
      <c r="AK579" s="6" t="str">
        <f>IFERROR(__xludf.DUMMYFUNCTION("""COMPUTED_VALUE"""),"Mercado y Publicidad")</f>
        <v>Mercado y Publicidad</v>
      </c>
      <c r="AL579" s="6" t="str">
        <f>IFERROR(__xludf.DUMMYFUNCTION("""COMPUTED_VALUE"""),"Start Trade SPa")</f>
        <v>Start Trade SPa</v>
      </c>
      <c r="AM579" s="12" t="str">
        <f>IFERROR(__xludf.DUMMYFUNCTION("""COMPUTED_VALUE"""),"52388682")</f>
        <v>52388682</v>
      </c>
      <c r="AN579" s="12" t="str">
        <f>IFERROR(__xludf.DUMMYFUNCTION("""COMPUTED_VALUE"""),"3124618387")</f>
        <v>3124618387</v>
      </c>
      <c r="AO579" s="6" t="str">
        <f>IFERROR(__xludf.DUMMYFUNCTION("""COMPUTED_VALUE"""),"Madre")</f>
        <v>Madre</v>
      </c>
      <c r="AP579" s="6" t="str">
        <f>IFERROR(__xludf.DUMMYFUNCTION("""COMPUTED_VALUE"""),"Estudiante(s): Gutiérrez Montoya")</f>
        <v>Estudiante(s): Gutiérrez Montoya</v>
      </c>
      <c r="AQ579" s="6" t="str">
        <f>IFERROR(__xludf.DUMMYFUNCTION("""COMPUTED_VALUE"""),"120517*Gi")</f>
        <v>120517*Gi</v>
      </c>
      <c r="AR579" s="6" t="str">
        <f>IFERROR(__xludf.DUMMYFUNCTION("""COMPUTED_VALUE"""),"Jorge")</f>
        <v>Jorge</v>
      </c>
      <c r="AS579" s="6" t="str">
        <f>IFERROR(__xludf.DUMMYFUNCTION("""COMPUTED_VALUE"""),"Hernán")</f>
        <v>Hernán</v>
      </c>
      <c r="AT579" s="6" t="str">
        <f>IFERROR(__xludf.DUMMYFUNCTION("""COMPUTED_VALUE"""),"Gutiérrez Ramírez")</f>
        <v>Gutiérrez Ramírez</v>
      </c>
      <c r="AU579" s="6" t="str">
        <f>IFERROR(__xludf.DUMMYFUNCTION("""COMPUTED_VALUE"""),"gutierrezjorge@gmail.com")</f>
        <v>gutierrezjorge@gmail.com</v>
      </c>
      <c r="AV579" s="6" t="str">
        <f>IFERROR(__xludf.DUMMYFUNCTION("""COMPUTED_VALUE"""),"Administrador de Empresas")</f>
        <v>Administrador de Empresas</v>
      </c>
      <c r="AW579" s="6" t="str">
        <f>IFERROR(__xludf.DUMMYFUNCTION("""COMPUTED_VALUE"""),"Start Asesorias Ltda")</f>
        <v>Start Asesorias Ltda</v>
      </c>
      <c r="AX579" s="12" t="str">
        <f>IFERROR(__xludf.DUMMYFUNCTION("""COMPUTED_VALUE"""),"79981271")</f>
        <v>79981271</v>
      </c>
      <c r="AY579" s="6">
        <f>IFERROR(__xludf.DUMMYFUNCTION("""COMPUTED_VALUE"""),3.103201164E9)</f>
        <v>3103201164</v>
      </c>
      <c r="AZ579" s="6" t="str">
        <f>IFERROR(__xludf.DUMMYFUNCTION("""COMPUTED_VALUE"""),"Padre")</f>
        <v>Padre</v>
      </c>
      <c r="BA579" s="6"/>
      <c r="BB579" s="6"/>
      <c r="BC579" s="6"/>
      <c r="BD579" s="12" t="str">
        <f>IFERROR(__xludf.DUMMYFUNCTION("""COMPUTED_VALUE"""),"gut0010")</f>
        <v>gut0010</v>
      </c>
      <c r="BE579" s="6"/>
      <c r="BF579" s="6"/>
      <c r="BG579" s="6">
        <f>IFERROR(__xludf.DUMMYFUNCTION("""COMPUTED_VALUE"""),2031.0)</f>
        <v>2031</v>
      </c>
      <c r="BH579" s="15">
        <f>IFERROR(__xludf.DUMMYFUNCTION("""COMPUTED_VALUE"""),46211.681226851855)</f>
        <v>46211.68123</v>
      </c>
      <c r="BI579" s="6">
        <f>IFERROR(__xludf.DUMMYFUNCTION("""COMPUTED_VALUE"""),579.0)</f>
        <v>579</v>
      </c>
      <c r="BJ579" s="6"/>
      <c r="BK579" s="6"/>
      <c r="BL579" s="6" t="str">
        <f>IFERROR(__xludf.DUMMYFUNCTION("""COMPUTED_VALUE"""),"GISGUT0010")</f>
        <v>GISGUT0010</v>
      </c>
      <c r="BM579" s="6"/>
      <c r="BN579" s="6"/>
      <c r="BO579" s="6"/>
      <c r="BP579" s="6"/>
      <c r="BQ579" s="6"/>
      <c r="BR579" s="6"/>
      <c r="BS579" s="6"/>
      <c r="BT579" s="6"/>
      <c r="BU579" s="6" t="str">
        <f>IFERROR(__xludf.DUMMYFUNCTION("""COMPUTED_VALUE"""),"SI")</f>
        <v>SI</v>
      </c>
      <c r="BV579" s="6" t="str">
        <f>IFERROR(__xludf.DUMMYFUNCTION("""COMPUTED_VALUE"""),"vicente.g2031")</f>
        <v>vicente.g2031</v>
      </c>
      <c r="BW579" s="6"/>
      <c r="BX579" s="6"/>
      <c r="BY579" s="6"/>
      <c r="BZ579" s="6"/>
    </row>
    <row r="580">
      <c r="A580" s="12">
        <f>IFERROR(__xludf.DUMMYFUNCTION("""COMPUTED_VALUE"""),1.013015972E9)</f>
        <v>1013015972</v>
      </c>
      <c r="B580" s="6">
        <f>IFERROR(__xludf.DUMMYFUNCTION("""COMPUTED_VALUE"""),25.0)</f>
        <v>25</v>
      </c>
      <c r="C580" s="6" t="str">
        <f>IFERROR(__xludf.DUMMYFUNCTION("""COMPUTED_VALUE"""),"Alejandro")</f>
        <v>Alejandro</v>
      </c>
      <c r="D580" s="6"/>
      <c r="E580" s="6" t="str">
        <f>IFERROR(__xludf.DUMMYFUNCTION("""COMPUTED_VALUE"""),"Higuera Alarcón")</f>
        <v>Higuera Alarcón</v>
      </c>
      <c r="F580" s="6" t="str">
        <f>IFERROR(__xludf.DUMMYFUNCTION("""COMPUTED_VALUE"""),"Parque Residencial Papiro Torre B Apto 1205 - Calle 25Nte No13 - 41")</f>
        <v>Parque Residencial Papiro Torre B Apto 1205 - Calle 25Nte No13 - 41</v>
      </c>
      <c r="G580" s="12" t="str">
        <f>IFERROR(__xludf.DUMMYFUNCTION("""COMPUTED_VALUE"""),"2012")</f>
        <v>2012</v>
      </c>
      <c r="H580" s="6" t="str">
        <f>IFERROR(__xludf.DUMMYFUNCTION("""COMPUTED_VALUE"""),"Septiembre")</f>
        <v>Septiembre</v>
      </c>
      <c r="I580" s="12" t="str">
        <f>IFERROR(__xludf.DUMMYFUNCTION("""COMPUTED_VALUE"""),"6")</f>
        <v>6</v>
      </c>
      <c r="J580" s="6" t="str">
        <f>IFERROR(__xludf.DUMMYFUNCTION("""COMPUTED_VALUE"""),"Bogotá D.C.")</f>
        <v>Bogotá D.C.</v>
      </c>
      <c r="K580" s="6" t="str">
        <f>IFERROR(__xludf.DUMMYFUNCTION("""COMPUTED_VALUE"""),"alejandro.h2031@gi.edu.co")</f>
        <v>alejandro.h2031@gi.edu.co</v>
      </c>
      <c r="L580" s="6" t="str">
        <f>IFERROR(__xludf.DUMMYFUNCTION("""COMPUTED_VALUE"""),"TI")</f>
        <v>TI</v>
      </c>
      <c r="M580" s="6" t="str">
        <f>IFERROR(__xludf.DUMMYFUNCTION("""COMPUTED_VALUE"""),"Bogotá D.C.")</f>
        <v>Bogotá D.C.</v>
      </c>
      <c r="N580" s="6" t="str">
        <f>IFERROR(__xludf.DUMMYFUNCTION("""COMPUTED_VALUE"""),"M")</f>
        <v>M</v>
      </c>
      <c r="O580" s="6" t="str">
        <f>IFERROR(__xludf.DUMMYFUNCTION("""COMPUTED_VALUE"""),"ACTIVE")</f>
        <v>ACTIVE</v>
      </c>
      <c r="P580" s="6"/>
      <c r="Q580" s="6" t="str">
        <f>IFERROR(__xludf.DUMMYFUNCTION("""COMPUTED_VALUE"""),"Circasia")</f>
        <v>Circasia</v>
      </c>
      <c r="R580" s="12" t="str">
        <f>IFERROR(__xludf.DUMMYFUNCTION("""COMPUTED_VALUE"""),"Gi568dne*")</f>
        <v>Gi568dne*</v>
      </c>
      <c r="S580" s="6" t="str">
        <f>IFERROR(__xludf.DUMMYFUNCTION("""COMPUTED_VALUE"""),"Higuera Alarcón Alejandro ")</f>
        <v>Higuera Alarcón Alejandro </v>
      </c>
      <c r="T580" s="6" t="str">
        <f>IFERROR(__xludf.DUMMYFUNCTION("""COMPUTED_VALUE"""),"GIOVANNI ALEXANDER HIGUERA SANTAMARIA")</f>
        <v>GIOVANNI ALEXANDER HIGUERA SANTAMARIA</v>
      </c>
      <c r="U580" s="12" t="str">
        <f>IFERROR(__xludf.DUMMYFUNCTION("""COMPUTED_VALUE"""),"79624914")</f>
        <v>79624914</v>
      </c>
      <c r="V580" s="6">
        <f>IFERROR(__xludf.DUMMYFUNCTION("""COMPUTED_VALUE"""),3.102431076E9)</f>
        <v>3102431076</v>
      </c>
      <c r="W580" s="6" t="str">
        <f>IFERROR(__xludf.DUMMYFUNCTION("""COMPUTED_VALUE"""),"giovannihiguera@hotmail.com")</f>
        <v>giovannihiguera@hotmail.com</v>
      </c>
      <c r="X580" s="12" t="str">
        <f>IFERROR(__xludf.DUMMYFUNCTION("""COMPUTED_VALUE"""),"AB+")</f>
        <v>AB+</v>
      </c>
      <c r="Y580" s="12" t="str">
        <f>IFERROR(__xludf.DUMMYFUNCTION("""COMPUTED_VALUE"""),"8")</f>
        <v>8</v>
      </c>
      <c r="Z580" s="12">
        <f>IFERROR(__xludf.DUMMYFUNCTION("""COMPUTED_VALUE"""),120059.0)</f>
        <v>120059</v>
      </c>
      <c r="AA580" s="6" t="str">
        <f>IFERROR(__xludf.DUMMYFUNCTION("""COMPUTED_VALUE"""),"SANITAS")</f>
        <v>SANITAS</v>
      </c>
      <c r="AB580" s="6"/>
      <c r="AC580" s="6"/>
      <c r="AD580" s="12" t="str">
        <f>IFERROR(__xludf.DUMMYFUNCTION("""COMPUTED_VALUE"""),"8A")</f>
        <v>8A</v>
      </c>
      <c r="AE580" s="12">
        <f>IFERROR(__xludf.DUMMYFUNCTION("""COMPUTED_VALUE"""),1.345282082E9)</f>
        <v>1345282082</v>
      </c>
      <c r="AF580" s="12" t="str">
        <f>IFERROR(__xludf.DUMMYFUNCTION("""COMPUTED_VALUE"""),"0708280099")</f>
        <v>0708280099</v>
      </c>
      <c r="AG580" s="12" t="str">
        <f>IFERROR(__xludf.DUMMYFUNCTION("""COMPUTED_VALUE"""),"Betsy")</f>
        <v>Betsy</v>
      </c>
      <c r="AH580" s="12" t="str">
        <f>IFERROR(__xludf.DUMMYFUNCTION("""COMPUTED_VALUE"""),"Lorena")</f>
        <v>Lorena</v>
      </c>
      <c r="AI580" s="6" t="str">
        <f>IFERROR(__xludf.DUMMYFUNCTION("""COMPUTED_VALUE"""),"Alarcón Caicedo")</f>
        <v>Alarcón Caicedo</v>
      </c>
      <c r="AJ580" s="6" t="str">
        <f>IFERROR(__xludf.DUMMYFUNCTION("""COMPUTED_VALUE"""),"betsylo10@hotmail.com")</f>
        <v>betsylo10@hotmail.com</v>
      </c>
      <c r="AK580" s="6" t="str">
        <f>IFERROR(__xludf.DUMMYFUNCTION("""COMPUTED_VALUE"""),"Odontóloga")</f>
        <v>Odontóloga</v>
      </c>
      <c r="AL580" s="6"/>
      <c r="AM580" s="12" t="str">
        <f>IFERROR(__xludf.DUMMYFUNCTION("""COMPUTED_VALUE"""),"41939375")</f>
        <v>41939375</v>
      </c>
      <c r="AN580" s="12" t="str">
        <f>IFERROR(__xludf.DUMMYFUNCTION("""COMPUTED_VALUE"""),"3012125548")</f>
        <v>3012125548</v>
      </c>
      <c r="AO580" s="6" t="str">
        <f>IFERROR(__xludf.DUMMYFUNCTION("""COMPUTED_VALUE"""),"Madre")</f>
        <v>Madre</v>
      </c>
      <c r="AP580" s="6" t="str">
        <f>IFERROR(__xludf.DUMMYFUNCTION("""COMPUTED_VALUE"""),"Estudiante(s): Higuera Alarcón")</f>
        <v>Estudiante(s): Higuera Alarcón</v>
      </c>
      <c r="AQ580" s="6" t="str">
        <f>IFERROR(__xludf.DUMMYFUNCTION("""COMPUTED_VALUE"""),"120059*Gi")</f>
        <v>120059*Gi</v>
      </c>
      <c r="AR580" s="6" t="str">
        <f>IFERROR(__xludf.DUMMYFUNCTION("""COMPUTED_VALUE"""),"Giovanni")</f>
        <v>Giovanni</v>
      </c>
      <c r="AS580" s="6"/>
      <c r="AT580" s="6" t="str">
        <f>IFERROR(__xludf.DUMMYFUNCTION("""COMPUTED_VALUE"""),"Higuera Santamaría")</f>
        <v>Higuera Santamaría</v>
      </c>
      <c r="AU580" s="6" t="str">
        <f>IFERROR(__xludf.DUMMYFUNCTION("""COMPUTED_VALUE"""),"giovannihiguera@hotmail.com")</f>
        <v>giovannihiguera@hotmail.com</v>
      </c>
      <c r="AV580" s="6" t="str">
        <f>IFERROR(__xludf.DUMMYFUNCTION("""COMPUTED_VALUE"""),"Odontólogo")</f>
        <v>Odontólogo</v>
      </c>
      <c r="AW580" s="6" t="str">
        <f>IFERROR(__xludf.DUMMYFUNCTION("""COMPUTED_VALUE"""),"Consultorio Particular")</f>
        <v>Consultorio Particular</v>
      </c>
      <c r="AX580" s="12" t="str">
        <f>IFERROR(__xludf.DUMMYFUNCTION("""COMPUTED_VALUE"""),"79624914")</f>
        <v>79624914</v>
      </c>
      <c r="AY580" s="12" t="str">
        <f>IFERROR(__xludf.DUMMYFUNCTION("""COMPUTED_VALUE"""),"3102431076")</f>
        <v>3102431076</v>
      </c>
      <c r="AZ580" s="6" t="str">
        <f>IFERROR(__xludf.DUMMYFUNCTION("""COMPUTED_VALUE"""),"Padre")</f>
        <v>Padre</v>
      </c>
      <c r="BA580" s="6"/>
      <c r="BB580" s="6"/>
      <c r="BC580" s="6"/>
      <c r="BD580" s="12" t="str">
        <f>IFERROR(__xludf.DUMMYFUNCTION("""COMPUTED_VALUE"""),"hil0001")</f>
        <v>hil0001</v>
      </c>
      <c r="BE580" s="6"/>
      <c r="BF580" s="6"/>
      <c r="BG580" s="6">
        <f>IFERROR(__xludf.DUMMYFUNCTION("""COMPUTED_VALUE"""),2031.0)</f>
        <v>2031</v>
      </c>
      <c r="BH580" s="15">
        <f>IFERROR(__xludf.DUMMYFUNCTION("""COMPUTED_VALUE"""),46208.79775462963)</f>
        <v>46208.79775</v>
      </c>
      <c r="BI580" s="6">
        <f>IFERROR(__xludf.DUMMYFUNCTION("""COMPUTED_VALUE"""),580.0)</f>
        <v>580</v>
      </c>
      <c r="BJ580" s="6"/>
      <c r="BK580" s="6"/>
      <c r="BL580" s="6" t="str">
        <f>IFERROR(__xludf.DUMMYFUNCTION("""COMPUTED_VALUE"""),"GISHIL0001")</f>
        <v>GISHIL0001</v>
      </c>
      <c r="BM580" s="6"/>
      <c r="BN580" s="6"/>
      <c r="BO580" s="6" t="str">
        <f>IFERROR(__xludf.DUMMYFUNCTION("""COMPUTED_VALUE"""),"XC_MS_BandaTR")</f>
        <v>XC_MS_BandaTR</v>
      </c>
      <c r="BP580" s="6"/>
      <c r="BQ580" s="6" t="str">
        <f>IFERROR(__xludf.DUMMYFUNCTION("""COMPUTED_VALUE"""),"XC_SEC_Basquetbol")</f>
        <v>XC_SEC_Basquetbol</v>
      </c>
      <c r="BR580" s="6" t="str">
        <f>IFERROR(__xludf.DUMMYFUNCTION("""COMPUTED_VALUE"""),"XC_SEC_Basquetbol")</f>
        <v>XC_SEC_Basquetbol</v>
      </c>
      <c r="BS580" s="6"/>
      <c r="BT580" s="6" t="str">
        <f>IFERROR(__xludf.DUMMYFUNCTION("""COMPUTED_VALUE"""),"XC_SEC_Basquetbol")</f>
        <v>XC_SEC_Basquetbol</v>
      </c>
      <c r="BU580" s="6" t="str">
        <f>IFERROR(__xludf.DUMMYFUNCTION("""COMPUTED_VALUE"""),"SI")</f>
        <v>SI</v>
      </c>
      <c r="BV580" s="6" t="str">
        <f>IFERROR(__xludf.DUMMYFUNCTION("""COMPUTED_VALUE"""),"alejandro.h2031")</f>
        <v>alejandro.h2031</v>
      </c>
      <c r="BW580" s="6"/>
      <c r="BX580" s="6"/>
      <c r="BY580" s="6"/>
      <c r="BZ580" s="6"/>
    </row>
    <row r="581">
      <c r="A581" s="12">
        <f>IFERROR(__xludf.DUMMYFUNCTION("""COMPUTED_VALUE"""),1.092856881E9)</f>
        <v>1092856881</v>
      </c>
      <c r="B581" s="6">
        <f>IFERROR(__xludf.DUMMYFUNCTION("""COMPUTED_VALUE"""),26.0)</f>
        <v>26</v>
      </c>
      <c r="C581" s="6" t="str">
        <f>IFERROR(__xludf.DUMMYFUNCTION("""COMPUTED_VALUE"""),"Jacobo")</f>
        <v>Jacobo</v>
      </c>
      <c r="D581" s="6"/>
      <c r="E581" s="6" t="str">
        <f>IFERROR(__xludf.DUMMYFUNCTION("""COMPUTED_VALUE"""),"Londoño Londoño")</f>
        <v>Londoño Londoño</v>
      </c>
      <c r="F581" s="6" t="str">
        <f>IFERROR(__xludf.DUMMYFUNCTION("""COMPUTED_VALUE"""),"Conjunto Residencial La Primavera Manzana 7 Casa 12 - Cra 14 No54Nte - 10")</f>
        <v>Conjunto Residencial La Primavera Manzana 7 Casa 12 - Cra 14 No54Nte - 10</v>
      </c>
      <c r="G581" s="12" t="str">
        <f>IFERROR(__xludf.DUMMYFUNCTION("""COMPUTED_VALUE"""),"2013")</f>
        <v>2013</v>
      </c>
      <c r="H581" s="6" t="str">
        <f>IFERROR(__xludf.DUMMYFUNCTION("""COMPUTED_VALUE"""),"Junio")</f>
        <v>Junio</v>
      </c>
      <c r="I581" s="12" t="str">
        <f>IFERROR(__xludf.DUMMYFUNCTION("""COMPUTED_VALUE"""),"11")</f>
        <v>11</v>
      </c>
      <c r="J581" s="6" t="str">
        <f>IFERROR(__xludf.DUMMYFUNCTION("""COMPUTED_VALUE"""),"Armenia")</f>
        <v>Armenia</v>
      </c>
      <c r="K581" s="6" t="str">
        <f>IFERROR(__xludf.DUMMYFUNCTION("""COMPUTED_VALUE"""),"jacobo.l2031@gi.edu.co")</f>
        <v>jacobo.l2031@gi.edu.co</v>
      </c>
      <c r="L581" s="6" t="str">
        <f>IFERROR(__xludf.DUMMYFUNCTION("""COMPUTED_VALUE"""),"TI")</f>
        <v>TI</v>
      </c>
      <c r="M581" s="6" t="str">
        <f>IFERROR(__xludf.DUMMYFUNCTION("""COMPUTED_VALUE"""),"Armenia")</f>
        <v>Armenia</v>
      </c>
      <c r="N581" s="6" t="str">
        <f>IFERROR(__xludf.DUMMYFUNCTION("""COMPUTED_VALUE"""),"M")</f>
        <v>M</v>
      </c>
      <c r="O581" s="6" t="str">
        <f>IFERROR(__xludf.DUMMYFUNCTION("""COMPUTED_VALUE"""),"INACTIVE")</f>
        <v>INACTIVE</v>
      </c>
      <c r="P581" s="6"/>
      <c r="Q581" s="6" t="str">
        <f>IFERROR(__xludf.DUMMYFUNCTION("""COMPUTED_VALUE"""),"Armenia")</f>
        <v>Armenia</v>
      </c>
      <c r="R581" s="12" t="str">
        <f>IFERROR(__xludf.DUMMYFUNCTION("""COMPUTED_VALUE"""),"Gimsdnf31*")</f>
        <v>Gimsdnf31*</v>
      </c>
      <c r="S581" s="6" t="str">
        <f>IFERROR(__xludf.DUMMYFUNCTION("""COMPUTED_VALUE"""),"Londoño Londoño Jacobo ")</f>
        <v>Londoño Londoño Jacobo </v>
      </c>
      <c r="T581" s="6" t="str">
        <f>IFERROR(__xludf.DUMMYFUNCTION("""COMPUTED_VALUE"""),"EDUARD ARLEX LONDOÑO LONDOÑO")</f>
        <v>EDUARD ARLEX LONDOÑO LONDOÑO</v>
      </c>
      <c r="U581" s="12" t="str">
        <f>IFERROR(__xludf.DUMMYFUNCTION("""COMPUTED_VALUE"""),"75094243")</f>
        <v>75094243</v>
      </c>
      <c r="V581" s="6">
        <f>IFERROR(__xludf.DUMMYFUNCTION("""COMPUTED_VALUE"""),3.104149987E9)</f>
        <v>3104149987</v>
      </c>
      <c r="W581" s="6" t="str">
        <f>IFERROR(__xludf.DUMMYFUNCTION("""COMPUTED_VALUE"""),"unetedward@hotmail.com")</f>
        <v>unetedward@hotmail.com</v>
      </c>
      <c r="X581" s="12" t="str">
        <f>IFERROR(__xludf.DUMMYFUNCTION("""COMPUTED_VALUE"""),"O+")</f>
        <v>O+</v>
      </c>
      <c r="Y581" s="12" t="str">
        <f>IFERROR(__xludf.DUMMYFUNCTION("""COMPUTED_VALUE"""),"8")</f>
        <v>8</v>
      </c>
      <c r="Z581" s="12">
        <f>IFERROR(__xludf.DUMMYFUNCTION("""COMPUTED_VALUE"""),103708.0)</f>
        <v>103708</v>
      </c>
      <c r="AA581" s="6" t="str">
        <f>IFERROR(__xludf.DUMMYFUNCTION("""COMPUTED_VALUE"""),"NUEVA EPS")</f>
        <v>NUEVA EPS</v>
      </c>
      <c r="AB581" s="6" t="str">
        <f>IFERROR(__xludf.DUMMYFUNCTION("""COMPUTED_VALUE"""),"Coomeva plata joven, SEM")</f>
        <v>Coomeva plata joven, SEM</v>
      </c>
      <c r="AC581" s="6"/>
      <c r="AD581" s="12" t="str">
        <f>IFERROR(__xludf.DUMMYFUNCTION("""COMPUTED_VALUE"""),"8B")</f>
        <v>8B</v>
      </c>
      <c r="AE581" s="12">
        <f>IFERROR(__xludf.DUMMYFUNCTION("""COMPUTED_VALUE"""),1.345281847E9)</f>
        <v>1345281847</v>
      </c>
      <c r="AF581" s="12" t="str">
        <f>IFERROR(__xludf.DUMMYFUNCTION("""COMPUTED_VALUE"""),"0671642979")</f>
        <v>0671642979</v>
      </c>
      <c r="AG581" s="12" t="str">
        <f>IFERROR(__xludf.DUMMYFUNCTION("""COMPUTED_VALUE"""),"Mónica")</f>
        <v>Mónica</v>
      </c>
      <c r="AH581" s="12" t="str">
        <f>IFERROR(__xludf.DUMMYFUNCTION("""COMPUTED_VALUE"""),"María")</f>
        <v>María</v>
      </c>
      <c r="AI581" s="6" t="str">
        <f>IFERROR(__xludf.DUMMYFUNCTION("""COMPUTED_VALUE"""),"Londoño Méndez")</f>
        <v>Londoño Méndez</v>
      </c>
      <c r="AJ581" s="6" t="str">
        <f>IFERROR(__xludf.DUMMYFUNCTION("""COMPUTED_VALUE"""),"moka35@hotmail.com")</f>
        <v>moka35@hotmail.com</v>
      </c>
      <c r="AK581" s="6" t="str">
        <f>IFERROR(__xludf.DUMMYFUNCTION("""COMPUTED_VALUE"""),"ARQUITECTA")</f>
        <v>ARQUITECTA</v>
      </c>
      <c r="AL581" s="6" t="str">
        <f>IFERROR(__xludf.DUMMYFUNCTION("""COMPUTED_VALUE"""),"ESPACIO PARALELO")</f>
        <v>ESPACIO PARALELO</v>
      </c>
      <c r="AM581" s="12" t="str">
        <f>IFERROR(__xludf.DUMMYFUNCTION("""COMPUTED_VALUE"""),"41933726")</f>
        <v>41933726</v>
      </c>
      <c r="AN581" s="12" t="str">
        <f>IFERROR(__xludf.DUMMYFUNCTION("""COMPUTED_VALUE"""),"3166212814")</f>
        <v>3166212814</v>
      </c>
      <c r="AO581" s="6" t="str">
        <f>IFERROR(__xludf.DUMMYFUNCTION("""COMPUTED_VALUE"""),"Madre")</f>
        <v>Madre</v>
      </c>
      <c r="AP581" s="6" t="str">
        <f>IFERROR(__xludf.DUMMYFUNCTION("""COMPUTED_VALUE"""),"Estudiante(s): Londoño Londoño")</f>
        <v>Estudiante(s): Londoño Londoño</v>
      </c>
      <c r="AQ581" s="6" t="str">
        <f>IFERROR(__xludf.DUMMYFUNCTION("""COMPUTED_VALUE"""),"103708*Gi")</f>
        <v>103708*Gi</v>
      </c>
      <c r="AR581" s="6" t="str">
        <f>IFERROR(__xludf.DUMMYFUNCTION("""COMPUTED_VALUE"""),"Eduard")</f>
        <v>Eduard</v>
      </c>
      <c r="AS581" s="6" t="str">
        <f>IFERROR(__xludf.DUMMYFUNCTION("""COMPUTED_VALUE"""),"Arlex")</f>
        <v>Arlex</v>
      </c>
      <c r="AT581" s="6" t="str">
        <f>IFERROR(__xludf.DUMMYFUNCTION("""COMPUTED_VALUE"""),"Londoño Londoño")</f>
        <v>Londoño Londoño</v>
      </c>
      <c r="AU581" s="6" t="str">
        <f>IFERROR(__xludf.DUMMYFUNCTION("""COMPUTED_VALUE"""),"unetedward@hotmail.com")</f>
        <v>unetedward@hotmail.com</v>
      </c>
      <c r="AV581" s="6" t="str">
        <f>IFERROR(__xludf.DUMMYFUNCTION("""COMPUTED_VALUE"""),"Odontologo")</f>
        <v>Odontologo</v>
      </c>
      <c r="AW581" s="6" t="str">
        <f>IFERROR(__xludf.DUMMYFUNCTION("""COMPUTED_VALUE"""),"unete odontologia")</f>
        <v>unete odontologia</v>
      </c>
      <c r="AX581" s="12" t="str">
        <f>IFERROR(__xludf.DUMMYFUNCTION("""COMPUTED_VALUE"""),"75094243")</f>
        <v>75094243</v>
      </c>
      <c r="AY581" s="12" t="str">
        <f>IFERROR(__xludf.DUMMYFUNCTION("""COMPUTED_VALUE"""),"3104149987")</f>
        <v>3104149987</v>
      </c>
      <c r="AZ581" s="6" t="str">
        <f>IFERROR(__xludf.DUMMYFUNCTION("""COMPUTED_VALUE"""),"Padre")</f>
        <v>Padre</v>
      </c>
      <c r="BA581" s="6"/>
      <c r="BB581" s="6"/>
      <c r="BC581" s="6"/>
      <c r="BD581" s="12" t="str">
        <f>IFERROR(__xludf.DUMMYFUNCTION("""COMPUTED_VALUE"""),"lon0013")</f>
        <v>lon0013</v>
      </c>
      <c r="BE581" s="6" t="str">
        <f>IFERROR(__xludf.DUMMYFUNCTION("""COMPUTED_VALUE"""),"FALTAN FIRMAS")</f>
        <v>FALTAN FIRMAS</v>
      </c>
      <c r="BF581" s="6"/>
      <c r="BG581" s="6">
        <f>IFERROR(__xludf.DUMMYFUNCTION("""COMPUTED_VALUE"""),2031.0)</f>
        <v>2031</v>
      </c>
      <c r="BH581" s="15">
        <f>IFERROR(__xludf.DUMMYFUNCTION("""COMPUTED_VALUE"""),46212.37936342593)</f>
        <v>46212.37936</v>
      </c>
      <c r="BI581" s="6">
        <f>IFERROR(__xludf.DUMMYFUNCTION("""COMPUTED_VALUE"""),581.0)</f>
        <v>581</v>
      </c>
      <c r="BJ581" s="6"/>
      <c r="BK581" s="6"/>
      <c r="BL581" s="6" t="str">
        <f>IFERROR(__xludf.DUMMYFUNCTION("""COMPUTED_VALUE"""),"GISLON0013")</f>
        <v>GISLON0013</v>
      </c>
      <c r="BM581" s="6"/>
      <c r="BN581" s="6"/>
      <c r="BO581" s="6" t="str">
        <f>IFERROR(__xludf.DUMMYFUNCTION("""COMPUTED_VALUE"""),"XC_MS_Futbol_M")</f>
        <v>XC_MS_Futbol_M</v>
      </c>
      <c r="BP581" s="6"/>
      <c r="BQ581" s="6" t="str">
        <f>IFERROR(__xludf.DUMMYFUNCTION("""COMPUTED_VALUE"""),"XC_MS_Futbol_M")</f>
        <v>XC_MS_Futbol_M</v>
      </c>
      <c r="BR581" s="6" t="str">
        <f>IFERROR(__xludf.DUMMYFUNCTION("""COMPUTED_VALUE"""),"XC_MS_Futbol_M")</f>
        <v>XC_MS_Futbol_M</v>
      </c>
      <c r="BS581" s="6"/>
      <c r="BT581" s="6" t="str">
        <f>IFERROR(__xludf.DUMMYFUNCTION("""COMPUTED_VALUE"""),"XC_MS_Futbol_M")</f>
        <v>XC_MS_Futbol_M</v>
      </c>
      <c r="BU581" s="6" t="str">
        <f>IFERROR(__xludf.DUMMYFUNCTION("""COMPUTED_VALUE"""),"SI")</f>
        <v>SI</v>
      </c>
      <c r="BV581" s="6" t="str">
        <f>IFERROR(__xludf.DUMMYFUNCTION("""COMPUTED_VALUE"""),"jacobo.l2031")</f>
        <v>jacobo.l2031</v>
      </c>
      <c r="BW581" s="6"/>
      <c r="BX581" s="6"/>
      <c r="BY581" s="6"/>
      <c r="BZ581" s="6"/>
    </row>
    <row r="582">
      <c r="A582" s="12">
        <f>IFERROR(__xludf.DUMMYFUNCTION("""COMPUTED_VALUE"""),1.092856699E9)</f>
        <v>1092856699</v>
      </c>
      <c r="B582" s="6">
        <f>IFERROR(__xludf.DUMMYFUNCTION("""COMPUTED_VALUE"""),27.0)</f>
        <v>27</v>
      </c>
      <c r="C582" s="6" t="str">
        <f>IFERROR(__xludf.DUMMYFUNCTION("""COMPUTED_VALUE"""),"María")</f>
        <v>María</v>
      </c>
      <c r="D582" s="6" t="str">
        <f>IFERROR(__xludf.DUMMYFUNCTION("""COMPUTED_VALUE"""),"Antonia")</f>
        <v>Antonia</v>
      </c>
      <c r="E582" s="6" t="str">
        <f>IFERROR(__xludf.DUMMYFUNCTION("""COMPUTED_VALUE"""),"Londoño Matoma")</f>
        <v>Londoño Matoma</v>
      </c>
      <c r="F582" s="6" t="str">
        <f>IFERROR(__xludf.DUMMYFUNCTION("""COMPUTED_VALUE"""),"Condominio Reserva de la Sabana Casa 127 - Calle 24Nte No5 - 07 Av Centenario")</f>
        <v>Condominio Reserva de la Sabana Casa 127 - Calle 24Nte No5 - 07 Av Centenario</v>
      </c>
      <c r="G582" s="12" t="str">
        <f>IFERROR(__xludf.DUMMYFUNCTION("""COMPUTED_VALUE"""),"2013")</f>
        <v>2013</v>
      </c>
      <c r="H582" s="6" t="str">
        <f>IFERROR(__xludf.DUMMYFUNCTION("""COMPUTED_VALUE"""),"Marzo")</f>
        <v>Marzo</v>
      </c>
      <c r="I582" s="12" t="str">
        <f>IFERROR(__xludf.DUMMYFUNCTION("""COMPUTED_VALUE"""),"20")</f>
        <v>20</v>
      </c>
      <c r="J582" s="6" t="str">
        <f>IFERROR(__xludf.DUMMYFUNCTION("""COMPUTED_VALUE"""),"Armenia")</f>
        <v>Armenia</v>
      </c>
      <c r="K582" s="6" t="str">
        <f>IFERROR(__xludf.DUMMYFUNCTION("""COMPUTED_VALUE"""),"maria.l2031@gi.edu.co")</f>
        <v>maria.l2031@gi.edu.co</v>
      </c>
      <c r="L582" s="6" t="str">
        <f>IFERROR(__xludf.DUMMYFUNCTION("""COMPUTED_VALUE"""),"TI")</f>
        <v>TI</v>
      </c>
      <c r="M582" s="6" t="str">
        <f>IFERROR(__xludf.DUMMYFUNCTION("""COMPUTED_VALUE"""),"Salento")</f>
        <v>Salento</v>
      </c>
      <c r="N582" s="6" t="str">
        <f>IFERROR(__xludf.DUMMYFUNCTION("""COMPUTED_VALUE"""),"F")</f>
        <v>F</v>
      </c>
      <c r="O582" s="6" t="str">
        <f>IFERROR(__xludf.DUMMYFUNCTION("""COMPUTED_VALUE"""),"INACTIVE")</f>
        <v>INACTIVE</v>
      </c>
      <c r="P582" s="6"/>
      <c r="Q582" s="6" t="str">
        <f>IFERROR(__xludf.DUMMYFUNCTION("""COMPUTED_VALUE"""),"Salento")</f>
        <v>Salento</v>
      </c>
      <c r="R582" s="12" t="str">
        <f>IFERROR(__xludf.DUMMYFUNCTION("""COMPUTED_VALUE"""),"Gia94fg673*")</f>
        <v>Gia94fg673*</v>
      </c>
      <c r="S582" s="6" t="str">
        <f>IFERROR(__xludf.DUMMYFUNCTION("""COMPUTED_VALUE"""),"Londoño Matoma María Antonia")</f>
        <v>Londoño Matoma María Antonia</v>
      </c>
      <c r="T582" s="6" t="str">
        <f>IFERROR(__xludf.DUMMYFUNCTION("""COMPUTED_VALUE"""),"OSCAR LONDOÑO AYRAN")</f>
        <v>OSCAR LONDOÑO AYRAN</v>
      </c>
      <c r="U582" s="12" t="str">
        <f>IFERROR(__xludf.DUMMYFUNCTION("""COMPUTED_VALUE"""),"93376199")</f>
        <v>93376199</v>
      </c>
      <c r="V582" s="6">
        <f>IFERROR(__xludf.DUMMYFUNCTION("""COMPUTED_VALUE"""),3.206669863E9)</f>
        <v>3206669863</v>
      </c>
      <c r="W582" s="6" t="str">
        <f>IFERROR(__xludf.DUMMYFUNCTION("""COMPUTED_VALUE"""),"oscarl44@hotmail.com")</f>
        <v>oscarl44@hotmail.com</v>
      </c>
      <c r="X582" s="12" t="str">
        <f>IFERROR(__xludf.DUMMYFUNCTION("""COMPUTED_VALUE"""),"A+")</f>
        <v>A+</v>
      </c>
      <c r="Y582" s="12" t="str">
        <f>IFERROR(__xludf.DUMMYFUNCTION("""COMPUTED_VALUE"""),"8")</f>
        <v>8</v>
      </c>
      <c r="Z582" s="12">
        <f>IFERROR(__xludf.DUMMYFUNCTION("""COMPUTED_VALUE"""),103479.0)</f>
        <v>103479</v>
      </c>
      <c r="AA582" s="6" t="str">
        <f>IFERROR(__xludf.DUMMYFUNCTION("""COMPUTED_VALUE"""),"SANITAS")</f>
        <v>SANITAS</v>
      </c>
      <c r="AB582" s="6"/>
      <c r="AC582" s="6"/>
      <c r="AD582" s="12" t="str">
        <f>IFERROR(__xludf.DUMMYFUNCTION("""COMPUTED_VALUE"""),"8B")</f>
        <v>8B</v>
      </c>
      <c r="AE582" s="12">
        <f>IFERROR(__xludf.DUMMYFUNCTION("""COMPUTED_VALUE"""),1.345281701E9)</f>
        <v>1345281701</v>
      </c>
      <c r="AF582" s="12" t="str">
        <f>IFERROR(__xludf.DUMMYFUNCTION("""COMPUTED_VALUE"""),"0687041203")</f>
        <v>0687041203</v>
      </c>
      <c r="AG582" s="12" t="str">
        <f>IFERROR(__xludf.DUMMYFUNCTION("""COMPUTED_VALUE"""),"Sandra")</f>
        <v>Sandra</v>
      </c>
      <c r="AH582" s="12" t="str">
        <f>IFERROR(__xludf.DUMMYFUNCTION("""COMPUTED_VALUE"""),"Ibeth")</f>
        <v>Ibeth</v>
      </c>
      <c r="AI582" s="6" t="str">
        <f>IFERROR(__xludf.DUMMYFUNCTION("""COMPUTED_VALUE"""),"Matoma Rincón")</f>
        <v>Matoma Rincón</v>
      </c>
      <c r="AJ582" s="6" t="str">
        <f>IFERROR(__xludf.DUMMYFUNCTION("""COMPUTED_VALUE"""),"sandramatoma95@hotmail.com")</f>
        <v>sandramatoma95@hotmail.com</v>
      </c>
      <c r="AK582" s="6" t="str">
        <f>IFERROR(__xludf.DUMMYFUNCTION("""COMPUTED_VALUE"""),"AMA DE CASA")</f>
        <v>AMA DE CASA</v>
      </c>
      <c r="AL582" s="6"/>
      <c r="AM582" s="12" t="str">
        <f>IFERROR(__xludf.DUMMYFUNCTION("""COMPUTED_VALUE"""),"1098336228")</f>
        <v>1098336228</v>
      </c>
      <c r="AN582" s="12" t="str">
        <f>IFERROR(__xludf.DUMMYFUNCTION("""COMPUTED_VALUE"""),"3103876226")</f>
        <v>3103876226</v>
      </c>
      <c r="AO582" s="6" t="str">
        <f>IFERROR(__xludf.DUMMYFUNCTION("""COMPUTED_VALUE"""),"Madre")</f>
        <v>Madre</v>
      </c>
      <c r="AP582" s="6" t="str">
        <f>IFERROR(__xludf.DUMMYFUNCTION("""COMPUTED_VALUE"""),"Estudiante(s): Londoño Matoma")</f>
        <v>Estudiante(s): Londoño Matoma</v>
      </c>
      <c r="AQ582" s="6" t="str">
        <f>IFERROR(__xludf.DUMMYFUNCTION("""COMPUTED_VALUE"""),"102078*Gi")</f>
        <v>102078*Gi</v>
      </c>
      <c r="AR582" s="6" t="str">
        <f>IFERROR(__xludf.DUMMYFUNCTION("""COMPUTED_VALUE"""),"Oscar")</f>
        <v>Oscar</v>
      </c>
      <c r="AS582" s="6"/>
      <c r="AT582" s="6" t="str">
        <f>IFERROR(__xludf.DUMMYFUNCTION("""COMPUTED_VALUE"""),"Londoño Ayran")</f>
        <v>Londoño Ayran</v>
      </c>
      <c r="AU582" s="6" t="str">
        <f>IFERROR(__xludf.DUMMYFUNCTION("""COMPUTED_VALUE"""),"oscarl44@hotmail.com")</f>
        <v>oscarl44@hotmail.com</v>
      </c>
      <c r="AV582" s="6" t="str">
        <f>IFERROR(__xludf.DUMMYFUNCTION("""COMPUTED_VALUE"""),"Ganadero")</f>
        <v>Ganadero</v>
      </c>
      <c r="AW582" s="6" t="str">
        <f>IFERROR(__xludf.DUMMYFUNCTION("""COMPUTED_VALUE"""),"Finca el Establo")</f>
        <v>Finca el Establo</v>
      </c>
      <c r="AX582" s="12" t="str">
        <f>IFERROR(__xludf.DUMMYFUNCTION("""COMPUTED_VALUE"""),"93376199")</f>
        <v>93376199</v>
      </c>
      <c r="AY582" s="12" t="str">
        <f>IFERROR(__xludf.DUMMYFUNCTION("""COMPUTED_VALUE"""),"3206669863")</f>
        <v>3206669863</v>
      </c>
      <c r="AZ582" s="6" t="str">
        <f>IFERROR(__xludf.DUMMYFUNCTION("""COMPUTED_VALUE"""),"Padre")</f>
        <v>Padre</v>
      </c>
      <c r="BA582" s="6"/>
      <c r="BB582" s="6"/>
      <c r="BC582" s="6"/>
      <c r="BD582" s="12" t="str">
        <f>IFERROR(__xludf.DUMMYFUNCTION("""COMPUTED_VALUE"""),"lon0006")</f>
        <v>lon0006</v>
      </c>
      <c r="BE582" s="6" t="str">
        <f>IFERROR(__xludf.DUMMYFUNCTION("""COMPUTED_VALUE"""),"FALTAN FIRMAS")</f>
        <v>FALTAN FIRMAS</v>
      </c>
      <c r="BF582" s="6"/>
      <c r="BG582" s="6">
        <f>IFERROR(__xludf.DUMMYFUNCTION("""COMPUTED_VALUE"""),2031.0)</f>
        <v>2031</v>
      </c>
      <c r="BH582" s="15">
        <f>IFERROR(__xludf.DUMMYFUNCTION("""COMPUTED_VALUE"""),46209.931875)</f>
        <v>46209.93188</v>
      </c>
      <c r="BI582" s="6">
        <f>IFERROR(__xludf.DUMMYFUNCTION("""COMPUTED_VALUE"""),582.0)</f>
        <v>582</v>
      </c>
      <c r="BJ582" s="6"/>
      <c r="BK582" s="6"/>
      <c r="BL582" s="6" t="str">
        <f>IFERROR(__xludf.DUMMYFUNCTION("""COMPUTED_VALUE"""),"GISLON0006")</f>
        <v>GISLON0006</v>
      </c>
      <c r="BM582" s="6"/>
      <c r="BN582" s="6"/>
      <c r="BO582" s="6" t="str">
        <f>IFERROR(__xludf.DUMMYFUNCTION("""COMPUTED_VALUE"""),"XC_SEC_Futbol_F")</f>
        <v>XC_SEC_Futbol_F</v>
      </c>
      <c r="BP582" s="6"/>
      <c r="BQ582" s="6" t="str">
        <f>IFERROR(__xludf.DUMMYFUNCTION("""COMPUTED_VALUE"""),"XC_SEC_Futbol_F")</f>
        <v>XC_SEC_Futbol_F</v>
      </c>
      <c r="BR582" s="6" t="str">
        <f>IFERROR(__xludf.DUMMYFUNCTION("""COMPUTED_VALUE"""),"XC_SEC_Futbol_F")</f>
        <v>XC_SEC_Futbol_F</v>
      </c>
      <c r="BS582" s="6"/>
      <c r="BT582" s="6" t="str">
        <f>IFERROR(__xludf.DUMMYFUNCTION("""COMPUTED_VALUE"""),"XC_SEC_Futbol_F")</f>
        <v>XC_SEC_Futbol_F</v>
      </c>
      <c r="BU582" s="6" t="str">
        <f>IFERROR(__xludf.DUMMYFUNCTION("""COMPUTED_VALUE"""),"SI")</f>
        <v>SI</v>
      </c>
      <c r="BV582" s="6" t="str">
        <f>IFERROR(__xludf.DUMMYFUNCTION("""COMPUTED_VALUE"""),"maria.l2031")</f>
        <v>maria.l2031</v>
      </c>
      <c r="BW582" s="6"/>
      <c r="BX582" s="6"/>
      <c r="BY582" s="6"/>
      <c r="BZ582" s="6"/>
    </row>
    <row r="583">
      <c r="A583" s="12">
        <f>IFERROR(__xludf.DUMMYFUNCTION("""COMPUTED_VALUE"""),1.090278156E9)</f>
        <v>1090278156</v>
      </c>
      <c r="B583" s="6">
        <f>IFERROR(__xludf.DUMMYFUNCTION("""COMPUTED_VALUE"""),28.0)</f>
        <v>28</v>
      </c>
      <c r="C583" s="6" t="str">
        <f>IFERROR(__xludf.DUMMYFUNCTION("""COMPUTED_VALUE"""),"Paloma")</f>
        <v>Paloma</v>
      </c>
      <c r="D583" s="6"/>
      <c r="E583" s="6" t="str">
        <f>IFERROR(__xludf.DUMMYFUNCTION("""COMPUTED_VALUE"""),"López Duarte")</f>
        <v>López Duarte</v>
      </c>
      <c r="F583" s="6" t="str">
        <f>IFERROR(__xludf.DUMMYFUNCTION("""COMPUTED_VALUE"""),"Horeb Torre 1 Apto 1503 - Cra 6 No13Nte - 27 - Av Centenario")</f>
        <v>Horeb Torre 1 Apto 1503 - Cra 6 No13Nte - 27 - Av Centenario</v>
      </c>
      <c r="G583" s="12" t="str">
        <f>IFERROR(__xludf.DUMMYFUNCTION("""COMPUTED_VALUE"""),"2012")</f>
        <v>2012</v>
      </c>
      <c r="H583" s="6" t="str">
        <f>IFERROR(__xludf.DUMMYFUNCTION("""COMPUTED_VALUE"""),"Noviembre")</f>
        <v>Noviembre</v>
      </c>
      <c r="I583" s="12" t="str">
        <f>IFERROR(__xludf.DUMMYFUNCTION("""COMPUTED_VALUE"""),"29")</f>
        <v>29</v>
      </c>
      <c r="J583" s="6" t="str">
        <f>IFERROR(__xludf.DUMMYFUNCTION("""COMPUTED_VALUE"""),"Armenia")</f>
        <v>Armenia</v>
      </c>
      <c r="K583" s="6" t="str">
        <f>IFERROR(__xludf.DUMMYFUNCTION("""COMPUTED_VALUE"""),"palomal.d2031@gi.edu.co")</f>
        <v>palomal.d2031@gi.edu.co</v>
      </c>
      <c r="L583" s="6" t="str">
        <f>IFERROR(__xludf.DUMMYFUNCTION("""COMPUTED_VALUE"""),"RC")</f>
        <v>RC</v>
      </c>
      <c r="M583" s="6" t="str">
        <f>IFERROR(__xludf.DUMMYFUNCTION("""COMPUTED_VALUE"""),"Armenia")</f>
        <v>Armenia</v>
      </c>
      <c r="N583" s="6" t="str">
        <f>IFERROR(__xludf.DUMMYFUNCTION("""COMPUTED_VALUE"""),"F")</f>
        <v>F</v>
      </c>
      <c r="O583" s="6" t="str">
        <f>IFERROR(__xludf.DUMMYFUNCTION("""COMPUTED_VALUE"""),"INACTIVE")</f>
        <v>INACTIVE</v>
      </c>
      <c r="P583" s="6"/>
      <c r="Q583" s="6" t="str">
        <f>IFERROR(__xludf.DUMMYFUNCTION("""COMPUTED_VALUE"""),"Armenia")</f>
        <v>Armenia</v>
      </c>
      <c r="R583" s="12" t="str">
        <f>IFERROR(__xludf.DUMMYFUNCTION("""COMPUTED_VALUE"""),"Gi3919pl*")</f>
        <v>Gi3919pl*</v>
      </c>
      <c r="S583" s="6" t="str">
        <f>IFERROR(__xludf.DUMMYFUNCTION("""COMPUTED_VALUE"""),"López Duarte Paloma ")</f>
        <v>López Duarte Paloma </v>
      </c>
      <c r="T583" s="6" t="str">
        <f>IFERROR(__xludf.DUMMYFUNCTION("""COMPUTED_VALUE"""),"LUZ NELLY DUARTE SAIZ")</f>
        <v>LUZ NELLY DUARTE SAIZ</v>
      </c>
      <c r="U583" s="12" t="str">
        <f>IFERROR(__xludf.DUMMYFUNCTION("""COMPUTED_VALUE"""),"41923228")</f>
        <v>41923228</v>
      </c>
      <c r="V583" s="6">
        <f>IFERROR(__xludf.DUMMYFUNCTION("""COMPUTED_VALUE"""),3.105178669E9)</f>
        <v>3105178669</v>
      </c>
      <c r="W583" s="6" t="str">
        <f>IFERROR(__xludf.DUMMYFUNCTION("""COMPUTED_VALUE"""),"luznelly2108@hotmail.com")</f>
        <v>luznelly2108@hotmail.com</v>
      </c>
      <c r="X583" s="12" t="str">
        <f>IFERROR(__xludf.DUMMYFUNCTION("""COMPUTED_VALUE"""),"O+")</f>
        <v>O+</v>
      </c>
      <c r="Y583" s="12" t="str">
        <f>IFERROR(__xludf.DUMMYFUNCTION("""COMPUTED_VALUE"""),"8")</f>
        <v>8</v>
      </c>
      <c r="Z583" s="12">
        <f>IFERROR(__xludf.DUMMYFUNCTION("""COMPUTED_VALUE"""),103919.0)</f>
        <v>103919</v>
      </c>
      <c r="AA583" s="6" t="str">
        <f>IFERROR(__xludf.DUMMYFUNCTION("""COMPUTED_VALUE"""),"SURA")</f>
        <v>SURA</v>
      </c>
      <c r="AB583" s="6" t="str">
        <f>IFERROR(__xludf.DUMMYFUNCTION("""COMPUTED_VALUE"""),"EMI")</f>
        <v>EMI</v>
      </c>
      <c r="AC583" s="12" t="str">
        <f>IFERROR(__xludf.DUMMYFUNCTION("""COMPUTED_VALUE"""),"A los ambientes fríos.")</f>
        <v>A los ambientes fríos.</v>
      </c>
      <c r="AD583" s="12" t="str">
        <f>IFERROR(__xludf.DUMMYFUNCTION("""COMPUTED_VALUE"""),"8C")</f>
        <v>8C</v>
      </c>
      <c r="AE583" s="12">
        <f>IFERROR(__xludf.DUMMYFUNCTION("""COMPUTED_VALUE"""),1.34528197E9)</f>
        <v>1345281970</v>
      </c>
      <c r="AF583" s="12" t="str">
        <f>IFERROR(__xludf.DUMMYFUNCTION("""COMPUTED_VALUE"""),"0687022899")</f>
        <v>0687022899</v>
      </c>
      <c r="AG583" s="12" t="str">
        <f>IFERROR(__xludf.DUMMYFUNCTION("""COMPUTED_VALUE"""),"Luz")</f>
        <v>Luz</v>
      </c>
      <c r="AH583" s="12" t="str">
        <f>IFERROR(__xludf.DUMMYFUNCTION("""COMPUTED_VALUE"""),"Nelly")</f>
        <v>Nelly</v>
      </c>
      <c r="AI583" s="6" t="str">
        <f>IFERROR(__xludf.DUMMYFUNCTION("""COMPUTED_VALUE"""),"Duarte Saiz")</f>
        <v>Duarte Saiz</v>
      </c>
      <c r="AJ583" s="6" t="str">
        <f>IFERROR(__xludf.DUMMYFUNCTION("""COMPUTED_VALUE"""),"luznelly2108@hotmail.com")</f>
        <v>luznelly2108@hotmail.com</v>
      </c>
      <c r="AK583" s="6" t="str">
        <f>IFERROR(__xludf.DUMMYFUNCTION("""COMPUTED_VALUE"""),"Administradora Financiera")</f>
        <v>Administradora Financiera</v>
      </c>
      <c r="AL583" s="6"/>
      <c r="AM583" s="12" t="str">
        <f>IFERROR(__xludf.DUMMYFUNCTION("""COMPUTED_VALUE"""),"41923228")</f>
        <v>41923228</v>
      </c>
      <c r="AN583" s="12" t="str">
        <f>IFERROR(__xludf.DUMMYFUNCTION("""COMPUTED_VALUE"""),"3105178669")</f>
        <v>3105178669</v>
      </c>
      <c r="AO583" s="6" t="str">
        <f>IFERROR(__xludf.DUMMYFUNCTION("""COMPUTED_VALUE"""),"Madre")</f>
        <v>Madre</v>
      </c>
      <c r="AP583" s="6" t="str">
        <f>IFERROR(__xludf.DUMMYFUNCTION("""COMPUTED_VALUE"""),"Estudiante(s): López Duarte")</f>
        <v>Estudiante(s): López Duarte</v>
      </c>
      <c r="AQ583" s="6" t="str">
        <f>IFERROR(__xludf.DUMMYFUNCTION("""COMPUTED_VALUE"""),"103919*Gi")</f>
        <v>103919*Gi</v>
      </c>
      <c r="AR583" s="6" t="str">
        <f>IFERROR(__xludf.DUMMYFUNCTION("""COMPUTED_VALUE"""),"Jorge")</f>
        <v>Jorge</v>
      </c>
      <c r="AS583" s="6" t="str">
        <f>IFERROR(__xludf.DUMMYFUNCTION("""COMPUTED_VALUE"""),"Mario")</f>
        <v>Mario</v>
      </c>
      <c r="AT583" s="6" t="str">
        <f>IFERROR(__xludf.DUMMYFUNCTION("""COMPUTED_VALUE"""),"López Agudelo")</f>
        <v>López Agudelo</v>
      </c>
      <c r="AU583" s="6" t="str">
        <f>IFERROR(__xludf.DUMMYFUNCTION("""COMPUTED_VALUE"""),"jorgelopez2109@hotmail.com")</f>
        <v>jorgelopez2109@hotmail.com</v>
      </c>
      <c r="AV583" s="6" t="str">
        <f>IFERROR(__xludf.DUMMYFUNCTION("""COMPUTED_VALUE"""),"Economista")</f>
        <v>Economista</v>
      </c>
      <c r="AW583" s="6" t="str">
        <f>IFERROR(__xludf.DUMMYFUNCTION("""COMPUTED_VALUE"""),"Grupo Hermon")</f>
        <v>Grupo Hermon</v>
      </c>
      <c r="AX583" s="12" t="str">
        <f>IFERROR(__xludf.DUMMYFUNCTION("""COMPUTED_VALUE"""),"9726044")</f>
        <v>9726044</v>
      </c>
      <c r="AY583" s="12" t="str">
        <f>IFERROR(__xludf.DUMMYFUNCTION("""COMPUTED_VALUE"""),"3148172784")</f>
        <v>3148172784</v>
      </c>
      <c r="AZ583" s="6" t="str">
        <f>IFERROR(__xludf.DUMMYFUNCTION("""COMPUTED_VALUE"""),"Padre")</f>
        <v>Padre</v>
      </c>
      <c r="BA583" s="6"/>
      <c r="BB583" s="6"/>
      <c r="BC583" s="6"/>
      <c r="BD583" s="12" t="str">
        <f>IFERROR(__xludf.DUMMYFUNCTION("""COMPUTED_VALUE"""),"lpe0021")</f>
        <v>lpe0021</v>
      </c>
      <c r="BE583" s="6" t="str">
        <f>IFERROR(__xludf.DUMMYFUNCTION("""COMPUTED_VALUE"""),"FALTAN FIRMAS")</f>
        <v>FALTAN FIRMAS</v>
      </c>
      <c r="BF583" s="6"/>
      <c r="BG583" s="6">
        <f>IFERROR(__xludf.DUMMYFUNCTION("""COMPUTED_VALUE"""),2031.0)</f>
        <v>2031</v>
      </c>
      <c r="BH583" s="15">
        <f>IFERROR(__xludf.DUMMYFUNCTION("""COMPUTED_VALUE"""),46211.436111111114)</f>
        <v>46211.43611</v>
      </c>
      <c r="BI583" s="6">
        <f>IFERROR(__xludf.DUMMYFUNCTION("""COMPUTED_VALUE"""),583.0)</f>
        <v>583</v>
      </c>
      <c r="BJ583" s="6"/>
      <c r="BK583" s="6"/>
      <c r="BL583" s="6" t="str">
        <f>IFERROR(__xludf.DUMMYFUNCTION("""COMPUTED_VALUE"""),"GISLPE0021")</f>
        <v>GISLPE0021</v>
      </c>
      <c r="BM583" s="6"/>
      <c r="BN583" s="6"/>
      <c r="BO583" s="6" t="str">
        <f>IFERROR(__xludf.DUMMYFUNCTION("""COMPUTED_VALUE"""),"XC_MS_Voleibol_F")</f>
        <v>XC_MS_Voleibol_F</v>
      </c>
      <c r="BP583" s="6"/>
      <c r="BQ583" s="6" t="str">
        <f>IFERROR(__xludf.DUMMYFUNCTION("""COMPUTED_VALUE"""),"XC_MS_Voleibol_F")</f>
        <v>XC_MS_Voleibol_F</v>
      </c>
      <c r="BR583" s="6" t="str">
        <f>IFERROR(__xludf.DUMMYFUNCTION("""COMPUTED_VALUE"""),"XC_MS_Voleibol_F")</f>
        <v>XC_MS_Voleibol_F</v>
      </c>
      <c r="BS583" s="6"/>
      <c r="BT583" s="6" t="str">
        <f>IFERROR(__xludf.DUMMYFUNCTION("""COMPUTED_VALUE"""),"XC_MS_Voleibol_F")</f>
        <v>XC_MS_Voleibol_F</v>
      </c>
      <c r="BU583" s="6" t="str">
        <f>IFERROR(__xludf.DUMMYFUNCTION("""COMPUTED_VALUE"""),"NO")</f>
        <v>NO</v>
      </c>
      <c r="BV583" s="6" t="str">
        <f>IFERROR(__xludf.DUMMYFUNCTION("""COMPUTED_VALUE"""),"palomal.d2031")</f>
        <v>palomal.d2031</v>
      </c>
      <c r="BW583" s="6"/>
      <c r="BX583" s="6"/>
      <c r="BY583" s="6"/>
      <c r="BZ583" s="6"/>
    </row>
    <row r="584">
      <c r="A584" s="12">
        <f>IFERROR(__xludf.DUMMYFUNCTION("""COMPUTED_VALUE"""),1.092463052E9)</f>
        <v>1092463052</v>
      </c>
      <c r="B584" s="6">
        <f>IFERROR(__xludf.DUMMYFUNCTION("""COMPUTED_VALUE"""),29.0)</f>
        <v>29</v>
      </c>
      <c r="C584" s="6" t="str">
        <f>IFERROR(__xludf.DUMMYFUNCTION("""COMPUTED_VALUE"""),"Tomás")</f>
        <v>Tomás</v>
      </c>
      <c r="D584" s="6"/>
      <c r="E584" s="6" t="str">
        <f>IFERROR(__xludf.DUMMYFUNCTION("""COMPUTED_VALUE"""),"López Fernández")</f>
        <v>López Fernández</v>
      </c>
      <c r="F584" s="6" t="str">
        <f>IFERROR(__xludf.DUMMYFUNCTION("""COMPUTED_VALUE"""),"Condominio Entre Maderos Casa 16 - Vereda El Congal Km 1.2 Via Circasia - Armenia")</f>
        <v>Condominio Entre Maderos Casa 16 - Vereda El Congal Km 1.2 Via Circasia - Armenia</v>
      </c>
      <c r="G584" s="12" t="str">
        <f>IFERROR(__xludf.DUMMYFUNCTION("""COMPUTED_VALUE"""),"2013")</f>
        <v>2013</v>
      </c>
      <c r="H584" s="6" t="str">
        <f>IFERROR(__xludf.DUMMYFUNCTION("""COMPUTED_VALUE"""),"Marzo")</f>
        <v>Marzo</v>
      </c>
      <c r="I584" s="12" t="str">
        <f>IFERROR(__xludf.DUMMYFUNCTION("""COMPUTED_VALUE"""),"31")</f>
        <v>31</v>
      </c>
      <c r="J584" s="6" t="str">
        <f>IFERROR(__xludf.DUMMYFUNCTION("""COMPUTED_VALUE"""),"Armenia")</f>
        <v>Armenia</v>
      </c>
      <c r="K584" s="6" t="str">
        <f>IFERROR(__xludf.DUMMYFUNCTION("""COMPUTED_VALUE"""),"tomas.l2031@gi.edu.co")</f>
        <v>tomas.l2031@gi.edu.co</v>
      </c>
      <c r="L584" s="6" t="str">
        <f>IFERROR(__xludf.DUMMYFUNCTION("""COMPUTED_VALUE"""),"TI")</f>
        <v>TI</v>
      </c>
      <c r="M584" s="6" t="str">
        <f>IFERROR(__xludf.DUMMYFUNCTION("""COMPUTED_VALUE"""),"Armenia")</f>
        <v>Armenia</v>
      </c>
      <c r="N584" s="6" t="str">
        <f>IFERROR(__xludf.DUMMYFUNCTION("""COMPUTED_VALUE"""),"M")</f>
        <v>M</v>
      </c>
      <c r="O584" s="6" t="str">
        <f>IFERROR(__xludf.DUMMYFUNCTION("""COMPUTED_VALUE"""),"ACTIVE")</f>
        <v>ACTIVE</v>
      </c>
      <c r="P584" s="6"/>
      <c r="Q584" s="6" t="str">
        <f>IFERROR(__xludf.DUMMYFUNCTION("""COMPUTED_VALUE"""),"Circasia")</f>
        <v>Circasia</v>
      </c>
      <c r="R584" s="12" t="str">
        <f>IFERROR(__xludf.DUMMYFUNCTION("""COMPUTED_VALUE"""),"Gi8d27fr4*")</f>
        <v>Gi8d27fr4*</v>
      </c>
      <c r="S584" s="6" t="str">
        <f>IFERROR(__xludf.DUMMYFUNCTION("""COMPUTED_VALUE"""),"López Fernández Tomás ")</f>
        <v>López Fernández Tomás </v>
      </c>
      <c r="T584" s="6" t="str">
        <f>IFERROR(__xludf.DUMMYFUNCTION("""COMPUTED_VALUE"""),"MÓNICA PATRICIA FERNÁNDEZ MONSALVE")</f>
        <v>MÓNICA PATRICIA FERNÁNDEZ MONSALVE</v>
      </c>
      <c r="U584" s="12" t="str">
        <f>IFERROR(__xludf.DUMMYFUNCTION("""COMPUTED_VALUE"""),"52503724")</f>
        <v>52503724</v>
      </c>
      <c r="V584" s="6">
        <f>IFERROR(__xludf.DUMMYFUNCTION("""COMPUTED_VALUE"""),3.112262506E9)</f>
        <v>3112262506</v>
      </c>
      <c r="W584" s="6" t="str">
        <f>IFERROR(__xludf.DUMMYFUNCTION("""COMPUTED_VALUE"""),"mopafemo78@hotmail.com")</f>
        <v>mopafemo78@hotmail.com</v>
      </c>
      <c r="X584" s="12" t="str">
        <f>IFERROR(__xludf.DUMMYFUNCTION("""COMPUTED_VALUE"""),"O+")</f>
        <v>O+</v>
      </c>
      <c r="Y584" s="12" t="str">
        <f>IFERROR(__xludf.DUMMYFUNCTION("""COMPUTED_VALUE"""),"8")</f>
        <v>8</v>
      </c>
      <c r="Z584" s="12">
        <f>IFERROR(__xludf.DUMMYFUNCTION("""COMPUTED_VALUE"""),103480.0)</f>
        <v>103480</v>
      </c>
      <c r="AA584" s="6" t="str">
        <f>IFERROR(__xludf.DUMMYFUNCTION("""COMPUTED_VALUE"""),"SURA")</f>
        <v>SURA</v>
      </c>
      <c r="AB584" s="6" t="str">
        <f>IFERROR(__xludf.DUMMYFUNCTION("""COMPUTED_VALUE"""),"Póliza Sura")</f>
        <v>Póliza Sura</v>
      </c>
      <c r="AC584" s="6"/>
      <c r="AD584" s="12" t="str">
        <f>IFERROR(__xludf.DUMMYFUNCTION("""COMPUTED_VALUE"""),"8C")</f>
        <v>8C</v>
      </c>
      <c r="AE584" s="12">
        <f>IFERROR(__xludf.DUMMYFUNCTION("""COMPUTED_VALUE"""),1.345281705E9)</f>
        <v>1345281705</v>
      </c>
      <c r="AF584" s="12" t="str">
        <f>IFERROR(__xludf.DUMMYFUNCTION("""COMPUTED_VALUE"""),"0651609299")</f>
        <v>0651609299</v>
      </c>
      <c r="AG584" s="12" t="str">
        <f>IFERROR(__xludf.DUMMYFUNCTION("""COMPUTED_VALUE"""),"Mónica")</f>
        <v>Mónica</v>
      </c>
      <c r="AH584" s="12" t="str">
        <f>IFERROR(__xludf.DUMMYFUNCTION("""COMPUTED_VALUE"""),"Patricia")</f>
        <v>Patricia</v>
      </c>
      <c r="AI584" s="6" t="str">
        <f>IFERROR(__xludf.DUMMYFUNCTION("""COMPUTED_VALUE"""),"Fernández Monsalve")</f>
        <v>Fernández Monsalve</v>
      </c>
      <c r="AJ584" s="6" t="str">
        <f>IFERROR(__xludf.DUMMYFUNCTION("""COMPUTED_VALUE"""),"monicafernandez449@gmail.com")</f>
        <v>monicafernandez449@gmail.com</v>
      </c>
      <c r="AK584" s="6" t="str">
        <f>IFERROR(__xludf.DUMMYFUNCTION("""COMPUTED_VALUE"""),"Enfermera")</f>
        <v>Enfermera</v>
      </c>
      <c r="AL584" s="6" t="str">
        <f>IFERROR(__xludf.DUMMYFUNCTION("""COMPUTED_VALUE"""),"Asmet Salud")</f>
        <v>Asmet Salud</v>
      </c>
      <c r="AM584" s="12" t="str">
        <f>IFERROR(__xludf.DUMMYFUNCTION("""COMPUTED_VALUE"""),"52503724")</f>
        <v>52503724</v>
      </c>
      <c r="AN584" s="12" t="str">
        <f>IFERROR(__xludf.DUMMYFUNCTION("""COMPUTED_VALUE"""),"3112262506")</f>
        <v>3112262506</v>
      </c>
      <c r="AO584" s="6" t="str">
        <f>IFERROR(__xludf.DUMMYFUNCTION("""COMPUTED_VALUE"""),"Madre")</f>
        <v>Madre</v>
      </c>
      <c r="AP584" s="6" t="str">
        <f>IFERROR(__xludf.DUMMYFUNCTION("""COMPUTED_VALUE"""),"Estudiante(s): López Fernández")</f>
        <v>Estudiante(s): López Fernández</v>
      </c>
      <c r="AQ584" s="6" t="str">
        <f>IFERROR(__xludf.DUMMYFUNCTION("""COMPUTED_VALUE"""),"102177*Gi")</f>
        <v>102177*Gi</v>
      </c>
      <c r="AR584" s="6" t="str">
        <f>IFERROR(__xludf.DUMMYFUNCTION("""COMPUTED_VALUE"""),"Francisco")</f>
        <v>Francisco</v>
      </c>
      <c r="AS584" s="6" t="str">
        <f>IFERROR(__xludf.DUMMYFUNCTION("""COMPUTED_VALUE"""),"Javier")</f>
        <v>Javier</v>
      </c>
      <c r="AT584" s="6" t="str">
        <f>IFERROR(__xludf.DUMMYFUNCTION("""COMPUTED_VALUE"""),"López Espinosa")</f>
        <v>López Espinosa</v>
      </c>
      <c r="AU584" s="6" t="str">
        <f>IFERROR(__xludf.DUMMYFUNCTION("""COMPUTED_VALUE"""),"fjle2609@gmail.com")</f>
        <v>fjle2609@gmail.com</v>
      </c>
      <c r="AV584" s="6" t="str">
        <f>IFERROR(__xludf.DUMMYFUNCTION("""COMPUTED_VALUE"""),"Médico")</f>
        <v>Médico</v>
      </c>
      <c r="AW584" s="6" t="str">
        <f>IFERROR(__xludf.DUMMYFUNCTION("""COMPUTED_VALUE"""),"RTS Baxter")</f>
        <v>RTS Baxter</v>
      </c>
      <c r="AX584" s="12" t="str">
        <f>IFERROR(__xludf.DUMMYFUNCTION("""COMPUTED_VALUE"""),"7562449")</f>
        <v>7562449</v>
      </c>
      <c r="AY584" s="12" t="str">
        <f>IFERROR(__xludf.DUMMYFUNCTION("""COMPUTED_VALUE"""),"3103430400")</f>
        <v>3103430400</v>
      </c>
      <c r="AZ584" s="6" t="str">
        <f>IFERROR(__xludf.DUMMYFUNCTION("""COMPUTED_VALUE"""),"Padre")</f>
        <v>Padre</v>
      </c>
      <c r="BA584" s="6"/>
      <c r="BB584" s="6"/>
      <c r="BC584" s="6"/>
      <c r="BD584" s="12" t="str">
        <f>IFERROR(__xludf.DUMMYFUNCTION("""COMPUTED_VALUE"""),"lpe0005")</f>
        <v>lpe0005</v>
      </c>
      <c r="BE584" s="6"/>
      <c r="BF584" s="6"/>
      <c r="BG584" s="6">
        <f>IFERROR(__xludf.DUMMYFUNCTION("""COMPUTED_VALUE"""),2031.0)</f>
        <v>2031</v>
      </c>
      <c r="BH584" s="15">
        <f>IFERROR(__xludf.DUMMYFUNCTION("""COMPUTED_VALUE"""),46212.41321759259)</f>
        <v>46212.41322</v>
      </c>
      <c r="BI584" s="6">
        <f>IFERROR(__xludf.DUMMYFUNCTION("""COMPUTED_VALUE"""),584.0)</f>
        <v>584</v>
      </c>
      <c r="BJ584" s="6"/>
      <c r="BK584" s="6"/>
      <c r="BL584" s="6" t="str">
        <f>IFERROR(__xludf.DUMMYFUNCTION("""COMPUTED_VALUE"""),"GISLPE0005")</f>
        <v>GISLPE0005</v>
      </c>
      <c r="BM584" s="6"/>
      <c r="BN584" s="6"/>
      <c r="BO584" s="6" t="str">
        <f>IFERROR(__xludf.DUMMYFUNCTION("""COMPUTED_VALUE"""),"XC_MS_Voleibol_F")</f>
        <v>XC_MS_Voleibol_F</v>
      </c>
      <c r="BP584" s="6"/>
      <c r="BQ584" s="6" t="str">
        <f>IFERROR(__xludf.DUMMYFUNCTION("""COMPUTED_VALUE"""),"XC_MS_Voleibol_F")</f>
        <v>XC_MS_Voleibol_F</v>
      </c>
      <c r="BR584" s="6" t="str">
        <f>IFERROR(__xludf.DUMMYFUNCTION("""COMPUTED_VALUE"""),"XC_MS_Voleibol_F")</f>
        <v>XC_MS_Voleibol_F</v>
      </c>
      <c r="BS584" s="6"/>
      <c r="BT584" s="6" t="str">
        <f>IFERROR(__xludf.DUMMYFUNCTION("""COMPUTED_VALUE"""),"XC_MS_Voleibol_F")</f>
        <v>XC_MS_Voleibol_F</v>
      </c>
      <c r="BU584" s="6" t="str">
        <f>IFERROR(__xludf.DUMMYFUNCTION("""COMPUTED_VALUE"""),"SI")</f>
        <v>SI</v>
      </c>
      <c r="BV584" s="6" t="str">
        <f>IFERROR(__xludf.DUMMYFUNCTION("""COMPUTED_VALUE"""),"tomas.l2031")</f>
        <v>tomas.l2031</v>
      </c>
      <c r="BW584" s="6"/>
      <c r="BX584" s="6"/>
      <c r="BY584" s="6"/>
      <c r="BZ584" s="6"/>
    </row>
    <row r="585">
      <c r="A585" s="12">
        <f>IFERROR(__xludf.DUMMYFUNCTION("""COMPUTED_VALUE"""),1.094947823E9)</f>
        <v>1094947823</v>
      </c>
      <c r="B585" s="6">
        <f>IFERROR(__xludf.DUMMYFUNCTION("""COMPUTED_VALUE"""),30.0)</f>
        <v>30</v>
      </c>
      <c r="C585" s="6" t="str">
        <f>IFERROR(__xludf.DUMMYFUNCTION("""COMPUTED_VALUE"""),"Samantha")</f>
        <v>Samantha</v>
      </c>
      <c r="D585" s="6"/>
      <c r="E585" s="6" t="str">
        <f>IFERROR(__xludf.DUMMYFUNCTION("""COMPUTED_VALUE"""),"López Morales")</f>
        <v>López Morales</v>
      </c>
      <c r="F585" s="6" t="str">
        <f>IFERROR(__xludf.DUMMYFUNCTION("""COMPUTED_VALUE"""),"Conjunto Las Colinas Casa 15 - Km 5 Via Armenia Pereira")</f>
        <v>Conjunto Las Colinas Casa 15 - Km 5 Via Armenia Pereira</v>
      </c>
      <c r="G585" s="12" t="str">
        <f>IFERROR(__xludf.DUMMYFUNCTION("""COMPUTED_VALUE"""),"2013")</f>
        <v>2013</v>
      </c>
      <c r="H585" s="6" t="str">
        <f>IFERROR(__xludf.DUMMYFUNCTION("""COMPUTED_VALUE"""),"Marzo")</f>
        <v>Marzo</v>
      </c>
      <c r="I585" s="12" t="str">
        <f>IFERROR(__xludf.DUMMYFUNCTION("""COMPUTED_VALUE"""),"7")</f>
        <v>7</v>
      </c>
      <c r="J585" s="6" t="str">
        <f>IFERROR(__xludf.DUMMYFUNCTION("""COMPUTED_VALUE"""),"Armenia")</f>
        <v>Armenia</v>
      </c>
      <c r="K585" s="6" t="str">
        <f>IFERROR(__xludf.DUMMYFUNCTION("""COMPUTED_VALUE"""),"samantha.l2031@gi.edu.co")</f>
        <v>samantha.l2031@gi.edu.co</v>
      </c>
      <c r="L585" s="6" t="str">
        <f>IFERROR(__xludf.DUMMYFUNCTION("""COMPUTED_VALUE"""),"TI")</f>
        <v>TI</v>
      </c>
      <c r="M585" s="6" t="str">
        <f>IFERROR(__xludf.DUMMYFUNCTION("""COMPUTED_VALUE"""),"Armenia")</f>
        <v>Armenia</v>
      </c>
      <c r="N585" s="6" t="str">
        <f>IFERROR(__xludf.DUMMYFUNCTION("""COMPUTED_VALUE"""),"F")</f>
        <v>F</v>
      </c>
      <c r="O585" s="6" t="str">
        <f>IFERROR(__xludf.DUMMYFUNCTION("""COMPUTED_VALUE"""),"ACTIVE")</f>
        <v>ACTIVE</v>
      </c>
      <c r="P585" s="6"/>
      <c r="Q585" s="6" t="str">
        <f>IFERROR(__xludf.DUMMYFUNCTION("""COMPUTED_VALUE"""),"Armenia")</f>
        <v>Armenia</v>
      </c>
      <c r="R585" s="12" t="str">
        <f>IFERROR(__xludf.DUMMYFUNCTION("""COMPUTED_VALUE"""),"Giret456ss*")</f>
        <v>Giret456ss*</v>
      </c>
      <c r="S585" s="6" t="str">
        <f>IFERROR(__xludf.DUMMYFUNCTION("""COMPUTED_VALUE"""),"López Morales Samantha ")</f>
        <v>López Morales Samantha </v>
      </c>
      <c r="T585" s="6" t="str">
        <f>IFERROR(__xludf.DUMMYFUNCTION("""COMPUTED_VALUE"""),"JUAN GUILLERMO LÓPEZ VALENCIA")</f>
        <v>JUAN GUILLERMO LÓPEZ VALENCIA</v>
      </c>
      <c r="U585" s="12" t="str">
        <f>IFERROR(__xludf.DUMMYFUNCTION("""COMPUTED_VALUE"""),"89006101")</f>
        <v>89006101</v>
      </c>
      <c r="V585" s="6">
        <f>IFERROR(__xludf.DUMMYFUNCTION("""COMPUTED_VALUE"""),3.103808985E9)</f>
        <v>3103808985</v>
      </c>
      <c r="W585" s="6" t="str">
        <f>IFERROR(__xludf.DUMMYFUNCTION("""COMPUTED_VALUE"""),"jg.lopez@hotmail.com")</f>
        <v>jg.lopez@hotmail.com</v>
      </c>
      <c r="X585" s="12" t="str">
        <f>IFERROR(__xludf.DUMMYFUNCTION("""COMPUTED_VALUE"""),"O+")</f>
        <v>O+</v>
      </c>
      <c r="Y585" s="12" t="str">
        <f>IFERROR(__xludf.DUMMYFUNCTION("""COMPUTED_VALUE"""),"8")</f>
        <v>8</v>
      </c>
      <c r="Z585" s="12">
        <f>IFERROR(__xludf.DUMMYFUNCTION("""COMPUTED_VALUE"""),103270.0)</f>
        <v>103270</v>
      </c>
      <c r="AA585" s="6" t="str">
        <f>IFERROR(__xludf.DUMMYFUNCTION("""COMPUTED_VALUE"""),"SURA")</f>
        <v>SURA</v>
      </c>
      <c r="AB585" s="6"/>
      <c r="AC585" s="6"/>
      <c r="AD585" s="12" t="str">
        <f>IFERROR(__xludf.DUMMYFUNCTION("""COMPUTED_VALUE"""),"8C")</f>
        <v>8C</v>
      </c>
      <c r="AE585" s="12">
        <f>IFERROR(__xludf.DUMMYFUNCTION("""COMPUTED_VALUE"""),1.345281603E9)</f>
        <v>1345281603</v>
      </c>
      <c r="AF585" s="12" t="str">
        <f>IFERROR(__xludf.DUMMYFUNCTION("""COMPUTED_VALUE"""),"0651975347")</f>
        <v>0651975347</v>
      </c>
      <c r="AG585" s="12" t="str">
        <f>IFERROR(__xludf.DUMMYFUNCTION("""COMPUTED_VALUE"""),"Lina")</f>
        <v>Lina</v>
      </c>
      <c r="AH585" s="12" t="str">
        <f>IFERROR(__xludf.DUMMYFUNCTION("""COMPUTED_VALUE"""),"Marcela")</f>
        <v>Marcela</v>
      </c>
      <c r="AI585" s="6" t="str">
        <f>IFERROR(__xludf.DUMMYFUNCTION("""COMPUTED_VALUE"""),"Morales Jaramillo")</f>
        <v>Morales Jaramillo</v>
      </c>
      <c r="AJ585" s="6" t="str">
        <f>IFERROR(__xludf.DUMMYFUNCTION("""COMPUTED_VALUE"""),"kimberlly_2604@hotmail.com")</f>
        <v>kimberlly_2604@hotmail.com</v>
      </c>
      <c r="AK585" s="6" t="str">
        <f>IFERROR(__xludf.DUMMYFUNCTION("""COMPUTED_VALUE"""),"Enfermera")</f>
        <v>Enfermera</v>
      </c>
      <c r="AL585" s="6" t="str">
        <f>IFERROR(__xludf.DUMMYFUNCTION("""COMPUTED_VALUE"""),"ENDOS")</f>
        <v>ENDOS</v>
      </c>
      <c r="AM585" s="12" t="str">
        <f>IFERROR(__xludf.DUMMYFUNCTION("""COMPUTED_VALUE"""),"1094885629")</f>
        <v>1094885629</v>
      </c>
      <c r="AN585" s="12" t="str">
        <f>IFERROR(__xludf.DUMMYFUNCTION("""COMPUTED_VALUE"""),"3218519897")</f>
        <v>3218519897</v>
      </c>
      <c r="AO585" s="6" t="str">
        <f>IFERROR(__xludf.DUMMYFUNCTION("""COMPUTED_VALUE"""),"Madre")</f>
        <v>Madre</v>
      </c>
      <c r="AP585" s="6" t="str">
        <f>IFERROR(__xludf.DUMMYFUNCTION("""COMPUTED_VALUE"""),"Estudiante(s): López Morales")</f>
        <v>Estudiante(s): López Morales</v>
      </c>
      <c r="AQ585" s="6" t="str">
        <f>IFERROR(__xludf.DUMMYFUNCTION("""COMPUTED_VALUE"""),"103270*Gi")</f>
        <v>103270*Gi</v>
      </c>
      <c r="AR585" s="6" t="str">
        <f>IFERROR(__xludf.DUMMYFUNCTION("""COMPUTED_VALUE"""),"Juan")</f>
        <v>Juan</v>
      </c>
      <c r="AS585" s="6" t="str">
        <f>IFERROR(__xludf.DUMMYFUNCTION("""COMPUTED_VALUE"""),"Guillermo")</f>
        <v>Guillermo</v>
      </c>
      <c r="AT585" s="6" t="str">
        <f>IFERROR(__xludf.DUMMYFUNCTION("""COMPUTED_VALUE"""),"López Valencia")</f>
        <v>López Valencia</v>
      </c>
      <c r="AU585" s="6" t="str">
        <f>IFERROR(__xludf.DUMMYFUNCTION("""COMPUTED_VALUE"""),"jg.lopez@hotmail.com")</f>
        <v>jg.lopez@hotmail.com</v>
      </c>
      <c r="AV585" s="6" t="str">
        <f>IFERROR(__xludf.DUMMYFUNCTION("""COMPUTED_VALUE"""),"Medico")</f>
        <v>Medico</v>
      </c>
      <c r="AW585" s="6" t="str">
        <f>IFERROR(__xludf.DUMMYFUNCTION("""COMPUTED_VALUE"""),"Centro de Enfermedades Digestivas Endos SAS")</f>
        <v>Centro de Enfermedades Digestivas Endos SAS</v>
      </c>
      <c r="AX585" s="12" t="str">
        <f>IFERROR(__xludf.DUMMYFUNCTION("""COMPUTED_VALUE"""),"89006101")</f>
        <v>89006101</v>
      </c>
      <c r="AY585" s="12" t="str">
        <f>IFERROR(__xludf.DUMMYFUNCTION("""COMPUTED_VALUE"""),"3103808985")</f>
        <v>3103808985</v>
      </c>
      <c r="AZ585" s="6" t="str">
        <f>IFERROR(__xludf.DUMMYFUNCTION("""COMPUTED_VALUE"""),"Padre")</f>
        <v>Padre</v>
      </c>
      <c r="BA585" s="6"/>
      <c r="BB585" s="6"/>
      <c r="BC585" s="6"/>
      <c r="BD585" s="12" t="str">
        <f>IFERROR(__xludf.DUMMYFUNCTION("""COMPUTED_VALUE"""),"lop0004")</f>
        <v>lop0004</v>
      </c>
      <c r="BE585" s="6"/>
      <c r="BF585" s="6"/>
      <c r="BG585" s="6">
        <f>IFERROR(__xludf.DUMMYFUNCTION("""COMPUTED_VALUE"""),2031.0)</f>
        <v>2031</v>
      </c>
      <c r="BH585" s="15">
        <f>IFERROR(__xludf.DUMMYFUNCTION("""COMPUTED_VALUE"""),46209.75430555556)</f>
        <v>46209.75431</v>
      </c>
      <c r="BI585" s="6">
        <f>IFERROR(__xludf.DUMMYFUNCTION("""COMPUTED_VALUE"""),585.0)</f>
        <v>585</v>
      </c>
      <c r="BJ585" s="6"/>
      <c r="BK585" s="6"/>
      <c r="BL585" s="6" t="str">
        <f>IFERROR(__xludf.DUMMYFUNCTION("""COMPUTED_VALUE"""),"GISLOP0004")</f>
        <v>GISLOP0004</v>
      </c>
      <c r="BM585" s="6"/>
      <c r="BN585" s="6"/>
      <c r="BO585" s="6" t="str">
        <f>IFERROR(__xludf.DUMMYFUNCTION("""COMPUTED_VALUE"""),"XC_MS_BandaTR")</f>
        <v>XC_MS_BandaTR</v>
      </c>
      <c r="BP585" s="6"/>
      <c r="BQ585" s="6" t="str">
        <f>IFERROR(__xludf.DUMMYFUNCTION("""COMPUTED_VALUE"""),"XC_SEC_Futbol_F")</f>
        <v>XC_SEC_Futbol_F</v>
      </c>
      <c r="BR585" s="6" t="str">
        <f>IFERROR(__xludf.DUMMYFUNCTION("""COMPUTED_VALUE"""),"XC_SEC_Futbol_F")</f>
        <v>XC_SEC_Futbol_F</v>
      </c>
      <c r="BS585" s="6"/>
      <c r="BT585" s="6" t="str">
        <f>IFERROR(__xludf.DUMMYFUNCTION("""COMPUTED_VALUE"""),"XC_SEC_Futbol_F")</f>
        <v>XC_SEC_Futbol_F</v>
      </c>
      <c r="BU585" s="6" t="str">
        <f>IFERROR(__xludf.DUMMYFUNCTION("""COMPUTED_VALUE"""),"SI")</f>
        <v>SI</v>
      </c>
      <c r="BV585" s="6" t="str">
        <f>IFERROR(__xludf.DUMMYFUNCTION("""COMPUTED_VALUE"""),"samantha.l2031")</f>
        <v>samantha.l2031</v>
      </c>
      <c r="BW585" s="6"/>
      <c r="BX585" s="6"/>
      <c r="BY585" s="6"/>
      <c r="BZ585" s="6"/>
    </row>
    <row r="586">
      <c r="A586" s="12">
        <f>IFERROR(__xludf.DUMMYFUNCTION("""COMPUTED_VALUE"""),1.122932194E9)</f>
        <v>1122932194</v>
      </c>
      <c r="B586" s="6">
        <f>IFERROR(__xludf.DUMMYFUNCTION("""COMPUTED_VALUE"""),31.0)</f>
        <v>31</v>
      </c>
      <c r="C586" s="6" t="str">
        <f>IFERROR(__xludf.DUMMYFUNCTION("""COMPUTED_VALUE"""),"Ana")</f>
        <v>Ana</v>
      </c>
      <c r="D586" s="6" t="str">
        <f>IFERROR(__xludf.DUMMYFUNCTION("""COMPUTED_VALUE"""),"Sofía")</f>
        <v>Sofía</v>
      </c>
      <c r="E586" s="6" t="str">
        <f>IFERROR(__xludf.DUMMYFUNCTION("""COMPUTED_VALUE"""),"Martínez Cifuentes")</f>
        <v>Martínez Cifuentes</v>
      </c>
      <c r="F586" s="6" t="str">
        <f>IFERROR(__xludf.DUMMYFUNCTION("""COMPUTED_VALUE"""),"Conjunto Cantabria - Calle 6 No18 - 22 Circasia")</f>
        <v>Conjunto Cantabria - Calle 6 No18 - 22 Circasia</v>
      </c>
      <c r="G586" s="12" t="str">
        <f>IFERROR(__xludf.DUMMYFUNCTION("""COMPUTED_VALUE"""),"2012")</f>
        <v>2012</v>
      </c>
      <c r="H586" s="6" t="str">
        <f>IFERROR(__xludf.DUMMYFUNCTION("""COMPUTED_VALUE"""),"Septiembre")</f>
        <v>Septiembre</v>
      </c>
      <c r="I586" s="12" t="str">
        <f>IFERROR(__xludf.DUMMYFUNCTION("""COMPUTED_VALUE"""),"25")</f>
        <v>25</v>
      </c>
      <c r="J586" s="6"/>
      <c r="K586" s="6" t="str">
        <f>IFERROR(__xludf.DUMMYFUNCTION("""COMPUTED_VALUE"""),"anasofia.m2031@gi.edu.co")</f>
        <v>anasofia.m2031@gi.edu.co</v>
      </c>
      <c r="L586" s="6" t="str">
        <f>IFERROR(__xludf.DUMMYFUNCTION("""COMPUTED_VALUE"""),"TI")</f>
        <v>TI</v>
      </c>
      <c r="M586" s="6" t="str">
        <f>IFERROR(__xludf.DUMMYFUNCTION("""COMPUTED_VALUE"""),"Villavicencio")</f>
        <v>Villavicencio</v>
      </c>
      <c r="N586" s="6" t="str">
        <f>IFERROR(__xludf.DUMMYFUNCTION("""COMPUTED_VALUE"""),"F")</f>
        <v>F</v>
      </c>
      <c r="O586" s="6" t="str">
        <f>IFERROR(__xludf.DUMMYFUNCTION("""COMPUTED_VALUE"""),"ACTIVE")</f>
        <v>ACTIVE</v>
      </c>
      <c r="P586" s="6"/>
      <c r="Q586" s="6"/>
      <c r="R586" s="12" t="str">
        <f>IFERROR(__xludf.DUMMYFUNCTION("""COMPUTED_VALUE"""),"Gghr74uu*")</f>
        <v>Gghr74uu*</v>
      </c>
      <c r="S586" s="6" t="str">
        <f>IFERROR(__xludf.DUMMYFUNCTION("""COMPUTED_VALUE"""),"Martínez Cifuentes Ana Sofía")</f>
        <v>Martínez Cifuentes Ana Sofía</v>
      </c>
      <c r="T586" s="6"/>
      <c r="U586" s="6"/>
      <c r="V586" s="6"/>
      <c r="W586" s="6"/>
      <c r="X586" s="12" t="str">
        <f>IFERROR(__xludf.DUMMYFUNCTION("""COMPUTED_VALUE"""),"O+")</f>
        <v>O+</v>
      </c>
      <c r="Y586" s="12" t="str">
        <f>IFERROR(__xludf.DUMMYFUNCTION("""COMPUTED_VALUE"""),"8")</f>
        <v>8</v>
      </c>
      <c r="Z586" s="12">
        <f>IFERROR(__xludf.DUMMYFUNCTION("""COMPUTED_VALUE"""),120548.0)</f>
        <v>120548</v>
      </c>
      <c r="AA586" s="6" t="str">
        <f>IFERROR(__xludf.DUMMYFUNCTION("""COMPUTED_VALUE"""),"SALUD TOTAL")</f>
        <v>SALUD TOTAL</v>
      </c>
      <c r="AB586" s="6"/>
      <c r="AC586" s="6"/>
      <c r="AD586" s="12" t="str">
        <f>IFERROR(__xludf.DUMMYFUNCTION("""COMPUTED_VALUE"""),"8C")</f>
        <v>8C</v>
      </c>
      <c r="AE586" s="12" t="str">
        <f>IFERROR(__xludf.DUMMYFUNCTION("""COMPUTED_VALUE"""),"1345282546")</f>
        <v>1345282546</v>
      </c>
      <c r="AF586" s="6"/>
      <c r="AG586" s="12" t="str">
        <f>IFERROR(__xludf.DUMMYFUNCTION("""COMPUTED_VALUE"""),"Jazmin")</f>
        <v>Jazmin</v>
      </c>
      <c r="AH586" s="6"/>
      <c r="AI586" s="6" t="str">
        <f>IFERROR(__xludf.DUMMYFUNCTION("""COMPUTED_VALUE"""),"López Aguirre")</f>
        <v>López Aguirre</v>
      </c>
      <c r="AJ586" s="6" t="str">
        <f>IFERROR(__xludf.DUMMYFUNCTION("""COMPUTED_VALUE"""),"jazminlopezaguirre123@gmail.com")</f>
        <v>jazminlopezaguirre123@gmail.com</v>
      </c>
      <c r="AK586" s="6" t="str">
        <f>IFERROR(__xludf.DUMMYFUNCTION("""COMPUTED_VALUE"""),"Licenciada en Artes Visuales")</f>
        <v>Licenciada en Artes Visuales</v>
      </c>
      <c r="AL586" s="6" t="str">
        <f>IFERROR(__xludf.DUMMYFUNCTION("""COMPUTED_VALUE"""),"GI SCHOOL")</f>
        <v>GI SCHOOL</v>
      </c>
      <c r="AM586" s="12" t="str">
        <f>IFERROR(__xludf.DUMMYFUNCTION("""COMPUTED_VALUE"""),"1121866606")</f>
        <v>1121866606</v>
      </c>
      <c r="AN586" s="12" t="str">
        <f>IFERROR(__xludf.DUMMYFUNCTION("""COMPUTED_VALUE"""),"3133402888")</f>
        <v>3133402888</v>
      </c>
      <c r="AO586" s="6" t="str">
        <f>IFERROR(__xludf.DUMMYFUNCTION("""COMPUTED_VALUE"""),"Otro")</f>
        <v>Otro</v>
      </c>
      <c r="AP586" s="6" t="str">
        <f>IFERROR(__xludf.DUMMYFUNCTION("""COMPUTED_VALUE"""),"Estudiante(s): Martínez Cifuentes")</f>
        <v>Estudiante(s): Martínez Cifuentes</v>
      </c>
      <c r="AQ586" s="6" t="str">
        <f>IFERROR(__xludf.DUMMYFUNCTION("""COMPUTED_VALUE"""),"120548*Gi")</f>
        <v>120548*Gi</v>
      </c>
      <c r="AR586" s="6" t="str">
        <f>IFERROR(__xludf.DUMMYFUNCTION("""COMPUTED_VALUE"""),"Luis")</f>
        <v>Luis</v>
      </c>
      <c r="AS586" s="6" t="str">
        <f>IFERROR(__xludf.DUMMYFUNCTION("""COMPUTED_VALUE"""),"Eduardo")</f>
        <v>Eduardo</v>
      </c>
      <c r="AT586" s="6" t="str">
        <f>IFERROR(__xludf.DUMMYFUNCTION("""COMPUTED_VALUE"""),"Martínez Restrepo")</f>
        <v>Martínez Restrepo</v>
      </c>
      <c r="AU586" s="6" t="str">
        <f>IFERROR(__xludf.DUMMYFUNCTION("""COMPUTED_VALUE"""),"luiseduardom2013@gmail.com")</f>
        <v>luiseduardom2013@gmail.com</v>
      </c>
      <c r="AV586" s="6" t="str">
        <f>IFERROR(__xludf.DUMMYFUNCTION("""COMPUTED_VALUE"""),"Licenciado en Educación Física, Recreación y Deportes")</f>
        <v>Licenciado en Educación Física, Recreación y Deportes</v>
      </c>
      <c r="AW586" s="6" t="str">
        <f>IFERROR(__xludf.DUMMYFUNCTION("""COMPUTED_VALUE"""),"GI SCHOOL")</f>
        <v>GI SCHOOL</v>
      </c>
      <c r="AX586" s="12" t="str">
        <f>IFERROR(__xludf.DUMMYFUNCTION("""COMPUTED_VALUE"""),"86077602")</f>
        <v>86077602</v>
      </c>
      <c r="AY586" s="12" t="str">
        <f>IFERROR(__xludf.DUMMYFUNCTION("""COMPUTED_VALUE"""),"3144634212")</f>
        <v>3144634212</v>
      </c>
      <c r="AZ586" s="6" t="str">
        <f>IFERROR(__xludf.DUMMYFUNCTION("""COMPUTED_VALUE"""),"Padre")</f>
        <v>Padre</v>
      </c>
      <c r="BA586" s="6"/>
      <c r="BB586" s="6"/>
      <c r="BC586" s="6"/>
      <c r="BD586" s="12" t="str">
        <f>IFERROR(__xludf.DUMMYFUNCTION("""COMPUTED_VALUE"""),"mar0021")</f>
        <v>mar0021</v>
      </c>
      <c r="BE586" s="6"/>
      <c r="BF586" s="6"/>
      <c r="BG586" s="6">
        <f>IFERROR(__xludf.DUMMYFUNCTION("""COMPUTED_VALUE"""),2031.0)</f>
        <v>2031</v>
      </c>
      <c r="BH586" s="15">
        <f>IFERROR(__xludf.DUMMYFUNCTION("""COMPUTED_VALUE"""),46190.623402777775)</f>
        <v>46190.6234</v>
      </c>
      <c r="BI586" s="6">
        <f>IFERROR(__xludf.DUMMYFUNCTION("""COMPUTED_VALUE"""),586.0)</f>
        <v>586</v>
      </c>
      <c r="BJ586" s="6"/>
      <c r="BK586" s="6"/>
      <c r="BL586" s="6" t="str">
        <f>IFERROR(__xludf.DUMMYFUNCTION("""COMPUTED_VALUE"""),"GISMAR0021")</f>
        <v>GISMAR0021</v>
      </c>
      <c r="BM586" s="6"/>
      <c r="BN586" s="6"/>
      <c r="BO586" s="6" t="str">
        <f>IFERROR(__xludf.DUMMYFUNCTION("""COMPUTED_VALUE"""),"XC_MS_Voleibol_F")</f>
        <v>XC_MS_Voleibol_F</v>
      </c>
      <c r="BP586" s="6"/>
      <c r="BQ586" s="6" t="str">
        <f>IFERROR(__xludf.DUMMYFUNCTION("""COMPUTED_VALUE"""),"XC_MS_Voleibol_F")</f>
        <v>XC_MS_Voleibol_F</v>
      </c>
      <c r="BR586" s="6" t="str">
        <f>IFERROR(__xludf.DUMMYFUNCTION("""COMPUTED_VALUE"""),"XC_MS_Voleibol_F")</f>
        <v>XC_MS_Voleibol_F</v>
      </c>
      <c r="BS586" s="6"/>
      <c r="BT586" s="6" t="str">
        <f>IFERROR(__xludf.DUMMYFUNCTION("""COMPUTED_VALUE"""),"XC_MS_Voleibol_F")</f>
        <v>XC_MS_Voleibol_F</v>
      </c>
      <c r="BU586" s="6" t="str">
        <f>IFERROR(__xludf.DUMMYFUNCTION("""COMPUTED_VALUE"""),"SI")</f>
        <v>SI</v>
      </c>
      <c r="BV586" s="6" t="str">
        <f>IFERROR(__xludf.DUMMYFUNCTION("""COMPUTED_VALUE"""),"anasofia.m2031")</f>
        <v>anasofia.m2031</v>
      </c>
      <c r="BW586" s="6"/>
      <c r="BX586" s="6"/>
      <c r="BY586" s="6"/>
      <c r="BZ586" s="6"/>
    </row>
    <row r="587">
      <c r="A587" s="12">
        <f>IFERROR(__xludf.DUMMYFUNCTION("""COMPUTED_VALUE"""),1.105384277E9)</f>
        <v>1105384277</v>
      </c>
      <c r="B587" s="6">
        <f>IFERROR(__xludf.DUMMYFUNCTION("""COMPUTED_VALUE"""),32.0)</f>
        <v>32</v>
      </c>
      <c r="C587" s="6" t="str">
        <f>IFERROR(__xludf.DUMMYFUNCTION("""COMPUTED_VALUE"""),"Emma")</f>
        <v>Emma</v>
      </c>
      <c r="D587" s="6"/>
      <c r="E587" s="6" t="str">
        <f>IFERROR(__xludf.DUMMYFUNCTION("""COMPUTED_VALUE"""),"Medina Orozco")</f>
        <v>Medina Orozco</v>
      </c>
      <c r="F587" s="6" t="str">
        <f>IFERROR(__xludf.DUMMYFUNCTION("""COMPUTED_VALUE"""),"Condominio Pradera Boreal Casa 16 - Km. 5 Via Armenia Pereira")</f>
        <v>Condominio Pradera Boreal Casa 16 - Km. 5 Via Armenia Pereira</v>
      </c>
      <c r="G587" s="12" t="str">
        <f>IFERROR(__xludf.DUMMYFUNCTION("""COMPUTED_VALUE"""),"2013")</f>
        <v>2013</v>
      </c>
      <c r="H587" s="6" t="str">
        <f>IFERROR(__xludf.DUMMYFUNCTION("""COMPUTED_VALUE"""),"Mayo")</f>
        <v>Mayo</v>
      </c>
      <c r="I587" s="12" t="str">
        <f>IFERROR(__xludf.DUMMYFUNCTION("""COMPUTED_VALUE"""),"8")</f>
        <v>8</v>
      </c>
      <c r="J587" s="6" t="str">
        <f>IFERROR(__xludf.DUMMYFUNCTION("""COMPUTED_VALUE"""),"Santiago de Cali")</f>
        <v>Santiago de Cali</v>
      </c>
      <c r="K587" s="6" t="str">
        <f>IFERROR(__xludf.DUMMYFUNCTION("""COMPUTED_VALUE"""),"emma.o2031@gi.edu.co")</f>
        <v>emma.o2031@gi.edu.co</v>
      </c>
      <c r="L587" s="6" t="str">
        <f>IFERROR(__xludf.DUMMYFUNCTION("""COMPUTED_VALUE"""),"TI")</f>
        <v>TI</v>
      </c>
      <c r="M587" s="6" t="str">
        <f>IFERROR(__xludf.DUMMYFUNCTION("""COMPUTED_VALUE"""),"Cali")</f>
        <v>Cali</v>
      </c>
      <c r="N587" s="6" t="str">
        <f>IFERROR(__xludf.DUMMYFUNCTION("""COMPUTED_VALUE"""),"F")</f>
        <v>F</v>
      </c>
      <c r="O587" s="6" t="str">
        <f>IFERROR(__xludf.DUMMYFUNCTION("""COMPUTED_VALUE"""),"ACTIVE")</f>
        <v>ACTIVE</v>
      </c>
      <c r="P587" s="6"/>
      <c r="Q587" s="6" t="str">
        <f>IFERROR(__xludf.DUMMYFUNCTION("""COMPUTED_VALUE"""),"Circasia")</f>
        <v>Circasia</v>
      </c>
      <c r="R587" s="12" t="str">
        <f>IFERROR(__xludf.DUMMYFUNCTION("""COMPUTED_VALUE"""),"Gii4l3N85*")</f>
        <v>Gii4l3N85*</v>
      </c>
      <c r="S587" s="6" t="str">
        <f>IFERROR(__xludf.DUMMYFUNCTION("""COMPUTED_VALUE"""),"Medina Orozco Emma ")</f>
        <v>Medina Orozco Emma </v>
      </c>
      <c r="T587" s="6" t="str">
        <f>IFERROR(__xludf.DUMMYFUNCTION("""COMPUTED_VALUE"""),"GERMAN ALONSO MEDINA PIZARRO")</f>
        <v>GERMAN ALONSO MEDINA PIZARRO</v>
      </c>
      <c r="U587" s="12" t="str">
        <f>IFERROR(__xludf.DUMMYFUNCTION("""COMPUTED_VALUE"""),"94521399")</f>
        <v>94521399</v>
      </c>
      <c r="V587" s="6">
        <f>IFERROR(__xludf.DUMMYFUNCTION("""COMPUTED_VALUE"""),3.165225114E9)</f>
        <v>3165225114</v>
      </c>
      <c r="W587" s="6" t="str">
        <f>IFERROR(__xludf.DUMMYFUNCTION("""COMPUTED_VALUE"""),"gm@cnx.co")</f>
        <v>gm@cnx.co</v>
      </c>
      <c r="X587" s="12" t="str">
        <f>IFERROR(__xludf.DUMMYFUNCTION("""COMPUTED_VALUE"""),"A+")</f>
        <v>A+</v>
      </c>
      <c r="Y587" s="12" t="str">
        <f>IFERROR(__xludf.DUMMYFUNCTION("""COMPUTED_VALUE"""),"8")</f>
        <v>8</v>
      </c>
      <c r="Z587" s="12">
        <f>IFERROR(__xludf.DUMMYFUNCTION("""COMPUTED_VALUE"""),120246.0)</f>
        <v>120246</v>
      </c>
      <c r="AA587" s="6" t="str">
        <f>IFERROR(__xludf.DUMMYFUNCTION("""COMPUTED_VALUE"""),"COOMEVA")</f>
        <v>COOMEVA</v>
      </c>
      <c r="AB587" s="6"/>
      <c r="AC587" s="6"/>
      <c r="AD587" s="12" t="str">
        <f>IFERROR(__xludf.DUMMYFUNCTION("""COMPUTED_VALUE"""),"8C")</f>
        <v>8C</v>
      </c>
      <c r="AE587" s="12">
        <f>IFERROR(__xludf.DUMMYFUNCTION("""COMPUTED_VALUE"""),1.345282239E9)</f>
        <v>1345282239</v>
      </c>
      <c r="AF587" s="12" t="str">
        <f>IFERROR(__xludf.DUMMYFUNCTION("""COMPUTED_VALUE"""),"0651418115")</f>
        <v>0651418115</v>
      </c>
      <c r="AG587" s="12" t="str">
        <f>IFERROR(__xludf.DUMMYFUNCTION("""COMPUTED_VALUE"""),"Cristian")</f>
        <v>Cristian</v>
      </c>
      <c r="AH587" s="12" t="str">
        <f>IFERROR(__xludf.DUMMYFUNCTION("""COMPUTED_VALUE"""),"Iliana")</f>
        <v>Iliana</v>
      </c>
      <c r="AI587" s="6" t="str">
        <f>IFERROR(__xludf.DUMMYFUNCTION("""COMPUTED_VALUE"""),"Orozco Muriel")</f>
        <v>Orozco Muriel</v>
      </c>
      <c r="AJ587" s="6" t="str">
        <f>IFERROR(__xludf.DUMMYFUNCTION("""COMPUTED_VALUE"""),"co@cnx.co")</f>
        <v>co@cnx.co</v>
      </c>
      <c r="AK587" s="6" t="str">
        <f>IFERROR(__xludf.DUMMYFUNCTION("""COMPUTED_VALUE"""),"Diseñadora Gráfica")</f>
        <v>Diseñadora Gráfica</v>
      </c>
      <c r="AL587" s="6" t="str">
        <f>IFERROR(__xludf.DUMMYFUNCTION("""COMPUTED_VALUE"""),"CNX S.A.S.")</f>
        <v>CNX S.A.S.</v>
      </c>
      <c r="AM587" s="12" t="str">
        <f>IFERROR(__xludf.DUMMYFUNCTION("""COMPUTED_VALUE"""),"67000381")</f>
        <v>67000381</v>
      </c>
      <c r="AN587" s="12" t="str">
        <f>IFERROR(__xludf.DUMMYFUNCTION("""COMPUTED_VALUE"""),"3168774851")</f>
        <v>3168774851</v>
      </c>
      <c r="AO587" s="6" t="str">
        <f>IFERROR(__xludf.DUMMYFUNCTION("""COMPUTED_VALUE"""),"Madre")</f>
        <v>Madre</v>
      </c>
      <c r="AP587" s="6" t="str">
        <f>IFERROR(__xludf.DUMMYFUNCTION("""COMPUTED_VALUE"""),"Estudiante(s): Medina Orozco")</f>
        <v>Estudiante(s): Medina Orozco</v>
      </c>
      <c r="AQ587" s="6" t="str">
        <f>IFERROR(__xludf.DUMMYFUNCTION("""COMPUTED_VALUE"""),"120246*Gi")</f>
        <v>120246*Gi</v>
      </c>
      <c r="AR587" s="6" t="str">
        <f>IFERROR(__xludf.DUMMYFUNCTION("""COMPUTED_VALUE"""),"Germán")</f>
        <v>Germán</v>
      </c>
      <c r="AS587" s="6" t="str">
        <f>IFERROR(__xludf.DUMMYFUNCTION("""COMPUTED_VALUE"""),"Alonso")</f>
        <v>Alonso</v>
      </c>
      <c r="AT587" s="6" t="str">
        <f>IFERROR(__xludf.DUMMYFUNCTION("""COMPUTED_VALUE"""),"Medina Pizarro")</f>
        <v>Medina Pizarro</v>
      </c>
      <c r="AU587" s="6" t="str">
        <f>IFERROR(__xludf.DUMMYFUNCTION("""COMPUTED_VALUE"""),"gm@cnx.co")</f>
        <v>gm@cnx.co</v>
      </c>
      <c r="AV587" s="6" t="str">
        <f>IFERROR(__xludf.DUMMYFUNCTION("""COMPUTED_VALUE"""),"Ingeniero de Sistemas")</f>
        <v>Ingeniero de Sistemas</v>
      </c>
      <c r="AW587" s="6"/>
      <c r="AX587" s="12" t="str">
        <f>IFERROR(__xludf.DUMMYFUNCTION("""COMPUTED_VALUE"""),"94521399")</f>
        <v>94521399</v>
      </c>
      <c r="AY587" s="12" t="str">
        <f>IFERROR(__xludf.DUMMYFUNCTION("""COMPUTED_VALUE"""),"3165225114")</f>
        <v>3165225114</v>
      </c>
      <c r="AZ587" s="6" t="str">
        <f>IFERROR(__xludf.DUMMYFUNCTION("""COMPUTED_VALUE"""),"Padre")</f>
        <v>Padre</v>
      </c>
      <c r="BA587" s="6"/>
      <c r="BB587" s="6"/>
      <c r="BC587" s="6"/>
      <c r="BD587" s="12" t="str">
        <f>IFERROR(__xludf.DUMMYFUNCTION("""COMPUTED_VALUE"""),"med0002")</f>
        <v>med0002</v>
      </c>
      <c r="BE587" s="6"/>
      <c r="BF587" s="6"/>
      <c r="BG587" s="6">
        <f>IFERROR(__xludf.DUMMYFUNCTION("""COMPUTED_VALUE"""),2031.0)</f>
        <v>2031</v>
      </c>
      <c r="BH587" s="15">
        <f>IFERROR(__xludf.DUMMYFUNCTION("""COMPUTED_VALUE"""),46208.39988425926)</f>
        <v>46208.39988</v>
      </c>
      <c r="BI587" s="6">
        <f>IFERROR(__xludf.DUMMYFUNCTION("""COMPUTED_VALUE"""),587.0)</f>
        <v>587</v>
      </c>
      <c r="BJ587" s="6"/>
      <c r="BK587" s="6"/>
      <c r="BL587" s="6" t="str">
        <f>IFERROR(__xludf.DUMMYFUNCTION("""COMPUTED_VALUE"""),"GISMED0002")</f>
        <v>GISMED0002</v>
      </c>
      <c r="BM587" s="6"/>
      <c r="BN587" s="6"/>
      <c r="BO587" s="6" t="str">
        <f>IFERROR(__xludf.DUMMYFUNCTION("""COMPUTED_VALUE"""),"XC_MS_Voleibol_F")</f>
        <v>XC_MS_Voleibol_F</v>
      </c>
      <c r="BP587" s="6" t="str">
        <f>IFERROR(__xludf.DUMMYFUNCTION("""COMPUTED_VALUE"""),"XC_SEC_OlympMath")</f>
        <v>XC_SEC_OlympMath</v>
      </c>
      <c r="BQ587" s="6" t="str">
        <f>IFERROR(__xludf.DUMMYFUNCTION("""COMPUTED_VALUE"""),"XC_MS_Voleibol_F")</f>
        <v>XC_MS_Voleibol_F</v>
      </c>
      <c r="BR587" s="6" t="str">
        <f>IFERROR(__xludf.DUMMYFUNCTION("""COMPUTED_VALUE"""),"XC_MS_Voleibol_F")</f>
        <v>XC_MS_Voleibol_F</v>
      </c>
      <c r="BS587" s="6"/>
      <c r="BT587" s="6" t="str">
        <f>IFERROR(__xludf.DUMMYFUNCTION("""COMPUTED_VALUE"""),"XC_MS_Voleibol_F")</f>
        <v>XC_MS_Voleibol_F</v>
      </c>
      <c r="BU587" s="6" t="str">
        <f>IFERROR(__xludf.DUMMYFUNCTION("""COMPUTED_VALUE"""),"SI")</f>
        <v>SI</v>
      </c>
      <c r="BV587" s="6" t="str">
        <f>IFERROR(__xludf.DUMMYFUNCTION("""COMPUTED_VALUE"""),"emma.o2031")</f>
        <v>emma.o2031</v>
      </c>
      <c r="BW587" s="6"/>
      <c r="BX587" s="6"/>
      <c r="BY587" s="6"/>
      <c r="BZ587" s="6"/>
    </row>
    <row r="588">
      <c r="A588" s="12">
        <f>IFERROR(__xludf.DUMMYFUNCTION("""COMPUTED_VALUE"""),1.105384278E9)</f>
        <v>1105384278</v>
      </c>
      <c r="B588" s="6">
        <f>IFERROR(__xludf.DUMMYFUNCTION("""COMPUTED_VALUE"""),33.0)</f>
        <v>33</v>
      </c>
      <c r="C588" s="6" t="str">
        <f>IFERROR(__xludf.DUMMYFUNCTION("""COMPUTED_VALUE"""),"Juana")</f>
        <v>Juana</v>
      </c>
      <c r="D588" s="6"/>
      <c r="E588" s="6" t="str">
        <f>IFERROR(__xludf.DUMMYFUNCTION("""COMPUTED_VALUE"""),"Medina Orozco")</f>
        <v>Medina Orozco</v>
      </c>
      <c r="F588" s="6" t="str">
        <f>IFERROR(__xludf.DUMMYFUNCTION("""COMPUTED_VALUE"""),"Condominio Pradera Boreal Casa 16 - Km. 5 Via Armenia Pereira")</f>
        <v>Condominio Pradera Boreal Casa 16 - Km. 5 Via Armenia Pereira</v>
      </c>
      <c r="G588" s="12" t="str">
        <f>IFERROR(__xludf.DUMMYFUNCTION("""COMPUTED_VALUE"""),"2013")</f>
        <v>2013</v>
      </c>
      <c r="H588" s="6" t="str">
        <f>IFERROR(__xludf.DUMMYFUNCTION("""COMPUTED_VALUE"""),"Mayo")</f>
        <v>Mayo</v>
      </c>
      <c r="I588" s="12" t="str">
        <f>IFERROR(__xludf.DUMMYFUNCTION("""COMPUTED_VALUE"""),"8")</f>
        <v>8</v>
      </c>
      <c r="J588" s="6" t="str">
        <f>IFERROR(__xludf.DUMMYFUNCTION("""COMPUTED_VALUE"""),"Santiago de Cali")</f>
        <v>Santiago de Cali</v>
      </c>
      <c r="K588" s="6" t="str">
        <f>IFERROR(__xludf.DUMMYFUNCTION("""COMPUTED_VALUE"""),"juana.m2031@gi.edu.co")</f>
        <v>juana.m2031@gi.edu.co</v>
      </c>
      <c r="L588" s="6" t="str">
        <f>IFERROR(__xludf.DUMMYFUNCTION("""COMPUTED_VALUE"""),"TI")</f>
        <v>TI</v>
      </c>
      <c r="M588" s="6" t="str">
        <f>IFERROR(__xludf.DUMMYFUNCTION("""COMPUTED_VALUE"""),"Cali")</f>
        <v>Cali</v>
      </c>
      <c r="N588" s="6" t="str">
        <f>IFERROR(__xludf.DUMMYFUNCTION("""COMPUTED_VALUE"""),"F")</f>
        <v>F</v>
      </c>
      <c r="O588" s="6" t="str">
        <f>IFERROR(__xludf.DUMMYFUNCTION("""COMPUTED_VALUE"""),"ACTIVE")</f>
        <v>ACTIVE</v>
      </c>
      <c r="P588" s="6"/>
      <c r="Q588" s="6" t="str">
        <f>IFERROR(__xludf.DUMMYFUNCTION("""COMPUTED_VALUE"""),"Circasia")</f>
        <v>Circasia</v>
      </c>
      <c r="R588" s="12" t="str">
        <f>IFERROR(__xludf.DUMMYFUNCTION("""COMPUTED_VALUE"""),"Giv2m9b4*")</f>
        <v>Giv2m9b4*</v>
      </c>
      <c r="S588" s="6" t="str">
        <f>IFERROR(__xludf.DUMMYFUNCTION("""COMPUTED_VALUE"""),"Medina Orozco Juana ")</f>
        <v>Medina Orozco Juana </v>
      </c>
      <c r="T588" s="6" t="str">
        <f>IFERROR(__xludf.DUMMYFUNCTION("""COMPUTED_VALUE"""),"GERMAN ALONSO MEDINA PIZARRO")</f>
        <v>GERMAN ALONSO MEDINA PIZARRO</v>
      </c>
      <c r="U588" s="12" t="str">
        <f>IFERROR(__xludf.DUMMYFUNCTION("""COMPUTED_VALUE"""),"94521399")</f>
        <v>94521399</v>
      </c>
      <c r="V588" s="6">
        <f>IFERROR(__xludf.DUMMYFUNCTION("""COMPUTED_VALUE"""),3.165225114E9)</f>
        <v>3165225114</v>
      </c>
      <c r="W588" s="6" t="str">
        <f>IFERROR(__xludf.DUMMYFUNCTION("""COMPUTED_VALUE"""),"gm@cnx.co")</f>
        <v>gm@cnx.co</v>
      </c>
      <c r="X588" s="12" t="str">
        <f>IFERROR(__xludf.DUMMYFUNCTION("""COMPUTED_VALUE"""),"A+")</f>
        <v>A+</v>
      </c>
      <c r="Y588" s="12" t="str">
        <f>IFERROR(__xludf.DUMMYFUNCTION("""COMPUTED_VALUE"""),"8")</f>
        <v>8</v>
      </c>
      <c r="Z588" s="12">
        <f>IFERROR(__xludf.DUMMYFUNCTION("""COMPUTED_VALUE"""),120247.0)</f>
        <v>120247</v>
      </c>
      <c r="AA588" s="6" t="str">
        <f>IFERROR(__xludf.DUMMYFUNCTION("""COMPUTED_VALUE"""),"COOMEVA")</f>
        <v>COOMEVA</v>
      </c>
      <c r="AB588" s="6"/>
      <c r="AC588" s="6"/>
      <c r="AD588" s="12" t="str">
        <f>IFERROR(__xludf.DUMMYFUNCTION("""COMPUTED_VALUE"""),"8A")</f>
        <v>8A</v>
      </c>
      <c r="AE588" s="12">
        <f>IFERROR(__xludf.DUMMYFUNCTION("""COMPUTED_VALUE"""),1.345282238E9)</f>
        <v>1345282238</v>
      </c>
      <c r="AF588" s="12" t="str">
        <f>IFERROR(__xludf.DUMMYFUNCTION("""COMPUTED_VALUE"""),"0556945266")</f>
        <v>0556945266</v>
      </c>
      <c r="AG588" s="12" t="str">
        <f>IFERROR(__xludf.DUMMYFUNCTION("""COMPUTED_VALUE"""),"Cristian")</f>
        <v>Cristian</v>
      </c>
      <c r="AH588" s="12" t="str">
        <f>IFERROR(__xludf.DUMMYFUNCTION("""COMPUTED_VALUE"""),"Iliana")</f>
        <v>Iliana</v>
      </c>
      <c r="AI588" s="6" t="str">
        <f>IFERROR(__xludf.DUMMYFUNCTION("""COMPUTED_VALUE"""),"Orozco Muriel")</f>
        <v>Orozco Muriel</v>
      </c>
      <c r="AJ588" s="6" t="str">
        <f>IFERROR(__xludf.DUMMYFUNCTION("""COMPUTED_VALUE"""),"co@cnx.co")</f>
        <v>co@cnx.co</v>
      </c>
      <c r="AK588" s="6" t="str">
        <f>IFERROR(__xludf.DUMMYFUNCTION("""COMPUTED_VALUE"""),"Diseñadora Gráfica")</f>
        <v>Diseñadora Gráfica</v>
      </c>
      <c r="AL588" s="6" t="str">
        <f>IFERROR(__xludf.DUMMYFUNCTION("""COMPUTED_VALUE"""),"CNX S.A.S.")</f>
        <v>CNX S.A.S.</v>
      </c>
      <c r="AM588" s="12" t="str">
        <f>IFERROR(__xludf.DUMMYFUNCTION("""COMPUTED_VALUE"""),"67000381")</f>
        <v>67000381</v>
      </c>
      <c r="AN588" s="12" t="str">
        <f>IFERROR(__xludf.DUMMYFUNCTION("""COMPUTED_VALUE"""),"3168774851")</f>
        <v>3168774851</v>
      </c>
      <c r="AO588" s="6" t="str">
        <f>IFERROR(__xludf.DUMMYFUNCTION("""COMPUTED_VALUE"""),"Madre")</f>
        <v>Madre</v>
      </c>
      <c r="AP588" s="6" t="str">
        <f>IFERROR(__xludf.DUMMYFUNCTION("""COMPUTED_VALUE"""),"Estudiante(s): Medina Orozco")</f>
        <v>Estudiante(s): Medina Orozco</v>
      </c>
      <c r="AQ588" s="6" t="str">
        <f>IFERROR(__xludf.DUMMYFUNCTION("""COMPUTED_VALUE"""),"120246*Gi")</f>
        <v>120246*Gi</v>
      </c>
      <c r="AR588" s="6" t="str">
        <f>IFERROR(__xludf.DUMMYFUNCTION("""COMPUTED_VALUE"""),"Germán")</f>
        <v>Germán</v>
      </c>
      <c r="AS588" s="6" t="str">
        <f>IFERROR(__xludf.DUMMYFUNCTION("""COMPUTED_VALUE"""),"Alonso")</f>
        <v>Alonso</v>
      </c>
      <c r="AT588" s="6" t="str">
        <f>IFERROR(__xludf.DUMMYFUNCTION("""COMPUTED_VALUE"""),"Medina Pizarro")</f>
        <v>Medina Pizarro</v>
      </c>
      <c r="AU588" s="6" t="str">
        <f>IFERROR(__xludf.DUMMYFUNCTION("""COMPUTED_VALUE"""),"gm@cnx.co")</f>
        <v>gm@cnx.co</v>
      </c>
      <c r="AV588" s="6" t="str">
        <f>IFERROR(__xludf.DUMMYFUNCTION("""COMPUTED_VALUE"""),"Ingeniero de Sistemas")</f>
        <v>Ingeniero de Sistemas</v>
      </c>
      <c r="AW588" s="6"/>
      <c r="AX588" s="12" t="str">
        <f>IFERROR(__xludf.DUMMYFUNCTION("""COMPUTED_VALUE"""),"94521399")</f>
        <v>94521399</v>
      </c>
      <c r="AY588" s="12" t="str">
        <f>IFERROR(__xludf.DUMMYFUNCTION("""COMPUTED_VALUE"""),"3165225114")</f>
        <v>3165225114</v>
      </c>
      <c r="AZ588" s="6" t="str">
        <f>IFERROR(__xludf.DUMMYFUNCTION("""COMPUTED_VALUE"""),"Padre")</f>
        <v>Padre</v>
      </c>
      <c r="BA588" s="6"/>
      <c r="BB588" s="6"/>
      <c r="BC588" s="6"/>
      <c r="BD588" s="12" t="str">
        <f>IFERROR(__xludf.DUMMYFUNCTION("""COMPUTED_VALUE"""),"med0002")</f>
        <v>med0002</v>
      </c>
      <c r="BE588" s="6"/>
      <c r="BF588" s="6"/>
      <c r="BG588" s="6">
        <f>IFERROR(__xludf.DUMMYFUNCTION("""COMPUTED_VALUE"""),2031.0)</f>
        <v>2031</v>
      </c>
      <c r="BH588" s="15">
        <f>IFERROR(__xludf.DUMMYFUNCTION("""COMPUTED_VALUE"""),46208.40126157407)</f>
        <v>46208.40126</v>
      </c>
      <c r="BI588" s="6">
        <f>IFERROR(__xludf.DUMMYFUNCTION("""COMPUTED_VALUE"""),588.0)</f>
        <v>588</v>
      </c>
      <c r="BJ588" s="6"/>
      <c r="BK588" s="6"/>
      <c r="BL588" s="6" t="str">
        <f>IFERROR(__xludf.DUMMYFUNCTION("""COMPUTED_VALUE"""),"GISMED0002")</f>
        <v>GISMED0002</v>
      </c>
      <c r="BM588" s="6"/>
      <c r="BN588" s="6"/>
      <c r="BO588" s="6" t="str">
        <f>IFERROR(__xludf.DUMMYFUNCTION("""COMPUTED_VALUE"""),"XC_MS_Voleibol_F")</f>
        <v>XC_MS_Voleibol_F</v>
      </c>
      <c r="BP588" s="6"/>
      <c r="BQ588" s="6" t="str">
        <f>IFERROR(__xludf.DUMMYFUNCTION("""COMPUTED_VALUE"""),"XC_MS_Voleibol_F")</f>
        <v>XC_MS_Voleibol_F</v>
      </c>
      <c r="BR588" s="6" t="str">
        <f>IFERROR(__xludf.DUMMYFUNCTION("""COMPUTED_VALUE"""),"XC_MS_Voleibol_F")</f>
        <v>XC_MS_Voleibol_F</v>
      </c>
      <c r="BS588" s="6"/>
      <c r="BT588" s="6" t="str">
        <f>IFERROR(__xludf.DUMMYFUNCTION("""COMPUTED_VALUE"""),"XC_MS_Voleibol_F")</f>
        <v>XC_MS_Voleibol_F</v>
      </c>
      <c r="BU588" s="6" t="str">
        <f>IFERROR(__xludf.DUMMYFUNCTION("""COMPUTED_VALUE"""),"SI")</f>
        <v>SI</v>
      </c>
      <c r="BV588" s="6" t="str">
        <f>IFERROR(__xludf.DUMMYFUNCTION("""COMPUTED_VALUE"""),"juana.m2031")</f>
        <v>juana.m2031</v>
      </c>
      <c r="BW588" s="6"/>
      <c r="BX588" s="6"/>
      <c r="BY588" s="6"/>
      <c r="BZ588" s="6"/>
    </row>
    <row r="589">
      <c r="A589" s="12" t="str">
        <f>IFERROR(__xludf.DUMMYFUNCTION("""COMPUTED_VALUE"""),"1020845933")</f>
        <v>1020845933</v>
      </c>
      <c r="B589" s="6">
        <f>IFERROR(__xludf.DUMMYFUNCTION("""COMPUTED_VALUE"""),34.0)</f>
        <v>34</v>
      </c>
      <c r="C589" s="6" t="str">
        <f>IFERROR(__xludf.DUMMYFUNCTION("""COMPUTED_VALUE"""),"Guadalupe")</f>
        <v>Guadalupe</v>
      </c>
      <c r="D589" s="6"/>
      <c r="E589" s="6" t="str">
        <f>IFERROR(__xludf.DUMMYFUNCTION("""COMPUTED_VALUE"""),"Mejía Marín")</f>
        <v>Mejía Marín</v>
      </c>
      <c r="F589" s="6"/>
      <c r="G589" s="12" t="str">
        <f>IFERROR(__xludf.DUMMYFUNCTION("""COMPUTED_VALUE"""),"2013")</f>
        <v>2013</v>
      </c>
      <c r="H589" s="6" t="str">
        <f>IFERROR(__xludf.DUMMYFUNCTION("""COMPUTED_VALUE"""),"Agosto")</f>
        <v>Agosto</v>
      </c>
      <c r="I589" s="12" t="str">
        <f>IFERROR(__xludf.DUMMYFUNCTION("""COMPUTED_VALUE"""),"3")</f>
        <v>3</v>
      </c>
      <c r="J589" s="6" t="str">
        <f>IFERROR(__xludf.DUMMYFUNCTION("""COMPUTED_VALUE"""),"Miami")</f>
        <v>Miami</v>
      </c>
      <c r="K589" s="6" t="str">
        <f>IFERROR(__xludf.DUMMYFUNCTION("""COMPUTED_VALUE"""),"guadalupe.m2031@gi.edu.co")</f>
        <v>guadalupe.m2031@gi.edu.co</v>
      </c>
      <c r="L589" s="6" t="str">
        <f>IFERROR(__xludf.DUMMYFUNCTION("""COMPUTED_VALUE"""),"TI")</f>
        <v>TI</v>
      </c>
      <c r="M589" s="6" t="str">
        <f>IFERROR(__xludf.DUMMYFUNCTION("""COMPUTED_VALUE"""),"Armenia")</f>
        <v>Armenia</v>
      </c>
      <c r="N589" s="6" t="str">
        <f>IFERROR(__xludf.DUMMYFUNCTION("""COMPUTED_VALUE"""),"F")</f>
        <v>F</v>
      </c>
      <c r="O589" s="6" t="str">
        <f>IFERROR(__xludf.DUMMYFUNCTION("""COMPUTED_VALUE"""),"INACTIVE")</f>
        <v>INACTIVE</v>
      </c>
      <c r="P589" s="6"/>
      <c r="Q589" s="6" t="str">
        <f>IFERROR(__xludf.DUMMYFUNCTION("""COMPUTED_VALUE"""),"Armenia")</f>
        <v>Armenia</v>
      </c>
      <c r="R589" s="12" t="str">
        <f>IFERROR(__xludf.DUMMYFUNCTION("""COMPUTED_VALUE"""),"Gi67msp639*")</f>
        <v>Gi67msp639*</v>
      </c>
      <c r="S589" s="6" t="str">
        <f>IFERROR(__xludf.DUMMYFUNCTION("""COMPUTED_VALUE"""),"Mejía Marín Guadalupe ")</f>
        <v>Mejía Marín Guadalupe </v>
      </c>
      <c r="T589" s="6" t="str">
        <f>IFERROR(__xludf.DUMMYFUNCTION("""COMPUTED_VALUE"""),"NATHALIA ANDREA MARIN SALAZAR")</f>
        <v>NATHALIA ANDREA MARIN SALAZAR</v>
      </c>
      <c r="U589" s="12" t="str">
        <f>IFERROR(__xludf.DUMMYFUNCTION("""COMPUTED_VALUE"""),"1020757715")</f>
        <v>1020757715</v>
      </c>
      <c r="V589" s="6">
        <f>IFERROR(__xludf.DUMMYFUNCTION("""COMPUTED_VALUE"""),3.116875545E9)</f>
        <v>3116875545</v>
      </c>
      <c r="W589" s="6" t="str">
        <f>IFERROR(__xludf.DUMMYFUNCTION("""COMPUTED_VALUE"""),"tomaguas326@gmail.com")</f>
        <v>tomaguas326@gmail.com</v>
      </c>
      <c r="X589" s="12" t="str">
        <f>IFERROR(__xludf.DUMMYFUNCTION("""COMPUTED_VALUE"""),"O+")</f>
        <v>O+</v>
      </c>
      <c r="Y589" s="6" t="str">
        <f>IFERROR(__xludf.DUMMYFUNCTION("""COMPUTED_VALUE"""),"8")</f>
        <v>8</v>
      </c>
      <c r="Z589" s="12">
        <f>IFERROR(__xludf.DUMMYFUNCTION("""COMPUTED_VALUE"""),103969.0)</f>
        <v>103969</v>
      </c>
      <c r="AA589" s="6" t="str">
        <f>IFERROR(__xludf.DUMMYFUNCTION("""COMPUTED_VALUE"""),"SURA")</f>
        <v>SURA</v>
      </c>
      <c r="AB589" s="6"/>
      <c r="AC589" s="6"/>
      <c r="AD589" s="12" t="str">
        <f>IFERROR(__xludf.DUMMYFUNCTION("""COMPUTED_VALUE"""),"8A")</f>
        <v>8A</v>
      </c>
      <c r="AE589" s="12">
        <f>IFERROR(__xludf.DUMMYFUNCTION("""COMPUTED_VALUE"""),1.345282018E9)</f>
        <v>1345282018</v>
      </c>
      <c r="AF589" s="6"/>
      <c r="AG589" s="12" t="str">
        <f>IFERROR(__xludf.DUMMYFUNCTION("""COMPUTED_VALUE"""),"Nathalia")</f>
        <v>Nathalia</v>
      </c>
      <c r="AH589" s="12" t="str">
        <f>IFERROR(__xludf.DUMMYFUNCTION("""COMPUTED_VALUE"""),"Andrea")</f>
        <v>Andrea</v>
      </c>
      <c r="AI589" s="6" t="str">
        <f>IFERROR(__xludf.DUMMYFUNCTION("""COMPUTED_VALUE"""),"Marín Salazar")</f>
        <v>Marín Salazar</v>
      </c>
      <c r="AJ589" s="6" t="str">
        <f>IFERROR(__xludf.DUMMYFUNCTION("""COMPUTED_VALUE"""),"nataliamarinsalazar@gmail.com")</f>
        <v>nataliamarinsalazar@gmail.com</v>
      </c>
      <c r="AK589" s="6" t="str">
        <f>IFERROR(__xludf.DUMMYFUNCTION("""COMPUTED_VALUE"""),"Diseñadora de moda")</f>
        <v>Diseñadora de moda</v>
      </c>
      <c r="AL589" s="6"/>
      <c r="AM589" s="12" t="str">
        <f>IFERROR(__xludf.DUMMYFUNCTION("""COMPUTED_VALUE"""),"1020757715")</f>
        <v>1020757715</v>
      </c>
      <c r="AN589" s="12" t="str">
        <f>IFERROR(__xludf.DUMMYFUNCTION("""COMPUTED_VALUE"""),"3116875545")</f>
        <v>3116875545</v>
      </c>
      <c r="AO589" s="6" t="str">
        <f>IFERROR(__xludf.DUMMYFUNCTION("""COMPUTED_VALUE"""),"Madre")</f>
        <v>Madre</v>
      </c>
      <c r="AP589" s="6" t="str">
        <f>IFERROR(__xludf.DUMMYFUNCTION("""COMPUTED_VALUE"""),"Estudiante(s): Mejía Marín")</f>
        <v>Estudiante(s): Mejía Marín</v>
      </c>
      <c r="AQ589" s="6" t="str">
        <f>IFERROR(__xludf.DUMMYFUNCTION("""COMPUTED_VALUE"""),"103969*Gi")</f>
        <v>103969*Gi</v>
      </c>
      <c r="AR589" s="6" t="str">
        <f>IFERROR(__xludf.DUMMYFUNCTION("""COMPUTED_VALUE"""),"Ronald")</f>
        <v>Ronald</v>
      </c>
      <c r="AS589" s="6" t="str">
        <f>IFERROR(__xludf.DUMMYFUNCTION("""COMPUTED_VALUE"""),"Jaime")</f>
        <v>Jaime</v>
      </c>
      <c r="AT589" s="6" t="str">
        <f>IFERROR(__xludf.DUMMYFUNCTION("""COMPUTED_VALUE"""),"Mejía")</f>
        <v>Mejía</v>
      </c>
      <c r="AU589" s="6" t="str">
        <f>IFERROR(__xludf.DUMMYFUNCTION("""COMPUTED_VALUE"""),"rm032603@gmail.com")</f>
        <v>rm032603@gmail.com</v>
      </c>
      <c r="AV589" s="6" t="str">
        <f>IFERROR(__xludf.DUMMYFUNCTION("""COMPUTED_VALUE"""),"Administrador de empresas")</f>
        <v>Administrador de empresas</v>
      </c>
      <c r="AW589" s="6" t="str">
        <f>IFERROR(__xludf.DUMMYFUNCTION("""COMPUTED_VALUE"""),"Top trucking")</f>
        <v>Top trucking</v>
      </c>
      <c r="AX589" s="12" t="str">
        <f>IFERROR(__xludf.DUMMYFUNCTION("""COMPUTED_VALUE"""),"1094885055")</f>
        <v>1094885055</v>
      </c>
      <c r="AY589" s="12" t="str">
        <f>IFERROR(__xludf.DUMMYFUNCTION("""COMPUTED_VALUE"""),"3108753452")</f>
        <v>3108753452</v>
      </c>
      <c r="AZ589" s="6" t="str">
        <f>IFERROR(__xludf.DUMMYFUNCTION("""COMPUTED_VALUE"""),"Padre")</f>
        <v>Padre</v>
      </c>
      <c r="BA589" s="6"/>
      <c r="BB589" s="6"/>
      <c r="BC589" s="6"/>
      <c r="BD589" s="12" t="str">
        <f>IFERROR(__xludf.DUMMYFUNCTION("""COMPUTED_VALUE"""),"mej0021")</f>
        <v>mej0021</v>
      </c>
      <c r="BE589" s="6" t="str">
        <f>IFERROR(__xludf.DUMMYFUNCTION("""COMPUTED_VALUE"""),"REINGRESO")</f>
        <v>REINGRESO</v>
      </c>
      <c r="BF589" s="6"/>
      <c r="BG589" s="6">
        <f>IFERROR(__xludf.DUMMYFUNCTION("""COMPUTED_VALUE"""),2031.0)</f>
        <v>2031</v>
      </c>
      <c r="BH589" s="15">
        <f>IFERROR(__xludf.DUMMYFUNCTION("""COMPUTED_VALUE"""),46255.482511574075)</f>
        <v>46255.48251</v>
      </c>
      <c r="BI589" s="6">
        <f>IFERROR(__xludf.DUMMYFUNCTION("""COMPUTED_VALUE"""),589.0)</f>
        <v>589</v>
      </c>
      <c r="BJ589" s="6"/>
      <c r="BK589" s="6"/>
      <c r="BL589" s="6" t="str">
        <f>IFERROR(__xludf.DUMMYFUNCTION("""COMPUTED_VALUE"""),"GISMEJ0021")</f>
        <v>GISMEJ0021</v>
      </c>
      <c r="BM589" s="6"/>
      <c r="BN589" s="6"/>
      <c r="BO589" s="6"/>
      <c r="BP589" s="6"/>
      <c r="BQ589" s="6"/>
      <c r="BR589" s="6"/>
      <c r="BS589" s="6"/>
      <c r="BT589" s="6"/>
      <c r="BU589" s="6" t="str">
        <f>IFERROR(__xludf.DUMMYFUNCTION("""COMPUTED_VALUE"""),"SI")</f>
        <v>SI</v>
      </c>
      <c r="BV589" s="6" t="str">
        <f>IFERROR(__xludf.DUMMYFUNCTION("""COMPUTED_VALUE"""),"guadalupe.m2031")</f>
        <v>guadalupe.m2031</v>
      </c>
      <c r="BW589" s="6"/>
      <c r="BX589" s="6"/>
      <c r="BY589" s="6"/>
      <c r="BZ589" s="6"/>
    </row>
    <row r="590">
      <c r="A590" s="12">
        <f>IFERROR(__xludf.DUMMYFUNCTION("""COMPUTED_VALUE"""),1.0928568E9)</f>
        <v>1092856800</v>
      </c>
      <c r="B590" s="6">
        <f>IFERROR(__xludf.DUMMYFUNCTION("""COMPUTED_VALUE"""),35.0)</f>
        <v>35</v>
      </c>
      <c r="C590" s="6" t="str">
        <f>IFERROR(__xludf.DUMMYFUNCTION("""COMPUTED_VALUE"""),"Thiago")</f>
        <v>Thiago</v>
      </c>
      <c r="D590" s="6" t="str">
        <f>IFERROR(__xludf.DUMMYFUNCTION("""COMPUTED_VALUE"""),"Emmanuel")</f>
        <v>Emmanuel</v>
      </c>
      <c r="E590" s="6" t="str">
        <f>IFERROR(__xludf.DUMMYFUNCTION("""COMPUTED_VALUE"""),"Molina Agudelo")</f>
        <v>Molina Agudelo</v>
      </c>
      <c r="F590" s="6" t="str">
        <f>IFERROR(__xludf.DUMMYFUNCTION("""COMPUTED_VALUE"""),"Bosque Residencial Apartamentos Torre 5 Apto 404 - Cra 32 No49 - 47")</f>
        <v>Bosque Residencial Apartamentos Torre 5 Apto 404 - Cra 32 No49 - 47</v>
      </c>
      <c r="G590" s="12" t="str">
        <f>IFERROR(__xludf.DUMMYFUNCTION("""COMPUTED_VALUE"""),"2013")</f>
        <v>2013</v>
      </c>
      <c r="H590" s="6" t="str">
        <f>IFERROR(__xludf.DUMMYFUNCTION("""COMPUTED_VALUE"""),"Mayo")</f>
        <v>Mayo</v>
      </c>
      <c r="I590" s="12" t="str">
        <f>IFERROR(__xludf.DUMMYFUNCTION("""COMPUTED_VALUE"""),"8")</f>
        <v>8</v>
      </c>
      <c r="J590" s="6" t="str">
        <f>IFERROR(__xludf.DUMMYFUNCTION("""COMPUTED_VALUE"""),"Armenia")</f>
        <v>Armenia</v>
      </c>
      <c r="K590" s="6" t="str">
        <f>IFERROR(__xludf.DUMMYFUNCTION("""COMPUTED_VALUE"""),"thiago.m2031@gi.edu.co")</f>
        <v>thiago.m2031@gi.edu.co</v>
      </c>
      <c r="L590" s="6" t="str">
        <f>IFERROR(__xludf.DUMMYFUNCTION("""COMPUTED_VALUE"""),"TI")</f>
        <v>TI</v>
      </c>
      <c r="M590" s="6" t="str">
        <f>IFERROR(__xludf.DUMMYFUNCTION("""COMPUTED_VALUE"""),"Armenia")</f>
        <v>Armenia</v>
      </c>
      <c r="N590" s="6" t="str">
        <f>IFERROR(__xludf.DUMMYFUNCTION("""COMPUTED_VALUE"""),"M")</f>
        <v>M</v>
      </c>
      <c r="O590" s="6" t="str">
        <f>IFERROR(__xludf.DUMMYFUNCTION("""COMPUTED_VALUE"""),"ACTIVE")</f>
        <v>ACTIVE</v>
      </c>
      <c r="P590" s="6"/>
      <c r="Q590" s="6" t="str">
        <f>IFERROR(__xludf.DUMMYFUNCTION("""COMPUTED_VALUE"""),"Calarcá")</f>
        <v>Calarcá</v>
      </c>
      <c r="R590" s="12" t="str">
        <f>IFERROR(__xludf.DUMMYFUNCTION("""COMPUTED_VALUE"""),"Gisprnv45*")</f>
        <v>Gisprnv45*</v>
      </c>
      <c r="S590" s="6" t="str">
        <f>IFERROR(__xludf.DUMMYFUNCTION("""COMPUTED_VALUE"""),"Molina Agudelo Thiago Emmanuel")</f>
        <v>Molina Agudelo Thiago Emmanuel</v>
      </c>
      <c r="T590" s="6" t="str">
        <f>IFERROR(__xludf.DUMMYFUNCTION("""COMPUTED_VALUE"""),"LUZ VIVIANA AGUDELO GUERRERO")</f>
        <v>LUZ VIVIANA AGUDELO GUERRERO</v>
      </c>
      <c r="U590" s="12" t="str">
        <f>IFERROR(__xludf.DUMMYFUNCTION("""COMPUTED_VALUE"""),"1125779464")</f>
        <v>1125779464</v>
      </c>
      <c r="V590" s="6">
        <f>IFERROR(__xludf.DUMMYFUNCTION("""COMPUTED_VALUE"""),3.117010988E9)</f>
        <v>3117010988</v>
      </c>
      <c r="W590" s="6" t="str">
        <f>IFERROR(__xludf.DUMMYFUNCTION("""COMPUTED_VALUE"""),"lvag86@gmail.com")</f>
        <v>lvag86@gmail.com</v>
      </c>
      <c r="X590" s="12" t="str">
        <f>IFERROR(__xludf.DUMMYFUNCTION("""COMPUTED_VALUE"""),"B+")</f>
        <v>B+</v>
      </c>
      <c r="Y590" s="12" t="str">
        <f>IFERROR(__xludf.DUMMYFUNCTION("""COMPUTED_VALUE"""),"8")</f>
        <v>8</v>
      </c>
      <c r="Z590" s="12">
        <f>IFERROR(__xludf.DUMMYFUNCTION("""COMPUTED_VALUE"""),120030.0)</f>
        <v>120030</v>
      </c>
      <c r="AA590" s="6" t="str">
        <f>IFERROR(__xludf.DUMMYFUNCTION("""COMPUTED_VALUE"""),"OTRA")</f>
        <v>OTRA</v>
      </c>
      <c r="AB590" s="6" t="str">
        <f>IFERROR(__xludf.DUMMYFUNCTION("""COMPUTED_VALUE"""),"EMI")</f>
        <v>EMI</v>
      </c>
      <c r="AC590" s="12" t="str">
        <f>IFERROR(__xludf.DUMMYFUNCTION("""COMPUTED_VALUE"""),"ACAROS, POLVO, POLEN CAMARON")</f>
        <v>ACAROS, POLVO, POLEN CAMARON</v>
      </c>
      <c r="AD590" s="12" t="str">
        <f>IFERROR(__xludf.DUMMYFUNCTION("""COMPUTED_VALUE"""),"8A")</f>
        <v>8A</v>
      </c>
      <c r="AE590" s="12">
        <f>IFERROR(__xludf.DUMMYFUNCTION("""COMPUTED_VALUE"""),1.345282041E9)</f>
        <v>1345282041</v>
      </c>
      <c r="AF590" s="12" t="str">
        <f>IFERROR(__xludf.DUMMYFUNCTION("""COMPUTED_VALUE"""),"0651188627")</f>
        <v>0651188627</v>
      </c>
      <c r="AG590" s="12" t="str">
        <f>IFERROR(__xludf.DUMMYFUNCTION("""COMPUTED_VALUE"""),"Luz")</f>
        <v>Luz</v>
      </c>
      <c r="AH590" s="12" t="str">
        <f>IFERROR(__xludf.DUMMYFUNCTION("""COMPUTED_VALUE"""),"Viviana")</f>
        <v>Viviana</v>
      </c>
      <c r="AI590" s="6" t="str">
        <f>IFERROR(__xludf.DUMMYFUNCTION("""COMPUTED_VALUE"""),"Agudelo")</f>
        <v>Agudelo</v>
      </c>
      <c r="AJ590" s="6" t="str">
        <f>IFERROR(__xludf.DUMMYFUNCTION("""COMPUTED_VALUE"""),"lvag86@gmail.com")</f>
        <v>lvag86@gmail.com</v>
      </c>
      <c r="AK590" s="6" t="str">
        <f>IFERROR(__xludf.DUMMYFUNCTION("""COMPUTED_VALUE"""),"Associate Degree - USA")</f>
        <v>Associate Degree - USA</v>
      </c>
      <c r="AL590" s="6" t="str">
        <f>IFERROR(__xludf.DUMMYFUNCTION("""COMPUTED_VALUE"""),"FUNDACION GIMNASIO INGLES")</f>
        <v>FUNDACION GIMNASIO INGLES</v>
      </c>
      <c r="AM590" s="12" t="str">
        <f>IFERROR(__xludf.DUMMYFUNCTION("""COMPUTED_VALUE"""),"1125779464")</f>
        <v>1125779464</v>
      </c>
      <c r="AN590" s="6">
        <f>IFERROR(__xludf.DUMMYFUNCTION("""COMPUTED_VALUE"""),3.117010988E9)</f>
        <v>3117010988</v>
      </c>
      <c r="AO590" s="6" t="str">
        <f>IFERROR(__xludf.DUMMYFUNCTION("""COMPUTED_VALUE"""),"Madre")</f>
        <v>Madre</v>
      </c>
      <c r="AP590" s="6" t="str">
        <f>IFERROR(__xludf.DUMMYFUNCTION("""COMPUTED_VALUE"""),"Estudiante(s): Molina Agudelo")</f>
        <v>Estudiante(s): Molina Agudelo</v>
      </c>
      <c r="AQ590" s="6" t="str">
        <f>IFERROR(__xludf.DUMMYFUNCTION("""COMPUTED_VALUE"""),"120030*Gi")</f>
        <v>120030*Gi</v>
      </c>
      <c r="AR590" s="6" t="str">
        <f>IFERROR(__xludf.DUMMYFUNCTION("""COMPUTED_VALUE"""),"Oscar")</f>
        <v>Oscar</v>
      </c>
      <c r="AS590" s="6" t="str">
        <f>IFERROR(__xludf.DUMMYFUNCTION("""COMPUTED_VALUE"""),"Iván")</f>
        <v>Iván</v>
      </c>
      <c r="AT590" s="6" t="str">
        <f>IFERROR(__xludf.DUMMYFUNCTION("""COMPUTED_VALUE"""),"Molina Ferro")</f>
        <v>Molina Ferro</v>
      </c>
      <c r="AU590" s="6" t="str">
        <f>IFERROR(__xludf.DUMMYFUNCTION("""COMPUTED_VALUE"""),"molerman84@gmail.com")</f>
        <v>molerman84@gmail.com</v>
      </c>
      <c r="AV590" s="6" t="str">
        <f>IFERROR(__xludf.DUMMYFUNCTION("""COMPUTED_VALUE"""),"Militar")</f>
        <v>Militar</v>
      </c>
      <c r="AW590" s="6" t="str">
        <f>IFERROR(__xludf.DUMMYFUNCTION("""COMPUTED_VALUE"""),"Fuerza Aerea Colombiana")</f>
        <v>Fuerza Aerea Colombiana</v>
      </c>
      <c r="AX590" s="12" t="str">
        <f>IFERROR(__xludf.DUMMYFUNCTION("""COMPUTED_VALUE"""),"9771158")</f>
        <v>9771158</v>
      </c>
      <c r="AY590" s="12" t="str">
        <f>IFERROR(__xludf.DUMMYFUNCTION("""COMPUTED_VALUE"""),"3137502920")</f>
        <v>3137502920</v>
      </c>
      <c r="AZ590" s="6" t="str">
        <f>IFERROR(__xludf.DUMMYFUNCTION("""COMPUTED_VALUE"""),"Padre")</f>
        <v>Padre</v>
      </c>
      <c r="BA590" s="6"/>
      <c r="BB590" s="6"/>
      <c r="BC590" s="6"/>
      <c r="BD590" s="12" t="str">
        <f>IFERROR(__xludf.DUMMYFUNCTION("""COMPUTED_VALUE"""),"mol0001")</f>
        <v>mol0001</v>
      </c>
      <c r="BE590" s="6"/>
      <c r="BF590" s="6"/>
      <c r="BG590" s="6">
        <f>IFERROR(__xludf.DUMMYFUNCTION("""COMPUTED_VALUE"""),2031.0)</f>
        <v>2031</v>
      </c>
      <c r="BH590" s="15">
        <f>IFERROR(__xludf.DUMMYFUNCTION("""COMPUTED_VALUE"""),46210.56862268518)</f>
        <v>46210.56862</v>
      </c>
      <c r="BI590" s="6">
        <f>IFERROR(__xludf.DUMMYFUNCTION("""COMPUTED_VALUE"""),590.0)</f>
        <v>590</v>
      </c>
      <c r="BJ590" s="6"/>
      <c r="BK590" s="6"/>
      <c r="BL590" s="6" t="str">
        <f>IFERROR(__xludf.DUMMYFUNCTION("""COMPUTED_VALUE"""),"GISMOL0001")</f>
        <v>GISMOL0001</v>
      </c>
      <c r="BM590" s="6"/>
      <c r="BN590" s="6"/>
      <c r="BO590" s="6"/>
      <c r="BP590" s="6"/>
      <c r="BQ590" s="6"/>
      <c r="BR590" s="6"/>
      <c r="BS590" s="6"/>
      <c r="BT590" s="6"/>
      <c r="BU590" s="6" t="str">
        <f>IFERROR(__xludf.DUMMYFUNCTION("""COMPUTED_VALUE"""),"NO")</f>
        <v>NO</v>
      </c>
      <c r="BV590" s="6" t="str">
        <f>IFERROR(__xludf.DUMMYFUNCTION("""COMPUTED_VALUE"""),"thiago.m2031")</f>
        <v>thiago.m2031</v>
      </c>
      <c r="BW590" s="6"/>
      <c r="BX590" s="6"/>
      <c r="BY590" s="6"/>
      <c r="BZ590" s="6"/>
    </row>
    <row r="591">
      <c r="A591" s="12">
        <f>IFERROR(__xludf.DUMMYFUNCTION("""COMPUTED_VALUE"""),1.110374796E9)</f>
        <v>1110374796</v>
      </c>
      <c r="B591" s="6">
        <f>IFERROR(__xludf.DUMMYFUNCTION("""COMPUTED_VALUE"""),36.0)</f>
        <v>36</v>
      </c>
      <c r="C591" s="6" t="str">
        <f>IFERROR(__xludf.DUMMYFUNCTION("""COMPUTED_VALUE"""),"Matthew")</f>
        <v>Matthew</v>
      </c>
      <c r="D591" s="6"/>
      <c r="E591" s="6" t="str">
        <f>IFERROR(__xludf.DUMMYFUNCTION("""COMPUTED_VALUE"""),"Molina Navarro")</f>
        <v>Molina Navarro</v>
      </c>
      <c r="F591" s="6" t="str">
        <f>IFERROR(__xludf.DUMMYFUNCTION("""COMPUTED_VALUE"""),"Lagos de Iraka Casa 38 - Km 12 Via Armenia - El Caimo")</f>
        <v>Lagos de Iraka Casa 38 - Km 12 Via Armenia - El Caimo</v>
      </c>
      <c r="G591" s="12" t="str">
        <f>IFERROR(__xludf.DUMMYFUNCTION("""COMPUTED_VALUE"""),"2013")</f>
        <v>2013</v>
      </c>
      <c r="H591" s="6" t="str">
        <f>IFERROR(__xludf.DUMMYFUNCTION("""COMPUTED_VALUE"""),"Junio")</f>
        <v>Junio</v>
      </c>
      <c r="I591" s="12" t="str">
        <f>IFERROR(__xludf.DUMMYFUNCTION("""COMPUTED_VALUE"""),"15")</f>
        <v>15</v>
      </c>
      <c r="J591" s="6" t="str">
        <f>IFERROR(__xludf.DUMMYFUNCTION("""COMPUTED_VALUE"""),"Cali")</f>
        <v>Cali</v>
      </c>
      <c r="K591" s="6" t="str">
        <f>IFERROR(__xludf.DUMMYFUNCTION("""COMPUTED_VALUE"""),"matthew.m2031@gi.edu.co")</f>
        <v>matthew.m2031@gi.edu.co</v>
      </c>
      <c r="L591" s="6" t="str">
        <f>IFERROR(__xludf.DUMMYFUNCTION("""COMPUTED_VALUE"""),"TI")</f>
        <v>TI</v>
      </c>
      <c r="M591" s="6" t="str">
        <f>IFERROR(__xludf.DUMMYFUNCTION("""COMPUTED_VALUE"""),"Armenia")</f>
        <v>Armenia</v>
      </c>
      <c r="N591" s="6" t="str">
        <f>IFERROR(__xludf.DUMMYFUNCTION("""COMPUTED_VALUE"""),"M")</f>
        <v>M</v>
      </c>
      <c r="O591" s="6" t="str">
        <f>IFERROR(__xludf.DUMMYFUNCTION("""COMPUTED_VALUE"""),"ACTIVE")</f>
        <v>ACTIVE</v>
      </c>
      <c r="P591" s="6"/>
      <c r="Q591" s="6" t="str">
        <f>IFERROR(__xludf.DUMMYFUNCTION("""COMPUTED_VALUE"""),"Armenia")</f>
        <v>Armenia</v>
      </c>
      <c r="R591" s="12" t="str">
        <f>IFERROR(__xludf.DUMMYFUNCTION("""COMPUTED_VALUE"""),"Giwebn56p*")</f>
        <v>Giwebn56p*</v>
      </c>
      <c r="S591" s="6" t="str">
        <f>IFERROR(__xludf.DUMMYFUNCTION("""COMPUTED_VALUE"""),"Molina Navarro Matthew ")</f>
        <v>Molina Navarro Matthew </v>
      </c>
      <c r="T591" s="6" t="str">
        <f>IFERROR(__xludf.DUMMYFUNCTION("""COMPUTED_VALUE"""),"JULIAN MAURICIO MOLINA ROJAS")</f>
        <v>JULIAN MAURICIO MOLINA ROJAS</v>
      </c>
      <c r="U591" s="12" t="str">
        <f>IFERROR(__xludf.DUMMYFUNCTION("""COMPUTED_VALUE"""),"80715384")</f>
        <v>80715384</v>
      </c>
      <c r="V591" s="6">
        <f>IFERROR(__xludf.DUMMYFUNCTION("""COMPUTED_VALUE"""),3.132251428E9)</f>
        <v>3132251428</v>
      </c>
      <c r="W591" s="6" t="str">
        <f>IFERROR(__xludf.DUMMYFUNCTION("""COMPUTED_VALUE"""),"julian3502009@hotmail.com")</f>
        <v>julian3502009@hotmail.com</v>
      </c>
      <c r="X591" s="12" t="str">
        <f>IFERROR(__xludf.DUMMYFUNCTION("""COMPUTED_VALUE"""),"B+")</f>
        <v>B+</v>
      </c>
      <c r="Y591" s="12" t="str">
        <f>IFERROR(__xludf.DUMMYFUNCTION("""COMPUTED_VALUE"""),"8")</f>
        <v>8</v>
      </c>
      <c r="Z591" s="12">
        <f>IFERROR(__xludf.DUMMYFUNCTION("""COMPUTED_VALUE"""),103971.0)</f>
        <v>103971</v>
      </c>
      <c r="AA591" s="6" t="str">
        <f>IFERROR(__xludf.DUMMYFUNCTION("""COMPUTED_VALUE"""),"SURA")</f>
        <v>SURA</v>
      </c>
      <c r="AB591" s="6"/>
      <c r="AC591" s="6"/>
      <c r="AD591" s="12" t="str">
        <f>IFERROR(__xludf.DUMMYFUNCTION("""COMPUTED_VALUE"""),"8B")</f>
        <v>8B</v>
      </c>
      <c r="AE591" s="12">
        <f>IFERROR(__xludf.DUMMYFUNCTION("""COMPUTED_VALUE"""),1.345281999E9)</f>
        <v>1345281999</v>
      </c>
      <c r="AF591" s="12" t="str">
        <f>IFERROR(__xludf.DUMMYFUNCTION("""COMPUTED_VALUE"""),"0690523571")</f>
        <v>0690523571</v>
      </c>
      <c r="AG591" s="12" t="str">
        <f>IFERROR(__xludf.DUMMYFUNCTION("""COMPUTED_VALUE"""),"Leidy")</f>
        <v>Leidy</v>
      </c>
      <c r="AH591" s="12" t="str">
        <f>IFERROR(__xludf.DUMMYFUNCTION("""COMPUTED_VALUE"""),"Cecilia")</f>
        <v>Cecilia</v>
      </c>
      <c r="AI591" s="6" t="str">
        <f>IFERROR(__xludf.DUMMYFUNCTION("""COMPUTED_VALUE"""),"Navarro Montilla")</f>
        <v>Navarro Montilla</v>
      </c>
      <c r="AJ591" s="6" t="str">
        <f>IFERROR(__xludf.DUMMYFUNCTION("""COMPUTED_VALUE"""),"leidnamo@gmail.com")</f>
        <v>leidnamo@gmail.com</v>
      </c>
      <c r="AK591" s="6" t="str">
        <f>IFERROR(__xludf.DUMMYFUNCTION("""COMPUTED_VALUE"""),"FISIOTERAPEUTA ESPECIALISTA EN SALUD OCUPACIONAL")</f>
        <v>FISIOTERAPEUTA ESPECIALISTA EN SALUD OCUPACIONAL</v>
      </c>
      <c r="AL591" s="6" t="str">
        <f>IFERROR(__xludf.DUMMYFUNCTION("""COMPUTED_VALUE"""),"DICOLMADERAS S.A.S")</f>
        <v>DICOLMADERAS S.A.S</v>
      </c>
      <c r="AM591" s="12" t="str">
        <f>IFERROR(__xludf.DUMMYFUNCTION("""COMPUTED_VALUE"""),"31308104")</f>
        <v>31308104</v>
      </c>
      <c r="AN591" s="12" t="str">
        <f>IFERROR(__xludf.DUMMYFUNCTION("""COMPUTED_VALUE"""),"3043765361")</f>
        <v>3043765361</v>
      </c>
      <c r="AO591" s="6" t="str">
        <f>IFERROR(__xludf.DUMMYFUNCTION("""COMPUTED_VALUE"""),"Madre")</f>
        <v>Madre</v>
      </c>
      <c r="AP591" s="6" t="str">
        <f>IFERROR(__xludf.DUMMYFUNCTION("""COMPUTED_VALUE"""),"Estudiante(s): Molina Navarro")</f>
        <v>Estudiante(s): Molina Navarro</v>
      </c>
      <c r="AQ591" s="6" t="str">
        <f>IFERROR(__xludf.DUMMYFUNCTION("""COMPUTED_VALUE"""),"103970*Gi")</f>
        <v>103970*Gi</v>
      </c>
      <c r="AR591" s="6" t="str">
        <f>IFERROR(__xludf.DUMMYFUNCTION("""COMPUTED_VALUE"""),"Julian")</f>
        <v>Julian</v>
      </c>
      <c r="AS591" s="6" t="str">
        <f>IFERROR(__xludf.DUMMYFUNCTION("""COMPUTED_VALUE"""),"Mauricio")</f>
        <v>Mauricio</v>
      </c>
      <c r="AT591" s="6" t="str">
        <f>IFERROR(__xludf.DUMMYFUNCTION("""COMPUTED_VALUE"""),"Molina Rojas")</f>
        <v>Molina Rojas</v>
      </c>
      <c r="AU591" s="6" t="str">
        <f>IFERROR(__xludf.DUMMYFUNCTION("""COMPUTED_VALUE"""),"losmolinanavarro4@gmail.com")</f>
        <v>losmolinanavarro4@gmail.com</v>
      </c>
      <c r="AV591" s="6" t="str">
        <f>IFERROR(__xludf.DUMMYFUNCTION("""COMPUTED_VALUE"""),"INGENIERO INDUSTRIAL")</f>
        <v>INGENIERO INDUSTRIAL</v>
      </c>
      <c r="AW591" s="6" t="str">
        <f>IFERROR(__xludf.DUMMYFUNCTION("""COMPUTED_VALUE"""),"DICOLMADERAS S.A.S")</f>
        <v>DICOLMADERAS S.A.S</v>
      </c>
      <c r="AX591" s="12" t="str">
        <f>IFERROR(__xludf.DUMMYFUNCTION("""COMPUTED_VALUE"""),"80715384")</f>
        <v>80715384</v>
      </c>
      <c r="AY591" s="12" t="str">
        <f>IFERROR(__xludf.DUMMYFUNCTION("""COMPUTED_VALUE"""),"3132251428")</f>
        <v>3132251428</v>
      </c>
      <c r="AZ591" s="6" t="str">
        <f>IFERROR(__xludf.DUMMYFUNCTION("""COMPUTED_VALUE"""),"Padre")</f>
        <v>Padre</v>
      </c>
      <c r="BA591" s="6"/>
      <c r="BB591" s="6"/>
      <c r="BC591" s="6"/>
      <c r="BD591" s="12" t="str">
        <f>IFERROR(__xludf.DUMMYFUNCTION("""COMPUTED_VALUE"""),"mol0003")</f>
        <v>mol0003</v>
      </c>
      <c r="BE591" s="6"/>
      <c r="BF591" s="6"/>
      <c r="BG591" s="6">
        <f>IFERROR(__xludf.DUMMYFUNCTION("""COMPUTED_VALUE"""),2031.0)</f>
        <v>2031</v>
      </c>
      <c r="BH591" s="15">
        <f>IFERROR(__xludf.DUMMYFUNCTION("""COMPUTED_VALUE"""),46211.55871527778)</f>
        <v>46211.55872</v>
      </c>
      <c r="BI591" s="6">
        <f>IFERROR(__xludf.DUMMYFUNCTION("""COMPUTED_VALUE"""),591.0)</f>
        <v>591</v>
      </c>
      <c r="BJ591" s="6" t="str">
        <f>IFERROR(__xludf.DUMMYFUNCTION("""COMPUTED_VALUE"""),"SIMAT: Discapacidad Psicosocial - Mental) (Sept 22 2025)")</f>
        <v>SIMAT: Discapacidad Psicosocial - Mental) (Sept 22 2025)</v>
      </c>
      <c r="BK591" s="6"/>
      <c r="BL591" s="6" t="str">
        <f>IFERROR(__xludf.DUMMYFUNCTION("""COMPUTED_VALUE"""),"GISMOL0003")</f>
        <v>GISMOL0003</v>
      </c>
      <c r="BM591" s="6"/>
      <c r="BN591" s="6"/>
      <c r="BO591" s="6" t="str">
        <f>IFERROR(__xludf.DUMMYFUNCTION("""COMPUTED_VALUE"""),"XC_SEC_ProgRobot")</f>
        <v>XC_SEC_ProgRobot</v>
      </c>
      <c r="BP591" s="6"/>
      <c r="BQ591" s="6"/>
      <c r="BR591" s="6"/>
      <c r="BS591" s="6"/>
      <c r="BT591" s="6"/>
      <c r="BU591" s="6" t="str">
        <f>IFERROR(__xludf.DUMMYFUNCTION("""COMPUTED_VALUE"""),"SI")</f>
        <v>SI</v>
      </c>
      <c r="BV591" s="6" t="str">
        <f>IFERROR(__xludf.DUMMYFUNCTION("""COMPUTED_VALUE"""),"matthew.m2031")</f>
        <v>matthew.m2031</v>
      </c>
      <c r="BW591" s="6"/>
      <c r="BX591" s="6"/>
      <c r="BY591" s="6"/>
      <c r="BZ591" s="6"/>
    </row>
    <row r="592">
      <c r="A592" s="12">
        <f>IFERROR(__xludf.DUMMYFUNCTION("""COMPUTED_VALUE"""),1.089938974E9)</f>
        <v>1089938974</v>
      </c>
      <c r="B592" s="6">
        <f>IFERROR(__xludf.DUMMYFUNCTION("""COMPUTED_VALUE"""),37.0)</f>
        <v>37</v>
      </c>
      <c r="C592" s="6" t="str">
        <f>IFERROR(__xludf.DUMMYFUNCTION("""COMPUTED_VALUE"""),"Jacobo")</f>
        <v>Jacobo</v>
      </c>
      <c r="D592" s="6"/>
      <c r="E592" s="6" t="str">
        <f>IFERROR(__xludf.DUMMYFUNCTION("""COMPUTED_VALUE"""),"Montaño David")</f>
        <v>Montaño David</v>
      </c>
      <c r="F592" s="6" t="str">
        <f>IFERROR(__xludf.DUMMYFUNCTION("""COMPUTED_VALUE"""),"Cra 6 No44Nte - 45 Lote 9 Casa 3 - Av Centenario")</f>
        <v>Cra 6 No44Nte - 45 Lote 9 Casa 3 - Av Centenario</v>
      </c>
      <c r="G592" s="12" t="str">
        <f>IFERROR(__xludf.DUMMYFUNCTION("""COMPUTED_VALUE"""),"2013")</f>
        <v>2013</v>
      </c>
      <c r="H592" s="6" t="str">
        <f>IFERROR(__xludf.DUMMYFUNCTION("""COMPUTED_VALUE"""),"Marzo")</f>
        <v>Marzo</v>
      </c>
      <c r="I592" s="12" t="str">
        <f>IFERROR(__xludf.DUMMYFUNCTION("""COMPUTED_VALUE"""),"12")</f>
        <v>12</v>
      </c>
      <c r="J592" s="6" t="str">
        <f>IFERROR(__xludf.DUMMYFUNCTION("""COMPUTED_VALUE"""),"Pereira")</f>
        <v>Pereira</v>
      </c>
      <c r="K592" s="6" t="str">
        <f>IFERROR(__xludf.DUMMYFUNCTION("""COMPUTED_VALUE"""),"jacobo.m2031@gi.edu.co")</f>
        <v>jacobo.m2031@gi.edu.co</v>
      </c>
      <c r="L592" s="6" t="str">
        <f>IFERROR(__xludf.DUMMYFUNCTION("""COMPUTED_VALUE"""),"TI")</f>
        <v>TI</v>
      </c>
      <c r="M592" s="6" t="str">
        <f>IFERROR(__xludf.DUMMYFUNCTION("""COMPUTED_VALUE"""),"Armenia")</f>
        <v>Armenia</v>
      </c>
      <c r="N592" s="6" t="str">
        <f>IFERROR(__xludf.DUMMYFUNCTION("""COMPUTED_VALUE"""),"M")</f>
        <v>M</v>
      </c>
      <c r="O592" s="6" t="str">
        <f>IFERROR(__xludf.DUMMYFUNCTION("""COMPUTED_VALUE"""),"ACTIVE")</f>
        <v>ACTIVE</v>
      </c>
      <c r="P592" s="6"/>
      <c r="Q592" s="6" t="str">
        <f>IFERROR(__xludf.DUMMYFUNCTION("""COMPUTED_VALUE"""),"Armenia")</f>
        <v>Armenia</v>
      </c>
      <c r="R592" s="12" t="str">
        <f>IFERROR(__xludf.DUMMYFUNCTION("""COMPUTED_VALUE"""),"Gicvfr456g*")</f>
        <v>Gicvfr456g*</v>
      </c>
      <c r="S592" s="6" t="str">
        <f>IFERROR(__xludf.DUMMYFUNCTION("""COMPUTED_VALUE"""),"Montaño David Jacobo ")</f>
        <v>Montaño David Jacobo </v>
      </c>
      <c r="T592" s="6" t="str">
        <f>IFERROR(__xludf.DUMMYFUNCTION("""COMPUTED_VALUE"""),"ANDRÉS FELIPE MONTAÑO MARULANDA")</f>
        <v>ANDRÉS FELIPE MONTAÑO MARULANDA</v>
      </c>
      <c r="U592" s="12" t="str">
        <f>IFERROR(__xludf.DUMMYFUNCTION("""COMPUTED_VALUE"""),"16234763")</f>
        <v>16234763</v>
      </c>
      <c r="V592" s="6">
        <f>IFERROR(__xludf.DUMMYFUNCTION("""COMPUTED_VALUE"""),3.14678099E9)</f>
        <v>3146780990</v>
      </c>
      <c r="W592" s="6" t="str">
        <f>IFERROR(__xludf.DUMMYFUNCTION("""COMPUTED_VALUE"""),"andresmontano55@hotmail.com")</f>
        <v>andresmontano55@hotmail.com</v>
      </c>
      <c r="X592" s="12" t="str">
        <f>IFERROR(__xludf.DUMMYFUNCTION("""COMPUTED_VALUE"""),"A+")</f>
        <v>A+</v>
      </c>
      <c r="Y592" s="12" t="str">
        <f>IFERROR(__xludf.DUMMYFUNCTION("""COMPUTED_VALUE"""),"8")</f>
        <v>8</v>
      </c>
      <c r="Z592" s="12">
        <f>IFERROR(__xludf.DUMMYFUNCTION("""COMPUTED_VALUE"""),103233.0)</f>
        <v>103233</v>
      </c>
      <c r="AA592" s="6" t="str">
        <f>IFERROR(__xludf.DUMMYFUNCTION("""COMPUTED_VALUE"""),"SURA")</f>
        <v>SURA</v>
      </c>
      <c r="AB592" s="6"/>
      <c r="AC592" s="12" t="str">
        <f>IFERROR(__xludf.DUMMYFUNCTION("""COMPUTED_VALUE"""),"RINITIS")</f>
        <v>RINITIS</v>
      </c>
      <c r="AD592" s="12" t="str">
        <f>IFERROR(__xludf.DUMMYFUNCTION("""COMPUTED_VALUE"""),"8A")</f>
        <v>8A</v>
      </c>
      <c r="AE592" s="12">
        <f>IFERROR(__xludf.DUMMYFUNCTION("""COMPUTED_VALUE"""),1.345281589E9)</f>
        <v>1345281589</v>
      </c>
      <c r="AF592" s="12" t="str">
        <f>IFERROR(__xludf.DUMMYFUNCTION("""COMPUTED_VALUE"""),"0690428723")</f>
        <v>0690428723</v>
      </c>
      <c r="AG592" s="12" t="str">
        <f>IFERROR(__xludf.DUMMYFUNCTION("""COMPUTED_VALUE"""),"Johanna")</f>
        <v>Johanna</v>
      </c>
      <c r="AH592" s="12" t="str">
        <f>IFERROR(__xludf.DUMMYFUNCTION("""COMPUTED_VALUE"""),"Marcela")</f>
        <v>Marcela</v>
      </c>
      <c r="AI592" s="6" t="str">
        <f>IFERROR(__xludf.DUMMYFUNCTION("""COMPUTED_VALUE"""),"David Mahecha")</f>
        <v>David Mahecha</v>
      </c>
      <c r="AJ592" s="6" t="str">
        <f>IFERROR(__xludf.DUMMYFUNCTION("""COMPUTED_VALUE"""),"joha822@hotmail.es")</f>
        <v>joha822@hotmail.es</v>
      </c>
      <c r="AK592" s="6" t="str">
        <f>IFERROR(__xludf.DUMMYFUNCTION("""COMPUTED_VALUE"""),"Ingeniera Industrial")</f>
        <v>Ingeniera Industrial</v>
      </c>
      <c r="AL592" s="6"/>
      <c r="AM592" s="12" t="str">
        <f>IFERROR(__xludf.DUMMYFUNCTION("""COMPUTED_VALUE"""),"41950322")</f>
        <v>41950322</v>
      </c>
      <c r="AN592" s="12" t="str">
        <f>IFERROR(__xludf.DUMMYFUNCTION("""COMPUTED_VALUE"""),"3207199367")</f>
        <v>3207199367</v>
      </c>
      <c r="AO592" s="6" t="str">
        <f>IFERROR(__xludf.DUMMYFUNCTION("""COMPUTED_VALUE"""),"Madre")</f>
        <v>Madre</v>
      </c>
      <c r="AP592" s="6" t="str">
        <f>IFERROR(__xludf.DUMMYFUNCTION("""COMPUTED_VALUE"""),"Estudiante(s): Montaño David")</f>
        <v>Estudiante(s): Montaño David</v>
      </c>
      <c r="AQ592" s="6" t="str">
        <f>IFERROR(__xludf.DUMMYFUNCTION("""COMPUTED_VALUE"""),"103233*Gi")</f>
        <v>103233*Gi</v>
      </c>
      <c r="AR592" s="6" t="str">
        <f>IFERROR(__xludf.DUMMYFUNCTION("""COMPUTED_VALUE"""),"Andrés")</f>
        <v>Andrés</v>
      </c>
      <c r="AS592" s="6" t="str">
        <f>IFERROR(__xludf.DUMMYFUNCTION("""COMPUTED_VALUE"""),"Felipe")</f>
        <v>Felipe</v>
      </c>
      <c r="AT592" s="6" t="str">
        <f>IFERROR(__xludf.DUMMYFUNCTION("""COMPUTED_VALUE"""),"Montaño Marulanda")</f>
        <v>Montaño Marulanda</v>
      </c>
      <c r="AU592" s="6" t="str">
        <f>IFERROR(__xludf.DUMMYFUNCTION("""COMPUTED_VALUE"""),"andresmontano55@hotmail.com")</f>
        <v>andresmontano55@hotmail.com</v>
      </c>
      <c r="AV592" s="6" t="str">
        <f>IFERROR(__xludf.DUMMYFUNCTION("""COMPUTED_VALUE"""),"GERENTE")</f>
        <v>GERENTE</v>
      </c>
      <c r="AW592" s="6" t="str">
        <f>IFERROR(__xludf.DUMMYFUNCTION("""COMPUTED_VALUE"""),"Fundación Eje Empresarial")</f>
        <v>Fundación Eje Empresarial</v>
      </c>
      <c r="AX592" s="12" t="str">
        <f>IFERROR(__xludf.DUMMYFUNCTION("""COMPUTED_VALUE"""),"16234763")</f>
        <v>16234763</v>
      </c>
      <c r="AY592" s="12" t="str">
        <f>IFERROR(__xludf.DUMMYFUNCTION("""COMPUTED_VALUE"""),"3146780990")</f>
        <v>3146780990</v>
      </c>
      <c r="AZ592" s="6" t="str">
        <f>IFERROR(__xludf.DUMMYFUNCTION("""COMPUTED_VALUE"""),"Padre")</f>
        <v>Padre</v>
      </c>
      <c r="BA592" s="6"/>
      <c r="BB592" s="6"/>
      <c r="BC592" s="6"/>
      <c r="BD592" s="12" t="str">
        <f>IFERROR(__xludf.DUMMYFUNCTION("""COMPUTED_VALUE"""),"mon0012")</f>
        <v>mon0012</v>
      </c>
      <c r="BE592" s="6"/>
      <c r="BF592" s="6"/>
      <c r="BG592" s="6">
        <f>IFERROR(__xludf.DUMMYFUNCTION("""COMPUTED_VALUE"""),2031.0)</f>
        <v>2031</v>
      </c>
      <c r="BH592" s="15">
        <f>IFERROR(__xludf.DUMMYFUNCTION("""COMPUTED_VALUE"""),46209.752488425926)</f>
        <v>46209.75249</v>
      </c>
      <c r="BI592" s="6">
        <f>IFERROR(__xludf.DUMMYFUNCTION("""COMPUTED_VALUE"""),592.0)</f>
        <v>592</v>
      </c>
      <c r="BJ592" s="6" t="str">
        <f>IFERROR(__xludf.DUMMYFUNCTION("""COMPUTED_VALUE"""),"DANE: Perturbación de la atención
SIMAT: Trastorno de la atención")</f>
        <v>DANE: Perturbación de la atención
SIMAT: Trastorno de la atención</v>
      </c>
      <c r="BK592" s="6"/>
      <c r="BL592" s="6" t="str">
        <f>IFERROR(__xludf.DUMMYFUNCTION("""COMPUTED_VALUE"""),"GISMON0012")</f>
        <v>GISMON0012</v>
      </c>
      <c r="BM592" s="6"/>
      <c r="BN592" s="6"/>
      <c r="BO592" s="6" t="str">
        <f>IFERROR(__xludf.DUMMYFUNCTION("""COMPUTED_VALUE"""),"XC_SEC_Basquetbol")</f>
        <v>XC_SEC_Basquetbol</v>
      </c>
      <c r="BP592" s="6"/>
      <c r="BQ592" s="6" t="str">
        <f>IFERROR(__xludf.DUMMYFUNCTION("""COMPUTED_VALUE"""),"XC_SEC_Basquetbol")</f>
        <v>XC_SEC_Basquetbol</v>
      </c>
      <c r="BR592" s="6" t="str">
        <f>IFERROR(__xludf.DUMMYFUNCTION("""COMPUTED_VALUE"""),"XC_SEC_Basquetbol")</f>
        <v>XC_SEC_Basquetbol</v>
      </c>
      <c r="BS592" s="6"/>
      <c r="BT592" s="6" t="str">
        <f>IFERROR(__xludf.DUMMYFUNCTION("""COMPUTED_VALUE"""),"XC_SEC_Basquetbol")</f>
        <v>XC_SEC_Basquetbol</v>
      </c>
      <c r="BU592" s="6" t="str">
        <f>IFERROR(__xludf.DUMMYFUNCTION("""COMPUTED_VALUE"""),"SI")</f>
        <v>SI</v>
      </c>
      <c r="BV592" s="6" t="str">
        <f>IFERROR(__xludf.DUMMYFUNCTION("""COMPUTED_VALUE"""),"jacobo.m2031")</f>
        <v>jacobo.m2031</v>
      </c>
      <c r="BW592" s="6"/>
      <c r="BX592" s="6"/>
      <c r="BY592" s="6"/>
      <c r="BZ592" s="6"/>
    </row>
    <row r="593">
      <c r="A593" s="12">
        <f>IFERROR(__xludf.DUMMYFUNCTION("""COMPUTED_VALUE"""),1.09285713E9)</f>
        <v>1092857130</v>
      </c>
      <c r="B593" s="6">
        <f>IFERROR(__xludf.DUMMYFUNCTION("""COMPUTED_VALUE"""),38.0)</f>
        <v>38</v>
      </c>
      <c r="C593" s="6" t="str">
        <f>IFERROR(__xludf.DUMMYFUNCTION("""COMPUTED_VALUE"""),"Carlos")</f>
        <v>Carlos</v>
      </c>
      <c r="D593" s="6" t="str">
        <f>IFERROR(__xludf.DUMMYFUNCTION("""COMPUTED_VALUE"""),"Daniel")</f>
        <v>Daniel</v>
      </c>
      <c r="E593" s="6" t="str">
        <f>IFERROR(__xludf.DUMMYFUNCTION("""COMPUTED_VALUE"""),"Mora López")</f>
        <v>Mora López</v>
      </c>
      <c r="F593" s="6" t="str">
        <f>IFERROR(__xludf.DUMMYFUNCTION("""COMPUTED_VALUE"""),"Condominio Horizonte Casa 7 - Vereda San Juan de Carolina")</f>
        <v>Condominio Horizonte Casa 7 - Vereda San Juan de Carolina</v>
      </c>
      <c r="G593" s="12" t="str">
        <f>IFERROR(__xludf.DUMMYFUNCTION("""COMPUTED_VALUE"""),"2013")</f>
        <v>2013</v>
      </c>
      <c r="H593" s="6" t="str">
        <f>IFERROR(__xludf.DUMMYFUNCTION("""COMPUTED_VALUE"""),"Septiembre")</f>
        <v>Septiembre</v>
      </c>
      <c r="I593" s="12" t="str">
        <f>IFERROR(__xludf.DUMMYFUNCTION("""COMPUTED_VALUE"""),"13")</f>
        <v>13</v>
      </c>
      <c r="J593" s="6" t="str">
        <f>IFERROR(__xludf.DUMMYFUNCTION("""COMPUTED_VALUE"""),"Armenia")</f>
        <v>Armenia</v>
      </c>
      <c r="K593" s="6" t="str">
        <f>IFERROR(__xludf.DUMMYFUNCTION("""COMPUTED_VALUE"""),"carlos.m2031@gi.edu.co")</f>
        <v>carlos.m2031@gi.edu.co</v>
      </c>
      <c r="L593" s="6" t="str">
        <f>IFERROR(__xludf.DUMMYFUNCTION("""COMPUTED_VALUE"""),"TI")</f>
        <v>TI</v>
      </c>
      <c r="M593" s="6" t="str">
        <f>IFERROR(__xludf.DUMMYFUNCTION("""COMPUTED_VALUE"""),"Armenia")</f>
        <v>Armenia</v>
      </c>
      <c r="N593" s="6" t="str">
        <f>IFERROR(__xludf.DUMMYFUNCTION("""COMPUTED_VALUE"""),"M")</f>
        <v>M</v>
      </c>
      <c r="O593" s="6" t="str">
        <f>IFERROR(__xludf.DUMMYFUNCTION("""COMPUTED_VALUE"""),"ACTIVE")</f>
        <v>ACTIVE</v>
      </c>
      <c r="P593" s="6"/>
      <c r="Q593" s="6" t="str">
        <f>IFERROR(__xludf.DUMMYFUNCTION("""COMPUTED_VALUE"""),"Armenia")</f>
        <v>Armenia</v>
      </c>
      <c r="R593" s="12" t="str">
        <f>IFERROR(__xludf.DUMMYFUNCTION("""COMPUTED_VALUE"""),"Gi8x5c4v3b*")</f>
        <v>Gi8x5c4v3b*</v>
      </c>
      <c r="S593" s="6" t="str">
        <f>IFERROR(__xludf.DUMMYFUNCTION("""COMPUTED_VALUE"""),"Mora López Carlos Daniel")</f>
        <v>Mora López Carlos Daniel</v>
      </c>
      <c r="T593" s="6" t="str">
        <f>IFERROR(__xludf.DUMMYFUNCTION("""COMPUTED_VALUE"""),"CARLOS ENRIQUE MORA OCAMPO")</f>
        <v>CARLOS ENRIQUE MORA OCAMPO</v>
      </c>
      <c r="U593" s="12" t="str">
        <f>IFERROR(__xludf.DUMMYFUNCTION("""COMPUTED_VALUE"""),"7522882")</f>
        <v>7522882</v>
      </c>
      <c r="V593" s="6">
        <f>IFERROR(__xludf.DUMMYFUNCTION("""COMPUTED_VALUE"""),3.108492304E9)</f>
        <v>3108492304</v>
      </c>
      <c r="W593" s="6" t="str">
        <f>IFERROR(__xludf.DUMMYFUNCTION("""COMPUTED_VALUE"""),"isabelcont8@hotmail.com")</f>
        <v>isabelcont8@hotmail.com</v>
      </c>
      <c r="X593" s="12" t="str">
        <f>IFERROR(__xludf.DUMMYFUNCTION("""COMPUTED_VALUE"""),"O-")</f>
        <v>O-</v>
      </c>
      <c r="Y593" s="12" t="str">
        <f>IFERROR(__xludf.DUMMYFUNCTION("""COMPUTED_VALUE"""),"8")</f>
        <v>8</v>
      </c>
      <c r="Z593" s="12">
        <f>IFERROR(__xludf.DUMMYFUNCTION("""COMPUTED_VALUE"""),103524.0)</f>
        <v>103524</v>
      </c>
      <c r="AA593" s="6" t="str">
        <f>IFERROR(__xludf.DUMMYFUNCTION("""COMPUTED_VALUE"""),"ALIANSALUD")</f>
        <v>ALIANSALUD</v>
      </c>
      <c r="AB593" s="6"/>
      <c r="AC593" s="6"/>
      <c r="AD593" s="12" t="str">
        <f>IFERROR(__xludf.DUMMYFUNCTION("""COMPUTED_VALUE"""),"8C")</f>
        <v>8C</v>
      </c>
      <c r="AE593" s="12">
        <f>IFERROR(__xludf.DUMMYFUNCTION("""COMPUTED_VALUE"""),1.345281726E9)</f>
        <v>1345281726</v>
      </c>
      <c r="AF593" s="12" t="str">
        <f>IFERROR(__xludf.DUMMYFUNCTION("""COMPUTED_VALUE"""),"0695855571")</f>
        <v>0695855571</v>
      </c>
      <c r="AG593" s="12" t="str">
        <f>IFERROR(__xludf.DUMMYFUNCTION("""COMPUTED_VALUE"""),"María")</f>
        <v>María</v>
      </c>
      <c r="AH593" s="12" t="str">
        <f>IFERROR(__xludf.DUMMYFUNCTION("""COMPUTED_VALUE"""),"Isabel")</f>
        <v>Isabel</v>
      </c>
      <c r="AI593" s="6" t="str">
        <f>IFERROR(__xludf.DUMMYFUNCTION("""COMPUTED_VALUE"""),"López Zuluaga")</f>
        <v>López Zuluaga</v>
      </c>
      <c r="AJ593" s="6" t="str">
        <f>IFERROR(__xludf.DUMMYFUNCTION("""COMPUTED_VALUE"""),"marisabelcont8@gmail.com")</f>
        <v>marisabelcont8@gmail.com</v>
      </c>
      <c r="AK593" s="6" t="str">
        <f>IFERROR(__xludf.DUMMYFUNCTION("""COMPUTED_VALUE"""),"Contador")</f>
        <v>Contador</v>
      </c>
      <c r="AL593" s="6" t="str">
        <f>IFERROR(__xludf.DUMMYFUNCTION("""COMPUTED_VALUE"""),"Independiente")</f>
        <v>Independiente</v>
      </c>
      <c r="AM593" s="12" t="str">
        <f>IFERROR(__xludf.DUMMYFUNCTION("""COMPUTED_VALUE"""),"41925351")</f>
        <v>41925351</v>
      </c>
      <c r="AN593" s="12" t="str">
        <f>IFERROR(__xludf.DUMMYFUNCTION("""COMPUTED_VALUE"""),"3108469256")</f>
        <v>3108469256</v>
      </c>
      <c r="AO593" s="6" t="str">
        <f>IFERROR(__xludf.DUMMYFUNCTION("""COMPUTED_VALUE"""),"Madre")</f>
        <v>Madre</v>
      </c>
      <c r="AP593" s="6" t="str">
        <f>IFERROR(__xludf.DUMMYFUNCTION("""COMPUTED_VALUE"""),"Estudiante(s): Mora López")</f>
        <v>Estudiante(s): Mora López</v>
      </c>
      <c r="AQ593" s="6" t="str">
        <f>IFERROR(__xludf.DUMMYFUNCTION("""COMPUTED_VALUE"""),"103524*Gi")</f>
        <v>103524*Gi</v>
      </c>
      <c r="AR593" s="6" t="str">
        <f>IFERROR(__xludf.DUMMYFUNCTION("""COMPUTED_VALUE"""),"Carlos")</f>
        <v>Carlos</v>
      </c>
      <c r="AS593" s="6" t="str">
        <f>IFERROR(__xludf.DUMMYFUNCTION("""COMPUTED_VALUE"""),"Enrique")</f>
        <v>Enrique</v>
      </c>
      <c r="AT593" s="6" t="str">
        <f>IFERROR(__xludf.DUMMYFUNCTION("""COMPUTED_VALUE"""),"Mora Ocampo")</f>
        <v>Mora Ocampo</v>
      </c>
      <c r="AU593" s="6" t="str">
        <f>IFERROR(__xludf.DUMMYFUNCTION("""COMPUTED_VALUE"""),"isabelcont8@hotmail.com")</f>
        <v>isabelcont8@hotmail.com</v>
      </c>
      <c r="AV593" s="6" t="str">
        <f>IFERROR(__xludf.DUMMYFUNCTION("""COMPUTED_VALUE"""),"odontologo")</f>
        <v>odontologo</v>
      </c>
      <c r="AW593" s="6" t="str">
        <f>IFERROR(__xludf.DUMMYFUNCTION("""COMPUTED_VALUE"""),"consultorio")</f>
        <v>consultorio</v>
      </c>
      <c r="AX593" s="12" t="str">
        <f>IFERROR(__xludf.DUMMYFUNCTION("""COMPUTED_VALUE"""),"7522882")</f>
        <v>7522882</v>
      </c>
      <c r="AY593" s="12" t="str">
        <f>IFERROR(__xludf.DUMMYFUNCTION("""COMPUTED_VALUE"""),"3108492304")</f>
        <v>3108492304</v>
      </c>
      <c r="AZ593" s="6" t="str">
        <f>IFERROR(__xludf.DUMMYFUNCTION("""COMPUTED_VALUE"""),"Padre")</f>
        <v>Padre</v>
      </c>
      <c r="BA593" s="6"/>
      <c r="BB593" s="6"/>
      <c r="BC593" s="6"/>
      <c r="BD593" s="12" t="str">
        <f>IFERROR(__xludf.DUMMYFUNCTION("""COMPUTED_VALUE"""),"mor0009")</f>
        <v>mor0009</v>
      </c>
      <c r="BE593" s="6"/>
      <c r="BF593" s="6"/>
      <c r="BG593" s="6">
        <f>IFERROR(__xludf.DUMMYFUNCTION("""COMPUTED_VALUE"""),2031.0)</f>
        <v>2031</v>
      </c>
      <c r="BH593" s="15">
        <f>IFERROR(__xludf.DUMMYFUNCTION("""COMPUTED_VALUE"""),46211.5375)</f>
        <v>46211.5375</v>
      </c>
      <c r="BI593" s="6">
        <f>IFERROR(__xludf.DUMMYFUNCTION("""COMPUTED_VALUE"""),593.0)</f>
        <v>593</v>
      </c>
      <c r="BJ593" s="6" t="str">
        <f>IFERROR(__xludf.DUMMYFUNCTION("""COMPUTED_VALUE"""),"Junio 18/2024 Se retira del SIMAT (Discapacidad Multiple)
DANE: Múltiple (Ambiopía estrábica - Epilepsia Occipital)
SIMAT: Múltiple")</f>
        <v>Junio 18/2024 Se retira del SIMAT (Discapacidad Multiple)
DANE: Múltiple (Ambiopía estrábica - Epilepsia Occipital)
SIMAT: Múltiple</v>
      </c>
      <c r="BK593" s="6"/>
      <c r="BL593" s="6" t="str">
        <f>IFERROR(__xludf.DUMMYFUNCTION("""COMPUTED_VALUE"""),"GISMOR0009")</f>
        <v>GISMOR0009</v>
      </c>
      <c r="BM593" s="6"/>
      <c r="BN593" s="6"/>
      <c r="BO593" s="6" t="str">
        <f>IFERROR(__xludf.DUMMYFUNCTION("""COMPUTED_VALUE"""),"XC_SEC_ProgRobot")</f>
        <v>XC_SEC_ProgRobot</v>
      </c>
      <c r="BP593" s="6"/>
      <c r="BQ593" s="6"/>
      <c r="BR593" s="6"/>
      <c r="BS593" s="6"/>
      <c r="BT593" s="6"/>
      <c r="BU593" s="6" t="str">
        <f>IFERROR(__xludf.DUMMYFUNCTION("""COMPUTED_VALUE"""),"SI")</f>
        <v>SI</v>
      </c>
      <c r="BV593" s="6" t="str">
        <f>IFERROR(__xludf.DUMMYFUNCTION("""COMPUTED_VALUE"""),"carlos.m2031")</f>
        <v>carlos.m2031</v>
      </c>
      <c r="BW593" s="6"/>
      <c r="BX593" s="6"/>
      <c r="BY593" s="6"/>
      <c r="BZ593" s="6"/>
    </row>
    <row r="594">
      <c r="A594" s="12">
        <f>IFERROR(__xludf.DUMMYFUNCTION("""COMPUTED_VALUE"""),1.150690288E9)</f>
        <v>1150690288</v>
      </c>
      <c r="B594" s="6">
        <f>IFERROR(__xludf.DUMMYFUNCTION("""COMPUTED_VALUE"""),39.0)</f>
        <v>39</v>
      </c>
      <c r="C594" s="6" t="str">
        <f>IFERROR(__xludf.DUMMYFUNCTION("""COMPUTED_VALUE"""),"Mateo")</f>
        <v>Mateo</v>
      </c>
      <c r="D594" s="6"/>
      <c r="E594" s="6" t="str">
        <f>IFERROR(__xludf.DUMMYFUNCTION("""COMPUTED_VALUE"""),"Morales Loaiza")</f>
        <v>Morales Loaiza</v>
      </c>
      <c r="F594" s="6" t="str">
        <f>IFERROR(__xludf.DUMMYFUNCTION("""COMPUTED_VALUE"""),"Condominio Los Pinos Casa 16 Luna Park - Km 4 Vía Armenia")</f>
        <v>Condominio Los Pinos Casa 16 Luna Park - Km 4 Vía Armenia</v>
      </c>
      <c r="G594" s="12" t="str">
        <f>IFERROR(__xludf.DUMMYFUNCTION("""COMPUTED_VALUE"""),"2011")</f>
        <v>2011</v>
      </c>
      <c r="H594" s="6" t="str">
        <f>IFERROR(__xludf.DUMMYFUNCTION("""COMPUTED_VALUE"""),"Septiembre")</f>
        <v>Septiembre</v>
      </c>
      <c r="I594" s="12" t="str">
        <f>IFERROR(__xludf.DUMMYFUNCTION("""COMPUTED_VALUE"""),"22")</f>
        <v>22</v>
      </c>
      <c r="J594" s="6" t="str">
        <f>IFERROR(__xludf.DUMMYFUNCTION("""COMPUTED_VALUE"""),"Cali")</f>
        <v>Cali</v>
      </c>
      <c r="K594" s="6" t="str">
        <f>IFERROR(__xludf.DUMMYFUNCTION("""COMPUTED_VALUE"""),"mateo.m2030@gi.edu.co")</f>
        <v>mateo.m2030@gi.edu.co</v>
      </c>
      <c r="L594" s="6" t="str">
        <f>IFERROR(__xludf.DUMMYFUNCTION("""COMPUTED_VALUE"""),"TI")</f>
        <v>TI</v>
      </c>
      <c r="M594" s="6" t="str">
        <f>IFERROR(__xludf.DUMMYFUNCTION("""COMPUTED_VALUE"""),"Armenia")</f>
        <v>Armenia</v>
      </c>
      <c r="N594" s="6" t="str">
        <f>IFERROR(__xludf.DUMMYFUNCTION("""COMPUTED_VALUE"""),"M")</f>
        <v>M</v>
      </c>
      <c r="O594" s="6" t="str">
        <f>IFERROR(__xludf.DUMMYFUNCTION("""COMPUTED_VALUE"""),"INACTIVE")</f>
        <v>INACTIVE</v>
      </c>
      <c r="P594" s="6"/>
      <c r="Q594" s="6" t="str">
        <f>IFERROR(__xludf.DUMMYFUNCTION("""COMPUTED_VALUE"""),"Circasia")</f>
        <v>Circasia</v>
      </c>
      <c r="R594" s="12" t="str">
        <f>IFERROR(__xludf.DUMMYFUNCTION("""COMPUTED_VALUE"""),"Gi3918mm*")</f>
        <v>Gi3918mm*</v>
      </c>
      <c r="S594" s="6" t="str">
        <f>IFERROR(__xludf.DUMMYFUNCTION("""COMPUTED_VALUE"""),"Morales Loaiza Mateo ")</f>
        <v>Morales Loaiza Mateo </v>
      </c>
      <c r="T594" s="6" t="str">
        <f>IFERROR(__xludf.DUMMYFUNCTION("""COMPUTED_VALUE"""),"JAZMÍN LOAIZA VALDERRAMA")</f>
        <v>JAZMÍN LOAIZA VALDERRAMA</v>
      </c>
      <c r="U594" s="12" t="str">
        <f>IFERROR(__xludf.DUMMYFUNCTION("""COMPUTED_VALUE"""),"66741280")</f>
        <v>66741280</v>
      </c>
      <c r="V594" s="6">
        <f>IFERROR(__xludf.DUMMYFUNCTION("""COMPUTED_VALUE"""),3.176371255E9)</f>
        <v>3176371255</v>
      </c>
      <c r="W594" s="6" t="str">
        <f>IFERROR(__xludf.DUMMYFUNCTION("""COMPUTED_VALUE"""),"loaiza.jazmin@gmail.com")</f>
        <v>loaiza.jazmin@gmail.com</v>
      </c>
      <c r="X594" s="12" t="str">
        <f>IFERROR(__xludf.DUMMYFUNCTION("""COMPUTED_VALUE"""),"A+")</f>
        <v>A+</v>
      </c>
      <c r="Y594" s="12" t="str">
        <f>IFERROR(__xludf.DUMMYFUNCTION("""COMPUTED_VALUE"""),"8")</f>
        <v>8</v>
      </c>
      <c r="Z594" s="12">
        <f>IFERROR(__xludf.DUMMYFUNCTION("""COMPUTED_VALUE"""),103918.0)</f>
        <v>103918</v>
      </c>
      <c r="AA594" s="6" t="str">
        <f>IFERROR(__xludf.DUMMYFUNCTION("""COMPUTED_VALUE"""),"SALUD TOTAL")</f>
        <v>SALUD TOTAL</v>
      </c>
      <c r="AB594" s="6" t="str">
        <f>IFERROR(__xludf.DUMMYFUNCTION("""COMPUTED_VALUE"""),"Humanizar")</f>
        <v>Humanizar</v>
      </c>
      <c r="AC594" s="12" t="str">
        <f>IFERROR(__xludf.DUMMYFUNCTION("""COMPUTED_VALUE"""),"Condimentos Colorantes")</f>
        <v>Condimentos Colorantes</v>
      </c>
      <c r="AD594" s="12" t="str">
        <f>IFERROR(__xludf.DUMMYFUNCTION("""COMPUTED_VALUE"""),"8B")</f>
        <v>8B</v>
      </c>
      <c r="AE594" s="12">
        <f>IFERROR(__xludf.DUMMYFUNCTION("""COMPUTED_VALUE"""),1.345281969E9)</f>
        <v>1345281969</v>
      </c>
      <c r="AF594" s="12" t="str">
        <f>IFERROR(__xludf.DUMMYFUNCTION("""COMPUTED_VALUE"""),"0700380355")</f>
        <v>0700380355</v>
      </c>
      <c r="AG594" s="12" t="str">
        <f>IFERROR(__xludf.DUMMYFUNCTION("""COMPUTED_VALUE"""),"Jazmin")</f>
        <v>Jazmin</v>
      </c>
      <c r="AH594" s="6"/>
      <c r="AI594" s="6" t="str">
        <f>IFERROR(__xludf.DUMMYFUNCTION("""COMPUTED_VALUE"""),"Loaiza Valderrama")</f>
        <v>Loaiza Valderrama</v>
      </c>
      <c r="AJ594" s="6" t="str">
        <f>IFERROR(__xludf.DUMMYFUNCTION("""COMPUTED_VALUE"""),"loaiza.jazmin@gmail.com")</f>
        <v>loaiza.jazmin@gmail.com</v>
      </c>
      <c r="AK594" s="6" t="str">
        <f>IFERROR(__xludf.DUMMYFUNCTION("""COMPUTED_VALUE"""),"Arquitecta")</f>
        <v>Arquitecta</v>
      </c>
      <c r="AL594" s="6"/>
      <c r="AM594" s="12" t="str">
        <f>IFERROR(__xludf.DUMMYFUNCTION("""COMPUTED_VALUE"""),"66741280")</f>
        <v>66741280</v>
      </c>
      <c r="AN594" s="12" t="str">
        <f>IFERROR(__xludf.DUMMYFUNCTION("""COMPUTED_VALUE"""),"3176371255")</f>
        <v>3176371255</v>
      </c>
      <c r="AO594" s="6" t="str">
        <f>IFERROR(__xludf.DUMMYFUNCTION("""COMPUTED_VALUE"""),"Madre")</f>
        <v>Madre</v>
      </c>
      <c r="AP594" s="6" t="str">
        <f>IFERROR(__xludf.DUMMYFUNCTION("""COMPUTED_VALUE"""),"Estudiante(s): Morales Loaiza")</f>
        <v>Estudiante(s): Morales Loaiza</v>
      </c>
      <c r="AQ594" s="6" t="str">
        <f>IFERROR(__xludf.DUMMYFUNCTION("""COMPUTED_VALUE"""),"103918*Gi")</f>
        <v>103918*Gi</v>
      </c>
      <c r="AR594" s="6" t="str">
        <f>IFERROR(__xludf.DUMMYFUNCTION("""COMPUTED_VALUE"""),"Jorge")</f>
        <v>Jorge</v>
      </c>
      <c r="AS594" s="6" t="str">
        <f>IFERROR(__xludf.DUMMYFUNCTION("""COMPUTED_VALUE"""),"Alberto")</f>
        <v>Alberto</v>
      </c>
      <c r="AT594" s="6" t="str">
        <f>IFERROR(__xludf.DUMMYFUNCTION("""COMPUTED_VALUE"""),"Morales Campo")</f>
        <v>Morales Campo</v>
      </c>
      <c r="AU594" s="6" t="str">
        <f>IFERROR(__xludf.DUMMYFUNCTION("""COMPUTED_VALUE"""),"jorgemoralescampo@gmail.com")</f>
        <v>jorgemoralescampo@gmail.com</v>
      </c>
      <c r="AV594" s="6" t="str">
        <f>IFERROR(__xludf.DUMMYFUNCTION("""COMPUTED_VALUE"""),"ingeniero mecánico")</f>
        <v>ingeniero mecánico</v>
      </c>
      <c r="AW594" s="6" t="str">
        <f>IFERROR(__xludf.DUMMYFUNCTION("""COMPUTED_VALUE"""),"LASA S.A.")</f>
        <v>LASA S.A.</v>
      </c>
      <c r="AX594" s="12" t="str">
        <f>IFERROR(__xludf.DUMMYFUNCTION("""COMPUTED_VALUE"""),"16360362")</f>
        <v>16360362</v>
      </c>
      <c r="AY594" s="12" t="str">
        <f>IFERROR(__xludf.DUMMYFUNCTION("""COMPUTED_VALUE"""),"3103885687")</f>
        <v>3103885687</v>
      </c>
      <c r="AZ594" s="6" t="str">
        <f>IFERROR(__xludf.DUMMYFUNCTION("""COMPUTED_VALUE"""),"Padre")</f>
        <v>Padre</v>
      </c>
      <c r="BA594" s="6"/>
      <c r="BB594" s="6"/>
      <c r="BC594" s="6"/>
      <c r="BD594" s="12" t="str">
        <f>IFERROR(__xludf.DUMMYFUNCTION("""COMPUTED_VALUE"""),"nat0001")</f>
        <v>nat0001</v>
      </c>
      <c r="BE594" s="6" t="str">
        <f>IFERROR(__xludf.DUMMYFUNCTION("""COMPUTED_VALUE"""),"FALTAN FIRMAS")</f>
        <v>FALTAN FIRMAS</v>
      </c>
      <c r="BF594" s="6"/>
      <c r="BG594" s="6">
        <f>IFERROR(__xludf.DUMMYFUNCTION("""COMPUTED_VALUE"""),2031.0)</f>
        <v>2031</v>
      </c>
      <c r="BH594" s="15">
        <f>IFERROR(__xludf.DUMMYFUNCTION("""COMPUTED_VALUE"""),46258.55621527778)</f>
        <v>46258.55622</v>
      </c>
      <c r="BI594" s="6">
        <f>IFERROR(__xludf.DUMMYFUNCTION("""COMPUTED_VALUE"""),594.0)</f>
        <v>594</v>
      </c>
      <c r="BJ594" s="6" t="str">
        <f>IFERROR(__xludf.DUMMYFUNCTION("""COMPUTED_VALUE"""),"DANE: Perturbación de la atención y trastorno de las habilidades escolares
SIMAT: Trastorno de atención")</f>
        <v>DANE: Perturbación de la atención y trastorno de las habilidades escolares
SIMAT: Trastorno de atención</v>
      </c>
      <c r="BK594" s="6"/>
      <c r="BL594" s="6" t="str">
        <f>IFERROR(__xludf.DUMMYFUNCTION("""COMPUTED_VALUE"""),"GISNAT0001")</f>
        <v>GISNAT0001</v>
      </c>
      <c r="BM594" s="6"/>
      <c r="BN594" s="6"/>
      <c r="BO594" s="6" t="str">
        <f>IFERROR(__xludf.DUMMYFUNCTION("""COMPUTED_VALUE"""),"XC_MS_Futbol_M")</f>
        <v>XC_MS_Futbol_M</v>
      </c>
      <c r="BP594" s="6"/>
      <c r="BQ594" s="6" t="str">
        <f>IFERROR(__xludf.DUMMYFUNCTION("""COMPUTED_VALUE"""),"XC_MS_Futbol_M")</f>
        <v>XC_MS_Futbol_M</v>
      </c>
      <c r="BR594" s="6" t="str">
        <f>IFERROR(__xludf.DUMMYFUNCTION("""COMPUTED_VALUE"""),"XC_MS_Futbol_M")</f>
        <v>XC_MS_Futbol_M</v>
      </c>
      <c r="BS594" s="6"/>
      <c r="BT594" s="6" t="str">
        <f>IFERROR(__xludf.DUMMYFUNCTION("""COMPUTED_VALUE"""),"XC_MS_Futbol_M")</f>
        <v>XC_MS_Futbol_M</v>
      </c>
      <c r="BU594" s="6" t="str">
        <f>IFERROR(__xludf.DUMMYFUNCTION("""COMPUTED_VALUE"""),"SI")</f>
        <v>SI</v>
      </c>
      <c r="BV594" s="6" t="str">
        <f>IFERROR(__xludf.DUMMYFUNCTION("""COMPUTED_VALUE"""),"mateo.m2030")</f>
        <v>mateo.m2030</v>
      </c>
      <c r="BW594" s="6"/>
      <c r="BX594" s="6"/>
      <c r="BY594" s="6"/>
      <c r="BZ594" s="6"/>
    </row>
    <row r="595">
      <c r="A595" s="12">
        <f>IFERROR(__xludf.DUMMYFUNCTION("""COMPUTED_VALUE"""),1.09285673E9)</f>
        <v>1092856730</v>
      </c>
      <c r="B595" s="6">
        <f>IFERROR(__xludf.DUMMYFUNCTION("""COMPUTED_VALUE"""),40.0)</f>
        <v>40</v>
      </c>
      <c r="C595" s="6" t="str">
        <f>IFERROR(__xludf.DUMMYFUNCTION("""COMPUTED_VALUE"""),"María")</f>
        <v>María</v>
      </c>
      <c r="D595" s="6" t="str">
        <f>IFERROR(__xludf.DUMMYFUNCTION("""COMPUTED_VALUE"""),"Camila")</f>
        <v>Camila</v>
      </c>
      <c r="E595" s="6" t="str">
        <f>IFERROR(__xludf.DUMMYFUNCTION("""COMPUTED_VALUE"""),"Moyano Arias")</f>
        <v>Moyano Arias</v>
      </c>
      <c r="F595" s="6" t="str">
        <f>IFERROR(__xludf.DUMMYFUNCTION("""COMPUTED_VALUE"""),"Conjunto Residencial Cedros Casa 1 Mz 5 - Calle 50Nte No15 - 01")</f>
        <v>Conjunto Residencial Cedros Casa 1 Mz 5 - Calle 50Nte No15 - 01</v>
      </c>
      <c r="G595" s="12" t="str">
        <f>IFERROR(__xludf.DUMMYFUNCTION("""COMPUTED_VALUE"""),"2013")</f>
        <v>2013</v>
      </c>
      <c r="H595" s="6" t="str">
        <f>IFERROR(__xludf.DUMMYFUNCTION("""COMPUTED_VALUE"""),"Marzo")</f>
        <v>Marzo</v>
      </c>
      <c r="I595" s="12" t="str">
        <f>IFERROR(__xludf.DUMMYFUNCTION("""COMPUTED_VALUE"""),"29")</f>
        <v>29</v>
      </c>
      <c r="J595" s="6" t="str">
        <f>IFERROR(__xludf.DUMMYFUNCTION("""COMPUTED_VALUE"""),"Armenia")</f>
        <v>Armenia</v>
      </c>
      <c r="K595" s="6" t="str">
        <f>IFERROR(__xludf.DUMMYFUNCTION("""COMPUTED_VALUE"""),"mariac.m2031@gi.edu.co")</f>
        <v>mariac.m2031@gi.edu.co</v>
      </c>
      <c r="L595" s="6" t="str">
        <f>IFERROR(__xludf.DUMMYFUNCTION("""COMPUTED_VALUE"""),"TI")</f>
        <v>TI</v>
      </c>
      <c r="M595" s="6" t="str">
        <f>IFERROR(__xludf.DUMMYFUNCTION("""COMPUTED_VALUE"""),"Armenia")</f>
        <v>Armenia</v>
      </c>
      <c r="N595" s="6" t="str">
        <f>IFERROR(__xludf.DUMMYFUNCTION("""COMPUTED_VALUE"""),"F")</f>
        <v>F</v>
      </c>
      <c r="O595" s="6" t="str">
        <f>IFERROR(__xludf.DUMMYFUNCTION("""COMPUTED_VALUE"""),"INACTIVE")</f>
        <v>INACTIVE</v>
      </c>
      <c r="P595" s="6"/>
      <c r="Q595" s="6" t="str">
        <f>IFERROR(__xludf.DUMMYFUNCTION("""COMPUTED_VALUE"""),"Armenia")</f>
        <v>Armenia</v>
      </c>
      <c r="R595" s="12" t="str">
        <f>IFERROR(__xludf.DUMMYFUNCTION("""COMPUTED_VALUE"""),"Gi364v3y6r2*")</f>
        <v>Gi364v3y6r2*</v>
      </c>
      <c r="S595" s="6" t="str">
        <f>IFERROR(__xludf.DUMMYFUNCTION("""COMPUTED_VALUE"""),"Moyano Arias María Camila")</f>
        <v>Moyano Arias María Camila</v>
      </c>
      <c r="T595" s="6" t="str">
        <f>IFERROR(__xludf.DUMMYFUNCTION("""COMPUTED_VALUE"""),"SANDRA ARIAS CRUZ")</f>
        <v>SANDRA ARIAS CRUZ</v>
      </c>
      <c r="U595" s="12" t="str">
        <f>IFERROR(__xludf.DUMMYFUNCTION("""COMPUTED_VALUE"""),"52327888")</f>
        <v>52327888</v>
      </c>
      <c r="V595" s="6">
        <f>IFERROR(__xludf.DUMMYFUNCTION("""COMPUTED_VALUE"""),3.01574554E9)</f>
        <v>3015745540</v>
      </c>
      <c r="W595" s="6" t="str">
        <f>IFERROR(__xludf.DUMMYFUNCTION("""COMPUTED_VALUE"""),"sacsymc@gmail.com")</f>
        <v>sacsymc@gmail.com</v>
      </c>
      <c r="X595" s="12" t="str">
        <f>IFERROR(__xludf.DUMMYFUNCTION("""COMPUTED_VALUE"""),"O+")</f>
        <v>O+</v>
      </c>
      <c r="Y595" s="12" t="str">
        <f>IFERROR(__xludf.DUMMYFUNCTION("""COMPUTED_VALUE"""),"8")</f>
        <v>8</v>
      </c>
      <c r="Z595" s="12">
        <f>IFERROR(__xludf.DUMMYFUNCTION("""COMPUTED_VALUE"""),103079.0)</f>
        <v>103079</v>
      </c>
      <c r="AA595" s="6" t="str">
        <f>IFERROR(__xludf.DUMMYFUNCTION("""COMPUTED_VALUE"""),"SURA")</f>
        <v>SURA</v>
      </c>
      <c r="AB595" s="6"/>
      <c r="AC595" s="6"/>
      <c r="AD595" s="12" t="str">
        <f>IFERROR(__xludf.DUMMYFUNCTION("""COMPUTED_VALUE"""),"8C")</f>
        <v>8C</v>
      </c>
      <c r="AE595" s="12">
        <f>IFERROR(__xludf.DUMMYFUNCTION("""COMPUTED_VALUE"""),1.345282014E9)</f>
        <v>1345282014</v>
      </c>
      <c r="AF595" s="12" t="str">
        <f>IFERROR(__xludf.DUMMYFUNCTION("""COMPUTED_VALUE"""),"0687052179")</f>
        <v>0687052179</v>
      </c>
      <c r="AG595" s="12" t="str">
        <f>IFERROR(__xludf.DUMMYFUNCTION("""COMPUTED_VALUE"""),"Sandra")</f>
        <v>Sandra</v>
      </c>
      <c r="AH595" s="6"/>
      <c r="AI595" s="6" t="str">
        <f>IFERROR(__xludf.DUMMYFUNCTION("""COMPUTED_VALUE"""),"Arias Cruz")</f>
        <v>Arias Cruz</v>
      </c>
      <c r="AJ595" s="6" t="str">
        <f>IFERROR(__xludf.DUMMYFUNCTION("""COMPUTED_VALUE"""),"sacsymc@gmail.com")</f>
        <v>sacsymc@gmail.com</v>
      </c>
      <c r="AK595" s="6" t="str">
        <f>IFERROR(__xludf.DUMMYFUNCTION("""COMPUTED_VALUE"""),"ECONOMISTA")</f>
        <v>ECONOMISTA</v>
      </c>
      <c r="AL595" s="6" t="str">
        <f>IFERROR(__xludf.DUMMYFUNCTION("""COMPUTED_VALUE"""),"oleosl papeleria")</f>
        <v>oleosl papeleria</v>
      </c>
      <c r="AM595" s="12" t="str">
        <f>IFERROR(__xludf.DUMMYFUNCTION("""COMPUTED_VALUE"""),"52327888")</f>
        <v>52327888</v>
      </c>
      <c r="AN595" s="12" t="str">
        <f>IFERROR(__xludf.DUMMYFUNCTION("""COMPUTED_VALUE"""),"3015745540")</f>
        <v>3015745540</v>
      </c>
      <c r="AO595" s="6" t="str">
        <f>IFERROR(__xludf.DUMMYFUNCTION("""COMPUTED_VALUE"""),"Madre")</f>
        <v>Madre</v>
      </c>
      <c r="AP595" s="6" t="str">
        <f>IFERROR(__xludf.DUMMYFUNCTION("""COMPUTED_VALUE"""),"Estudiante(s): Moyano Arias")</f>
        <v>Estudiante(s): Moyano Arias</v>
      </c>
      <c r="AQ595" s="6" t="str">
        <f>IFERROR(__xludf.DUMMYFUNCTION("""COMPUTED_VALUE"""),"103079*Gi")</f>
        <v>103079*Gi</v>
      </c>
      <c r="AR595" s="6" t="str">
        <f>IFERROR(__xludf.DUMMYFUNCTION("""COMPUTED_VALUE"""),"César")</f>
        <v>César</v>
      </c>
      <c r="AS595" s="6" t="str">
        <f>IFERROR(__xludf.DUMMYFUNCTION("""COMPUTED_VALUE"""),"Augusto")</f>
        <v>Augusto</v>
      </c>
      <c r="AT595" s="6" t="str">
        <f>IFERROR(__xludf.DUMMYFUNCTION("""COMPUTED_VALUE"""),"Moyano Colonia")</f>
        <v>Moyano Colonia</v>
      </c>
      <c r="AU595" s="6" t="str">
        <f>IFERROR(__xludf.DUMMYFUNCTION("""COMPUTED_VALUE"""),"cesar_moyano73@hotmail.com")</f>
        <v>cesar_moyano73@hotmail.com</v>
      </c>
      <c r="AV595" s="6"/>
      <c r="AW595" s="6" t="str">
        <f>IFERROR(__xludf.DUMMYFUNCTION("""COMPUTED_VALUE"""),"Grupo Vinnare SAS")</f>
        <v>Grupo Vinnare SAS</v>
      </c>
      <c r="AX595" s="12" t="str">
        <f>IFERROR(__xludf.DUMMYFUNCTION("""COMPUTED_VALUE"""),"79623032")</f>
        <v>79623032</v>
      </c>
      <c r="AY595" s="12" t="str">
        <f>IFERROR(__xludf.DUMMYFUNCTION("""COMPUTED_VALUE"""),"3003095046")</f>
        <v>3003095046</v>
      </c>
      <c r="AZ595" s="6" t="str">
        <f>IFERROR(__xludf.DUMMYFUNCTION("""COMPUTED_VALUE"""),"Padre")</f>
        <v>Padre</v>
      </c>
      <c r="BA595" s="6"/>
      <c r="BB595" s="6"/>
      <c r="BC595" s="6"/>
      <c r="BD595" s="12" t="str">
        <f>IFERROR(__xludf.DUMMYFUNCTION("""COMPUTED_VALUE"""),"moy0001")</f>
        <v>moy0001</v>
      </c>
      <c r="BE595" s="6" t="str">
        <f>IFERROR(__xludf.DUMMYFUNCTION("""COMPUTED_VALUE"""),"EN MORA ENERO A JUNIO - SIN INICIAR EL PROCESO")</f>
        <v>EN MORA ENERO A JUNIO - SIN INICIAR EL PROCESO</v>
      </c>
      <c r="BF595" s="6"/>
      <c r="BG595" s="6">
        <f>IFERROR(__xludf.DUMMYFUNCTION("""COMPUTED_VALUE"""),2031.0)</f>
        <v>2031</v>
      </c>
      <c r="BH595" s="6"/>
      <c r="BI595" s="6">
        <f>IFERROR(__xludf.DUMMYFUNCTION("""COMPUTED_VALUE"""),595.0)</f>
        <v>595</v>
      </c>
      <c r="BJ595" s="6"/>
      <c r="BK595" s="6"/>
      <c r="BL595" s="6" t="str">
        <f>IFERROR(__xludf.DUMMYFUNCTION("""COMPUTED_VALUE"""),"GISMOY0001")</f>
        <v>GISMOY0001</v>
      </c>
      <c r="BM595" s="6"/>
      <c r="BN595" s="6"/>
      <c r="BO595" s="6"/>
      <c r="BP595" s="6"/>
      <c r="BQ595" s="6"/>
      <c r="BR595" s="6"/>
      <c r="BS595" s="6"/>
      <c r="BT595" s="6"/>
      <c r="BU595" s="6" t="str">
        <f>IFERROR(__xludf.DUMMYFUNCTION("""COMPUTED_VALUE"""),"SI")</f>
        <v>SI</v>
      </c>
      <c r="BV595" s="6" t="str">
        <f>IFERROR(__xludf.DUMMYFUNCTION("""COMPUTED_VALUE"""),"mariac.m2031")</f>
        <v>mariac.m2031</v>
      </c>
      <c r="BW595" s="6"/>
      <c r="BX595" s="6"/>
      <c r="BY595" s="6"/>
      <c r="BZ595" s="6"/>
    </row>
    <row r="596">
      <c r="A596" s="12">
        <f>IFERROR(__xludf.DUMMYFUNCTION("""COMPUTED_VALUE"""),1.013018483E9)</f>
        <v>1013018483</v>
      </c>
      <c r="B596" s="6">
        <f>IFERROR(__xludf.DUMMYFUNCTION("""COMPUTED_VALUE"""),41.0)</f>
        <v>41</v>
      </c>
      <c r="C596" s="6" t="str">
        <f>IFERROR(__xludf.DUMMYFUNCTION("""COMPUTED_VALUE"""),"Martina")</f>
        <v>Martina</v>
      </c>
      <c r="D596" s="6"/>
      <c r="E596" s="6" t="str">
        <f>IFERROR(__xludf.DUMMYFUNCTION("""COMPUTED_VALUE"""),"Murillo Nieto")</f>
        <v>Murillo Nieto</v>
      </c>
      <c r="F596" s="6" t="str">
        <f>IFERROR(__xludf.DUMMYFUNCTION("""COMPUTED_VALUE"""),"Tejares del Parque Casa 8  - Cra 13 No8Nte - 49 La Castellana")</f>
        <v>Tejares del Parque Casa 8  - Cra 13 No8Nte - 49 La Castellana</v>
      </c>
      <c r="G596" s="12" t="str">
        <f>IFERROR(__xludf.DUMMYFUNCTION("""COMPUTED_VALUE"""),"2013")</f>
        <v>2013</v>
      </c>
      <c r="H596" s="6" t="str">
        <f>IFERROR(__xludf.DUMMYFUNCTION("""COMPUTED_VALUE"""),"Septiembre")</f>
        <v>Septiembre</v>
      </c>
      <c r="I596" s="12" t="str">
        <f>IFERROR(__xludf.DUMMYFUNCTION("""COMPUTED_VALUE"""),"19")</f>
        <v>19</v>
      </c>
      <c r="J596" s="6" t="str">
        <f>IFERROR(__xludf.DUMMYFUNCTION("""COMPUTED_VALUE"""),"Bogotá D.C.")</f>
        <v>Bogotá D.C.</v>
      </c>
      <c r="K596" s="6" t="str">
        <f>IFERROR(__xludf.DUMMYFUNCTION("""COMPUTED_VALUE"""),"martina.m2031@gi.edu.co")</f>
        <v>martina.m2031@gi.edu.co</v>
      </c>
      <c r="L596" s="6" t="str">
        <f>IFERROR(__xludf.DUMMYFUNCTION("""COMPUTED_VALUE"""),"TI")</f>
        <v>TI</v>
      </c>
      <c r="M596" s="6" t="str">
        <f>IFERROR(__xludf.DUMMYFUNCTION("""COMPUTED_VALUE"""),"Bogotá D.C.")</f>
        <v>Bogotá D.C.</v>
      </c>
      <c r="N596" s="6" t="str">
        <f>IFERROR(__xludf.DUMMYFUNCTION("""COMPUTED_VALUE"""),"F")</f>
        <v>F</v>
      </c>
      <c r="O596" s="6" t="str">
        <f>IFERROR(__xludf.DUMMYFUNCTION("""COMPUTED_VALUE"""),"ACTIVE")</f>
        <v>ACTIVE</v>
      </c>
      <c r="P596" s="6"/>
      <c r="Q596" s="6" t="str">
        <f>IFERROR(__xludf.DUMMYFUNCTION("""COMPUTED_VALUE"""),"Armenia")</f>
        <v>Armenia</v>
      </c>
      <c r="R596" s="12" t="str">
        <f>IFERROR(__xludf.DUMMYFUNCTION("""COMPUTED_VALUE"""),"Gi345soi*")</f>
        <v>Gi345soi*</v>
      </c>
      <c r="S596" s="6" t="str">
        <f>IFERROR(__xludf.DUMMYFUNCTION("""COMPUTED_VALUE"""),"Murillo Nieto Martina ")</f>
        <v>Murillo Nieto Martina </v>
      </c>
      <c r="T596" s="6" t="str">
        <f>IFERROR(__xludf.DUMMYFUNCTION("""COMPUTED_VALUE"""),"MANUEL RICARDO MURILLO ROMERO")</f>
        <v>MANUEL RICARDO MURILLO ROMERO</v>
      </c>
      <c r="U596" s="12" t="str">
        <f>IFERROR(__xludf.DUMMYFUNCTION("""COMPUTED_VALUE"""),"80135809")</f>
        <v>80135809</v>
      </c>
      <c r="V596" s="6">
        <f>IFERROR(__xludf.DUMMYFUNCTION("""COMPUTED_VALUE"""),3.203861333E9)</f>
        <v>3203861333</v>
      </c>
      <c r="W596" s="6" t="str">
        <f>IFERROR(__xludf.DUMMYFUNCTION("""COMPUTED_VALUE"""),"manuelrikardo@gmail.com")</f>
        <v>manuelrikardo@gmail.com</v>
      </c>
      <c r="X596" s="12" t="str">
        <f>IFERROR(__xludf.DUMMYFUNCTION("""COMPUTED_VALUE"""),"O-")</f>
        <v>O-</v>
      </c>
      <c r="Y596" s="12" t="str">
        <f>IFERROR(__xludf.DUMMYFUNCTION("""COMPUTED_VALUE"""),"8")</f>
        <v>8</v>
      </c>
      <c r="Z596" s="12">
        <f>IFERROR(__xludf.DUMMYFUNCTION("""COMPUTED_VALUE"""),103808.0)</f>
        <v>103808</v>
      </c>
      <c r="AA596" s="6" t="str">
        <f>IFERROR(__xludf.DUMMYFUNCTION("""COMPUTED_VALUE"""),"SANITAS")</f>
        <v>SANITAS</v>
      </c>
      <c r="AB596" s="6"/>
      <c r="AC596" s="6"/>
      <c r="AD596" s="12" t="str">
        <f>IFERROR(__xludf.DUMMYFUNCTION("""COMPUTED_VALUE"""),"8B")</f>
        <v>8B</v>
      </c>
      <c r="AE596" s="12">
        <f>IFERROR(__xludf.DUMMYFUNCTION("""COMPUTED_VALUE"""),1.345281901E9)</f>
        <v>1345281901</v>
      </c>
      <c r="AF596" s="12" t="str">
        <f>IFERROR(__xludf.DUMMYFUNCTION("""COMPUTED_VALUE"""),"0740938739")</f>
        <v>0740938739</v>
      </c>
      <c r="AG596" s="12" t="str">
        <f>IFERROR(__xludf.DUMMYFUNCTION("""COMPUTED_VALUE"""),"Maria")</f>
        <v>Maria</v>
      </c>
      <c r="AH596" s="12" t="str">
        <f>IFERROR(__xludf.DUMMYFUNCTION("""COMPUTED_VALUE"""),"Victoria")</f>
        <v>Victoria</v>
      </c>
      <c r="AI596" s="6" t="str">
        <f>IFERROR(__xludf.DUMMYFUNCTION("""COMPUTED_VALUE"""),"Nieto Aristizábal")</f>
        <v>Nieto Aristizábal</v>
      </c>
      <c r="AJ596" s="6" t="str">
        <f>IFERROR(__xludf.DUMMYFUNCTION("""COMPUTED_VALUE"""),"mavicnieto@gmail.com")</f>
        <v>mavicnieto@gmail.com</v>
      </c>
      <c r="AK596" s="6" t="str">
        <f>IFERROR(__xludf.DUMMYFUNCTION("""COMPUTED_VALUE"""),"MERCADEO")</f>
        <v>MERCADEO</v>
      </c>
      <c r="AL596" s="6" t="str">
        <f>IFERROR(__xludf.DUMMYFUNCTION("""COMPUTED_VALUE"""),"Ordenando con Victoria")</f>
        <v>Ordenando con Victoria</v>
      </c>
      <c r="AM596" s="12" t="str">
        <f>IFERROR(__xludf.DUMMYFUNCTION("""COMPUTED_VALUE"""),"41953607")</f>
        <v>41953607</v>
      </c>
      <c r="AN596" s="12" t="str">
        <f>IFERROR(__xludf.DUMMYFUNCTION("""COMPUTED_VALUE"""),"3148697543")</f>
        <v>3148697543</v>
      </c>
      <c r="AO596" s="6" t="str">
        <f>IFERROR(__xludf.DUMMYFUNCTION("""COMPUTED_VALUE"""),"Madre")</f>
        <v>Madre</v>
      </c>
      <c r="AP596" s="6" t="str">
        <f>IFERROR(__xludf.DUMMYFUNCTION("""COMPUTED_VALUE"""),"Estudiante(s): Murillo Nieto")</f>
        <v>Estudiante(s): Murillo Nieto</v>
      </c>
      <c r="AQ596" s="6" t="str">
        <f>IFERROR(__xludf.DUMMYFUNCTION("""COMPUTED_VALUE"""),"103808*Gi")</f>
        <v>103808*Gi</v>
      </c>
      <c r="AR596" s="6" t="str">
        <f>IFERROR(__xludf.DUMMYFUNCTION("""COMPUTED_VALUE"""),"Manuel")</f>
        <v>Manuel</v>
      </c>
      <c r="AS596" s="6" t="str">
        <f>IFERROR(__xludf.DUMMYFUNCTION("""COMPUTED_VALUE"""),"Ricardo")</f>
        <v>Ricardo</v>
      </c>
      <c r="AT596" s="6" t="str">
        <f>IFERROR(__xludf.DUMMYFUNCTION("""COMPUTED_VALUE"""),"Murillo Romero")</f>
        <v>Murillo Romero</v>
      </c>
      <c r="AU596" s="6" t="str">
        <f>IFERROR(__xludf.DUMMYFUNCTION("""COMPUTED_VALUE"""),"manuelrmurillo@gmail.com")</f>
        <v>manuelrmurillo@gmail.com</v>
      </c>
      <c r="AV596" s="6" t="str">
        <f>IFERROR(__xludf.DUMMYFUNCTION("""COMPUTED_VALUE"""),"INGENIERO DE SISTEMAS")</f>
        <v>INGENIERO DE SISTEMAS</v>
      </c>
      <c r="AW596" s="6" t="str">
        <f>IFERROR(__xludf.DUMMYFUNCTION("""COMPUTED_VALUE"""),"Didáctica Empresarial")</f>
        <v>Didáctica Empresarial</v>
      </c>
      <c r="AX596" s="12" t="str">
        <f>IFERROR(__xludf.DUMMYFUNCTION("""COMPUTED_VALUE"""),"80135809")</f>
        <v>80135809</v>
      </c>
      <c r="AY596" s="12" t="str">
        <f>IFERROR(__xludf.DUMMYFUNCTION("""COMPUTED_VALUE"""),"3203861333")</f>
        <v>3203861333</v>
      </c>
      <c r="AZ596" s="6" t="str">
        <f>IFERROR(__xludf.DUMMYFUNCTION("""COMPUTED_VALUE"""),"Padre")</f>
        <v>Padre</v>
      </c>
      <c r="BA596" s="6"/>
      <c r="BB596" s="6"/>
      <c r="BC596" s="6"/>
      <c r="BD596" s="12" t="str">
        <f>IFERROR(__xludf.DUMMYFUNCTION("""COMPUTED_VALUE"""),"mur0002")</f>
        <v>mur0002</v>
      </c>
      <c r="BE596" s="6"/>
      <c r="BF596" s="6"/>
      <c r="BG596" s="6">
        <f>IFERROR(__xludf.DUMMYFUNCTION("""COMPUTED_VALUE"""),2031.0)</f>
        <v>2031</v>
      </c>
      <c r="BH596" s="15">
        <f>IFERROR(__xludf.DUMMYFUNCTION("""COMPUTED_VALUE"""),46212.64795138889)</f>
        <v>46212.64795</v>
      </c>
      <c r="BI596" s="6">
        <f>IFERROR(__xludf.DUMMYFUNCTION("""COMPUTED_VALUE"""),596.0)</f>
        <v>596</v>
      </c>
      <c r="BJ596" s="6"/>
      <c r="BK596" s="6"/>
      <c r="BL596" s="6" t="str">
        <f>IFERROR(__xludf.DUMMYFUNCTION("""COMPUTED_VALUE"""),"GISMUR0002")</f>
        <v>GISMUR0002</v>
      </c>
      <c r="BM596" s="6"/>
      <c r="BN596" s="6"/>
      <c r="BO596" s="6" t="str">
        <f>IFERROR(__xludf.DUMMYFUNCTION("""COMPUTED_VALUE"""),"XC_SEC_ProgRobot")</f>
        <v>XC_SEC_ProgRobot</v>
      </c>
      <c r="BP596" s="6"/>
      <c r="BQ596" s="6"/>
      <c r="BR596" s="6"/>
      <c r="BS596" s="6"/>
      <c r="BT596" s="6"/>
      <c r="BU596" s="6" t="str">
        <f>IFERROR(__xludf.DUMMYFUNCTION("""COMPUTED_VALUE"""),"SI")</f>
        <v>SI</v>
      </c>
      <c r="BV596" s="6" t="str">
        <f>IFERROR(__xludf.DUMMYFUNCTION("""COMPUTED_VALUE"""),"martina.m2031")</f>
        <v>martina.m2031</v>
      </c>
      <c r="BW596" s="6"/>
      <c r="BX596" s="6"/>
      <c r="BY596" s="6"/>
      <c r="BZ596" s="6"/>
    </row>
    <row r="597">
      <c r="A597" s="12">
        <f>IFERROR(__xludf.DUMMYFUNCTION("""COMPUTED_VALUE"""),1.092856679E9)</f>
        <v>1092856679</v>
      </c>
      <c r="B597" s="6">
        <f>IFERROR(__xludf.DUMMYFUNCTION("""COMPUTED_VALUE"""),42.0)</f>
        <v>42</v>
      </c>
      <c r="C597" s="6" t="str">
        <f>IFERROR(__xludf.DUMMYFUNCTION("""COMPUTED_VALUE"""),"Susana")</f>
        <v>Susana</v>
      </c>
      <c r="D597" s="6"/>
      <c r="E597" s="6" t="str">
        <f>IFERROR(__xludf.DUMMYFUNCTION("""COMPUTED_VALUE"""),"Nieto Bonilla")</f>
        <v>Nieto Bonilla</v>
      </c>
      <c r="F597" s="6" t="str">
        <f>IFERROR(__xludf.DUMMYFUNCTION("""COMPUTED_VALUE"""),"Edificio Alcazares Apto 12 - Calle 4Nte No13 - 43")</f>
        <v>Edificio Alcazares Apto 12 - Calle 4Nte No13 - 43</v>
      </c>
      <c r="G597" s="12" t="str">
        <f>IFERROR(__xludf.DUMMYFUNCTION("""COMPUTED_VALUE"""),"2013")</f>
        <v>2013</v>
      </c>
      <c r="H597" s="6" t="str">
        <f>IFERROR(__xludf.DUMMYFUNCTION("""COMPUTED_VALUE"""),"Marzo")</f>
        <v>Marzo</v>
      </c>
      <c r="I597" s="12" t="str">
        <f>IFERROR(__xludf.DUMMYFUNCTION("""COMPUTED_VALUE"""),"14")</f>
        <v>14</v>
      </c>
      <c r="J597" s="6" t="str">
        <f>IFERROR(__xludf.DUMMYFUNCTION("""COMPUTED_VALUE"""),"Armenia")</f>
        <v>Armenia</v>
      </c>
      <c r="K597" s="6" t="str">
        <f>IFERROR(__xludf.DUMMYFUNCTION("""COMPUTED_VALUE"""),"susana.n2031@gi.edu.co")</f>
        <v>susana.n2031@gi.edu.co</v>
      </c>
      <c r="L597" s="6" t="str">
        <f>IFERROR(__xludf.DUMMYFUNCTION("""COMPUTED_VALUE"""),"TI")</f>
        <v>TI</v>
      </c>
      <c r="M597" s="6" t="str">
        <f>IFERROR(__xludf.DUMMYFUNCTION("""COMPUTED_VALUE"""),"Armenia")</f>
        <v>Armenia</v>
      </c>
      <c r="N597" s="6" t="str">
        <f>IFERROR(__xludf.DUMMYFUNCTION("""COMPUTED_VALUE"""),"F")</f>
        <v>F</v>
      </c>
      <c r="O597" s="6" t="str">
        <f>IFERROR(__xludf.DUMMYFUNCTION("""COMPUTED_VALUE"""),"ACTIVE")</f>
        <v>ACTIVE</v>
      </c>
      <c r="P597" s="6"/>
      <c r="Q597" s="6" t="str">
        <f>IFERROR(__xludf.DUMMYFUNCTION("""COMPUTED_VALUE"""),"Armenia")</f>
        <v>Armenia</v>
      </c>
      <c r="R597" s="12" t="str">
        <f>IFERROR(__xludf.DUMMYFUNCTION("""COMPUTED_VALUE"""),"Gis56sfe*")</f>
        <v>Gis56sfe*</v>
      </c>
      <c r="S597" s="6" t="str">
        <f>IFERROR(__xludf.DUMMYFUNCTION("""COMPUTED_VALUE"""),"Nieto Bonilla Susana ")</f>
        <v>Nieto Bonilla Susana </v>
      </c>
      <c r="T597" s="6" t="str">
        <f>IFERROR(__xludf.DUMMYFUNCTION("""COMPUTED_VALUE"""),"JUAN CARLOS NIETO BETANCOURT")</f>
        <v>JUAN CARLOS NIETO BETANCOURT</v>
      </c>
      <c r="U597" s="12" t="str">
        <f>IFERROR(__xludf.DUMMYFUNCTION("""COMPUTED_VALUE"""),"89003578")</f>
        <v>89003578</v>
      </c>
      <c r="V597" s="6">
        <f>IFERROR(__xludf.DUMMYFUNCTION("""COMPUTED_VALUE"""),3.154105364E9)</f>
        <v>3154105364</v>
      </c>
      <c r="W597" s="6" t="str">
        <f>IFERROR(__xludf.DUMMYFUNCTION("""COMPUTED_VALUE"""),"jucanibea@hotmail.com")</f>
        <v>jucanibea@hotmail.com</v>
      </c>
      <c r="X597" s="12" t="str">
        <f>IFERROR(__xludf.DUMMYFUNCTION("""COMPUTED_VALUE"""),"A+")</f>
        <v>A+</v>
      </c>
      <c r="Y597" s="12" t="str">
        <f>IFERROR(__xludf.DUMMYFUNCTION("""COMPUTED_VALUE"""),"8")</f>
        <v>8</v>
      </c>
      <c r="Z597" s="12">
        <f>IFERROR(__xludf.DUMMYFUNCTION("""COMPUTED_VALUE"""),103695.0)</f>
        <v>103695</v>
      </c>
      <c r="AA597" s="6" t="str">
        <f>IFERROR(__xludf.DUMMYFUNCTION("""COMPUTED_VALUE"""),"SALUD TOTAL")</f>
        <v>SALUD TOTAL</v>
      </c>
      <c r="AB597" s="6"/>
      <c r="AC597" s="6"/>
      <c r="AD597" s="12" t="str">
        <f>IFERROR(__xludf.DUMMYFUNCTION("""COMPUTED_VALUE"""),"8C")</f>
        <v>8C</v>
      </c>
      <c r="AE597" s="12">
        <f>IFERROR(__xludf.DUMMYFUNCTION("""COMPUTED_VALUE"""),1.345281784E9)</f>
        <v>1345281784</v>
      </c>
      <c r="AF597" s="12" t="str">
        <f>IFERROR(__xludf.DUMMYFUNCTION("""COMPUTED_VALUE"""),"0691460771")</f>
        <v>0691460771</v>
      </c>
      <c r="AG597" s="12" t="str">
        <f>IFERROR(__xludf.DUMMYFUNCTION("""COMPUTED_VALUE"""),"Bibiana")</f>
        <v>Bibiana</v>
      </c>
      <c r="AH597" s="6"/>
      <c r="AI597" s="6" t="str">
        <f>IFERROR(__xludf.DUMMYFUNCTION("""COMPUTED_VALUE"""),"Bonilla García")</f>
        <v>Bonilla García</v>
      </c>
      <c r="AJ597" s="6" t="str">
        <f>IFERROR(__xludf.DUMMYFUNCTION("""COMPUTED_VALUE"""),"bibianabonilla6@hotmail.com")</f>
        <v>bibianabonilla6@hotmail.com</v>
      </c>
      <c r="AK597" s="6" t="str">
        <f>IFERROR(__xludf.DUMMYFUNCTION("""COMPUTED_VALUE"""),"abogada")</f>
        <v>abogada</v>
      </c>
      <c r="AL597" s="6" t="str">
        <f>IFERROR(__xludf.DUMMYFUNCTION("""COMPUTED_VALUE"""),"independiente")</f>
        <v>independiente</v>
      </c>
      <c r="AM597" s="12" t="str">
        <f>IFERROR(__xludf.DUMMYFUNCTION("""COMPUTED_VALUE"""),"24584134")</f>
        <v>24584134</v>
      </c>
      <c r="AN597" s="12" t="str">
        <f>IFERROR(__xludf.DUMMYFUNCTION("""COMPUTED_VALUE"""),"3113745282")</f>
        <v>3113745282</v>
      </c>
      <c r="AO597" s="6" t="str">
        <f>IFERROR(__xludf.DUMMYFUNCTION("""COMPUTED_VALUE"""),"Madre")</f>
        <v>Madre</v>
      </c>
      <c r="AP597" s="6" t="str">
        <f>IFERROR(__xludf.DUMMYFUNCTION("""COMPUTED_VALUE"""),"Estudiante(s): Nieto Bonilla")</f>
        <v>Estudiante(s): Nieto Bonilla</v>
      </c>
      <c r="AQ597" s="6" t="str">
        <f>IFERROR(__xludf.DUMMYFUNCTION("""COMPUTED_VALUE"""),"103695*Gi")</f>
        <v>103695*Gi</v>
      </c>
      <c r="AR597" s="6" t="str">
        <f>IFERROR(__xludf.DUMMYFUNCTION("""COMPUTED_VALUE"""),"Juan")</f>
        <v>Juan</v>
      </c>
      <c r="AS597" s="6" t="str">
        <f>IFERROR(__xludf.DUMMYFUNCTION("""COMPUTED_VALUE"""),"Carlos")</f>
        <v>Carlos</v>
      </c>
      <c r="AT597" s="6" t="str">
        <f>IFERROR(__xludf.DUMMYFUNCTION("""COMPUTED_VALUE"""),"Nieto Betancourt")</f>
        <v>Nieto Betancourt</v>
      </c>
      <c r="AU597" s="6" t="str">
        <f>IFERROR(__xludf.DUMMYFUNCTION("""COMPUTED_VALUE"""),"jucanibea@hotmail.com")</f>
        <v>jucanibea@hotmail.com</v>
      </c>
      <c r="AV597" s="6" t="str">
        <f>IFERROR(__xludf.DUMMYFUNCTION("""COMPUTED_VALUE"""),"zootecnista")</f>
        <v>zootecnista</v>
      </c>
      <c r="AW597" s="6" t="str">
        <f>IFERROR(__xludf.DUMMYFUNCTION("""COMPUTED_VALUE"""),"Grupo Ecoverde")</f>
        <v>Grupo Ecoverde</v>
      </c>
      <c r="AX597" s="12" t="str">
        <f>IFERROR(__xludf.DUMMYFUNCTION("""COMPUTED_VALUE"""),"89003578")</f>
        <v>89003578</v>
      </c>
      <c r="AY597" s="12" t="str">
        <f>IFERROR(__xludf.DUMMYFUNCTION("""COMPUTED_VALUE"""),"3154105364")</f>
        <v>3154105364</v>
      </c>
      <c r="AZ597" s="6" t="str">
        <f>IFERROR(__xludf.DUMMYFUNCTION("""COMPUTED_VALUE"""),"Padre")</f>
        <v>Padre</v>
      </c>
      <c r="BA597" s="6"/>
      <c r="BB597" s="6"/>
      <c r="BC597" s="6"/>
      <c r="BD597" s="12" t="str">
        <f>IFERROR(__xludf.DUMMYFUNCTION("""COMPUTED_VALUE"""),"nie0002")</f>
        <v>nie0002</v>
      </c>
      <c r="BE597" s="6"/>
      <c r="BF597" s="6"/>
      <c r="BG597" s="6">
        <f>IFERROR(__xludf.DUMMYFUNCTION("""COMPUTED_VALUE"""),2031.0)</f>
        <v>2031</v>
      </c>
      <c r="BH597" s="15">
        <f>IFERROR(__xludf.DUMMYFUNCTION("""COMPUTED_VALUE"""),46209.90341435185)</f>
        <v>46209.90341</v>
      </c>
      <c r="BI597" s="6">
        <f>IFERROR(__xludf.DUMMYFUNCTION("""COMPUTED_VALUE"""),597.0)</f>
        <v>597</v>
      </c>
      <c r="BJ597" s="6"/>
      <c r="BK597" s="6"/>
      <c r="BL597" s="6" t="str">
        <f>IFERROR(__xludf.DUMMYFUNCTION("""COMPUTED_VALUE"""),"GISNIE0002")</f>
        <v>GISNIE0002</v>
      </c>
      <c r="BM597" s="6"/>
      <c r="BN597" s="6"/>
      <c r="BO597" s="6" t="str">
        <f>IFERROR(__xludf.DUMMYFUNCTION("""COMPUTED_VALUE"""),"XC_MS_Voleibol_F")</f>
        <v>XC_MS_Voleibol_F</v>
      </c>
      <c r="BP597" s="6"/>
      <c r="BQ597" s="6" t="str">
        <f>IFERROR(__xludf.DUMMYFUNCTION("""COMPUTED_VALUE"""),"XC_MS_Voleibol_F")</f>
        <v>XC_MS_Voleibol_F</v>
      </c>
      <c r="BR597" s="6" t="str">
        <f>IFERROR(__xludf.DUMMYFUNCTION("""COMPUTED_VALUE"""),"XC_MS_Voleibol_F")</f>
        <v>XC_MS_Voleibol_F</v>
      </c>
      <c r="BS597" s="6"/>
      <c r="BT597" s="6" t="str">
        <f>IFERROR(__xludf.DUMMYFUNCTION("""COMPUTED_VALUE"""),"XC_MS_Voleibol_F")</f>
        <v>XC_MS_Voleibol_F</v>
      </c>
      <c r="BU597" s="6" t="str">
        <f>IFERROR(__xludf.DUMMYFUNCTION("""COMPUTED_VALUE"""),"SI")</f>
        <v>SI</v>
      </c>
      <c r="BV597" s="6" t="str">
        <f>IFERROR(__xludf.DUMMYFUNCTION("""COMPUTED_VALUE"""),"susana.n2031")</f>
        <v>susana.n2031</v>
      </c>
      <c r="BW597" s="6"/>
      <c r="BX597" s="6"/>
      <c r="BY597" s="6"/>
      <c r="BZ597" s="6"/>
    </row>
    <row r="598">
      <c r="A598" s="12">
        <f>IFERROR(__xludf.DUMMYFUNCTION("""COMPUTED_VALUE"""),1.019907954E9)</f>
        <v>1019907954</v>
      </c>
      <c r="B598" s="6">
        <f>IFERROR(__xludf.DUMMYFUNCTION("""COMPUTED_VALUE"""),43.0)</f>
        <v>43</v>
      </c>
      <c r="C598" s="6" t="str">
        <f>IFERROR(__xludf.DUMMYFUNCTION("""COMPUTED_VALUE"""),"Amalia")</f>
        <v>Amalia</v>
      </c>
      <c r="D598" s="6"/>
      <c r="E598" s="6" t="str">
        <f>IFERROR(__xludf.DUMMYFUNCTION("""COMPUTED_VALUE"""),"Ospina Gómez")</f>
        <v>Ospina Gómez</v>
      </c>
      <c r="F598" s="6" t="str">
        <f>IFERROR(__xludf.DUMMYFUNCTION("""COMPUTED_VALUE"""),"Edificio La Castellana Apt 501 - Calle 14 Nte No10 - 49")</f>
        <v>Edificio La Castellana Apt 501 - Calle 14 Nte No10 - 49</v>
      </c>
      <c r="G598" s="12" t="str">
        <f>IFERROR(__xludf.DUMMYFUNCTION("""COMPUTED_VALUE"""),"2013")</f>
        <v>2013</v>
      </c>
      <c r="H598" s="6" t="str">
        <f>IFERROR(__xludf.DUMMYFUNCTION("""COMPUTED_VALUE"""),"Mayo")</f>
        <v>Mayo</v>
      </c>
      <c r="I598" s="12" t="str">
        <f>IFERROR(__xludf.DUMMYFUNCTION("""COMPUTED_VALUE"""),"29")</f>
        <v>29</v>
      </c>
      <c r="J598" s="6" t="str">
        <f>IFERROR(__xludf.DUMMYFUNCTION("""COMPUTED_VALUE"""),"Bogotá D.C.")</f>
        <v>Bogotá D.C.</v>
      </c>
      <c r="K598" s="6" t="str">
        <f>IFERROR(__xludf.DUMMYFUNCTION("""COMPUTED_VALUE"""),"amalia.o2031@gi.edu.co")</f>
        <v>amalia.o2031@gi.edu.co</v>
      </c>
      <c r="L598" s="6" t="str">
        <f>IFERROR(__xludf.DUMMYFUNCTION("""COMPUTED_VALUE"""),"TI")</f>
        <v>TI</v>
      </c>
      <c r="M598" s="6" t="str">
        <f>IFERROR(__xludf.DUMMYFUNCTION("""COMPUTED_VALUE"""),"Armenia")</f>
        <v>Armenia</v>
      </c>
      <c r="N598" s="6" t="str">
        <f>IFERROR(__xludf.DUMMYFUNCTION("""COMPUTED_VALUE"""),"F")</f>
        <v>F</v>
      </c>
      <c r="O598" s="6" t="str">
        <f>IFERROR(__xludf.DUMMYFUNCTION("""COMPUTED_VALUE"""),"ACTIVE")</f>
        <v>ACTIVE</v>
      </c>
      <c r="P598" s="6"/>
      <c r="Q598" s="6" t="str">
        <f>IFERROR(__xludf.DUMMYFUNCTION("""COMPUTED_VALUE"""),"Armenia")</f>
        <v>Armenia</v>
      </c>
      <c r="R598" s="12" t="str">
        <f>IFERROR(__xludf.DUMMYFUNCTION("""COMPUTED_VALUE"""),"Gi4w298ujm*")</f>
        <v>Gi4w298ujm*</v>
      </c>
      <c r="S598" s="6" t="str">
        <f>IFERROR(__xludf.DUMMYFUNCTION("""COMPUTED_VALUE"""),"Ospina Gómez Amalia ")</f>
        <v>Ospina Gómez Amalia </v>
      </c>
      <c r="T598" s="6" t="str">
        <f>IFERROR(__xludf.DUMMYFUNCTION("""COMPUTED_VALUE"""),"AGROPECUARIA BAMBUSA S.A.S.")</f>
        <v>AGROPECUARIA BAMBUSA S.A.S.</v>
      </c>
      <c r="U598" s="12" t="str">
        <f>IFERROR(__xludf.DUMMYFUNCTION("""COMPUTED_VALUE"""),"900771011")</f>
        <v>900771011</v>
      </c>
      <c r="V598" s="6">
        <f>IFERROR(__xludf.DUMMYFUNCTION("""COMPUTED_VALUE"""),3.160168236E9)</f>
        <v>3160168236</v>
      </c>
      <c r="W598" s="6" t="str">
        <f>IFERROR(__xludf.DUMMYFUNCTION("""COMPUTED_VALUE"""),"notificaciones@hsj.com.co")</f>
        <v>notificaciones@hsj.com.co</v>
      </c>
      <c r="X598" s="12" t="str">
        <f>IFERROR(__xludf.DUMMYFUNCTION("""COMPUTED_VALUE"""),"O+")</f>
        <v>O+</v>
      </c>
      <c r="Y598" s="12" t="str">
        <f>IFERROR(__xludf.DUMMYFUNCTION("""COMPUTED_VALUE"""),"8")</f>
        <v>8</v>
      </c>
      <c r="Z598" s="12">
        <f>IFERROR(__xludf.DUMMYFUNCTION("""COMPUTED_VALUE"""),103491.0)</f>
        <v>103491</v>
      </c>
      <c r="AA598" s="6" t="str">
        <f>IFERROR(__xludf.DUMMYFUNCTION("""COMPUTED_VALUE"""),"SURA")</f>
        <v>SURA</v>
      </c>
      <c r="AB598" s="6" t="str">
        <f>IFERROR(__xludf.DUMMYFUNCTION("""COMPUTED_VALUE"""),"Allianz")</f>
        <v>Allianz</v>
      </c>
      <c r="AC598" s="6"/>
      <c r="AD598" s="12" t="str">
        <f>IFERROR(__xludf.DUMMYFUNCTION("""COMPUTED_VALUE"""),"8A")</f>
        <v>8A</v>
      </c>
      <c r="AE598" s="12">
        <f>IFERROR(__xludf.DUMMYFUNCTION("""COMPUTED_VALUE"""),1.345281717E9)</f>
        <v>1345281717</v>
      </c>
      <c r="AF598" s="12" t="str">
        <f>IFERROR(__xludf.DUMMYFUNCTION("""COMPUTED_VALUE"""),"0709236211")</f>
        <v>0709236211</v>
      </c>
      <c r="AG598" s="12" t="str">
        <f>IFERROR(__xludf.DUMMYFUNCTION("""COMPUTED_VALUE"""),"Juliana")</f>
        <v>Juliana</v>
      </c>
      <c r="AH598" s="6"/>
      <c r="AI598" s="6" t="str">
        <f>IFERROR(__xludf.DUMMYFUNCTION("""COMPUTED_VALUE"""),"Gómez Jaramillo")</f>
        <v>Gómez Jaramillo</v>
      </c>
      <c r="AJ598" s="6" t="str">
        <f>IFERROR(__xludf.DUMMYFUNCTION("""COMPUTED_VALUE"""),"juligomezj@yahoo.com")</f>
        <v>juligomezj@yahoo.com</v>
      </c>
      <c r="AK598" s="6" t="str">
        <f>IFERROR(__xludf.DUMMYFUNCTION("""COMPUTED_VALUE"""),"Admon empresas")</f>
        <v>Admon empresas</v>
      </c>
      <c r="AL598" s="6" t="str">
        <f>IFERROR(__xludf.DUMMYFUNCTION("""COMPUTED_VALUE"""),"La fabrica de instantes")</f>
        <v>La fabrica de instantes</v>
      </c>
      <c r="AM598" s="12" t="str">
        <f>IFERROR(__xludf.DUMMYFUNCTION("""COMPUTED_VALUE"""),"41951392")</f>
        <v>41951392</v>
      </c>
      <c r="AN598" s="12" t="str">
        <f>IFERROR(__xludf.DUMMYFUNCTION("""COMPUTED_VALUE"""),"3176652298")</f>
        <v>3176652298</v>
      </c>
      <c r="AO598" s="6" t="str">
        <f>IFERROR(__xludf.DUMMYFUNCTION("""COMPUTED_VALUE"""),"Madre")</f>
        <v>Madre</v>
      </c>
      <c r="AP598" s="6" t="str">
        <f>IFERROR(__xludf.DUMMYFUNCTION("""COMPUTED_VALUE"""),"Estudiante(s): Ospina Gomez")</f>
        <v>Estudiante(s): Ospina Gomez</v>
      </c>
      <c r="AQ598" s="6" t="str">
        <f>IFERROR(__xludf.DUMMYFUNCTION("""COMPUTED_VALUE"""),"103491*Gi")</f>
        <v>103491*Gi</v>
      </c>
      <c r="AR598" s="6" t="str">
        <f>IFERROR(__xludf.DUMMYFUNCTION("""COMPUTED_VALUE"""),"Luciano")</f>
        <v>Luciano</v>
      </c>
      <c r="AS598" s="6"/>
      <c r="AT598" s="6" t="str">
        <f>IFERROR(__xludf.DUMMYFUNCTION("""COMPUTED_VALUE"""),"Ospina Jaramillo")</f>
        <v>Ospina Jaramillo</v>
      </c>
      <c r="AU598" s="6" t="str">
        <f>IFERROR(__xludf.DUMMYFUNCTION("""COMPUTED_VALUE"""),"lucianoospina@hotmail.com")</f>
        <v>lucianoospina@hotmail.com</v>
      </c>
      <c r="AV598" s="6" t="str">
        <f>IFERROR(__xludf.DUMMYFUNCTION("""COMPUTED_VALUE"""),"Admon Agropecuaria")</f>
        <v>Admon Agropecuaria</v>
      </c>
      <c r="AW598" s="6" t="str">
        <f>IFERROR(__xludf.DUMMYFUNCTION("""COMPUTED_VALUE"""),"Agropecuaria Bambusa")</f>
        <v>Agropecuaria Bambusa</v>
      </c>
      <c r="AX598" s="12" t="str">
        <f>IFERROR(__xludf.DUMMYFUNCTION("""COMPUTED_VALUE"""),"75075615")</f>
        <v>75075615</v>
      </c>
      <c r="AY598" s="12" t="str">
        <f>IFERROR(__xludf.DUMMYFUNCTION("""COMPUTED_VALUE"""),"3162422801")</f>
        <v>3162422801</v>
      </c>
      <c r="AZ598" s="6" t="str">
        <f>IFERROR(__xludf.DUMMYFUNCTION("""COMPUTED_VALUE"""),"Padre")</f>
        <v>Padre</v>
      </c>
      <c r="BA598" s="6"/>
      <c r="BB598" s="6"/>
      <c r="BC598" s="6"/>
      <c r="BD598" s="12" t="str">
        <f>IFERROR(__xludf.DUMMYFUNCTION("""COMPUTED_VALUE"""),"osp0008")</f>
        <v>osp0008</v>
      </c>
      <c r="BE598" s="6"/>
      <c r="BF598" s="6"/>
      <c r="BG598" s="6">
        <f>IFERROR(__xludf.DUMMYFUNCTION("""COMPUTED_VALUE"""),2031.0)</f>
        <v>2031</v>
      </c>
      <c r="BH598" s="15">
        <f>IFERROR(__xludf.DUMMYFUNCTION("""COMPUTED_VALUE"""),46210.6518287037)</f>
        <v>46210.65183</v>
      </c>
      <c r="BI598" s="6">
        <f>IFERROR(__xludf.DUMMYFUNCTION("""COMPUTED_VALUE"""),598.0)</f>
        <v>598</v>
      </c>
      <c r="BJ598" s="6"/>
      <c r="BK598" s="6"/>
      <c r="BL598" s="6" t="str">
        <f>IFERROR(__xludf.DUMMYFUNCTION("""COMPUTED_VALUE"""),"GISOSP0008")</f>
        <v>GISOSP0008</v>
      </c>
      <c r="BM598" s="6"/>
      <c r="BN598" s="6"/>
      <c r="BO598" s="6" t="str">
        <f>IFERROR(__xludf.DUMMYFUNCTION("""COMPUTED_VALUE"""),"XC_MS_Voleibol_F")</f>
        <v>XC_MS_Voleibol_F</v>
      </c>
      <c r="BP598" s="6"/>
      <c r="BQ598" s="6" t="str">
        <f>IFERROR(__xludf.DUMMYFUNCTION("""COMPUTED_VALUE"""),"XC_MS_Voleibol_F")</f>
        <v>XC_MS_Voleibol_F</v>
      </c>
      <c r="BR598" s="6" t="str">
        <f>IFERROR(__xludf.DUMMYFUNCTION("""COMPUTED_VALUE"""),"XC_MS_Voleibol_F")</f>
        <v>XC_MS_Voleibol_F</v>
      </c>
      <c r="BS598" s="6"/>
      <c r="BT598" s="6" t="str">
        <f>IFERROR(__xludf.DUMMYFUNCTION("""COMPUTED_VALUE"""),"XC_MS_Voleibol_F")</f>
        <v>XC_MS_Voleibol_F</v>
      </c>
      <c r="BU598" s="6" t="str">
        <f>IFERROR(__xludf.DUMMYFUNCTION("""COMPUTED_VALUE"""),"SI")</f>
        <v>SI</v>
      </c>
      <c r="BV598" s="6" t="str">
        <f>IFERROR(__xludf.DUMMYFUNCTION("""COMPUTED_VALUE"""),"amalia.o2031")</f>
        <v>amalia.o2031</v>
      </c>
      <c r="BW598" s="6"/>
      <c r="BX598" s="6"/>
      <c r="BY598" s="6"/>
      <c r="BZ598" s="6"/>
    </row>
    <row r="599">
      <c r="A599" s="12">
        <f>IFERROR(__xludf.DUMMYFUNCTION("""COMPUTED_VALUE"""),1.019907726E9)</f>
        <v>1019907726</v>
      </c>
      <c r="B599" s="6">
        <f>IFERROR(__xludf.DUMMYFUNCTION("""COMPUTED_VALUE"""),44.0)</f>
        <v>44</v>
      </c>
      <c r="C599" s="6" t="str">
        <f>IFERROR(__xludf.DUMMYFUNCTION("""COMPUTED_VALUE"""),"Danilo")</f>
        <v>Danilo</v>
      </c>
      <c r="D599" s="6"/>
      <c r="E599" s="6" t="str">
        <f>IFERROR(__xludf.DUMMYFUNCTION("""COMPUTED_VALUE"""),"Poveda Hernández")</f>
        <v>Poveda Hernández</v>
      </c>
      <c r="F599" s="6" t="str">
        <f>IFERROR(__xludf.DUMMYFUNCTION("""COMPUTED_VALUE"""),"Quintas de San Julian II Casa 3 - Cra 11 No22Nte - 80")</f>
        <v>Quintas de San Julian II Casa 3 - Cra 11 No22Nte - 80</v>
      </c>
      <c r="G599" s="12" t="str">
        <f>IFERROR(__xludf.DUMMYFUNCTION("""COMPUTED_VALUE"""),"2013")</f>
        <v>2013</v>
      </c>
      <c r="H599" s="6" t="str">
        <f>IFERROR(__xludf.DUMMYFUNCTION("""COMPUTED_VALUE"""),"Abril")</f>
        <v>Abril</v>
      </c>
      <c r="I599" s="12" t="str">
        <f>IFERROR(__xludf.DUMMYFUNCTION("""COMPUTED_VALUE"""),"4")</f>
        <v>4</v>
      </c>
      <c r="J599" s="6" t="str">
        <f>IFERROR(__xludf.DUMMYFUNCTION("""COMPUTED_VALUE"""),"Bogotá D.C.")</f>
        <v>Bogotá D.C.</v>
      </c>
      <c r="K599" s="6" t="str">
        <f>IFERROR(__xludf.DUMMYFUNCTION("""COMPUTED_VALUE"""),"danilo.p2031@gi.edu.co")</f>
        <v>danilo.p2031@gi.edu.co</v>
      </c>
      <c r="L599" s="6" t="str">
        <f>IFERROR(__xludf.DUMMYFUNCTION("""COMPUTED_VALUE"""),"TI")</f>
        <v>TI</v>
      </c>
      <c r="M599" s="6" t="str">
        <f>IFERROR(__xludf.DUMMYFUNCTION("""COMPUTED_VALUE"""),"Neiva")</f>
        <v>Neiva</v>
      </c>
      <c r="N599" s="6" t="str">
        <f>IFERROR(__xludf.DUMMYFUNCTION("""COMPUTED_VALUE"""),"M")</f>
        <v>M</v>
      </c>
      <c r="O599" s="6" t="str">
        <f>IFERROR(__xludf.DUMMYFUNCTION("""COMPUTED_VALUE"""),"ACTIVE")</f>
        <v>ACTIVE</v>
      </c>
      <c r="P599" s="6"/>
      <c r="Q599" s="6" t="str">
        <f>IFERROR(__xludf.DUMMYFUNCTION("""COMPUTED_VALUE"""),"Armenia")</f>
        <v>Armenia</v>
      </c>
      <c r="R599" s="12" t="str">
        <f>IFERROR(__xludf.DUMMYFUNCTION("""COMPUTED_VALUE"""),"Giz9k5df*")</f>
        <v>Giz9k5df*</v>
      </c>
      <c r="S599" s="6" t="str">
        <f>IFERROR(__xludf.DUMMYFUNCTION("""COMPUTED_VALUE"""),"Poveda Hernández Danilo ")</f>
        <v>Poveda Hernández Danilo </v>
      </c>
      <c r="T599" s="6" t="str">
        <f>IFERROR(__xludf.DUMMYFUNCTION("""COMPUTED_VALUE"""),"ANTONIO HERNANDEZ CASTILLO")</f>
        <v>ANTONIO HERNANDEZ CASTILLO</v>
      </c>
      <c r="U599" s="12" t="str">
        <f>IFERROR(__xludf.DUMMYFUNCTION("""COMPUTED_VALUE"""),"2033383")</f>
        <v>2033383</v>
      </c>
      <c r="V599" s="6">
        <f>IFERROR(__xludf.DUMMYFUNCTION("""COMPUTED_VALUE"""),3.226065802E9)</f>
        <v>3226065802</v>
      </c>
      <c r="W599" s="6" t="str">
        <f>IFERROR(__xludf.DUMMYFUNCTION("""COMPUTED_VALUE"""),"antoniohc37@hotmail.com")</f>
        <v>antoniohc37@hotmail.com</v>
      </c>
      <c r="X599" s="12" t="str">
        <f>IFERROR(__xludf.DUMMYFUNCTION("""COMPUTED_VALUE"""),"O+")</f>
        <v>O+</v>
      </c>
      <c r="Y599" s="12" t="str">
        <f>IFERROR(__xludf.DUMMYFUNCTION("""COMPUTED_VALUE"""),"8")</f>
        <v>8</v>
      </c>
      <c r="Z599" s="12">
        <f>IFERROR(__xludf.DUMMYFUNCTION("""COMPUTED_VALUE"""),120258.0)</f>
        <v>120258</v>
      </c>
      <c r="AA599" s="6" t="str">
        <f>IFERROR(__xludf.DUMMYFUNCTION("""COMPUTED_VALUE"""),"SALUD TOTAL")</f>
        <v>SALUD TOTAL</v>
      </c>
      <c r="AB599" s="6"/>
      <c r="AC599" s="6"/>
      <c r="AD599" s="12" t="str">
        <f>IFERROR(__xludf.DUMMYFUNCTION("""COMPUTED_VALUE"""),"8B")</f>
        <v>8B</v>
      </c>
      <c r="AE599" s="12">
        <f>IFERROR(__xludf.DUMMYFUNCTION("""COMPUTED_VALUE"""),1.345282249E9)</f>
        <v>1345282249</v>
      </c>
      <c r="AF599" s="12" t="str">
        <f>IFERROR(__xludf.DUMMYFUNCTION("""COMPUTED_VALUE"""),"0700009411")</f>
        <v>0700009411</v>
      </c>
      <c r="AG599" s="12" t="str">
        <f>IFERROR(__xludf.DUMMYFUNCTION("""COMPUTED_VALUE"""),"Mónika")</f>
        <v>Mónika</v>
      </c>
      <c r="AH599" s="12" t="str">
        <f>IFERROR(__xludf.DUMMYFUNCTION("""COMPUTED_VALUE"""),"Rocío")</f>
        <v>Rocío</v>
      </c>
      <c r="AI599" s="6" t="str">
        <f>IFERROR(__xludf.DUMMYFUNCTION("""COMPUTED_VALUE"""),"Hernández Carreño")</f>
        <v>Hernández Carreño</v>
      </c>
      <c r="AJ599" s="6" t="str">
        <f>IFERROR(__xludf.DUMMYFUNCTION("""COMPUTED_VALUE"""),"monirh76@icloud.com")</f>
        <v>monirh76@icloud.com</v>
      </c>
      <c r="AK599" s="6" t="str">
        <f>IFERROR(__xludf.DUMMYFUNCTION("""COMPUTED_VALUE"""),"Pediatra y epidemióloga")</f>
        <v>Pediatra y epidemióloga</v>
      </c>
      <c r="AL599" s="6" t="str">
        <f>IFERROR(__xludf.DUMMYFUNCTION("""COMPUTED_VALUE"""),"Clinica La Sagrada Familia")</f>
        <v>Clinica La Sagrada Familia</v>
      </c>
      <c r="AM599" s="12" t="str">
        <f>IFERROR(__xludf.DUMMYFUNCTION("""COMPUTED_VALUE"""),"52266320")</f>
        <v>52266320</v>
      </c>
      <c r="AN599" s="12" t="str">
        <f>IFERROR(__xludf.DUMMYFUNCTION("""COMPUTED_VALUE"""),"3165495685")</f>
        <v>3165495685</v>
      </c>
      <c r="AO599" s="6" t="str">
        <f>IFERROR(__xludf.DUMMYFUNCTION("""COMPUTED_VALUE"""),"Madre")</f>
        <v>Madre</v>
      </c>
      <c r="AP599" s="6" t="str">
        <f>IFERROR(__xludf.DUMMYFUNCTION("""COMPUTED_VALUE"""),"Estudiante(s): Poveda Hernández")</f>
        <v>Estudiante(s): Poveda Hernández</v>
      </c>
      <c r="AQ599" s="6" t="str">
        <f>IFERROR(__xludf.DUMMYFUNCTION("""COMPUTED_VALUE"""),"120258*Gi")</f>
        <v>120258*Gi</v>
      </c>
      <c r="AR599" s="6" t="str">
        <f>IFERROR(__xludf.DUMMYFUNCTION("""COMPUTED_VALUE"""),"Jesús")</f>
        <v>Jesús</v>
      </c>
      <c r="AS599" s="6" t="str">
        <f>IFERROR(__xludf.DUMMYFUNCTION("""COMPUTED_VALUE"""),"Alonso")</f>
        <v>Alonso</v>
      </c>
      <c r="AT599" s="6" t="str">
        <f>IFERROR(__xludf.DUMMYFUNCTION("""COMPUTED_VALUE"""),"Poveda Carvajal")</f>
        <v>Poveda Carvajal</v>
      </c>
      <c r="AU599" s="6" t="str">
        <f>IFERROR(__xludf.DUMMYFUNCTION("""COMPUTED_VALUE"""),"jealpoca@icloud.com")</f>
        <v>jealpoca@icloud.com</v>
      </c>
      <c r="AV599" s="6" t="str">
        <f>IFERROR(__xludf.DUMMYFUNCTION("""COMPUTED_VALUE"""),"Cirujano General")</f>
        <v>Cirujano General</v>
      </c>
      <c r="AW599" s="6"/>
      <c r="AX599" s="12" t="str">
        <f>IFERROR(__xludf.DUMMYFUNCTION("""COMPUTED_VALUE"""),"79485582")</f>
        <v>79485582</v>
      </c>
      <c r="AY599" s="12" t="str">
        <f>IFERROR(__xludf.DUMMYFUNCTION("""COMPUTED_VALUE"""),"3174314919")</f>
        <v>3174314919</v>
      </c>
      <c r="AZ599" s="6" t="str">
        <f>IFERROR(__xludf.DUMMYFUNCTION("""COMPUTED_VALUE"""),"Padre")</f>
        <v>Padre</v>
      </c>
      <c r="BA599" s="6"/>
      <c r="BB599" s="6"/>
      <c r="BC599" s="6"/>
      <c r="BD599" s="12" t="str">
        <f>IFERROR(__xludf.DUMMYFUNCTION("""COMPUTED_VALUE"""),"pov0001")</f>
        <v>pov0001</v>
      </c>
      <c r="BE599" s="6"/>
      <c r="BF599" s="6"/>
      <c r="BG599" s="6">
        <f>IFERROR(__xludf.DUMMYFUNCTION("""COMPUTED_VALUE"""),2031.0)</f>
        <v>2031</v>
      </c>
      <c r="BH599" s="15">
        <f>IFERROR(__xludf.DUMMYFUNCTION("""COMPUTED_VALUE"""),46212.80946759259)</f>
        <v>46212.80947</v>
      </c>
      <c r="BI599" s="6">
        <f>IFERROR(__xludf.DUMMYFUNCTION("""COMPUTED_VALUE"""),599.0)</f>
        <v>599</v>
      </c>
      <c r="BJ599" s="6"/>
      <c r="BK599" s="6"/>
      <c r="BL599" s="6" t="str">
        <f>IFERROR(__xludf.DUMMYFUNCTION("""COMPUTED_VALUE"""),"GISPOV0001")</f>
        <v>GISPOV0001</v>
      </c>
      <c r="BM599" s="6"/>
      <c r="BN599" s="6"/>
      <c r="BO599" s="6"/>
      <c r="BP599" s="6"/>
      <c r="BQ599" s="6"/>
      <c r="BR599" s="6"/>
      <c r="BS599" s="6"/>
      <c r="BT599" s="6"/>
      <c r="BU599" s="6" t="str">
        <f>IFERROR(__xludf.DUMMYFUNCTION("""COMPUTED_VALUE"""),"SI")</f>
        <v>SI</v>
      </c>
      <c r="BV599" s="6" t="str">
        <f>IFERROR(__xludf.DUMMYFUNCTION("""COMPUTED_VALUE"""),"danilo.p2031")</f>
        <v>danilo.p2031</v>
      </c>
      <c r="BW599" s="6"/>
      <c r="BX599" s="6"/>
      <c r="BY599" s="6"/>
      <c r="BZ599" s="6"/>
    </row>
    <row r="600">
      <c r="A600" s="12">
        <f>IFERROR(__xludf.DUMMYFUNCTION("""COMPUTED_VALUE"""),1.046714166E9)</f>
        <v>1046714166</v>
      </c>
      <c r="B600" s="6">
        <f>IFERROR(__xludf.DUMMYFUNCTION("""COMPUTED_VALUE"""),45.0)</f>
        <v>45</v>
      </c>
      <c r="C600" s="6" t="str">
        <f>IFERROR(__xludf.DUMMYFUNCTION("""COMPUTED_VALUE"""),"Massimo")</f>
        <v>Massimo</v>
      </c>
      <c r="D600" s="6"/>
      <c r="E600" s="6" t="str">
        <f>IFERROR(__xludf.DUMMYFUNCTION("""COMPUTED_VALUE"""),"Quintero García")</f>
        <v>Quintero García</v>
      </c>
      <c r="F600" s="6" t="str">
        <f>IFERROR(__xludf.DUMMYFUNCTION("""COMPUTED_VALUE"""),"Condominio Campestre La Reserva Torre Macarena Apto 1402 - Cra 5 No10Nte - 25 Av Centenario")</f>
        <v>Condominio Campestre La Reserva Torre Macarena Apto 1402 - Cra 5 No10Nte - 25 Av Centenario</v>
      </c>
      <c r="G600" s="12" t="str">
        <f>IFERROR(__xludf.DUMMYFUNCTION("""COMPUTED_VALUE"""),"2012")</f>
        <v>2012</v>
      </c>
      <c r="H600" s="6" t="str">
        <f>IFERROR(__xludf.DUMMYFUNCTION("""COMPUTED_VALUE"""),"Noviembre")</f>
        <v>Noviembre</v>
      </c>
      <c r="I600" s="12" t="str">
        <f>IFERROR(__xludf.DUMMYFUNCTION("""COMPUTED_VALUE"""),"3")</f>
        <v>3</v>
      </c>
      <c r="J600" s="6" t="str">
        <f>IFERROR(__xludf.DUMMYFUNCTION("""COMPUTED_VALUE"""),"Barranquilla")</f>
        <v>Barranquilla</v>
      </c>
      <c r="K600" s="6" t="str">
        <f>IFERROR(__xludf.DUMMYFUNCTION("""COMPUTED_VALUE"""),"massimo.q2031@gi.edu.co")</f>
        <v>massimo.q2031@gi.edu.co</v>
      </c>
      <c r="L600" s="6" t="str">
        <f>IFERROR(__xludf.DUMMYFUNCTION("""COMPUTED_VALUE"""),"TI")</f>
        <v>TI</v>
      </c>
      <c r="M600" s="6" t="str">
        <f>IFERROR(__xludf.DUMMYFUNCTION("""COMPUTED_VALUE"""),"Barranquilla")</f>
        <v>Barranquilla</v>
      </c>
      <c r="N600" s="6" t="str">
        <f>IFERROR(__xludf.DUMMYFUNCTION("""COMPUTED_VALUE"""),"M")</f>
        <v>M</v>
      </c>
      <c r="O600" s="6" t="str">
        <f>IFERROR(__xludf.DUMMYFUNCTION("""COMPUTED_VALUE"""),"ACTIVE")</f>
        <v>ACTIVE</v>
      </c>
      <c r="P600" s="6"/>
      <c r="Q600" s="6" t="str">
        <f>IFERROR(__xludf.DUMMYFUNCTION("""COMPUTED_VALUE"""),"Armenia")</f>
        <v>Armenia</v>
      </c>
      <c r="R600" s="12" t="str">
        <f>IFERROR(__xludf.DUMMYFUNCTION("""COMPUTED_VALUE"""),"Gi64mnh89*")</f>
        <v>Gi64mnh89*</v>
      </c>
      <c r="S600" s="6" t="str">
        <f>IFERROR(__xludf.DUMMYFUNCTION("""COMPUTED_VALUE"""),"Quintero García Massimo ")</f>
        <v>Quintero García Massimo </v>
      </c>
      <c r="T600" s="6" t="str">
        <f>IFERROR(__xludf.DUMMYFUNCTION("""COMPUTED_VALUE"""),"CRISTHIAN DARIO QUINTERO RODRIGUEZ")</f>
        <v>CRISTHIAN DARIO QUINTERO RODRIGUEZ</v>
      </c>
      <c r="U600" s="12" t="str">
        <f>IFERROR(__xludf.DUMMYFUNCTION("""COMPUTED_VALUE"""),"80089103")</f>
        <v>80089103</v>
      </c>
      <c r="V600" s="6">
        <f>IFERROR(__xludf.DUMMYFUNCTION("""COMPUTED_VALUE"""),3.183100159E9)</f>
        <v>3183100159</v>
      </c>
      <c r="W600" s="6" t="str">
        <f>IFERROR(__xludf.DUMMYFUNCTION("""COMPUTED_VALUE"""),"cristhianq81@hotmail.com")</f>
        <v>cristhianq81@hotmail.com</v>
      </c>
      <c r="X600" s="12" t="str">
        <f>IFERROR(__xludf.DUMMYFUNCTION("""COMPUTED_VALUE"""),"O+")</f>
        <v>O+</v>
      </c>
      <c r="Y600" s="12" t="str">
        <f>IFERROR(__xludf.DUMMYFUNCTION("""COMPUTED_VALUE"""),"8")</f>
        <v>8</v>
      </c>
      <c r="Z600" s="12">
        <f>IFERROR(__xludf.DUMMYFUNCTION("""COMPUTED_VALUE"""),120052.0)</f>
        <v>120052</v>
      </c>
      <c r="AA600" s="6" t="str">
        <f>IFERROR(__xludf.DUMMYFUNCTION("""COMPUTED_VALUE"""),"SURA")</f>
        <v>SURA</v>
      </c>
      <c r="AB600" s="6"/>
      <c r="AC600" s="6"/>
      <c r="AD600" s="12" t="str">
        <f>IFERROR(__xludf.DUMMYFUNCTION("""COMPUTED_VALUE"""),"8C")</f>
        <v>8C</v>
      </c>
      <c r="AE600" s="12">
        <f>IFERROR(__xludf.DUMMYFUNCTION("""COMPUTED_VALUE"""),1.345282055E9)</f>
        <v>1345282055</v>
      </c>
      <c r="AF600" s="12" t="str">
        <f>IFERROR(__xludf.DUMMYFUNCTION("""COMPUTED_VALUE"""),"0672306195")</f>
        <v>0672306195</v>
      </c>
      <c r="AG600" s="12" t="str">
        <f>IFERROR(__xludf.DUMMYFUNCTION("""COMPUTED_VALUE"""),"Gina")</f>
        <v>Gina</v>
      </c>
      <c r="AH600" s="12" t="str">
        <f>IFERROR(__xludf.DUMMYFUNCTION("""COMPUTED_VALUE"""),"Paola")</f>
        <v>Paola</v>
      </c>
      <c r="AI600" s="6" t="str">
        <f>IFERROR(__xludf.DUMMYFUNCTION("""COMPUTED_VALUE"""),"García Fernández")</f>
        <v>García Fernández</v>
      </c>
      <c r="AJ600" s="6" t="str">
        <f>IFERROR(__xludf.DUMMYFUNCTION("""COMPUTED_VALUE"""),"ginapquintero@gmail.com")</f>
        <v>ginapquintero@gmail.com</v>
      </c>
      <c r="AK600" s="6" t="str">
        <f>IFERROR(__xludf.DUMMYFUNCTION("""COMPUTED_VALUE"""),"administradora de empresas")</f>
        <v>administradora de empresas</v>
      </c>
      <c r="AL600" s="6"/>
      <c r="AM600" s="12" t="str">
        <f>IFERROR(__xludf.DUMMYFUNCTION("""COMPUTED_VALUE"""),"22463555")</f>
        <v>22463555</v>
      </c>
      <c r="AN600" s="12" t="str">
        <f>IFERROR(__xludf.DUMMYFUNCTION("""COMPUTED_VALUE"""),"3226863364")</f>
        <v>3226863364</v>
      </c>
      <c r="AO600" s="6" t="str">
        <f>IFERROR(__xludf.DUMMYFUNCTION("""COMPUTED_VALUE"""),"Madre")</f>
        <v>Madre</v>
      </c>
      <c r="AP600" s="6" t="str">
        <f>IFERROR(__xludf.DUMMYFUNCTION("""COMPUTED_VALUE"""),"Estudiante(s): Quintero García")</f>
        <v>Estudiante(s): Quintero García</v>
      </c>
      <c r="AQ600" s="6" t="str">
        <f>IFERROR(__xludf.DUMMYFUNCTION("""COMPUTED_VALUE"""),"120047*Gi")</f>
        <v>120047*Gi</v>
      </c>
      <c r="AR600" s="6" t="str">
        <f>IFERROR(__xludf.DUMMYFUNCTION("""COMPUTED_VALUE"""),"Cristhian")</f>
        <v>Cristhian</v>
      </c>
      <c r="AS600" s="6" t="str">
        <f>IFERROR(__xludf.DUMMYFUNCTION("""COMPUTED_VALUE"""),"Darío")</f>
        <v>Darío</v>
      </c>
      <c r="AT600" s="6" t="str">
        <f>IFERROR(__xludf.DUMMYFUNCTION("""COMPUTED_VALUE"""),"Quintero Rodríguez")</f>
        <v>Quintero Rodríguez</v>
      </c>
      <c r="AU600" s="6" t="str">
        <f>IFERROR(__xludf.DUMMYFUNCTION("""COMPUTED_VALUE"""),"cristhianq81@hotmail.com")</f>
        <v>cristhianq81@hotmail.com</v>
      </c>
      <c r="AV600" s="6" t="str">
        <f>IFERROR(__xludf.DUMMYFUNCTION("""COMPUTED_VALUE"""),"Finanzas")</f>
        <v>Finanzas</v>
      </c>
      <c r="AW600" s="6" t="str">
        <f>IFERROR(__xludf.DUMMYFUNCTION("""COMPUTED_VALUE"""),"Green SuperFood")</f>
        <v>Green SuperFood</v>
      </c>
      <c r="AX600" s="12" t="str">
        <f>IFERROR(__xludf.DUMMYFUNCTION("""COMPUTED_VALUE"""),"80089103")</f>
        <v>80089103</v>
      </c>
      <c r="AY600" s="12" t="str">
        <f>IFERROR(__xludf.DUMMYFUNCTION("""COMPUTED_VALUE"""),"3183100159")</f>
        <v>3183100159</v>
      </c>
      <c r="AZ600" s="6" t="str">
        <f>IFERROR(__xludf.DUMMYFUNCTION("""COMPUTED_VALUE"""),"Padre")</f>
        <v>Padre</v>
      </c>
      <c r="BA600" s="6"/>
      <c r="BB600" s="6"/>
      <c r="BC600" s="6"/>
      <c r="BD600" s="12" t="str">
        <f>IFERROR(__xludf.DUMMYFUNCTION("""COMPUTED_VALUE"""),"qui0003")</f>
        <v>qui0003</v>
      </c>
      <c r="BE600" s="6"/>
      <c r="BF600" s="6"/>
      <c r="BG600" s="6">
        <f>IFERROR(__xludf.DUMMYFUNCTION("""COMPUTED_VALUE"""),2031.0)</f>
        <v>2031</v>
      </c>
      <c r="BH600" s="15">
        <f>IFERROR(__xludf.DUMMYFUNCTION("""COMPUTED_VALUE"""),46211.61247685185)</f>
        <v>46211.61248</v>
      </c>
      <c r="BI600" s="6">
        <f>IFERROR(__xludf.DUMMYFUNCTION("""COMPUTED_VALUE"""),600.0)</f>
        <v>600</v>
      </c>
      <c r="BJ600" s="6" t="str">
        <f>IFERROR(__xludf.DUMMYFUNCTION("""COMPUTED_VALUE"""),"SIMAT: Discapacidad Psicosocial - Trastorno del Espectro Autista) (Nov 13 2024)")</f>
        <v>SIMAT: Discapacidad Psicosocial - Trastorno del Espectro Autista) (Nov 13 2024)</v>
      </c>
      <c r="BK600" s="6"/>
      <c r="BL600" s="6" t="str">
        <f>IFERROR(__xludf.DUMMYFUNCTION("""COMPUTED_VALUE"""),"GISQUI0003")</f>
        <v>GISQUI0003</v>
      </c>
      <c r="BM600" s="6"/>
      <c r="BN600" s="6"/>
      <c r="BO600" s="6"/>
      <c r="BP600" s="6"/>
      <c r="BQ600" s="6"/>
      <c r="BR600" s="6"/>
      <c r="BS600" s="6"/>
      <c r="BT600" s="6"/>
      <c r="BU600" s="6" t="str">
        <f>IFERROR(__xludf.DUMMYFUNCTION("""COMPUTED_VALUE"""),"SI")</f>
        <v>SI</v>
      </c>
      <c r="BV600" s="6" t="str">
        <f>IFERROR(__xludf.DUMMYFUNCTION("""COMPUTED_VALUE"""),"massimo.q2031")</f>
        <v>massimo.q2031</v>
      </c>
      <c r="BW600" s="6"/>
      <c r="BX600" s="6"/>
      <c r="BY600" s="6"/>
      <c r="BZ600" s="6"/>
    </row>
    <row r="601">
      <c r="A601" s="12">
        <f>IFERROR(__xludf.DUMMYFUNCTION("""COMPUTED_VALUE"""),1.092855973E9)</f>
        <v>1092855973</v>
      </c>
      <c r="B601" s="6">
        <f>IFERROR(__xludf.DUMMYFUNCTION("""COMPUTED_VALUE"""),46.0)</f>
        <v>46</v>
      </c>
      <c r="C601" s="6" t="str">
        <f>IFERROR(__xludf.DUMMYFUNCTION("""COMPUTED_VALUE"""),"Simón")</f>
        <v>Simón</v>
      </c>
      <c r="D601" s="6"/>
      <c r="E601" s="6" t="str">
        <f>IFERROR(__xludf.DUMMYFUNCTION("""COMPUTED_VALUE"""),"Restrepo Barahona")</f>
        <v>Restrepo Barahona</v>
      </c>
      <c r="F601" s="6" t="str">
        <f>IFERROR(__xludf.DUMMYFUNCTION("""COMPUTED_VALUE"""),"Colina Del Parque Casa B5 - Cra 11 9Nte - 01 La Castellana")</f>
        <v>Colina Del Parque Casa B5 - Cra 11 9Nte - 01 La Castellana</v>
      </c>
      <c r="G601" s="12" t="str">
        <f>IFERROR(__xludf.DUMMYFUNCTION("""COMPUTED_VALUE"""),"2012")</f>
        <v>2012</v>
      </c>
      <c r="H601" s="6" t="str">
        <f>IFERROR(__xludf.DUMMYFUNCTION("""COMPUTED_VALUE"""),"Marzo")</f>
        <v>Marzo</v>
      </c>
      <c r="I601" s="12" t="str">
        <f>IFERROR(__xludf.DUMMYFUNCTION("""COMPUTED_VALUE"""),"6")</f>
        <v>6</v>
      </c>
      <c r="J601" s="6" t="str">
        <f>IFERROR(__xludf.DUMMYFUNCTION("""COMPUTED_VALUE"""),"Armenia")</f>
        <v>Armenia</v>
      </c>
      <c r="K601" s="6" t="str">
        <f>IFERROR(__xludf.DUMMYFUNCTION("""COMPUTED_VALUE"""),"simon.r2030@gi.edu.co")</f>
        <v>simon.r2030@gi.edu.co</v>
      </c>
      <c r="L601" s="6" t="str">
        <f>IFERROR(__xludf.DUMMYFUNCTION("""COMPUTED_VALUE"""),"TI")</f>
        <v>TI</v>
      </c>
      <c r="M601" s="6" t="str">
        <f>IFERROR(__xludf.DUMMYFUNCTION("""COMPUTED_VALUE"""),"Armenia")</f>
        <v>Armenia</v>
      </c>
      <c r="N601" s="6" t="str">
        <f>IFERROR(__xludf.DUMMYFUNCTION("""COMPUTED_VALUE"""),"M")</f>
        <v>M</v>
      </c>
      <c r="O601" s="6" t="str">
        <f>IFERROR(__xludf.DUMMYFUNCTION("""COMPUTED_VALUE"""),"ACTIVE")</f>
        <v>ACTIVE</v>
      </c>
      <c r="P601" s="6"/>
      <c r="Q601" s="6" t="str">
        <f>IFERROR(__xludf.DUMMYFUNCTION("""COMPUTED_VALUE"""),"Armenia")</f>
        <v>Armenia</v>
      </c>
      <c r="R601" s="12" t="str">
        <f>IFERROR(__xludf.DUMMYFUNCTION("""COMPUTED_VALUE"""),"Gi2fi8gT73*")</f>
        <v>Gi2fi8gT73*</v>
      </c>
      <c r="S601" s="6" t="str">
        <f>IFERROR(__xludf.DUMMYFUNCTION("""COMPUTED_VALUE"""),"Restrepo Barahona Simón ")</f>
        <v>Restrepo Barahona Simón </v>
      </c>
      <c r="T601" s="6" t="str">
        <f>IFERROR(__xludf.DUMMYFUNCTION("""COMPUTED_VALUE"""),"JORGE MARIO RESTREPO RESTREPO")</f>
        <v>JORGE MARIO RESTREPO RESTREPO</v>
      </c>
      <c r="U601" s="12" t="str">
        <f>IFERROR(__xludf.DUMMYFUNCTION("""COMPUTED_VALUE"""),"9732604")</f>
        <v>9732604</v>
      </c>
      <c r="V601" s="6">
        <f>IFERROR(__xludf.DUMMYFUNCTION("""COMPUTED_VALUE"""),3.174037077E9)</f>
        <v>3174037077</v>
      </c>
      <c r="W601" s="6" t="str">
        <f>IFERROR(__xludf.DUMMYFUNCTION("""COMPUTED_VALUE"""),"restreporestrepo@gmail.com")</f>
        <v>restreporestrepo@gmail.com</v>
      </c>
      <c r="X601" s="12" t="str">
        <f>IFERROR(__xludf.DUMMYFUNCTION("""COMPUTED_VALUE"""),"O+")</f>
        <v>O+</v>
      </c>
      <c r="Y601" s="12" t="str">
        <f>IFERROR(__xludf.DUMMYFUNCTION("""COMPUTED_VALUE"""),"8")</f>
        <v>8</v>
      </c>
      <c r="Z601" s="12">
        <f>IFERROR(__xludf.DUMMYFUNCTION("""COMPUTED_VALUE"""),103347.0)</f>
        <v>103347</v>
      </c>
      <c r="AA601" s="6" t="str">
        <f>IFERROR(__xludf.DUMMYFUNCTION("""COMPUTED_VALUE"""),"SURA")</f>
        <v>SURA</v>
      </c>
      <c r="AB601" s="6" t="str">
        <f>IFERROR(__xludf.DUMMYFUNCTION("""COMPUTED_VALUE"""),"coomeva prepagada")</f>
        <v>coomeva prepagada</v>
      </c>
      <c r="AC601" s="12" t="str">
        <f>IFERROR(__xludf.DUMMYFUNCTION("""COMPUTED_VALUE"""),"Metroclopramina")</f>
        <v>Metroclopramina</v>
      </c>
      <c r="AD601" s="12" t="str">
        <f>IFERROR(__xludf.DUMMYFUNCTION("""COMPUTED_VALUE"""),"8A")</f>
        <v>8A</v>
      </c>
      <c r="AE601" s="12">
        <f>IFERROR(__xludf.DUMMYFUNCTION("""COMPUTED_VALUE"""),1.34528165E9)</f>
        <v>1345281650</v>
      </c>
      <c r="AF601" s="12" t="str">
        <f>IFERROR(__xludf.DUMMYFUNCTION("""COMPUTED_VALUE"""),"0694682675")</f>
        <v>0694682675</v>
      </c>
      <c r="AG601" s="12" t="str">
        <f>IFERROR(__xludf.DUMMYFUNCTION("""COMPUTED_VALUE"""),"Diana")</f>
        <v>Diana</v>
      </c>
      <c r="AH601" s="6"/>
      <c r="AI601" s="6" t="str">
        <f>IFERROR(__xludf.DUMMYFUNCTION("""COMPUTED_VALUE"""),"Barahona Meza")</f>
        <v>Barahona Meza</v>
      </c>
      <c r="AJ601" s="6" t="str">
        <f>IFERROR(__xludf.DUMMYFUNCTION("""COMPUTED_VALUE"""),"diana490@gmail.com")</f>
        <v>diana490@gmail.com</v>
      </c>
      <c r="AK601" s="6" t="str">
        <f>IFERROR(__xludf.DUMMYFUNCTION("""COMPUTED_VALUE"""),"Abogada")</f>
        <v>Abogada</v>
      </c>
      <c r="AL601" s="6" t="str">
        <f>IFERROR(__xludf.DUMMYFUNCTION("""COMPUTED_VALUE"""),"Alcaldia")</f>
        <v>Alcaldia</v>
      </c>
      <c r="AM601" s="12" t="str">
        <f>IFERROR(__xludf.DUMMYFUNCTION("""COMPUTED_VALUE"""),"41949809")</f>
        <v>41949809</v>
      </c>
      <c r="AN601" s="12" t="str">
        <f>IFERROR(__xludf.DUMMYFUNCTION("""COMPUTED_VALUE"""),"3185779016")</f>
        <v>3185779016</v>
      </c>
      <c r="AO601" s="6" t="str">
        <f>IFERROR(__xludf.DUMMYFUNCTION("""COMPUTED_VALUE"""),"Madre")</f>
        <v>Madre</v>
      </c>
      <c r="AP601" s="6" t="str">
        <f>IFERROR(__xludf.DUMMYFUNCTION("""COMPUTED_VALUE"""),"Estudiante(s): Restrepo Barahona")</f>
        <v>Estudiante(s): Restrepo Barahona</v>
      </c>
      <c r="AQ601" s="6" t="str">
        <f>IFERROR(__xludf.DUMMYFUNCTION("""COMPUTED_VALUE"""),"103043*Gi")</f>
        <v>103043*Gi</v>
      </c>
      <c r="AR601" s="6" t="str">
        <f>IFERROR(__xludf.DUMMYFUNCTION("""COMPUTED_VALUE"""),"Jorge")</f>
        <v>Jorge</v>
      </c>
      <c r="AS601" s="6" t="str">
        <f>IFERROR(__xludf.DUMMYFUNCTION("""COMPUTED_VALUE"""),"Mario")</f>
        <v>Mario</v>
      </c>
      <c r="AT601" s="6" t="str">
        <f>IFERROR(__xludf.DUMMYFUNCTION("""COMPUTED_VALUE"""),"Restrepo Restrepo")</f>
        <v>Restrepo Restrepo</v>
      </c>
      <c r="AU601" s="6" t="str">
        <f>IFERROR(__xludf.DUMMYFUNCTION("""COMPUTED_VALUE"""),"restreporestrepo@gmail.com")</f>
        <v>restreporestrepo@gmail.com</v>
      </c>
      <c r="AV601" s="6" t="str">
        <f>IFERROR(__xludf.DUMMYFUNCTION("""COMPUTED_VALUE"""),"Arquitecto")</f>
        <v>Arquitecto</v>
      </c>
      <c r="AW601" s="6" t="str">
        <f>IFERROR(__xludf.DUMMYFUNCTION("""COMPUTED_VALUE"""),"Estudio de Arquitectura jmrsas")</f>
        <v>Estudio de Arquitectura jmrsas</v>
      </c>
      <c r="AX601" s="12" t="str">
        <f>IFERROR(__xludf.DUMMYFUNCTION("""COMPUTED_VALUE"""),"9732604")</f>
        <v>9732604</v>
      </c>
      <c r="AY601" s="12" t="str">
        <f>IFERROR(__xludf.DUMMYFUNCTION("""COMPUTED_VALUE"""),"3174037077")</f>
        <v>3174037077</v>
      </c>
      <c r="AZ601" s="6" t="str">
        <f>IFERROR(__xludf.DUMMYFUNCTION("""COMPUTED_VALUE"""),"Padre")</f>
        <v>Padre</v>
      </c>
      <c r="BA601" s="6"/>
      <c r="BB601" s="6"/>
      <c r="BC601" s="6"/>
      <c r="BD601" s="12" t="str">
        <f>IFERROR(__xludf.DUMMYFUNCTION("""COMPUTED_VALUE"""),"res0004")</f>
        <v>res0004</v>
      </c>
      <c r="BE601" s="6"/>
      <c r="BF601" s="6"/>
      <c r="BG601" s="6">
        <f>IFERROR(__xludf.DUMMYFUNCTION("""COMPUTED_VALUE"""),2031.0)</f>
        <v>2031</v>
      </c>
      <c r="BH601" s="15">
        <f>IFERROR(__xludf.DUMMYFUNCTION("""COMPUTED_VALUE"""),46251.69054398148)</f>
        <v>46251.69054</v>
      </c>
      <c r="BI601" s="6">
        <f>IFERROR(__xludf.DUMMYFUNCTION("""COMPUTED_VALUE"""),601.0)</f>
        <v>601</v>
      </c>
      <c r="BJ601" s="6" t="str">
        <f>IFERROR(__xludf.DUMMYFUNCTION("""COMPUTED_VALUE"""),"SIMAT: trastorno por déficit de atención con o sin hiperactividad (Feb 10 2025)")</f>
        <v>SIMAT: trastorno por déficit de atención con o sin hiperactividad (Feb 10 2025)</v>
      </c>
      <c r="BK601" s="6"/>
      <c r="BL601" s="6" t="str">
        <f>IFERROR(__xludf.DUMMYFUNCTION("""COMPUTED_VALUE"""),"GISRES0004")</f>
        <v>GISRES0004</v>
      </c>
      <c r="BM601" s="6"/>
      <c r="BN601" s="6"/>
      <c r="BO601" s="6"/>
      <c r="BP601" s="6"/>
      <c r="BQ601" s="6"/>
      <c r="BR601" s="6"/>
      <c r="BS601" s="6"/>
      <c r="BT601" s="6"/>
      <c r="BU601" s="6" t="str">
        <f>IFERROR(__xludf.DUMMYFUNCTION("""COMPUTED_VALUE"""),"NO")</f>
        <v>NO</v>
      </c>
      <c r="BV601" s="6" t="str">
        <f>IFERROR(__xludf.DUMMYFUNCTION("""COMPUTED_VALUE"""),"simon.r2030")</f>
        <v>simon.r2030</v>
      </c>
      <c r="BW601" s="6"/>
      <c r="BX601" s="6"/>
      <c r="BY601" s="6"/>
      <c r="BZ601" s="6"/>
    </row>
    <row r="602">
      <c r="A602" s="12">
        <f>IFERROR(__xludf.DUMMYFUNCTION("""COMPUTED_VALUE"""),1.091887384E9)</f>
        <v>1091887384</v>
      </c>
      <c r="B602" s="6">
        <f>IFERROR(__xludf.DUMMYFUNCTION("""COMPUTED_VALUE"""),47.0)</f>
        <v>47</v>
      </c>
      <c r="C602" s="6" t="str">
        <f>IFERROR(__xludf.DUMMYFUNCTION("""COMPUTED_VALUE"""),"Mariana")</f>
        <v>Mariana</v>
      </c>
      <c r="D602" s="6"/>
      <c r="E602" s="6" t="str">
        <f>IFERROR(__xludf.DUMMYFUNCTION("""COMPUTED_VALUE"""),"Reyes Cabrera")</f>
        <v>Reyes Cabrera</v>
      </c>
      <c r="F602" s="6" t="str">
        <f>IFERROR(__xludf.DUMMYFUNCTION("""COMPUTED_VALUE"""),"La Alqueria Casa 58 - Cra 6 No3 - 40")</f>
        <v>La Alqueria Casa 58 - Cra 6 No3 - 40</v>
      </c>
      <c r="G602" s="12" t="str">
        <f>IFERROR(__xludf.DUMMYFUNCTION("""COMPUTED_VALUE"""),"2013")</f>
        <v>2013</v>
      </c>
      <c r="H602" s="6" t="str">
        <f>IFERROR(__xludf.DUMMYFUNCTION("""COMPUTED_VALUE"""),"Abril")</f>
        <v>Abril</v>
      </c>
      <c r="I602" s="12" t="str">
        <f>IFERROR(__xludf.DUMMYFUNCTION("""COMPUTED_VALUE"""),"4")</f>
        <v>4</v>
      </c>
      <c r="J602" s="6" t="str">
        <f>IFERROR(__xludf.DUMMYFUNCTION("""COMPUTED_VALUE"""),"Armenia")</f>
        <v>Armenia</v>
      </c>
      <c r="K602" s="6" t="str">
        <f>IFERROR(__xludf.DUMMYFUNCTION("""COMPUTED_VALUE"""),"mariana.r2031@gi.edu.co")</f>
        <v>mariana.r2031@gi.edu.co</v>
      </c>
      <c r="L602" s="6" t="str">
        <f>IFERROR(__xludf.DUMMYFUNCTION("""COMPUTED_VALUE"""),"TI")</f>
        <v>TI</v>
      </c>
      <c r="M602" s="6" t="str">
        <f>IFERROR(__xludf.DUMMYFUNCTION("""COMPUTED_VALUE"""),"Armenia")</f>
        <v>Armenia</v>
      </c>
      <c r="N602" s="6" t="str">
        <f>IFERROR(__xludf.DUMMYFUNCTION("""COMPUTED_VALUE"""),"F")</f>
        <v>F</v>
      </c>
      <c r="O602" s="6" t="str">
        <f>IFERROR(__xludf.DUMMYFUNCTION("""COMPUTED_VALUE"""),"ACTIVE")</f>
        <v>ACTIVE</v>
      </c>
      <c r="P602" s="6"/>
      <c r="Q602" s="6" t="str">
        <f>IFERROR(__xludf.DUMMYFUNCTION("""COMPUTED_VALUE"""),"Armenia")</f>
        <v>Armenia</v>
      </c>
      <c r="R602" s="12" t="str">
        <f>IFERROR(__xludf.DUMMYFUNCTION("""COMPUTED_VALUE"""),"Gi8n9c4r6y*")</f>
        <v>Gi8n9c4r6y*</v>
      </c>
      <c r="S602" s="6" t="str">
        <f>IFERROR(__xludf.DUMMYFUNCTION("""COMPUTED_VALUE"""),"Reyes Cabrera Mariana ")</f>
        <v>Reyes Cabrera Mariana </v>
      </c>
      <c r="T602" s="6" t="str">
        <f>IFERROR(__xludf.DUMMYFUNCTION("""COMPUTED_VALUE"""),"JAIME ALBERTO REYES ARANGO")</f>
        <v>JAIME ALBERTO REYES ARANGO</v>
      </c>
      <c r="U602" s="12" t="str">
        <f>IFERROR(__xludf.DUMMYFUNCTION("""COMPUTED_VALUE"""),"89008172")</f>
        <v>89008172</v>
      </c>
      <c r="V602" s="6">
        <f>IFERROR(__xludf.DUMMYFUNCTION("""COMPUTED_VALUE"""),3.207747783E9)</f>
        <v>3207747783</v>
      </c>
      <c r="W602" s="6" t="str">
        <f>IFERROR(__xludf.DUMMYFUNCTION("""COMPUTED_VALUE"""),"jalbereyes@gmail.com")</f>
        <v>jalbereyes@gmail.com</v>
      </c>
      <c r="X602" s="12" t="str">
        <f>IFERROR(__xludf.DUMMYFUNCTION("""COMPUTED_VALUE"""),"A+")</f>
        <v>A+</v>
      </c>
      <c r="Y602" s="12" t="str">
        <f>IFERROR(__xludf.DUMMYFUNCTION("""COMPUTED_VALUE"""),"8")</f>
        <v>8</v>
      </c>
      <c r="Z602" s="12">
        <f>IFERROR(__xludf.DUMMYFUNCTION("""COMPUTED_VALUE"""),103535.0)</f>
        <v>103535</v>
      </c>
      <c r="AA602" s="6" t="str">
        <f>IFERROR(__xludf.DUMMYFUNCTION("""COMPUTED_VALUE"""),"COLMEDICA")</f>
        <v>COLMEDICA</v>
      </c>
      <c r="AB602" s="6" t="str">
        <f>IFERROR(__xludf.DUMMYFUNCTION("""COMPUTED_VALUE"""),"EMI")</f>
        <v>EMI</v>
      </c>
      <c r="AC602" s="6"/>
      <c r="AD602" s="12" t="str">
        <f>IFERROR(__xludf.DUMMYFUNCTION("""COMPUTED_VALUE"""),"8C")</f>
        <v>8C</v>
      </c>
      <c r="AE602" s="12">
        <f>IFERROR(__xludf.DUMMYFUNCTION("""COMPUTED_VALUE"""),1.34528174E9)</f>
        <v>1345281740</v>
      </c>
      <c r="AF602" s="12" t="str">
        <f>IFERROR(__xludf.DUMMYFUNCTION("""COMPUTED_VALUE"""),"0708668531")</f>
        <v>0708668531</v>
      </c>
      <c r="AG602" s="12" t="str">
        <f>IFERROR(__xludf.DUMMYFUNCTION("""COMPUTED_VALUE"""),"Karent")</f>
        <v>Karent</v>
      </c>
      <c r="AH602" s="12" t="str">
        <f>IFERROR(__xludf.DUMMYFUNCTION("""COMPUTED_VALUE"""),"Jackeline")</f>
        <v>Jackeline</v>
      </c>
      <c r="AI602" s="6" t="str">
        <f>IFERROR(__xludf.DUMMYFUNCTION("""COMPUTED_VALUE"""),"Cabrera Tamayo")</f>
        <v>Cabrera Tamayo</v>
      </c>
      <c r="AJ602" s="6" t="str">
        <f>IFERROR(__xludf.DUMMYFUNCTION("""COMPUTED_VALUE"""),"karent.cabrera@gmail.com")</f>
        <v>karent.cabrera@gmail.com</v>
      </c>
      <c r="AK602" s="6" t="str">
        <f>IFERROR(__xludf.DUMMYFUNCTION("""COMPUTED_VALUE"""),"Abogada")</f>
        <v>Abogada</v>
      </c>
      <c r="AL602" s="6" t="str">
        <f>IFERROR(__xludf.DUMMYFUNCTION("""COMPUTED_VALUE"""),"Rama Judicial")</f>
        <v>Rama Judicial</v>
      </c>
      <c r="AM602" s="12" t="str">
        <f>IFERROR(__xludf.DUMMYFUNCTION("""COMPUTED_VALUE"""),"41939176")</f>
        <v>41939176</v>
      </c>
      <c r="AN602" s="12" t="str">
        <f>IFERROR(__xludf.DUMMYFUNCTION("""COMPUTED_VALUE"""),"3113330372")</f>
        <v>3113330372</v>
      </c>
      <c r="AO602" s="6" t="str">
        <f>IFERROR(__xludf.DUMMYFUNCTION("""COMPUTED_VALUE"""),"Madre")</f>
        <v>Madre</v>
      </c>
      <c r="AP602" s="6" t="str">
        <f>IFERROR(__xludf.DUMMYFUNCTION("""COMPUTED_VALUE"""),"Estudiante(s): Reyes Cabrera")</f>
        <v>Estudiante(s): Reyes Cabrera</v>
      </c>
      <c r="AQ602" s="6" t="str">
        <f>IFERROR(__xludf.DUMMYFUNCTION("""COMPUTED_VALUE"""),"103535*Gi")</f>
        <v>103535*Gi</v>
      </c>
      <c r="AR602" s="6" t="str">
        <f>IFERROR(__xludf.DUMMYFUNCTION("""COMPUTED_VALUE"""),"Jaime")</f>
        <v>Jaime</v>
      </c>
      <c r="AS602" s="6" t="str">
        <f>IFERROR(__xludf.DUMMYFUNCTION("""COMPUTED_VALUE"""),"Alberto")</f>
        <v>Alberto</v>
      </c>
      <c r="AT602" s="6" t="str">
        <f>IFERROR(__xludf.DUMMYFUNCTION("""COMPUTED_VALUE"""),"Reyes Arango")</f>
        <v>Reyes Arango</v>
      </c>
      <c r="AU602" s="6" t="str">
        <f>IFERROR(__xludf.DUMMYFUNCTION("""COMPUTED_VALUE"""),"jalbereyes@gmail.com")</f>
        <v>jalbereyes@gmail.com</v>
      </c>
      <c r="AV602" s="6" t="str">
        <f>IFERROR(__xludf.DUMMYFUNCTION("""COMPUTED_VALUE"""),"Ingeniero Electrónico")</f>
        <v>Ingeniero Electrónico</v>
      </c>
      <c r="AW602" s="6" t="str">
        <f>IFERROR(__xludf.DUMMYFUNCTION("""COMPUTED_VALUE"""),"Secretaría de Educación de Armenia -IE Casd-")</f>
        <v>Secretaría de Educación de Armenia -IE Casd-</v>
      </c>
      <c r="AX602" s="12" t="str">
        <f>IFERROR(__xludf.DUMMYFUNCTION("""COMPUTED_VALUE"""),"89008172")</f>
        <v>89008172</v>
      </c>
      <c r="AY602" s="12" t="str">
        <f>IFERROR(__xludf.DUMMYFUNCTION("""COMPUTED_VALUE"""),"3207747783")</f>
        <v>3207747783</v>
      </c>
      <c r="AZ602" s="6" t="str">
        <f>IFERROR(__xludf.DUMMYFUNCTION("""COMPUTED_VALUE"""),"Padre")</f>
        <v>Padre</v>
      </c>
      <c r="BA602" s="6"/>
      <c r="BB602" s="6"/>
      <c r="BC602" s="6"/>
      <c r="BD602" s="12" t="str">
        <f>IFERROR(__xludf.DUMMYFUNCTION("""COMPUTED_VALUE"""),"rey0003")</f>
        <v>rey0003</v>
      </c>
      <c r="BE602" s="6"/>
      <c r="BF602" s="6"/>
      <c r="BG602" s="6">
        <f>IFERROR(__xludf.DUMMYFUNCTION("""COMPUTED_VALUE"""),2031.0)</f>
        <v>2031</v>
      </c>
      <c r="BH602" s="15">
        <f>IFERROR(__xludf.DUMMYFUNCTION("""COMPUTED_VALUE"""),46204.68711805555)</f>
        <v>46204.68712</v>
      </c>
      <c r="BI602" s="6">
        <f>IFERROR(__xludf.DUMMYFUNCTION("""COMPUTED_VALUE"""),602.0)</f>
        <v>602</v>
      </c>
      <c r="BJ602" s="6"/>
      <c r="BK602" s="6"/>
      <c r="BL602" s="6" t="str">
        <f>IFERROR(__xludf.DUMMYFUNCTION("""COMPUTED_VALUE"""),"GISREY0003")</f>
        <v>GISREY0003</v>
      </c>
      <c r="BM602" s="6"/>
      <c r="BN602" s="6"/>
      <c r="BO602" s="6" t="str">
        <f>IFERROR(__xludf.DUMMYFUNCTION("""COMPUTED_VALUE"""),"XC_SEC_ProgRobot")</f>
        <v>XC_SEC_ProgRobot</v>
      </c>
      <c r="BP602" s="6"/>
      <c r="BQ602" s="6"/>
      <c r="BR602" s="6" t="str">
        <f>IFERROR(__xludf.DUMMYFUNCTION("""COMPUTED_VALUE"""),"XC_SEC_ArtesPlasticas")</f>
        <v>XC_SEC_ArtesPlasticas</v>
      </c>
      <c r="BS602" s="6"/>
      <c r="BT602" s="6"/>
      <c r="BU602" s="6" t="str">
        <f>IFERROR(__xludf.DUMMYFUNCTION("""COMPUTED_VALUE"""),"SI")</f>
        <v>SI</v>
      </c>
      <c r="BV602" s="6" t="str">
        <f>IFERROR(__xludf.DUMMYFUNCTION("""COMPUTED_VALUE"""),"mariana.r2031")</f>
        <v>mariana.r2031</v>
      </c>
      <c r="BW602" s="6"/>
      <c r="BX602" s="6"/>
      <c r="BY602" s="6"/>
      <c r="BZ602" s="6"/>
    </row>
    <row r="603">
      <c r="A603" s="12">
        <f>IFERROR(__xludf.DUMMYFUNCTION("""COMPUTED_VALUE"""),1.125277158E9)</f>
        <v>1125277158</v>
      </c>
      <c r="B603" s="6">
        <f>IFERROR(__xludf.DUMMYFUNCTION("""COMPUTED_VALUE"""),48.0)</f>
        <v>48</v>
      </c>
      <c r="C603" s="6" t="str">
        <f>IFERROR(__xludf.DUMMYFUNCTION("""COMPUTED_VALUE"""),"Emilio")</f>
        <v>Emilio</v>
      </c>
      <c r="D603" s="6"/>
      <c r="E603" s="6" t="str">
        <f>IFERROR(__xludf.DUMMYFUNCTION("""COMPUTED_VALUE"""),"Riquelme Gómez")</f>
        <v>Riquelme Gómez</v>
      </c>
      <c r="F603" s="6" t="str">
        <f>IFERROR(__xludf.DUMMYFUNCTION("""COMPUTED_VALUE"""),"Condominio El Robledal Casa 3 - Calle 14Nte No10 - 05 La Castellana")</f>
        <v>Condominio El Robledal Casa 3 - Calle 14Nte No10 - 05 La Castellana</v>
      </c>
      <c r="G603" s="12" t="str">
        <f>IFERROR(__xludf.DUMMYFUNCTION("""COMPUTED_VALUE"""),"2012")</f>
        <v>2012</v>
      </c>
      <c r="H603" s="6" t="str">
        <f>IFERROR(__xludf.DUMMYFUNCTION("""COMPUTED_VALUE"""),"Diciembre")</f>
        <v>Diciembre</v>
      </c>
      <c r="I603" s="12" t="str">
        <f>IFERROR(__xludf.DUMMYFUNCTION("""COMPUTED_VALUE"""),"17")</f>
        <v>17</v>
      </c>
      <c r="J603" s="6" t="str">
        <f>IFERROR(__xludf.DUMMYFUNCTION("""COMPUTED_VALUE"""),"Barcelona")</f>
        <v>Barcelona</v>
      </c>
      <c r="K603" s="6" t="str">
        <f>IFERROR(__xludf.DUMMYFUNCTION("""COMPUTED_VALUE"""),"emilio.r2031@gi.edu.co")</f>
        <v>emilio.r2031@gi.edu.co</v>
      </c>
      <c r="L603" s="6" t="str">
        <f>IFERROR(__xludf.DUMMYFUNCTION("""COMPUTED_VALUE"""),"TI")</f>
        <v>TI</v>
      </c>
      <c r="M603" s="6" t="str">
        <f>IFERROR(__xludf.DUMMYFUNCTION("""COMPUTED_VALUE"""),"Ginebra")</f>
        <v>Ginebra</v>
      </c>
      <c r="N603" s="6" t="str">
        <f>IFERROR(__xludf.DUMMYFUNCTION("""COMPUTED_VALUE"""),"M")</f>
        <v>M</v>
      </c>
      <c r="O603" s="6" t="str">
        <f>IFERROR(__xludf.DUMMYFUNCTION("""COMPUTED_VALUE"""),"ACTIVE")</f>
        <v>ACTIVE</v>
      </c>
      <c r="P603" s="6"/>
      <c r="Q603" s="6" t="str">
        <f>IFERROR(__xludf.DUMMYFUNCTION("""COMPUTED_VALUE"""),"Armenia")</f>
        <v>Armenia</v>
      </c>
      <c r="R603" s="12" t="str">
        <f>IFERROR(__xludf.DUMMYFUNCTION("""COMPUTED_VALUE"""),"Gi8xv3t*")</f>
        <v>Gi8xv3t*</v>
      </c>
      <c r="S603" s="6" t="str">
        <f>IFERROR(__xludf.DUMMYFUNCTION("""COMPUTED_VALUE"""),"Riquelme Gómez Emilio ")</f>
        <v>Riquelme Gómez Emilio </v>
      </c>
      <c r="T603" s="6" t="str">
        <f>IFERROR(__xludf.DUMMYFUNCTION("""COMPUTED_VALUE"""),"FERNANDO RIQUELME SOBRÍN")</f>
        <v>FERNANDO RIQUELME SOBRÍN</v>
      </c>
      <c r="U603" s="12" t="str">
        <f>IFERROR(__xludf.DUMMYFUNCTION("""COMPUTED_VALUE"""),"455107")</f>
        <v>455107</v>
      </c>
      <c r="V603" s="6">
        <f>IFERROR(__xludf.DUMMYFUNCTION("""COMPUTED_VALUE"""),3.104728284E9)</f>
        <v>3104728284</v>
      </c>
      <c r="W603" s="6" t="str">
        <f>IFERROR(__xludf.DUMMYFUNCTION("""COMPUTED_VALUE"""),"friquelme@europagastronomie.com")</f>
        <v>friquelme@europagastronomie.com</v>
      </c>
      <c r="X603" s="12" t="str">
        <f>IFERROR(__xludf.DUMMYFUNCTION("""COMPUTED_VALUE"""),"A+")</f>
        <v>A+</v>
      </c>
      <c r="Y603" s="12" t="str">
        <f>IFERROR(__xludf.DUMMYFUNCTION("""COMPUTED_VALUE"""),"8")</f>
        <v>8</v>
      </c>
      <c r="Z603" s="12">
        <f>IFERROR(__xludf.DUMMYFUNCTION("""COMPUTED_VALUE"""),120350.0)</f>
        <v>120350</v>
      </c>
      <c r="AA603" s="6" t="str">
        <f>IFERROR(__xludf.DUMMYFUNCTION("""COMPUTED_VALUE"""),"SURA")</f>
        <v>SURA</v>
      </c>
      <c r="AB603" s="6"/>
      <c r="AC603" s="12" t="str">
        <f>IFERROR(__xludf.DUMMYFUNCTION("""COMPUTED_VALUE"""),"PICADURAS DE AVISPAS / ABEJAS")</f>
        <v>PICADURAS DE AVISPAS / ABEJAS</v>
      </c>
      <c r="AD603" s="12" t="str">
        <f>IFERROR(__xludf.DUMMYFUNCTION("""COMPUTED_VALUE"""),"8C")</f>
        <v>8C</v>
      </c>
      <c r="AE603" s="12" t="str">
        <f>IFERROR(__xludf.DUMMYFUNCTION("""COMPUTED_VALUE"""),"1345282359")</f>
        <v>1345282359</v>
      </c>
      <c r="AF603" s="12" t="str">
        <f>IFERROR(__xludf.DUMMYFUNCTION("""COMPUTED_VALUE"""),"0705282099")</f>
        <v>0705282099</v>
      </c>
      <c r="AG603" s="12" t="str">
        <f>IFERROR(__xludf.DUMMYFUNCTION("""COMPUTED_VALUE"""),"Claudia")</f>
        <v>Claudia</v>
      </c>
      <c r="AH603" s="12" t="str">
        <f>IFERROR(__xludf.DUMMYFUNCTION("""COMPUTED_VALUE"""),"Lorena")</f>
        <v>Lorena</v>
      </c>
      <c r="AI603" s="6" t="str">
        <f>IFERROR(__xludf.DUMMYFUNCTION("""COMPUTED_VALUE"""),"Gómez Moya")</f>
        <v>Gómez Moya</v>
      </c>
      <c r="AJ603" s="6" t="str">
        <f>IFERROR(__xludf.DUMMYFUNCTION("""COMPUTED_VALUE"""),"loregomez50@hotmail.com")</f>
        <v>loregomez50@hotmail.com</v>
      </c>
      <c r="AK603" s="6" t="str">
        <f>IFERROR(__xludf.DUMMYFUNCTION("""COMPUTED_VALUE"""),"Empresaria")</f>
        <v>Empresaria</v>
      </c>
      <c r="AL603" s="6" t="str">
        <f>IFERROR(__xludf.DUMMYFUNCTION("""COMPUTED_VALUE"""),"Kaizen Holdings SAS")</f>
        <v>Kaizen Holdings SAS</v>
      </c>
      <c r="AM603" s="12" t="str">
        <f>IFERROR(__xludf.DUMMYFUNCTION("""COMPUTED_VALUE"""),"38657264")</f>
        <v>38657264</v>
      </c>
      <c r="AN603" s="12" t="str">
        <f>IFERROR(__xludf.DUMMYFUNCTION("""COMPUTED_VALUE"""),"3105045820")</f>
        <v>3105045820</v>
      </c>
      <c r="AO603" s="6" t="str">
        <f>IFERROR(__xludf.DUMMYFUNCTION("""COMPUTED_VALUE"""),"Madre")</f>
        <v>Madre</v>
      </c>
      <c r="AP603" s="6" t="str">
        <f>IFERROR(__xludf.DUMMYFUNCTION("""COMPUTED_VALUE"""),"Estudiante(s): Riquelme Gomez")</f>
        <v>Estudiante(s): Riquelme Gomez</v>
      </c>
      <c r="AQ603" s="6" t="str">
        <f>IFERROR(__xludf.DUMMYFUNCTION("""COMPUTED_VALUE"""),"120350*Gi")</f>
        <v>120350*Gi</v>
      </c>
      <c r="AR603" s="6" t="str">
        <f>IFERROR(__xludf.DUMMYFUNCTION("""COMPUTED_VALUE"""),"Fernando")</f>
        <v>Fernando</v>
      </c>
      <c r="AS603" s="6"/>
      <c r="AT603" s="6" t="str">
        <f>IFERROR(__xludf.DUMMYFUNCTION("""COMPUTED_VALUE"""),"Riquelme Sobrín")</f>
        <v>Riquelme Sobrín</v>
      </c>
      <c r="AU603" s="6" t="str">
        <f>IFERROR(__xludf.DUMMYFUNCTION("""COMPUTED_VALUE"""),"friquelme@europagastronomie.com")</f>
        <v>friquelme@europagastronomie.com</v>
      </c>
      <c r="AV603" s="6" t="str">
        <f>IFERROR(__xludf.DUMMYFUNCTION("""COMPUTED_VALUE"""),"Empresario")</f>
        <v>Empresario</v>
      </c>
      <c r="AW603" s="6"/>
      <c r="AX603" s="12" t="str">
        <f>IFERROR(__xludf.DUMMYFUNCTION("""COMPUTED_VALUE"""),"455107")</f>
        <v>455107</v>
      </c>
      <c r="AY603" s="12" t="str">
        <f>IFERROR(__xludf.DUMMYFUNCTION("""COMPUTED_VALUE"""),"3104728284")</f>
        <v>3104728284</v>
      </c>
      <c r="AZ603" s="6" t="str">
        <f>IFERROR(__xludf.DUMMYFUNCTION("""COMPUTED_VALUE"""),"Padre")</f>
        <v>Padre</v>
      </c>
      <c r="BA603" s="6" t="str">
        <f>IFERROR(__xludf.DUMMYFUNCTION("""COMPUTED_VALUE"""),"VICTORIA MOYA")</f>
        <v>VICTORIA MOYA</v>
      </c>
      <c r="BB603" s="6">
        <f>IFERROR(__xludf.DUMMYFUNCTION("""COMPUTED_VALUE"""),3.177884457E9)</f>
        <v>3177884457</v>
      </c>
      <c r="BC603" s="6" t="str">
        <f>IFERROR(__xludf.DUMMYFUNCTION("""COMPUTED_VALUE"""),"Abuelo(a)")</f>
        <v>Abuelo(a)</v>
      </c>
      <c r="BD603" s="12" t="str">
        <f>IFERROR(__xludf.DUMMYFUNCTION("""COMPUTED_VALUE"""),"riq0001")</f>
        <v>riq0001</v>
      </c>
      <c r="BE603" s="6"/>
      <c r="BF603" s="6"/>
      <c r="BG603" s="6">
        <f>IFERROR(__xludf.DUMMYFUNCTION("""COMPUTED_VALUE"""),2031.0)</f>
        <v>2031</v>
      </c>
      <c r="BH603" s="15">
        <f>IFERROR(__xludf.DUMMYFUNCTION("""COMPUTED_VALUE"""),46211.51950231481)</f>
        <v>46211.5195</v>
      </c>
      <c r="BI603" s="6">
        <f>IFERROR(__xludf.DUMMYFUNCTION("""COMPUTED_VALUE"""),603.0)</f>
        <v>603</v>
      </c>
      <c r="BJ603" s="6"/>
      <c r="BK603" s="6"/>
      <c r="BL603" s="6" t="str">
        <f>IFERROR(__xludf.DUMMYFUNCTION("""COMPUTED_VALUE"""),"GISRIQ0001")</f>
        <v>GISRIQ0001</v>
      </c>
      <c r="BM603" s="6"/>
      <c r="BN603" s="6"/>
      <c r="BO603" s="6"/>
      <c r="BP603" s="6"/>
      <c r="BQ603" s="6"/>
      <c r="BR603" s="6"/>
      <c r="BS603" s="6"/>
      <c r="BT603" s="6"/>
      <c r="BU603" s="6" t="str">
        <f>IFERROR(__xludf.DUMMYFUNCTION("""COMPUTED_VALUE"""),"NO")</f>
        <v>NO</v>
      </c>
      <c r="BV603" s="6" t="str">
        <f>IFERROR(__xludf.DUMMYFUNCTION("""COMPUTED_VALUE"""),"emilio.r2031")</f>
        <v>emilio.r2031</v>
      </c>
      <c r="BW603" s="6"/>
      <c r="BX603" s="6"/>
      <c r="BY603" s="6"/>
      <c r="BZ603" s="6"/>
    </row>
    <row r="604">
      <c r="A604" s="12">
        <f>IFERROR(__xludf.DUMMYFUNCTION("""COMPUTED_VALUE"""),1.013016303E9)</f>
        <v>1013016303</v>
      </c>
      <c r="B604" s="6">
        <f>IFERROR(__xludf.DUMMYFUNCTION("""COMPUTED_VALUE"""),49.0)</f>
        <v>49</v>
      </c>
      <c r="C604" s="6" t="str">
        <f>IFERROR(__xludf.DUMMYFUNCTION("""COMPUTED_VALUE"""),"José")</f>
        <v>José</v>
      </c>
      <c r="D604" s="6" t="str">
        <f>IFERROR(__xludf.DUMMYFUNCTION("""COMPUTED_VALUE"""),"Alejandro")</f>
        <v>Alejandro</v>
      </c>
      <c r="E604" s="6" t="str">
        <f>IFERROR(__xludf.DUMMYFUNCTION("""COMPUTED_VALUE"""),"Riveros Espitia")</f>
        <v>Riveros Espitia</v>
      </c>
      <c r="F604" s="6" t="str">
        <f>IFERROR(__xludf.DUMMYFUNCTION("""COMPUTED_VALUE"""),"Lagos de Iraka Casa 123 - Km 12 Via Armenia - El Caimo")</f>
        <v>Lagos de Iraka Casa 123 - Km 12 Via Armenia - El Caimo</v>
      </c>
      <c r="G604" s="12" t="str">
        <f>IFERROR(__xludf.DUMMYFUNCTION("""COMPUTED_VALUE"""),"2012")</f>
        <v>2012</v>
      </c>
      <c r="H604" s="6" t="str">
        <f>IFERROR(__xludf.DUMMYFUNCTION("""COMPUTED_VALUE"""),"Octubre")</f>
        <v>Octubre</v>
      </c>
      <c r="I604" s="12" t="str">
        <f>IFERROR(__xludf.DUMMYFUNCTION("""COMPUTED_VALUE"""),"25")</f>
        <v>25</v>
      </c>
      <c r="J604" s="6" t="str">
        <f>IFERROR(__xludf.DUMMYFUNCTION("""COMPUTED_VALUE"""),"Bogotá D.C.")</f>
        <v>Bogotá D.C.</v>
      </c>
      <c r="K604" s="6" t="str">
        <f>IFERROR(__xludf.DUMMYFUNCTION("""COMPUTED_VALUE"""),"jose.r2031@gi.edu.co")</f>
        <v>jose.r2031@gi.edu.co</v>
      </c>
      <c r="L604" s="6" t="str">
        <f>IFERROR(__xludf.DUMMYFUNCTION("""COMPUTED_VALUE"""),"TI")</f>
        <v>TI</v>
      </c>
      <c r="M604" s="6" t="str">
        <f>IFERROR(__xludf.DUMMYFUNCTION("""COMPUTED_VALUE"""),"Armenia")</f>
        <v>Armenia</v>
      </c>
      <c r="N604" s="6" t="str">
        <f>IFERROR(__xludf.DUMMYFUNCTION("""COMPUTED_VALUE"""),"M")</f>
        <v>M</v>
      </c>
      <c r="O604" s="6" t="str">
        <f>IFERROR(__xludf.DUMMYFUNCTION("""COMPUTED_VALUE"""),"ACTIVE")</f>
        <v>ACTIVE</v>
      </c>
      <c r="P604" s="6"/>
      <c r="Q604" s="6" t="str">
        <f>IFERROR(__xludf.DUMMYFUNCTION("""COMPUTED_VALUE"""),"Armenia")</f>
        <v>Armenia</v>
      </c>
      <c r="R604" s="12" t="str">
        <f>IFERROR(__xludf.DUMMYFUNCTION("""COMPUTED_VALUE"""),"Gi39Nnyu4*")</f>
        <v>Gi39Nnyu4*</v>
      </c>
      <c r="S604" s="6" t="str">
        <f>IFERROR(__xludf.DUMMYFUNCTION("""COMPUTED_VALUE"""),"Riveros Espitia José Alejandro")</f>
        <v>Riveros Espitia José Alejandro</v>
      </c>
      <c r="T604" s="6" t="str">
        <f>IFERROR(__xludf.DUMMYFUNCTION("""COMPUTED_VALUE"""),"JOSE LUIS RIVEROS JUNCA")</f>
        <v>JOSE LUIS RIVEROS JUNCA</v>
      </c>
      <c r="U604" s="12" t="str">
        <f>IFERROR(__xludf.DUMMYFUNCTION("""COMPUTED_VALUE"""),"3195380")</f>
        <v>3195380</v>
      </c>
      <c r="V604" s="6">
        <f>IFERROR(__xludf.DUMMYFUNCTION("""COMPUTED_VALUE"""),3.187171997E9)</f>
        <v>3187171997</v>
      </c>
      <c r="W604" s="6" t="str">
        <f>IFERROR(__xludf.DUMMYFUNCTION("""COMPUTED_VALUE"""),"jlriveros64@gmail.com")</f>
        <v>jlriveros64@gmail.com</v>
      </c>
      <c r="X604" s="12" t="str">
        <f>IFERROR(__xludf.DUMMYFUNCTION("""COMPUTED_VALUE"""),"O+")</f>
        <v>O+</v>
      </c>
      <c r="Y604" s="12" t="str">
        <f>IFERROR(__xludf.DUMMYFUNCTION("""COMPUTED_VALUE"""),"8")</f>
        <v>8</v>
      </c>
      <c r="Z604" s="12">
        <f>IFERROR(__xludf.DUMMYFUNCTION("""COMPUTED_VALUE"""),120050.0)</f>
        <v>120050</v>
      </c>
      <c r="AA604" s="6" t="str">
        <f>IFERROR(__xludf.DUMMYFUNCTION("""COMPUTED_VALUE"""),"SANITAS")</f>
        <v>SANITAS</v>
      </c>
      <c r="AB604" s="6"/>
      <c r="AC604" s="12" t="str">
        <f>IFERROR(__xludf.DUMMYFUNCTION("""COMPUTED_VALUE"""),"dermatitis")</f>
        <v>dermatitis</v>
      </c>
      <c r="AD604" s="12" t="str">
        <f>IFERROR(__xludf.DUMMYFUNCTION("""COMPUTED_VALUE"""),"8B")</f>
        <v>8B</v>
      </c>
      <c r="AE604" s="12">
        <f>IFERROR(__xludf.DUMMYFUNCTION("""COMPUTED_VALUE"""),1.34528206E9)</f>
        <v>1345282060</v>
      </c>
      <c r="AF604" s="12" t="str">
        <f>IFERROR(__xludf.DUMMYFUNCTION("""COMPUTED_VALUE"""),"0697223491")</f>
        <v>0697223491</v>
      </c>
      <c r="AG604" s="12" t="str">
        <f>IFERROR(__xludf.DUMMYFUNCTION("""COMPUTED_VALUE"""),"Andrea")</f>
        <v>Andrea</v>
      </c>
      <c r="AH604" s="12" t="str">
        <f>IFERROR(__xludf.DUMMYFUNCTION("""COMPUTED_VALUE"""),"del Pilar")</f>
        <v>del Pilar</v>
      </c>
      <c r="AI604" s="6" t="str">
        <f>IFERROR(__xludf.DUMMYFUNCTION("""COMPUTED_VALUE"""),"Espitia Rodríguez")</f>
        <v>Espitia Rodríguez</v>
      </c>
      <c r="AJ604" s="6" t="str">
        <f>IFERROR(__xludf.DUMMYFUNCTION("""COMPUTED_VALUE"""),"andru016@hotmail.com")</f>
        <v>andru016@hotmail.com</v>
      </c>
      <c r="AK604" s="6" t="str">
        <f>IFERROR(__xludf.DUMMYFUNCTION("""COMPUTED_VALUE"""),"comunicadora social")</f>
        <v>comunicadora social</v>
      </c>
      <c r="AL604" s="6"/>
      <c r="AM604" s="12" t="str">
        <f>IFERROR(__xludf.DUMMYFUNCTION("""COMPUTED_VALUE"""),"52320071")</f>
        <v>52320071</v>
      </c>
      <c r="AN604" s="12" t="str">
        <f>IFERROR(__xludf.DUMMYFUNCTION("""COMPUTED_VALUE"""),"3142987578")</f>
        <v>3142987578</v>
      </c>
      <c r="AO604" s="6" t="str">
        <f>IFERROR(__xludf.DUMMYFUNCTION("""COMPUTED_VALUE"""),"Madre")</f>
        <v>Madre</v>
      </c>
      <c r="AP604" s="6" t="str">
        <f>IFERROR(__xludf.DUMMYFUNCTION("""COMPUTED_VALUE"""),"Estudiante(s): Riveros Espitia")</f>
        <v>Estudiante(s): Riveros Espitia</v>
      </c>
      <c r="AQ604" s="6" t="str">
        <f>IFERROR(__xludf.DUMMYFUNCTION("""COMPUTED_VALUE"""),"120050*Gi")</f>
        <v>120050*Gi</v>
      </c>
      <c r="AR604" s="6" t="str">
        <f>IFERROR(__xludf.DUMMYFUNCTION("""COMPUTED_VALUE"""),"José")</f>
        <v>José</v>
      </c>
      <c r="AS604" s="6" t="str">
        <f>IFERROR(__xludf.DUMMYFUNCTION("""COMPUTED_VALUE"""),"Luis")</f>
        <v>Luis</v>
      </c>
      <c r="AT604" s="6" t="str">
        <f>IFERROR(__xludf.DUMMYFUNCTION("""COMPUTED_VALUE"""),"Riveros Junca")</f>
        <v>Riveros Junca</v>
      </c>
      <c r="AU604" s="6" t="str">
        <f>IFERROR(__xludf.DUMMYFUNCTION("""COMPUTED_VALUE"""),"jlriveros64@gmail.com")</f>
        <v>jlriveros64@gmail.com</v>
      </c>
      <c r="AV604" s="6" t="str">
        <f>IFERROR(__xludf.DUMMYFUNCTION("""COMPUTED_VALUE"""),"administrador de empresas")</f>
        <v>administrador de empresas</v>
      </c>
      <c r="AW604" s="6" t="str">
        <f>IFERROR(__xludf.DUMMYFUNCTION("""COMPUTED_VALUE"""),"EDS CANAVITA SAS")</f>
        <v>EDS CANAVITA SAS</v>
      </c>
      <c r="AX604" s="12" t="str">
        <f>IFERROR(__xludf.DUMMYFUNCTION("""COMPUTED_VALUE"""),"3195380")</f>
        <v>3195380</v>
      </c>
      <c r="AY604" s="12" t="str">
        <f>IFERROR(__xludf.DUMMYFUNCTION("""COMPUTED_VALUE"""),"3187171997")</f>
        <v>3187171997</v>
      </c>
      <c r="AZ604" s="6" t="str">
        <f>IFERROR(__xludf.DUMMYFUNCTION("""COMPUTED_VALUE"""),"Padre")</f>
        <v>Padre</v>
      </c>
      <c r="BA604" s="6"/>
      <c r="BB604" s="6"/>
      <c r="BC604" s="6"/>
      <c r="BD604" s="12" t="str">
        <f>IFERROR(__xludf.DUMMYFUNCTION("""COMPUTED_VALUE"""),"riv0001")</f>
        <v>riv0001</v>
      </c>
      <c r="BE604" s="6"/>
      <c r="BF604" s="6"/>
      <c r="BG604" s="6">
        <f>IFERROR(__xludf.DUMMYFUNCTION("""COMPUTED_VALUE"""),2031.0)</f>
        <v>2031</v>
      </c>
      <c r="BH604" s="15">
        <f>IFERROR(__xludf.DUMMYFUNCTION("""COMPUTED_VALUE"""),46212.60900462963)</f>
        <v>46212.609</v>
      </c>
      <c r="BI604" s="6">
        <f>IFERROR(__xludf.DUMMYFUNCTION("""COMPUTED_VALUE"""),604.0)</f>
        <v>604</v>
      </c>
      <c r="BJ604" s="6"/>
      <c r="BK604" s="6"/>
      <c r="BL604" s="6" t="str">
        <f>IFERROR(__xludf.DUMMYFUNCTION("""COMPUTED_VALUE"""),"GISRIV0001")</f>
        <v>GISRIV0001</v>
      </c>
      <c r="BM604" s="6"/>
      <c r="BN604" s="6"/>
      <c r="BO604" s="6" t="str">
        <f>IFERROR(__xludf.DUMMYFUNCTION("""COMPUTED_VALUE"""),"XC_MS_Futbol_M")</f>
        <v>XC_MS_Futbol_M</v>
      </c>
      <c r="BP604" s="6"/>
      <c r="BQ604" s="6" t="str">
        <f>IFERROR(__xludf.DUMMYFUNCTION("""COMPUTED_VALUE"""),"XC_MS_Futbol_M")</f>
        <v>XC_MS_Futbol_M</v>
      </c>
      <c r="BR604" s="6" t="str">
        <f>IFERROR(__xludf.DUMMYFUNCTION("""COMPUTED_VALUE"""),"XC_MS_Futbol_M")</f>
        <v>XC_MS_Futbol_M</v>
      </c>
      <c r="BS604" s="6"/>
      <c r="BT604" s="6" t="str">
        <f>IFERROR(__xludf.DUMMYFUNCTION("""COMPUTED_VALUE"""),"XC_MS_Futbol_M")</f>
        <v>XC_MS_Futbol_M</v>
      </c>
      <c r="BU604" s="6" t="str">
        <f>IFERROR(__xludf.DUMMYFUNCTION("""COMPUTED_VALUE"""),"SI")</f>
        <v>SI</v>
      </c>
      <c r="BV604" s="6" t="str">
        <f>IFERROR(__xludf.DUMMYFUNCTION("""COMPUTED_VALUE"""),"jose.r2031")</f>
        <v>jose.r2031</v>
      </c>
      <c r="BW604" s="6"/>
      <c r="BX604" s="6"/>
      <c r="BY604" s="6"/>
      <c r="BZ604" s="6"/>
    </row>
    <row r="605">
      <c r="A605" s="12">
        <f>IFERROR(__xludf.DUMMYFUNCTION("""COMPUTED_VALUE"""),1.118236881E9)</f>
        <v>1118236881</v>
      </c>
      <c r="B605" s="6">
        <f>IFERROR(__xludf.DUMMYFUNCTION("""COMPUTED_VALUE"""),50.0)</f>
        <v>50</v>
      </c>
      <c r="C605" s="6" t="str">
        <f>IFERROR(__xludf.DUMMYFUNCTION("""COMPUTED_VALUE"""),"Mauricio")</f>
        <v>Mauricio</v>
      </c>
      <c r="D605" s="6"/>
      <c r="E605" s="6" t="str">
        <f>IFERROR(__xludf.DUMMYFUNCTION("""COMPUTED_VALUE"""),"Rodas Vidal")</f>
        <v>Rodas Vidal</v>
      </c>
      <c r="F605" s="6" t="str">
        <f>IFERROR(__xludf.DUMMYFUNCTION("""COMPUTED_VALUE"""),"Condominio Entre Maderos Casa - Vereda El Congal Km 1.2 Via Circasia - Armenia")</f>
        <v>Condominio Entre Maderos Casa - Vereda El Congal Km 1.2 Via Circasia - Armenia</v>
      </c>
      <c r="G605" s="12" t="str">
        <f>IFERROR(__xludf.DUMMYFUNCTION("""COMPUTED_VALUE"""),"2012")</f>
        <v>2012</v>
      </c>
      <c r="H605" s="6" t="str">
        <f>IFERROR(__xludf.DUMMYFUNCTION("""COMPUTED_VALUE"""),"Junio")</f>
        <v>Junio</v>
      </c>
      <c r="I605" s="12" t="str">
        <f>IFERROR(__xludf.DUMMYFUNCTION("""COMPUTED_VALUE"""),"23")</f>
        <v>23</v>
      </c>
      <c r="J605" s="6" t="str">
        <f>IFERROR(__xludf.DUMMYFUNCTION("""COMPUTED_VALUE"""),"Armenia")</f>
        <v>Armenia</v>
      </c>
      <c r="K605" s="6" t="str">
        <f>IFERROR(__xludf.DUMMYFUNCTION("""COMPUTED_VALUE"""),"mauricio.r2031@gi.edu.co")</f>
        <v>mauricio.r2031@gi.edu.co</v>
      </c>
      <c r="L605" s="6" t="str">
        <f>IFERROR(__xludf.DUMMYFUNCTION("""COMPUTED_VALUE"""),"TI")</f>
        <v>TI</v>
      </c>
      <c r="M605" s="6" t="str">
        <f>IFERROR(__xludf.DUMMYFUNCTION("""COMPUTED_VALUE"""),"Ulloa")</f>
        <v>Ulloa</v>
      </c>
      <c r="N605" s="6" t="str">
        <f>IFERROR(__xludf.DUMMYFUNCTION("""COMPUTED_VALUE"""),"M")</f>
        <v>M</v>
      </c>
      <c r="O605" s="6" t="str">
        <f>IFERROR(__xludf.DUMMYFUNCTION("""COMPUTED_VALUE"""),"ACTIVE")</f>
        <v>ACTIVE</v>
      </c>
      <c r="P605" s="6"/>
      <c r="Q605" s="6" t="str">
        <f>IFERROR(__xludf.DUMMYFUNCTION("""COMPUTED_VALUE"""),"Armenia")</f>
        <v>Armenia</v>
      </c>
      <c r="R605" s="12" t="str">
        <f>IFERROR(__xludf.DUMMYFUNCTION("""COMPUTED_VALUE"""),"Gi9g3im*")</f>
        <v>Gi9g3im*</v>
      </c>
      <c r="S605" s="6" t="str">
        <f>IFERROR(__xludf.DUMMYFUNCTION("""COMPUTED_VALUE"""),"Rodas Vidal Mauricio ")</f>
        <v>Rodas Vidal Mauricio </v>
      </c>
      <c r="T605" s="6" t="str">
        <f>IFERROR(__xludf.DUMMYFUNCTION("""COMPUTED_VALUE"""),"JESÚS ANDRÉS CASTRO ZAPATA")</f>
        <v>JESÚS ANDRÉS CASTRO ZAPATA</v>
      </c>
      <c r="U605" s="12" t="str">
        <f>IFERROR(__xludf.DUMMYFUNCTION("""COMPUTED_VALUE"""),"71381840")</f>
        <v>71381840</v>
      </c>
      <c r="V605" s="6">
        <f>IFERROR(__xludf.DUMMYFUNCTION("""COMPUTED_VALUE"""),3.137316274E9)</f>
        <v>3137316274</v>
      </c>
      <c r="W605" s="6" t="str">
        <f>IFERROR(__xludf.DUMMYFUNCTION("""COMPUTED_VALUE"""),"jacastroz@gmail.com")</f>
        <v>jacastroz@gmail.com</v>
      </c>
      <c r="X605" s="12" t="str">
        <f>IFERROR(__xludf.DUMMYFUNCTION("""COMPUTED_VALUE"""),"A+")</f>
        <v>A+</v>
      </c>
      <c r="Y605" s="12" t="str">
        <f>IFERROR(__xludf.DUMMYFUNCTION("""COMPUTED_VALUE"""),"8")</f>
        <v>8</v>
      </c>
      <c r="Z605" s="12" t="str">
        <f>IFERROR(__xludf.DUMMYFUNCTION("""COMPUTED_VALUE"""),"120334")</f>
        <v>120334</v>
      </c>
      <c r="AA605" s="6" t="str">
        <f>IFERROR(__xludf.DUMMYFUNCTION("""COMPUTED_VALUE"""),"SURA")</f>
        <v>SURA</v>
      </c>
      <c r="AB605" s="6"/>
      <c r="AC605" s="6"/>
      <c r="AD605" s="12" t="str">
        <f>IFERROR(__xludf.DUMMYFUNCTION("""COMPUTED_VALUE"""),"8A")</f>
        <v>8A</v>
      </c>
      <c r="AE605" s="12" t="str">
        <f>IFERROR(__xludf.DUMMYFUNCTION("""COMPUTED_VALUE"""),"1345282340")</f>
        <v>1345282340</v>
      </c>
      <c r="AF605" s="12" t="str">
        <f>IFERROR(__xludf.DUMMYFUNCTION("""COMPUTED_VALUE"""),"0683131603")</f>
        <v>0683131603</v>
      </c>
      <c r="AG605" s="12" t="str">
        <f>IFERROR(__xludf.DUMMYFUNCTION("""COMPUTED_VALUE"""),"Kelyn")</f>
        <v>Kelyn</v>
      </c>
      <c r="AH605" s="12" t="str">
        <f>IFERROR(__xludf.DUMMYFUNCTION("""COMPUTED_VALUE"""),"Vanessa")</f>
        <v>Vanessa</v>
      </c>
      <c r="AI605" s="6" t="str">
        <f>IFERROR(__xludf.DUMMYFUNCTION("""COMPUTED_VALUE"""),"Vidal Monsalve")</f>
        <v>Vidal Monsalve</v>
      </c>
      <c r="AJ605" s="6" t="str">
        <f>IFERROR(__xludf.DUMMYFUNCTION("""COMPUTED_VALUE"""),"vanevidal.0821@gmail.com")</f>
        <v>vanevidal.0821@gmail.com</v>
      </c>
      <c r="AK605" s="6" t="str">
        <f>IFERROR(__xludf.DUMMYFUNCTION("""COMPUTED_VALUE"""),"Cosmetologa")</f>
        <v>Cosmetologa</v>
      </c>
      <c r="AL605" s="6"/>
      <c r="AM605" s="12" t="str">
        <f>IFERROR(__xludf.DUMMYFUNCTION("""COMPUTED_VALUE"""),"1118236683")</f>
        <v>1118236683</v>
      </c>
      <c r="AN605" s="12" t="str">
        <f>IFERROR(__xludf.DUMMYFUNCTION("""COMPUTED_VALUE"""),"3125170619")</f>
        <v>3125170619</v>
      </c>
      <c r="AO605" s="6" t="str">
        <f>IFERROR(__xludf.DUMMYFUNCTION("""COMPUTED_VALUE"""),"Madre")</f>
        <v>Madre</v>
      </c>
      <c r="AP605" s="6" t="str">
        <f>IFERROR(__xludf.DUMMYFUNCTION("""COMPUTED_VALUE"""),"Estudiante(s): Moisés Castro Vidal &amp; Mauricio Rodas Vidal")</f>
        <v>Estudiante(s): Moisés Castro Vidal &amp; Mauricio Rodas Vidal</v>
      </c>
      <c r="AQ605" s="6" t="str">
        <f>IFERROR(__xludf.DUMMYFUNCTION("""COMPUTED_VALUE"""),"120324*Gi")</f>
        <v>120324*Gi</v>
      </c>
      <c r="AR605" s="6" t="str">
        <f>IFERROR(__xludf.DUMMYFUNCTION("""COMPUTED_VALUE"""),"Jesús")</f>
        <v>Jesús</v>
      </c>
      <c r="AS605" s="6" t="str">
        <f>IFERROR(__xludf.DUMMYFUNCTION("""COMPUTED_VALUE"""),"Andrés")</f>
        <v>Andrés</v>
      </c>
      <c r="AT605" s="6" t="str">
        <f>IFERROR(__xludf.DUMMYFUNCTION("""COMPUTED_VALUE"""),"Castro Zapata")</f>
        <v>Castro Zapata</v>
      </c>
      <c r="AU605" s="6" t="str">
        <f>IFERROR(__xludf.DUMMYFUNCTION("""COMPUTED_VALUE"""),"jacastroz@gmail.com")</f>
        <v>jacastroz@gmail.com</v>
      </c>
      <c r="AV605" s="6" t="str">
        <f>IFERROR(__xludf.DUMMYFUNCTION("""COMPUTED_VALUE"""),"Ingeniero Civil")</f>
        <v>Ingeniero Civil</v>
      </c>
      <c r="AW605" s="6"/>
      <c r="AX605" s="12" t="str">
        <f>IFERROR(__xludf.DUMMYFUNCTION("""COMPUTED_VALUE"""),"71381840")</f>
        <v>71381840</v>
      </c>
      <c r="AY605" s="12" t="str">
        <f>IFERROR(__xludf.DUMMYFUNCTION("""COMPUTED_VALUE"""),"3137316274")</f>
        <v>3137316274</v>
      </c>
      <c r="AZ605" s="6" t="str">
        <f>IFERROR(__xludf.DUMMYFUNCTION("""COMPUTED_VALUE"""),"Padre")</f>
        <v>Padre</v>
      </c>
      <c r="BA605" s="6"/>
      <c r="BB605" s="6"/>
      <c r="BC605" s="6"/>
      <c r="BD605" s="12" t="str">
        <f>IFERROR(__xludf.DUMMYFUNCTION("""COMPUTED_VALUE"""),"cas0019")</f>
        <v>cas0019</v>
      </c>
      <c r="BE605" s="6"/>
      <c r="BF605" s="6"/>
      <c r="BG605" s="6">
        <f>IFERROR(__xludf.DUMMYFUNCTION("""COMPUTED_VALUE"""),2031.0)</f>
        <v>2031</v>
      </c>
      <c r="BH605" s="15">
        <f>IFERROR(__xludf.DUMMYFUNCTION("""COMPUTED_VALUE"""),46239.91685185185)</f>
        <v>46239.91685</v>
      </c>
      <c r="BI605" s="6">
        <f>IFERROR(__xludf.DUMMYFUNCTION("""COMPUTED_VALUE"""),605.0)</f>
        <v>605</v>
      </c>
      <c r="BJ605" s="6"/>
      <c r="BK605" s="6"/>
      <c r="BL605" s="6" t="str">
        <f>IFERROR(__xludf.DUMMYFUNCTION("""COMPUTED_VALUE"""),"GISCAS0019")</f>
        <v>GISCAS0019</v>
      </c>
      <c r="BM605" s="6"/>
      <c r="BN605" s="6"/>
      <c r="BO605" s="6" t="str">
        <f>IFERROR(__xludf.DUMMYFUNCTION("""COMPUTED_VALUE"""),"XC_MS_Futbol_M")</f>
        <v>XC_MS_Futbol_M</v>
      </c>
      <c r="BP605" s="6"/>
      <c r="BQ605" s="6" t="str">
        <f>IFERROR(__xludf.DUMMYFUNCTION("""COMPUTED_VALUE"""),"XC_MS_Futbol_M")</f>
        <v>XC_MS_Futbol_M</v>
      </c>
      <c r="BR605" s="6" t="str">
        <f>IFERROR(__xludf.DUMMYFUNCTION("""COMPUTED_VALUE"""),"XC_MS_Futbol_M")</f>
        <v>XC_MS_Futbol_M</v>
      </c>
      <c r="BS605" s="6"/>
      <c r="BT605" s="6" t="str">
        <f>IFERROR(__xludf.DUMMYFUNCTION("""COMPUTED_VALUE"""),"XC_MS_Futbol_M")</f>
        <v>XC_MS_Futbol_M</v>
      </c>
      <c r="BU605" s="6" t="str">
        <f>IFERROR(__xludf.DUMMYFUNCTION("""COMPUTED_VALUE"""),"SI")</f>
        <v>SI</v>
      </c>
      <c r="BV605" s="6" t="str">
        <f>IFERROR(__xludf.DUMMYFUNCTION("""COMPUTED_VALUE"""),"mauricio.r2031")</f>
        <v>mauricio.r2031</v>
      </c>
      <c r="BW605" s="6"/>
      <c r="BX605" s="6"/>
      <c r="BY605" s="6"/>
      <c r="BZ605" s="6"/>
    </row>
    <row r="606">
      <c r="A606" s="12">
        <f>IFERROR(__xludf.DUMMYFUNCTION("""COMPUTED_VALUE"""),1.09285667E9)</f>
        <v>1092856670</v>
      </c>
      <c r="B606" s="6">
        <f>IFERROR(__xludf.DUMMYFUNCTION("""COMPUTED_VALUE"""),51.0)</f>
        <v>51</v>
      </c>
      <c r="C606" s="6" t="str">
        <f>IFERROR(__xludf.DUMMYFUNCTION("""COMPUTED_VALUE"""),"Simón")</f>
        <v>Simón</v>
      </c>
      <c r="D606" s="6"/>
      <c r="E606" s="6" t="str">
        <f>IFERROR(__xludf.DUMMYFUNCTION("""COMPUTED_VALUE"""),"Rodríguez Restrepo")</f>
        <v>Rodríguez Restrepo</v>
      </c>
      <c r="F606" s="6" t="str">
        <f>IFERROR(__xludf.DUMMYFUNCTION("""COMPUTED_VALUE"""),"Cra 12 No4Nte - 09 - Barrio Alcazar")</f>
        <v>Cra 12 No4Nte - 09 - Barrio Alcazar</v>
      </c>
      <c r="G606" s="12" t="str">
        <f>IFERROR(__xludf.DUMMYFUNCTION("""COMPUTED_VALUE"""),"2013")</f>
        <v>2013</v>
      </c>
      <c r="H606" s="6" t="str">
        <f>IFERROR(__xludf.DUMMYFUNCTION("""COMPUTED_VALUE"""),"Febrero")</f>
        <v>Febrero</v>
      </c>
      <c r="I606" s="12" t="str">
        <f>IFERROR(__xludf.DUMMYFUNCTION("""COMPUTED_VALUE"""),"22")</f>
        <v>22</v>
      </c>
      <c r="J606" s="6" t="str">
        <f>IFERROR(__xludf.DUMMYFUNCTION("""COMPUTED_VALUE"""),"Armenia")</f>
        <v>Armenia</v>
      </c>
      <c r="K606" s="6" t="str">
        <f>IFERROR(__xludf.DUMMYFUNCTION("""COMPUTED_VALUE"""),"simon.r2031@gi.edu.co")</f>
        <v>simon.r2031@gi.edu.co</v>
      </c>
      <c r="L606" s="6" t="str">
        <f>IFERROR(__xludf.DUMMYFUNCTION("""COMPUTED_VALUE"""),"RC")</f>
        <v>RC</v>
      </c>
      <c r="M606" s="6" t="str">
        <f>IFERROR(__xludf.DUMMYFUNCTION("""COMPUTED_VALUE"""),"Armenia")</f>
        <v>Armenia</v>
      </c>
      <c r="N606" s="6" t="str">
        <f>IFERROR(__xludf.DUMMYFUNCTION("""COMPUTED_VALUE"""),"M")</f>
        <v>M</v>
      </c>
      <c r="O606" s="6" t="str">
        <f>IFERROR(__xludf.DUMMYFUNCTION("""COMPUTED_VALUE"""),"ACTIVE")</f>
        <v>ACTIVE</v>
      </c>
      <c r="P606" s="6"/>
      <c r="Q606" s="6" t="str">
        <f>IFERROR(__xludf.DUMMYFUNCTION("""COMPUTED_VALUE"""),"Armenia")</f>
        <v>Armenia</v>
      </c>
      <c r="R606" s="12" t="str">
        <f>IFERROR(__xludf.DUMMYFUNCTION("""COMPUTED_VALUE"""),"Giasecqa12*")</f>
        <v>Giasecqa12*</v>
      </c>
      <c r="S606" s="6" t="str">
        <f>IFERROR(__xludf.DUMMYFUNCTION("""COMPUTED_VALUE"""),"Rodríguez Restrepo Simón ")</f>
        <v>Rodríguez Restrepo Simón </v>
      </c>
      <c r="T606" s="6" t="str">
        <f>IFERROR(__xludf.DUMMYFUNCTION("""COMPUTED_VALUE"""),"GLORIA CECILIA RESTREPO SALAS")</f>
        <v>GLORIA CECILIA RESTREPO SALAS</v>
      </c>
      <c r="U606" s="12" t="str">
        <f>IFERROR(__xludf.DUMMYFUNCTION("""COMPUTED_VALUE"""),"43271514")</f>
        <v>43271514</v>
      </c>
      <c r="V606" s="6">
        <f>IFERROR(__xludf.DUMMYFUNCTION("""COMPUTED_VALUE"""),3.006081351E9)</f>
        <v>3006081351</v>
      </c>
      <c r="W606" s="6" t="str">
        <f>IFERROR(__xludf.DUMMYFUNCTION("""COMPUTED_VALUE"""),"gloriacecilia@gmail.com")</f>
        <v>gloriacecilia@gmail.com</v>
      </c>
      <c r="X606" s="12" t="str">
        <f>IFERROR(__xludf.DUMMYFUNCTION("""COMPUTED_VALUE"""),"A+")</f>
        <v>A+</v>
      </c>
      <c r="Y606" s="12" t="str">
        <f>IFERROR(__xludf.DUMMYFUNCTION("""COMPUTED_VALUE"""),"8")</f>
        <v>8</v>
      </c>
      <c r="Z606" s="12">
        <f>IFERROR(__xludf.DUMMYFUNCTION("""COMPUTED_VALUE"""),103179.0)</f>
        <v>103179</v>
      </c>
      <c r="AA606" s="6" t="str">
        <f>IFERROR(__xludf.DUMMYFUNCTION("""COMPUTED_VALUE"""),"SANITAS")</f>
        <v>SANITAS</v>
      </c>
      <c r="AB606" s="6"/>
      <c r="AC606" s="6"/>
      <c r="AD606" s="12" t="str">
        <f>IFERROR(__xludf.DUMMYFUNCTION("""COMPUTED_VALUE"""),"8C")</f>
        <v>8C</v>
      </c>
      <c r="AE606" s="12">
        <f>IFERROR(__xludf.DUMMYFUNCTION("""COMPUTED_VALUE"""),1.345281558E9)</f>
        <v>1345281558</v>
      </c>
      <c r="AF606" s="12" t="str">
        <f>IFERROR(__xludf.DUMMYFUNCTION("""COMPUTED_VALUE"""),"0706668867")</f>
        <v>0706668867</v>
      </c>
      <c r="AG606" s="12" t="str">
        <f>IFERROR(__xludf.DUMMYFUNCTION("""COMPUTED_VALUE"""),"Gloria")</f>
        <v>Gloria</v>
      </c>
      <c r="AH606" s="12" t="str">
        <f>IFERROR(__xludf.DUMMYFUNCTION("""COMPUTED_VALUE"""),"Cecilia")</f>
        <v>Cecilia</v>
      </c>
      <c r="AI606" s="6" t="str">
        <f>IFERROR(__xludf.DUMMYFUNCTION("""COMPUTED_VALUE"""),"Restrepo Salas")</f>
        <v>Restrepo Salas</v>
      </c>
      <c r="AJ606" s="6" t="str">
        <f>IFERROR(__xludf.DUMMYFUNCTION("""COMPUTED_VALUE"""),"gloriacecilia@gmail.com")</f>
        <v>gloriacecilia@gmail.com</v>
      </c>
      <c r="AK606" s="6" t="str">
        <f>IFERROR(__xludf.DUMMYFUNCTION("""COMPUTED_VALUE"""),"Ingeniera de alimentos")</f>
        <v>Ingeniera de alimentos</v>
      </c>
      <c r="AL606" s="6" t="str">
        <f>IFERROR(__xludf.DUMMYFUNCTION("""COMPUTED_VALUE"""),"Frigocafe S.A.S.")</f>
        <v>Frigocafe S.A.S.</v>
      </c>
      <c r="AM606" s="12" t="str">
        <f>IFERROR(__xludf.DUMMYFUNCTION("""COMPUTED_VALUE"""),"43271514")</f>
        <v>43271514</v>
      </c>
      <c r="AN606" s="12" t="str">
        <f>IFERROR(__xludf.DUMMYFUNCTION("""COMPUTED_VALUE"""),"3006081351")</f>
        <v>3006081351</v>
      </c>
      <c r="AO606" s="6" t="str">
        <f>IFERROR(__xludf.DUMMYFUNCTION("""COMPUTED_VALUE"""),"Madre")</f>
        <v>Madre</v>
      </c>
      <c r="AP606" s="6" t="str">
        <f>IFERROR(__xludf.DUMMYFUNCTION("""COMPUTED_VALUE"""),"Estudiante(s): Rodríguez Restrepo")</f>
        <v>Estudiante(s): Rodríguez Restrepo</v>
      </c>
      <c r="AQ606" s="6" t="str">
        <f>IFERROR(__xludf.DUMMYFUNCTION("""COMPUTED_VALUE"""),"102693*Gi")</f>
        <v>102693*Gi</v>
      </c>
      <c r="AR606" s="6" t="str">
        <f>IFERROR(__xludf.DUMMYFUNCTION("""COMPUTED_VALUE"""),"Juan")</f>
        <v>Juan</v>
      </c>
      <c r="AS606" s="6" t="str">
        <f>IFERROR(__xludf.DUMMYFUNCTION("""COMPUTED_VALUE"""),"Carlos")</f>
        <v>Carlos</v>
      </c>
      <c r="AT606" s="6" t="str">
        <f>IFERROR(__xludf.DUMMYFUNCTION("""COMPUTED_VALUE"""),"Rodríguez Naranjo")</f>
        <v>Rodríguez Naranjo</v>
      </c>
      <c r="AU606" s="6" t="str">
        <f>IFERROR(__xludf.DUMMYFUNCTION("""COMPUTED_VALUE"""),"juanrona@hotmail.com")</f>
        <v>juanrona@hotmail.com</v>
      </c>
      <c r="AV606" s="6" t="str">
        <f>IFERROR(__xludf.DUMMYFUNCTION("""COMPUTED_VALUE"""),"Administrador de Empresas Agropecuario")</f>
        <v>Administrador de Empresas Agropecuario</v>
      </c>
      <c r="AW606" s="6" t="str">
        <f>IFERROR(__xludf.DUMMYFUNCTION("""COMPUTED_VALUE"""),"Finca El Placer")</f>
        <v>Finca El Placer</v>
      </c>
      <c r="AX606" s="12" t="str">
        <f>IFERROR(__xludf.DUMMYFUNCTION("""COMPUTED_VALUE"""),"71381977")</f>
        <v>71381977</v>
      </c>
      <c r="AY606" s="12" t="str">
        <f>IFERROR(__xludf.DUMMYFUNCTION("""COMPUTED_VALUE"""),"3006095466")</f>
        <v>3006095466</v>
      </c>
      <c r="AZ606" s="6" t="str">
        <f>IFERROR(__xludf.DUMMYFUNCTION("""COMPUTED_VALUE"""),"Padre")</f>
        <v>Padre</v>
      </c>
      <c r="BA606" s="6"/>
      <c r="BB606" s="6"/>
      <c r="BC606" s="6"/>
      <c r="BD606" s="12" t="str">
        <f>IFERROR(__xludf.DUMMYFUNCTION("""COMPUTED_VALUE"""),"rod0007")</f>
        <v>rod0007</v>
      </c>
      <c r="BE606" s="6"/>
      <c r="BF606" s="6"/>
      <c r="BG606" s="6">
        <f>IFERROR(__xludf.DUMMYFUNCTION("""COMPUTED_VALUE"""),2031.0)</f>
        <v>2031</v>
      </c>
      <c r="BH606" s="15">
        <f>IFERROR(__xludf.DUMMYFUNCTION("""COMPUTED_VALUE"""),46206.916284722225)</f>
        <v>46206.91628</v>
      </c>
      <c r="BI606" s="6">
        <f>IFERROR(__xludf.DUMMYFUNCTION("""COMPUTED_VALUE"""),606.0)</f>
        <v>606</v>
      </c>
      <c r="BJ606" s="6"/>
      <c r="BK606" s="6"/>
      <c r="BL606" s="6" t="str">
        <f>IFERROR(__xludf.DUMMYFUNCTION("""COMPUTED_VALUE"""),"GISROD0007")</f>
        <v>GISROD0007</v>
      </c>
      <c r="BM606" s="6"/>
      <c r="BN606" s="6"/>
      <c r="BO606" s="6"/>
      <c r="BP606" s="6"/>
      <c r="BQ606" s="6"/>
      <c r="BR606" s="6"/>
      <c r="BS606" s="6"/>
      <c r="BT606" s="6"/>
      <c r="BU606" s="6" t="str">
        <f>IFERROR(__xludf.DUMMYFUNCTION("""COMPUTED_VALUE"""),"SI")</f>
        <v>SI</v>
      </c>
      <c r="BV606" s="6" t="str">
        <f>IFERROR(__xludf.DUMMYFUNCTION("""COMPUTED_VALUE"""),"simon.r2031")</f>
        <v>simon.r2031</v>
      </c>
      <c r="BW606" s="6"/>
      <c r="BX606" s="6"/>
      <c r="BY606" s="6"/>
      <c r="BZ606" s="6"/>
    </row>
    <row r="607">
      <c r="A607" s="12">
        <f>IFERROR(__xludf.DUMMYFUNCTION("""COMPUTED_VALUE"""),1.092857021E9)</f>
        <v>1092857021</v>
      </c>
      <c r="B607" s="6">
        <f>IFERROR(__xludf.DUMMYFUNCTION("""COMPUTED_VALUE"""),52.0)</f>
        <v>52</v>
      </c>
      <c r="C607" s="6" t="str">
        <f>IFERROR(__xludf.DUMMYFUNCTION("""COMPUTED_VALUE"""),"Santiago")</f>
        <v>Santiago</v>
      </c>
      <c r="D607" s="6"/>
      <c r="E607" s="6" t="str">
        <f>IFERROR(__xludf.DUMMYFUNCTION("""COMPUTED_VALUE"""),"Sáchica Suárez")</f>
        <v>Sáchica Suárez</v>
      </c>
      <c r="F607" s="6" t="str">
        <f>IFERROR(__xludf.DUMMYFUNCTION("""COMPUTED_VALUE"""),"Colina Del Parque Casa F3 - Cra 11 9Nte - 01 La Castellana")</f>
        <v>Colina Del Parque Casa F3 - Cra 11 9Nte - 01 La Castellana</v>
      </c>
      <c r="G607" s="12" t="str">
        <f>IFERROR(__xludf.DUMMYFUNCTION("""COMPUTED_VALUE"""),"2013")</f>
        <v>2013</v>
      </c>
      <c r="H607" s="6" t="str">
        <f>IFERROR(__xludf.DUMMYFUNCTION("""COMPUTED_VALUE"""),"Agosto")</f>
        <v>Agosto</v>
      </c>
      <c r="I607" s="12" t="str">
        <f>IFERROR(__xludf.DUMMYFUNCTION("""COMPUTED_VALUE"""),"12")</f>
        <v>12</v>
      </c>
      <c r="J607" s="6" t="str">
        <f>IFERROR(__xludf.DUMMYFUNCTION("""COMPUTED_VALUE"""),"Armenia")</f>
        <v>Armenia</v>
      </c>
      <c r="K607" s="6" t="str">
        <f>IFERROR(__xludf.DUMMYFUNCTION("""COMPUTED_VALUE"""),"santiago.s2031@gi.edu.co")</f>
        <v>santiago.s2031@gi.edu.co</v>
      </c>
      <c r="L607" s="6" t="str">
        <f>IFERROR(__xludf.DUMMYFUNCTION("""COMPUTED_VALUE"""),"TI")</f>
        <v>TI</v>
      </c>
      <c r="M607" s="6" t="str">
        <f>IFERROR(__xludf.DUMMYFUNCTION("""COMPUTED_VALUE"""),"Armenia")</f>
        <v>Armenia</v>
      </c>
      <c r="N607" s="6" t="str">
        <f>IFERROR(__xludf.DUMMYFUNCTION("""COMPUTED_VALUE"""),"M")</f>
        <v>M</v>
      </c>
      <c r="O607" s="6" t="str">
        <f>IFERROR(__xludf.DUMMYFUNCTION("""COMPUTED_VALUE"""),"ACTIVE")</f>
        <v>ACTIVE</v>
      </c>
      <c r="P607" s="6"/>
      <c r="Q607" s="6" t="str">
        <f>IFERROR(__xludf.DUMMYFUNCTION("""COMPUTED_VALUE"""),"Armenia")</f>
        <v>Armenia</v>
      </c>
      <c r="R607" s="12" t="str">
        <f>IFERROR(__xludf.DUMMYFUNCTION("""COMPUTED_VALUE"""),"Gi364gder2*")</f>
        <v>Gi364gder2*</v>
      </c>
      <c r="S607" s="6" t="str">
        <f>IFERROR(__xludf.DUMMYFUNCTION("""COMPUTED_VALUE"""),"Sáchica Suárez Santiago ")</f>
        <v>Sáchica Suárez Santiago </v>
      </c>
      <c r="T607" s="6" t="str">
        <f>IFERROR(__xludf.DUMMYFUNCTION("""COMPUTED_VALUE"""),"SONIA CLARENA SUÁREZ TABARES")</f>
        <v>SONIA CLARENA SUÁREZ TABARES</v>
      </c>
      <c r="U607" s="12" t="str">
        <f>IFERROR(__xludf.DUMMYFUNCTION("""COMPUTED_VALUE"""),"41943489")</f>
        <v>41943489</v>
      </c>
      <c r="V607" s="6">
        <f>IFERROR(__xludf.DUMMYFUNCTION("""COMPUTED_VALUE"""),3.113679673E9)</f>
        <v>3113679673</v>
      </c>
      <c r="W607" s="6" t="str">
        <f>IFERROR(__xludf.DUMMYFUNCTION("""COMPUTED_VALUE"""),"soniasuarez@abbi.com.co")</f>
        <v>soniasuarez@abbi.com.co</v>
      </c>
      <c r="X607" s="12" t="str">
        <f>IFERROR(__xludf.DUMMYFUNCTION("""COMPUTED_VALUE"""),"O+")</f>
        <v>O+</v>
      </c>
      <c r="Y607" s="12" t="str">
        <f>IFERROR(__xludf.DUMMYFUNCTION("""COMPUTED_VALUE"""),"8")</f>
        <v>8</v>
      </c>
      <c r="Z607" s="12">
        <f>IFERROR(__xludf.DUMMYFUNCTION("""COMPUTED_VALUE"""),103336.0)</f>
        <v>103336</v>
      </c>
      <c r="AA607" s="6" t="str">
        <f>IFERROR(__xludf.DUMMYFUNCTION("""COMPUTED_VALUE"""),"SURA")</f>
        <v>SURA</v>
      </c>
      <c r="AB607" s="6" t="str">
        <f>IFERROR(__xludf.DUMMYFUNCTION("""COMPUTED_VALUE"""),"EMI - SURA PREPAGADA")</f>
        <v>EMI - SURA PREPAGADA</v>
      </c>
      <c r="AC607" s="12" t="str">
        <f>IFERROR(__xludf.DUMMYFUNCTION("""COMPUTED_VALUE"""),"Piel atópica")</f>
        <v>Piel atópica</v>
      </c>
      <c r="AD607" s="12" t="str">
        <f>IFERROR(__xludf.DUMMYFUNCTION("""COMPUTED_VALUE"""),"8B")</f>
        <v>8B</v>
      </c>
      <c r="AE607" s="12">
        <f>IFERROR(__xludf.DUMMYFUNCTION("""COMPUTED_VALUE"""),1.345281638E9)</f>
        <v>1345281638</v>
      </c>
      <c r="AF607" s="12" t="str">
        <f>IFERROR(__xludf.DUMMYFUNCTION("""COMPUTED_VALUE"""),"0651004083")</f>
        <v>0651004083</v>
      </c>
      <c r="AG607" s="12" t="str">
        <f>IFERROR(__xludf.DUMMYFUNCTION("""COMPUTED_VALUE"""),"Sonia")</f>
        <v>Sonia</v>
      </c>
      <c r="AH607" s="12" t="str">
        <f>IFERROR(__xludf.DUMMYFUNCTION("""COMPUTED_VALUE"""),"Clarena")</f>
        <v>Clarena</v>
      </c>
      <c r="AI607" s="6" t="str">
        <f>IFERROR(__xludf.DUMMYFUNCTION("""COMPUTED_VALUE"""),"Suárez Tabares")</f>
        <v>Suárez Tabares</v>
      </c>
      <c r="AJ607" s="6" t="str">
        <f>IFERROR(__xludf.DUMMYFUNCTION("""COMPUTED_VALUE"""),"soniasuarez@issa.com.co")</f>
        <v>soniasuarez@issa.com.co</v>
      </c>
      <c r="AK607" s="6" t="str">
        <f>IFERROR(__xludf.DUMMYFUNCTION("""COMPUTED_VALUE"""),"INGENIERA INDUSTRIAL")</f>
        <v>INGENIERA INDUSTRIAL</v>
      </c>
      <c r="AL607" s="6" t="str">
        <f>IFERROR(__xludf.DUMMYFUNCTION("""COMPUTED_VALUE"""),"ABBI SAS")</f>
        <v>ABBI SAS</v>
      </c>
      <c r="AM607" s="12" t="str">
        <f>IFERROR(__xludf.DUMMYFUNCTION("""COMPUTED_VALUE"""),"41943489")</f>
        <v>41943489</v>
      </c>
      <c r="AN607" s="12" t="str">
        <f>IFERROR(__xludf.DUMMYFUNCTION("""COMPUTED_VALUE"""),"3113679673")</f>
        <v>3113679673</v>
      </c>
      <c r="AO607" s="6" t="str">
        <f>IFERROR(__xludf.DUMMYFUNCTION("""COMPUTED_VALUE"""),"Madre")</f>
        <v>Madre</v>
      </c>
      <c r="AP607" s="6" t="str">
        <f>IFERROR(__xludf.DUMMYFUNCTION("""COMPUTED_VALUE"""),"Estudiante(s): Sáchica Suárez")</f>
        <v>Estudiante(s): Sáchica Suárez</v>
      </c>
      <c r="AQ607" s="6" t="str">
        <f>IFERROR(__xludf.DUMMYFUNCTION("""COMPUTED_VALUE"""),"102690*Gi")</f>
        <v>102690*Gi</v>
      </c>
      <c r="AR607" s="6" t="str">
        <f>IFERROR(__xludf.DUMMYFUNCTION("""COMPUTED_VALUE"""),"Fredi")</f>
        <v>Fredi</v>
      </c>
      <c r="AS607" s="6" t="str">
        <f>IFERROR(__xludf.DUMMYFUNCTION("""COMPUTED_VALUE"""),"Yezid")</f>
        <v>Yezid</v>
      </c>
      <c r="AT607" s="6" t="str">
        <f>IFERROR(__xludf.DUMMYFUNCTION("""COMPUTED_VALUE"""),"Sáchica Solano")</f>
        <v>Sáchica Solano</v>
      </c>
      <c r="AU607" s="6" t="str">
        <f>IFERROR(__xludf.DUMMYFUNCTION("""COMPUTED_VALUE"""),"fsachica@issa.com.co")</f>
        <v>fsachica@issa.com.co</v>
      </c>
      <c r="AV607" s="6" t="str">
        <f>IFERROR(__xludf.DUMMYFUNCTION("""COMPUTED_VALUE"""),"Ingeniero Civil")</f>
        <v>Ingeniero Civil</v>
      </c>
      <c r="AW607" s="6" t="str">
        <f>IFERROR(__xludf.DUMMYFUNCTION("""COMPUTED_VALUE"""),"Abbi sas")</f>
        <v>Abbi sas</v>
      </c>
      <c r="AX607" s="12" t="str">
        <f>IFERROR(__xludf.DUMMYFUNCTION("""COMPUTED_VALUE"""),"80500996")</f>
        <v>80500996</v>
      </c>
      <c r="AY607" s="12" t="str">
        <f>IFERROR(__xludf.DUMMYFUNCTION("""COMPUTED_VALUE"""),"3216411108")</f>
        <v>3216411108</v>
      </c>
      <c r="AZ607" s="6" t="str">
        <f>IFERROR(__xludf.DUMMYFUNCTION("""COMPUTED_VALUE"""),"Padre")</f>
        <v>Padre</v>
      </c>
      <c r="BA607" s="6"/>
      <c r="BB607" s="6"/>
      <c r="BC607" s="6"/>
      <c r="BD607" s="12" t="str">
        <f>IFERROR(__xludf.DUMMYFUNCTION("""COMPUTED_VALUE"""),"sch0001")</f>
        <v>sch0001</v>
      </c>
      <c r="BE607" s="6"/>
      <c r="BF607" s="6"/>
      <c r="BG607" s="6">
        <f>IFERROR(__xludf.DUMMYFUNCTION("""COMPUTED_VALUE"""),2031.0)</f>
        <v>2031</v>
      </c>
      <c r="BH607" s="15">
        <f>IFERROR(__xludf.DUMMYFUNCTION("""COMPUTED_VALUE"""),46210.99878472222)</f>
        <v>46210.99878</v>
      </c>
      <c r="BI607" s="6">
        <f>IFERROR(__xludf.DUMMYFUNCTION("""COMPUTED_VALUE"""),607.0)</f>
        <v>607</v>
      </c>
      <c r="BJ607" s="6"/>
      <c r="BK607" s="6"/>
      <c r="BL607" s="6" t="str">
        <f>IFERROR(__xludf.DUMMYFUNCTION("""COMPUTED_VALUE"""),"GISSCH0001")</f>
        <v>GISSCH0001</v>
      </c>
      <c r="BM607" s="6"/>
      <c r="BN607" s="6"/>
      <c r="BO607" s="6" t="str">
        <f>IFERROR(__xludf.DUMMYFUNCTION("""COMPUTED_VALUE"""),"XC_MS_Futbol_M")</f>
        <v>XC_MS_Futbol_M</v>
      </c>
      <c r="BP607" s="6"/>
      <c r="BQ607" s="6" t="str">
        <f>IFERROR(__xludf.DUMMYFUNCTION("""COMPUTED_VALUE"""),"XC_MS_Futbol_M")</f>
        <v>XC_MS_Futbol_M</v>
      </c>
      <c r="BR607" s="6" t="str">
        <f>IFERROR(__xludf.DUMMYFUNCTION("""COMPUTED_VALUE"""),"XC_MS_Futbol_M")</f>
        <v>XC_MS_Futbol_M</v>
      </c>
      <c r="BS607" s="6"/>
      <c r="BT607" s="6" t="str">
        <f>IFERROR(__xludf.DUMMYFUNCTION("""COMPUTED_VALUE"""),"XC_MS_Futbol_M")</f>
        <v>XC_MS_Futbol_M</v>
      </c>
      <c r="BU607" s="6" t="str">
        <f>IFERROR(__xludf.DUMMYFUNCTION("""COMPUTED_VALUE"""),"SI")</f>
        <v>SI</v>
      </c>
      <c r="BV607" s="6" t="str">
        <f>IFERROR(__xludf.DUMMYFUNCTION("""COMPUTED_VALUE"""),"santiago.s2031")</f>
        <v>santiago.s2031</v>
      </c>
      <c r="BW607" s="6"/>
      <c r="BX607" s="6"/>
      <c r="BY607" s="6"/>
      <c r="BZ607" s="6"/>
    </row>
    <row r="608">
      <c r="A608" s="12">
        <f>IFERROR(__xludf.DUMMYFUNCTION("""COMPUTED_VALUE"""),1.092462811E9)</f>
        <v>1092462811</v>
      </c>
      <c r="B608" s="6">
        <f>IFERROR(__xludf.DUMMYFUNCTION("""COMPUTED_VALUE"""),53.0)</f>
        <v>53</v>
      </c>
      <c r="C608" s="6" t="str">
        <f>IFERROR(__xludf.DUMMYFUNCTION("""COMPUTED_VALUE"""),"Luciana")</f>
        <v>Luciana</v>
      </c>
      <c r="D608" s="6"/>
      <c r="E608" s="6" t="str">
        <f>IFERROR(__xludf.DUMMYFUNCTION("""COMPUTED_VALUE"""),"Salcedo Arcila")</f>
        <v>Salcedo Arcila</v>
      </c>
      <c r="F608" s="6" t="str">
        <f>IFERROR(__xludf.DUMMYFUNCTION("""COMPUTED_VALUE"""),"Rincon del Yulima Bloque 1 Apto 502 - Cra 22 # 9 Norte - 18")</f>
        <v>Rincon del Yulima Bloque 1 Apto 502 - Cra 22 # 9 Norte - 18</v>
      </c>
      <c r="G608" s="12" t="str">
        <f>IFERROR(__xludf.DUMMYFUNCTION("""COMPUTED_VALUE"""),"2012")</f>
        <v>2012</v>
      </c>
      <c r="H608" s="6" t="str">
        <f>IFERROR(__xludf.DUMMYFUNCTION("""COMPUTED_VALUE"""),"Noviembre")</f>
        <v>Noviembre</v>
      </c>
      <c r="I608" s="12" t="str">
        <f>IFERROR(__xludf.DUMMYFUNCTION("""COMPUTED_VALUE"""),"17")</f>
        <v>17</v>
      </c>
      <c r="J608" s="6" t="str">
        <f>IFERROR(__xludf.DUMMYFUNCTION("""COMPUTED_VALUE"""),"Armenia")</f>
        <v>Armenia</v>
      </c>
      <c r="K608" s="6" t="str">
        <f>IFERROR(__xludf.DUMMYFUNCTION("""COMPUTED_VALUE"""),"luciana.s2031@gi.edu.co")</f>
        <v>luciana.s2031@gi.edu.co</v>
      </c>
      <c r="L608" s="6" t="str">
        <f>IFERROR(__xludf.DUMMYFUNCTION("""COMPUTED_VALUE"""),"TI")</f>
        <v>TI</v>
      </c>
      <c r="M608" s="6" t="str">
        <f>IFERROR(__xludf.DUMMYFUNCTION("""COMPUTED_VALUE"""),"Armenia")</f>
        <v>Armenia</v>
      </c>
      <c r="N608" s="6" t="str">
        <f>IFERROR(__xludf.DUMMYFUNCTION("""COMPUTED_VALUE"""),"F")</f>
        <v>F</v>
      </c>
      <c r="O608" s="6" t="str">
        <f>IFERROR(__xludf.DUMMYFUNCTION("""COMPUTED_VALUE"""),"ACTIVE")</f>
        <v>ACTIVE</v>
      </c>
      <c r="P608" s="6"/>
      <c r="Q608" s="6" t="str">
        <f>IFERROR(__xludf.DUMMYFUNCTION("""COMPUTED_VALUE"""),"Armenia")</f>
        <v>Armenia</v>
      </c>
      <c r="R608" s="12" t="str">
        <f>IFERROR(__xludf.DUMMYFUNCTION("""COMPUTED_VALUE"""),"Gicvbnfg33*")</f>
        <v>Gicvbnfg33*</v>
      </c>
      <c r="S608" s="6" t="str">
        <f>IFERROR(__xludf.DUMMYFUNCTION("""COMPUTED_VALUE"""),"Salcedo Arcila Luciana ")</f>
        <v>Salcedo Arcila Luciana </v>
      </c>
      <c r="T608" s="6" t="str">
        <f>IFERROR(__xludf.DUMMYFUNCTION("""COMPUTED_VALUE"""),"CAROLINA ARCILA FRANCO")</f>
        <v>CAROLINA ARCILA FRANCO</v>
      </c>
      <c r="U608" s="12" t="str">
        <f>IFERROR(__xludf.DUMMYFUNCTION("""COMPUTED_VALUE"""),"41939332")</f>
        <v>41939332</v>
      </c>
      <c r="V608" s="6">
        <f>IFERROR(__xludf.DUMMYFUNCTION("""COMPUTED_VALUE"""),3.235058984E9)</f>
        <v>3235058984</v>
      </c>
      <c r="W608" s="6" t="str">
        <f>IFERROR(__xludf.DUMMYFUNCTION("""COMPUTED_VALUE"""),"carolinaa@gi.edu.co")</f>
        <v>carolinaa@gi.edu.co</v>
      </c>
      <c r="X608" s="12" t="str">
        <f>IFERROR(__xludf.DUMMYFUNCTION("""COMPUTED_VALUE"""),"A+")</f>
        <v>A+</v>
      </c>
      <c r="Y608" s="12" t="str">
        <f>IFERROR(__xludf.DUMMYFUNCTION("""COMPUTED_VALUE"""),"8")</f>
        <v>8</v>
      </c>
      <c r="Z608" s="12">
        <f>IFERROR(__xludf.DUMMYFUNCTION("""COMPUTED_VALUE"""),103237.0)</f>
        <v>103237</v>
      </c>
      <c r="AA608" s="6" t="str">
        <f>IFERROR(__xludf.DUMMYFUNCTION("""COMPUTED_VALUE"""),"SURA")</f>
        <v>SURA</v>
      </c>
      <c r="AB608" s="6" t="str">
        <f>IFERROR(__xludf.DUMMYFUNCTION("""COMPUTED_VALUE"""),"EMI")</f>
        <v>EMI</v>
      </c>
      <c r="AC608" s="12" t="str">
        <f>IFERROR(__xludf.DUMMYFUNCTION("""COMPUTED_VALUE"""),"Picaduras de insectos")</f>
        <v>Picaduras de insectos</v>
      </c>
      <c r="AD608" s="12" t="str">
        <f>IFERROR(__xludf.DUMMYFUNCTION("""COMPUTED_VALUE"""),"8A")</f>
        <v>8A</v>
      </c>
      <c r="AE608" s="12">
        <f>IFERROR(__xludf.DUMMYFUNCTION("""COMPUTED_VALUE"""),1.345281591E9)</f>
        <v>1345281591</v>
      </c>
      <c r="AF608" s="12" t="str">
        <f>IFERROR(__xludf.DUMMYFUNCTION("""COMPUTED_VALUE"""),"0741196611")</f>
        <v>0741196611</v>
      </c>
      <c r="AG608" s="12" t="str">
        <f>IFERROR(__xludf.DUMMYFUNCTION("""COMPUTED_VALUE"""),"Carolina")</f>
        <v>Carolina</v>
      </c>
      <c r="AH608" s="6"/>
      <c r="AI608" s="6" t="str">
        <f>IFERROR(__xludf.DUMMYFUNCTION("""COMPUTED_VALUE"""),"Arcila Franco")</f>
        <v>Arcila Franco</v>
      </c>
      <c r="AJ608" s="6" t="str">
        <f>IFERROR(__xludf.DUMMYFUNCTION("""COMPUTED_VALUE"""),"caroarcila14@gmail.com")</f>
        <v>caroarcila14@gmail.com</v>
      </c>
      <c r="AK608" s="6" t="str">
        <f>IFERROR(__xludf.DUMMYFUNCTION("""COMPUTED_VALUE"""),"Licenciada")</f>
        <v>Licenciada</v>
      </c>
      <c r="AL608" s="6" t="str">
        <f>IFERROR(__xludf.DUMMYFUNCTION("""COMPUTED_VALUE"""),"Fundación Gimnasio Ingles")</f>
        <v>Fundación Gimnasio Ingles</v>
      </c>
      <c r="AM608" s="12" t="str">
        <f>IFERROR(__xludf.DUMMYFUNCTION("""COMPUTED_VALUE"""),"41939332")</f>
        <v>41939332</v>
      </c>
      <c r="AN608" s="12" t="str">
        <f>IFERROR(__xludf.DUMMYFUNCTION("""COMPUTED_VALUE"""),"3235058984")</f>
        <v>3235058984</v>
      </c>
      <c r="AO608" s="6" t="str">
        <f>IFERROR(__xludf.DUMMYFUNCTION("""COMPUTED_VALUE"""),"Madre")</f>
        <v>Madre</v>
      </c>
      <c r="AP608" s="6" t="str">
        <f>IFERROR(__xludf.DUMMYFUNCTION("""COMPUTED_VALUE"""),"Estudiante(s): Salcedo Arcila")</f>
        <v>Estudiante(s): Salcedo Arcila</v>
      </c>
      <c r="AQ608" s="6" t="str">
        <f>IFERROR(__xludf.DUMMYFUNCTION("""COMPUTED_VALUE"""),"103237*Gi")</f>
        <v>103237*Gi</v>
      </c>
      <c r="AR608" s="6" t="str">
        <f>IFERROR(__xludf.DUMMYFUNCTION("""COMPUTED_VALUE"""),"Edilberto")</f>
        <v>Edilberto</v>
      </c>
      <c r="AS608" s="6"/>
      <c r="AT608" s="6" t="str">
        <f>IFERROR(__xludf.DUMMYFUNCTION("""COMPUTED_VALUE"""),"Salcedo Salcedo")</f>
        <v>Salcedo Salcedo</v>
      </c>
      <c r="AU608" s="6" t="str">
        <f>IFERROR(__xludf.DUMMYFUNCTION("""COMPUTED_VALUE"""),"edilsalsal@hotmail.com")</f>
        <v>edilsalsal@hotmail.com</v>
      </c>
      <c r="AV608" s="6"/>
      <c r="AW608" s="6"/>
      <c r="AX608" s="12" t="str">
        <f>IFERROR(__xludf.DUMMYFUNCTION("""COMPUTED_VALUE"""),"73543437")</f>
        <v>73543437</v>
      </c>
      <c r="AY608" s="12" t="str">
        <f>IFERROR(__xludf.DUMMYFUNCTION("""COMPUTED_VALUE"""),"3156899436")</f>
        <v>3156899436</v>
      </c>
      <c r="AZ608" s="6" t="str">
        <f>IFERROR(__xludf.DUMMYFUNCTION("""COMPUTED_VALUE"""),"Padre")</f>
        <v>Padre</v>
      </c>
      <c r="BA608" s="6"/>
      <c r="BB608" s="6"/>
      <c r="BC608" s="6"/>
      <c r="BD608" s="12" t="str">
        <f>IFERROR(__xludf.DUMMYFUNCTION("""COMPUTED_VALUE"""),"sal0016")</f>
        <v>sal0016</v>
      </c>
      <c r="BE608" s="6"/>
      <c r="BF608" s="6"/>
      <c r="BG608" s="6">
        <f>IFERROR(__xludf.DUMMYFUNCTION("""COMPUTED_VALUE"""),2031.0)</f>
        <v>2031</v>
      </c>
      <c r="BH608" s="15">
        <f>IFERROR(__xludf.DUMMYFUNCTION("""COMPUTED_VALUE"""),46209.391747685186)</f>
        <v>46209.39175</v>
      </c>
      <c r="BI608" s="6">
        <f>IFERROR(__xludf.DUMMYFUNCTION("""COMPUTED_VALUE"""),608.0)</f>
        <v>608</v>
      </c>
      <c r="BJ608" s="6" t="str">
        <f>IFERROR(__xludf.DUMMYFUNCTION("""COMPUTED_VALUE"""),"SIMAT: trastorno por déficit de atención con o sin hiperactividad (Nov 13 2024)")</f>
        <v>SIMAT: trastorno por déficit de atención con o sin hiperactividad (Nov 13 2024)</v>
      </c>
      <c r="BK608" s="6"/>
      <c r="BL608" s="6" t="str">
        <f>IFERROR(__xludf.DUMMYFUNCTION("""COMPUTED_VALUE"""),"GISSAL0016")</f>
        <v>GISSAL0016</v>
      </c>
      <c r="BM608" s="6"/>
      <c r="BN608" s="6"/>
      <c r="BO608" s="6"/>
      <c r="BP608" s="6"/>
      <c r="BQ608" s="6"/>
      <c r="BR608" s="6"/>
      <c r="BS608" s="6"/>
      <c r="BT608" s="6"/>
      <c r="BU608" s="6" t="str">
        <f>IFERROR(__xludf.DUMMYFUNCTION("""COMPUTED_VALUE"""),"SI")</f>
        <v>SI</v>
      </c>
      <c r="BV608" s="6" t="str">
        <f>IFERROR(__xludf.DUMMYFUNCTION("""COMPUTED_VALUE"""),"luciana.s2031")</f>
        <v>luciana.s2031</v>
      </c>
      <c r="BW608" s="6"/>
      <c r="BX608" s="6"/>
      <c r="BY608" s="6"/>
      <c r="BZ608" s="6"/>
    </row>
    <row r="609">
      <c r="A609" s="12">
        <f>IFERROR(__xludf.DUMMYFUNCTION("""COMPUTED_VALUE"""),1.019908259E9)</f>
        <v>1019908259</v>
      </c>
      <c r="B609" s="6">
        <f>IFERROR(__xludf.DUMMYFUNCTION("""COMPUTED_VALUE"""),54.0)</f>
        <v>54</v>
      </c>
      <c r="C609" s="6" t="str">
        <f>IFERROR(__xludf.DUMMYFUNCTION("""COMPUTED_VALUE"""),"María")</f>
        <v>María</v>
      </c>
      <c r="D609" s="6" t="str">
        <f>IFERROR(__xludf.DUMMYFUNCTION("""COMPUTED_VALUE"""),"Alejandra")</f>
        <v>Alejandra</v>
      </c>
      <c r="E609" s="6" t="str">
        <f>IFERROR(__xludf.DUMMYFUNCTION("""COMPUTED_VALUE"""),"Silva López")</f>
        <v>Silva López</v>
      </c>
      <c r="F609" s="6" t="str">
        <f>IFERROR(__xludf.DUMMYFUNCTION("""COMPUTED_VALUE"""),"Portal de Alameda Torre B Apto 1003 - Cra 19 No36Nte - 30")</f>
        <v>Portal de Alameda Torre B Apto 1003 - Cra 19 No36Nte - 30</v>
      </c>
      <c r="G609" s="12" t="str">
        <f>IFERROR(__xludf.DUMMYFUNCTION("""COMPUTED_VALUE"""),"2013")</f>
        <v>2013</v>
      </c>
      <c r="H609" s="6" t="str">
        <f>IFERROR(__xludf.DUMMYFUNCTION("""COMPUTED_VALUE"""),"Agosto")</f>
        <v>Agosto</v>
      </c>
      <c r="I609" s="12" t="str">
        <f>IFERROR(__xludf.DUMMYFUNCTION("""COMPUTED_VALUE"""),"11")</f>
        <v>11</v>
      </c>
      <c r="J609" s="6" t="str">
        <f>IFERROR(__xludf.DUMMYFUNCTION("""COMPUTED_VALUE"""),"Bogotá D.C.")</f>
        <v>Bogotá D.C.</v>
      </c>
      <c r="K609" s="6" t="str">
        <f>IFERROR(__xludf.DUMMYFUNCTION("""COMPUTED_VALUE"""),"maria.s2031@gi.edu.co")</f>
        <v>maria.s2031@gi.edu.co</v>
      </c>
      <c r="L609" s="6" t="str">
        <f>IFERROR(__xludf.DUMMYFUNCTION("""COMPUTED_VALUE"""),"TI")</f>
        <v>TI</v>
      </c>
      <c r="M609" s="6" t="str">
        <f>IFERROR(__xludf.DUMMYFUNCTION("""COMPUTED_VALUE"""),"Armenia")</f>
        <v>Armenia</v>
      </c>
      <c r="N609" s="6" t="str">
        <f>IFERROR(__xludf.DUMMYFUNCTION("""COMPUTED_VALUE"""),"F")</f>
        <v>F</v>
      </c>
      <c r="O609" s="6" t="str">
        <f>IFERROR(__xludf.DUMMYFUNCTION("""COMPUTED_VALUE"""),"ACTIVE")</f>
        <v>ACTIVE</v>
      </c>
      <c r="P609" s="6"/>
      <c r="Q609" s="6" t="str">
        <f>IFERROR(__xludf.DUMMYFUNCTION("""COMPUTED_VALUE"""),"Armenia")</f>
        <v>Armenia</v>
      </c>
      <c r="R609" s="12" t="str">
        <f>IFERROR(__xludf.DUMMYFUNCTION("""COMPUTED_VALUE"""),"GIf578juyh*")</f>
        <v>GIf578juyh*</v>
      </c>
      <c r="S609" s="6" t="str">
        <f>IFERROR(__xludf.DUMMYFUNCTION("""COMPUTED_VALUE"""),"Silva López María Alejandra")</f>
        <v>Silva López María Alejandra</v>
      </c>
      <c r="T609" s="6" t="str">
        <f>IFERROR(__xludf.DUMMYFUNCTION("""COMPUTED_VALUE"""),"MARÍA CLARA LÓPEZ GARCIA")</f>
        <v>MARÍA CLARA LÓPEZ GARCIA</v>
      </c>
      <c r="U609" s="12" t="str">
        <f>IFERROR(__xludf.DUMMYFUNCTION("""COMPUTED_VALUE"""),"52532136")</f>
        <v>52532136</v>
      </c>
      <c r="V609" s="6">
        <f>IFERROR(__xludf.DUMMYFUNCTION("""COMPUTED_VALUE"""),3.204635812E9)</f>
        <v>3204635812</v>
      </c>
      <c r="W609" s="6" t="str">
        <f>IFERROR(__xludf.DUMMYFUNCTION("""COMPUTED_VALUE"""),"mariaclaralopezg@yahoo.com")</f>
        <v>mariaclaralopezg@yahoo.com</v>
      </c>
      <c r="X609" s="12" t="str">
        <f>IFERROR(__xludf.DUMMYFUNCTION("""COMPUTED_VALUE"""),"O+")</f>
        <v>O+</v>
      </c>
      <c r="Y609" s="12" t="str">
        <f>IFERROR(__xludf.DUMMYFUNCTION("""COMPUTED_VALUE"""),"8")</f>
        <v>8</v>
      </c>
      <c r="Z609" s="12">
        <f>IFERROR(__xludf.DUMMYFUNCTION("""COMPUTED_VALUE"""),103483.0)</f>
        <v>103483</v>
      </c>
      <c r="AA609" s="6" t="str">
        <f>IFERROR(__xludf.DUMMYFUNCTION("""COMPUTED_VALUE"""),"SANITAS")</f>
        <v>SANITAS</v>
      </c>
      <c r="AB609" s="6" t="str">
        <f>IFERROR(__xludf.DUMMYFUNCTION("""COMPUTED_VALUE"""),"colmedica medicina prepagada")</f>
        <v>colmedica medicina prepagada</v>
      </c>
      <c r="AC609" s="6"/>
      <c r="AD609" s="12" t="str">
        <f>IFERROR(__xludf.DUMMYFUNCTION("""COMPUTED_VALUE"""),"8A")</f>
        <v>8A</v>
      </c>
      <c r="AE609" s="12">
        <f>IFERROR(__xludf.DUMMYFUNCTION("""COMPUTED_VALUE"""),1.345281702E9)</f>
        <v>1345281702</v>
      </c>
      <c r="AF609" s="12" t="str">
        <f>IFERROR(__xludf.DUMMYFUNCTION("""COMPUTED_VALUE"""),"0696825027")</f>
        <v>0696825027</v>
      </c>
      <c r="AG609" s="12" t="str">
        <f>IFERROR(__xludf.DUMMYFUNCTION("""COMPUTED_VALUE"""),"María")</f>
        <v>María</v>
      </c>
      <c r="AH609" s="12" t="str">
        <f>IFERROR(__xludf.DUMMYFUNCTION("""COMPUTED_VALUE"""),"Clara")</f>
        <v>Clara</v>
      </c>
      <c r="AI609" s="6" t="str">
        <f>IFERROR(__xludf.DUMMYFUNCTION("""COMPUTED_VALUE"""),"López García")</f>
        <v>López García</v>
      </c>
      <c r="AJ609" s="6" t="str">
        <f>IFERROR(__xludf.DUMMYFUNCTION("""COMPUTED_VALUE"""),"mariaclaralopezg@yahoo.com")</f>
        <v>mariaclaralopezg@yahoo.com</v>
      </c>
      <c r="AK609" s="6" t="str">
        <f>IFERROR(__xludf.DUMMYFUNCTION("""COMPUTED_VALUE"""),"POLITOLOGA")</f>
        <v>POLITOLOGA</v>
      </c>
      <c r="AL609" s="6" t="str">
        <f>IFERROR(__xludf.DUMMYFUNCTION("""COMPUTED_VALUE"""),"OHSB ABOGADOS")</f>
        <v>OHSB ABOGADOS</v>
      </c>
      <c r="AM609" s="12" t="str">
        <f>IFERROR(__xludf.DUMMYFUNCTION("""COMPUTED_VALUE"""),"52532136")</f>
        <v>52532136</v>
      </c>
      <c r="AN609" s="12" t="str">
        <f>IFERROR(__xludf.DUMMYFUNCTION("""COMPUTED_VALUE"""),"3204635812")</f>
        <v>3204635812</v>
      </c>
      <c r="AO609" s="6" t="str">
        <f>IFERROR(__xludf.DUMMYFUNCTION("""COMPUTED_VALUE"""),"Madre")</f>
        <v>Madre</v>
      </c>
      <c r="AP609" s="6" t="str">
        <f>IFERROR(__xludf.DUMMYFUNCTION("""COMPUTED_VALUE"""),"Estudiante(s): Silva López")</f>
        <v>Estudiante(s): Silva López</v>
      </c>
      <c r="AQ609" s="6" t="str">
        <f>IFERROR(__xludf.DUMMYFUNCTION("""COMPUTED_VALUE"""),"103447*Gi")</f>
        <v>103447*Gi</v>
      </c>
      <c r="AR609" s="6" t="str">
        <f>IFERROR(__xludf.DUMMYFUNCTION("""COMPUTED_VALUE"""),"Oscar")</f>
        <v>Oscar</v>
      </c>
      <c r="AS609" s="6" t="str">
        <f>IFERROR(__xludf.DUMMYFUNCTION("""COMPUTED_VALUE"""),"Hernando")</f>
        <v>Hernando</v>
      </c>
      <c r="AT609" s="6" t="str">
        <f>IFERROR(__xludf.DUMMYFUNCTION("""COMPUTED_VALUE"""),"Silva Barreto")</f>
        <v>Silva Barreto</v>
      </c>
      <c r="AU609" s="6" t="str">
        <f>IFERROR(__xludf.DUMMYFUNCTION("""COMPUTED_VALUE"""),"ohsbabogados@gmail.com")</f>
        <v>ohsbabogados@gmail.com</v>
      </c>
      <c r="AV609" s="6" t="str">
        <f>IFERROR(__xludf.DUMMYFUNCTION("""COMPUTED_VALUE"""),"Abogado")</f>
        <v>Abogado</v>
      </c>
      <c r="AW609" s="6" t="str">
        <f>IFERROR(__xludf.DUMMYFUNCTION("""COMPUTED_VALUE"""),"OHSB Abogados SAS")</f>
        <v>OHSB Abogados SAS</v>
      </c>
      <c r="AX609" s="12" t="str">
        <f>IFERROR(__xludf.DUMMYFUNCTION("""COMPUTED_VALUE"""),"79981945")</f>
        <v>79981945</v>
      </c>
      <c r="AY609" s="12" t="str">
        <f>IFERROR(__xludf.DUMMYFUNCTION("""COMPUTED_VALUE"""),"3106887629")</f>
        <v>3106887629</v>
      </c>
      <c r="AZ609" s="6" t="str">
        <f>IFERROR(__xludf.DUMMYFUNCTION("""COMPUTED_VALUE"""),"Padre")</f>
        <v>Padre</v>
      </c>
      <c r="BA609" s="6"/>
      <c r="BB609" s="6"/>
      <c r="BC609" s="6"/>
      <c r="BD609" s="12" t="str">
        <f>IFERROR(__xludf.DUMMYFUNCTION("""COMPUTED_VALUE"""),"sil0003")</f>
        <v>sil0003</v>
      </c>
      <c r="BE609" s="6"/>
      <c r="BF609" s="6"/>
      <c r="BG609" s="6">
        <f>IFERROR(__xludf.DUMMYFUNCTION("""COMPUTED_VALUE"""),2031.0)</f>
        <v>2031</v>
      </c>
      <c r="BH609" s="15">
        <f>IFERROR(__xludf.DUMMYFUNCTION("""COMPUTED_VALUE"""),46211.71480324074)</f>
        <v>46211.7148</v>
      </c>
      <c r="BI609" s="6">
        <f>IFERROR(__xludf.DUMMYFUNCTION("""COMPUTED_VALUE"""),609.0)</f>
        <v>609</v>
      </c>
      <c r="BJ609" s="6"/>
      <c r="BK609" s="6"/>
      <c r="BL609" s="6" t="str">
        <f>IFERROR(__xludf.DUMMYFUNCTION("""COMPUTED_VALUE"""),"GISSIL0003")</f>
        <v>GISSIL0003</v>
      </c>
      <c r="BM609" s="6"/>
      <c r="BN609" s="6"/>
      <c r="BO609" s="6"/>
      <c r="BP609" s="6"/>
      <c r="BQ609" s="6"/>
      <c r="BR609" s="6"/>
      <c r="BS609" s="6"/>
      <c r="BT609" s="6"/>
      <c r="BU609" s="6" t="str">
        <f>IFERROR(__xludf.DUMMYFUNCTION("""COMPUTED_VALUE"""),"NO")</f>
        <v>NO</v>
      </c>
      <c r="BV609" s="6" t="str">
        <f>IFERROR(__xludf.DUMMYFUNCTION("""COMPUTED_VALUE"""),"maria.s2031")</f>
        <v>maria.s2031</v>
      </c>
      <c r="BW609" s="6"/>
      <c r="BX609" s="6"/>
      <c r="BY609" s="6"/>
      <c r="BZ609" s="6"/>
    </row>
    <row r="610">
      <c r="A610" s="12">
        <f>IFERROR(__xludf.DUMMYFUNCTION("""COMPUTED_VALUE"""),1.094949004E9)</f>
        <v>1094949004</v>
      </c>
      <c r="B610" s="6">
        <f>IFERROR(__xludf.DUMMYFUNCTION("""COMPUTED_VALUE"""),55.0)</f>
        <v>55</v>
      </c>
      <c r="C610" s="6" t="str">
        <f>IFERROR(__xludf.DUMMYFUNCTION("""COMPUTED_VALUE"""),"Juan")</f>
        <v>Juan</v>
      </c>
      <c r="D610" s="6" t="str">
        <f>IFERROR(__xludf.DUMMYFUNCTION("""COMPUTED_VALUE"""),"Martín")</f>
        <v>Martín</v>
      </c>
      <c r="E610" s="6" t="str">
        <f>IFERROR(__xludf.DUMMYFUNCTION("""COMPUTED_VALUE"""),"Téllez Santana")</f>
        <v>Téllez Santana</v>
      </c>
      <c r="F610" s="6" t="str">
        <f>IFERROR(__xludf.DUMMYFUNCTION("""COMPUTED_VALUE"""),"Parque Residencial Ciudad Real Casa A6 - Cra 11 No24Nte 75")</f>
        <v>Parque Residencial Ciudad Real Casa A6 - Cra 11 No24Nte 75</v>
      </c>
      <c r="G610" s="12" t="str">
        <f>IFERROR(__xludf.DUMMYFUNCTION("""COMPUTED_VALUE"""),"2013")</f>
        <v>2013</v>
      </c>
      <c r="H610" s="6" t="str">
        <f>IFERROR(__xludf.DUMMYFUNCTION("""COMPUTED_VALUE"""),"Mayo")</f>
        <v>Mayo</v>
      </c>
      <c r="I610" s="12" t="str">
        <f>IFERROR(__xludf.DUMMYFUNCTION("""COMPUTED_VALUE"""),"14")</f>
        <v>14</v>
      </c>
      <c r="J610" s="6" t="str">
        <f>IFERROR(__xludf.DUMMYFUNCTION("""COMPUTED_VALUE"""),"Armenia")</f>
        <v>Armenia</v>
      </c>
      <c r="K610" s="6" t="str">
        <f>IFERROR(__xludf.DUMMYFUNCTION("""COMPUTED_VALUE"""),"juan.t2031@gi.edu.co")</f>
        <v>juan.t2031@gi.edu.co</v>
      </c>
      <c r="L610" s="6" t="str">
        <f>IFERROR(__xludf.DUMMYFUNCTION("""COMPUTED_VALUE"""),"TI")</f>
        <v>TI</v>
      </c>
      <c r="M610" s="6" t="str">
        <f>IFERROR(__xludf.DUMMYFUNCTION("""COMPUTED_VALUE"""),"Armenia")</f>
        <v>Armenia</v>
      </c>
      <c r="N610" s="6" t="str">
        <f>IFERROR(__xludf.DUMMYFUNCTION("""COMPUTED_VALUE"""),"M")</f>
        <v>M</v>
      </c>
      <c r="O610" s="6" t="str">
        <f>IFERROR(__xludf.DUMMYFUNCTION("""COMPUTED_VALUE"""),"ACTIVE")</f>
        <v>ACTIVE</v>
      </c>
      <c r="P610" s="6"/>
      <c r="Q610" s="6" t="str">
        <f>IFERROR(__xludf.DUMMYFUNCTION("""COMPUTED_VALUE"""),"Armenia")</f>
        <v>Armenia</v>
      </c>
      <c r="R610" s="12" t="str">
        <f>IFERROR(__xludf.DUMMYFUNCTION("""COMPUTED_VALUE"""),"Gicfwy7658*")</f>
        <v>Gicfwy7658*</v>
      </c>
      <c r="S610" s="6" t="str">
        <f>IFERROR(__xludf.DUMMYFUNCTION("""COMPUTED_VALUE"""),"Téllez Santana Juan Martín")</f>
        <v>Téllez Santana Juan Martín</v>
      </c>
      <c r="T610" s="6" t="str">
        <f>IFERROR(__xludf.DUMMYFUNCTION("""COMPUTED_VALUE"""),"JULIÁN ANDRÉS TÉLLEZ TRUJILLO")</f>
        <v>JULIÁN ANDRÉS TÉLLEZ TRUJILLO</v>
      </c>
      <c r="U610" s="12" t="str">
        <f>IFERROR(__xludf.DUMMYFUNCTION("""COMPUTED_VALUE"""),"9726060")</f>
        <v>9726060</v>
      </c>
      <c r="V610" s="6">
        <f>IFERROR(__xludf.DUMMYFUNCTION("""COMPUTED_VALUE"""),3.007296578E9)</f>
        <v>3007296578</v>
      </c>
      <c r="W610" s="6" t="str">
        <f>IFERROR(__xludf.DUMMYFUNCTION("""COMPUTED_VALUE"""),"juliantellez@hotmail.com")</f>
        <v>juliantellez@hotmail.com</v>
      </c>
      <c r="X610" s="12" t="str">
        <f>IFERROR(__xludf.DUMMYFUNCTION("""COMPUTED_VALUE"""),"O+")</f>
        <v>O+</v>
      </c>
      <c r="Y610" s="12" t="str">
        <f>IFERROR(__xludf.DUMMYFUNCTION("""COMPUTED_VALUE"""),"8")</f>
        <v>8</v>
      </c>
      <c r="Z610" s="12">
        <f>IFERROR(__xludf.DUMMYFUNCTION("""COMPUTED_VALUE"""),103484.0)</f>
        <v>103484</v>
      </c>
      <c r="AA610" s="6" t="str">
        <f>IFERROR(__xludf.DUMMYFUNCTION("""COMPUTED_VALUE"""),"SURA")</f>
        <v>SURA</v>
      </c>
      <c r="AB610" s="6"/>
      <c r="AC610" s="6"/>
      <c r="AD610" s="12" t="str">
        <f>IFERROR(__xludf.DUMMYFUNCTION("""COMPUTED_VALUE"""),"8B")</f>
        <v>8B</v>
      </c>
      <c r="AE610" s="12">
        <f>IFERROR(__xludf.DUMMYFUNCTION("""COMPUTED_VALUE"""),1.345281712E9)</f>
        <v>1345281712</v>
      </c>
      <c r="AF610" s="12" t="str">
        <f>IFERROR(__xludf.DUMMYFUNCTION("""COMPUTED_VALUE"""),"0694411587")</f>
        <v>0694411587</v>
      </c>
      <c r="AG610" s="12" t="str">
        <f>IFERROR(__xludf.DUMMYFUNCTION("""COMPUTED_VALUE"""),"Luz")</f>
        <v>Luz</v>
      </c>
      <c r="AH610" s="12" t="str">
        <f>IFERROR(__xludf.DUMMYFUNCTION("""COMPUTED_VALUE"""),"Clarena")</f>
        <v>Clarena</v>
      </c>
      <c r="AI610" s="6" t="str">
        <f>IFERROR(__xludf.DUMMYFUNCTION("""COMPUTED_VALUE"""),"Santana Sierra")</f>
        <v>Santana Sierra</v>
      </c>
      <c r="AJ610" s="6" t="str">
        <f>IFERROR(__xludf.DUMMYFUNCTION("""COMPUTED_VALUE"""),"clarenasantana@hotmail.com")</f>
        <v>clarenasantana@hotmail.com</v>
      </c>
      <c r="AK610" s="6" t="str">
        <f>IFERROR(__xludf.DUMMYFUNCTION("""COMPUTED_VALUE"""),"MEDICO ESPECIALISTA")</f>
        <v>MEDICO ESPECIALISTA</v>
      </c>
      <c r="AL610" s="6" t="str">
        <f>IFERROR(__xludf.DUMMYFUNCTION("""COMPUTED_VALUE"""),"CLINICA SAGRADA FAMILIA")</f>
        <v>CLINICA SAGRADA FAMILIA</v>
      </c>
      <c r="AM610" s="12" t="str">
        <f>IFERROR(__xludf.DUMMYFUNCTION("""COMPUTED_VALUE"""),"41930403")</f>
        <v>41930403</v>
      </c>
      <c r="AN610" s="12" t="str">
        <f>IFERROR(__xludf.DUMMYFUNCTION("""COMPUTED_VALUE"""),"3005706071")</f>
        <v>3005706071</v>
      </c>
      <c r="AO610" s="6" t="str">
        <f>IFERROR(__xludf.DUMMYFUNCTION("""COMPUTED_VALUE"""),"Madre")</f>
        <v>Madre</v>
      </c>
      <c r="AP610" s="6" t="str">
        <f>IFERROR(__xludf.DUMMYFUNCTION("""COMPUTED_VALUE"""),"Estudiante(s): Téllez Santana")</f>
        <v>Estudiante(s): Téllez Santana</v>
      </c>
      <c r="AQ610" s="6" t="str">
        <f>IFERROR(__xludf.DUMMYFUNCTION("""COMPUTED_VALUE"""),"103254*Gi")</f>
        <v>103254*Gi</v>
      </c>
      <c r="AR610" s="6" t="str">
        <f>IFERROR(__xludf.DUMMYFUNCTION("""COMPUTED_VALUE"""),"Julián")</f>
        <v>Julián</v>
      </c>
      <c r="AS610" s="6" t="str">
        <f>IFERROR(__xludf.DUMMYFUNCTION("""COMPUTED_VALUE"""),"Andrés")</f>
        <v>Andrés</v>
      </c>
      <c r="AT610" s="6" t="str">
        <f>IFERROR(__xludf.DUMMYFUNCTION("""COMPUTED_VALUE"""),"Téllez Trujillo")</f>
        <v>Téllez Trujillo</v>
      </c>
      <c r="AU610" s="6" t="str">
        <f>IFERROR(__xludf.DUMMYFUNCTION("""COMPUTED_VALUE"""),"juliantellez@hotmail.com")</f>
        <v>juliantellez@hotmail.com</v>
      </c>
      <c r="AV610" s="6" t="str">
        <f>IFERROR(__xludf.DUMMYFUNCTION("""COMPUTED_VALUE"""),"ABOGADO")</f>
        <v>ABOGADO</v>
      </c>
      <c r="AW610" s="6"/>
      <c r="AX610" s="12" t="str">
        <f>IFERROR(__xludf.DUMMYFUNCTION("""COMPUTED_VALUE"""),"9726060")</f>
        <v>9726060</v>
      </c>
      <c r="AY610" s="12" t="str">
        <f>IFERROR(__xludf.DUMMYFUNCTION("""COMPUTED_VALUE"""),"3007296578")</f>
        <v>3007296578</v>
      </c>
      <c r="AZ610" s="6" t="str">
        <f>IFERROR(__xludf.DUMMYFUNCTION("""COMPUTED_VALUE"""),"Padre")</f>
        <v>Padre</v>
      </c>
      <c r="BA610" s="6"/>
      <c r="BB610" s="6"/>
      <c r="BC610" s="6"/>
      <c r="BD610" s="12" t="str">
        <f>IFERROR(__xludf.DUMMYFUNCTION("""COMPUTED_VALUE"""),"tel0001")</f>
        <v>tel0001</v>
      </c>
      <c r="BE610" s="6"/>
      <c r="BF610" s="6"/>
      <c r="BG610" s="6">
        <f>IFERROR(__xludf.DUMMYFUNCTION("""COMPUTED_VALUE"""),2031.0)</f>
        <v>2031</v>
      </c>
      <c r="BH610" s="15">
        <f>IFERROR(__xludf.DUMMYFUNCTION("""COMPUTED_VALUE"""),46211.49203703704)</f>
        <v>46211.49204</v>
      </c>
      <c r="BI610" s="6">
        <f>IFERROR(__xludf.DUMMYFUNCTION("""COMPUTED_VALUE"""),610.0)</f>
        <v>610</v>
      </c>
      <c r="BJ610" s="6"/>
      <c r="BK610" s="6"/>
      <c r="BL610" s="6" t="str">
        <f>IFERROR(__xludf.DUMMYFUNCTION("""COMPUTED_VALUE"""),"GISTEL0001")</f>
        <v>GISTEL0001</v>
      </c>
      <c r="BM610" s="6"/>
      <c r="BN610" s="6"/>
      <c r="BO610" s="6"/>
      <c r="BP610" s="6"/>
      <c r="BQ610" s="6"/>
      <c r="BR610" s="6"/>
      <c r="BS610" s="6"/>
      <c r="BT610" s="6"/>
      <c r="BU610" s="6" t="str">
        <f>IFERROR(__xludf.DUMMYFUNCTION("""COMPUTED_VALUE"""),"SI")</f>
        <v>SI</v>
      </c>
      <c r="BV610" s="6" t="str">
        <f>IFERROR(__xludf.DUMMYFUNCTION("""COMPUTED_VALUE"""),"juan.t2031")</f>
        <v>juan.t2031</v>
      </c>
      <c r="BW610" s="6"/>
      <c r="BX610" s="6"/>
      <c r="BY610" s="6"/>
      <c r="BZ610" s="6"/>
    </row>
    <row r="611">
      <c r="A611" s="12">
        <f>IFERROR(__xludf.DUMMYFUNCTION("""COMPUTED_VALUE"""),1.092857082E9)</f>
        <v>1092857082</v>
      </c>
      <c r="B611" s="6">
        <f>IFERROR(__xludf.DUMMYFUNCTION("""COMPUTED_VALUE"""),56.0)</f>
        <v>56</v>
      </c>
      <c r="C611" s="6" t="str">
        <f>IFERROR(__xludf.DUMMYFUNCTION("""COMPUTED_VALUE"""),"Luciana")</f>
        <v>Luciana</v>
      </c>
      <c r="D611" s="6"/>
      <c r="E611" s="6" t="str">
        <f>IFERROR(__xludf.DUMMYFUNCTION("""COMPUTED_VALUE"""),"Tisnés Pachón")</f>
        <v>Tisnés Pachón</v>
      </c>
      <c r="F611" s="6" t="str">
        <f>IFERROR(__xludf.DUMMYFUNCTION("""COMPUTED_VALUE"""),"Lagos de Iraka Casas de Campo Casa 22A - Km 7 Via Armenia - El Caimo")</f>
        <v>Lagos de Iraka Casas de Campo Casa 22A - Km 7 Via Armenia - El Caimo</v>
      </c>
      <c r="G611" s="12" t="str">
        <f>IFERROR(__xludf.DUMMYFUNCTION("""COMPUTED_VALUE"""),"2013")</f>
        <v>2013</v>
      </c>
      <c r="H611" s="6" t="str">
        <f>IFERROR(__xludf.DUMMYFUNCTION("""COMPUTED_VALUE"""),"Septiembre")</f>
        <v>Septiembre</v>
      </c>
      <c r="I611" s="12" t="str">
        <f>IFERROR(__xludf.DUMMYFUNCTION("""COMPUTED_VALUE"""),"4")</f>
        <v>4</v>
      </c>
      <c r="J611" s="6" t="str">
        <f>IFERROR(__xludf.DUMMYFUNCTION("""COMPUTED_VALUE"""),"Armenia")</f>
        <v>Armenia</v>
      </c>
      <c r="K611" s="6" t="str">
        <f>IFERROR(__xludf.DUMMYFUNCTION("""COMPUTED_VALUE"""),"luciana.t2031@gi.edu.co")</f>
        <v>luciana.t2031@gi.edu.co</v>
      </c>
      <c r="L611" s="6" t="str">
        <f>IFERROR(__xludf.DUMMYFUNCTION("""COMPUTED_VALUE"""),"RC")</f>
        <v>RC</v>
      </c>
      <c r="M611" s="6" t="str">
        <f>IFERROR(__xludf.DUMMYFUNCTION("""COMPUTED_VALUE"""),"Armenia")</f>
        <v>Armenia</v>
      </c>
      <c r="N611" s="6" t="str">
        <f>IFERROR(__xludf.DUMMYFUNCTION("""COMPUTED_VALUE"""),"F")</f>
        <v>F</v>
      </c>
      <c r="O611" s="6" t="str">
        <f>IFERROR(__xludf.DUMMYFUNCTION("""COMPUTED_VALUE"""),"INACTIVE")</f>
        <v>INACTIVE</v>
      </c>
      <c r="P611" s="6"/>
      <c r="Q611" s="6" t="str">
        <f>IFERROR(__xludf.DUMMYFUNCTION("""COMPUTED_VALUE"""),"Armenia")</f>
        <v>Armenia</v>
      </c>
      <c r="R611" s="12" t="str">
        <f>IFERROR(__xludf.DUMMYFUNCTION("""COMPUTED_VALUE"""),"Gi3d9j5d7h*")</f>
        <v>Gi3d9j5d7h*</v>
      </c>
      <c r="S611" s="6" t="str">
        <f>IFERROR(__xludf.DUMMYFUNCTION("""COMPUTED_VALUE"""),"Tisnés Pachón Luciana ")</f>
        <v>Tisnés Pachón Luciana </v>
      </c>
      <c r="T611" s="6" t="str">
        <f>IFERROR(__xludf.DUMMYFUNCTION("""COMPUTED_VALUE"""),"SEBASTIAN TISNES FERNANDEZ")</f>
        <v>SEBASTIAN TISNES FERNANDEZ</v>
      </c>
      <c r="U611" s="12" t="str">
        <f>IFERROR(__xludf.DUMMYFUNCTION("""COMPUTED_VALUE"""),"4377993")</f>
        <v>4377993</v>
      </c>
      <c r="V611" s="6">
        <f>IFERROR(__xludf.DUMMYFUNCTION("""COMPUTED_VALUE"""),3.186297609E9)</f>
        <v>3186297609</v>
      </c>
      <c r="W611" s="6" t="str">
        <f>IFERROR(__xludf.DUMMYFUNCTION("""COMPUTED_VALUE"""),"sebastian.tisnes@hotmail.com")</f>
        <v>sebastian.tisnes@hotmail.com</v>
      </c>
      <c r="X611" s="12" t="str">
        <f>IFERROR(__xludf.DUMMYFUNCTION("""COMPUTED_VALUE"""),"O+")</f>
        <v>O+</v>
      </c>
      <c r="Y611" s="12" t="str">
        <f>IFERROR(__xludf.DUMMYFUNCTION("""COMPUTED_VALUE"""),"8")</f>
        <v>8</v>
      </c>
      <c r="Z611" s="12">
        <f>IFERROR(__xludf.DUMMYFUNCTION("""COMPUTED_VALUE"""),103419.0)</f>
        <v>103419</v>
      </c>
      <c r="AA611" s="6" t="str">
        <f>IFERROR(__xludf.DUMMYFUNCTION("""COMPUTED_VALUE"""),"SURA")</f>
        <v>SURA</v>
      </c>
      <c r="AB611" s="6"/>
      <c r="AC611" s="6"/>
      <c r="AD611" s="12" t="str">
        <f>IFERROR(__xludf.DUMMYFUNCTION("""COMPUTED_VALUE"""),"8B")</f>
        <v>8B</v>
      </c>
      <c r="AE611" s="12">
        <f>IFERROR(__xludf.DUMMYFUNCTION("""COMPUTED_VALUE"""),1.345281685E9)</f>
        <v>1345281685</v>
      </c>
      <c r="AF611" s="12" t="str">
        <f>IFERROR(__xludf.DUMMYFUNCTION("""COMPUTED_VALUE"""),"2890042355")</f>
        <v>2890042355</v>
      </c>
      <c r="AG611" s="12" t="str">
        <f>IFERROR(__xludf.DUMMYFUNCTION("""COMPUTED_VALUE"""),"Nathalia")</f>
        <v>Nathalia</v>
      </c>
      <c r="AH611" s="12" t="str">
        <f>IFERROR(__xludf.DUMMYFUNCTION("""COMPUTED_VALUE"""),"Marcela")</f>
        <v>Marcela</v>
      </c>
      <c r="AI611" s="6" t="str">
        <f>IFERROR(__xludf.DUMMYFUNCTION("""COMPUTED_VALUE"""),"Pachón Ocampo")</f>
        <v>Pachón Ocampo</v>
      </c>
      <c r="AJ611" s="6" t="str">
        <f>IFERROR(__xludf.DUMMYFUNCTION("""COMPUTED_VALUE"""),"nathalia.pachon3@gmail.com")</f>
        <v>nathalia.pachon3@gmail.com</v>
      </c>
      <c r="AK611" s="6" t="str">
        <f>IFERROR(__xludf.DUMMYFUNCTION("""COMPUTED_VALUE"""),"PSICOLOGA")</f>
        <v>PSICOLOGA</v>
      </c>
      <c r="AL611" s="6" t="str">
        <f>IFERROR(__xludf.DUMMYFUNCTION("""COMPUTED_VALUE"""),"VALU COMERCIAL")</f>
        <v>VALU COMERCIAL</v>
      </c>
      <c r="AM611" s="12" t="str">
        <f>IFERROR(__xludf.DUMMYFUNCTION("""COMPUTED_VALUE"""),"41962317")</f>
        <v>41962317</v>
      </c>
      <c r="AN611" s="12" t="str">
        <f>IFERROR(__xludf.DUMMYFUNCTION("""COMPUTED_VALUE"""),"3186297591")</f>
        <v>3186297591</v>
      </c>
      <c r="AO611" s="6" t="str">
        <f>IFERROR(__xludf.DUMMYFUNCTION("""COMPUTED_VALUE"""),"Madre")</f>
        <v>Madre</v>
      </c>
      <c r="AP611" s="6" t="str">
        <f>IFERROR(__xludf.DUMMYFUNCTION("""COMPUTED_VALUE"""),"Estudiante(s): Tisnés Pachón")</f>
        <v>Estudiante(s): Tisnés Pachón</v>
      </c>
      <c r="AQ611" s="6" t="str">
        <f>IFERROR(__xludf.DUMMYFUNCTION("""COMPUTED_VALUE"""),"103386*Gi")</f>
        <v>103386*Gi</v>
      </c>
      <c r="AR611" s="6" t="str">
        <f>IFERROR(__xludf.DUMMYFUNCTION("""COMPUTED_VALUE"""),"Sebastián")</f>
        <v>Sebastián</v>
      </c>
      <c r="AS611" s="6"/>
      <c r="AT611" s="6" t="str">
        <f>IFERROR(__xludf.DUMMYFUNCTION("""COMPUTED_VALUE"""),"Tisnés Fernández")</f>
        <v>Tisnés Fernández</v>
      </c>
      <c r="AU611" s="6" t="str">
        <f>IFERROR(__xludf.DUMMYFUNCTION("""COMPUTED_VALUE"""),"sebastian.tisnes@hotmail.com")</f>
        <v>sebastian.tisnes@hotmail.com</v>
      </c>
      <c r="AV611" s="6" t="str">
        <f>IFERROR(__xludf.DUMMYFUNCTION("""COMPUTED_VALUE"""),"Ing Electrónico")</f>
        <v>Ing Electrónico</v>
      </c>
      <c r="AW611" s="6" t="str">
        <f>IFERROR(__xludf.DUMMYFUNCTION("""COMPUTED_VALUE"""),"Building technology")</f>
        <v>Building technology</v>
      </c>
      <c r="AX611" s="12" t="str">
        <f>IFERROR(__xludf.DUMMYFUNCTION("""COMPUTED_VALUE"""),"4377993")</f>
        <v>4377993</v>
      </c>
      <c r="AY611" s="12" t="str">
        <f>IFERROR(__xludf.DUMMYFUNCTION("""COMPUTED_VALUE"""),"3186297609")</f>
        <v>3186297609</v>
      </c>
      <c r="AZ611" s="6" t="str">
        <f>IFERROR(__xludf.DUMMYFUNCTION("""COMPUTED_VALUE"""),"Padre")</f>
        <v>Padre</v>
      </c>
      <c r="BA611" s="6"/>
      <c r="BB611" s="6"/>
      <c r="BC611" s="6"/>
      <c r="BD611" s="12" t="str">
        <f>IFERROR(__xludf.DUMMYFUNCTION("""COMPUTED_VALUE"""),"tis0001")</f>
        <v>tis0001</v>
      </c>
      <c r="BE611" s="6" t="str">
        <f>IFERROR(__xludf.DUMMYFUNCTION("""COMPUTED_VALUE"""),"FALTAN FIRMAS")</f>
        <v>FALTAN FIRMAS</v>
      </c>
      <c r="BF611" s="6"/>
      <c r="BG611" s="6">
        <f>IFERROR(__xludf.DUMMYFUNCTION("""COMPUTED_VALUE"""),2031.0)</f>
        <v>2031</v>
      </c>
      <c r="BH611" s="15">
        <f>IFERROR(__xludf.DUMMYFUNCTION("""COMPUTED_VALUE"""),46212.55946759259)</f>
        <v>46212.55947</v>
      </c>
      <c r="BI611" s="6">
        <f>IFERROR(__xludf.DUMMYFUNCTION("""COMPUTED_VALUE"""),611.0)</f>
        <v>611</v>
      </c>
      <c r="BJ611" s="6"/>
      <c r="BK611" s="6"/>
      <c r="BL611" s="6" t="str">
        <f>IFERROR(__xludf.DUMMYFUNCTION("""COMPUTED_VALUE"""),"GISTIS0001")</f>
        <v>GISTIS0001</v>
      </c>
      <c r="BM611" s="6"/>
      <c r="BN611" s="6"/>
      <c r="BO611" s="6" t="str">
        <f>IFERROR(__xludf.DUMMYFUNCTION("""COMPUTED_VALUE"""),"XC_SEC_Futbol_F")</f>
        <v>XC_SEC_Futbol_F</v>
      </c>
      <c r="BP611" s="6"/>
      <c r="BQ611" s="6" t="str">
        <f>IFERROR(__xludf.DUMMYFUNCTION("""COMPUTED_VALUE"""),"XC_SEC_Futbol_F")</f>
        <v>XC_SEC_Futbol_F</v>
      </c>
      <c r="BR611" s="6" t="str">
        <f>IFERROR(__xludf.DUMMYFUNCTION("""COMPUTED_VALUE"""),"XC_SEC_Futbol_F")</f>
        <v>XC_SEC_Futbol_F</v>
      </c>
      <c r="BS611" s="6"/>
      <c r="BT611" s="6" t="str">
        <f>IFERROR(__xludf.DUMMYFUNCTION("""COMPUTED_VALUE"""),"XC_SEC_Futbol_F")</f>
        <v>XC_SEC_Futbol_F</v>
      </c>
      <c r="BU611" s="6" t="str">
        <f>IFERROR(__xludf.DUMMYFUNCTION("""COMPUTED_VALUE"""),"SI")</f>
        <v>SI</v>
      </c>
      <c r="BV611" s="6" t="str">
        <f>IFERROR(__xludf.DUMMYFUNCTION("""COMPUTED_VALUE"""),"luciana.t2031")</f>
        <v>luciana.t2031</v>
      </c>
      <c r="BW611" s="6"/>
      <c r="BX611" s="6"/>
      <c r="BY611" s="6"/>
      <c r="BZ611" s="6"/>
    </row>
    <row r="612">
      <c r="A612" s="12">
        <f>IFERROR(__xludf.DUMMYFUNCTION("""COMPUTED_VALUE"""),1.092857083E9)</f>
        <v>1092857083</v>
      </c>
      <c r="B612" s="6">
        <f>IFERROR(__xludf.DUMMYFUNCTION("""COMPUTED_VALUE"""),57.0)</f>
        <v>57</v>
      </c>
      <c r="C612" s="6" t="str">
        <f>IFERROR(__xludf.DUMMYFUNCTION("""COMPUTED_VALUE"""),"Valeria")</f>
        <v>Valeria</v>
      </c>
      <c r="D612" s="6"/>
      <c r="E612" s="6" t="str">
        <f>IFERROR(__xludf.DUMMYFUNCTION("""COMPUTED_VALUE"""),"Tisnés Pachón")</f>
        <v>Tisnés Pachón</v>
      </c>
      <c r="F612" s="6" t="str">
        <f>IFERROR(__xludf.DUMMYFUNCTION("""COMPUTED_VALUE"""),"Lagos de Iraka Casas de Campo Casa 22A - Km 7 Via Armenia - El Caimo")</f>
        <v>Lagos de Iraka Casas de Campo Casa 22A - Km 7 Via Armenia - El Caimo</v>
      </c>
      <c r="G612" s="12" t="str">
        <f>IFERROR(__xludf.DUMMYFUNCTION("""COMPUTED_VALUE"""),"2013")</f>
        <v>2013</v>
      </c>
      <c r="H612" s="6" t="str">
        <f>IFERROR(__xludf.DUMMYFUNCTION("""COMPUTED_VALUE"""),"Septiembre")</f>
        <v>Septiembre</v>
      </c>
      <c r="I612" s="12" t="str">
        <f>IFERROR(__xludf.DUMMYFUNCTION("""COMPUTED_VALUE"""),"4")</f>
        <v>4</v>
      </c>
      <c r="J612" s="6" t="str">
        <f>IFERROR(__xludf.DUMMYFUNCTION("""COMPUTED_VALUE"""),"Armenia")</f>
        <v>Armenia</v>
      </c>
      <c r="K612" s="6" t="str">
        <f>IFERROR(__xludf.DUMMYFUNCTION("""COMPUTED_VALUE"""),"valeria.t2031@gi.edu.co")</f>
        <v>valeria.t2031@gi.edu.co</v>
      </c>
      <c r="L612" s="6" t="str">
        <f>IFERROR(__xludf.DUMMYFUNCTION("""COMPUTED_VALUE"""),"RC")</f>
        <v>RC</v>
      </c>
      <c r="M612" s="6" t="str">
        <f>IFERROR(__xludf.DUMMYFUNCTION("""COMPUTED_VALUE"""),"Armenia")</f>
        <v>Armenia</v>
      </c>
      <c r="N612" s="6" t="str">
        <f>IFERROR(__xludf.DUMMYFUNCTION("""COMPUTED_VALUE"""),"F")</f>
        <v>F</v>
      </c>
      <c r="O612" s="6" t="str">
        <f>IFERROR(__xludf.DUMMYFUNCTION("""COMPUTED_VALUE"""),"INACTIVE")</f>
        <v>INACTIVE</v>
      </c>
      <c r="P612" s="6"/>
      <c r="Q612" s="6" t="str">
        <f>IFERROR(__xludf.DUMMYFUNCTION("""COMPUTED_VALUE"""),"Armenia")</f>
        <v>Armenia</v>
      </c>
      <c r="R612" s="12" t="str">
        <f>IFERROR(__xludf.DUMMYFUNCTION("""COMPUTED_VALUE"""),"Gi3d7c92s4*")</f>
        <v>Gi3d7c92s4*</v>
      </c>
      <c r="S612" s="6" t="str">
        <f>IFERROR(__xludf.DUMMYFUNCTION("""COMPUTED_VALUE"""),"Tisnés Pachón Valeria ")</f>
        <v>Tisnés Pachón Valeria </v>
      </c>
      <c r="T612" s="6" t="str">
        <f>IFERROR(__xludf.DUMMYFUNCTION("""COMPUTED_VALUE"""),"SEBASTIAN TISNES FERNANDEZ")</f>
        <v>SEBASTIAN TISNES FERNANDEZ</v>
      </c>
      <c r="U612" s="12" t="str">
        <f>IFERROR(__xludf.DUMMYFUNCTION("""COMPUTED_VALUE"""),"4377993")</f>
        <v>4377993</v>
      </c>
      <c r="V612" s="6">
        <f>IFERROR(__xludf.DUMMYFUNCTION("""COMPUTED_VALUE"""),3.186297609E9)</f>
        <v>3186297609</v>
      </c>
      <c r="W612" s="6" t="str">
        <f>IFERROR(__xludf.DUMMYFUNCTION("""COMPUTED_VALUE"""),"sebastian.tisnes@hotmail.com")</f>
        <v>sebastian.tisnes@hotmail.com</v>
      </c>
      <c r="X612" s="12" t="str">
        <f>IFERROR(__xludf.DUMMYFUNCTION("""COMPUTED_VALUE"""),"O+")</f>
        <v>O+</v>
      </c>
      <c r="Y612" s="12" t="str">
        <f>IFERROR(__xludf.DUMMYFUNCTION("""COMPUTED_VALUE"""),"8")</f>
        <v>8</v>
      </c>
      <c r="Z612" s="12">
        <f>IFERROR(__xludf.DUMMYFUNCTION("""COMPUTED_VALUE"""),103420.0)</f>
        <v>103420</v>
      </c>
      <c r="AA612" s="6" t="str">
        <f>IFERROR(__xludf.DUMMYFUNCTION("""COMPUTED_VALUE"""),"SURA")</f>
        <v>SURA</v>
      </c>
      <c r="AB612" s="6"/>
      <c r="AC612" s="12" t="str">
        <f>IFERROR(__xludf.DUMMYFUNCTION("""COMPUTED_VALUE"""),"TOPICAS - RESPIRATORIAS")</f>
        <v>TOPICAS - RESPIRATORIAS</v>
      </c>
      <c r="AD612" s="12" t="str">
        <f>IFERROR(__xludf.DUMMYFUNCTION("""COMPUTED_VALUE"""),"8A")</f>
        <v>8A</v>
      </c>
      <c r="AE612" s="12">
        <f>IFERROR(__xludf.DUMMYFUNCTION("""COMPUTED_VALUE"""),1.345281684E9)</f>
        <v>1345281684</v>
      </c>
      <c r="AF612" s="12" t="str">
        <f>IFERROR(__xludf.DUMMYFUNCTION("""COMPUTED_VALUE"""),"0697567059")</f>
        <v>0697567059</v>
      </c>
      <c r="AG612" s="12" t="str">
        <f>IFERROR(__xludf.DUMMYFUNCTION("""COMPUTED_VALUE"""),"Nathalia")</f>
        <v>Nathalia</v>
      </c>
      <c r="AH612" s="12" t="str">
        <f>IFERROR(__xludf.DUMMYFUNCTION("""COMPUTED_VALUE"""),"Marcela")</f>
        <v>Marcela</v>
      </c>
      <c r="AI612" s="6" t="str">
        <f>IFERROR(__xludf.DUMMYFUNCTION("""COMPUTED_VALUE"""),"Pachón Ocampo")</f>
        <v>Pachón Ocampo</v>
      </c>
      <c r="AJ612" s="6" t="str">
        <f>IFERROR(__xludf.DUMMYFUNCTION("""COMPUTED_VALUE"""),"nathalia.pachon3@gmail.com")</f>
        <v>nathalia.pachon3@gmail.com</v>
      </c>
      <c r="AK612" s="6" t="str">
        <f>IFERROR(__xludf.DUMMYFUNCTION("""COMPUTED_VALUE"""),"PSICOLOGA")</f>
        <v>PSICOLOGA</v>
      </c>
      <c r="AL612" s="6" t="str">
        <f>IFERROR(__xludf.DUMMYFUNCTION("""COMPUTED_VALUE"""),"VALU COMERCIAL")</f>
        <v>VALU COMERCIAL</v>
      </c>
      <c r="AM612" s="12" t="str">
        <f>IFERROR(__xludf.DUMMYFUNCTION("""COMPUTED_VALUE"""),"41962317")</f>
        <v>41962317</v>
      </c>
      <c r="AN612" s="12" t="str">
        <f>IFERROR(__xludf.DUMMYFUNCTION("""COMPUTED_VALUE"""),"3186297591")</f>
        <v>3186297591</v>
      </c>
      <c r="AO612" s="6" t="str">
        <f>IFERROR(__xludf.DUMMYFUNCTION("""COMPUTED_VALUE"""),"Madre")</f>
        <v>Madre</v>
      </c>
      <c r="AP612" s="6" t="str">
        <f>IFERROR(__xludf.DUMMYFUNCTION("""COMPUTED_VALUE"""),"Estudiante(s): Tisnés Pachón")</f>
        <v>Estudiante(s): Tisnés Pachón</v>
      </c>
      <c r="AQ612" s="6" t="str">
        <f>IFERROR(__xludf.DUMMYFUNCTION("""COMPUTED_VALUE"""),"103386*Gi")</f>
        <v>103386*Gi</v>
      </c>
      <c r="AR612" s="6" t="str">
        <f>IFERROR(__xludf.DUMMYFUNCTION("""COMPUTED_VALUE"""),"Sebastián")</f>
        <v>Sebastián</v>
      </c>
      <c r="AS612" s="6"/>
      <c r="AT612" s="6" t="str">
        <f>IFERROR(__xludf.DUMMYFUNCTION("""COMPUTED_VALUE"""),"Tisnés Fernández")</f>
        <v>Tisnés Fernández</v>
      </c>
      <c r="AU612" s="6" t="str">
        <f>IFERROR(__xludf.DUMMYFUNCTION("""COMPUTED_VALUE"""),"sebastian.tisnes@hotmail.com")</f>
        <v>sebastian.tisnes@hotmail.com</v>
      </c>
      <c r="AV612" s="6" t="str">
        <f>IFERROR(__xludf.DUMMYFUNCTION("""COMPUTED_VALUE"""),"Ing Electrónico")</f>
        <v>Ing Electrónico</v>
      </c>
      <c r="AW612" s="6" t="str">
        <f>IFERROR(__xludf.DUMMYFUNCTION("""COMPUTED_VALUE"""),"Building technology")</f>
        <v>Building technology</v>
      </c>
      <c r="AX612" s="12" t="str">
        <f>IFERROR(__xludf.DUMMYFUNCTION("""COMPUTED_VALUE"""),"4377993")</f>
        <v>4377993</v>
      </c>
      <c r="AY612" s="12" t="str">
        <f>IFERROR(__xludf.DUMMYFUNCTION("""COMPUTED_VALUE"""),"3186297609")</f>
        <v>3186297609</v>
      </c>
      <c r="AZ612" s="6" t="str">
        <f>IFERROR(__xludf.DUMMYFUNCTION("""COMPUTED_VALUE"""),"Padre")</f>
        <v>Padre</v>
      </c>
      <c r="BA612" s="6"/>
      <c r="BB612" s="6"/>
      <c r="BC612" s="6"/>
      <c r="BD612" s="12" t="str">
        <f>IFERROR(__xludf.DUMMYFUNCTION("""COMPUTED_VALUE"""),"tis0001")</f>
        <v>tis0001</v>
      </c>
      <c r="BE612" s="6" t="str">
        <f>IFERROR(__xludf.DUMMYFUNCTION("""COMPUTED_VALUE"""),"FALTAN FIRMAS")</f>
        <v>FALTAN FIRMAS</v>
      </c>
      <c r="BF612" s="6"/>
      <c r="BG612" s="6">
        <f>IFERROR(__xludf.DUMMYFUNCTION("""COMPUTED_VALUE"""),2031.0)</f>
        <v>2031</v>
      </c>
      <c r="BH612" s="15">
        <f>IFERROR(__xludf.DUMMYFUNCTION("""COMPUTED_VALUE"""),46212.56015046296)</f>
        <v>46212.56015</v>
      </c>
      <c r="BI612" s="6">
        <f>IFERROR(__xludf.DUMMYFUNCTION("""COMPUTED_VALUE"""),612.0)</f>
        <v>612</v>
      </c>
      <c r="BJ612" s="6"/>
      <c r="BK612" s="6"/>
      <c r="BL612" s="6" t="str">
        <f>IFERROR(__xludf.DUMMYFUNCTION("""COMPUTED_VALUE"""),"GISTIS0001")</f>
        <v>GISTIS0001</v>
      </c>
      <c r="BM612" s="6"/>
      <c r="BN612" s="6"/>
      <c r="BO612" s="6" t="str">
        <f>IFERROR(__xludf.DUMMYFUNCTION("""COMPUTED_VALUE"""),"XC_SEC_Futbol_F")</f>
        <v>XC_SEC_Futbol_F</v>
      </c>
      <c r="BP612" s="6"/>
      <c r="BQ612" s="6" t="str">
        <f>IFERROR(__xludf.DUMMYFUNCTION("""COMPUTED_VALUE"""),"XC_SEC_Futbol_F")</f>
        <v>XC_SEC_Futbol_F</v>
      </c>
      <c r="BR612" s="6" t="str">
        <f>IFERROR(__xludf.DUMMYFUNCTION("""COMPUTED_VALUE"""),"XC_SEC_Futbol_F")</f>
        <v>XC_SEC_Futbol_F</v>
      </c>
      <c r="BS612" s="6"/>
      <c r="BT612" s="6" t="str">
        <f>IFERROR(__xludf.DUMMYFUNCTION("""COMPUTED_VALUE"""),"XC_SEC_Futbol_F")</f>
        <v>XC_SEC_Futbol_F</v>
      </c>
      <c r="BU612" s="6" t="str">
        <f>IFERROR(__xludf.DUMMYFUNCTION("""COMPUTED_VALUE"""),"SI")</f>
        <v>SI</v>
      </c>
      <c r="BV612" s="6" t="str">
        <f>IFERROR(__xludf.DUMMYFUNCTION("""COMPUTED_VALUE"""),"valeria.t2031")</f>
        <v>valeria.t2031</v>
      </c>
      <c r="BW612" s="6"/>
      <c r="BX612" s="6"/>
      <c r="BY612" s="6"/>
      <c r="BZ612" s="6"/>
    </row>
    <row r="613">
      <c r="A613" s="12">
        <f>IFERROR(__xludf.DUMMYFUNCTION("""COMPUTED_VALUE"""),1.125229657E9)</f>
        <v>1125229657</v>
      </c>
      <c r="B613" s="6">
        <f>IFERROR(__xludf.DUMMYFUNCTION("""COMPUTED_VALUE"""),58.0)</f>
        <v>58</v>
      </c>
      <c r="C613" s="6" t="str">
        <f>IFERROR(__xludf.DUMMYFUNCTION("""COMPUTED_VALUE"""),"Simón")</f>
        <v>Simón</v>
      </c>
      <c r="D613" s="6"/>
      <c r="E613" s="6" t="str">
        <f>IFERROR(__xludf.DUMMYFUNCTION("""COMPUTED_VALUE"""),"Toro Corredor")</f>
        <v>Toro Corredor</v>
      </c>
      <c r="F613" s="6" t="str">
        <f>IFERROR(__xludf.DUMMYFUNCTION("""COMPUTED_VALUE"""),"Netania Casa 6 - Calle 19Nte No10 - 42 COINCA")</f>
        <v>Netania Casa 6 - Calle 19Nte No10 - 42 COINCA</v>
      </c>
      <c r="G613" s="12" t="str">
        <f>IFERROR(__xludf.DUMMYFUNCTION("""COMPUTED_VALUE"""),"2012")</f>
        <v>2012</v>
      </c>
      <c r="H613" s="6" t="str">
        <f>IFERROR(__xludf.DUMMYFUNCTION("""COMPUTED_VALUE"""),"Octubre")</f>
        <v>Octubre</v>
      </c>
      <c r="I613" s="12" t="str">
        <f>IFERROR(__xludf.DUMMYFUNCTION("""COMPUTED_VALUE"""),"6")</f>
        <v>6</v>
      </c>
      <c r="J613" s="6" t="str">
        <f>IFERROR(__xludf.DUMMYFUNCTION("""COMPUTED_VALUE"""),"Buenos Aires")</f>
        <v>Buenos Aires</v>
      </c>
      <c r="K613" s="6" t="str">
        <f>IFERROR(__xludf.DUMMYFUNCTION("""COMPUTED_VALUE"""),"simon.t2031@gi.edu.co")</f>
        <v>simon.t2031@gi.edu.co</v>
      </c>
      <c r="L613" s="6" t="str">
        <f>IFERROR(__xludf.DUMMYFUNCTION("""COMPUTED_VALUE"""),"TI")</f>
        <v>TI</v>
      </c>
      <c r="M613" s="6" t="str">
        <f>IFERROR(__xludf.DUMMYFUNCTION("""COMPUTED_VALUE"""),"Armenia")</f>
        <v>Armenia</v>
      </c>
      <c r="N613" s="6" t="str">
        <f>IFERROR(__xludf.DUMMYFUNCTION("""COMPUTED_VALUE"""),"M")</f>
        <v>M</v>
      </c>
      <c r="O613" s="6" t="str">
        <f>IFERROR(__xludf.DUMMYFUNCTION("""COMPUTED_VALUE"""),"INACTIVE")</f>
        <v>INACTIVE</v>
      </c>
      <c r="P613" s="6"/>
      <c r="Q613" s="6" t="str">
        <f>IFERROR(__xludf.DUMMYFUNCTION("""COMPUTED_VALUE"""),"Armenia")</f>
        <v>Armenia</v>
      </c>
      <c r="R613" s="12" t="str">
        <f>IFERROR(__xludf.DUMMYFUNCTION("""COMPUTED_VALUE"""),"Gijsdf3998*")</f>
        <v>Gijsdf3998*</v>
      </c>
      <c r="S613" s="6" t="str">
        <f>IFERROR(__xludf.DUMMYFUNCTION("""COMPUTED_VALUE"""),"Toro Corredor Simón ")</f>
        <v>Toro Corredor Simón </v>
      </c>
      <c r="T613" s="6" t="str">
        <f>IFERROR(__xludf.DUMMYFUNCTION("""COMPUTED_VALUE"""),"CARLOS ANDRES TORO CASTAÑO")</f>
        <v>CARLOS ANDRES TORO CASTAÑO</v>
      </c>
      <c r="U613" s="12" t="str">
        <f>IFERROR(__xludf.DUMMYFUNCTION("""COMPUTED_VALUE"""),"89004975")</f>
        <v>89004975</v>
      </c>
      <c r="V613" s="6">
        <f>IFERROR(__xludf.DUMMYFUNCTION("""COMPUTED_VALUE"""),3.11735469E9)</f>
        <v>3117354690</v>
      </c>
      <c r="W613" s="6" t="str">
        <f>IFERROR(__xludf.DUMMYFUNCTION("""COMPUTED_VALUE"""),"carlosandres_toro@hotmail.com")</f>
        <v>carlosandres_toro@hotmail.com</v>
      </c>
      <c r="X613" s="12" t="str">
        <f>IFERROR(__xludf.DUMMYFUNCTION("""COMPUTED_VALUE"""),"A+")</f>
        <v>A+</v>
      </c>
      <c r="Y613" s="12" t="str">
        <f>IFERROR(__xludf.DUMMYFUNCTION("""COMPUTED_VALUE"""),"8")</f>
        <v>8</v>
      </c>
      <c r="Z613" s="12">
        <f>IFERROR(__xludf.DUMMYFUNCTION("""COMPUTED_VALUE"""),103284.0)</f>
        <v>103284</v>
      </c>
      <c r="AA613" s="6" t="str">
        <f>IFERROR(__xludf.DUMMYFUNCTION("""COMPUTED_VALUE"""),"SURA")</f>
        <v>SURA</v>
      </c>
      <c r="AB613" s="6"/>
      <c r="AC613" s="12" t="str">
        <f>IFERROR(__xludf.DUMMYFUNCTION("""COMPUTED_VALUE"""),"RINITIS ALERGICA")</f>
        <v>RINITIS ALERGICA</v>
      </c>
      <c r="AD613" s="12" t="str">
        <f>IFERROR(__xludf.DUMMYFUNCTION("""COMPUTED_VALUE"""),"8B")</f>
        <v>8B</v>
      </c>
      <c r="AE613" s="12">
        <f>IFERROR(__xludf.DUMMYFUNCTION("""COMPUTED_VALUE"""),1.345281616E9)</f>
        <v>1345281616</v>
      </c>
      <c r="AF613" s="12" t="str">
        <f>IFERROR(__xludf.DUMMYFUNCTION("""COMPUTED_VALUE"""),"0696958099")</f>
        <v>0696958099</v>
      </c>
      <c r="AG613" s="12" t="str">
        <f>IFERROR(__xludf.DUMMYFUNCTION("""COMPUTED_VALUE"""),"Alexandra")</f>
        <v>Alexandra</v>
      </c>
      <c r="AH613" s="6"/>
      <c r="AI613" s="6" t="str">
        <f>IFERROR(__xludf.DUMMYFUNCTION("""COMPUTED_VALUE"""),"Corredor Galvis")</f>
        <v>Corredor Galvis</v>
      </c>
      <c r="AJ613" s="6" t="str">
        <f>IFERROR(__xludf.DUMMYFUNCTION("""COMPUTED_VALUE"""),"zulacor@hotmail.com")</f>
        <v>zulacor@hotmail.com</v>
      </c>
      <c r="AK613" s="6" t="str">
        <f>IFERROR(__xludf.DUMMYFUNCTION("""COMPUTED_VALUE"""),"ADMON DE EMPRESAS")</f>
        <v>ADMON DE EMPRESAS</v>
      </c>
      <c r="AL613" s="6" t="str">
        <f>IFERROR(__xludf.DUMMYFUNCTION("""COMPUTED_VALUE"""),"ORIGENES DESIGN - COLAGENA")</f>
        <v>ORIGENES DESIGN - COLAGENA</v>
      </c>
      <c r="AM613" s="12" t="str">
        <f>IFERROR(__xludf.DUMMYFUNCTION("""COMPUTED_VALUE"""),"25023191")</f>
        <v>25023191</v>
      </c>
      <c r="AN613" s="12" t="str">
        <f>IFERROR(__xludf.DUMMYFUNCTION("""COMPUTED_VALUE"""),"3148118672")</f>
        <v>3148118672</v>
      </c>
      <c r="AO613" s="6" t="str">
        <f>IFERROR(__xludf.DUMMYFUNCTION("""COMPUTED_VALUE"""),"Madre")</f>
        <v>Madre</v>
      </c>
      <c r="AP613" s="6" t="str">
        <f>IFERROR(__xludf.DUMMYFUNCTION("""COMPUTED_VALUE"""),"Estudiante(s): Toro Corredor")</f>
        <v>Estudiante(s): Toro Corredor</v>
      </c>
      <c r="AQ613" s="6" t="str">
        <f>IFERROR(__xludf.DUMMYFUNCTION("""COMPUTED_VALUE"""),"103284*Gi")</f>
        <v>103284*Gi</v>
      </c>
      <c r="AR613" s="6" t="str">
        <f>IFERROR(__xludf.DUMMYFUNCTION("""COMPUTED_VALUE"""),"Carlos")</f>
        <v>Carlos</v>
      </c>
      <c r="AS613" s="6" t="str">
        <f>IFERROR(__xludf.DUMMYFUNCTION("""COMPUTED_VALUE"""),"Andrés")</f>
        <v>Andrés</v>
      </c>
      <c r="AT613" s="6" t="str">
        <f>IFERROR(__xludf.DUMMYFUNCTION("""COMPUTED_VALUE"""),"Toro Castaño")</f>
        <v>Toro Castaño</v>
      </c>
      <c r="AU613" s="6" t="str">
        <f>IFERROR(__xludf.DUMMYFUNCTION("""COMPUTED_VALUE"""),"carlosandres_toro@hotmail.com")</f>
        <v>carlosandres_toro@hotmail.com</v>
      </c>
      <c r="AV613" s="6" t="str">
        <f>IFERROR(__xludf.DUMMYFUNCTION("""COMPUTED_VALUE"""),"Dermatologo")</f>
        <v>Dermatologo</v>
      </c>
      <c r="AW613" s="6" t="str">
        <f>IFERROR(__xludf.DUMMYFUNCTION("""COMPUTED_VALUE"""),"Consultorio 504")</f>
        <v>Consultorio 504</v>
      </c>
      <c r="AX613" s="12" t="str">
        <f>IFERROR(__xludf.DUMMYFUNCTION("""COMPUTED_VALUE"""),"89004975")</f>
        <v>89004975</v>
      </c>
      <c r="AY613" s="12" t="str">
        <f>IFERROR(__xludf.DUMMYFUNCTION("""COMPUTED_VALUE"""),"3117354690")</f>
        <v>3117354690</v>
      </c>
      <c r="AZ613" s="6" t="str">
        <f>IFERROR(__xludf.DUMMYFUNCTION("""COMPUTED_VALUE"""),"Padre")</f>
        <v>Padre</v>
      </c>
      <c r="BA613" s="6"/>
      <c r="BB613" s="6"/>
      <c r="BC613" s="6"/>
      <c r="BD613" s="12" t="str">
        <f>IFERROR(__xludf.DUMMYFUNCTION("""COMPUTED_VALUE"""),"tor0007")</f>
        <v>tor0007</v>
      </c>
      <c r="BE613" s="6" t="str">
        <f>IFERROR(__xludf.DUMMYFUNCTION("""COMPUTED_VALUE"""),"FALTAN FIRMAS")</f>
        <v>FALTAN FIRMAS</v>
      </c>
      <c r="BF613" s="6"/>
      <c r="BG613" s="6">
        <f>IFERROR(__xludf.DUMMYFUNCTION("""COMPUTED_VALUE"""),2031.0)</f>
        <v>2031</v>
      </c>
      <c r="BH613" s="15">
        <f>IFERROR(__xludf.DUMMYFUNCTION("""COMPUTED_VALUE"""),46211.36078703704)</f>
        <v>46211.36079</v>
      </c>
      <c r="BI613" s="6">
        <f>IFERROR(__xludf.DUMMYFUNCTION("""COMPUTED_VALUE"""),613.0)</f>
        <v>613</v>
      </c>
      <c r="BJ613" s="6"/>
      <c r="BK613" s="6"/>
      <c r="BL613" s="6" t="str">
        <f>IFERROR(__xludf.DUMMYFUNCTION("""COMPUTED_VALUE"""),"GISTOR0007")</f>
        <v>GISTOR0007</v>
      </c>
      <c r="BM613" s="6"/>
      <c r="BN613" s="6"/>
      <c r="BO613" s="6" t="str">
        <f>IFERROR(__xludf.DUMMYFUNCTION("""COMPUTED_VALUE"""),"XC_MS_Futbol_M")</f>
        <v>XC_MS_Futbol_M</v>
      </c>
      <c r="BP613" s="6"/>
      <c r="BQ613" s="6" t="str">
        <f>IFERROR(__xludf.DUMMYFUNCTION("""COMPUTED_VALUE"""),"XC_MS_Futbol_M")</f>
        <v>XC_MS_Futbol_M</v>
      </c>
      <c r="BR613" s="6" t="str">
        <f>IFERROR(__xludf.DUMMYFUNCTION("""COMPUTED_VALUE"""),"XC_MS_Futbol_M")</f>
        <v>XC_MS_Futbol_M</v>
      </c>
      <c r="BS613" s="6"/>
      <c r="BT613" s="6" t="str">
        <f>IFERROR(__xludf.DUMMYFUNCTION("""COMPUTED_VALUE"""),"XC_MS_Futbol_M")</f>
        <v>XC_MS_Futbol_M</v>
      </c>
      <c r="BU613" s="6" t="str">
        <f>IFERROR(__xludf.DUMMYFUNCTION("""COMPUTED_VALUE"""),"SI")</f>
        <v>SI</v>
      </c>
      <c r="BV613" s="6" t="str">
        <f>IFERROR(__xludf.DUMMYFUNCTION("""COMPUTED_VALUE"""),"simon.t2031")</f>
        <v>simon.t2031</v>
      </c>
      <c r="BW613" s="6"/>
      <c r="BX613" s="6"/>
      <c r="BY613" s="6"/>
      <c r="BZ613" s="6"/>
    </row>
    <row r="614">
      <c r="A614" s="12">
        <f>IFERROR(__xludf.DUMMYFUNCTION("""COMPUTED_VALUE"""),1.014883767E9)</f>
        <v>1014883767</v>
      </c>
      <c r="B614" s="6">
        <f>IFERROR(__xludf.DUMMYFUNCTION("""COMPUTED_VALUE"""),59.0)</f>
        <v>59</v>
      </c>
      <c r="C614" s="6" t="str">
        <f>IFERROR(__xludf.DUMMYFUNCTION("""COMPUTED_VALUE"""),"Paulina")</f>
        <v>Paulina</v>
      </c>
      <c r="D614" s="6"/>
      <c r="E614" s="6" t="str">
        <f>IFERROR(__xludf.DUMMYFUNCTION("""COMPUTED_VALUE"""),"Uribe Córdoba")</f>
        <v>Uribe Córdoba</v>
      </c>
      <c r="F614" s="6" t="str">
        <f>IFERROR(__xludf.DUMMYFUNCTION("""COMPUTED_VALUE"""),"Conjunto Santa Clara Casa 7 - Cra 19 No25Nte - 50")</f>
        <v>Conjunto Santa Clara Casa 7 - Cra 19 No25Nte - 50</v>
      </c>
      <c r="G614" s="12" t="str">
        <f>IFERROR(__xludf.DUMMYFUNCTION("""COMPUTED_VALUE"""),"2013")</f>
        <v>2013</v>
      </c>
      <c r="H614" s="6" t="str">
        <f>IFERROR(__xludf.DUMMYFUNCTION("""COMPUTED_VALUE"""),"Marzo")</f>
        <v>Marzo</v>
      </c>
      <c r="I614" s="12" t="str">
        <f>IFERROR(__xludf.DUMMYFUNCTION("""COMPUTED_VALUE"""),"19")</f>
        <v>19</v>
      </c>
      <c r="J614" s="6" t="str">
        <f>IFERROR(__xludf.DUMMYFUNCTION("""COMPUTED_VALUE"""),"Bogotá D.C.")</f>
        <v>Bogotá D.C.</v>
      </c>
      <c r="K614" s="6" t="str">
        <f>IFERROR(__xludf.DUMMYFUNCTION("""COMPUTED_VALUE"""),"paulina.u2031@gi.edu.co")</f>
        <v>paulina.u2031@gi.edu.co</v>
      </c>
      <c r="L614" s="6" t="str">
        <f>IFERROR(__xludf.DUMMYFUNCTION("""COMPUTED_VALUE"""),"TI")</f>
        <v>TI</v>
      </c>
      <c r="M614" s="6" t="str">
        <f>IFERROR(__xludf.DUMMYFUNCTION("""COMPUTED_VALUE"""),"Armenia")</f>
        <v>Armenia</v>
      </c>
      <c r="N614" s="6" t="str">
        <f>IFERROR(__xludf.DUMMYFUNCTION("""COMPUTED_VALUE"""),"F")</f>
        <v>F</v>
      </c>
      <c r="O614" s="6" t="str">
        <f>IFERROR(__xludf.DUMMYFUNCTION("""COMPUTED_VALUE"""),"ACTIVE")</f>
        <v>ACTIVE</v>
      </c>
      <c r="P614" s="6"/>
      <c r="Q614" s="6" t="str">
        <f>IFERROR(__xludf.DUMMYFUNCTION("""COMPUTED_VALUE"""),"Armenia")</f>
        <v>Armenia</v>
      </c>
      <c r="R614" s="12" t="str">
        <f>IFERROR(__xludf.DUMMYFUNCTION("""COMPUTED_VALUE"""),"Gi8n7b6v5c*")</f>
        <v>Gi8n7b6v5c*</v>
      </c>
      <c r="S614" s="6" t="str">
        <f>IFERROR(__xludf.DUMMYFUNCTION("""COMPUTED_VALUE"""),"Uribe Córdoba Paulina ")</f>
        <v>Uribe Córdoba Paulina </v>
      </c>
      <c r="T614" s="6" t="str">
        <f>IFERROR(__xludf.DUMMYFUNCTION("""COMPUTED_VALUE"""),"ALFONSO URIBE TORRES")</f>
        <v>ALFONSO URIBE TORRES</v>
      </c>
      <c r="U614" s="12" t="str">
        <f>IFERROR(__xludf.DUMMYFUNCTION("""COMPUTED_VALUE"""),"7563934")</f>
        <v>7563934</v>
      </c>
      <c r="V614" s="6">
        <f>IFERROR(__xludf.DUMMYFUNCTION("""COMPUTED_VALUE"""),3.212320056E9)</f>
        <v>3212320056</v>
      </c>
      <c r="W614" s="6" t="str">
        <f>IFERROR(__xludf.DUMMYFUNCTION("""COMPUTED_VALUE"""),"comercialelmundodelcampo@gmail.com")</f>
        <v>comercialelmundodelcampo@gmail.com</v>
      </c>
      <c r="X614" s="12" t="str">
        <f>IFERROR(__xludf.DUMMYFUNCTION("""COMPUTED_VALUE"""),"O+")</f>
        <v>O+</v>
      </c>
      <c r="Y614" s="12" t="str">
        <f>IFERROR(__xludf.DUMMYFUNCTION("""COMPUTED_VALUE"""),"8")</f>
        <v>8</v>
      </c>
      <c r="Z614" s="12">
        <f>IFERROR(__xludf.DUMMYFUNCTION("""COMPUTED_VALUE"""),103556.0)</f>
        <v>103556</v>
      </c>
      <c r="AA614" s="6" t="str">
        <f>IFERROR(__xludf.DUMMYFUNCTION("""COMPUTED_VALUE"""),"SALUD TOTAL")</f>
        <v>SALUD TOTAL</v>
      </c>
      <c r="AB614" s="6" t="str">
        <f>IFERROR(__xludf.DUMMYFUNCTION("""COMPUTED_VALUE"""),"Medicina Prepagada Coomeva, ambulancias humanizar")</f>
        <v>Medicina Prepagada Coomeva, ambulancias humanizar</v>
      </c>
      <c r="AC614" s="6"/>
      <c r="AD614" s="12" t="str">
        <f>IFERROR(__xludf.DUMMYFUNCTION("""COMPUTED_VALUE"""),"8A")</f>
        <v>8A</v>
      </c>
      <c r="AE614" s="12">
        <f>IFERROR(__xludf.DUMMYFUNCTION("""COMPUTED_VALUE"""),1.345281751E9)</f>
        <v>1345281751</v>
      </c>
      <c r="AF614" s="12" t="str">
        <f>IFERROR(__xludf.DUMMYFUNCTION("""COMPUTED_VALUE"""),"0696308899")</f>
        <v>0696308899</v>
      </c>
      <c r="AG614" s="12" t="str">
        <f>IFERROR(__xludf.DUMMYFUNCTION("""COMPUTED_VALUE"""),"Paola")</f>
        <v>Paola</v>
      </c>
      <c r="AH614" s="6"/>
      <c r="AI614" s="6" t="str">
        <f>IFERROR(__xludf.DUMMYFUNCTION("""COMPUTED_VALUE"""),"Córdoba Correa")</f>
        <v>Córdoba Correa</v>
      </c>
      <c r="AJ614" s="6" t="str">
        <f>IFERROR(__xludf.DUMMYFUNCTION("""COMPUTED_VALUE"""),"expressiondent@gmail.com")</f>
        <v>expressiondent@gmail.com</v>
      </c>
      <c r="AK614" s="6" t="str">
        <f>IFERROR(__xludf.DUMMYFUNCTION("""COMPUTED_VALUE"""),"odontologa")</f>
        <v>odontologa</v>
      </c>
      <c r="AL614" s="6"/>
      <c r="AM614" s="12" t="str">
        <f>IFERROR(__xludf.DUMMYFUNCTION("""COMPUTED_VALUE"""),"41936327")</f>
        <v>41936327</v>
      </c>
      <c r="AN614" s="12" t="str">
        <f>IFERROR(__xludf.DUMMYFUNCTION("""COMPUTED_VALUE"""),"3103041193")</f>
        <v>3103041193</v>
      </c>
      <c r="AO614" s="6" t="str">
        <f>IFERROR(__xludf.DUMMYFUNCTION("""COMPUTED_VALUE"""),"Madre")</f>
        <v>Madre</v>
      </c>
      <c r="AP614" s="6" t="str">
        <f>IFERROR(__xludf.DUMMYFUNCTION("""COMPUTED_VALUE"""),"Estudiante(s): Uribe Córdoba")</f>
        <v>Estudiante(s): Uribe Córdoba</v>
      </c>
      <c r="AQ614" s="6" t="str">
        <f>IFERROR(__xludf.DUMMYFUNCTION("""COMPUTED_VALUE"""),"103556*Gi")</f>
        <v>103556*Gi</v>
      </c>
      <c r="AR614" s="6" t="str">
        <f>IFERROR(__xludf.DUMMYFUNCTION("""COMPUTED_VALUE"""),"Alfonso")</f>
        <v>Alfonso</v>
      </c>
      <c r="AS614" s="6"/>
      <c r="AT614" s="6" t="str">
        <f>IFERROR(__xludf.DUMMYFUNCTION("""COMPUTED_VALUE"""),"Uribe Torres")</f>
        <v>Uribe Torres</v>
      </c>
      <c r="AU614" s="6" t="str">
        <f>IFERROR(__xludf.DUMMYFUNCTION("""COMPUTED_VALUE"""),"comercialelmundodelcampo@gmail.com")</f>
        <v>comercialelmundodelcampo@gmail.com</v>
      </c>
      <c r="AV614" s="6" t="str">
        <f>IFERROR(__xludf.DUMMYFUNCTION("""COMPUTED_VALUE"""),"Ingeniero Agroindustrial")</f>
        <v>Ingeniero Agroindustrial</v>
      </c>
      <c r="AW614" s="6" t="str">
        <f>IFERROR(__xludf.DUMMYFUNCTION("""COMPUTED_VALUE"""),"El Mundo del Campo")</f>
        <v>El Mundo del Campo</v>
      </c>
      <c r="AX614" s="12" t="str">
        <f>IFERROR(__xludf.DUMMYFUNCTION("""COMPUTED_VALUE"""),"7563934")</f>
        <v>7563934</v>
      </c>
      <c r="AY614" s="12" t="str">
        <f>IFERROR(__xludf.DUMMYFUNCTION("""COMPUTED_VALUE"""),"3212320056")</f>
        <v>3212320056</v>
      </c>
      <c r="AZ614" s="6" t="str">
        <f>IFERROR(__xludf.DUMMYFUNCTION("""COMPUTED_VALUE"""),"Padre")</f>
        <v>Padre</v>
      </c>
      <c r="BA614" s="6"/>
      <c r="BB614" s="6"/>
      <c r="BC614" s="6"/>
      <c r="BD614" s="12" t="str">
        <f>IFERROR(__xludf.DUMMYFUNCTION("""COMPUTED_VALUE"""),"uri0010")</f>
        <v>uri0010</v>
      </c>
      <c r="BE614" s="6"/>
      <c r="BF614" s="6"/>
      <c r="BG614" s="6">
        <f>IFERROR(__xludf.DUMMYFUNCTION("""COMPUTED_VALUE"""),2031.0)</f>
        <v>2031</v>
      </c>
      <c r="BH614" s="15">
        <f>IFERROR(__xludf.DUMMYFUNCTION("""COMPUTED_VALUE"""),46212.60972222222)</f>
        <v>46212.60972</v>
      </c>
      <c r="BI614" s="6">
        <f>IFERROR(__xludf.DUMMYFUNCTION("""COMPUTED_VALUE"""),614.0)</f>
        <v>614</v>
      </c>
      <c r="BJ614" s="6"/>
      <c r="BK614" s="6"/>
      <c r="BL614" s="6" t="str">
        <f>IFERROR(__xludf.DUMMYFUNCTION("""COMPUTED_VALUE"""),"GISURI0010")</f>
        <v>GISURI0010</v>
      </c>
      <c r="BM614" s="6"/>
      <c r="BN614" s="6"/>
      <c r="BO614" s="6"/>
      <c r="BP614" s="6"/>
      <c r="BQ614" s="6"/>
      <c r="BR614" s="6" t="str">
        <f>IFERROR(__xludf.DUMMYFUNCTION("""COMPUTED_VALUE"""),"XC_SEC_ArtesPlasticas")</f>
        <v>XC_SEC_ArtesPlasticas</v>
      </c>
      <c r="BS614" s="6"/>
      <c r="BT614" s="6"/>
      <c r="BU614" s="6" t="str">
        <f>IFERROR(__xludf.DUMMYFUNCTION("""COMPUTED_VALUE"""),"SI")</f>
        <v>SI</v>
      </c>
      <c r="BV614" s="6" t="str">
        <f>IFERROR(__xludf.DUMMYFUNCTION("""COMPUTED_VALUE"""),"paulina.u2031")</f>
        <v>paulina.u2031</v>
      </c>
      <c r="BW614" s="6"/>
      <c r="BX614" s="6"/>
      <c r="BY614" s="6"/>
      <c r="BZ614" s="6"/>
    </row>
    <row r="615">
      <c r="A615" s="12">
        <f>IFERROR(__xludf.DUMMYFUNCTION("""COMPUTED_VALUE"""),1.104550131E9)</f>
        <v>1104550131</v>
      </c>
      <c r="B615" s="6">
        <f>IFERROR(__xludf.DUMMYFUNCTION("""COMPUTED_VALUE"""),60.0)</f>
        <v>60</v>
      </c>
      <c r="C615" s="6" t="str">
        <f>IFERROR(__xludf.DUMMYFUNCTION("""COMPUTED_VALUE"""),"Daniel")</f>
        <v>Daniel</v>
      </c>
      <c r="D615" s="6" t="str">
        <f>IFERROR(__xludf.DUMMYFUNCTION("""COMPUTED_VALUE"""),"Alejandro")</f>
        <v>Alejandro</v>
      </c>
      <c r="E615" s="6" t="str">
        <f>IFERROR(__xludf.DUMMYFUNCTION("""COMPUTED_VALUE"""),"Vásquez Bedoya")</f>
        <v>Vásquez Bedoya</v>
      </c>
      <c r="F615" s="6" t="str">
        <f>IFERROR(__xludf.DUMMYFUNCTION("""COMPUTED_VALUE"""),"Bosque Residencial Zimbabwe Casa 3 - Calle 1 No16 - 205 Km 7 Via Armenia - Pereira")</f>
        <v>Bosque Residencial Zimbabwe Casa 3 - Calle 1 No16 - 205 Km 7 Via Armenia - Pereira</v>
      </c>
      <c r="G615" s="12" t="str">
        <f>IFERROR(__xludf.DUMMYFUNCTION("""COMPUTED_VALUE"""),"2012")</f>
        <v>2012</v>
      </c>
      <c r="H615" s="6" t="str">
        <f>IFERROR(__xludf.DUMMYFUNCTION("""COMPUTED_VALUE"""),"Septiembre")</f>
        <v>Septiembre</v>
      </c>
      <c r="I615" s="12" t="str">
        <f>IFERROR(__xludf.DUMMYFUNCTION("""COMPUTED_VALUE"""),"24")</f>
        <v>24</v>
      </c>
      <c r="J615" s="6" t="str">
        <f>IFERROR(__xludf.DUMMYFUNCTION("""COMPUTED_VALUE"""),"Liberia")</f>
        <v>Liberia</v>
      </c>
      <c r="K615" s="6" t="str">
        <f>IFERROR(__xludf.DUMMYFUNCTION("""COMPUTED_VALUE"""),"daniel.v2031@gi.edu.co")</f>
        <v>daniel.v2031@gi.edu.co</v>
      </c>
      <c r="L615" s="6" t="str">
        <f>IFERROR(__xludf.DUMMYFUNCTION("""COMPUTED_VALUE"""),"TI")</f>
        <v>TI</v>
      </c>
      <c r="M615" s="6" t="str">
        <f>IFERROR(__xludf.DUMMYFUNCTION("""COMPUTED_VALUE"""),"Ibagué")</f>
        <v>Ibagué</v>
      </c>
      <c r="N615" s="6" t="str">
        <f>IFERROR(__xludf.DUMMYFUNCTION("""COMPUTED_VALUE"""),"M")</f>
        <v>M</v>
      </c>
      <c r="O615" s="6" t="str">
        <f>IFERROR(__xludf.DUMMYFUNCTION("""COMPUTED_VALUE"""),"ACTIVE")</f>
        <v>ACTIVE</v>
      </c>
      <c r="P615" s="6"/>
      <c r="Q615" s="6" t="str">
        <f>IFERROR(__xludf.DUMMYFUNCTION("""COMPUTED_VALUE"""),"Circasia")</f>
        <v>Circasia</v>
      </c>
      <c r="R615" s="12" t="str">
        <f>IFERROR(__xludf.DUMMYFUNCTION("""COMPUTED_VALUE"""),"Gi48dvb*")</f>
        <v>Gi48dvb*</v>
      </c>
      <c r="S615" s="6" t="str">
        <f>IFERROR(__xludf.DUMMYFUNCTION("""COMPUTED_VALUE"""),"Vásquez Bedoya Daniel Alejandro")</f>
        <v>Vásquez Bedoya Daniel Alejandro</v>
      </c>
      <c r="T615" s="6" t="str">
        <f>IFERROR(__xludf.DUMMYFUNCTION("""COMPUTED_VALUE"""),"JOHN JAIRO VASQUEZ MORENO")</f>
        <v>JOHN JAIRO VASQUEZ MORENO</v>
      </c>
      <c r="U615" s="12" t="str">
        <f>IFERROR(__xludf.DUMMYFUNCTION("""COMPUTED_VALUE"""),"79630139")</f>
        <v>79630139</v>
      </c>
      <c r="V615" s="6">
        <f>IFERROR(__xludf.DUMMYFUNCTION("""COMPUTED_VALUE"""),3.50588451E9)</f>
        <v>3505884510</v>
      </c>
      <c r="W615" s="6" t="str">
        <f>IFERROR(__xludf.DUMMYFUNCTION("""COMPUTED_VALUE"""),"johnvamo@gmail.com")</f>
        <v>johnvamo@gmail.com</v>
      </c>
      <c r="X615" s="12" t="str">
        <f>IFERROR(__xludf.DUMMYFUNCTION("""COMPUTED_VALUE"""),"O+")</f>
        <v>O+</v>
      </c>
      <c r="Y615" s="12" t="str">
        <f>IFERROR(__xludf.DUMMYFUNCTION("""COMPUTED_VALUE"""),"8")</f>
        <v>8</v>
      </c>
      <c r="Z615" s="12">
        <f>IFERROR(__xludf.DUMMYFUNCTION("""COMPUTED_VALUE"""),120399.0)</f>
        <v>120399</v>
      </c>
      <c r="AA615" s="6" t="str">
        <f>IFERROR(__xludf.DUMMYFUNCTION("""COMPUTED_VALUE"""),"COLMEDICA")</f>
        <v>COLMEDICA</v>
      </c>
      <c r="AB615" s="6"/>
      <c r="AC615" s="6"/>
      <c r="AD615" s="12" t="str">
        <f>IFERROR(__xludf.DUMMYFUNCTION("""COMPUTED_VALUE"""),"8A")</f>
        <v>8A</v>
      </c>
      <c r="AE615" s="12" t="str">
        <f>IFERROR(__xludf.DUMMYFUNCTION("""COMPUTED_VALUE"""),"1345282400")</f>
        <v>1345282400</v>
      </c>
      <c r="AF615" s="12" t="str">
        <f>IFERROR(__xludf.DUMMYFUNCTION("""COMPUTED_VALUE"""),"0685992275")</f>
        <v>0685992275</v>
      </c>
      <c r="AG615" s="12" t="str">
        <f>IFERROR(__xludf.DUMMYFUNCTION("""COMPUTED_VALUE"""),"María")</f>
        <v>María</v>
      </c>
      <c r="AH615" s="12" t="str">
        <f>IFERROR(__xludf.DUMMYFUNCTION("""COMPUTED_VALUE"""),"Alejandra")</f>
        <v>Alejandra</v>
      </c>
      <c r="AI615" s="6" t="str">
        <f>IFERROR(__xludf.DUMMYFUNCTION("""COMPUTED_VALUE""")," Bedoya Mejía")</f>
        <v> Bedoya Mejía</v>
      </c>
      <c r="AJ615" s="6" t="str">
        <f>IFERROR(__xludf.DUMMYFUNCTION("""COMPUTED_VALUE"""),"alejandra.bed.m@gmail.com")</f>
        <v>alejandra.bed.m@gmail.com</v>
      </c>
      <c r="AK615" s="6" t="str">
        <f>IFERROR(__xludf.DUMMYFUNCTION("""COMPUTED_VALUE"""),"Adminsitrador de Empresas")</f>
        <v>Adminsitrador de Empresas</v>
      </c>
      <c r="AL615" s="6"/>
      <c r="AM615" s="12" t="str">
        <f>IFERROR(__xludf.DUMMYFUNCTION("""COMPUTED_VALUE"""),"1015413893")</f>
        <v>1015413893</v>
      </c>
      <c r="AN615" s="12" t="str">
        <f>IFERROR(__xludf.DUMMYFUNCTION("""COMPUTED_VALUE"""),"3505885146")</f>
        <v>3505885146</v>
      </c>
      <c r="AO615" s="6" t="str">
        <f>IFERROR(__xludf.DUMMYFUNCTION("""COMPUTED_VALUE"""),"Madre")</f>
        <v>Madre</v>
      </c>
      <c r="AP615" s="6" t="str">
        <f>IFERROR(__xludf.DUMMYFUNCTION("""COMPUTED_VALUE"""),"Estudiante(s): Vásquez Bedoya")</f>
        <v>Estudiante(s): Vásquez Bedoya</v>
      </c>
      <c r="AQ615" s="6" t="str">
        <f>IFERROR(__xludf.DUMMYFUNCTION("""COMPUTED_VALUE"""),"120399*Gi")</f>
        <v>120399*Gi</v>
      </c>
      <c r="AR615" s="6" t="str">
        <f>IFERROR(__xludf.DUMMYFUNCTION("""COMPUTED_VALUE"""),"John")</f>
        <v>John</v>
      </c>
      <c r="AS615" s="6" t="str">
        <f>IFERROR(__xludf.DUMMYFUNCTION("""COMPUTED_VALUE"""),"Jairo")</f>
        <v>Jairo</v>
      </c>
      <c r="AT615" s="6" t="str">
        <f>IFERROR(__xludf.DUMMYFUNCTION("""COMPUTED_VALUE""")," Vásquez Moreno")</f>
        <v> Vásquez Moreno</v>
      </c>
      <c r="AU615" s="6" t="str">
        <f>IFERROR(__xludf.DUMMYFUNCTION("""COMPUTED_VALUE"""),"johnvamo@gmail.com")</f>
        <v>johnvamo@gmail.com</v>
      </c>
      <c r="AV615" s="6" t="str">
        <f>IFERROR(__xludf.DUMMYFUNCTION("""COMPUTED_VALUE"""),"Arquitecto")</f>
        <v>Arquitecto</v>
      </c>
      <c r="AW615" s="6" t="str">
        <f>IFERROR(__xludf.DUMMYFUNCTION("""COMPUTED_VALUE"""),"Virtualidad SAS")</f>
        <v>Virtualidad SAS</v>
      </c>
      <c r="AX615" s="12" t="str">
        <f>IFERROR(__xludf.DUMMYFUNCTION("""COMPUTED_VALUE"""),"79630139")</f>
        <v>79630139</v>
      </c>
      <c r="AY615" s="12">
        <f>IFERROR(__xludf.DUMMYFUNCTION("""COMPUTED_VALUE"""),3.50588451E9)</f>
        <v>3505884510</v>
      </c>
      <c r="AZ615" s="6" t="str">
        <f>IFERROR(__xludf.DUMMYFUNCTION("""COMPUTED_VALUE"""),"Padre")</f>
        <v>Padre</v>
      </c>
      <c r="BA615" s="6"/>
      <c r="BB615" s="6"/>
      <c r="BC615" s="6"/>
      <c r="BD615" s="12" t="str">
        <f>IFERROR(__xludf.DUMMYFUNCTION("""COMPUTED_VALUE"""),"vas0003")</f>
        <v>vas0003</v>
      </c>
      <c r="BE615" s="6"/>
      <c r="BF615" s="6"/>
      <c r="BG615" s="6">
        <f>IFERROR(__xludf.DUMMYFUNCTION("""COMPUTED_VALUE"""),2031.0)</f>
        <v>2031</v>
      </c>
      <c r="BH615" s="15">
        <f>IFERROR(__xludf.DUMMYFUNCTION("""COMPUTED_VALUE"""),46210.58844907407)</f>
        <v>46210.58845</v>
      </c>
      <c r="BI615" s="6">
        <f>IFERROR(__xludf.DUMMYFUNCTION("""COMPUTED_VALUE"""),615.0)</f>
        <v>615</v>
      </c>
      <c r="BJ615" s="6"/>
      <c r="BK615" s="6"/>
      <c r="BL615" s="6" t="str">
        <f>IFERROR(__xludf.DUMMYFUNCTION("""COMPUTED_VALUE"""),"GISVAS0003")</f>
        <v>GISVAS0003</v>
      </c>
      <c r="BM615" s="6"/>
      <c r="BN615" s="6"/>
      <c r="BO615" s="6" t="str">
        <f>IFERROR(__xludf.DUMMYFUNCTION("""COMPUTED_VALUE"""),"XC_SEC_ProgRobot")</f>
        <v>XC_SEC_ProgRobot</v>
      </c>
      <c r="BP615" s="6"/>
      <c r="BQ615" s="6"/>
      <c r="BR615" s="6"/>
      <c r="BS615" s="6"/>
      <c r="BT615" s="6"/>
      <c r="BU615" s="6" t="str">
        <f>IFERROR(__xludf.DUMMYFUNCTION("""COMPUTED_VALUE"""),"SI")</f>
        <v>SI</v>
      </c>
      <c r="BV615" s="6" t="str">
        <f>IFERROR(__xludf.DUMMYFUNCTION("""COMPUTED_VALUE"""),"daniel.v2031")</f>
        <v>daniel.v2031</v>
      </c>
      <c r="BW615" s="6"/>
      <c r="BX615" s="6"/>
      <c r="BY615" s="6"/>
      <c r="BZ615" s="6"/>
    </row>
    <row r="616">
      <c r="A616" s="12">
        <f>IFERROR(__xludf.DUMMYFUNCTION("""COMPUTED_VALUE"""),1.092856985E9)</f>
        <v>1092856985</v>
      </c>
      <c r="B616" s="6">
        <f>IFERROR(__xludf.DUMMYFUNCTION("""COMPUTED_VALUE"""),61.0)</f>
        <v>61</v>
      </c>
      <c r="C616" s="6" t="str">
        <f>IFERROR(__xludf.DUMMYFUNCTION("""COMPUTED_VALUE"""),"Sebastián")</f>
        <v>Sebastián</v>
      </c>
      <c r="D616" s="6"/>
      <c r="E616" s="6" t="str">
        <f>IFERROR(__xludf.DUMMYFUNCTION("""COMPUTED_VALUE"""),"Velásquez Gordillo")</f>
        <v>Velásquez Gordillo</v>
      </c>
      <c r="F616" s="6" t="str">
        <f>IFERROR(__xludf.DUMMYFUNCTION("""COMPUTED_VALUE"""),"Condominio Casa de Campo Casa 3 - Calle 23ANte No19 - 47")</f>
        <v>Condominio Casa de Campo Casa 3 - Calle 23ANte No19 - 47</v>
      </c>
      <c r="G616" s="12" t="str">
        <f>IFERROR(__xludf.DUMMYFUNCTION("""COMPUTED_VALUE"""),"2013")</f>
        <v>2013</v>
      </c>
      <c r="H616" s="6" t="str">
        <f>IFERROR(__xludf.DUMMYFUNCTION("""COMPUTED_VALUE"""),"Julio")</f>
        <v>Julio</v>
      </c>
      <c r="I616" s="12" t="str">
        <f>IFERROR(__xludf.DUMMYFUNCTION("""COMPUTED_VALUE"""),"23")</f>
        <v>23</v>
      </c>
      <c r="J616" s="6" t="str">
        <f>IFERROR(__xludf.DUMMYFUNCTION("""COMPUTED_VALUE"""),"Armenia")</f>
        <v>Armenia</v>
      </c>
      <c r="K616" s="6" t="str">
        <f>IFERROR(__xludf.DUMMYFUNCTION("""COMPUTED_VALUE"""),"sebastian.v2031@gi.edu.co")</f>
        <v>sebastian.v2031@gi.edu.co</v>
      </c>
      <c r="L616" s="6" t="str">
        <f>IFERROR(__xludf.DUMMYFUNCTION("""COMPUTED_VALUE"""),"TI")</f>
        <v>TI</v>
      </c>
      <c r="M616" s="6" t="str">
        <f>IFERROR(__xludf.DUMMYFUNCTION("""COMPUTED_VALUE"""),"Armenia")</f>
        <v>Armenia</v>
      </c>
      <c r="N616" s="6" t="str">
        <f>IFERROR(__xludf.DUMMYFUNCTION("""COMPUTED_VALUE"""),"M")</f>
        <v>M</v>
      </c>
      <c r="O616" s="6" t="str">
        <f>IFERROR(__xludf.DUMMYFUNCTION("""COMPUTED_VALUE"""),"ACTIVE")</f>
        <v>ACTIVE</v>
      </c>
      <c r="P616" s="6"/>
      <c r="Q616" s="6" t="str">
        <f>IFERROR(__xludf.DUMMYFUNCTION("""COMPUTED_VALUE"""),"Armenia")</f>
        <v>Armenia</v>
      </c>
      <c r="R616" s="12" t="str">
        <f>IFERROR(__xludf.DUMMYFUNCTION("""COMPUTED_VALUE"""),"Giam7l1a*")</f>
        <v>Giam7l1a*</v>
      </c>
      <c r="S616" s="6" t="str">
        <f>IFERROR(__xludf.DUMMYFUNCTION("""COMPUTED_VALUE"""),"Velásquez Gordillo Sebastián ")</f>
        <v>Velásquez Gordillo Sebastián </v>
      </c>
      <c r="T616" s="6" t="str">
        <f>IFERROR(__xludf.DUMMYFUNCTION("""COMPUTED_VALUE"""),"JAIME EDUARDO VELÁSQUEZ MEJIA")</f>
        <v>JAIME EDUARDO VELÁSQUEZ MEJIA</v>
      </c>
      <c r="U616" s="12" t="str">
        <f>IFERROR(__xludf.DUMMYFUNCTION("""COMPUTED_VALUE"""),"18009513")</f>
        <v>18009513</v>
      </c>
      <c r="V616" s="6">
        <f>IFERROR(__xludf.DUMMYFUNCTION("""COMPUTED_VALUE"""),3.007970991E9)</f>
        <v>3007970991</v>
      </c>
      <c r="W616" s="6" t="str">
        <f>IFERROR(__xludf.DUMMYFUNCTION("""COMPUTED_VALUE"""),"jaimevelasquez@gmail.com")</f>
        <v>jaimevelasquez@gmail.com</v>
      </c>
      <c r="X616" s="12" t="str">
        <f>IFERROR(__xludf.DUMMYFUNCTION("""COMPUTED_VALUE"""),"O+")</f>
        <v>O+</v>
      </c>
      <c r="Y616" s="12" t="str">
        <f>IFERROR(__xludf.DUMMYFUNCTION("""COMPUTED_VALUE"""),"8")</f>
        <v>8</v>
      </c>
      <c r="Z616" s="12">
        <f>IFERROR(__xludf.DUMMYFUNCTION("""COMPUTED_VALUE"""),103765.0)</f>
        <v>103765</v>
      </c>
      <c r="AA616" s="6" t="str">
        <f>IFERROR(__xludf.DUMMYFUNCTION("""COMPUTED_VALUE"""),"SALUDCOOP")</f>
        <v>SALUDCOOP</v>
      </c>
      <c r="AB616" s="6"/>
      <c r="AC616" s="6"/>
      <c r="AD616" s="12" t="str">
        <f>IFERROR(__xludf.DUMMYFUNCTION("""COMPUTED_VALUE"""),"8C")</f>
        <v>8C</v>
      </c>
      <c r="AE616" s="12">
        <f>IFERROR(__xludf.DUMMYFUNCTION("""COMPUTED_VALUE"""),1.345281878E9)</f>
        <v>1345281878</v>
      </c>
      <c r="AF616" s="12" t="str">
        <f>IFERROR(__xludf.DUMMYFUNCTION("""COMPUTED_VALUE"""),"0243079315")</f>
        <v>0243079315</v>
      </c>
      <c r="AG616" s="12" t="str">
        <f>IFERROR(__xludf.DUMMYFUNCTION("""COMPUTED_VALUE"""),"Ana")</f>
        <v>Ana</v>
      </c>
      <c r="AH616" s="12" t="str">
        <f>IFERROR(__xludf.DUMMYFUNCTION("""COMPUTED_VALUE"""),"Carolina")</f>
        <v>Carolina</v>
      </c>
      <c r="AI616" s="6" t="str">
        <f>IFERROR(__xludf.DUMMYFUNCTION("""COMPUTED_VALUE"""),"Gordillo Cárdenas")</f>
        <v>Gordillo Cárdenas</v>
      </c>
      <c r="AJ616" s="6" t="str">
        <f>IFERROR(__xludf.DUMMYFUNCTION("""COMPUTED_VALUE"""),"anacarolinagordillo@gmail.com")</f>
        <v>anacarolinagordillo@gmail.com</v>
      </c>
      <c r="AK616" s="6" t="str">
        <f>IFERROR(__xludf.DUMMYFUNCTION("""COMPUTED_VALUE"""),"PSICOLOGO")</f>
        <v>PSICOLOGO</v>
      </c>
      <c r="AL616" s="6" t="str">
        <f>IFERROR(__xludf.DUMMYFUNCTION("""COMPUTED_VALUE"""),"PROINDUSTAR SAS")</f>
        <v>PROINDUSTAR SAS</v>
      </c>
      <c r="AM616" s="12" t="str">
        <f>IFERROR(__xludf.DUMMYFUNCTION("""COMPUTED_VALUE"""),"41957193")</f>
        <v>41957193</v>
      </c>
      <c r="AN616" s="12" t="str">
        <f>IFERROR(__xludf.DUMMYFUNCTION("""COMPUTED_VALUE"""),"3004679889")</f>
        <v>3004679889</v>
      </c>
      <c r="AO616" s="6" t="str">
        <f>IFERROR(__xludf.DUMMYFUNCTION("""COMPUTED_VALUE"""),"Madre")</f>
        <v>Madre</v>
      </c>
      <c r="AP616" s="6" t="str">
        <f>IFERROR(__xludf.DUMMYFUNCTION("""COMPUTED_VALUE"""),"Estudiante(s): Velásquez Gordillo")</f>
        <v>Estudiante(s): Velásquez Gordillo</v>
      </c>
      <c r="AQ616" s="6" t="str">
        <f>IFERROR(__xludf.DUMMYFUNCTION("""COMPUTED_VALUE"""),"103765*Gi")</f>
        <v>103765*Gi</v>
      </c>
      <c r="AR616" s="6" t="str">
        <f>IFERROR(__xludf.DUMMYFUNCTION("""COMPUTED_VALUE"""),"Jaime")</f>
        <v>Jaime</v>
      </c>
      <c r="AS616" s="6" t="str">
        <f>IFERROR(__xludf.DUMMYFUNCTION("""COMPUTED_VALUE"""),"Eduardo")</f>
        <v>Eduardo</v>
      </c>
      <c r="AT616" s="6" t="str">
        <f>IFERROR(__xludf.DUMMYFUNCTION("""COMPUTED_VALUE"""),"Velásquez Mejía")</f>
        <v>Velásquez Mejía</v>
      </c>
      <c r="AU616" s="6" t="str">
        <f>IFERROR(__xludf.DUMMYFUNCTION("""COMPUTED_VALUE"""),"jaimevelasquez@gmail.com")</f>
        <v>jaimevelasquez@gmail.com</v>
      </c>
      <c r="AV616" s="6" t="str">
        <f>IFERROR(__xludf.DUMMYFUNCTION("""COMPUTED_VALUE"""),"Administrador Negocios")</f>
        <v>Administrador Negocios</v>
      </c>
      <c r="AW616" s="6" t="str">
        <f>IFERROR(__xludf.DUMMYFUNCTION("""COMPUTED_VALUE"""),"Proindustar SAS")</f>
        <v>Proindustar SAS</v>
      </c>
      <c r="AX616" s="12" t="str">
        <f>IFERROR(__xludf.DUMMYFUNCTION("""COMPUTED_VALUE"""),"18009513")</f>
        <v>18009513</v>
      </c>
      <c r="AY616" s="12" t="str">
        <f>IFERROR(__xludf.DUMMYFUNCTION("""COMPUTED_VALUE"""),"3007970991")</f>
        <v>3007970991</v>
      </c>
      <c r="AZ616" s="6" t="str">
        <f>IFERROR(__xludf.DUMMYFUNCTION("""COMPUTED_VALUE"""),"Padre")</f>
        <v>Padre</v>
      </c>
      <c r="BA616" s="6"/>
      <c r="BB616" s="6"/>
      <c r="BC616" s="6"/>
      <c r="BD616" s="12" t="str">
        <f>IFERROR(__xludf.DUMMYFUNCTION("""COMPUTED_VALUE"""),"vel0010")</f>
        <v>vel0010</v>
      </c>
      <c r="BE616" s="6"/>
      <c r="BF616" s="6"/>
      <c r="BG616" s="6">
        <f>IFERROR(__xludf.DUMMYFUNCTION("""COMPUTED_VALUE"""),2031.0)</f>
        <v>2031</v>
      </c>
      <c r="BH616" s="15">
        <f>IFERROR(__xludf.DUMMYFUNCTION("""COMPUTED_VALUE"""),46220.66548611111)</f>
        <v>46220.66549</v>
      </c>
      <c r="BI616" s="6">
        <f>IFERROR(__xludf.DUMMYFUNCTION("""COMPUTED_VALUE"""),616.0)</f>
        <v>616</v>
      </c>
      <c r="BJ616" s="6"/>
      <c r="BK616" s="6"/>
      <c r="BL616" s="6" t="str">
        <f>IFERROR(__xludf.DUMMYFUNCTION("""COMPUTED_VALUE"""),"GISVEL0010")</f>
        <v>GISVEL0010</v>
      </c>
      <c r="BM616" s="6"/>
      <c r="BN616" s="6"/>
      <c r="BO616" s="6" t="str">
        <f>IFERROR(__xludf.DUMMYFUNCTION("""COMPUTED_VALUE"""),"XC_MS_BandaTR")</f>
        <v>XC_MS_BandaTR</v>
      </c>
      <c r="BP616" s="6" t="str">
        <f>IFERROR(__xludf.DUMMYFUNCTION("""COMPUTED_VALUE"""),"XC_SEC_OlympMath")</f>
        <v>XC_SEC_OlympMath</v>
      </c>
      <c r="BQ616" s="6"/>
      <c r="BR616" s="6"/>
      <c r="BS616" s="6"/>
      <c r="BT616" s="6"/>
      <c r="BU616" s="6" t="str">
        <f>IFERROR(__xludf.DUMMYFUNCTION("""COMPUTED_VALUE"""),"SI")</f>
        <v>SI</v>
      </c>
      <c r="BV616" s="6" t="str">
        <f>IFERROR(__xludf.DUMMYFUNCTION("""COMPUTED_VALUE"""),"sebastian.v2031")</f>
        <v>sebastian.v2031</v>
      </c>
      <c r="BW616" s="6"/>
      <c r="BX616" s="6"/>
      <c r="BY616" s="6"/>
      <c r="BZ616" s="6"/>
    </row>
    <row r="617">
      <c r="A617" s="12">
        <f>IFERROR(__xludf.DUMMYFUNCTION("""COMPUTED_VALUE"""),1.092462423E9)</f>
        <v>1092462423</v>
      </c>
      <c r="B617" s="6">
        <f>IFERROR(__xludf.DUMMYFUNCTION("""COMPUTED_VALUE"""),62.0)</f>
        <v>62</v>
      </c>
      <c r="C617" s="6" t="str">
        <f>IFERROR(__xludf.DUMMYFUNCTION("""COMPUTED_VALUE"""),"Sergio")</f>
        <v>Sergio</v>
      </c>
      <c r="D617" s="6"/>
      <c r="E617" s="6" t="str">
        <f>IFERROR(__xludf.DUMMYFUNCTION("""COMPUTED_VALUE"""),"Vélez Orozco")</f>
        <v>Vélez Orozco</v>
      </c>
      <c r="F617" s="6" t="str">
        <f>IFERROR(__xludf.DUMMYFUNCTION("""COMPUTED_VALUE"""),"Torre Orion Apto 1001 - Cra 11A No11Nte - 34 La Castellana")</f>
        <v>Torre Orion Apto 1001 - Cra 11A No11Nte - 34 La Castellana</v>
      </c>
      <c r="G617" s="12">
        <f>IFERROR(__xludf.DUMMYFUNCTION("""COMPUTED_VALUE"""),2012.0)</f>
        <v>2012</v>
      </c>
      <c r="H617" s="6" t="str">
        <f>IFERROR(__xludf.DUMMYFUNCTION("""COMPUTED_VALUE"""),"Abril")</f>
        <v>Abril</v>
      </c>
      <c r="I617" s="12">
        <f>IFERROR(__xludf.DUMMYFUNCTION("""COMPUTED_VALUE"""),26.0)</f>
        <v>26</v>
      </c>
      <c r="J617" s="6" t="str">
        <f>IFERROR(__xludf.DUMMYFUNCTION("""COMPUTED_VALUE"""),"Armenia")</f>
        <v>Armenia</v>
      </c>
      <c r="K617" s="6" t="str">
        <f>IFERROR(__xludf.DUMMYFUNCTION("""COMPUTED_VALUE"""),"sergio.v2031@gi.edu.co")</f>
        <v>sergio.v2031@gi.edu.co</v>
      </c>
      <c r="L617" s="6" t="str">
        <f>IFERROR(__xludf.DUMMYFUNCTION("""COMPUTED_VALUE"""),"TI")</f>
        <v>TI</v>
      </c>
      <c r="M617" s="6" t="str">
        <f>IFERROR(__xludf.DUMMYFUNCTION("""COMPUTED_VALUE"""),"Armenia")</f>
        <v>Armenia</v>
      </c>
      <c r="N617" s="6" t="str">
        <f>IFERROR(__xludf.DUMMYFUNCTION("""COMPUTED_VALUE"""),"M")</f>
        <v>M</v>
      </c>
      <c r="O617" s="6" t="str">
        <f>IFERROR(__xludf.DUMMYFUNCTION("""COMPUTED_VALUE"""),"ACTIVE")</f>
        <v>ACTIVE</v>
      </c>
      <c r="P617" s="6"/>
      <c r="Q617" s="6" t="str">
        <f>IFERROR(__xludf.DUMMYFUNCTION("""COMPUTED_VALUE"""),"Armenia")</f>
        <v>Armenia</v>
      </c>
      <c r="R617" s="12" t="str">
        <f>IFERROR(__xludf.DUMMYFUNCTION("""COMPUTED_VALUE"""),"Gihk8fg4c*")</f>
        <v>Gihk8fg4c*</v>
      </c>
      <c r="S617" s="6" t="str">
        <f>IFERROR(__xludf.DUMMYFUNCTION("""COMPUTED_VALUE"""),"Vélez Orozco Sergio ")</f>
        <v>Vélez Orozco Sergio </v>
      </c>
      <c r="T617" s="6" t="str">
        <f>IFERROR(__xludf.DUMMYFUNCTION("""COMPUTED_VALUE"""),"JORGE HERNAN VELEZ MEJIA")</f>
        <v>JORGE HERNAN VELEZ MEJIA</v>
      </c>
      <c r="U617" s="12" t="str">
        <f>IFERROR(__xludf.DUMMYFUNCTION("""COMPUTED_VALUE"""),"19490973")</f>
        <v>19490973</v>
      </c>
      <c r="V617" s="6">
        <f>IFERROR(__xludf.DUMMYFUNCTION("""COMPUTED_VALUE"""),3.136955085E9)</f>
        <v>3136955085</v>
      </c>
      <c r="W617" s="6" t="str">
        <f>IFERROR(__xludf.DUMMYFUNCTION("""COMPUTED_VALUE"""),"jorgeh.velezmejia@hotmail.com")</f>
        <v>jorgeh.velezmejia@hotmail.com</v>
      </c>
      <c r="X617" s="12" t="str">
        <f>IFERROR(__xludf.DUMMYFUNCTION("""COMPUTED_VALUE"""),"O+")</f>
        <v>O+</v>
      </c>
      <c r="Y617" s="12" t="str">
        <f>IFERROR(__xludf.DUMMYFUNCTION("""COMPUTED_VALUE"""),"8")</f>
        <v>8</v>
      </c>
      <c r="Z617" s="12">
        <f>IFERROR(__xludf.DUMMYFUNCTION("""COMPUTED_VALUE"""),120469.0)</f>
        <v>120469</v>
      </c>
      <c r="AA617" s="6" t="str">
        <f>IFERROR(__xludf.DUMMYFUNCTION("""COMPUTED_VALUE"""),"SANITAS")</f>
        <v>SANITAS</v>
      </c>
      <c r="AB617" s="6"/>
      <c r="AC617" s="6"/>
      <c r="AD617" s="12" t="str">
        <f>IFERROR(__xludf.DUMMYFUNCTION("""COMPUTED_VALUE"""),"8C")</f>
        <v>8C</v>
      </c>
      <c r="AE617" s="12" t="str">
        <f>IFERROR(__xludf.DUMMYFUNCTION("""COMPUTED_VALUE"""),"1345282434")</f>
        <v>1345282434</v>
      </c>
      <c r="AF617" s="12" t="str">
        <f>IFERROR(__xludf.DUMMYFUNCTION("""COMPUTED_VALUE"""),"0696609139")</f>
        <v>0696609139</v>
      </c>
      <c r="AG617" s="12" t="str">
        <f>IFERROR(__xludf.DUMMYFUNCTION("""COMPUTED_VALUE"""),"Angélica")</f>
        <v>Angélica</v>
      </c>
      <c r="AH617" s="12" t="str">
        <f>IFERROR(__xludf.DUMMYFUNCTION("""COMPUTED_VALUE"""),"María")</f>
        <v>María</v>
      </c>
      <c r="AI617" s="6" t="str">
        <f>IFERROR(__xludf.DUMMYFUNCTION("""COMPUTED_VALUE"""),"Orozco Toro")</f>
        <v>Orozco Toro</v>
      </c>
      <c r="AJ617" s="6" t="str">
        <f>IFERROR(__xludf.DUMMYFUNCTION("""COMPUTED_VALUE"""),"amoserjo@hotmail.com")</f>
        <v>amoserjo@hotmail.com</v>
      </c>
      <c r="AK617" s="6" t="str">
        <f>IFERROR(__xludf.DUMMYFUNCTION("""COMPUTED_VALUE"""),"DELINEANTE DE ARQUITECTURA")</f>
        <v>DELINEANTE DE ARQUITECTURA</v>
      </c>
      <c r="AL617" s="6" t="str">
        <f>IFERROR(__xludf.DUMMYFUNCTION("""COMPUTED_VALUE"""),"PIETRA SANTA SAS")</f>
        <v>PIETRA SANTA SAS</v>
      </c>
      <c r="AM617" s="12" t="str">
        <f>IFERROR(__xludf.DUMMYFUNCTION("""COMPUTED_VALUE"""),"41919055")</f>
        <v>41919055</v>
      </c>
      <c r="AN617" s="12">
        <f>IFERROR(__xludf.DUMMYFUNCTION("""COMPUTED_VALUE"""),3.175750074E9)</f>
        <v>3175750074</v>
      </c>
      <c r="AO617" s="6" t="str">
        <f>IFERROR(__xludf.DUMMYFUNCTION("""COMPUTED_VALUE"""),"Madre")</f>
        <v>Madre</v>
      </c>
      <c r="AP617" s="6" t="str">
        <f>IFERROR(__xludf.DUMMYFUNCTION("""COMPUTED_VALUE"""),"Estudiante(s): Vélez Orozco")</f>
        <v>Estudiante(s): Vélez Orozco</v>
      </c>
      <c r="AQ617" s="6" t="str">
        <f>IFERROR(__xludf.DUMMYFUNCTION("""COMPUTED_VALUE"""),"120469*Gi")</f>
        <v>120469*Gi</v>
      </c>
      <c r="AR617" s="6" t="str">
        <f>IFERROR(__xludf.DUMMYFUNCTION("""COMPUTED_VALUE"""),"Jorge")</f>
        <v>Jorge</v>
      </c>
      <c r="AS617" s="6" t="str">
        <f>IFERROR(__xludf.DUMMYFUNCTION("""COMPUTED_VALUE"""),"Hernán")</f>
        <v>Hernán</v>
      </c>
      <c r="AT617" s="6" t="str">
        <f>IFERROR(__xludf.DUMMYFUNCTION("""COMPUTED_VALUE"""),"Vélez Mejía")</f>
        <v>Vélez Mejía</v>
      </c>
      <c r="AU617" s="6" t="str">
        <f>IFERROR(__xludf.DUMMYFUNCTION("""COMPUTED_VALUE"""),"jorgeh.velezmejia@hotmail.com")</f>
        <v>jorgeh.velezmejia@hotmail.com</v>
      </c>
      <c r="AV617" s="6" t="str">
        <f>IFERROR(__xludf.DUMMYFUNCTION("""COMPUTED_VALUE"""),"ARQUITECTO")</f>
        <v>ARQUITECTO</v>
      </c>
      <c r="AW617" s="6" t="str">
        <f>IFERROR(__xludf.DUMMYFUNCTION("""COMPUTED_VALUE"""),"PIETRA SANTA SAS")</f>
        <v>PIETRA SANTA SAS</v>
      </c>
      <c r="AX617" s="12" t="str">
        <f>IFERROR(__xludf.DUMMYFUNCTION("""COMPUTED_VALUE"""),"19490973")</f>
        <v>19490973</v>
      </c>
      <c r="AY617" s="12" t="str">
        <f>IFERROR(__xludf.DUMMYFUNCTION("""COMPUTED_VALUE"""),"3136955085")</f>
        <v>3136955085</v>
      </c>
      <c r="AZ617" s="6" t="str">
        <f>IFERROR(__xludf.DUMMYFUNCTION("""COMPUTED_VALUE"""),"Padre")</f>
        <v>Padre</v>
      </c>
      <c r="BA617" s="6"/>
      <c r="BB617" s="6"/>
      <c r="BC617" s="6"/>
      <c r="BD617" s="12" t="str">
        <f>IFERROR(__xludf.DUMMYFUNCTION("""COMPUTED_VALUE"""),"vel0021")</f>
        <v>vel0021</v>
      </c>
      <c r="BE617" s="6"/>
      <c r="BF617" s="6"/>
      <c r="BG617" s="6">
        <f>IFERROR(__xludf.DUMMYFUNCTION("""COMPUTED_VALUE"""),2031.0)</f>
        <v>2031</v>
      </c>
      <c r="BH617" s="15">
        <f>IFERROR(__xludf.DUMMYFUNCTION("""COMPUTED_VALUE"""),46209.38311342592)</f>
        <v>46209.38311</v>
      </c>
      <c r="BI617" s="6">
        <f>IFERROR(__xludf.DUMMYFUNCTION("""COMPUTED_VALUE"""),617.0)</f>
        <v>617</v>
      </c>
      <c r="BJ617" s="6"/>
      <c r="BK617" s="6"/>
      <c r="BL617" s="6" t="str">
        <f>IFERROR(__xludf.DUMMYFUNCTION("""COMPUTED_VALUE"""),"GISVEL0021")</f>
        <v>GISVEL0021</v>
      </c>
      <c r="BM617" s="6"/>
      <c r="BN617" s="6"/>
      <c r="BO617" s="6" t="str">
        <f>IFERROR(__xludf.DUMMYFUNCTION("""COMPUTED_VALUE"""),"XC_MS_Futbol_M")</f>
        <v>XC_MS_Futbol_M</v>
      </c>
      <c r="BP617" s="6"/>
      <c r="BQ617" s="6" t="str">
        <f>IFERROR(__xludf.DUMMYFUNCTION("""COMPUTED_VALUE"""),"XC_MS_Futbol_M")</f>
        <v>XC_MS_Futbol_M</v>
      </c>
      <c r="BR617" s="6" t="str">
        <f>IFERROR(__xludf.DUMMYFUNCTION("""COMPUTED_VALUE"""),"XC_MS_Futbol_M")</f>
        <v>XC_MS_Futbol_M</v>
      </c>
      <c r="BS617" s="6"/>
      <c r="BT617" s="6" t="str">
        <f>IFERROR(__xludf.DUMMYFUNCTION("""COMPUTED_VALUE"""),"XC_MS_Futbol_M")</f>
        <v>XC_MS_Futbol_M</v>
      </c>
      <c r="BU617" s="6" t="str">
        <f>IFERROR(__xludf.DUMMYFUNCTION("""COMPUTED_VALUE"""),"SI")</f>
        <v>SI</v>
      </c>
      <c r="BV617" s="6" t="str">
        <f>IFERROR(__xludf.DUMMYFUNCTION("""COMPUTED_VALUE"""),"sergio.v2031")</f>
        <v>sergio.v2031</v>
      </c>
      <c r="BW617" s="6"/>
      <c r="BX617" s="6"/>
      <c r="BY617" s="6"/>
      <c r="BZ617" s="6"/>
    </row>
    <row r="618">
      <c r="A618" s="12">
        <f>IFERROR(__xludf.DUMMYFUNCTION("""COMPUTED_VALUE"""),1.092857097E9)</f>
        <v>1092857097</v>
      </c>
      <c r="B618" s="6">
        <f>IFERROR(__xludf.DUMMYFUNCTION("""COMPUTED_VALUE"""),63.0)</f>
        <v>63</v>
      </c>
      <c r="C618" s="6" t="str">
        <f>IFERROR(__xludf.DUMMYFUNCTION("""COMPUTED_VALUE"""),"Jacobo")</f>
        <v>Jacobo</v>
      </c>
      <c r="D618" s="6"/>
      <c r="E618" s="6" t="str">
        <f>IFERROR(__xludf.DUMMYFUNCTION("""COMPUTED_VALUE"""),"Villalobos Velásquez")</f>
        <v>Villalobos Velásquez</v>
      </c>
      <c r="F618" s="6" t="str">
        <f>IFERROR(__xludf.DUMMYFUNCTION("""COMPUTED_VALUE"""),"Condominio Reserva de la Pastorita Casa 11 - Av 19 No23ANte - 21")</f>
        <v>Condominio Reserva de la Pastorita Casa 11 - Av 19 No23ANte - 21</v>
      </c>
      <c r="G618" s="12" t="str">
        <f>IFERROR(__xludf.DUMMYFUNCTION("""COMPUTED_VALUE"""),"2013")</f>
        <v>2013</v>
      </c>
      <c r="H618" s="6" t="str">
        <f>IFERROR(__xludf.DUMMYFUNCTION("""COMPUTED_VALUE"""),"Septiembre")</f>
        <v>Septiembre</v>
      </c>
      <c r="I618" s="12" t="str">
        <f>IFERROR(__xludf.DUMMYFUNCTION("""COMPUTED_VALUE"""),"13")</f>
        <v>13</v>
      </c>
      <c r="J618" s="6" t="str">
        <f>IFERROR(__xludf.DUMMYFUNCTION("""COMPUTED_VALUE"""),"Armenia")</f>
        <v>Armenia</v>
      </c>
      <c r="K618" s="6" t="str">
        <f>IFERROR(__xludf.DUMMYFUNCTION("""COMPUTED_VALUE"""),"jacobo.v2031@gi.edu.co")</f>
        <v>jacobo.v2031@gi.edu.co</v>
      </c>
      <c r="L618" s="6" t="str">
        <f>IFERROR(__xludf.DUMMYFUNCTION("""COMPUTED_VALUE"""),"TI")</f>
        <v>TI</v>
      </c>
      <c r="M618" s="6" t="str">
        <f>IFERROR(__xludf.DUMMYFUNCTION("""COMPUTED_VALUE"""),"Armenia")</f>
        <v>Armenia</v>
      </c>
      <c r="N618" s="6" t="str">
        <f>IFERROR(__xludf.DUMMYFUNCTION("""COMPUTED_VALUE"""),"M")</f>
        <v>M</v>
      </c>
      <c r="O618" s="6" t="str">
        <f>IFERROR(__xludf.DUMMYFUNCTION("""COMPUTED_VALUE"""),"ACTIVE")</f>
        <v>ACTIVE</v>
      </c>
      <c r="P618" s="6"/>
      <c r="Q618" s="6" t="str">
        <f>IFERROR(__xludf.DUMMYFUNCTION("""COMPUTED_VALUE"""),"Armenia")</f>
        <v>Armenia</v>
      </c>
      <c r="R618" s="12" t="str">
        <f>IFERROR(__xludf.DUMMYFUNCTION("""COMPUTED_VALUE"""),"Giv1l1al8b*")</f>
        <v>Giv1l1al8b*</v>
      </c>
      <c r="S618" s="6" t="str">
        <f>IFERROR(__xludf.DUMMYFUNCTION("""COMPUTED_VALUE"""),"Villalobos Velásquez Jacobo ")</f>
        <v>Villalobos Velásquez Jacobo </v>
      </c>
      <c r="T618" s="6" t="str">
        <f>IFERROR(__xludf.DUMMYFUNCTION("""COMPUTED_VALUE"""),"MARÍA ALEJANDRA VELÁSQUEZ LONDOÑO")</f>
        <v>MARÍA ALEJANDRA VELÁSQUEZ LONDOÑO</v>
      </c>
      <c r="U618" s="12" t="str">
        <f>IFERROR(__xludf.DUMMYFUNCTION("""COMPUTED_VALUE"""),"1094893094")</f>
        <v>1094893094</v>
      </c>
      <c r="V618" s="6">
        <f>IFERROR(__xludf.DUMMYFUNCTION("""COMPUTED_VALUE"""),3.104672797E9)</f>
        <v>3104672797</v>
      </c>
      <c r="W618" s="6" t="str">
        <f>IFERROR(__xludf.DUMMYFUNCTION("""COMPUTED_VALUE"""),"mariavela50@hotmail.com")</f>
        <v>mariavela50@hotmail.com</v>
      </c>
      <c r="X618" s="12" t="str">
        <f>IFERROR(__xludf.DUMMYFUNCTION("""COMPUTED_VALUE"""),"O-")</f>
        <v>O-</v>
      </c>
      <c r="Y618" s="12" t="str">
        <f>IFERROR(__xludf.DUMMYFUNCTION("""COMPUTED_VALUE"""),"8")</f>
        <v>8</v>
      </c>
      <c r="Z618" s="12">
        <f>IFERROR(__xludf.DUMMYFUNCTION("""COMPUTED_VALUE"""),103388.0)</f>
        <v>103388</v>
      </c>
      <c r="AA618" s="6" t="str">
        <f>IFERROR(__xludf.DUMMYFUNCTION("""COMPUTED_VALUE"""),"SURA")</f>
        <v>SURA</v>
      </c>
      <c r="AB618" s="6"/>
      <c r="AC618" s="6"/>
      <c r="AD618" s="12" t="str">
        <f>IFERROR(__xludf.DUMMYFUNCTION("""COMPUTED_VALUE"""),"8A")</f>
        <v>8A</v>
      </c>
      <c r="AE618" s="12">
        <f>IFERROR(__xludf.DUMMYFUNCTION("""COMPUTED_VALUE"""),1.345281671E9)</f>
        <v>1345281671</v>
      </c>
      <c r="AF618" s="12" t="str">
        <f>IFERROR(__xludf.DUMMYFUNCTION("""COMPUTED_VALUE"""),"0696512275")</f>
        <v>0696512275</v>
      </c>
      <c r="AG618" s="12" t="str">
        <f>IFERROR(__xludf.DUMMYFUNCTION("""COMPUTED_VALUE"""),"María")</f>
        <v>María</v>
      </c>
      <c r="AH618" s="12" t="str">
        <f>IFERROR(__xludf.DUMMYFUNCTION("""COMPUTED_VALUE"""),"Alejandra")</f>
        <v>Alejandra</v>
      </c>
      <c r="AI618" s="6" t="str">
        <f>IFERROR(__xludf.DUMMYFUNCTION("""COMPUTED_VALUE"""),"Velásquez Londoño")</f>
        <v>Velásquez Londoño</v>
      </c>
      <c r="AJ618" s="6" t="str">
        <f>IFERROR(__xludf.DUMMYFUNCTION("""COMPUTED_VALUE"""),"mariavela50@hotmail.com")</f>
        <v>mariavela50@hotmail.com</v>
      </c>
      <c r="AK618" s="6" t="str">
        <f>IFERROR(__xludf.DUMMYFUNCTION("""COMPUTED_VALUE"""),"medico general")</f>
        <v>medico general</v>
      </c>
      <c r="AL618" s="6" t="str">
        <f>IFERROR(__xludf.DUMMYFUNCTION("""COMPUTED_VALUE"""),"endos sas")</f>
        <v>endos sas</v>
      </c>
      <c r="AM618" s="12" t="str">
        <f>IFERROR(__xludf.DUMMYFUNCTION("""COMPUTED_VALUE"""),"1094893094")</f>
        <v>1094893094</v>
      </c>
      <c r="AN618" s="12" t="str">
        <f>IFERROR(__xludf.DUMMYFUNCTION("""COMPUTED_VALUE"""),"3104672797")</f>
        <v>3104672797</v>
      </c>
      <c r="AO618" s="6" t="str">
        <f>IFERROR(__xludf.DUMMYFUNCTION("""COMPUTED_VALUE"""),"Madre")</f>
        <v>Madre</v>
      </c>
      <c r="AP618" s="6" t="str">
        <f>IFERROR(__xludf.DUMMYFUNCTION("""COMPUTED_VALUE"""),"Estudiante(s): Villalobos Velásquez")</f>
        <v>Estudiante(s): Villalobos Velásquez</v>
      </c>
      <c r="AQ618" s="6" t="str">
        <f>IFERROR(__xludf.DUMMYFUNCTION("""COMPUTED_VALUE"""),"103388*Gi")</f>
        <v>103388*Gi</v>
      </c>
      <c r="AR618" s="6" t="str">
        <f>IFERROR(__xludf.DUMMYFUNCTION("""COMPUTED_VALUE"""),"Raúl")</f>
        <v>Raúl</v>
      </c>
      <c r="AS618" s="6" t="str">
        <f>IFERROR(__xludf.DUMMYFUNCTION("""COMPUTED_VALUE"""),"Alberto")</f>
        <v>Alberto</v>
      </c>
      <c r="AT618" s="6" t="str">
        <f>IFERROR(__xludf.DUMMYFUNCTION("""COMPUTED_VALUE"""),"Villalobos Monsalve")</f>
        <v>Villalobos Monsalve</v>
      </c>
      <c r="AU618" s="6" t="str">
        <f>IFERROR(__xludf.DUMMYFUNCTION("""COMPUTED_VALUE"""),"villalo4@yahoo.com")</f>
        <v>villalo4@yahoo.com</v>
      </c>
      <c r="AV618" s="6" t="str">
        <f>IFERROR(__xludf.DUMMYFUNCTION("""COMPUTED_VALUE"""),"medico cirujano")</f>
        <v>medico cirujano</v>
      </c>
      <c r="AW618" s="6" t="str">
        <f>IFERROR(__xludf.DUMMYFUNCTION("""COMPUTED_VALUE"""),"endos sas")</f>
        <v>endos sas</v>
      </c>
      <c r="AX618" s="12" t="str">
        <f>IFERROR(__xludf.DUMMYFUNCTION("""COMPUTED_VALUE"""),"79351195")</f>
        <v>79351195</v>
      </c>
      <c r="AY618" s="12" t="str">
        <f>IFERROR(__xludf.DUMMYFUNCTION("""COMPUTED_VALUE"""),"3113729281")</f>
        <v>3113729281</v>
      </c>
      <c r="AZ618" s="6" t="str">
        <f>IFERROR(__xludf.DUMMYFUNCTION("""COMPUTED_VALUE"""),"Padre")</f>
        <v>Padre</v>
      </c>
      <c r="BA618" s="6"/>
      <c r="BB618" s="6"/>
      <c r="BC618" s="6"/>
      <c r="BD618" s="12" t="str">
        <f>IFERROR(__xludf.DUMMYFUNCTION("""COMPUTED_VALUE"""),"vil0007")</f>
        <v>vil0007</v>
      </c>
      <c r="BE618" s="6"/>
      <c r="BF618" s="6"/>
      <c r="BG618" s="6">
        <f>IFERROR(__xludf.DUMMYFUNCTION("""COMPUTED_VALUE"""),2031.0)</f>
        <v>2031</v>
      </c>
      <c r="BH618" s="15">
        <f>IFERROR(__xludf.DUMMYFUNCTION("""COMPUTED_VALUE"""),46211.80081018519)</f>
        <v>46211.80081</v>
      </c>
      <c r="BI618" s="6">
        <f>IFERROR(__xludf.DUMMYFUNCTION("""COMPUTED_VALUE"""),618.0)</f>
        <v>618</v>
      </c>
      <c r="BJ618" s="6" t="str">
        <f>IFERROR(__xludf.DUMMYFUNCTION("""COMPUTED_VALUE"""),"Junio 6/2024 SIMAT Trastorno por déficit de atención con/sin Hiperatividad")</f>
        <v>Junio 6/2024 SIMAT Trastorno por déficit de atención con/sin Hiperatividad</v>
      </c>
      <c r="BK618" s="6"/>
      <c r="BL618" s="6" t="str">
        <f>IFERROR(__xludf.DUMMYFUNCTION("""COMPUTED_VALUE"""),"GISVIL0007")</f>
        <v>GISVIL0007</v>
      </c>
      <c r="BM618" s="6"/>
      <c r="BN618" s="6"/>
      <c r="BO618" s="6"/>
      <c r="BP618" s="6"/>
      <c r="BQ618" s="6"/>
      <c r="BR618" s="6"/>
      <c r="BS618" s="6"/>
      <c r="BT618" s="6"/>
      <c r="BU618" s="6" t="str">
        <f>IFERROR(__xludf.DUMMYFUNCTION("""COMPUTED_VALUE"""),"SI")</f>
        <v>SI</v>
      </c>
      <c r="BV618" s="6" t="str">
        <f>IFERROR(__xludf.DUMMYFUNCTION("""COMPUTED_VALUE"""),"jacobo.v2031")</f>
        <v>jacobo.v2031</v>
      </c>
      <c r="BW618" s="6"/>
      <c r="BX618" s="6"/>
      <c r="BY618" s="6"/>
      <c r="BZ618" s="6"/>
    </row>
    <row r="619">
      <c r="A619" s="12">
        <f>IFERROR(__xludf.DUMMYFUNCTION("""COMPUTED_VALUE"""),1.024550616E9)</f>
        <v>1024550616</v>
      </c>
      <c r="B619" s="6">
        <f>IFERROR(__xludf.DUMMYFUNCTION("""COMPUTED_VALUE"""),64.0)</f>
        <v>64</v>
      </c>
      <c r="C619" s="6" t="str">
        <f>IFERROR(__xludf.DUMMYFUNCTION("""COMPUTED_VALUE"""),"Juan")</f>
        <v>Juan</v>
      </c>
      <c r="D619" s="6" t="str">
        <f>IFERROR(__xludf.DUMMYFUNCTION("""COMPUTED_VALUE"""),"Darío")</f>
        <v>Darío</v>
      </c>
      <c r="E619" s="6" t="str">
        <f>IFERROR(__xludf.DUMMYFUNCTION("""COMPUTED_VALUE"""),"Zerrate Londoño")</f>
        <v>Zerrate Londoño</v>
      </c>
      <c r="F619" s="6" t="str">
        <f>IFERROR(__xludf.DUMMYFUNCTION("""COMPUTED_VALUE"""),"Bosque Residencial Zimbabwe Casa 1 - Calle 1 No16 - 205 Km 7 Via Armenia - Pereira")</f>
        <v>Bosque Residencial Zimbabwe Casa 1 - Calle 1 No16 - 205 Km 7 Via Armenia - Pereira</v>
      </c>
      <c r="G619" s="12" t="str">
        <f>IFERROR(__xludf.DUMMYFUNCTION("""COMPUTED_VALUE"""),"2012")</f>
        <v>2012</v>
      </c>
      <c r="H619" s="6" t="str">
        <f>IFERROR(__xludf.DUMMYFUNCTION("""COMPUTED_VALUE"""),"Marzo")</f>
        <v>Marzo</v>
      </c>
      <c r="I619" s="12" t="str">
        <f>IFERROR(__xludf.DUMMYFUNCTION("""COMPUTED_VALUE"""),"19")</f>
        <v>19</v>
      </c>
      <c r="J619" s="6" t="str">
        <f>IFERROR(__xludf.DUMMYFUNCTION("""COMPUTED_VALUE"""),"Bogotá D.C.")</f>
        <v>Bogotá D.C.</v>
      </c>
      <c r="K619" s="6" t="str">
        <f>IFERROR(__xludf.DUMMYFUNCTION("""COMPUTED_VALUE"""),"juan.z2031@gi.edu.co")</f>
        <v>juan.z2031@gi.edu.co</v>
      </c>
      <c r="L619" s="6" t="str">
        <f>IFERROR(__xludf.DUMMYFUNCTION("""COMPUTED_VALUE"""),"TI")</f>
        <v>TI</v>
      </c>
      <c r="M619" s="6" t="str">
        <f>IFERROR(__xludf.DUMMYFUNCTION("""COMPUTED_VALUE"""),"Bogotá D.C.")</f>
        <v>Bogotá D.C.</v>
      </c>
      <c r="N619" s="6" t="str">
        <f>IFERROR(__xludf.DUMMYFUNCTION("""COMPUTED_VALUE"""),"M")</f>
        <v>M</v>
      </c>
      <c r="O619" s="6" t="str">
        <f>IFERROR(__xludf.DUMMYFUNCTION("""COMPUTED_VALUE"""),"ACTIVE")</f>
        <v>ACTIVE</v>
      </c>
      <c r="P619" s="6"/>
      <c r="Q619" s="6" t="str">
        <f>IFERROR(__xludf.DUMMYFUNCTION("""COMPUTED_VALUE"""),"Circasia")</f>
        <v>Circasia</v>
      </c>
      <c r="R619" s="12" t="str">
        <f>IFERROR(__xludf.DUMMYFUNCTION("""COMPUTED_VALUE"""),"Gi36jdjcnv*")</f>
        <v>Gi36jdjcnv*</v>
      </c>
      <c r="S619" s="6" t="str">
        <f>IFERROR(__xludf.DUMMYFUNCTION("""COMPUTED_VALUE"""),"Zerrate Londoño Juan Darío")</f>
        <v>Zerrate Londoño Juan Darío</v>
      </c>
      <c r="T619" s="6" t="str">
        <f>IFERROR(__xludf.DUMMYFUNCTION("""COMPUTED_VALUE"""),"HILDA MARIA DEL PILAR LONDONO AYRAN")</f>
        <v>HILDA MARIA DEL PILAR LONDONO AYRAN</v>
      </c>
      <c r="U619" s="12" t="str">
        <f>IFERROR(__xludf.DUMMYFUNCTION("""COMPUTED_VALUE"""),"42078973")</f>
        <v>42078973</v>
      </c>
      <c r="V619" s="6">
        <f>IFERROR(__xludf.DUMMYFUNCTION("""COMPUTED_VALUE"""),3.158883012E9)</f>
        <v>3158883012</v>
      </c>
      <c r="W619" s="6" t="str">
        <f>IFERROR(__xludf.DUMMYFUNCTION("""COMPUTED_VALUE"""),"mariadelpilar9@gmail.com")</f>
        <v>mariadelpilar9@gmail.com</v>
      </c>
      <c r="X619" s="12" t="str">
        <f>IFERROR(__xludf.DUMMYFUNCTION("""COMPUTED_VALUE"""),"O+")</f>
        <v>O+</v>
      </c>
      <c r="Y619" s="12" t="str">
        <f>IFERROR(__xludf.DUMMYFUNCTION("""COMPUTED_VALUE"""),"8")</f>
        <v>8</v>
      </c>
      <c r="Z619" s="12">
        <f>IFERROR(__xludf.DUMMYFUNCTION("""COMPUTED_VALUE"""),120051.0)</f>
        <v>120051</v>
      </c>
      <c r="AA619" s="6" t="str">
        <f>IFERROR(__xludf.DUMMYFUNCTION("""COMPUTED_VALUE"""),"SANITAS")</f>
        <v>SANITAS</v>
      </c>
      <c r="AB619" s="6"/>
      <c r="AC619" s="6"/>
      <c r="AD619" s="12" t="str">
        <f>IFERROR(__xludf.DUMMYFUNCTION("""COMPUTED_VALUE"""),"8B")</f>
        <v>8B</v>
      </c>
      <c r="AE619" s="12" t="str">
        <f>IFERROR(__xludf.DUMMYFUNCTION("""COMPUTED_VALUE"""),"1345282049")</f>
        <v>1345282049</v>
      </c>
      <c r="AF619" s="12" t="str">
        <f>IFERROR(__xludf.DUMMYFUNCTION("""COMPUTED_VALUE"""),"0692727779")</f>
        <v>0692727779</v>
      </c>
      <c r="AG619" s="12" t="str">
        <f>IFERROR(__xludf.DUMMYFUNCTION("""COMPUTED_VALUE"""),"Hilda")</f>
        <v>Hilda</v>
      </c>
      <c r="AH619" s="12" t="str">
        <f>IFERROR(__xludf.DUMMYFUNCTION("""COMPUTED_VALUE"""),"María del Pilar")</f>
        <v>María del Pilar</v>
      </c>
      <c r="AI619" s="6" t="str">
        <f>IFERROR(__xludf.DUMMYFUNCTION("""COMPUTED_VALUE"""),"Londoño Ayran")</f>
        <v>Londoño Ayran</v>
      </c>
      <c r="AJ619" s="6" t="str">
        <f>IFERROR(__xludf.DUMMYFUNCTION("""COMPUTED_VALUE"""),"mariadelpilar9@gmail.com")</f>
        <v>mariadelpilar9@gmail.com</v>
      </c>
      <c r="AK619" s="6" t="str">
        <f>IFERROR(__xludf.DUMMYFUNCTION("""COMPUTED_VALUE"""),"Médico")</f>
        <v>Médico</v>
      </c>
      <c r="AL619" s="6" t="str">
        <f>IFERROR(__xludf.DUMMYFUNCTION("""COMPUTED_VALUE"""),"embecta")</f>
        <v>embecta</v>
      </c>
      <c r="AM619" s="12" t="str">
        <f>IFERROR(__xludf.DUMMYFUNCTION("""COMPUTED_VALUE"""),"42078973")</f>
        <v>42078973</v>
      </c>
      <c r="AN619" s="12" t="str">
        <f>IFERROR(__xludf.DUMMYFUNCTION("""COMPUTED_VALUE"""),"3158883012")</f>
        <v>3158883012</v>
      </c>
      <c r="AO619" s="6" t="str">
        <f>IFERROR(__xludf.DUMMYFUNCTION("""COMPUTED_VALUE"""),"Madre")</f>
        <v>Madre</v>
      </c>
      <c r="AP619" s="6" t="str">
        <f>IFERROR(__xludf.DUMMYFUNCTION("""COMPUTED_VALUE"""),"Estudiante(s): Zerrate Londoño")</f>
        <v>Estudiante(s): Zerrate Londoño</v>
      </c>
      <c r="AQ619" s="6" t="str">
        <f>IFERROR(__xludf.DUMMYFUNCTION("""COMPUTED_VALUE"""),"120051*Gi")</f>
        <v>120051*Gi</v>
      </c>
      <c r="AR619" s="6" t="str">
        <f>IFERROR(__xludf.DUMMYFUNCTION("""COMPUTED_VALUE"""),"Luis")</f>
        <v>Luis</v>
      </c>
      <c r="AS619" s="6" t="str">
        <f>IFERROR(__xludf.DUMMYFUNCTION("""COMPUTED_VALUE"""),"Fernando")</f>
        <v>Fernando</v>
      </c>
      <c r="AT619" s="6" t="str">
        <f>IFERROR(__xludf.DUMMYFUNCTION("""COMPUTED_VALUE"""),"Zerrate Marín")</f>
        <v>Zerrate Marín</v>
      </c>
      <c r="AU619" s="6" t="str">
        <f>IFERROR(__xludf.DUMMYFUNCTION("""COMPUTED_VALUE"""),"ferzer93@gmail.com")</f>
        <v>ferzer93@gmail.com</v>
      </c>
      <c r="AV619" s="6" t="str">
        <f>IFERROR(__xludf.DUMMYFUNCTION("""COMPUTED_VALUE"""),"Administrador Hospitalario")</f>
        <v>Administrador Hospitalario</v>
      </c>
      <c r="AW619" s="6" t="str">
        <f>IFERROR(__xludf.DUMMYFUNCTION("""COMPUTED_VALUE"""),"Pensionado")</f>
        <v>Pensionado</v>
      </c>
      <c r="AX619" s="12" t="str">
        <f>IFERROR(__xludf.DUMMYFUNCTION("""COMPUTED_VALUE"""),"93354996")</f>
        <v>93354996</v>
      </c>
      <c r="AY619" s="12" t="str">
        <f>IFERROR(__xludf.DUMMYFUNCTION("""COMPUTED_VALUE"""),"3212413018")</f>
        <v>3212413018</v>
      </c>
      <c r="AZ619" s="6" t="str">
        <f>IFERROR(__xludf.DUMMYFUNCTION("""COMPUTED_VALUE"""),"Padre")</f>
        <v>Padre</v>
      </c>
      <c r="BA619" s="6"/>
      <c r="BB619" s="6"/>
      <c r="BC619" s="6"/>
      <c r="BD619" s="12" t="str">
        <f>IFERROR(__xludf.DUMMYFUNCTION("""COMPUTED_VALUE"""),"zer0001")</f>
        <v>zer0001</v>
      </c>
      <c r="BE619" s="6"/>
      <c r="BF619" s="6"/>
      <c r="BG619" s="6">
        <f>IFERROR(__xludf.DUMMYFUNCTION("""COMPUTED_VALUE"""),2031.0)</f>
        <v>2031</v>
      </c>
      <c r="BH619" s="15">
        <f>IFERROR(__xludf.DUMMYFUNCTION("""COMPUTED_VALUE"""),46211.49980324074)</f>
        <v>46211.4998</v>
      </c>
      <c r="BI619" s="6">
        <f>IFERROR(__xludf.DUMMYFUNCTION("""COMPUTED_VALUE"""),619.0)</f>
        <v>619</v>
      </c>
      <c r="BJ619" s="6"/>
      <c r="BK619" s="6"/>
      <c r="BL619" s="6" t="str">
        <f>IFERROR(__xludf.DUMMYFUNCTION("""COMPUTED_VALUE"""),"GISZER0001")</f>
        <v>GISZER0001</v>
      </c>
      <c r="BM619" s="6"/>
      <c r="BN619" s="6"/>
      <c r="BO619" s="6" t="str">
        <f>IFERROR(__xludf.DUMMYFUNCTION("""COMPUTED_VALUE"""),"XC_MS_BandaTR")</f>
        <v>XC_MS_BandaTR</v>
      </c>
      <c r="BP619" s="6"/>
      <c r="BQ619" s="6"/>
      <c r="BR619" s="6"/>
      <c r="BS619" s="6"/>
      <c r="BT619" s="6"/>
      <c r="BU619" s="6" t="str">
        <f>IFERROR(__xludf.DUMMYFUNCTION("""COMPUTED_VALUE"""),"SI")</f>
        <v>SI</v>
      </c>
      <c r="BV619" s="6" t="str">
        <f>IFERROR(__xludf.DUMMYFUNCTION("""COMPUTED_VALUE"""),"juan.z2031")</f>
        <v>juan.z2031</v>
      </c>
      <c r="BW619" s="6"/>
      <c r="BX619" s="6"/>
      <c r="BY619" s="6"/>
      <c r="BZ619" s="6"/>
    </row>
    <row r="620">
      <c r="A620" s="12">
        <f>IFERROR(__xludf.DUMMYFUNCTION("""COMPUTED_VALUE"""),1.125351148E9)</f>
        <v>1125351148</v>
      </c>
      <c r="B620" s="6">
        <f>IFERROR(__xludf.DUMMYFUNCTION("""COMPUTED_VALUE"""),65.0)</f>
        <v>65</v>
      </c>
      <c r="C620" s="6" t="str">
        <f>IFERROR(__xludf.DUMMYFUNCTION("""COMPUTED_VALUE"""),"Catalina")</f>
        <v>Catalina</v>
      </c>
      <c r="D620" s="6" t="str">
        <f>IFERROR(__xludf.DUMMYFUNCTION("""COMPUTED_VALUE"""),"Fernanda")</f>
        <v>Fernanda</v>
      </c>
      <c r="E620" s="6" t="str">
        <f>IFERROR(__xludf.DUMMYFUNCTION("""COMPUTED_VALUE"""),"Zuluaga Cáceres")</f>
        <v>Zuluaga Cáceres</v>
      </c>
      <c r="F620" s="6" t="str">
        <f>IFERROR(__xludf.DUMMYFUNCTION("""COMPUTED_VALUE"""),"Cra 6 No 51Nte - 25 Apto 306 - La Castellana")</f>
        <v>Cra 6 No 51Nte - 25 Apto 306 - La Castellana</v>
      </c>
      <c r="G620" s="12" t="str">
        <f>IFERROR(__xludf.DUMMYFUNCTION("""COMPUTED_VALUE"""),"2013")</f>
        <v>2013</v>
      </c>
      <c r="H620" s="6" t="str">
        <f>IFERROR(__xludf.DUMMYFUNCTION("""COMPUTED_VALUE"""),"Febrero")</f>
        <v>Febrero</v>
      </c>
      <c r="I620" s="12" t="str">
        <f>IFERROR(__xludf.DUMMYFUNCTION("""COMPUTED_VALUE"""),"8")</f>
        <v>8</v>
      </c>
      <c r="J620" s="6" t="str">
        <f>IFERROR(__xludf.DUMMYFUNCTION("""COMPUTED_VALUE"""),"Santiago de Surco")</f>
        <v>Santiago de Surco</v>
      </c>
      <c r="K620" s="6" t="str">
        <f>IFERROR(__xludf.DUMMYFUNCTION("""COMPUTED_VALUE"""),"catalina.z2031@gi.edu.co")</f>
        <v>catalina.z2031@gi.edu.co</v>
      </c>
      <c r="L620" s="6" t="str">
        <f>IFERROR(__xludf.DUMMYFUNCTION("""COMPUTED_VALUE"""),"TI")</f>
        <v>TI</v>
      </c>
      <c r="M620" s="6" t="str">
        <f>IFERROR(__xludf.DUMMYFUNCTION("""COMPUTED_VALUE"""),"Bogotá D.C.")</f>
        <v>Bogotá D.C.</v>
      </c>
      <c r="N620" s="6" t="str">
        <f>IFERROR(__xludf.DUMMYFUNCTION("""COMPUTED_VALUE"""),"F")</f>
        <v>F</v>
      </c>
      <c r="O620" s="6" t="str">
        <f>IFERROR(__xludf.DUMMYFUNCTION("""COMPUTED_VALUE"""),"INACTIVE")</f>
        <v>INACTIVE</v>
      </c>
      <c r="P620" s="6"/>
      <c r="Q620" s="6" t="str">
        <f>IFERROR(__xludf.DUMMYFUNCTION("""COMPUTED_VALUE"""),"Armenia")</f>
        <v>Armenia</v>
      </c>
      <c r="R620" s="12" t="str">
        <f>IFERROR(__xludf.DUMMYFUNCTION("""COMPUTED_VALUE"""),"Giwdtbn*")</f>
        <v>Giwdtbn*</v>
      </c>
      <c r="S620" s="6" t="str">
        <f>IFERROR(__xludf.DUMMYFUNCTION("""COMPUTED_VALUE"""),"Zuluaga Cáceres Catalina Fernanda")</f>
        <v>Zuluaga Cáceres Catalina Fernanda</v>
      </c>
      <c r="T620" s="6" t="str">
        <f>IFERROR(__xludf.DUMMYFUNCTION("""COMPUTED_VALUE"""),"LUIS ARNOLDO ZULUAGA ZULUAGA")</f>
        <v>LUIS ARNOLDO ZULUAGA ZULUAGA</v>
      </c>
      <c r="U620" s="12" t="str">
        <f>IFERROR(__xludf.DUMMYFUNCTION("""COMPUTED_VALUE"""),"7516544")</f>
        <v>7516544</v>
      </c>
      <c r="V620" s="6">
        <f>IFERROR(__xludf.DUMMYFUNCTION("""COMPUTED_VALUE"""),3.138430296E9)</f>
        <v>3138430296</v>
      </c>
      <c r="W620" s="6" t="str">
        <f>IFERROR(__xludf.DUMMYFUNCTION("""COMPUTED_VALUE"""),"arnoldozuluaga@cerroccopane.com")</f>
        <v>arnoldozuluaga@cerroccopane.com</v>
      </c>
      <c r="X620" s="12" t="str">
        <f>IFERROR(__xludf.DUMMYFUNCTION("""COMPUTED_VALUE"""),"O+")</f>
        <v>O+</v>
      </c>
      <c r="Y620" s="12" t="str">
        <f>IFERROR(__xludf.DUMMYFUNCTION("""COMPUTED_VALUE"""),"8")</f>
        <v>8</v>
      </c>
      <c r="Z620" s="12">
        <f>IFERROR(__xludf.DUMMYFUNCTION("""COMPUTED_VALUE"""),120014.0)</f>
        <v>120014</v>
      </c>
      <c r="AA620" s="6" t="str">
        <f>IFERROR(__xludf.DUMMYFUNCTION("""COMPUTED_VALUE"""),"SANITAS")</f>
        <v>SANITAS</v>
      </c>
      <c r="AB620" s="6"/>
      <c r="AC620" s="6"/>
      <c r="AD620" s="12" t="str">
        <f>IFERROR(__xludf.DUMMYFUNCTION("""COMPUTED_VALUE"""),"8A")</f>
        <v>8A</v>
      </c>
      <c r="AE620" s="12">
        <f>IFERROR(__xludf.DUMMYFUNCTION("""COMPUTED_VALUE"""),1.345282016E9)</f>
        <v>1345282016</v>
      </c>
      <c r="AF620" s="12" t="str">
        <f>IFERROR(__xludf.DUMMYFUNCTION("""COMPUTED_VALUE"""),"0673962675")</f>
        <v>0673962675</v>
      </c>
      <c r="AG620" s="12" t="str">
        <f>IFERROR(__xludf.DUMMYFUNCTION("""COMPUTED_VALUE"""),"Carla")</f>
        <v>Carla</v>
      </c>
      <c r="AH620" s="12" t="str">
        <f>IFERROR(__xludf.DUMMYFUNCTION("""COMPUTED_VALUE"""),"Fiorella")</f>
        <v>Fiorella</v>
      </c>
      <c r="AI620" s="6" t="str">
        <f>IFERROR(__xludf.DUMMYFUNCTION("""COMPUTED_VALUE"""),"Cáceres Quispe")</f>
        <v>Cáceres Quispe</v>
      </c>
      <c r="AJ620" s="6" t="str">
        <f>IFERROR(__xludf.DUMMYFUNCTION("""COMPUTED_VALUE"""),"fiorelladezuluaga@hotmail.es")</f>
        <v>fiorelladezuluaga@hotmail.es</v>
      </c>
      <c r="AK620" s="6" t="str">
        <f>IFERROR(__xludf.DUMMYFUNCTION("""COMPUTED_VALUE"""),"Educadora")</f>
        <v>Educadora</v>
      </c>
      <c r="AL620" s="6"/>
      <c r="AM620" s="12" t="str">
        <f>IFERROR(__xludf.DUMMYFUNCTION("""COMPUTED_VALUE"""),"1144762")</f>
        <v>1144762</v>
      </c>
      <c r="AN620" s="12" t="str">
        <f>IFERROR(__xludf.DUMMYFUNCTION("""COMPUTED_VALUE"""),"3228511860")</f>
        <v>3228511860</v>
      </c>
      <c r="AO620" s="6" t="str">
        <f>IFERROR(__xludf.DUMMYFUNCTION("""COMPUTED_VALUE"""),"Madre")</f>
        <v>Madre</v>
      </c>
      <c r="AP620" s="6" t="str">
        <f>IFERROR(__xludf.DUMMYFUNCTION("""COMPUTED_VALUE"""),"Estudiante(s): Zuluaga Cáceres")</f>
        <v>Estudiante(s): Zuluaga Cáceres</v>
      </c>
      <c r="AQ620" s="6" t="str">
        <f>IFERROR(__xludf.DUMMYFUNCTION("""COMPUTED_VALUE"""),"120014*Gi")</f>
        <v>120014*Gi</v>
      </c>
      <c r="AR620" s="6" t="str">
        <f>IFERROR(__xludf.DUMMYFUNCTION("""COMPUTED_VALUE"""),"Luis")</f>
        <v>Luis</v>
      </c>
      <c r="AS620" s="6" t="str">
        <f>IFERROR(__xludf.DUMMYFUNCTION("""COMPUTED_VALUE"""),"Arnoldo")</f>
        <v>Arnoldo</v>
      </c>
      <c r="AT620" s="6" t="str">
        <f>IFERROR(__xludf.DUMMYFUNCTION("""COMPUTED_VALUE"""),"Zuluaga Zuluaga")</f>
        <v>Zuluaga Zuluaga</v>
      </c>
      <c r="AU620" s="6" t="str">
        <f>IFERROR(__xludf.DUMMYFUNCTION("""COMPUTED_VALUE"""),"arnoldozuluaga@cerroccopane.com")</f>
        <v>arnoldozuluaga@cerroccopane.com</v>
      </c>
      <c r="AV620" s="6" t="str">
        <f>IFERROR(__xludf.DUMMYFUNCTION("""COMPUTED_VALUE"""),"Administración de Empresas")</f>
        <v>Administración de Empresas</v>
      </c>
      <c r="AW620" s="6" t="str">
        <f>IFERROR(__xludf.DUMMYFUNCTION("""COMPUTED_VALUE"""),"cerroccopane")</f>
        <v>cerroccopane</v>
      </c>
      <c r="AX620" s="12" t="str">
        <f>IFERROR(__xludf.DUMMYFUNCTION("""COMPUTED_VALUE"""),"7516544")</f>
        <v>7516544</v>
      </c>
      <c r="AY620" s="12" t="str">
        <f>IFERROR(__xludf.DUMMYFUNCTION("""COMPUTED_VALUE"""),"3138430296")</f>
        <v>3138430296</v>
      </c>
      <c r="AZ620" s="6" t="str">
        <f>IFERROR(__xludf.DUMMYFUNCTION("""COMPUTED_VALUE"""),"Padre")</f>
        <v>Padre</v>
      </c>
      <c r="BA620" s="6"/>
      <c r="BB620" s="6"/>
      <c r="BC620" s="6"/>
      <c r="BD620" s="12" t="str">
        <f>IFERROR(__xludf.DUMMYFUNCTION("""COMPUTED_VALUE"""),"zul0009")</f>
        <v>zul0009</v>
      </c>
      <c r="BE620" s="6" t="str">
        <f>IFERROR(__xludf.DUMMYFUNCTION("""COMPUTED_VALUE"""),"FALTAN FIRMAS")</f>
        <v>FALTAN FIRMAS</v>
      </c>
      <c r="BF620" s="6"/>
      <c r="BG620" s="6">
        <f>IFERROR(__xludf.DUMMYFUNCTION("""COMPUTED_VALUE"""),2031.0)</f>
        <v>2031</v>
      </c>
      <c r="BH620" s="15">
        <f>IFERROR(__xludf.DUMMYFUNCTION("""COMPUTED_VALUE"""),46212.118055555555)</f>
        <v>46212.11806</v>
      </c>
      <c r="BI620" s="6">
        <f>IFERROR(__xludf.DUMMYFUNCTION("""COMPUTED_VALUE"""),620.0)</f>
        <v>620</v>
      </c>
      <c r="BJ620" s="6"/>
      <c r="BK620" s="6"/>
      <c r="BL620" s="6" t="str">
        <f>IFERROR(__xludf.DUMMYFUNCTION("""COMPUTED_VALUE"""),"GISZUL0009")</f>
        <v>GISZUL0009</v>
      </c>
      <c r="BM620" s="6"/>
      <c r="BN620" s="6"/>
      <c r="BO620" s="6" t="str">
        <f>IFERROR(__xludf.DUMMYFUNCTION("""COMPUTED_VALUE"""),"XC_SEC_Futbol_F")</f>
        <v>XC_SEC_Futbol_F</v>
      </c>
      <c r="BP620" s="6"/>
      <c r="BQ620" s="6" t="str">
        <f>IFERROR(__xludf.DUMMYFUNCTION("""COMPUTED_VALUE"""),"XC_SEC_Futbol_F")</f>
        <v>XC_SEC_Futbol_F</v>
      </c>
      <c r="BR620" s="6" t="str">
        <f>IFERROR(__xludf.DUMMYFUNCTION("""COMPUTED_VALUE"""),"XC_SEC_Futbol_F")</f>
        <v>XC_SEC_Futbol_F</v>
      </c>
      <c r="BS620" s="6"/>
      <c r="BT620" s="6" t="str">
        <f>IFERROR(__xludf.DUMMYFUNCTION("""COMPUTED_VALUE"""),"XC_SEC_Futbol_F")</f>
        <v>XC_SEC_Futbol_F</v>
      </c>
      <c r="BU620" s="6" t="str">
        <f>IFERROR(__xludf.DUMMYFUNCTION("""COMPUTED_VALUE"""),"SI")</f>
        <v>SI</v>
      </c>
      <c r="BV620" s="6" t="str">
        <f>IFERROR(__xludf.DUMMYFUNCTION("""COMPUTED_VALUE"""),"catalina.z2031")</f>
        <v>catalina.z2031</v>
      </c>
      <c r="BW620" s="6"/>
      <c r="BX620" s="6"/>
      <c r="BY620" s="6"/>
      <c r="B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 t="str">
        <f>IFERROR(__xludf.DUMMYFUNCTION("""COMPUTED_VALUE"""),"Madre")</f>
        <v>Madre</v>
      </c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 t="str">
        <f>IFERROR(__xludf.DUMMYFUNCTION("""COMPUTED_VALUE"""),"Padre")</f>
        <v>Padre</v>
      </c>
      <c r="BA621" s="6"/>
      <c r="BB621" s="6"/>
      <c r="BC621" s="6"/>
      <c r="BD621" s="6"/>
      <c r="BE621" s="6"/>
      <c r="BF621" s="6"/>
      <c r="BG621" s="6"/>
      <c r="BH621" s="6"/>
      <c r="BI621" s="6">
        <f>IFERROR(__xludf.DUMMYFUNCTION("""COMPUTED_VALUE"""),622.0)</f>
        <v>622</v>
      </c>
      <c r="BJ621" s="6"/>
      <c r="BK621" s="6"/>
      <c r="BL621" s="6"/>
      <c r="BM621" s="6"/>
      <c r="BN621" s="6"/>
      <c r="BO621" s="6"/>
      <c r="BP621" s="6"/>
      <c r="BQ621" s="6"/>
      <c r="BR621" s="6"/>
      <c r="BS621" s="6"/>
      <c r="BT621" s="6"/>
      <c r="BU621" s="6"/>
      <c r="BV621" s="6"/>
      <c r="BW621" s="6"/>
      <c r="BX621" s="6"/>
      <c r="BY621" s="6"/>
      <c r="BZ621" s="6"/>
    </row>
    <row r="622">
      <c r="A622" s="12">
        <f>IFERROR(__xludf.DUMMYFUNCTION("""COMPUTED_VALUE"""),1.092856265E9)</f>
        <v>1092856265</v>
      </c>
      <c r="B622" s="6">
        <f>IFERROR(__xludf.DUMMYFUNCTION("""COMPUTED_VALUE"""),1.0)</f>
        <v>1</v>
      </c>
      <c r="C622" s="6" t="str">
        <f>IFERROR(__xludf.DUMMYFUNCTION("""COMPUTED_VALUE"""),"Juana")</f>
        <v>Juana</v>
      </c>
      <c r="D622" s="6"/>
      <c r="E622" s="6" t="str">
        <f>IFERROR(__xludf.DUMMYFUNCTION("""COMPUTED_VALUE"""),"Ángel Solano")</f>
        <v>Ángel Solano</v>
      </c>
      <c r="F622" s="6" t="str">
        <f>IFERROR(__xludf.DUMMYFUNCTION("""COMPUTED_VALUE"""),"Parque Residencial Ciudad Real Casa D11 - Cra 11 No24Nte 75")</f>
        <v>Parque Residencial Ciudad Real Casa D11 - Cra 11 No24Nte 75</v>
      </c>
      <c r="G622" s="12" t="str">
        <f>IFERROR(__xludf.DUMMYFUNCTION("""COMPUTED_VALUE"""),"2012")</f>
        <v>2012</v>
      </c>
      <c r="H622" s="6" t="str">
        <f>IFERROR(__xludf.DUMMYFUNCTION("""COMPUTED_VALUE"""),"Agosto")</f>
        <v>Agosto</v>
      </c>
      <c r="I622" s="12" t="str">
        <f>IFERROR(__xludf.DUMMYFUNCTION("""COMPUTED_VALUE"""),"31")</f>
        <v>31</v>
      </c>
      <c r="J622" s="6" t="str">
        <f>IFERROR(__xludf.DUMMYFUNCTION("""COMPUTED_VALUE"""),"Armenia")</f>
        <v>Armenia</v>
      </c>
      <c r="K622" s="6" t="str">
        <f>IFERROR(__xludf.DUMMYFUNCTION("""COMPUTED_VALUE"""),"juana.a2030@gi.edu.co")</f>
        <v>juana.a2030@gi.edu.co</v>
      </c>
      <c r="L622" s="6" t="str">
        <f>IFERROR(__xludf.DUMMYFUNCTION("""COMPUTED_VALUE"""),"TI")</f>
        <v>TI</v>
      </c>
      <c r="M622" s="6" t="str">
        <f>IFERROR(__xludf.DUMMYFUNCTION("""COMPUTED_VALUE"""),"Armenia")</f>
        <v>Armenia</v>
      </c>
      <c r="N622" s="6" t="str">
        <f>IFERROR(__xludf.DUMMYFUNCTION("""COMPUTED_VALUE"""),"F")</f>
        <v>F</v>
      </c>
      <c r="O622" s="6" t="str">
        <f>IFERROR(__xludf.DUMMYFUNCTION("""COMPUTED_VALUE"""),"ACTIVE")</f>
        <v>ACTIVE</v>
      </c>
      <c r="P622" s="6"/>
      <c r="Q622" s="6" t="str">
        <f>IFERROR(__xludf.DUMMYFUNCTION("""COMPUTED_VALUE"""),"Armenia")</f>
        <v>Armenia</v>
      </c>
      <c r="R622" s="12" t="str">
        <f>IFERROR(__xludf.DUMMYFUNCTION("""COMPUTED_VALUE"""),"Gi236895tf*")</f>
        <v>Gi236895tf*</v>
      </c>
      <c r="S622" s="6" t="str">
        <f>IFERROR(__xludf.DUMMYFUNCTION("""COMPUTED_VALUE"""),"Ángel Solano Juana ")</f>
        <v>Ángel Solano Juana </v>
      </c>
      <c r="T622" s="6" t="str">
        <f>IFERROR(__xludf.DUMMYFUNCTION("""COMPUTED_VALUE"""),"MARÍA ANDREA SOLANO GUTIERREZ")</f>
        <v>MARÍA ANDREA SOLANO GUTIERREZ</v>
      </c>
      <c r="U622" s="12" t="str">
        <f>IFERROR(__xludf.DUMMYFUNCTION("""COMPUTED_VALUE"""),"41951354")</f>
        <v>41951354</v>
      </c>
      <c r="V622" s="6">
        <f>IFERROR(__xludf.DUMMYFUNCTION("""COMPUTED_VALUE"""),3.216428792E9)</f>
        <v>3216428792</v>
      </c>
      <c r="W622" s="6" t="str">
        <f>IFERROR(__xludf.DUMMYFUNCTION("""COMPUTED_VALUE"""),"mariaandrea2812@yahoo.com.mx")</f>
        <v>mariaandrea2812@yahoo.com.mx</v>
      </c>
      <c r="X622" s="12" t="str">
        <f>IFERROR(__xludf.DUMMYFUNCTION("""COMPUTED_VALUE"""),"O+")</f>
        <v>O+</v>
      </c>
      <c r="Y622" s="12" t="str">
        <f>IFERROR(__xludf.DUMMYFUNCTION("""COMPUTED_VALUE"""),"9")</f>
        <v>9</v>
      </c>
      <c r="Z622" s="12">
        <f>IFERROR(__xludf.DUMMYFUNCTION("""COMPUTED_VALUE"""),103197.0)</f>
        <v>103197</v>
      </c>
      <c r="AA622" s="6" t="str">
        <f>IFERROR(__xludf.DUMMYFUNCTION("""COMPUTED_VALUE"""),"SURA")</f>
        <v>SURA</v>
      </c>
      <c r="AB622" s="6"/>
      <c r="AC622" s="12" t="str">
        <f>IFERROR(__xludf.DUMMYFUNCTION("""COMPUTED_VALUE"""),"Rinitis")</f>
        <v>Rinitis</v>
      </c>
      <c r="AD622" s="12" t="str">
        <f>IFERROR(__xludf.DUMMYFUNCTION("""COMPUTED_VALUE"""),"9B")</f>
        <v>9B</v>
      </c>
      <c r="AE622" s="12">
        <f>IFERROR(__xludf.DUMMYFUNCTION("""COMPUTED_VALUE"""),1.345281566E9)</f>
        <v>1345281566</v>
      </c>
      <c r="AF622" s="12" t="str">
        <f>IFERROR(__xludf.DUMMYFUNCTION("""COMPUTED_VALUE"""),"0672019843")</f>
        <v>0672019843</v>
      </c>
      <c r="AG622" s="12" t="str">
        <f>IFERROR(__xludf.DUMMYFUNCTION("""COMPUTED_VALUE"""),"María")</f>
        <v>María</v>
      </c>
      <c r="AH622" s="12" t="str">
        <f>IFERROR(__xludf.DUMMYFUNCTION("""COMPUTED_VALUE"""),"Andrea")</f>
        <v>Andrea</v>
      </c>
      <c r="AI622" s="6" t="str">
        <f>IFERROR(__xludf.DUMMYFUNCTION("""COMPUTED_VALUE"""),"Solano Gutiérrez")</f>
        <v>Solano Gutiérrez</v>
      </c>
      <c r="AJ622" s="6" t="str">
        <f>IFERROR(__xludf.DUMMYFUNCTION("""COMPUTED_VALUE"""),"mariaandrea2812@yahoo.com.mx")</f>
        <v>mariaandrea2812@yahoo.com.mx</v>
      </c>
      <c r="AK622" s="6" t="str">
        <f>IFERROR(__xludf.DUMMYFUNCTION("""COMPUTED_VALUE"""),"Ingeniera Ambiental")</f>
        <v>Ingeniera Ambiental</v>
      </c>
      <c r="AL622" s="6" t="str">
        <f>IFERROR(__xludf.DUMMYFUNCTION("""COMPUTED_VALUE"""),"Ambiente Gourmet")</f>
        <v>Ambiente Gourmet</v>
      </c>
      <c r="AM622" s="12" t="str">
        <f>IFERROR(__xludf.DUMMYFUNCTION("""COMPUTED_VALUE"""),"41951354")</f>
        <v>41951354</v>
      </c>
      <c r="AN622" s="12" t="str">
        <f>IFERROR(__xludf.DUMMYFUNCTION("""COMPUTED_VALUE"""),"3216428792")</f>
        <v>3216428792</v>
      </c>
      <c r="AO622" s="6" t="str">
        <f>IFERROR(__xludf.DUMMYFUNCTION("""COMPUTED_VALUE"""),"Madre")</f>
        <v>Madre</v>
      </c>
      <c r="AP622" s="6" t="str">
        <f>IFERROR(__xludf.DUMMYFUNCTION("""COMPUTED_VALUE"""),"Estudiante(s): Ángel Solano")</f>
        <v>Estudiante(s): Ángel Solano</v>
      </c>
      <c r="AQ622" s="6" t="str">
        <f>IFERROR(__xludf.DUMMYFUNCTION("""COMPUTED_VALUE"""),"103197*Gi")</f>
        <v>103197*Gi</v>
      </c>
      <c r="AR622" s="6" t="str">
        <f>IFERROR(__xludf.DUMMYFUNCTION("""COMPUTED_VALUE"""),"Federico")</f>
        <v>Federico</v>
      </c>
      <c r="AS622" s="6"/>
      <c r="AT622" s="6" t="str">
        <f>IFERROR(__xludf.DUMMYFUNCTION("""COMPUTED_VALUE"""),"Ángel Londoño")</f>
        <v>Ángel Londoño</v>
      </c>
      <c r="AU622" s="6" t="str">
        <f>IFERROR(__xludf.DUMMYFUNCTION("""COMPUTED_VALUE"""),"airton2812@yahoo.com.co")</f>
        <v>airton2812@yahoo.com.co</v>
      </c>
      <c r="AV622" s="6"/>
      <c r="AW622" s="6"/>
      <c r="AX622" s="12" t="str">
        <f>IFERROR(__xludf.DUMMYFUNCTION("""COMPUTED_VALUE"""),"89008246")</f>
        <v>89008246</v>
      </c>
      <c r="AY622" s="12" t="str">
        <f>IFERROR(__xludf.DUMMYFUNCTION("""COMPUTED_VALUE"""),"3162927174")</f>
        <v>3162927174</v>
      </c>
      <c r="AZ622" s="6" t="str">
        <f>IFERROR(__xludf.DUMMYFUNCTION("""COMPUTED_VALUE"""),"Padre")</f>
        <v>Padre</v>
      </c>
      <c r="BA622" s="6"/>
      <c r="BB622" s="6"/>
      <c r="BC622" s="6"/>
      <c r="BD622" s="12" t="str">
        <f>IFERROR(__xludf.DUMMYFUNCTION("""COMPUTED_VALUE"""),"nge0005")</f>
        <v>nge0005</v>
      </c>
      <c r="BE622" s="6"/>
      <c r="BF622" s="6"/>
      <c r="BG622" s="6">
        <f>IFERROR(__xludf.DUMMYFUNCTION("""COMPUTED_VALUE"""),2030.0)</f>
        <v>2030</v>
      </c>
      <c r="BH622" s="15">
        <f>IFERROR(__xludf.DUMMYFUNCTION("""COMPUTED_VALUE"""),46209.70410879629)</f>
        <v>46209.70411</v>
      </c>
      <c r="BI622" s="6">
        <f>IFERROR(__xludf.DUMMYFUNCTION("""COMPUTED_VALUE"""),623.0)</f>
        <v>623</v>
      </c>
      <c r="BJ622" s="6"/>
      <c r="BK622" s="6"/>
      <c r="BL622" s="6" t="str">
        <f>IFERROR(__xludf.DUMMYFUNCTION("""COMPUTED_VALUE"""),"GISNGE0005")</f>
        <v>GISNGE0005</v>
      </c>
      <c r="BM622" s="6"/>
      <c r="BN622" s="6"/>
      <c r="BO622" s="6" t="str">
        <f>IFERROR(__xludf.DUMMYFUNCTION("""COMPUTED_VALUE"""),"XC_HS_Voleibol_F")</f>
        <v>XC_HS_Voleibol_F</v>
      </c>
      <c r="BP622" s="6"/>
      <c r="BQ622" s="6" t="str">
        <f>IFERROR(__xludf.DUMMYFUNCTION("""COMPUTED_VALUE"""),"XC_HS_Voleibol_F")</f>
        <v>XC_HS_Voleibol_F</v>
      </c>
      <c r="BR622" s="6" t="str">
        <f>IFERROR(__xludf.DUMMYFUNCTION("""COMPUTED_VALUE"""),"XC_HS_Voleibol_F")</f>
        <v>XC_HS_Voleibol_F</v>
      </c>
      <c r="BS622" s="6"/>
      <c r="BT622" s="6" t="str">
        <f>IFERROR(__xludf.DUMMYFUNCTION("""COMPUTED_VALUE"""),"XC_HS_Voleibol_F")</f>
        <v>XC_HS_Voleibol_F</v>
      </c>
      <c r="BU622" s="6" t="str">
        <f>IFERROR(__xludf.DUMMYFUNCTION("""COMPUTED_VALUE"""),"SI")</f>
        <v>SI</v>
      </c>
      <c r="BV622" s="6" t="str">
        <f>IFERROR(__xludf.DUMMYFUNCTION("""COMPUTED_VALUE"""),"juana.a2030")</f>
        <v>juana.a2030</v>
      </c>
      <c r="BW622" s="6"/>
      <c r="BX622" s="6"/>
      <c r="BY622" s="6"/>
      <c r="BZ622" s="6"/>
    </row>
    <row r="623">
      <c r="A623" s="12">
        <f>IFERROR(__xludf.DUMMYFUNCTION("""COMPUTED_VALUE"""),1.092856418E9)</f>
        <v>1092856418</v>
      </c>
      <c r="B623" s="6">
        <f>IFERROR(__xludf.DUMMYFUNCTION("""COMPUTED_VALUE"""),2.0)</f>
        <v>2</v>
      </c>
      <c r="C623" s="6" t="str">
        <f>IFERROR(__xludf.DUMMYFUNCTION("""COMPUTED_VALUE"""),"Luciana")</f>
        <v>Luciana</v>
      </c>
      <c r="D623" s="6"/>
      <c r="E623" s="6" t="str">
        <f>IFERROR(__xludf.DUMMYFUNCTION("""COMPUTED_VALUE"""),"Arias Gutiérrez")</f>
        <v>Arias Gutiérrez</v>
      </c>
      <c r="F623" s="6" t="str">
        <f>IFERROR(__xludf.DUMMYFUNCTION("""COMPUTED_VALUE"""),"Condominio Entre Maderos Casa 27 - Vereda El Congal Km 1.2 Via Circasia - Armenia")</f>
        <v>Condominio Entre Maderos Casa 27 - Vereda El Congal Km 1.2 Via Circasia - Armenia</v>
      </c>
      <c r="G623" s="12" t="str">
        <f>IFERROR(__xludf.DUMMYFUNCTION("""COMPUTED_VALUE"""),"2012")</f>
        <v>2012</v>
      </c>
      <c r="H623" s="6" t="str">
        <f>IFERROR(__xludf.DUMMYFUNCTION("""COMPUTED_VALUE"""),"Noviembre")</f>
        <v>Noviembre</v>
      </c>
      <c r="I623" s="12" t="str">
        <f>IFERROR(__xludf.DUMMYFUNCTION("""COMPUTED_VALUE"""),"5")</f>
        <v>5</v>
      </c>
      <c r="J623" s="6" t="str">
        <f>IFERROR(__xludf.DUMMYFUNCTION("""COMPUTED_VALUE"""),"Armenia")</f>
        <v>Armenia</v>
      </c>
      <c r="K623" s="6" t="str">
        <f>IFERROR(__xludf.DUMMYFUNCTION("""COMPUTED_VALUE"""),"luciana.a2030@gi.edu.co")</f>
        <v>luciana.a2030@gi.edu.co</v>
      </c>
      <c r="L623" s="6" t="str">
        <f>IFERROR(__xludf.DUMMYFUNCTION("""COMPUTED_VALUE"""),"TI")</f>
        <v>TI</v>
      </c>
      <c r="M623" s="6" t="str">
        <f>IFERROR(__xludf.DUMMYFUNCTION("""COMPUTED_VALUE"""),"Armenia")</f>
        <v>Armenia</v>
      </c>
      <c r="N623" s="6" t="str">
        <f>IFERROR(__xludf.DUMMYFUNCTION("""COMPUTED_VALUE"""),"F")</f>
        <v>F</v>
      </c>
      <c r="O623" s="6" t="str">
        <f>IFERROR(__xludf.DUMMYFUNCTION("""COMPUTED_VALUE"""),"INACTIVE")</f>
        <v>INACTIVE</v>
      </c>
      <c r="P623" s="6"/>
      <c r="Q623" s="6" t="str">
        <f>IFERROR(__xludf.DUMMYFUNCTION("""COMPUTED_VALUE"""),"Circasia")</f>
        <v>Circasia</v>
      </c>
      <c r="R623" s="12" t="str">
        <f>IFERROR(__xludf.DUMMYFUNCTION("""COMPUTED_VALUE"""),"Gi4r1A59u*")</f>
        <v>Gi4r1A59u*</v>
      </c>
      <c r="S623" s="6" t="str">
        <f>IFERROR(__xludf.DUMMYFUNCTION("""COMPUTED_VALUE"""),"Arias Gutiérrez Luciana ")</f>
        <v>Arias Gutiérrez Luciana </v>
      </c>
      <c r="T623" s="6" t="str">
        <f>IFERROR(__xludf.DUMMYFUNCTION("""COMPUTED_VALUE"""),"SANDRA CAROLINA GUTIERREZ BUITRAGO")</f>
        <v>SANDRA CAROLINA GUTIERREZ BUITRAGO</v>
      </c>
      <c r="U623" s="12" t="str">
        <f>IFERROR(__xludf.DUMMYFUNCTION("""COMPUTED_VALUE"""),"30232305")</f>
        <v>30232305</v>
      </c>
      <c r="V623" s="6">
        <f>IFERROR(__xludf.DUMMYFUNCTION("""COMPUTED_VALUE"""),3.206456821E9)</f>
        <v>3206456821</v>
      </c>
      <c r="W623" s="6" t="str">
        <f>IFERROR(__xludf.DUMMYFUNCTION("""COMPUTED_VALUE"""),"carito_gut@hotmail.com")</f>
        <v>carito_gut@hotmail.com</v>
      </c>
      <c r="X623" s="12" t="str">
        <f>IFERROR(__xludf.DUMMYFUNCTION("""COMPUTED_VALUE"""),"O+")</f>
        <v>O+</v>
      </c>
      <c r="Y623" s="12" t="str">
        <f>IFERROR(__xludf.DUMMYFUNCTION("""COMPUTED_VALUE"""),"9")</f>
        <v>9</v>
      </c>
      <c r="Z623" s="12">
        <f>IFERROR(__xludf.DUMMYFUNCTION("""COMPUTED_VALUE"""),120090.0)</f>
        <v>120090</v>
      </c>
      <c r="AA623" s="6" t="str">
        <f>IFERROR(__xludf.DUMMYFUNCTION("""COMPUTED_VALUE"""),"SURA")</f>
        <v>SURA</v>
      </c>
      <c r="AB623" s="6"/>
      <c r="AC623" s="6"/>
      <c r="AD623" s="12" t="str">
        <f>IFERROR(__xludf.DUMMYFUNCTION("""COMPUTED_VALUE"""),"9A")</f>
        <v>9A</v>
      </c>
      <c r="AE623" s="12">
        <f>IFERROR(__xludf.DUMMYFUNCTION("""COMPUTED_VALUE"""),1.34528212E9)</f>
        <v>1345282120</v>
      </c>
      <c r="AF623" s="12" t="str">
        <f>IFERROR(__xludf.DUMMYFUNCTION("""COMPUTED_VALUE"""),"0677964595")</f>
        <v>0677964595</v>
      </c>
      <c r="AG623" s="12" t="str">
        <f>IFERROR(__xludf.DUMMYFUNCTION("""COMPUTED_VALUE"""),"Sandra")</f>
        <v>Sandra</v>
      </c>
      <c r="AH623" s="12" t="str">
        <f>IFERROR(__xludf.DUMMYFUNCTION("""COMPUTED_VALUE"""),"Carolina")</f>
        <v>Carolina</v>
      </c>
      <c r="AI623" s="6" t="str">
        <f>IFERROR(__xludf.DUMMYFUNCTION("""COMPUTED_VALUE"""),"Gutiérrez Buitrago")</f>
        <v>Gutiérrez Buitrago</v>
      </c>
      <c r="AJ623" s="6" t="str">
        <f>IFERROR(__xludf.DUMMYFUNCTION("""COMPUTED_VALUE"""),"carito_gut@hotmail.com")</f>
        <v>carito_gut@hotmail.com</v>
      </c>
      <c r="AK623" s="6" t="str">
        <f>IFERROR(__xludf.DUMMYFUNCTION("""COMPUTED_VALUE"""),"Publicista")</f>
        <v>Publicista</v>
      </c>
      <c r="AL623" s="6" t="str">
        <f>IFERROR(__xludf.DUMMYFUNCTION("""COMPUTED_VALUE"""),"Agencia Alquimia SAS")</f>
        <v>Agencia Alquimia SAS</v>
      </c>
      <c r="AM623" s="12" t="str">
        <f>IFERROR(__xludf.DUMMYFUNCTION("""COMPUTED_VALUE"""),"30232305")</f>
        <v>30232305</v>
      </c>
      <c r="AN623" s="12" t="str">
        <f>IFERROR(__xludf.DUMMYFUNCTION("""COMPUTED_VALUE"""),"3206456821")</f>
        <v>3206456821</v>
      </c>
      <c r="AO623" s="6" t="str">
        <f>IFERROR(__xludf.DUMMYFUNCTION("""COMPUTED_VALUE"""),"Madre")</f>
        <v>Madre</v>
      </c>
      <c r="AP623" s="6" t="str">
        <f>IFERROR(__xludf.DUMMYFUNCTION("""COMPUTED_VALUE"""),"Estudiante(s): Arias Gutiérrez")</f>
        <v>Estudiante(s): Arias Gutiérrez</v>
      </c>
      <c r="AQ623" s="6" t="str">
        <f>IFERROR(__xludf.DUMMYFUNCTION("""COMPUTED_VALUE"""),"120090*Gi")</f>
        <v>120090*Gi</v>
      </c>
      <c r="AR623" s="6" t="str">
        <f>IFERROR(__xludf.DUMMYFUNCTION("""COMPUTED_VALUE"""),"Rubén")</f>
        <v>Rubén</v>
      </c>
      <c r="AS623" s="6" t="str">
        <f>IFERROR(__xludf.DUMMYFUNCTION("""COMPUTED_VALUE"""),"Dario")</f>
        <v>Dario</v>
      </c>
      <c r="AT623" s="6" t="str">
        <f>IFERROR(__xludf.DUMMYFUNCTION("""COMPUTED_VALUE"""),"Arias Botero")</f>
        <v>Arias Botero</v>
      </c>
      <c r="AU623" s="6" t="str">
        <f>IFERROR(__xludf.DUMMYFUNCTION("""COMPUTED_VALUE"""),"ruben88arias@gmail.com")</f>
        <v>ruben88arias@gmail.com</v>
      </c>
      <c r="AV623" s="6" t="str">
        <f>IFERROR(__xludf.DUMMYFUNCTION("""COMPUTED_VALUE"""),"Administrador de empresas")</f>
        <v>Administrador de empresas</v>
      </c>
      <c r="AW623" s="6" t="str">
        <f>IFERROR(__xludf.DUMMYFUNCTION("""COMPUTED_VALUE"""),"Agencia Alquimia")</f>
        <v>Agencia Alquimia</v>
      </c>
      <c r="AX623" s="12" t="str">
        <f>IFERROR(__xludf.DUMMYFUNCTION("""COMPUTED_VALUE"""),"18394428")</f>
        <v>18394428</v>
      </c>
      <c r="AY623" s="12" t="str">
        <f>IFERROR(__xludf.DUMMYFUNCTION("""COMPUTED_VALUE"""),"3136522882")</f>
        <v>3136522882</v>
      </c>
      <c r="AZ623" s="6" t="str">
        <f>IFERROR(__xludf.DUMMYFUNCTION("""COMPUTED_VALUE"""),"Padre")</f>
        <v>Padre</v>
      </c>
      <c r="BA623" s="6"/>
      <c r="BB623" s="6"/>
      <c r="BC623" s="6"/>
      <c r="BD623" s="12" t="str">
        <f>IFERROR(__xludf.DUMMYFUNCTION("""COMPUTED_VALUE"""),"ari0032")</f>
        <v>ari0032</v>
      </c>
      <c r="BE623" s="6" t="str">
        <f>IFERROR(__xludf.DUMMYFUNCTION("""COMPUTED_VALUE"""),"FALTAN FIRMAS")</f>
        <v>FALTAN FIRMAS</v>
      </c>
      <c r="BF623" s="6"/>
      <c r="BG623" s="6">
        <f>IFERROR(__xludf.DUMMYFUNCTION("""COMPUTED_VALUE"""),2030.0)</f>
        <v>2030</v>
      </c>
      <c r="BH623" s="15">
        <f>IFERROR(__xludf.DUMMYFUNCTION("""COMPUTED_VALUE"""),46209.6534375)</f>
        <v>46209.65344</v>
      </c>
      <c r="BI623" s="6">
        <f>IFERROR(__xludf.DUMMYFUNCTION("""COMPUTED_VALUE"""),624.0)</f>
        <v>624</v>
      </c>
      <c r="BJ623" s="6"/>
      <c r="BK623" s="6"/>
      <c r="BL623" s="6" t="str">
        <f>IFERROR(__xludf.DUMMYFUNCTION("""COMPUTED_VALUE"""),"GISARI0032")</f>
        <v>GISARI0032</v>
      </c>
      <c r="BM623" s="6"/>
      <c r="BN623" s="6"/>
      <c r="BO623" s="6" t="str">
        <f>IFERROR(__xludf.DUMMYFUNCTION("""COMPUTED_VALUE"""),"XC_HS_Voleibol_F")</f>
        <v>XC_HS_Voleibol_F</v>
      </c>
      <c r="BP623" s="6"/>
      <c r="BQ623" s="6" t="str">
        <f>IFERROR(__xludf.DUMMYFUNCTION("""COMPUTED_VALUE"""),"XC_HS_Voleibol_F")</f>
        <v>XC_HS_Voleibol_F</v>
      </c>
      <c r="BR623" s="6" t="str">
        <f>IFERROR(__xludf.DUMMYFUNCTION("""COMPUTED_VALUE"""),"XC_HS_Voleibol_F")</f>
        <v>XC_HS_Voleibol_F</v>
      </c>
      <c r="BS623" s="6"/>
      <c r="BT623" s="6" t="str">
        <f>IFERROR(__xludf.DUMMYFUNCTION("""COMPUTED_VALUE"""),"XC_HS_Voleibol_F")</f>
        <v>XC_HS_Voleibol_F</v>
      </c>
      <c r="BU623" s="6" t="str">
        <f>IFERROR(__xludf.DUMMYFUNCTION("""COMPUTED_VALUE"""),"SI")</f>
        <v>SI</v>
      </c>
      <c r="BV623" s="6" t="str">
        <f>IFERROR(__xludf.DUMMYFUNCTION("""COMPUTED_VALUE"""),"luciana.a2030")</f>
        <v>luciana.a2030</v>
      </c>
      <c r="BW623" s="6"/>
      <c r="BX623" s="6"/>
      <c r="BY623" s="6"/>
      <c r="BZ623" s="6"/>
    </row>
    <row r="624">
      <c r="A624" s="12">
        <f>IFERROR(__xludf.DUMMYFUNCTION("""COMPUTED_VALUE"""),1.092856148E9)</f>
        <v>1092856148</v>
      </c>
      <c r="B624" s="6">
        <f>IFERROR(__xludf.DUMMYFUNCTION("""COMPUTED_VALUE"""),3.0)</f>
        <v>3</v>
      </c>
      <c r="C624" s="6" t="str">
        <f>IFERROR(__xludf.DUMMYFUNCTION("""COMPUTED_VALUE"""),"Martín")</f>
        <v>Martín</v>
      </c>
      <c r="D624" s="6"/>
      <c r="E624" s="6" t="str">
        <f>IFERROR(__xludf.DUMMYFUNCTION("""COMPUTED_VALUE"""),"Arias Isaza")</f>
        <v>Arias Isaza</v>
      </c>
      <c r="F624" s="6" t="str">
        <f>IFERROR(__xludf.DUMMYFUNCTION("""COMPUTED_VALUE"""),"Condominio Cedro Negro Casa 38 - Km 6 Via Circasia Vereda El Congal")</f>
        <v>Condominio Cedro Negro Casa 38 - Km 6 Via Circasia Vereda El Congal</v>
      </c>
      <c r="G624" s="12" t="str">
        <f>IFERROR(__xludf.DUMMYFUNCTION("""COMPUTED_VALUE"""),"2012")</f>
        <v>2012</v>
      </c>
      <c r="H624" s="6" t="str">
        <f>IFERROR(__xludf.DUMMYFUNCTION("""COMPUTED_VALUE"""),"Julio")</f>
        <v>Julio</v>
      </c>
      <c r="I624" s="12" t="str">
        <f>IFERROR(__xludf.DUMMYFUNCTION("""COMPUTED_VALUE"""),"18")</f>
        <v>18</v>
      </c>
      <c r="J624" s="6" t="str">
        <f>IFERROR(__xludf.DUMMYFUNCTION("""COMPUTED_VALUE"""),"Armenia")</f>
        <v>Armenia</v>
      </c>
      <c r="K624" s="6" t="str">
        <f>IFERROR(__xludf.DUMMYFUNCTION("""COMPUTED_VALUE"""),"martin.a2030@gi.edu.co")</f>
        <v>martin.a2030@gi.edu.co</v>
      </c>
      <c r="L624" s="6" t="str">
        <f>IFERROR(__xludf.DUMMYFUNCTION("""COMPUTED_VALUE"""),"TI")</f>
        <v>TI</v>
      </c>
      <c r="M624" s="6" t="str">
        <f>IFERROR(__xludf.DUMMYFUNCTION("""COMPUTED_VALUE"""),"Armenia")</f>
        <v>Armenia</v>
      </c>
      <c r="N624" s="6" t="str">
        <f>IFERROR(__xludf.DUMMYFUNCTION("""COMPUTED_VALUE"""),"M")</f>
        <v>M</v>
      </c>
      <c r="O624" s="6" t="str">
        <f>IFERROR(__xludf.DUMMYFUNCTION("""COMPUTED_VALUE"""),"INACTIVE")</f>
        <v>INACTIVE</v>
      </c>
      <c r="P624" s="6"/>
      <c r="Q624" s="6" t="str">
        <f>IFERROR(__xludf.DUMMYFUNCTION("""COMPUTED_VALUE"""),"Circasia")</f>
        <v>Circasia</v>
      </c>
      <c r="R624" s="12" t="str">
        <f>IFERROR(__xludf.DUMMYFUNCTION("""COMPUTED_VALUE"""),"Gi4756agsr*")</f>
        <v>Gi4756agsr*</v>
      </c>
      <c r="S624" s="6" t="str">
        <f>IFERROR(__xludf.DUMMYFUNCTION("""COMPUTED_VALUE"""),"Arias Isaza Martín ")</f>
        <v>Arias Isaza Martín </v>
      </c>
      <c r="T624" s="6" t="str">
        <f>IFERROR(__xludf.DUMMYFUNCTION("""COMPUTED_VALUE"""),"DANIEL ANDRES ARIAS ARIAS")</f>
        <v>DANIEL ANDRES ARIAS ARIAS</v>
      </c>
      <c r="U624" s="12" t="str">
        <f>IFERROR(__xludf.DUMMYFUNCTION("""COMPUTED_VALUE"""),"9728962")</f>
        <v>9728962</v>
      </c>
      <c r="V624" s="6">
        <f>IFERROR(__xludf.DUMMYFUNCTION("""COMPUTED_VALUE"""),3.108213324E9)</f>
        <v>3108213324</v>
      </c>
      <c r="W624" s="6" t="str">
        <f>IFERROR(__xludf.DUMMYFUNCTION("""COMPUTED_VALUE"""),"danielariasa@yahoo.es")</f>
        <v>danielariasa@yahoo.es</v>
      </c>
      <c r="X624" s="12" t="str">
        <f>IFERROR(__xludf.DUMMYFUNCTION("""COMPUTED_VALUE"""),"O+")</f>
        <v>O+</v>
      </c>
      <c r="Y624" s="12" t="str">
        <f>IFERROR(__xludf.DUMMYFUNCTION("""COMPUTED_VALUE"""),"9")</f>
        <v>9</v>
      </c>
      <c r="Z624" s="12">
        <f>IFERROR(__xludf.DUMMYFUNCTION("""COMPUTED_VALUE"""),103163.0)</f>
        <v>103163</v>
      </c>
      <c r="AA624" s="6" t="str">
        <f>IFERROR(__xludf.DUMMYFUNCTION("""COMPUTED_VALUE"""),"SURA")</f>
        <v>SURA</v>
      </c>
      <c r="AB624" s="6" t="str">
        <f>IFERROR(__xludf.DUMMYFUNCTION("""COMPUTED_VALUE"""),"Eps sura , emi")</f>
        <v>Eps sura , emi</v>
      </c>
      <c r="AC624" s="6"/>
      <c r="AD624" s="12" t="str">
        <f>IFERROR(__xludf.DUMMYFUNCTION("""COMPUTED_VALUE"""),"9B")</f>
        <v>9B</v>
      </c>
      <c r="AE624" s="12">
        <f>IFERROR(__xludf.DUMMYFUNCTION("""COMPUTED_VALUE"""),1.345281555E9)</f>
        <v>1345281555</v>
      </c>
      <c r="AF624" s="12" t="str">
        <f>IFERROR(__xludf.DUMMYFUNCTION("""COMPUTED_VALUE"""),"0687040579")</f>
        <v>0687040579</v>
      </c>
      <c r="AG624" s="12" t="str">
        <f>IFERROR(__xludf.DUMMYFUNCTION("""COMPUTED_VALUE"""),"Carolina")</f>
        <v>Carolina</v>
      </c>
      <c r="AH624" s="6"/>
      <c r="AI624" s="6" t="str">
        <f>IFERROR(__xludf.DUMMYFUNCTION("""COMPUTED_VALUE"""),"Isaza Toro")</f>
        <v>Isaza Toro</v>
      </c>
      <c r="AJ624" s="6" t="str">
        <f>IFERROR(__xludf.DUMMYFUNCTION("""COMPUTED_VALUE"""),"carolinaisazatoro@gmail.com")</f>
        <v>carolinaisazatoro@gmail.com</v>
      </c>
      <c r="AK624" s="6"/>
      <c r="AL624" s="6"/>
      <c r="AM624" s="12" t="str">
        <f>IFERROR(__xludf.DUMMYFUNCTION("""COMPUTED_VALUE"""),"41944793")</f>
        <v>41944793</v>
      </c>
      <c r="AN624" s="12" t="str">
        <f>IFERROR(__xludf.DUMMYFUNCTION("""COMPUTED_VALUE"""),"3217462799")</f>
        <v>3217462799</v>
      </c>
      <c r="AO624" s="6" t="str">
        <f>IFERROR(__xludf.DUMMYFUNCTION("""COMPUTED_VALUE"""),"Madre")</f>
        <v>Madre</v>
      </c>
      <c r="AP624" s="6" t="str">
        <f>IFERROR(__xludf.DUMMYFUNCTION("""COMPUTED_VALUE"""),"Estudiante(s): Arias Isaza")</f>
        <v>Estudiante(s): Arias Isaza</v>
      </c>
      <c r="AQ624" s="6" t="str">
        <f>IFERROR(__xludf.DUMMYFUNCTION("""COMPUTED_VALUE"""),"103519*Gi")</f>
        <v>103519*Gi</v>
      </c>
      <c r="AR624" s="6" t="str">
        <f>IFERROR(__xludf.DUMMYFUNCTION("""COMPUTED_VALUE"""),"Daniel")</f>
        <v>Daniel</v>
      </c>
      <c r="AS624" s="6" t="str">
        <f>IFERROR(__xludf.DUMMYFUNCTION("""COMPUTED_VALUE"""),"Andrés")</f>
        <v>Andrés</v>
      </c>
      <c r="AT624" s="6" t="str">
        <f>IFERROR(__xludf.DUMMYFUNCTION("""COMPUTED_VALUE"""),"Arias Arias")</f>
        <v>Arias Arias</v>
      </c>
      <c r="AU624" s="6" t="str">
        <f>IFERROR(__xludf.DUMMYFUNCTION("""COMPUTED_VALUE"""),"danielariasa@yahoo.es")</f>
        <v>danielariasa@yahoo.es</v>
      </c>
      <c r="AV624" s="6" t="str">
        <f>IFERROR(__xludf.DUMMYFUNCTION("""COMPUTED_VALUE"""),"Administrado de empresas")</f>
        <v>Administrado de empresas</v>
      </c>
      <c r="AW624" s="6" t="str">
        <f>IFERROR(__xludf.DUMMYFUNCTION("""COMPUTED_VALUE"""),"ALG Colombia SAS")</f>
        <v>ALG Colombia SAS</v>
      </c>
      <c r="AX624" s="12" t="str">
        <f>IFERROR(__xludf.DUMMYFUNCTION("""COMPUTED_VALUE"""),"9728962")</f>
        <v>9728962</v>
      </c>
      <c r="AY624" s="12" t="str">
        <f>IFERROR(__xludf.DUMMYFUNCTION("""COMPUTED_VALUE"""),"3108213324")</f>
        <v>3108213324</v>
      </c>
      <c r="AZ624" s="6" t="str">
        <f>IFERROR(__xludf.DUMMYFUNCTION("""COMPUTED_VALUE"""),"Padre")</f>
        <v>Padre</v>
      </c>
      <c r="BA624" s="6"/>
      <c r="BB624" s="6"/>
      <c r="BC624" s="6"/>
      <c r="BD624" s="12" t="str">
        <f>IFERROR(__xludf.DUMMYFUNCTION("""COMPUTED_VALUE"""),"ari0025")</f>
        <v>ari0025</v>
      </c>
      <c r="BE624" s="6" t="str">
        <f>IFERROR(__xludf.DUMMYFUNCTION("""COMPUTED_VALUE"""),"FALTAN FIRMAS")</f>
        <v>FALTAN FIRMAS</v>
      </c>
      <c r="BF624" s="6"/>
      <c r="BG624" s="6">
        <f>IFERROR(__xludf.DUMMYFUNCTION("""COMPUTED_VALUE"""),2030.0)</f>
        <v>2030</v>
      </c>
      <c r="BH624" s="15">
        <f>IFERROR(__xludf.DUMMYFUNCTION("""COMPUTED_VALUE"""),46244.54767361111)</f>
        <v>46244.54767</v>
      </c>
      <c r="BI624" s="6">
        <f>IFERROR(__xludf.DUMMYFUNCTION("""COMPUTED_VALUE"""),625.0)</f>
        <v>625</v>
      </c>
      <c r="BJ624" s="6"/>
      <c r="BK624" s="6"/>
      <c r="BL624" s="6" t="str">
        <f>IFERROR(__xludf.DUMMYFUNCTION("""COMPUTED_VALUE"""),"GISARI0025")</f>
        <v>GISARI0025</v>
      </c>
      <c r="BM624" s="6"/>
      <c r="BN624" s="6"/>
      <c r="BO624" s="6"/>
      <c r="BP624" s="6"/>
      <c r="BQ624" s="6"/>
      <c r="BR624" s="6"/>
      <c r="BS624" s="6"/>
      <c r="BT624" s="6"/>
      <c r="BU624" s="6" t="str">
        <f>IFERROR(__xludf.DUMMYFUNCTION("""COMPUTED_VALUE"""),"SI")</f>
        <v>SI</v>
      </c>
      <c r="BV624" s="6" t="str">
        <f>IFERROR(__xludf.DUMMYFUNCTION("""COMPUTED_VALUE"""),"martin.a2030")</f>
        <v>martin.a2030</v>
      </c>
      <c r="BW624" s="6"/>
      <c r="BX624" s="6"/>
      <c r="BY624" s="6"/>
      <c r="BZ624" s="6"/>
    </row>
    <row r="625">
      <c r="A625" s="12">
        <f>IFERROR(__xludf.DUMMYFUNCTION("""COMPUTED_VALUE"""),1.094939961E9)</f>
        <v>1094939961</v>
      </c>
      <c r="B625" s="6">
        <f>IFERROR(__xludf.DUMMYFUNCTION("""COMPUTED_VALUE"""),4.0)</f>
        <v>4</v>
      </c>
      <c r="C625" s="6" t="str">
        <f>IFERROR(__xludf.DUMMYFUNCTION("""COMPUTED_VALUE"""),"Emanuel")</f>
        <v>Emanuel</v>
      </c>
      <c r="D625" s="6"/>
      <c r="E625" s="6" t="str">
        <f>IFERROR(__xludf.DUMMYFUNCTION("""COMPUTED_VALUE"""),"Arias Sánchez")</f>
        <v>Arias Sánchez</v>
      </c>
      <c r="F625" s="6" t="str">
        <f>IFERROR(__xludf.DUMMYFUNCTION("""COMPUTED_VALUE"""),"Palmas de Cera Apto 1101 - Cra 12 No 12Nte - 36 La Castellana")</f>
        <v>Palmas de Cera Apto 1101 - Cra 12 No 12Nte - 36 La Castellana</v>
      </c>
      <c r="G625" s="12" t="str">
        <f>IFERROR(__xludf.DUMMYFUNCTION("""COMPUTED_VALUE"""),"2012")</f>
        <v>2012</v>
      </c>
      <c r="H625" s="6" t="str">
        <f>IFERROR(__xludf.DUMMYFUNCTION("""COMPUTED_VALUE"""),"Enero")</f>
        <v>Enero</v>
      </c>
      <c r="I625" s="12" t="str">
        <f>IFERROR(__xludf.DUMMYFUNCTION("""COMPUTED_VALUE"""),"9")</f>
        <v>9</v>
      </c>
      <c r="J625" s="6" t="str">
        <f>IFERROR(__xludf.DUMMYFUNCTION("""COMPUTED_VALUE"""),"Armenia")</f>
        <v>Armenia</v>
      </c>
      <c r="K625" s="6" t="str">
        <f>IFERROR(__xludf.DUMMYFUNCTION("""COMPUTED_VALUE"""),"emanuel.arias2030@gi.edu.co")</f>
        <v>emanuel.arias2030@gi.edu.co</v>
      </c>
      <c r="L625" s="6" t="str">
        <f>IFERROR(__xludf.DUMMYFUNCTION("""COMPUTED_VALUE"""),"TI")</f>
        <v>TI</v>
      </c>
      <c r="M625" s="6" t="str">
        <f>IFERROR(__xludf.DUMMYFUNCTION("""COMPUTED_VALUE"""),"Armenia")</f>
        <v>Armenia</v>
      </c>
      <c r="N625" s="6" t="str">
        <f>IFERROR(__xludf.DUMMYFUNCTION("""COMPUTED_VALUE"""),"M")</f>
        <v>M</v>
      </c>
      <c r="O625" s="6" t="str">
        <f>IFERROR(__xludf.DUMMYFUNCTION("""COMPUTED_VALUE"""),"ACTIVE")</f>
        <v>ACTIVE</v>
      </c>
      <c r="P625" s="6"/>
      <c r="Q625" s="6" t="str">
        <f>IFERROR(__xludf.DUMMYFUNCTION("""COMPUTED_VALUE"""),"Armenia")</f>
        <v>Armenia</v>
      </c>
      <c r="R625" s="6" t="str">
        <f>IFERROR(__xludf.DUMMYFUNCTION("""COMPUTED_VALUE"""),"Gi4dc8s92s*")</f>
        <v>Gi4dc8s92s*</v>
      </c>
      <c r="S625" s="6" t="str">
        <f>IFERROR(__xludf.DUMMYFUNCTION("""COMPUTED_VALUE"""),"Arias Sánchez Emanuel ")</f>
        <v>Arias Sánchez Emanuel </v>
      </c>
      <c r="T625" s="6" t="str">
        <f>IFERROR(__xludf.DUMMYFUNCTION("""COMPUTED_VALUE"""),"OLGA LORENA SÁNCHEZ RESTREPO")</f>
        <v>OLGA LORENA SÁNCHEZ RESTREPO</v>
      </c>
      <c r="U625" s="12" t="str">
        <f>IFERROR(__xludf.DUMMYFUNCTION("""COMPUTED_VALUE"""),"41943578")</f>
        <v>41943578</v>
      </c>
      <c r="V625" s="6">
        <f>IFERROR(__xludf.DUMMYFUNCTION("""COMPUTED_VALUE"""),3.137438133E9)</f>
        <v>3137438133</v>
      </c>
      <c r="W625" s="6" t="str">
        <f>IFERROR(__xludf.DUMMYFUNCTION("""COMPUTED_VALUE"""),"olga.sanchez@cafequipe.com.co")</f>
        <v>olga.sanchez@cafequipe.com.co</v>
      </c>
      <c r="X625" s="12" t="str">
        <f>IFERROR(__xludf.DUMMYFUNCTION("""COMPUTED_VALUE"""),"O+")</f>
        <v>O+</v>
      </c>
      <c r="Y625" s="12" t="str">
        <f>IFERROR(__xludf.DUMMYFUNCTION("""COMPUTED_VALUE"""),"9")</f>
        <v>9</v>
      </c>
      <c r="Z625" s="12">
        <f>IFERROR(__xludf.DUMMYFUNCTION("""COMPUTED_VALUE"""),103448.0)</f>
        <v>103448</v>
      </c>
      <c r="AA625" s="6" t="str">
        <f>IFERROR(__xludf.DUMMYFUNCTION("""COMPUTED_VALUE"""),"SURA")</f>
        <v>SURA</v>
      </c>
      <c r="AB625" s="6" t="str">
        <f>IFERROR(__xludf.DUMMYFUNCTION("""COMPUTED_VALUE"""),"Póliza de salud Sura, Emi")</f>
        <v>Póliza de salud Sura, Emi</v>
      </c>
      <c r="AC625" s="6"/>
      <c r="AD625" s="12" t="str">
        <f>IFERROR(__xludf.DUMMYFUNCTION("""COMPUTED_VALUE"""),"9B")</f>
        <v>9B</v>
      </c>
      <c r="AE625" s="12">
        <f>IFERROR(__xludf.DUMMYFUNCTION("""COMPUTED_VALUE"""),1.345281695E9)</f>
        <v>1345281695</v>
      </c>
      <c r="AF625" s="12" t="str">
        <f>IFERROR(__xludf.DUMMYFUNCTION("""COMPUTED_VALUE"""),"0687058915")</f>
        <v>0687058915</v>
      </c>
      <c r="AG625" s="12" t="str">
        <f>IFERROR(__xludf.DUMMYFUNCTION("""COMPUTED_VALUE"""),"Olga")</f>
        <v>Olga</v>
      </c>
      <c r="AH625" s="12" t="str">
        <f>IFERROR(__xludf.DUMMYFUNCTION("""COMPUTED_VALUE"""),"Lorena")</f>
        <v>Lorena</v>
      </c>
      <c r="AI625" s="6" t="str">
        <f>IFERROR(__xludf.DUMMYFUNCTION("""COMPUTED_VALUE"""),"Sánchez  Restrepo")</f>
        <v>Sánchez  Restrepo</v>
      </c>
      <c r="AJ625" s="6" t="str">
        <f>IFERROR(__xludf.DUMMYFUNCTION("""COMPUTED_VALUE"""),"olga.sanchez@cafequipe.com.co")</f>
        <v>olga.sanchez@cafequipe.com.co</v>
      </c>
      <c r="AK625" s="6" t="str">
        <f>IFERROR(__xludf.DUMMYFUNCTION("""COMPUTED_VALUE"""),"Administradora de Empresas")</f>
        <v>Administradora de Empresas</v>
      </c>
      <c r="AL625" s="6" t="str">
        <f>IFERROR(__xludf.DUMMYFUNCTION("""COMPUTED_VALUE"""),"Cafequipe sas")</f>
        <v>Cafequipe sas</v>
      </c>
      <c r="AM625" s="12" t="str">
        <f>IFERROR(__xludf.DUMMYFUNCTION("""COMPUTED_VALUE"""),"41943578")</f>
        <v>41943578</v>
      </c>
      <c r="AN625" s="12" t="str">
        <f>IFERROR(__xludf.DUMMYFUNCTION("""COMPUTED_VALUE"""),"3137438133")</f>
        <v>3137438133</v>
      </c>
      <c r="AO625" s="6" t="str">
        <f>IFERROR(__xludf.DUMMYFUNCTION("""COMPUTED_VALUE"""),"Madre")</f>
        <v>Madre</v>
      </c>
      <c r="AP625" s="6" t="str">
        <f>IFERROR(__xludf.DUMMYFUNCTION("""COMPUTED_VALUE"""),"Estudiante(s): Arias Sánchez")</f>
        <v>Estudiante(s): Arias Sánchez</v>
      </c>
      <c r="AQ625" s="6" t="str">
        <f>IFERROR(__xludf.DUMMYFUNCTION("""COMPUTED_VALUE"""),"103448*Gi")</f>
        <v>103448*Gi</v>
      </c>
      <c r="AR625" s="6" t="str">
        <f>IFERROR(__xludf.DUMMYFUNCTION("""COMPUTED_VALUE"""),"Luis")</f>
        <v>Luis</v>
      </c>
      <c r="AS625" s="6" t="str">
        <f>IFERROR(__xludf.DUMMYFUNCTION("""COMPUTED_VALUE"""),"Enrique")</f>
        <v>Enrique</v>
      </c>
      <c r="AT625" s="6" t="str">
        <f>IFERROR(__xludf.DUMMYFUNCTION("""COMPUTED_VALUE"""),"Arias Trujillo")</f>
        <v>Arias Trujillo</v>
      </c>
      <c r="AU625" s="6" t="str">
        <f>IFERROR(__xludf.DUMMYFUNCTION("""COMPUTED_VALUE"""),"info@cafequipe.com.co")</f>
        <v>info@cafequipe.com.co</v>
      </c>
      <c r="AV625" s="6" t="str">
        <f>IFERROR(__xludf.DUMMYFUNCTION("""COMPUTED_VALUE"""),"Ingeniero Agroindustrial")</f>
        <v>Ingeniero Agroindustrial</v>
      </c>
      <c r="AW625" s="6" t="str">
        <f>IFERROR(__xludf.DUMMYFUNCTION("""COMPUTED_VALUE"""),"Cafequipe sas")</f>
        <v>Cafequipe sas</v>
      </c>
      <c r="AX625" s="12" t="str">
        <f>IFERROR(__xludf.DUMMYFUNCTION("""COMPUTED_VALUE"""),"89003394")</f>
        <v>89003394</v>
      </c>
      <c r="AY625" s="12" t="str">
        <f>IFERROR(__xludf.DUMMYFUNCTION("""COMPUTED_VALUE"""),"3154968219")</f>
        <v>3154968219</v>
      </c>
      <c r="AZ625" s="6" t="str">
        <f>IFERROR(__xludf.DUMMYFUNCTION("""COMPUTED_VALUE"""),"Padre")</f>
        <v>Padre</v>
      </c>
      <c r="BA625" s="6"/>
      <c r="BB625" s="6"/>
      <c r="BC625" s="6"/>
      <c r="BD625" s="12" t="str">
        <f>IFERROR(__xludf.DUMMYFUNCTION("""COMPUTED_VALUE"""),"ari0031")</f>
        <v>ari0031</v>
      </c>
      <c r="BE625" s="6"/>
      <c r="BF625" s="12" t="str">
        <f>IFERROR(__xludf.DUMMYFUNCTION("""COMPUTED_VALUE"""),"PROMOVIDO")</f>
        <v>PROMOVIDO</v>
      </c>
      <c r="BG625" s="6">
        <f>IFERROR(__xludf.DUMMYFUNCTION("""COMPUTED_VALUE"""),2030.0)</f>
        <v>2030</v>
      </c>
      <c r="BH625" s="15">
        <f>IFERROR(__xludf.DUMMYFUNCTION("""COMPUTED_VALUE"""),46209.73782407407)</f>
        <v>46209.73782</v>
      </c>
      <c r="BI625" s="6">
        <f>IFERROR(__xludf.DUMMYFUNCTION("""COMPUTED_VALUE"""),626.0)</f>
        <v>626</v>
      </c>
      <c r="BJ625" s="6"/>
      <c r="BK625" s="6"/>
      <c r="BL625" s="6" t="str">
        <f>IFERROR(__xludf.DUMMYFUNCTION("""COMPUTED_VALUE"""),"GISARI0031")</f>
        <v>GISARI0031</v>
      </c>
      <c r="BM625" s="6"/>
      <c r="BN625" s="6"/>
      <c r="BO625" s="6"/>
      <c r="BP625" s="6"/>
      <c r="BQ625" s="6"/>
      <c r="BR625" s="6"/>
      <c r="BS625" s="6"/>
      <c r="BT625" s="6"/>
      <c r="BU625" s="6" t="str">
        <f>IFERROR(__xludf.DUMMYFUNCTION("""COMPUTED_VALUE"""),"SI")</f>
        <v>SI</v>
      </c>
      <c r="BV625" s="6" t="str">
        <f>IFERROR(__xludf.DUMMYFUNCTION("""COMPUTED_VALUE"""),"emanuel.arias2030")</f>
        <v>emanuel.arias2030</v>
      </c>
      <c r="BW625" s="6"/>
      <c r="BX625" s="6"/>
      <c r="BY625" s="6"/>
      <c r="BZ625" s="6"/>
    </row>
    <row r="626">
      <c r="A626" s="12">
        <f>IFERROR(__xludf.DUMMYFUNCTION("""COMPUTED_VALUE"""),1.013012673E9)</f>
        <v>1013012673</v>
      </c>
      <c r="B626" s="6">
        <f>IFERROR(__xludf.DUMMYFUNCTION("""COMPUTED_VALUE"""),5.0)</f>
        <v>5</v>
      </c>
      <c r="C626" s="6" t="str">
        <f>IFERROR(__xludf.DUMMYFUNCTION("""COMPUTED_VALUE"""),"Luciana")</f>
        <v>Luciana</v>
      </c>
      <c r="D626" s="6"/>
      <c r="E626" s="6" t="str">
        <f>IFERROR(__xludf.DUMMYFUNCTION("""COMPUTED_VALUE"""),"Baez Zarta")</f>
        <v>Baez Zarta</v>
      </c>
      <c r="F626" s="6" t="str">
        <f>IFERROR(__xludf.DUMMYFUNCTION("""COMPUTED_VALUE"""),"Conjunto Hacienda El Cabrero Casa 18 - Km 9 Via Armenia-La Tebaida")</f>
        <v>Conjunto Hacienda El Cabrero Casa 18 - Km 9 Via Armenia-La Tebaida</v>
      </c>
      <c r="G626" s="12" t="str">
        <f>IFERROR(__xludf.DUMMYFUNCTION("""COMPUTED_VALUE"""),"2011")</f>
        <v>2011</v>
      </c>
      <c r="H626" s="6" t="str">
        <f>IFERROR(__xludf.DUMMYFUNCTION("""COMPUTED_VALUE"""),"Septiembre")</f>
        <v>Septiembre</v>
      </c>
      <c r="I626" s="12" t="str">
        <f>IFERROR(__xludf.DUMMYFUNCTION("""COMPUTED_VALUE"""),"2")</f>
        <v>2</v>
      </c>
      <c r="J626" s="6" t="str">
        <f>IFERROR(__xludf.DUMMYFUNCTION("""COMPUTED_VALUE"""),"Bogotá D.C.")</f>
        <v>Bogotá D.C.</v>
      </c>
      <c r="K626" s="6" t="str">
        <f>IFERROR(__xludf.DUMMYFUNCTION("""COMPUTED_VALUE"""),"luciana.b2031@gi.edu.co")</f>
        <v>luciana.b2031@gi.edu.co</v>
      </c>
      <c r="L626" s="6" t="str">
        <f>IFERROR(__xludf.DUMMYFUNCTION("""COMPUTED_VALUE"""),"TI")</f>
        <v>TI</v>
      </c>
      <c r="M626" s="6" t="str">
        <f>IFERROR(__xludf.DUMMYFUNCTION("""COMPUTED_VALUE"""),"Cundinamarca")</f>
        <v>Cundinamarca</v>
      </c>
      <c r="N626" s="6" t="str">
        <f>IFERROR(__xludf.DUMMYFUNCTION("""COMPUTED_VALUE"""),"F")</f>
        <v>F</v>
      </c>
      <c r="O626" s="6" t="str">
        <f>IFERROR(__xludf.DUMMYFUNCTION("""COMPUTED_VALUE"""),"ACTIVE")</f>
        <v>ACTIVE</v>
      </c>
      <c r="P626" s="6"/>
      <c r="Q626" s="6" t="str">
        <f>IFERROR(__xludf.DUMMYFUNCTION("""COMPUTED_VALUE"""),"La Tebaida")</f>
        <v>La Tebaida</v>
      </c>
      <c r="R626" s="12" t="str">
        <f>IFERROR(__xludf.DUMMYFUNCTION("""COMPUTED_VALUE"""),"Gi735nk*")</f>
        <v>Gi735nk*</v>
      </c>
      <c r="S626" s="6" t="str">
        <f>IFERROR(__xludf.DUMMYFUNCTION("""COMPUTED_VALUE"""),"Baez Zarta Luciana ")</f>
        <v>Baez Zarta Luciana </v>
      </c>
      <c r="T626" s="6" t="str">
        <f>IFERROR(__xludf.DUMMYFUNCTION("""COMPUTED_VALUE"""),"LEONARDO BÁEZ CRUZ")</f>
        <v>LEONARDO BÁEZ CRUZ</v>
      </c>
      <c r="U626" s="12" t="str">
        <f>IFERROR(__xludf.DUMMYFUNCTION("""COMPUTED_VALUE"""),"79626033")</f>
        <v>79626033</v>
      </c>
      <c r="V626" s="6">
        <f>IFERROR(__xludf.DUMMYFUNCTION("""COMPUTED_VALUE"""),3.118377198E9)</f>
        <v>3118377198</v>
      </c>
      <c r="W626" s="6" t="str">
        <f>IFERROR(__xludf.DUMMYFUNCTION("""COMPUTED_VALUE"""),"leobaezcruz@gmail.com")</f>
        <v>leobaezcruz@gmail.com</v>
      </c>
      <c r="X626" s="12" t="str">
        <f>IFERROR(__xludf.DUMMYFUNCTION("""COMPUTED_VALUE"""),"O+")</f>
        <v>O+</v>
      </c>
      <c r="Y626" s="12" t="str">
        <f>IFERROR(__xludf.DUMMYFUNCTION("""COMPUTED_VALUE"""),"9")</f>
        <v>9</v>
      </c>
      <c r="Z626" s="12">
        <f>IFERROR(__xludf.DUMMYFUNCTION("""COMPUTED_VALUE"""),120380.0)</f>
        <v>120380</v>
      </c>
      <c r="AA626" s="6" t="str">
        <f>IFERROR(__xludf.DUMMYFUNCTION("""COMPUTED_VALUE"""),"ALIANSALUD")</f>
        <v>ALIANSALUD</v>
      </c>
      <c r="AB626" s="6"/>
      <c r="AC626" s="6"/>
      <c r="AD626" s="12" t="str">
        <f>IFERROR(__xludf.DUMMYFUNCTION("""COMPUTED_VALUE"""),"9A")</f>
        <v>9A</v>
      </c>
      <c r="AE626" s="12" t="str">
        <f>IFERROR(__xludf.DUMMYFUNCTION("""COMPUTED_VALUE"""),"1345282382")</f>
        <v>1345282382</v>
      </c>
      <c r="AF626" s="12" t="str">
        <f>IFERROR(__xludf.DUMMYFUNCTION("""COMPUTED_VALUE"""),"0687023219")</f>
        <v>0687023219</v>
      </c>
      <c r="AG626" s="12" t="str">
        <f>IFERROR(__xludf.DUMMYFUNCTION("""COMPUTED_VALUE"""),"Claudia")</f>
        <v>Claudia</v>
      </c>
      <c r="AH626" s="12" t="str">
        <f>IFERROR(__xludf.DUMMYFUNCTION("""COMPUTED_VALUE"""),"Helena ")</f>
        <v>Helena </v>
      </c>
      <c r="AI626" s="6" t="str">
        <f>IFERROR(__xludf.DUMMYFUNCTION("""COMPUTED_VALUE"""),"Zarta Giraldo")</f>
        <v>Zarta Giraldo</v>
      </c>
      <c r="AJ626" s="6" t="str">
        <f>IFERROR(__xludf.DUMMYFUNCTION("""COMPUTED_VALUE"""),"czarta@hotmail.com")</f>
        <v>czarta@hotmail.com</v>
      </c>
      <c r="AK626" s="6" t="str">
        <f>IFERROR(__xludf.DUMMYFUNCTION("""COMPUTED_VALUE"""),"Terapeuta Ocupacional")</f>
        <v>Terapeuta Ocupacional</v>
      </c>
      <c r="AL626" s="6"/>
      <c r="AM626" s="12" t="str">
        <f>IFERROR(__xludf.DUMMYFUNCTION("""COMPUTED_VALUE"""),"52259330")</f>
        <v>52259330</v>
      </c>
      <c r="AN626" s="12" t="str">
        <f>IFERROR(__xludf.DUMMYFUNCTION("""COMPUTED_VALUE"""),"3005657283")</f>
        <v>3005657283</v>
      </c>
      <c r="AO626" s="6" t="str">
        <f>IFERROR(__xludf.DUMMYFUNCTION("""COMPUTED_VALUE"""),"Madre")</f>
        <v>Madre</v>
      </c>
      <c r="AP626" s="6" t="str">
        <f>IFERROR(__xludf.DUMMYFUNCTION("""COMPUTED_VALUE"""),"Estudiante(s): Baez Zarta")</f>
        <v>Estudiante(s): Baez Zarta</v>
      </c>
      <c r="AQ626" s="6" t="str">
        <f>IFERROR(__xludf.DUMMYFUNCTION("""COMPUTED_VALUE"""),"120379*Gi")</f>
        <v>120379*Gi</v>
      </c>
      <c r="AR626" s="6" t="str">
        <f>IFERROR(__xludf.DUMMYFUNCTION("""COMPUTED_VALUE"""),"Leonardo")</f>
        <v>Leonardo</v>
      </c>
      <c r="AS626" s="6"/>
      <c r="AT626" s="6" t="str">
        <f>IFERROR(__xludf.DUMMYFUNCTION("""COMPUTED_VALUE"""),"Báez Cruz")</f>
        <v>Báez Cruz</v>
      </c>
      <c r="AU626" s="6" t="str">
        <f>IFERROR(__xludf.DUMMYFUNCTION("""COMPUTED_VALUE"""),"leobaezcruz@gmail.com")</f>
        <v>leobaezcruz@gmail.com</v>
      </c>
      <c r="AV626" s="6" t="str">
        <f>IFERROR(__xludf.DUMMYFUNCTION("""COMPUTED_VALUE"""),"Admon de empresas")</f>
        <v>Admon de empresas</v>
      </c>
      <c r="AW626" s="6" t="str">
        <f>IFERROR(__xludf.DUMMYFUNCTION("""COMPUTED_VALUE"""),"GSD S.A.S")</f>
        <v>GSD S.A.S</v>
      </c>
      <c r="AX626" s="12" t="str">
        <f>IFERROR(__xludf.DUMMYFUNCTION("""COMPUTED_VALUE"""),"79626033")</f>
        <v>79626033</v>
      </c>
      <c r="AY626" s="12">
        <f>IFERROR(__xludf.DUMMYFUNCTION("""COMPUTED_VALUE"""),3.118377198E9)</f>
        <v>3118377198</v>
      </c>
      <c r="AZ626" s="6" t="str">
        <f>IFERROR(__xludf.DUMMYFUNCTION("""COMPUTED_VALUE"""),"Padre")</f>
        <v>Padre</v>
      </c>
      <c r="BA626" s="6"/>
      <c r="BB626" s="6"/>
      <c r="BC626" s="6"/>
      <c r="BD626" s="12" t="str">
        <f>IFERROR(__xludf.DUMMYFUNCTION("""COMPUTED_VALUE"""),"bae0001")</f>
        <v>bae0001</v>
      </c>
      <c r="BE626" s="6"/>
      <c r="BF626" s="6"/>
      <c r="BG626" s="6">
        <f>IFERROR(__xludf.DUMMYFUNCTION("""COMPUTED_VALUE"""),2030.0)</f>
        <v>2030</v>
      </c>
      <c r="BH626" s="15">
        <f>IFERROR(__xludf.DUMMYFUNCTION("""COMPUTED_VALUE"""),46204.74737268518)</f>
        <v>46204.74737</v>
      </c>
      <c r="BI626" s="6">
        <f>IFERROR(__xludf.DUMMYFUNCTION("""COMPUTED_VALUE"""),627.0)</f>
        <v>627</v>
      </c>
      <c r="BJ626" s="6"/>
      <c r="BK626" s="6"/>
      <c r="BL626" s="6" t="str">
        <f>IFERROR(__xludf.DUMMYFUNCTION("""COMPUTED_VALUE"""),"GISBAE0001")</f>
        <v>GISBAE0001</v>
      </c>
      <c r="BM626" s="6"/>
      <c r="BN626" s="6"/>
      <c r="BO626" s="6"/>
      <c r="BP626" s="6"/>
      <c r="BQ626" s="6"/>
      <c r="BR626" s="6" t="str">
        <f>IFERROR(__xludf.DUMMYFUNCTION("""COMPUTED_VALUE"""),"XC_SEC_ArtesPlasticas")</f>
        <v>XC_SEC_ArtesPlasticas</v>
      </c>
      <c r="BS626" s="6"/>
      <c r="BT626" s="6"/>
      <c r="BU626" s="6" t="str">
        <f>IFERROR(__xludf.DUMMYFUNCTION("""COMPUTED_VALUE"""),"SI")</f>
        <v>SI</v>
      </c>
      <c r="BV626" s="6" t="str">
        <f>IFERROR(__xludf.DUMMYFUNCTION("""COMPUTED_VALUE"""),"luciana.b2031")</f>
        <v>luciana.b2031</v>
      </c>
      <c r="BW626" s="6"/>
      <c r="BX626" s="6"/>
      <c r="BY626" s="6"/>
      <c r="BZ626" s="6"/>
    </row>
    <row r="627">
      <c r="A627" s="12">
        <f>IFERROR(__xludf.DUMMYFUNCTION("""COMPUTED_VALUE"""),1.098546216E9)</f>
        <v>1098546216</v>
      </c>
      <c r="B627" s="6">
        <f>IFERROR(__xludf.DUMMYFUNCTION("""COMPUTED_VALUE"""),6.0)</f>
        <v>6</v>
      </c>
      <c r="C627" s="6" t="str">
        <f>IFERROR(__xludf.DUMMYFUNCTION("""COMPUTED_VALUE"""),"Samuel")</f>
        <v>Samuel</v>
      </c>
      <c r="D627" s="6"/>
      <c r="E627" s="6" t="str">
        <f>IFERROR(__xludf.DUMMYFUNCTION("""COMPUTED_VALUE"""),"Barrera Patiño")</f>
        <v>Barrera Patiño</v>
      </c>
      <c r="F627" s="6" t="str">
        <f>IFERROR(__xludf.DUMMYFUNCTION("""COMPUTED_VALUE"""),"Condominio Hacienda Horizontes Casa 30 - Km 3 Via Circasia Vereda la Florida")</f>
        <v>Condominio Hacienda Horizontes Casa 30 - Km 3 Via Circasia Vereda la Florida</v>
      </c>
      <c r="G627" s="12" t="str">
        <f>IFERROR(__xludf.DUMMYFUNCTION("""COMPUTED_VALUE"""),"2012")</f>
        <v>2012</v>
      </c>
      <c r="H627" s="6" t="str">
        <f>IFERROR(__xludf.DUMMYFUNCTION("""COMPUTED_VALUE"""),"Febrero")</f>
        <v>Febrero</v>
      </c>
      <c r="I627" s="12" t="str">
        <f>IFERROR(__xludf.DUMMYFUNCTION("""COMPUTED_VALUE"""),"2")</f>
        <v>2</v>
      </c>
      <c r="J627" s="6" t="str">
        <f>IFERROR(__xludf.DUMMYFUNCTION("""COMPUTED_VALUE"""),"Armenia")</f>
        <v>Armenia</v>
      </c>
      <c r="K627" s="6" t="str">
        <f>IFERROR(__xludf.DUMMYFUNCTION("""COMPUTED_VALUE"""),"samuel.b2030@gi.edu.co")</f>
        <v>samuel.b2030@gi.edu.co</v>
      </c>
      <c r="L627" s="6" t="str">
        <f>IFERROR(__xludf.DUMMYFUNCTION("""COMPUTED_VALUE"""),"TI")</f>
        <v>TI</v>
      </c>
      <c r="M627" s="6" t="str">
        <f>IFERROR(__xludf.DUMMYFUNCTION("""COMPUTED_VALUE"""),"Circacia")</f>
        <v>Circacia</v>
      </c>
      <c r="N627" s="6" t="str">
        <f>IFERROR(__xludf.DUMMYFUNCTION("""COMPUTED_VALUE"""),"M")</f>
        <v>M</v>
      </c>
      <c r="O627" s="6" t="str">
        <f>IFERROR(__xludf.DUMMYFUNCTION("""COMPUTED_VALUE"""),"ACTIVE")</f>
        <v>ACTIVE</v>
      </c>
      <c r="P627" s="6"/>
      <c r="Q627" s="6" t="str">
        <f>IFERROR(__xludf.DUMMYFUNCTION("""COMPUTED_VALUE"""),"Circasia")</f>
        <v>Circasia</v>
      </c>
      <c r="R627" s="12" t="str">
        <f>IFERROR(__xludf.DUMMYFUNCTION("""COMPUTED_VALUE"""),"Gimnvbf34d*")</f>
        <v>Gimnvbf34d*</v>
      </c>
      <c r="S627" s="6" t="str">
        <f>IFERROR(__xludf.DUMMYFUNCTION("""COMPUTED_VALUE"""),"Barrera Patiño Samuel ")</f>
        <v>Barrera Patiño Samuel </v>
      </c>
      <c r="T627" s="6" t="str">
        <f>IFERROR(__xludf.DUMMYFUNCTION("""COMPUTED_VALUE"""),"MARGARITA MARIA PATIÑO ARENAS")</f>
        <v>MARGARITA MARIA PATIÑO ARENAS</v>
      </c>
      <c r="U627" s="12" t="str">
        <f>IFERROR(__xludf.DUMMYFUNCTION("""COMPUTED_VALUE"""),"41943840")</f>
        <v>41943840</v>
      </c>
      <c r="V627" s="6">
        <f>IFERROR(__xludf.DUMMYFUNCTION("""COMPUTED_VALUE"""),3.155432249E9)</f>
        <v>3155432249</v>
      </c>
      <c r="W627" s="6" t="str">
        <f>IFERROR(__xludf.DUMMYFUNCTION("""COMPUTED_VALUE"""),"radiomargara@hotmail.com")</f>
        <v>radiomargara@hotmail.com</v>
      </c>
      <c r="X627" s="12" t="str">
        <f>IFERROR(__xludf.DUMMYFUNCTION("""COMPUTED_VALUE"""),"O+")</f>
        <v>O+</v>
      </c>
      <c r="Y627" s="12" t="str">
        <f>IFERROR(__xludf.DUMMYFUNCTION("""COMPUTED_VALUE"""),"9")</f>
        <v>9</v>
      </c>
      <c r="Z627" s="12">
        <f>IFERROR(__xludf.DUMMYFUNCTION("""COMPUTED_VALUE"""),103128.0)</f>
        <v>103128</v>
      </c>
      <c r="AA627" s="6" t="str">
        <f>IFERROR(__xludf.DUMMYFUNCTION("""COMPUTED_VALUE"""),"SANITAS")</f>
        <v>SANITAS</v>
      </c>
      <c r="AB627" s="6" t="str">
        <f>IFERROR(__xludf.DUMMYFUNCTION("""COMPUTED_VALUE"""),"Colsanitas (Prepagada)")</f>
        <v>Colsanitas (Prepagada)</v>
      </c>
      <c r="AC627" s="6"/>
      <c r="AD627" s="12" t="str">
        <f>IFERROR(__xludf.DUMMYFUNCTION("""COMPUTED_VALUE"""),"9B")</f>
        <v>9B</v>
      </c>
      <c r="AE627" s="12">
        <f>IFERROR(__xludf.DUMMYFUNCTION("""COMPUTED_VALUE"""),1.345281528E9)</f>
        <v>1345281528</v>
      </c>
      <c r="AF627" s="12" t="str">
        <f>IFERROR(__xludf.DUMMYFUNCTION("""COMPUTED_VALUE"""),"0667796387")</f>
        <v>0667796387</v>
      </c>
      <c r="AG627" s="12" t="str">
        <f>IFERROR(__xludf.DUMMYFUNCTION("""COMPUTED_VALUE"""),"Margarita")</f>
        <v>Margarita</v>
      </c>
      <c r="AH627" s="12" t="str">
        <f>IFERROR(__xludf.DUMMYFUNCTION("""COMPUTED_VALUE"""),"María")</f>
        <v>María</v>
      </c>
      <c r="AI627" s="6" t="str">
        <f>IFERROR(__xludf.DUMMYFUNCTION("""COMPUTED_VALUE"""),"Patiño Arenas")</f>
        <v>Patiño Arenas</v>
      </c>
      <c r="AJ627" s="6" t="str">
        <f>IFERROR(__xludf.DUMMYFUNCTION("""COMPUTED_VALUE"""),"radiomargara@gmail.com")</f>
        <v>radiomargara@gmail.com</v>
      </c>
      <c r="AK627" s="6" t="str">
        <f>IFERROR(__xludf.DUMMYFUNCTION("""COMPUTED_VALUE"""),"MEDICA RADIOLOGA")</f>
        <v>MEDICA RADIOLOGA</v>
      </c>
      <c r="AL627" s="6" t="str">
        <f>IFERROR(__xludf.DUMMYFUNCTION("""COMPUTED_VALUE"""),"GINERAD SAS")</f>
        <v>GINERAD SAS</v>
      </c>
      <c r="AM627" s="12" t="str">
        <f>IFERROR(__xludf.DUMMYFUNCTION("""COMPUTED_VALUE"""),"41943840")</f>
        <v>41943840</v>
      </c>
      <c r="AN627" s="12" t="str">
        <f>IFERROR(__xludf.DUMMYFUNCTION("""COMPUTED_VALUE"""),"3155432249")</f>
        <v>3155432249</v>
      </c>
      <c r="AO627" s="6" t="str">
        <f>IFERROR(__xludf.DUMMYFUNCTION("""COMPUTED_VALUE"""),"Madre")</f>
        <v>Madre</v>
      </c>
      <c r="AP627" s="6" t="str">
        <f>IFERROR(__xludf.DUMMYFUNCTION("""COMPUTED_VALUE"""),"Estudiante(s): Barrera Patiño")</f>
        <v>Estudiante(s): Barrera Patiño</v>
      </c>
      <c r="AQ627" s="6" t="str">
        <f>IFERROR(__xludf.DUMMYFUNCTION("""COMPUTED_VALUE"""),"103128*Gi")</f>
        <v>103128*Gi</v>
      </c>
      <c r="AR627" s="6" t="str">
        <f>IFERROR(__xludf.DUMMYFUNCTION("""COMPUTED_VALUE"""),"Juan")</f>
        <v>Juan</v>
      </c>
      <c r="AS627" s="6" t="str">
        <f>IFERROR(__xludf.DUMMYFUNCTION("""COMPUTED_VALUE"""),"Guillermo")</f>
        <v>Guillermo</v>
      </c>
      <c r="AT627" s="6" t="str">
        <f>IFERROR(__xludf.DUMMYFUNCTION("""COMPUTED_VALUE"""),"Barrera Toro")</f>
        <v>Barrera Toro</v>
      </c>
      <c r="AU627" s="6" t="str">
        <f>IFERROR(__xludf.DUMMYFUNCTION("""COMPUTED_VALUE"""),"jgbarrerat@gmail.com")</f>
        <v>jgbarrerat@gmail.com</v>
      </c>
      <c r="AV627" s="6" t="str">
        <f>IFERROR(__xludf.DUMMYFUNCTION("""COMPUTED_VALUE"""),"medico ginecologo")</f>
        <v>medico ginecologo</v>
      </c>
      <c r="AW627" s="6" t="str">
        <f>IFERROR(__xludf.DUMMYFUNCTION("""COMPUTED_VALUE"""),"GINERAD SAS")</f>
        <v>GINERAD SAS</v>
      </c>
      <c r="AX627" s="12" t="str">
        <f>IFERROR(__xludf.DUMMYFUNCTION("""COMPUTED_VALUE"""),"10272401")</f>
        <v>10272401</v>
      </c>
      <c r="AY627" s="12" t="str">
        <f>IFERROR(__xludf.DUMMYFUNCTION("""COMPUTED_VALUE"""),"3164205612")</f>
        <v>3164205612</v>
      </c>
      <c r="AZ627" s="6" t="str">
        <f>IFERROR(__xludf.DUMMYFUNCTION("""COMPUTED_VALUE"""),"Padre")</f>
        <v>Padre</v>
      </c>
      <c r="BA627" s="6"/>
      <c r="BB627" s="6"/>
      <c r="BC627" s="6"/>
      <c r="BD627" s="12" t="str">
        <f>IFERROR(__xludf.DUMMYFUNCTION("""COMPUTED_VALUE"""),"bar0007")</f>
        <v>bar0007</v>
      </c>
      <c r="BE627" s="6"/>
      <c r="BF627" s="6"/>
      <c r="BG627" s="6">
        <f>IFERROR(__xludf.DUMMYFUNCTION("""COMPUTED_VALUE"""),2030.0)</f>
        <v>2030</v>
      </c>
      <c r="BH627" s="15">
        <f>IFERROR(__xludf.DUMMYFUNCTION("""COMPUTED_VALUE"""),46210.52386574074)</f>
        <v>46210.52387</v>
      </c>
      <c r="BI627" s="6">
        <f>IFERROR(__xludf.DUMMYFUNCTION("""COMPUTED_VALUE"""),628.0)</f>
        <v>628</v>
      </c>
      <c r="BJ627" s="6"/>
      <c r="BK627" s="6"/>
      <c r="BL627" s="6" t="str">
        <f>IFERROR(__xludf.DUMMYFUNCTION("""COMPUTED_VALUE"""),"GISBAR0007")</f>
        <v>GISBAR0007</v>
      </c>
      <c r="BM627" s="6"/>
      <c r="BN627" s="6"/>
      <c r="BO627" s="6"/>
      <c r="BP627" s="6"/>
      <c r="BQ627" s="6"/>
      <c r="BR627" s="6"/>
      <c r="BS627" s="6"/>
      <c r="BT627" s="6"/>
      <c r="BU627" s="6" t="str">
        <f>IFERROR(__xludf.DUMMYFUNCTION("""COMPUTED_VALUE"""),"SI")</f>
        <v>SI</v>
      </c>
      <c r="BV627" s="6" t="str">
        <f>IFERROR(__xludf.DUMMYFUNCTION("""COMPUTED_VALUE"""),"samuel.b2030")</f>
        <v>samuel.b2030</v>
      </c>
      <c r="BW627" s="6"/>
      <c r="BX627" s="6"/>
      <c r="BY627" s="6"/>
      <c r="BZ627" s="6"/>
    </row>
    <row r="628">
      <c r="A628" s="12">
        <f>IFERROR(__xludf.DUMMYFUNCTION("""COMPUTED_VALUE"""),1.092856253E9)</f>
        <v>1092856253</v>
      </c>
      <c r="B628" s="6">
        <f>IFERROR(__xludf.DUMMYFUNCTION("""COMPUTED_VALUE"""),7.0)</f>
        <v>7</v>
      </c>
      <c r="C628" s="6" t="str">
        <f>IFERROR(__xludf.DUMMYFUNCTION("""COMPUTED_VALUE"""),"Lucía")</f>
        <v>Lucía</v>
      </c>
      <c r="D628" s="6"/>
      <c r="E628" s="6" t="str">
        <f>IFERROR(__xludf.DUMMYFUNCTION("""COMPUTED_VALUE"""),"Barrios Fernández")</f>
        <v>Barrios Fernández</v>
      </c>
      <c r="F628" s="6" t="str">
        <f>IFERROR(__xludf.DUMMYFUNCTION("""COMPUTED_VALUE"""),"Portal de Alameda Torre B Apto 403 - Cra 19 No36Nte - 30")</f>
        <v>Portal de Alameda Torre B Apto 403 - Cra 19 No36Nte - 30</v>
      </c>
      <c r="G628" s="12" t="str">
        <f>IFERROR(__xludf.DUMMYFUNCTION("""COMPUTED_VALUE"""),"2012")</f>
        <v>2012</v>
      </c>
      <c r="H628" s="6" t="str">
        <f>IFERROR(__xludf.DUMMYFUNCTION("""COMPUTED_VALUE"""),"Agosto")</f>
        <v>Agosto</v>
      </c>
      <c r="I628" s="12" t="str">
        <f>IFERROR(__xludf.DUMMYFUNCTION("""COMPUTED_VALUE"""),"22")</f>
        <v>22</v>
      </c>
      <c r="J628" s="6" t="str">
        <f>IFERROR(__xludf.DUMMYFUNCTION("""COMPUTED_VALUE"""),"Armenia")</f>
        <v>Armenia</v>
      </c>
      <c r="K628" s="6" t="str">
        <f>IFERROR(__xludf.DUMMYFUNCTION("""COMPUTED_VALUE"""),"lucia.b2030@gi.edu.co")</f>
        <v>lucia.b2030@gi.edu.co</v>
      </c>
      <c r="L628" s="6" t="str">
        <f>IFERROR(__xludf.DUMMYFUNCTION("""COMPUTED_VALUE"""),"TI")</f>
        <v>TI</v>
      </c>
      <c r="M628" s="6" t="str">
        <f>IFERROR(__xludf.DUMMYFUNCTION("""COMPUTED_VALUE"""),"Armenia")</f>
        <v>Armenia</v>
      </c>
      <c r="N628" s="6" t="str">
        <f>IFERROR(__xludf.DUMMYFUNCTION("""COMPUTED_VALUE"""),"F")</f>
        <v>F</v>
      </c>
      <c r="O628" s="6" t="str">
        <f>IFERROR(__xludf.DUMMYFUNCTION("""COMPUTED_VALUE"""),"ACTIVE")</f>
        <v>ACTIVE</v>
      </c>
      <c r="P628" s="6"/>
      <c r="Q628" s="6" t="str">
        <f>IFERROR(__xludf.DUMMYFUNCTION("""COMPUTED_VALUE"""),"Armenia")</f>
        <v>Armenia</v>
      </c>
      <c r="R628" s="12" t="str">
        <f>IFERROR(__xludf.DUMMYFUNCTION("""COMPUTED_VALUE"""),"Gidgetcr34*")</f>
        <v>Gidgetcr34*</v>
      </c>
      <c r="S628" s="6" t="str">
        <f>IFERROR(__xludf.DUMMYFUNCTION("""COMPUTED_VALUE"""),"Barrios Fernández Lucía ")</f>
        <v>Barrios Fernández Lucía </v>
      </c>
      <c r="T628" s="6" t="str">
        <f>IFERROR(__xludf.DUMMYFUNCTION("""COMPUTED_VALUE"""),"OLGA LUCIA FERNÁNDEZ CARDENAS")</f>
        <v>OLGA LUCIA FERNÁNDEZ CARDENAS</v>
      </c>
      <c r="U628" s="12" t="str">
        <f>IFERROR(__xludf.DUMMYFUNCTION("""COMPUTED_VALUE"""),"41936607")</f>
        <v>41936607</v>
      </c>
      <c r="V628" s="6">
        <f>IFERROR(__xludf.DUMMYFUNCTION("""COMPUTED_VALUE"""),3.103820218E9)</f>
        <v>3103820218</v>
      </c>
      <c r="W628" s="6" t="str">
        <f>IFERROR(__xludf.DUMMYFUNCTION("""COMPUTED_VALUE"""),"chiaquindio@gmail.com")</f>
        <v>chiaquindio@gmail.com</v>
      </c>
      <c r="X628" s="12" t="str">
        <f>IFERROR(__xludf.DUMMYFUNCTION("""COMPUTED_VALUE"""),"O+")</f>
        <v>O+</v>
      </c>
      <c r="Y628" s="12" t="str">
        <f>IFERROR(__xludf.DUMMYFUNCTION("""COMPUTED_VALUE"""),"9")</f>
        <v>9</v>
      </c>
      <c r="Z628" s="12">
        <f>IFERROR(__xludf.DUMMYFUNCTION("""COMPUTED_VALUE"""),103247.0)</f>
        <v>103247</v>
      </c>
      <c r="AA628" s="6" t="str">
        <f>IFERROR(__xludf.DUMMYFUNCTION("""COMPUTED_VALUE"""),"NUEVA EPS")</f>
        <v>NUEVA EPS</v>
      </c>
      <c r="AB628" s="6" t="str">
        <f>IFERROR(__xludf.DUMMYFUNCTION("""COMPUTED_VALUE"""),"PREVISER")</f>
        <v>PREVISER</v>
      </c>
      <c r="AC628" s="6"/>
      <c r="AD628" s="12" t="str">
        <f>IFERROR(__xludf.DUMMYFUNCTION("""COMPUTED_VALUE"""),"9A")</f>
        <v>9A</v>
      </c>
      <c r="AE628" s="12">
        <f>IFERROR(__xludf.DUMMYFUNCTION("""COMPUTED_VALUE"""),1.345281598E9)</f>
        <v>1345281598</v>
      </c>
      <c r="AF628" s="12" t="str">
        <f>IFERROR(__xludf.DUMMYFUNCTION("""COMPUTED_VALUE"""),"0673289075")</f>
        <v>0673289075</v>
      </c>
      <c r="AG628" s="12" t="str">
        <f>IFERROR(__xludf.DUMMYFUNCTION("""COMPUTED_VALUE"""),"Olga")</f>
        <v>Olga</v>
      </c>
      <c r="AH628" s="12" t="str">
        <f>IFERROR(__xludf.DUMMYFUNCTION("""COMPUTED_VALUE"""),"Lucía")</f>
        <v>Lucía</v>
      </c>
      <c r="AI628" s="6" t="str">
        <f>IFERROR(__xludf.DUMMYFUNCTION("""COMPUTED_VALUE"""),"Fernández Cárdenas")</f>
        <v>Fernández Cárdenas</v>
      </c>
      <c r="AJ628" s="6" t="str">
        <f>IFERROR(__xludf.DUMMYFUNCTION("""COMPUTED_VALUE"""),"chiaquindio@gmail.com")</f>
        <v>chiaquindio@gmail.com</v>
      </c>
      <c r="AK628" s="6" t="str">
        <f>IFERROR(__xludf.DUMMYFUNCTION("""COMPUTED_VALUE"""),"Contador publico")</f>
        <v>Contador publico</v>
      </c>
      <c r="AL628" s="6" t="str">
        <f>IFERROR(__xludf.DUMMYFUNCTION("""COMPUTED_VALUE"""),"inversiones Barrios Fernandez")</f>
        <v>inversiones Barrios Fernandez</v>
      </c>
      <c r="AM628" s="12" t="str">
        <f>IFERROR(__xludf.DUMMYFUNCTION("""COMPUTED_VALUE"""),"41936607")</f>
        <v>41936607</v>
      </c>
      <c r="AN628" s="12" t="str">
        <f>IFERROR(__xludf.DUMMYFUNCTION("""COMPUTED_VALUE"""),"3103820218")</f>
        <v>3103820218</v>
      </c>
      <c r="AO628" s="6" t="str">
        <f>IFERROR(__xludf.DUMMYFUNCTION("""COMPUTED_VALUE"""),"Madre")</f>
        <v>Madre</v>
      </c>
      <c r="AP628" s="6" t="str">
        <f>IFERROR(__xludf.DUMMYFUNCTION("""COMPUTED_VALUE"""),"Estudiante(s): Barrios Fernández")</f>
        <v>Estudiante(s): Barrios Fernández</v>
      </c>
      <c r="AQ628" s="6" t="str">
        <f>IFERROR(__xludf.DUMMYFUNCTION("""COMPUTED_VALUE"""),"103050*Gi")</f>
        <v>103050*Gi</v>
      </c>
      <c r="AR628" s="6" t="str">
        <f>IFERROR(__xludf.DUMMYFUNCTION("""COMPUTED_VALUE"""),"Paulo")</f>
        <v>Paulo</v>
      </c>
      <c r="AS628" s="6" t="str">
        <f>IFERROR(__xludf.DUMMYFUNCTION("""COMPUTED_VALUE"""),"César")</f>
        <v>César</v>
      </c>
      <c r="AT628" s="6" t="str">
        <f>IFERROR(__xludf.DUMMYFUNCTION("""COMPUTED_VALUE"""),"Barrios Jiménez")</f>
        <v>Barrios Jiménez</v>
      </c>
      <c r="AU628" s="6" t="str">
        <f>IFERROR(__xludf.DUMMYFUNCTION("""COMPUTED_VALUE"""),"paulobarriosj@hotmail.com")</f>
        <v>paulobarriosj@hotmail.com</v>
      </c>
      <c r="AV628" s="6" t="str">
        <f>IFERROR(__xludf.DUMMYFUNCTION("""COMPUTED_VALUE"""),"ingeniero civil")</f>
        <v>ingeniero civil</v>
      </c>
      <c r="AW628" s="6" t="str">
        <f>IFERROR(__xludf.DUMMYFUNCTION("""COMPUTED_VALUE"""),"independiente")</f>
        <v>independiente</v>
      </c>
      <c r="AX628" s="12" t="str">
        <f>IFERROR(__xludf.DUMMYFUNCTION("""COMPUTED_VALUE"""),"89001205")</f>
        <v>89001205</v>
      </c>
      <c r="AY628" s="12" t="str">
        <f>IFERROR(__xludf.DUMMYFUNCTION("""COMPUTED_VALUE"""),"3108411322")</f>
        <v>3108411322</v>
      </c>
      <c r="AZ628" s="6" t="str">
        <f>IFERROR(__xludf.DUMMYFUNCTION("""COMPUTED_VALUE"""),"Padre")</f>
        <v>Padre</v>
      </c>
      <c r="BA628" s="6"/>
      <c r="BB628" s="6"/>
      <c r="BC628" s="6"/>
      <c r="BD628" s="12" t="str">
        <f>IFERROR(__xludf.DUMMYFUNCTION("""COMPUTED_VALUE"""),"bar0006")</f>
        <v>bar0006</v>
      </c>
      <c r="BE628" s="6"/>
      <c r="BF628" s="6"/>
      <c r="BG628" s="6">
        <f>IFERROR(__xludf.DUMMYFUNCTION("""COMPUTED_VALUE"""),2030.0)</f>
        <v>2030</v>
      </c>
      <c r="BH628" s="15">
        <f>IFERROR(__xludf.DUMMYFUNCTION("""COMPUTED_VALUE"""),46191.344201388885)</f>
        <v>46191.3442</v>
      </c>
      <c r="BI628" s="6">
        <f>IFERROR(__xludf.DUMMYFUNCTION("""COMPUTED_VALUE"""),629.0)</f>
        <v>629</v>
      </c>
      <c r="BJ628" s="6"/>
      <c r="BK628" s="6"/>
      <c r="BL628" s="6" t="str">
        <f>IFERROR(__xludf.DUMMYFUNCTION("""COMPUTED_VALUE"""),"GISBAR0006")</f>
        <v>GISBAR0006</v>
      </c>
      <c r="BM628" s="6"/>
      <c r="BN628" s="6"/>
      <c r="BO628" s="6" t="str">
        <f>IFERROR(__xludf.DUMMYFUNCTION("""COMPUTED_VALUE"""),"XC_HS_Voleibol_F")</f>
        <v>XC_HS_Voleibol_F</v>
      </c>
      <c r="BP628" s="6"/>
      <c r="BQ628" s="6" t="str">
        <f>IFERROR(__xludf.DUMMYFUNCTION("""COMPUTED_VALUE"""),"XC_HS_Voleibol_F")</f>
        <v>XC_HS_Voleibol_F</v>
      </c>
      <c r="BR628" s="6" t="str">
        <f>IFERROR(__xludf.DUMMYFUNCTION("""COMPUTED_VALUE"""),"XC_HS_Voleibol_F")</f>
        <v>XC_HS_Voleibol_F</v>
      </c>
      <c r="BS628" s="6"/>
      <c r="BT628" s="6" t="str">
        <f>IFERROR(__xludf.DUMMYFUNCTION("""COMPUTED_VALUE"""),"XC_HS_Voleibol_F")</f>
        <v>XC_HS_Voleibol_F</v>
      </c>
      <c r="BU628" s="6" t="str">
        <f>IFERROR(__xludf.DUMMYFUNCTION("""COMPUTED_VALUE"""),"SI")</f>
        <v>SI</v>
      </c>
      <c r="BV628" s="6" t="str">
        <f>IFERROR(__xludf.DUMMYFUNCTION("""COMPUTED_VALUE"""),"lucia.b2030")</f>
        <v>lucia.b2030</v>
      </c>
      <c r="BW628" s="6"/>
      <c r="BX628" s="6"/>
      <c r="BY628" s="6"/>
      <c r="BZ628" s="6"/>
    </row>
    <row r="629">
      <c r="A629" s="12">
        <f>IFERROR(__xludf.DUMMYFUNCTION("""COMPUTED_VALUE"""),1.094987532E9)</f>
        <v>1094987532</v>
      </c>
      <c r="B629" s="6">
        <f>IFERROR(__xludf.DUMMYFUNCTION("""COMPUTED_VALUE"""),8.0)</f>
        <v>8</v>
      </c>
      <c r="C629" s="6" t="str">
        <f>IFERROR(__xludf.DUMMYFUNCTION("""COMPUTED_VALUE"""),"Andrea")</f>
        <v>Andrea</v>
      </c>
      <c r="D629" s="6"/>
      <c r="E629" s="6" t="str">
        <f>IFERROR(__xludf.DUMMYFUNCTION("""COMPUTED_VALUE"""),"Bautista")</f>
        <v>Bautista</v>
      </c>
      <c r="F629" s="6" t="str">
        <f>IFERROR(__xludf.DUMMYFUNCTION("""COMPUTED_VALUE"""),"Cra 1Nte -00 Las Lomas - Fundadores")</f>
        <v>Cra 1Nte -00 Las Lomas - Fundadores</v>
      </c>
      <c r="G629" s="12" t="str">
        <f>IFERROR(__xludf.DUMMYFUNCTION("""COMPUTED_VALUE"""),"2012")</f>
        <v>2012</v>
      </c>
      <c r="H629" s="6" t="str">
        <f>IFERROR(__xludf.DUMMYFUNCTION("""COMPUTED_VALUE"""),"Agosto")</f>
        <v>Agosto</v>
      </c>
      <c r="I629" s="12" t="str">
        <f>IFERROR(__xludf.DUMMYFUNCTION("""COMPUTED_VALUE"""),"30")</f>
        <v>30</v>
      </c>
      <c r="J629" s="6" t="str">
        <f>IFERROR(__xludf.DUMMYFUNCTION("""COMPUTED_VALUE"""),"Florida")</f>
        <v>Florida</v>
      </c>
      <c r="K629" s="6" t="str">
        <f>IFERROR(__xludf.DUMMYFUNCTION("""COMPUTED_VALUE"""),"andrea.b2030@gi.edu.co")</f>
        <v>andrea.b2030@gi.edu.co</v>
      </c>
      <c r="L629" s="6" t="str">
        <f>IFERROR(__xludf.DUMMYFUNCTION("""COMPUTED_VALUE"""),"TI")</f>
        <v>TI</v>
      </c>
      <c r="M629" s="6" t="str">
        <f>IFERROR(__xludf.DUMMYFUNCTION("""COMPUTED_VALUE"""),"Pembroke Pines")</f>
        <v>Pembroke Pines</v>
      </c>
      <c r="N629" s="6" t="str">
        <f>IFERROR(__xludf.DUMMYFUNCTION("""COMPUTED_VALUE"""),"F")</f>
        <v>F</v>
      </c>
      <c r="O629" s="6" t="str">
        <f>IFERROR(__xludf.DUMMYFUNCTION("""COMPUTED_VALUE"""),"INACTIVE")</f>
        <v>INACTIVE</v>
      </c>
      <c r="P629" s="6"/>
      <c r="Q629" s="6" t="str">
        <f>IFERROR(__xludf.DUMMYFUNCTION("""COMPUTED_VALUE"""),"Armenia")</f>
        <v>Armenia</v>
      </c>
      <c r="R629" s="12" t="str">
        <f>IFERROR(__xludf.DUMMYFUNCTION("""COMPUTED_VALUE"""),"Gic11rtn*")</f>
        <v>Gic11rtn*</v>
      </c>
      <c r="S629" s="6" t="str">
        <f>IFERROR(__xludf.DUMMYFUNCTION("""COMPUTED_VALUE"""),"Bautista Andrea ")</f>
        <v>Bautista Andrea </v>
      </c>
      <c r="T629" s="6" t="str">
        <f>IFERROR(__xludf.DUMMYFUNCTION("""COMPUTED_VALUE"""),"EDUARDO BAUTISTA MEJIA")</f>
        <v>EDUARDO BAUTISTA MEJIA</v>
      </c>
      <c r="U629" s="12" t="str">
        <f>IFERROR(__xludf.DUMMYFUNCTION("""COMPUTED_VALUE"""),"89008712")</f>
        <v>89008712</v>
      </c>
      <c r="V629" s="6" t="str">
        <f>IFERROR(__xludf.DUMMYFUNCTION("""COMPUTED_VALUE""")," +1 954 2267765")</f>
        <v> +1 954 2267765</v>
      </c>
      <c r="W629" s="6" t="str">
        <f>IFERROR(__xludf.DUMMYFUNCTION("""COMPUTED_VALUE"""),"poligon.usa@gmail.com")</f>
        <v>poligon.usa@gmail.com</v>
      </c>
      <c r="X629" s="12" t="str">
        <f>IFERROR(__xludf.DUMMYFUNCTION("""COMPUTED_VALUE"""),"O+")</f>
        <v>O+</v>
      </c>
      <c r="Y629" s="12" t="str">
        <f>IFERROR(__xludf.DUMMYFUNCTION("""COMPUTED_VALUE"""),"9")</f>
        <v>9</v>
      </c>
      <c r="Z629" s="12">
        <f>IFERROR(__xludf.DUMMYFUNCTION("""COMPUTED_VALUE"""),120512.0)</f>
        <v>120512</v>
      </c>
      <c r="AA629" s="6" t="str">
        <f>IFERROR(__xludf.DUMMYFUNCTION("""COMPUTED_VALUE"""),"OTRA")</f>
        <v>OTRA</v>
      </c>
      <c r="AB629" s="6"/>
      <c r="AC629" s="6"/>
      <c r="AD629" s="12" t="str">
        <f>IFERROR(__xludf.DUMMYFUNCTION("""COMPUTED_VALUE"""),"9A")</f>
        <v>9A</v>
      </c>
      <c r="AE629" s="6" t="str">
        <f>IFERROR(__xludf.DUMMYFUNCTION("""COMPUTED_VALUE"""),"1345282511")</f>
        <v>1345282511</v>
      </c>
      <c r="AF629" s="6"/>
      <c r="AG629" s="12" t="str">
        <f>IFERROR(__xludf.DUMMYFUNCTION("""COMPUTED_VALUE"""),"Lina")</f>
        <v>Lina</v>
      </c>
      <c r="AH629" s="12" t="str">
        <f>IFERROR(__xludf.DUMMYFUNCTION("""COMPUTED_VALUE"""),"María")</f>
        <v>María</v>
      </c>
      <c r="AI629" s="6" t="str">
        <f>IFERROR(__xludf.DUMMYFUNCTION("""COMPUTED_VALUE"""),"Medina Jaramillo")</f>
        <v>Medina Jaramillo</v>
      </c>
      <c r="AJ629" s="6" t="str">
        <f>IFERROR(__xludf.DUMMYFUNCTION("""COMPUTED_VALUE"""),"linamariamedina78@gmail.com")</f>
        <v>linamariamedina78@gmail.com</v>
      </c>
      <c r="AK629" s="6" t="str">
        <f>IFERROR(__xludf.DUMMYFUNCTION("""COMPUTED_VALUE"""),"Enfermera")</f>
        <v>Enfermera</v>
      </c>
      <c r="AL629" s="6" t="str">
        <f>IFERROR(__xludf.DUMMYFUNCTION("""COMPUTED_VALUE"""),"Jackson Memorial Hospital")</f>
        <v>Jackson Memorial Hospital</v>
      </c>
      <c r="AM629" s="12" t="str">
        <f>IFERROR(__xludf.DUMMYFUNCTION("""COMPUTED_VALUE"""),"41941214")</f>
        <v>41941214</v>
      </c>
      <c r="AN629" s="12" t="str">
        <f>IFERROR(__xludf.DUMMYFUNCTION("""COMPUTED_VALUE"""),"9542379014")</f>
        <v>9542379014</v>
      </c>
      <c r="AO629" s="6" t="str">
        <f>IFERROR(__xludf.DUMMYFUNCTION("""COMPUTED_VALUE"""),"Madre")</f>
        <v>Madre</v>
      </c>
      <c r="AP629" s="6" t="str">
        <f>IFERROR(__xludf.DUMMYFUNCTION("""COMPUTED_VALUE"""),"Estudiante(s): Bautista Medina")</f>
        <v>Estudiante(s): Bautista Medina</v>
      </c>
      <c r="AQ629" s="6" t="str">
        <f>IFERROR(__xludf.DUMMYFUNCTION("""COMPUTED_VALUE"""),"120512*Gi")</f>
        <v>120512*Gi</v>
      </c>
      <c r="AR629" s="6" t="str">
        <f>IFERROR(__xludf.DUMMYFUNCTION("""COMPUTED_VALUE"""),"Eduardo")</f>
        <v>Eduardo</v>
      </c>
      <c r="AS629" s="6"/>
      <c r="AT629" s="6" t="str">
        <f>IFERROR(__xludf.DUMMYFUNCTION("""COMPUTED_VALUE"""),"Bautista Mejía")</f>
        <v>Bautista Mejía</v>
      </c>
      <c r="AU629" s="6" t="str">
        <f>IFERROR(__xludf.DUMMYFUNCTION("""COMPUTED_VALUE"""),"poligon.usa@gmail.com")</f>
        <v>poligon.usa@gmail.com</v>
      </c>
      <c r="AV629" s="6" t="str">
        <f>IFERROR(__xludf.DUMMYFUNCTION("""COMPUTED_VALUE"""),"Ingeniero")</f>
        <v>Ingeniero</v>
      </c>
      <c r="AW629" s="6" t="str">
        <f>IFERROR(__xludf.DUMMYFUNCTION("""COMPUTED_VALUE"""),"Broward Landscape and Design")</f>
        <v>Broward Landscape and Design</v>
      </c>
      <c r="AX629" s="12" t="str">
        <f>IFERROR(__xludf.DUMMYFUNCTION("""COMPUTED_VALUE"""),"89008712")</f>
        <v>89008712</v>
      </c>
      <c r="AY629" s="12" t="str">
        <f>IFERROR(__xludf.DUMMYFUNCTION("""COMPUTED_VALUE"""),"9542267765")</f>
        <v>9542267765</v>
      </c>
      <c r="AZ629" s="6" t="str">
        <f>IFERROR(__xludf.DUMMYFUNCTION("""COMPUTED_VALUE"""),"Padre")</f>
        <v>Padre</v>
      </c>
      <c r="BA629" s="6"/>
      <c r="BB629" s="6"/>
      <c r="BC629" s="6"/>
      <c r="BD629" s="12" t="str">
        <f>IFERROR(__xludf.DUMMYFUNCTION("""COMPUTED_VALUE"""),"bau0002")</f>
        <v>bau0002</v>
      </c>
      <c r="BE629" s="6" t="str">
        <f>IFERROR(__xludf.DUMMYFUNCTION("""COMPUTED_VALUE"""),"FALTAN FIRMAS")</f>
        <v>FALTAN FIRMAS</v>
      </c>
      <c r="BF629" s="6"/>
      <c r="BG629" s="6">
        <f>IFERROR(__xludf.DUMMYFUNCTION("""COMPUTED_VALUE"""),2030.0)</f>
        <v>2030</v>
      </c>
      <c r="BH629" s="15">
        <f>IFERROR(__xludf.DUMMYFUNCTION("""COMPUTED_VALUE"""),46244.403865740744)</f>
        <v>46244.40387</v>
      </c>
      <c r="BI629" s="6">
        <f>IFERROR(__xludf.DUMMYFUNCTION("""COMPUTED_VALUE"""),630.0)</f>
        <v>630</v>
      </c>
      <c r="BJ629" s="6"/>
      <c r="BK629" s="6"/>
      <c r="BL629" s="6" t="str">
        <f>IFERROR(__xludf.DUMMYFUNCTION("""COMPUTED_VALUE"""),"GISBAU0002")</f>
        <v>GISBAU0002</v>
      </c>
      <c r="BM629" s="6"/>
      <c r="BN629" s="6"/>
      <c r="BO629" s="6"/>
      <c r="BP629" s="6"/>
      <c r="BQ629" s="6"/>
      <c r="BR629" s="6"/>
      <c r="BS629" s="6"/>
      <c r="BT629" s="6"/>
      <c r="BU629" s="6" t="str">
        <f>IFERROR(__xludf.DUMMYFUNCTION("""COMPUTED_VALUE"""),"SI")</f>
        <v>SI</v>
      </c>
      <c r="BV629" s="6" t="str">
        <f>IFERROR(__xludf.DUMMYFUNCTION("""COMPUTED_VALUE"""),"andrea.b2030")</f>
        <v>andrea.b2030</v>
      </c>
      <c r="BW629" s="6"/>
      <c r="BX629" s="6"/>
      <c r="BY629" s="6"/>
      <c r="BZ629" s="6"/>
    </row>
    <row r="630">
      <c r="A630" s="12">
        <f>IFERROR(__xludf.DUMMYFUNCTION("""COMPUTED_VALUE"""),1.109925044E9)</f>
        <v>1109925044</v>
      </c>
      <c r="B630" s="6">
        <f>IFERROR(__xludf.DUMMYFUNCTION("""COMPUTED_VALUE"""),9.0)</f>
        <v>9</v>
      </c>
      <c r="C630" s="6" t="str">
        <f>IFERROR(__xludf.DUMMYFUNCTION("""COMPUTED_VALUE"""),"Manuela")</f>
        <v>Manuela</v>
      </c>
      <c r="D630" s="6"/>
      <c r="E630" s="6" t="str">
        <f>IFERROR(__xludf.DUMMYFUNCTION("""COMPUTED_VALUE"""),"Camacho Loaiza")</f>
        <v>Camacho Loaiza</v>
      </c>
      <c r="F630" s="6" t="str">
        <f>IFERROR(__xludf.DUMMYFUNCTION("""COMPUTED_VALUE"""),"Condominio Campestre Reserva del Bosque Casa 23 - Km 3 Via Armenia - Pereira")</f>
        <v>Condominio Campestre Reserva del Bosque Casa 23 - Km 3 Via Armenia - Pereira</v>
      </c>
      <c r="G630" s="12" t="str">
        <f>IFERROR(__xludf.DUMMYFUNCTION("""COMPUTED_VALUE"""),"2011")</f>
        <v>2011</v>
      </c>
      <c r="H630" s="6" t="str">
        <f>IFERROR(__xludf.DUMMYFUNCTION("""COMPUTED_VALUE"""),"Octubre")</f>
        <v>Octubre</v>
      </c>
      <c r="I630" s="12" t="str">
        <f>IFERROR(__xludf.DUMMYFUNCTION("""COMPUTED_VALUE"""),"21")</f>
        <v>21</v>
      </c>
      <c r="J630" s="6" t="str">
        <f>IFERROR(__xludf.DUMMYFUNCTION("""COMPUTED_VALUE"""),"Cali")</f>
        <v>Cali</v>
      </c>
      <c r="K630" s="6" t="str">
        <f>IFERROR(__xludf.DUMMYFUNCTION("""COMPUTED_VALUE"""),"manuela.c2030@gi.edu.co")</f>
        <v>manuela.c2030@gi.edu.co</v>
      </c>
      <c r="L630" s="6" t="str">
        <f>IFERROR(__xludf.DUMMYFUNCTION("""COMPUTED_VALUE"""),"TI")</f>
        <v>TI</v>
      </c>
      <c r="M630" s="6" t="str">
        <f>IFERROR(__xludf.DUMMYFUNCTION("""COMPUTED_VALUE"""),"Armenia")</f>
        <v>Armenia</v>
      </c>
      <c r="N630" s="6" t="str">
        <f>IFERROR(__xludf.DUMMYFUNCTION("""COMPUTED_VALUE"""),"F")</f>
        <v>F</v>
      </c>
      <c r="O630" s="6" t="str">
        <f>IFERROR(__xludf.DUMMYFUNCTION("""COMPUTED_VALUE"""),"ACTIVE")</f>
        <v>ACTIVE</v>
      </c>
      <c r="P630" s="6"/>
      <c r="Q630" s="6" t="str">
        <f>IFERROR(__xludf.DUMMYFUNCTION("""COMPUTED_VALUE"""),"Armenia")</f>
        <v>Armenia</v>
      </c>
      <c r="R630" s="12" t="str">
        <f>IFERROR(__xludf.DUMMYFUNCTION("""COMPUTED_VALUE"""),"Gifjf5ierc8*")</f>
        <v>Gifjf5ierc8*</v>
      </c>
      <c r="S630" s="6" t="str">
        <f>IFERROR(__xludf.DUMMYFUNCTION("""COMPUTED_VALUE"""),"Camacho Loaiza Manuela ")</f>
        <v>Camacho Loaiza Manuela </v>
      </c>
      <c r="T630" s="6" t="str">
        <f>IFERROR(__xludf.DUMMYFUNCTION("""COMPUTED_VALUE"""),"MAURICIO JOSE CAMACHO RAMIREZ")</f>
        <v>MAURICIO JOSE CAMACHO RAMIREZ</v>
      </c>
      <c r="U630" s="12" t="str">
        <f>IFERROR(__xludf.DUMMYFUNCTION("""COMPUTED_VALUE"""),"94515710")</f>
        <v>94515710</v>
      </c>
      <c r="V630" s="6">
        <f>IFERROR(__xludf.DUMMYFUNCTION("""COMPUTED_VALUE"""),3.148144885E9)</f>
        <v>3148144885</v>
      </c>
      <c r="W630" s="6" t="str">
        <f>IFERROR(__xludf.DUMMYFUNCTION("""COMPUTED_VALUE"""),"mauriciocamacho@hotmail.com")</f>
        <v>mauriciocamacho@hotmail.com</v>
      </c>
      <c r="X630" s="12" t="str">
        <f>IFERROR(__xludf.DUMMYFUNCTION("""COMPUTED_VALUE"""),"O+")</f>
        <v>O+</v>
      </c>
      <c r="Y630" s="12" t="str">
        <f>IFERROR(__xludf.DUMMYFUNCTION("""COMPUTED_VALUE"""),"9")</f>
        <v>9</v>
      </c>
      <c r="Z630" s="12">
        <f>IFERROR(__xludf.DUMMYFUNCTION("""COMPUTED_VALUE"""),120048.0)</f>
        <v>120048</v>
      </c>
      <c r="AA630" s="6" t="str">
        <f>IFERROR(__xludf.DUMMYFUNCTION("""COMPUTED_VALUE"""),"SANITAS")</f>
        <v>SANITAS</v>
      </c>
      <c r="AB630" s="6"/>
      <c r="AC630" s="6"/>
      <c r="AD630" s="12" t="str">
        <f>IFERROR(__xludf.DUMMYFUNCTION("""COMPUTED_VALUE"""),"9A")</f>
        <v>9A</v>
      </c>
      <c r="AE630" s="12">
        <f>IFERROR(__xludf.DUMMYFUNCTION("""COMPUTED_VALUE"""),1.345282054E9)</f>
        <v>1345282054</v>
      </c>
      <c r="AF630" s="12" t="str">
        <f>IFERROR(__xludf.DUMMYFUNCTION("""COMPUTED_VALUE"""),"0699147011")</f>
        <v>0699147011</v>
      </c>
      <c r="AG630" s="12" t="str">
        <f>IFERROR(__xludf.DUMMYFUNCTION("""COMPUTED_VALUE"""),"Diana")</f>
        <v>Diana</v>
      </c>
      <c r="AH630" s="12" t="str">
        <f>IFERROR(__xludf.DUMMYFUNCTION("""COMPUTED_VALUE"""),"Marcela")</f>
        <v>Marcela</v>
      </c>
      <c r="AI630" s="6" t="str">
        <f>IFERROR(__xludf.DUMMYFUNCTION("""COMPUTED_VALUE"""),"Loaiza Valderrama")</f>
        <v>Loaiza Valderrama</v>
      </c>
      <c r="AJ630" s="6" t="str">
        <f>IFERROR(__xludf.DUMMYFUNCTION("""COMPUTED_VALUE"""),"marketing@hotelsalentoreal.com")</f>
        <v>marketing@hotelsalentoreal.com</v>
      </c>
      <c r="AK630" s="6" t="str">
        <f>IFERROR(__xludf.DUMMYFUNCTION("""COMPUTED_VALUE"""),"Administrador")</f>
        <v>Administrador</v>
      </c>
      <c r="AL630" s="6" t="str">
        <f>IFERROR(__xludf.DUMMYFUNCTION("""COMPUTED_VALUE"""),"Hotel Salento Real")</f>
        <v>Hotel Salento Real</v>
      </c>
      <c r="AM630" s="12" t="str">
        <f>IFERROR(__xludf.DUMMYFUNCTION("""COMPUTED_VALUE"""),"31588315")</f>
        <v>31588315</v>
      </c>
      <c r="AN630" s="12" t="str">
        <f>IFERROR(__xludf.DUMMYFUNCTION("""COMPUTED_VALUE"""),"3187265673")</f>
        <v>3187265673</v>
      </c>
      <c r="AO630" s="6" t="str">
        <f>IFERROR(__xludf.DUMMYFUNCTION("""COMPUTED_VALUE"""),"Madre")</f>
        <v>Madre</v>
      </c>
      <c r="AP630" s="6" t="str">
        <f>IFERROR(__xludf.DUMMYFUNCTION("""COMPUTED_VALUE"""),"Estudiante(s): Camacho Loaiza")</f>
        <v>Estudiante(s): Camacho Loaiza</v>
      </c>
      <c r="AQ630" s="6" t="str">
        <f>IFERROR(__xludf.DUMMYFUNCTION("""COMPUTED_VALUE"""),"120042*Gi")</f>
        <v>120042*Gi</v>
      </c>
      <c r="AR630" s="6" t="str">
        <f>IFERROR(__xludf.DUMMYFUNCTION("""COMPUTED_VALUE"""),"Mauricio")</f>
        <v>Mauricio</v>
      </c>
      <c r="AS630" s="6" t="str">
        <f>IFERROR(__xludf.DUMMYFUNCTION("""COMPUTED_VALUE"""),"José")</f>
        <v>José</v>
      </c>
      <c r="AT630" s="6" t="str">
        <f>IFERROR(__xludf.DUMMYFUNCTION("""COMPUTED_VALUE"""),"Camacho Ramírez")</f>
        <v>Camacho Ramírez</v>
      </c>
      <c r="AU630" s="6" t="str">
        <f>IFERROR(__xludf.DUMMYFUNCTION("""COMPUTED_VALUE"""),"mauriciocamacho@hotmail.com")</f>
        <v>mauriciocamacho@hotmail.com</v>
      </c>
      <c r="AV630" s="6" t="str">
        <f>IFERROR(__xludf.DUMMYFUNCTION("""COMPUTED_VALUE"""),"Administrador")</f>
        <v>Administrador</v>
      </c>
      <c r="AW630" s="6" t="str">
        <f>IFERROR(__xludf.DUMMYFUNCTION("""COMPUTED_VALUE"""),"Hotel Salento Real")</f>
        <v>Hotel Salento Real</v>
      </c>
      <c r="AX630" s="12" t="str">
        <f>IFERROR(__xludf.DUMMYFUNCTION("""COMPUTED_VALUE"""),"94515710")</f>
        <v>94515710</v>
      </c>
      <c r="AY630" s="12" t="str">
        <f>IFERROR(__xludf.DUMMYFUNCTION("""COMPUTED_VALUE"""),"3148144885")</f>
        <v>3148144885</v>
      </c>
      <c r="AZ630" s="6" t="str">
        <f>IFERROR(__xludf.DUMMYFUNCTION("""COMPUTED_VALUE"""),"Padre")</f>
        <v>Padre</v>
      </c>
      <c r="BA630" s="6"/>
      <c r="BB630" s="6"/>
      <c r="BC630" s="6"/>
      <c r="BD630" s="12" t="str">
        <f>IFERROR(__xludf.DUMMYFUNCTION("""COMPUTED_VALUE"""),"cam0001")</f>
        <v>cam0001</v>
      </c>
      <c r="BE630" s="6" t="str">
        <f>IFERROR(__xludf.DUMMYFUNCTION("""COMPUTED_VALUE"""),"PÓLIZA")</f>
        <v>PÓLIZA</v>
      </c>
      <c r="BF630" s="12" t="str">
        <f>IFERROR(__xludf.DUMMYFUNCTION("""COMPUTED_VALUE"""),"PÓLIZA")</f>
        <v>PÓLIZA</v>
      </c>
      <c r="BG630" s="6">
        <f>IFERROR(__xludf.DUMMYFUNCTION("""COMPUTED_VALUE"""),2030.0)</f>
        <v>2030</v>
      </c>
      <c r="BH630" s="15">
        <f>IFERROR(__xludf.DUMMYFUNCTION("""COMPUTED_VALUE"""),46209.619722222225)</f>
        <v>46209.61972</v>
      </c>
      <c r="BI630" s="6">
        <f>IFERROR(__xludf.DUMMYFUNCTION("""COMPUTED_VALUE"""),631.0)</f>
        <v>631</v>
      </c>
      <c r="BJ630" s="6"/>
      <c r="BK630" s="6"/>
      <c r="BL630" s="6" t="str">
        <f>IFERROR(__xludf.DUMMYFUNCTION("""COMPUTED_VALUE"""),"GISCAM0001")</f>
        <v>GISCAM0001</v>
      </c>
      <c r="BM630" s="6"/>
      <c r="BN630" s="6"/>
      <c r="BO630" s="6"/>
      <c r="BP630" s="6"/>
      <c r="BQ630" s="6"/>
      <c r="BR630" s="6"/>
      <c r="BS630" s="6"/>
      <c r="BT630" s="6"/>
      <c r="BU630" s="6" t="str">
        <f>IFERROR(__xludf.DUMMYFUNCTION("""COMPUTED_VALUE"""),"SI")</f>
        <v>SI</v>
      </c>
      <c r="BV630" s="6" t="str">
        <f>IFERROR(__xludf.DUMMYFUNCTION("""COMPUTED_VALUE"""),"manuela.c2030")</f>
        <v>manuela.c2030</v>
      </c>
      <c r="BW630" s="6"/>
      <c r="BX630" s="6"/>
      <c r="BY630" s="6"/>
      <c r="BZ630" s="6"/>
    </row>
    <row r="631">
      <c r="A631" s="12">
        <f>IFERROR(__xludf.DUMMYFUNCTION("""COMPUTED_VALUE"""),1.014880955E9)</f>
        <v>1014880955</v>
      </c>
      <c r="B631" s="6">
        <f>IFERROR(__xludf.DUMMYFUNCTION("""COMPUTED_VALUE"""),10.0)</f>
        <v>10</v>
      </c>
      <c r="C631" s="6" t="str">
        <f>IFERROR(__xludf.DUMMYFUNCTION("""COMPUTED_VALUE"""),"Celeste")</f>
        <v>Celeste</v>
      </c>
      <c r="D631" s="6"/>
      <c r="E631" s="6" t="str">
        <f>IFERROR(__xludf.DUMMYFUNCTION("""COMPUTED_VALUE"""),"Carmona Suárez")</f>
        <v>Carmona Suárez</v>
      </c>
      <c r="F631" s="6" t="str">
        <f>IFERROR(__xludf.DUMMYFUNCTION("""COMPUTED_VALUE"""),"Condominio Campestre La Reserva Casa 15 - Cra 5 No10Nte - 25 Av Centenario")</f>
        <v>Condominio Campestre La Reserva Casa 15 - Cra 5 No10Nte - 25 Av Centenario</v>
      </c>
      <c r="G631" s="12" t="str">
        <f>IFERROR(__xludf.DUMMYFUNCTION("""COMPUTED_VALUE"""),"2012")</f>
        <v>2012</v>
      </c>
      <c r="H631" s="6" t="str">
        <f>IFERROR(__xludf.DUMMYFUNCTION("""COMPUTED_VALUE"""),"Enero")</f>
        <v>Enero</v>
      </c>
      <c r="I631" s="12" t="str">
        <f>IFERROR(__xludf.DUMMYFUNCTION("""COMPUTED_VALUE"""),"19")</f>
        <v>19</v>
      </c>
      <c r="J631" s="6" t="str">
        <f>IFERROR(__xludf.DUMMYFUNCTION("""COMPUTED_VALUE"""),"Armenia")</f>
        <v>Armenia</v>
      </c>
      <c r="K631" s="6" t="str">
        <f>IFERROR(__xludf.DUMMYFUNCTION("""COMPUTED_VALUE"""),"celeste.c2030@gi.edu.co")</f>
        <v>celeste.c2030@gi.edu.co</v>
      </c>
      <c r="L631" s="6" t="str">
        <f>IFERROR(__xludf.DUMMYFUNCTION("""COMPUTED_VALUE"""),"RC")</f>
        <v>RC</v>
      </c>
      <c r="M631" s="6" t="str">
        <f>IFERROR(__xludf.DUMMYFUNCTION("""COMPUTED_VALUE"""),"Armenia")</f>
        <v>Armenia</v>
      </c>
      <c r="N631" s="6" t="str">
        <f>IFERROR(__xludf.DUMMYFUNCTION("""COMPUTED_VALUE"""),"F")</f>
        <v>F</v>
      </c>
      <c r="O631" s="6" t="str">
        <f>IFERROR(__xludf.DUMMYFUNCTION("""COMPUTED_VALUE"""),"INACTIVE")</f>
        <v>INACTIVE</v>
      </c>
      <c r="P631" s="6"/>
      <c r="Q631" s="6" t="str">
        <f>IFERROR(__xludf.DUMMYFUNCTION("""COMPUTED_VALUE"""),"Armenia")</f>
        <v>Armenia</v>
      </c>
      <c r="R631" s="12" t="str">
        <f>IFERROR(__xludf.DUMMYFUNCTION("""COMPUTED_VALUE"""),"Gi4321trew*")</f>
        <v>Gi4321trew*</v>
      </c>
      <c r="S631" s="6" t="str">
        <f>IFERROR(__xludf.DUMMYFUNCTION("""COMPUTED_VALUE"""),"Carmona Suárez Celeste ")</f>
        <v>Carmona Suárez Celeste </v>
      </c>
      <c r="T631" s="6" t="str">
        <f>IFERROR(__xludf.DUMMYFUNCTION("""COMPUTED_VALUE"""),"HEIDI TATIANA SUAREZ GAITAN")</f>
        <v>HEIDI TATIANA SUAREZ GAITAN</v>
      </c>
      <c r="U631" s="12" t="str">
        <f>IFERROR(__xludf.DUMMYFUNCTION("""COMPUTED_VALUE"""),"53001706")</f>
        <v>53001706</v>
      </c>
      <c r="V631" s="6">
        <f>IFERROR(__xludf.DUMMYFUNCTION("""COMPUTED_VALUE"""),3.124487323E9)</f>
        <v>3124487323</v>
      </c>
      <c r="W631" s="6" t="str">
        <f>IFERROR(__xludf.DUMMYFUNCTION("""COMPUTED_VALUE"""),"hetasuga@gmail.com")</f>
        <v>hetasuga@gmail.com</v>
      </c>
      <c r="X631" s="12" t="str">
        <f>IFERROR(__xludf.DUMMYFUNCTION("""COMPUTED_VALUE"""),"O+")</f>
        <v>O+</v>
      </c>
      <c r="Y631" s="12" t="str">
        <f>IFERROR(__xludf.DUMMYFUNCTION("""COMPUTED_VALUE"""),"9")</f>
        <v>9</v>
      </c>
      <c r="Z631" s="12">
        <f>IFERROR(__xludf.DUMMYFUNCTION("""COMPUTED_VALUE"""),103114.0)</f>
        <v>103114</v>
      </c>
      <c r="AA631" s="6" t="str">
        <f>IFERROR(__xludf.DUMMYFUNCTION("""COMPUTED_VALUE"""),"SURA")</f>
        <v>SURA</v>
      </c>
      <c r="AB631" s="6" t="str">
        <f>IFERROR(__xludf.DUMMYFUNCTION("""COMPUTED_VALUE"""),"EMI")</f>
        <v>EMI</v>
      </c>
      <c r="AC631" s="6"/>
      <c r="AD631" s="12" t="str">
        <f>IFERROR(__xludf.DUMMYFUNCTION("""COMPUTED_VALUE"""),"9B")</f>
        <v>9B</v>
      </c>
      <c r="AE631" s="12">
        <f>IFERROR(__xludf.DUMMYFUNCTION("""COMPUTED_VALUE"""),1.345281519E9)</f>
        <v>1345281519</v>
      </c>
      <c r="AF631" s="12" t="str">
        <f>IFERROR(__xludf.DUMMYFUNCTION("""COMPUTED_VALUE"""),"0677765139")</f>
        <v>0677765139</v>
      </c>
      <c r="AG631" s="12" t="str">
        <f>IFERROR(__xludf.DUMMYFUNCTION("""COMPUTED_VALUE"""),"Heidi")</f>
        <v>Heidi</v>
      </c>
      <c r="AH631" s="12" t="str">
        <f>IFERROR(__xludf.DUMMYFUNCTION("""COMPUTED_VALUE"""),"Tatiana")</f>
        <v>Tatiana</v>
      </c>
      <c r="AI631" s="6" t="str">
        <f>IFERROR(__xludf.DUMMYFUNCTION("""COMPUTED_VALUE"""),"Suárez Gaitán")</f>
        <v>Suárez Gaitán</v>
      </c>
      <c r="AJ631" s="6" t="str">
        <f>IFERROR(__xludf.DUMMYFUNCTION("""COMPUTED_VALUE"""),"hetasuga@gmail.com")</f>
        <v>hetasuga@gmail.com</v>
      </c>
      <c r="AK631" s="6" t="str">
        <f>IFERROR(__xludf.DUMMYFUNCTION("""COMPUTED_VALUE"""),"ABOGADA")</f>
        <v>ABOGADA</v>
      </c>
      <c r="AL631" s="6"/>
      <c r="AM631" s="12" t="str">
        <f>IFERROR(__xludf.DUMMYFUNCTION("""COMPUTED_VALUE"""),"53001706")</f>
        <v>53001706</v>
      </c>
      <c r="AN631" s="12" t="str">
        <f>IFERROR(__xludf.DUMMYFUNCTION("""COMPUTED_VALUE"""),"3124487323")</f>
        <v>3124487323</v>
      </c>
      <c r="AO631" s="6" t="str">
        <f>IFERROR(__xludf.DUMMYFUNCTION("""COMPUTED_VALUE"""),"Madre")</f>
        <v>Madre</v>
      </c>
      <c r="AP631" s="6" t="str">
        <f>IFERROR(__xludf.DUMMYFUNCTION("""COMPUTED_VALUE"""),"Estudiante(s): Carmona Suárez")</f>
        <v>Estudiante(s): Carmona Suárez</v>
      </c>
      <c r="AQ631" s="6" t="str">
        <f>IFERROR(__xludf.DUMMYFUNCTION("""COMPUTED_VALUE"""),"103114*Gi")</f>
        <v>103114*Gi</v>
      </c>
      <c r="AR631" s="6" t="str">
        <f>IFERROR(__xludf.DUMMYFUNCTION("""COMPUTED_VALUE"""),"Alexander")</f>
        <v>Alexander</v>
      </c>
      <c r="AS631" s="6"/>
      <c r="AT631" s="6" t="str">
        <f>IFERROR(__xludf.DUMMYFUNCTION("""COMPUTED_VALUE"""),"Carmona Mendieta")</f>
        <v>Carmona Mendieta</v>
      </c>
      <c r="AU631" s="6" t="str">
        <f>IFERROR(__xludf.DUMMYFUNCTION("""COMPUTED_VALUE"""),"alexcarmona67@hotmail.com")</f>
        <v>alexcarmona67@hotmail.com</v>
      </c>
      <c r="AV631" s="6"/>
      <c r="AW631" s="6"/>
      <c r="AX631" s="12" t="str">
        <f>IFERROR(__xludf.DUMMYFUNCTION("""COMPUTED_VALUE"""),"79446692")</f>
        <v>79446692</v>
      </c>
      <c r="AY631" s="12">
        <f>IFERROR(__xludf.DUMMYFUNCTION("""COMPUTED_VALUE"""),3.204464304E9)</f>
        <v>3204464304</v>
      </c>
      <c r="AZ631" s="6" t="str">
        <f>IFERROR(__xludf.DUMMYFUNCTION("""COMPUTED_VALUE"""),"Padre")</f>
        <v>Padre</v>
      </c>
      <c r="BA631" s="6" t="str">
        <f>IFERROR(__xludf.DUMMYFUNCTION("""COMPUTED_VALUE"""),"Carmen Gaitán")</f>
        <v>Carmen Gaitán</v>
      </c>
      <c r="BB631" s="6">
        <f>IFERROR(__xludf.DUMMYFUNCTION("""COMPUTED_VALUE"""),3.204937942E9)</f>
        <v>3204937942</v>
      </c>
      <c r="BC631" s="6" t="str">
        <f>IFERROR(__xludf.DUMMYFUNCTION("""COMPUTED_VALUE"""),"Girardot")</f>
        <v>Girardot</v>
      </c>
      <c r="BD631" s="12" t="str">
        <f>IFERROR(__xludf.DUMMYFUNCTION("""COMPUTED_VALUE"""),"car0013")</f>
        <v>car0013</v>
      </c>
      <c r="BE631" s="6" t="str">
        <f>IFERROR(__xludf.DUMMYFUNCTION("""COMPUTED_VALUE"""),"FALTAN FIRMAS")</f>
        <v>FALTAN FIRMAS</v>
      </c>
      <c r="BF631" s="6"/>
      <c r="BG631" s="6">
        <f>IFERROR(__xludf.DUMMYFUNCTION("""COMPUTED_VALUE"""),2030.0)</f>
        <v>2030</v>
      </c>
      <c r="BH631" s="15">
        <f>IFERROR(__xludf.DUMMYFUNCTION("""COMPUTED_VALUE"""),46211.535162037035)</f>
        <v>46211.53516</v>
      </c>
      <c r="BI631" s="6">
        <f>IFERROR(__xludf.DUMMYFUNCTION("""COMPUTED_VALUE"""),632.0)</f>
        <v>632</v>
      </c>
      <c r="BJ631" s="6"/>
      <c r="BK631" s="6"/>
      <c r="BL631" s="6" t="str">
        <f>IFERROR(__xludf.DUMMYFUNCTION("""COMPUTED_VALUE"""),"GISCAR0013")</f>
        <v>GISCAR0013</v>
      </c>
      <c r="BM631" s="6"/>
      <c r="BN631" s="6"/>
      <c r="BO631" s="6"/>
      <c r="BP631" s="6"/>
      <c r="BQ631" s="6"/>
      <c r="BR631" s="6"/>
      <c r="BS631" s="6"/>
      <c r="BT631" s="6"/>
      <c r="BU631" s="6" t="str">
        <f>IFERROR(__xludf.DUMMYFUNCTION("""COMPUTED_VALUE"""),"SI")</f>
        <v>SI</v>
      </c>
      <c r="BV631" s="6" t="str">
        <f>IFERROR(__xludf.DUMMYFUNCTION("""COMPUTED_VALUE"""),"celeste.c2030")</f>
        <v>celeste.c2030</v>
      </c>
      <c r="BW631" s="6"/>
      <c r="BX631" s="6"/>
      <c r="BY631" s="6"/>
      <c r="BZ631" s="6"/>
    </row>
    <row r="632">
      <c r="A632" s="12">
        <f>IFERROR(__xludf.DUMMYFUNCTION("""COMPUTED_VALUE"""),1.034999292E9)</f>
        <v>1034999292</v>
      </c>
      <c r="B632" s="6">
        <f>IFERROR(__xludf.DUMMYFUNCTION("""COMPUTED_VALUE"""),11.0)</f>
        <v>11</v>
      </c>
      <c r="C632" s="6" t="str">
        <f>IFERROR(__xludf.DUMMYFUNCTION("""COMPUTED_VALUE"""),"Benjamín")</f>
        <v>Benjamín</v>
      </c>
      <c r="D632" s="6"/>
      <c r="E632" s="6" t="str">
        <f>IFERROR(__xludf.DUMMYFUNCTION("""COMPUTED_VALUE"""),"Correa Álvarez")</f>
        <v>Correa Álvarez</v>
      </c>
      <c r="F632" s="6" t="str">
        <f>IFERROR(__xludf.DUMMYFUNCTION("""COMPUTED_VALUE"""),"Conjunto Hacienda El Cabrero Casa 30 - Km 9 Via Armenia-La Tebaida")</f>
        <v>Conjunto Hacienda El Cabrero Casa 30 - Km 9 Via Armenia-La Tebaida</v>
      </c>
      <c r="G632" s="12" t="str">
        <f>IFERROR(__xludf.DUMMYFUNCTION("""COMPUTED_VALUE"""),"2011")</f>
        <v>2011</v>
      </c>
      <c r="H632" s="6" t="str">
        <f>IFERROR(__xludf.DUMMYFUNCTION("""COMPUTED_VALUE"""),"Diciembre")</f>
        <v>Diciembre</v>
      </c>
      <c r="I632" s="12" t="str">
        <f>IFERROR(__xludf.DUMMYFUNCTION("""COMPUTED_VALUE"""),"22")</f>
        <v>22</v>
      </c>
      <c r="J632" s="6" t="str">
        <f>IFERROR(__xludf.DUMMYFUNCTION("""COMPUTED_VALUE"""),"Medellín")</f>
        <v>Medellín</v>
      </c>
      <c r="K632" s="6" t="str">
        <f>IFERROR(__xludf.DUMMYFUNCTION("""COMPUTED_VALUE"""),"benjamin.c2030@gi.edu.co")</f>
        <v>benjamin.c2030@gi.edu.co</v>
      </c>
      <c r="L632" s="6" t="str">
        <f>IFERROR(__xludf.DUMMYFUNCTION("""COMPUTED_VALUE"""),"TI")</f>
        <v>TI</v>
      </c>
      <c r="M632" s="6" t="str">
        <f>IFERROR(__xludf.DUMMYFUNCTION("""COMPUTED_VALUE"""),"Medellín")</f>
        <v>Medellín</v>
      </c>
      <c r="N632" s="6" t="str">
        <f>IFERROR(__xludf.DUMMYFUNCTION("""COMPUTED_VALUE"""),"M")</f>
        <v>M</v>
      </c>
      <c r="O632" s="6" t="str">
        <f>IFERROR(__xludf.DUMMYFUNCTION("""COMPUTED_VALUE"""),"ACTIVE")</f>
        <v>ACTIVE</v>
      </c>
      <c r="P632" s="6"/>
      <c r="Q632" s="6" t="str">
        <f>IFERROR(__xludf.DUMMYFUNCTION("""COMPUTED_VALUE"""),"Armenia")</f>
        <v>Armenia</v>
      </c>
      <c r="R632" s="12" t="str">
        <f>IFERROR(__xludf.DUMMYFUNCTION("""COMPUTED_VALUE"""),"Gitj8628w*")</f>
        <v>Gitj8628w*</v>
      </c>
      <c r="S632" s="6" t="str">
        <f>IFERROR(__xludf.DUMMYFUNCTION("""COMPUTED_VALUE"""),"Correa Álvarez Benjamín ")</f>
        <v>Correa Álvarez Benjamín </v>
      </c>
      <c r="T632" s="6" t="str">
        <f>IFERROR(__xludf.DUMMYFUNCTION("""COMPUTED_VALUE"""),"JUAN PABLO CORREA OSPINA")</f>
        <v>JUAN PABLO CORREA OSPINA</v>
      </c>
      <c r="U632" s="12" t="str">
        <f>IFERROR(__xludf.DUMMYFUNCTION("""COMPUTED_VALUE"""),"71380835")</f>
        <v>71380835</v>
      </c>
      <c r="V632" s="6">
        <f>IFERROR(__xludf.DUMMYFUNCTION("""COMPUTED_VALUE"""),3.127825494E9)</f>
        <v>3127825494</v>
      </c>
      <c r="W632" s="6" t="str">
        <f>IFERROR(__xludf.DUMMYFUNCTION("""COMPUTED_VALUE"""),"juanpablo.correa@yahoo.com")</f>
        <v>juanpablo.correa@yahoo.com</v>
      </c>
      <c r="X632" s="12" t="str">
        <f>IFERROR(__xludf.DUMMYFUNCTION("""COMPUTED_VALUE"""),"O+")</f>
        <v>O+</v>
      </c>
      <c r="Y632" s="12" t="str">
        <f>IFERROR(__xludf.DUMMYFUNCTION("""COMPUTED_VALUE"""),"9")</f>
        <v>9</v>
      </c>
      <c r="Z632" s="12">
        <f>IFERROR(__xludf.DUMMYFUNCTION("""COMPUTED_VALUE"""),120094.0)</f>
        <v>120094</v>
      </c>
      <c r="AA632" s="6" t="str">
        <f>IFERROR(__xludf.DUMMYFUNCTION("""COMPUTED_VALUE"""),"SURA")</f>
        <v>SURA</v>
      </c>
      <c r="AB632" s="6"/>
      <c r="AC632" s="12" t="str">
        <f>IFERROR(__xludf.DUMMYFUNCTION("""COMPUTED_VALUE"""),"Picadura de abeja, avispa y hormigas")</f>
        <v>Picadura de abeja, avispa y hormigas</v>
      </c>
      <c r="AD632" s="12" t="str">
        <f>IFERROR(__xludf.DUMMYFUNCTION("""COMPUTED_VALUE"""),"9A")</f>
        <v>9A</v>
      </c>
      <c r="AE632" s="12">
        <f>IFERROR(__xludf.DUMMYFUNCTION("""COMPUTED_VALUE"""),1.345282023E9)</f>
        <v>1345282023</v>
      </c>
      <c r="AF632" s="12" t="str">
        <f>IFERROR(__xludf.DUMMYFUNCTION("""COMPUTED_VALUE"""),"0673330003")</f>
        <v>0673330003</v>
      </c>
      <c r="AG632" s="12" t="str">
        <f>IFERROR(__xludf.DUMMYFUNCTION("""COMPUTED_VALUE"""),"Ana")</f>
        <v>Ana</v>
      </c>
      <c r="AH632" s="12" t="str">
        <f>IFERROR(__xludf.DUMMYFUNCTION("""COMPUTED_VALUE"""),"María")</f>
        <v>María</v>
      </c>
      <c r="AI632" s="6" t="str">
        <f>IFERROR(__xludf.DUMMYFUNCTION("""COMPUTED_VALUE"""),"Álvarez Jaramillo")</f>
        <v>Álvarez Jaramillo</v>
      </c>
      <c r="AJ632" s="6" t="str">
        <f>IFERROR(__xludf.DUMMYFUNCTION("""COMPUTED_VALUE"""),"ana.alvarezj@hotmail.com")</f>
        <v>ana.alvarezj@hotmail.com</v>
      </c>
      <c r="AK632" s="6" t="str">
        <f>IFERROR(__xludf.DUMMYFUNCTION("""COMPUTED_VALUE"""),"ADMINISTRADORA DE NEGOCIOS")</f>
        <v>ADMINISTRADORA DE NEGOCIOS</v>
      </c>
      <c r="AL632" s="6" t="str">
        <f>IFERROR(__xludf.DUMMYFUNCTION("""COMPUTED_VALUE"""),"O4GT SUDAMERICA S.A.S")</f>
        <v>O4GT SUDAMERICA S.A.S</v>
      </c>
      <c r="AM632" s="12" t="str">
        <f>IFERROR(__xludf.DUMMYFUNCTION("""COMPUTED_VALUE"""),"41958935")</f>
        <v>41958935</v>
      </c>
      <c r="AN632" s="12" t="str">
        <f>IFERROR(__xludf.DUMMYFUNCTION("""COMPUTED_VALUE"""),"3148967118")</f>
        <v>3148967118</v>
      </c>
      <c r="AO632" s="6" t="str">
        <f>IFERROR(__xludf.DUMMYFUNCTION("""COMPUTED_VALUE"""),"Madre")</f>
        <v>Madre</v>
      </c>
      <c r="AP632" s="6" t="str">
        <f>IFERROR(__xludf.DUMMYFUNCTION("""COMPUTED_VALUE"""),"Estudiante(s): Correa Álvarez")</f>
        <v>Estudiante(s): Correa Álvarez</v>
      </c>
      <c r="AQ632" s="6" t="str">
        <f>IFERROR(__xludf.DUMMYFUNCTION("""COMPUTED_VALUE"""),"103390*Gi")</f>
        <v>103390*Gi</v>
      </c>
      <c r="AR632" s="6" t="str">
        <f>IFERROR(__xludf.DUMMYFUNCTION("""COMPUTED_VALUE"""),"Juan")</f>
        <v>Juan</v>
      </c>
      <c r="AS632" s="6" t="str">
        <f>IFERROR(__xludf.DUMMYFUNCTION("""COMPUTED_VALUE"""),"Pablo")</f>
        <v>Pablo</v>
      </c>
      <c r="AT632" s="6" t="str">
        <f>IFERROR(__xludf.DUMMYFUNCTION("""COMPUTED_VALUE"""),"Correa Ospina")</f>
        <v>Correa Ospina</v>
      </c>
      <c r="AU632" s="6" t="str">
        <f>IFERROR(__xludf.DUMMYFUNCTION("""COMPUTED_VALUE"""),"juanpablo.correa@yahoo.com")</f>
        <v>juanpablo.correa@yahoo.com</v>
      </c>
      <c r="AV632" s="6" t="str">
        <f>IFERROR(__xludf.DUMMYFUNCTION("""COMPUTED_VALUE"""),"ADMINISTRADOR DE NEGOCIOS")</f>
        <v>ADMINISTRADOR DE NEGOCIOS</v>
      </c>
      <c r="AW632" s="6" t="str">
        <f>IFERROR(__xludf.DUMMYFUNCTION("""COMPUTED_VALUE"""),"WMI SAS")</f>
        <v>WMI SAS</v>
      </c>
      <c r="AX632" s="12" t="str">
        <f>IFERROR(__xludf.DUMMYFUNCTION("""COMPUTED_VALUE"""),"71380835")</f>
        <v>71380835</v>
      </c>
      <c r="AY632" s="12" t="str">
        <f>IFERROR(__xludf.DUMMYFUNCTION("""COMPUTED_VALUE"""),"3127825494")</f>
        <v>3127825494</v>
      </c>
      <c r="AZ632" s="6" t="str">
        <f>IFERROR(__xludf.DUMMYFUNCTION("""COMPUTED_VALUE"""),"Padre")</f>
        <v>Padre</v>
      </c>
      <c r="BA632" s="6"/>
      <c r="BB632" s="6"/>
      <c r="BC632" s="6"/>
      <c r="BD632" s="12" t="str">
        <f>IFERROR(__xludf.DUMMYFUNCTION("""COMPUTED_VALUE"""),"cor0013")</f>
        <v>cor0013</v>
      </c>
      <c r="BE632" s="6"/>
      <c r="BF632" s="6"/>
      <c r="BG632" s="6">
        <f>IFERROR(__xludf.DUMMYFUNCTION("""COMPUTED_VALUE"""),2030.0)</f>
        <v>2030</v>
      </c>
      <c r="BH632" s="15">
        <f>IFERROR(__xludf.DUMMYFUNCTION("""COMPUTED_VALUE"""),46233.838958333334)</f>
        <v>46233.83896</v>
      </c>
      <c r="BI632" s="6">
        <f>IFERROR(__xludf.DUMMYFUNCTION("""COMPUTED_VALUE"""),633.0)</f>
        <v>633</v>
      </c>
      <c r="BJ632" s="6"/>
      <c r="BK632" s="6"/>
      <c r="BL632" s="6" t="str">
        <f>IFERROR(__xludf.DUMMYFUNCTION("""COMPUTED_VALUE"""),"GISCOR0013")</f>
        <v>GISCOR0013</v>
      </c>
      <c r="BM632" s="6"/>
      <c r="BN632" s="6"/>
      <c r="BO632" s="6"/>
      <c r="BP632" s="6"/>
      <c r="BQ632" s="6"/>
      <c r="BR632" s="6"/>
      <c r="BS632" s="6"/>
      <c r="BT632" s="6"/>
      <c r="BU632" s="6" t="str">
        <f>IFERROR(__xludf.DUMMYFUNCTION("""COMPUTED_VALUE"""),"SI")</f>
        <v>SI</v>
      </c>
      <c r="BV632" s="6" t="str">
        <f>IFERROR(__xludf.DUMMYFUNCTION("""COMPUTED_VALUE"""),"benjamin.c2030")</f>
        <v>benjamin.c2030</v>
      </c>
      <c r="BW632" s="6"/>
      <c r="BX632" s="6"/>
      <c r="BY632" s="6"/>
      <c r="BZ632" s="6"/>
    </row>
    <row r="633">
      <c r="A633" s="12">
        <f>IFERROR(__xludf.DUMMYFUNCTION("""COMPUTED_VALUE"""),1.092856003E9)</f>
        <v>1092856003</v>
      </c>
      <c r="B633" s="6">
        <f>IFERROR(__xludf.DUMMYFUNCTION("""COMPUTED_VALUE"""),12.0)</f>
        <v>12</v>
      </c>
      <c r="C633" s="6" t="str">
        <f>IFERROR(__xludf.DUMMYFUNCTION("""COMPUTED_VALUE"""),"Esteban")</f>
        <v>Esteban</v>
      </c>
      <c r="D633" s="6"/>
      <c r="E633" s="6" t="str">
        <f>IFERROR(__xludf.DUMMYFUNCTION("""COMPUTED_VALUE"""),"Cubillos Gutiérrez")</f>
        <v>Cubillos Gutiérrez</v>
      </c>
      <c r="F633" s="6" t="str">
        <f>IFERROR(__xludf.DUMMYFUNCTION("""COMPUTED_VALUE"""),"Condominio Palo de Agua Casa 20 - Km 6 Via Eden Vereda Murillo")</f>
        <v>Condominio Palo de Agua Casa 20 - Km 6 Via Eden Vereda Murillo</v>
      </c>
      <c r="G633" s="6" t="str">
        <f>IFERROR(__xludf.DUMMYFUNCTION("""COMPUTED_VALUE"""),"2012")</f>
        <v>2012</v>
      </c>
      <c r="H633" s="6" t="str">
        <f>IFERROR(__xludf.DUMMYFUNCTION("""COMPUTED_VALUE"""),"Febrero")</f>
        <v>Febrero</v>
      </c>
      <c r="I633" s="6" t="str">
        <f>IFERROR(__xludf.DUMMYFUNCTION("""COMPUTED_VALUE"""),"9")</f>
        <v>9</v>
      </c>
      <c r="J633" s="6" t="str">
        <f>IFERROR(__xludf.DUMMYFUNCTION("""COMPUTED_VALUE"""),"Oklahoma cities")</f>
        <v>Oklahoma cities</v>
      </c>
      <c r="K633" s="6" t="str">
        <f>IFERROR(__xludf.DUMMYFUNCTION("""COMPUTED_VALUE"""),"esteban.c2030@gi.edu.co")</f>
        <v>esteban.c2030@gi.edu.co</v>
      </c>
      <c r="L633" s="6" t="str">
        <f>IFERROR(__xludf.DUMMYFUNCTION("""COMPUTED_VALUE"""),"TI")</f>
        <v>TI</v>
      </c>
      <c r="M633" s="6" t="str">
        <f>IFERROR(__xludf.DUMMYFUNCTION("""COMPUTED_VALUE"""),"Armenia")</f>
        <v>Armenia</v>
      </c>
      <c r="N633" s="6" t="str">
        <f>IFERROR(__xludf.DUMMYFUNCTION("""COMPUTED_VALUE"""),"M")</f>
        <v>M</v>
      </c>
      <c r="O633" s="6" t="str">
        <f>IFERROR(__xludf.DUMMYFUNCTION("""COMPUTED_VALUE"""),"ACTIVE")</f>
        <v>ACTIVE</v>
      </c>
      <c r="P633" s="6"/>
      <c r="Q633" s="6" t="str">
        <f>IFERROR(__xludf.DUMMYFUNCTION("""COMPUTED_VALUE"""),"Armenia")</f>
        <v>Armenia</v>
      </c>
      <c r="R633" s="12" t="str">
        <f>IFERROR(__xludf.DUMMYFUNCTION("""COMPUTED_VALUE"""),"Giservi123*")</f>
        <v>Giservi123*</v>
      </c>
      <c r="S633" s="6" t="str">
        <f>IFERROR(__xludf.DUMMYFUNCTION("""COMPUTED_VALUE"""),"Cubillos Gutiérrez Esteban ")</f>
        <v>Cubillos Gutiérrez Esteban </v>
      </c>
      <c r="T633" s="6" t="str">
        <f>IFERROR(__xludf.DUMMYFUNCTION("""COMPUTED_VALUE"""),"ANDRES FELIPE CUBILLOS CARDONA")</f>
        <v>ANDRES FELIPE CUBILLOS CARDONA</v>
      </c>
      <c r="U633" s="12" t="str">
        <f>IFERROR(__xludf.DUMMYFUNCTION("""COMPUTED_VALUE"""),"80876256")</f>
        <v>80876256</v>
      </c>
      <c r="V633" s="6">
        <f>IFERROR(__xludf.DUMMYFUNCTION("""COMPUTED_VALUE"""),3.105935545E9)</f>
        <v>3105935545</v>
      </c>
      <c r="W633" s="6" t="str">
        <f>IFERROR(__xludf.DUMMYFUNCTION("""COMPUTED_VALUE"""),"acubillosc@dian.gov.co")</f>
        <v>acubillosc@dian.gov.co</v>
      </c>
      <c r="X633" s="12" t="str">
        <f>IFERROR(__xludf.DUMMYFUNCTION("""COMPUTED_VALUE"""),"A-")</f>
        <v>A-</v>
      </c>
      <c r="Y633" s="12" t="str">
        <f>IFERROR(__xludf.DUMMYFUNCTION("""COMPUTED_VALUE"""),"9")</f>
        <v>9</v>
      </c>
      <c r="Z633" s="12">
        <f>IFERROR(__xludf.DUMMYFUNCTION("""COMPUTED_VALUE"""),103127.0)</f>
        <v>103127</v>
      </c>
      <c r="AA633" s="6" t="str">
        <f>IFERROR(__xludf.DUMMYFUNCTION("""COMPUTED_VALUE"""),"SURA")</f>
        <v>SURA</v>
      </c>
      <c r="AB633" s="6" t="str">
        <f>IFERROR(__xludf.DUMMYFUNCTION("""COMPUTED_VALUE"""),"EMI")</f>
        <v>EMI</v>
      </c>
      <c r="AC633" s="6"/>
      <c r="AD633" s="12" t="str">
        <f>IFERROR(__xludf.DUMMYFUNCTION("""COMPUTED_VALUE"""),"9B")</f>
        <v>9B</v>
      </c>
      <c r="AE633" s="12">
        <f>IFERROR(__xludf.DUMMYFUNCTION("""COMPUTED_VALUE"""),1.345281532E9)</f>
        <v>1345281532</v>
      </c>
      <c r="AF633" s="12" t="str">
        <f>IFERROR(__xludf.DUMMYFUNCTION("""COMPUTED_VALUE"""),"0708435667")</f>
        <v>0708435667</v>
      </c>
      <c r="AG633" s="12" t="str">
        <f>IFERROR(__xludf.DUMMYFUNCTION("""COMPUTED_VALUE"""),"Carolina")</f>
        <v>Carolina</v>
      </c>
      <c r="AH633" s="6"/>
      <c r="AI633" s="6" t="str">
        <f>IFERROR(__xludf.DUMMYFUNCTION("""COMPUTED_VALUE"""),"Gutiérrez Hincapié")</f>
        <v>Gutiérrez Hincapié</v>
      </c>
      <c r="AJ633" s="6" t="str">
        <f>IFERROR(__xludf.DUMMYFUNCTION("""COMPUTED_VALUE"""),"karo_113@hotmail.com")</f>
        <v>karo_113@hotmail.com</v>
      </c>
      <c r="AK633" s="6" t="str">
        <f>IFERROR(__xludf.DUMMYFUNCTION("""COMPUTED_VALUE"""),"Administradora de empresas")</f>
        <v>Administradora de empresas</v>
      </c>
      <c r="AL633" s="6" t="str">
        <f>IFERROR(__xludf.DUMMYFUNCTION("""COMPUTED_VALUE"""),"E.S.E Hospital departamental universitario del Quindio san Juan de Dios")</f>
        <v>E.S.E Hospital departamental universitario del Quindio san Juan de Dios</v>
      </c>
      <c r="AM633" s="12" t="str">
        <f>IFERROR(__xludf.DUMMYFUNCTION("""COMPUTED_VALUE"""),"41942516")</f>
        <v>41942516</v>
      </c>
      <c r="AN633" s="12" t="str">
        <f>IFERROR(__xludf.DUMMYFUNCTION("""COMPUTED_VALUE"""),"3147924190")</f>
        <v>3147924190</v>
      </c>
      <c r="AO633" s="6" t="str">
        <f>IFERROR(__xludf.DUMMYFUNCTION("""COMPUTED_VALUE"""),"Madre")</f>
        <v>Madre</v>
      </c>
      <c r="AP633" s="6" t="str">
        <f>IFERROR(__xludf.DUMMYFUNCTION("""COMPUTED_VALUE"""),"Estudiante(s): Cubillos Gutiérrez")</f>
        <v>Estudiante(s): Cubillos Gutiérrez</v>
      </c>
      <c r="AQ633" s="6" t="str">
        <f>IFERROR(__xludf.DUMMYFUNCTION("""COMPUTED_VALUE"""),"103127*Gi")</f>
        <v>103127*Gi</v>
      </c>
      <c r="AR633" s="6" t="str">
        <f>IFERROR(__xludf.DUMMYFUNCTION("""COMPUTED_VALUE"""),"Andrés")</f>
        <v>Andrés</v>
      </c>
      <c r="AS633" s="6" t="str">
        <f>IFERROR(__xludf.DUMMYFUNCTION("""COMPUTED_VALUE"""),"Felipe")</f>
        <v>Felipe</v>
      </c>
      <c r="AT633" s="6" t="str">
        <f>IFERROR(__xludf.DUMMYFUNCTION("""COMPUTED_VALUE"""),"Cubillos Cardona")</f>
        <v>Cubillos Cardona</v>
      </c>
      <c r="AU633" s="6" t="str">
        <f>IFERROR(__xludf.DUMMYFUNCTION("""COMPUTED_VALUE"""),"acubillosc@dian.gov.co")</f>
        <v>acubillosc@dian.gov.co</v>
      </c>
      <c r="AV633" s="6" t="str">
        <f>IFERROR(__xludf.DUMMYFUNCTION("""COMPUTED_VALUE"""),"administrador de empresas")</f>
        <v>administrador de empresas</v>
      </c>
      <c r="AW633" s="6" t="str">
        <f>IFERROR(__xludf.DUMMYFUNCTION("""COMPUTED_VALUE"""),"DIAN")</f>
        <v>DIAN</v>
      </c>
      <c r="AX633" s="12" t="str">
        <f>IFERROR(__xludf.DUMMYFUNCTION("""COMPUTED_VALUE"""),"80876256")</f>
        <v>80876256</v>
      </c>
      <c r="AY633" s="12" t="str">
        <f>IFERROR(__xludf.DUMMYFUNCTION("""COMPUTED_VALUE"""),"3105935545")</f>
        <v>3105935545</v>
      </c>
      <c r="AZ633" s="6" t="str">
        <f>IFERROR(__xludf.DUMMYFUNCTION("""COMPUTED_VALUE"""),"Padre")</f>
        <v>Padre</v>
      </c>
      <c r="BA633" s="6"/>
      <c r="BB633" s="6"/>
      <c r="BC633" s="6"/>
      <c r="BD633" s="12" t="str">
        <f>IFERROR(__xludf.DUMMYFUNCTION("""COMPUTED_VALUE"""),"cub0001")</f>
        <v>cub0001</v>
      </c>
      <c r="BE633" s="6"/>
      <c r="BF633" s="12" t="str">
        <f>IFERROR(__xludf.DUMMYFUNCTION("""COMPUTED_VALUE"""),"INTERCAMBIO")</f>
        <v>INTERCAMBIO</v>
      </c>
      <c r="BG633" s="6">
        <f>IFERROR(__xludf.DUMMYFUNCTION("""COMPUTED_VALUE"""),2030.0)</f>
        <v>2030</v>
      </c>
      <c r="BH633" s="15">
        <f>IFERROR(__xludf.DUMMYFUNCTION("""COMPUTED_VALUE"""),46230.40351851852)</f>
        <v>46230.40352</v>
      </c>
      <c r="BI633" s="6">
        <f>IFERROR(__xludf.DUMMYFUNCTION("""COMPUTED_VALUE"""),634.0)</f>
        <v>634</v>
      </c>
      <c r="BJ633" s="6"/>
      <c r="BK633" s="6"/>
      <c r="BL633" s="6" t="str">
        <f>IFERROR(__xludf.DUMMYFUNCTION("""COMPUTED_VALUE"""),"GISCUB0001")</f>
        <v>GISCUB0001</v>
      </c>
      <c r="BM633" s="6"/>
      <c r="BN633" s="6"/>
      <c r="BO633" s="6"/>
      <c r="BP633" s="6"/>
      <c r="BQ633" s="6"/>
      <c r="BR633" s="6"/>
      <c r="BS633" s="6"/>
      <c r="BT633" s="6"/>
      <c r="BU633" s="6" t="str">
        <f>IFERROR(__xludf.DUMMYFUNCTION("""COMPUTED_VALUE"""),"SI")</f>
        <v>SI</v>
      </c>
      <c r="BV633" s="6" t="str">
        <f>IFERROR(__xludf.DUMMYFUNCTION("""COMPUTED_VALUE"""),"esteban.c2030")</f>
        <v>esteban.c2030</v>
      </c>
      <c r="BW633" s="6"/>
      <c r="BX633" s="6"/>
      <c r="BY633" s="6"/>
      <c r="BZ633" s="6"/>
    </row>
    <row r="634">
      <c r="A634" s="12">
        <f>IFERROR(__xludf.DUMMYFUNCTION("""COMPUTED_VALUE"""),1.011213089E9)</f>
        <v>1011213089</v>
      </c>
      <c r="B634" s="6">
        <f>IFERROR(__xludf.DUMMYFUNCTION("""COMPUTED_VALUE"""),13.0)</f>
        <v>13</v>
      </c>
      <c r="C634" s="6" t="str">
        <f>IFERROR(__xludf.DUMMYFUNCTION("""COMPUTED_VALUE"""),"Sofía")</f>
        <v>Sofía</v>
      </c>
      <c r="D634" s="6"/>
      <c r="E634" s="6" t="str">
        <f>IFERROR(__xludf.DUMMYFUNCTION("""COMPUTED_VALUE"""),"Díaz Vélez")</f>
        <v>Díaz Vélez</v>
      </c>
      <c r="F634" s="6" t="str">
        <f>IFERROR(__xludf.DUMMYFUNCTION("""COMPUTED_VALUE"""),"Cra 10 No11Nte - 40 Apto 604 - La Castellana")</f>
        <v>Cra 10 No11Nte - 40 Apto 604 - La Castellana</v>
      </c>
      <c r="G634" s="12" t="str">
        <f>IFERROR(__xludf.DUMMYFUNCTION("""COMPUTED_VALUE"""),"2011")</f>
        <v>2011</v>
      </c>
      <c r="H634" s="6" t="str">
        <f>IFERROR(__xludf.DUMMYFUNCTION("""COMPUTED_VALUE"""),"Septiembre")</f>
        <v>Septiembre</v>
      </c>
      <c r="I634" s="12" t="str">
        <f>IFERROR(__xludf.DUMMYFUNCTION("""COMPUTED_VALUE"""),"1")</f>
        <v>1</v>
      </c>
      <c r="J634" s="6" t="str">
        <f>IFERROR(__xludf.DUMMYFUNCTION("""COMPUTED_VALUE"""),"Bogotá D.C.")</f>
        <v>Bogotá D.C.</v>
      </c>
      <c r="K634" s="6" t="str">
        <f>IFERROR(__xludf.DUMMYFUNCTION("""COMPUTED_VALUE"""),"sofia.d2030@gi.edu.co")</f>
        <v>sofia.d2030@gi.edu.co</v>
      </c>
      <c r="L634" s="6" t="str">
        <f>IFERROR(__xludf.DUMMYFUNCTION("""COMPUTED_VALUE"""),"TI")</f>
        <v>TI</v>
      </c>
      <c r="M634" s="6" t="str">
        <f>IFERROR(__xludf.DUMMYFUNCTION("""COMPUTED_VALUE"""),"Bogotá D.C.")</f>
        <v>Bogotá D.C.</v>
      </c>
      <c r="N634" s="6" t="str">
        <f>IFERROR(__xludf.DUMMYFUNCTION("""COMPUTED_VALUE"""),"F")</f>
        <v>F</v>
      </c>
      <c r="O634" s="6" t="str">
        <f>IFERROR(__xludf.DUMMYFUNCTION("""COMPUTED_VALUE"""),"ACTIVE")</f>
        <v>ACTIVE</v>
      </c>
      <c r="P634" s="6"/>
      <c r="Q634" s="6" t="str">
        <f>IFERROR(__xludf.DUMMYFUNCTION("""COMPUTED_VALUE"""),"Armenia")</f>
        <v>Armenia</v>
      </c>
      <c r="R634" s="12" t="str">
        <f>IFERROR(__xludf.DUMMYFUNCTION("""COMPUTED_VALUE"""),"Gi8mb7m1a*")</f>
        <v>Gi8mb7m1a*</v>
      </c>
      <c r="S634" s="6" t="str">
        <f>IFERROR(__xludf.DUMMYFUNCTION("""COMPUTED_VALUE"""),"Díaz Vélez Sofía ")</f>
        <v>Díaz Vélez Sofía </v>
      </c>
      <c r="T634" s="6" t="str">
        <f>IFERROR(__xludf.DUMMYFUNCTION("""COMPUTED_VALUE"""),"JAVIER HERNÁN DÍAZ CONTRERAS")</f>
        <v>JAVIER HERNÁN DÍAZ CONTRERAS</v>
      </c>
      <c r="U634" s="12" t="str">
        <f>IFERROR(__xludf.DUMMYFUNCTION("""COMPUTED_VALUE"""),"1020719814")</f>
        <v>1020719814</v>
      </c>
      <c r="V634" s="6">
        <f>IFERROR(__xludf.DUMMYFUNCTION("""COMPUTED_VALUE"""),3.143828955E9)</f>
        <v>3143828955</v>
      </c>
      <c r="W634" s="6" t="str">
        <f>IFERROR(__xludf.DUMMYFUNCTION("""COMPUTED_VALUE"""),"verzweil@gmail.com")</f>
        <v>verzweil@gmail.com</v>
      </c>
      <c r="X634" s="12" t="str">
        <f>IFERROR(__xludf.DUMMYFUNCTION("""COMPUTED_VALUE"""),"O+")</f>
        <v>O+</v>
      </c>
      <c r="Y634" s="12" t="str">
        <f>IFERROR(__xludf.DUMMYFUNCTION("""COMPUTED_VALUE"""),"9")</f>
        <v>9</v>
      </c>
      <c r="Z634" s="12">
        <f>IFERROR(__xludf.DUMMYFUNCTION("""COMPUTED_VALUE"""),120208.0)</f>
        <v>120208</v>
      </c>
      <c r="AA634" s="6" t="str">
        <f>IFERROR(__xludf.DUMMYFUNCTION("""COMPUTED_VALUE"""),"SANITAS")</f>
        <v>SANITAS</v>
      </c>
      <c r="AB634" s="6"/>
      <c r="AC634" s="6"/>
      <c r="AD634" s="12" t="str">
        <f>IFERROR(__xludf.DUMMYFUNCTION("""COMPUTED_VALUE"""),"9B")</f>
        <v>9B</v>
      </c>
      <c r="AE634" s="12">
        <f>IFERROR(__xludf.DUMMYFUNCTION("""COMPUTED_VALUE"""),1.345282192E9)</f>
        <v>1345282192</v>
      </c>
      <c r="AF634" s="12" t="str">
        <f>IFERROR(__xludf.DUMMYFUNCTION("""COMPUTED_VALUE"""),"0695085443")</f>
        <v>0695085443</v>
      </c>
      <c r="AG634" s="12" t="str">
        <f>IFERROR(__xludf.DUMMYFUNCTION("""COMPUTED_VALUE"""),"Natalia")</f>
        <v>Natalia</v>
      </c>
      <c r="AH634" s="12" t="str">
        <f>IFERROR(__xludf.DUMMYFUNCTION("""COMPUTED_VALUE"""),"Sankara")</f>
        <v>Sankara</v>
      </c>
      <c r="AI634" s="6" t="str">
        <f>IFERROR(__xludf.DUMMYFUNCTION("""COMPUTED_VALUE"""),"Vélez Restrepo")</f>
        <v>Vélez Restrepo</v>
      </c>
      <c r="AJ634" s="6" t="str">
        <f>IFERROR(__xludf.DUMMYFUNCTION("""COMPUTED_VALUE"""),"natalia.sankara@gmail.com")</f>
        <v>natalia.sankara@gmail.com</v>
      </c>
      <c r="AK634" s="6" t="str">
        <f>IFERROR(__xludf.DUMMYFUNCTION("""COMPUTED_VALUE"""),"Administrador de empresas")</f>
        <v>Administrador de empresas</v>
      </c>
      <c r="AL634" s="6" t="str">
        <f>IFERROR(__xludf.DUMMYFUNCTION("""COMPUTED_VALUE"""),"Verzweil SAS")</f>
        <v>Verzweil SAS</v>
      </c>
      <c r="AM634" s="12" t="str">
        <f>IFERROR(__xludf.DUMMYFUNCTION("""COMPUTED_VALUE"""),"1094894671")</f>
        <v>1094894671</v>
      </c>
      <c r="AN634" s="12" t="str">
        <f>IFERROR(__xludf.DUMMYFUNCTION("""COMPUTED_VALUE"""),"3102817851")</f>
        <v>3102817851</v>
      </c>
      <c r="AO634" s="6" t="str">
        <f>IFERROR(__xludf.DUMMYFUNCTION("""COMPUTED_VALUE"""),"Madre")</f>
        <v>Madre</v>
      </c>
      <c r="AP634" s="6" t="str">
        <f>IFERROR(__xludf.DUMMYFUNCTION("""COMPUTED_VALUE"""),"Estudiante(s): Díaz Vélez")</f>
        <v>Estudiante(s): Díaz Vélez</v>
      </c>
      <c r="AQ634" s="6" t="str">
        <f>IFERROR(__xludf.DUMMYFUNCTION("""COMPUTED_VALUE"""),"120208*Gi")</f>
        <v>120208*Gi</v>
      </c>
      <c r="AR634" s="6" t="str">
        <f>IFERROR(__xludf.DUMMYFUNCTION("""COMPUTED_VALUE"""),"Javier")</f>
        <v>Javier</v>
      </c>
      <c r="AS634" s="6" t="str">
        <f>IFERROR(__xludf.DUMMYFUNCTION("""COMPUTED_VALUE"""),"Hernán")</f>
        <v>Hernán</v>
      </c>
      <c r="AT634" s="6" t="str">
        <f>IFERROR(__xludf.DUMMYFUNCTION("""COMPUTED_VALUE"""),"Díaz Contreras")</f>
        <v>Díaz Contreras</v>
      </c>
      <c r="AU634" s="6" t="str">
        <f>IFERROR(__xludf.DUMMYFUNCTION("""COMPUTED_VALUE"""),"verzweil@gmail.com")</f>
        <v>verzweil@gmail.com</v>
      </c>
      <c r="AV634" s="6" t="str">
        <f>IFERROR(__xludf.DUMMYFUNCTION("""COMPUTED_VALUE"""),"Ingeniero electrónico")</f>
        <v>Ingeniero electrónico</v>
      </c>
      <c r="AW634" s="6"/>
      <c r="AX634" s="12" t="str">
        <f>IFERROR(__xludf.DUMMYFUNCTION("""COMPUTED_VALUE"""),"1020719814")</f>
        <v>1020719814</v>
      </c>
      <c r="AY634" s="12" t="str">
        <f>IFERROR(__xludf.DUMMYFUNCTION("""COMPUTED_VALUE"""),"3143828955")</f>
        <v>3143828955</v>
      </c>
      <c r="AZ634" s="6" t="str">
        <f>IFERROR(__xludf.DUMMYFUNCTION("""COMPUTED_VALUE"""),"Padre")</f>
        <v>Padre</v>
      </c>
      <c r="BA634" s="6"/>
      <c r="BB634" s="6"/>
      <c r="BC634" s="6"/>
      <c r="BD634" s="12" t="str">
        <f>IFERROR(__xludf.DUMMYFUNCTION("""COMPUTED_VALUE"""),"dia0004")</f>
        <v>dia0004</v>
      </c>
      <c r="BE634" s="6"/>
      <c r="BF634" s="6"/>
      <c r="BG634" s="6">
        <f>IFERROR(__xludf.DUMMYFUNCTION("""COMPUTED_VALUE"""),2030.0)</f>
        <v>2030</v>
      </c>
      <c r="BH634" s="15">
        <f>IFERROR(__xludf.DUMMYFUNCTION("""COMPUTED_VALUE"""),46212.01631944445)</f>
        <v>46212.01632</v>
      </c>
      <c r="BI634" s="6">
        <f>IFERROR(__xludf.DUMMYFUNCTION("""COMPUTED_VALUE"""),635.0)</f>
        <v>635</v>
      </c>
      <c r="BJ634" s="6"/>
      <c r="BK634" s="6"/>
      <c r="BL634" s="6" t="str">
        <f>IFERROR(__xludf.DUMMYFUNCTION("""COMPUTED_VALUE"""),"GISDIA0004")</f>
        <v>GISDIA0004</v>
      </c>
      <c r="BM634" s="6"/>
      <c r="BN634" s="6"/>
      <c r="BO634" s="6"/>
      <c r="BP634" s="6"/>
      <c r="BQ634" s="6"/>
      <c r="BR634" s="6"/>
      <c r="BS634" s="6"/>
      <c r="BT634" s="6"/>
      <c r="BU634" s="6" t="str">
        <f>IFERROR(__xludf.DUMMYFUNCTION("""COMPUTED_VALUE"""),"SI")</f>
        <v>SI</v>
      </c>
      <c r="BV634" s="6" t="str">
        <f>IFERROR(__xludf.DUMMYFUNCTION("""COMPUTED_VALUE"""),"sofia.d2030")</f>
        <v>sofia.d2030</v>
      </c>
      <c r="BW634" s="6"/>
      <c r="BX634" s="6"/>
      <c r="BY634" s="6"/>
      <c r="BZ634" s="6"/>
    </row>
    <row r="635">
      <c r="A635" s="12">
        <f>IFERROR(__xludf.DUMMYFUNCTION("""COMPUTED_VALUE"""),1.013014813E9)</f>
        <v>1013014813</v>
      </c>
      <c r="B635" s="6">
        <f>IFERROR(__xludf.DUMMYFUNCTION("""COMPUTED_VALUE"""),14.0)</f>
        <v>14</v>
      </c>
      <c r="C635" s="6" t="str">
        <f>IFERROR(__xludf.DUMMYFUNCTION("""COMPUTED_VALUE"""),"Martina")</f>
        <v>Martina</v>
      </c>
      <c r="D635" s="6"/>
      <c r="E635" s="6" t="str">
        <f>IFERROR(__xludf.DUMMYFUNCTION("""COMPUTED_VALUE"""),"Elizalde Restrepo")</f>
        <v>Elizalde Restrepo</v>
      </c>
      <c r="F635" s="6" t="str">
        <f>IFERROR(__xludf.DUMMYFUNCTION("""COMPUTED_VALUE"""),"Conjunto Las Colinas Casa 14 - Km 5 Via Armenia Pereira")</f>
        <v>Conjunto Las Colinas Casa 14 - Km 5 Via Armenia Pereira</v>
      </c>
      <c r="G635" s="12" t="str">
        <f>IFERROR(__xludf.DUMMYFUNCTION("""COMPUTED_VALUE"""),"2012")</f>
        <v>2012</v>
      </c>
      <c r="H635" s="6" t="str">
        <f>IFERROR(__xludf.DUMMYFUNCTION("""COMPUTED_VALUE"""),"Marzo")</f>
        <v>Marzo</v>
      </c>
      <c r="I635" s="12" t="str">
        <f>IFERROR(__xludf.DUMMYFUNCTION("""COMPUTED_VALUE"""),"21")</f>
        <v>21</v>
      </c>
      <c r="J635" s="6" t="str">
        <f>IFERROR(__xludf.DUMMYFUNCTION("""COMPUTED_VALUE"""),"Bogotá D.C.")</f>
        <v>Bogotá D.C.</v>
      </c>
      <c r="K635" s="6" t="str">
        <f>IFERROR(__xludf.DUMMYFUNCTION("""COMPUTED_VALUE"""),"martina.e2030@gi.edu.co")</f>
        <v>martina.e2030@gi.edu.co</v>
      </c>
      <c r="L635" s="6" t="str">
        <f>IFERROR(__xludf.DUMMYFUNCTION("""COMPUTED_VALUE"""),"TI")</f>
        <v>TI</v>
      </c>
      <c r="M635" s="6" t="str">
        <f>IFERROR(__xludf.DUMMYFUNCTION("""COMPUTED_VALUE"""),"Armenia")</f>
        <v>Armenia</v>
      </c>
      <c r="N635" s="6" t="str">
        <f>IFERROR(__xludf.DUMMYFUNCTION("""COMPUTED_VALUE"""),"F")</f>
        <v>F</v>
      </c>
      <c r="O635" s="6" t="str">
        <f>IFERROR(__xludf.DUMMYFUNCTION("""COMPUTED_VALUE"""),"ACTIVE")</f>
        <v>ACTIVE</v>
      </c>
      <c r="P635" s="6"/>
      <c r="Q635" s="6" t="str">
        <f>IFERROR(__xludf.DUMMYFUNCTION("""COMPUTED_VALUE"""),"Salento")</f>
        <v>Salento</v>
      </c>
      <c r="R635" s="12" t="str">
        <f>IFERROR(__xludf.DUMMYFUNCTION("""COMPUTED_VALUE"""),"Gigetajdb*")</f>
        <v>Gigetajdb*</v>
      </c>
      <c r="S635" s="6" t="str">
        <f>IFERROR(__xludf.DUMMYFUNCTION("""COMPUTED_VALUE"""),"Elizalde Restrepo Martina ")</f>
        <v>Elizalde Restrepo Martina </v>
      </c>
      <c r="T635" s="6" t="str">
        <f>IFERROR(__xludf.DUMMYFUNCTION("""COMPUTED_VALUE"""),"CARLOS ALBERTO ELIZALDE ROSAS")</f>
        <v>CARLOS ALBERTO ELIZALDE ROSAS</v>
      </c>
      <c r="U635" s="12" t="str">
        <f>IFERROR(__xludf.DUMMYFUNCTION("""COMPUTED_VALUE"""),"79983528")</f>
        <v>79983528</v>
      </c>
      <c r="V635" s="6">
        <f>IFERROR(__xludf.DUMMYFUNCTION("""COMPUTED_VALUE"""),3.118530646E9)</f>
        <v>3118530646</v>
      </c>
      <c r="W635" s="6" t="str">
        <f>IFERROR(__xludf.DUMMYFUNCTION("""COMPUTED_VALUE"""),"charlielizalde@hotmail.com")</f>
        <v>charlielizalde@hotmail.com</v>
      </c>
      <c r="X635" s="12" t="str">
        <f>IFERROR(__xludf.DUMMYFUNCTION("""COMPUTED_VALUE"""),"O+")</f>
        <v>O+</v>
      </c>
      <c r="Y635" s="12" t="str">
        <f>IFERROR(__xludf.DUMMYFUNCTION("""COMPUTED_VALUE"""),"9")</f>
        <v>9</v>
      </c>
      <c r="Z635" s="12">
        <f>IFERROR(__xludf.DUMMYFUNCTION("""COMPUTED_VALUE"""),103685.0)</f>
        <v>103685</v>
      </c>
      <c r="AA635" s="6" t="str">
        <f>IFERROR(__xludf.DUMMYFUNCTION("""COMPUTED_VALUE"""),"SURA")</f>
        <v>SURA</v>
      </c>
      <c r="AB635" s="6" t="str">
        <f>IFERROR(__xludf.DUMMYFUNCTION("""COMPUTED_VALUE"""),"Emi - Salud Global - Suramericana")</f>
        <v>Emi - Salud Global - Suramericana</v>
      </c>
      <c r="AC635" s="6"/>
      <c r="AD635" s="12" t="str">
        <f>IFERROR(__xludf.DUMMYFUNCTION("""COMPUTED_VALUE"""),"9A")</f>
        <v>9A</v>
      </c>
      <c r="AE635" s="12">
        <f>IFERROR(__xludf.DUMMYFUNCTION("""COMPUTED_VALUE"""),1.345281815E9)</f>
        <v>1345281815</v>
      </c>
      <c r="AF635" s="12" t="str">
        <f>IFERROR(__xludf.DUMMYFUNCTION("""COMPUTED_VALUE"""),"0670847811")</f>
        <v>0670847811</v>
      </c>
      <c r="AG635" s="12" t="str">
        <f>IFERROR(__xludf.DUMMYFUNCTION("""COMPUTED_VALUE"""),"Lina")</f>
        <v>Lina</v>
      </c>
      <c r="AH635" s="12" t="str">
        <f>IFERROR(__xludf.DUMMYFUNCTION("""COMPUTED_VALUE"""),"Clemencia")</f>
        <v>Clemencia</v>
      </c>
      <c r="AI635" s="6" t="str">
        <f>IFERROR(__xludf.DUMMYFUNCTION("""COMPUTED_VALUE"""),"Restrepo Betancur")</f>
        <v>Restrepo Betancur</v>
      </c>
      <c r="AJ635" s="6" t="str">
        <f>IFERROR(__xludf.DUMMYFUNCTION("""COMPUTED_VALUE"""),"linarestrepob@hotmail.com")</f>
        <v>linarestrepob@hotmail.com</v>
      </c>
      <c r="AK635" s="6"/>
      <c r="AL635" s="6"/>
      <c r="AM635" s="12" t="str">
        <f>IFERROR(__xludf.DUMMYFUNCTION("""COMPUTED_VALUE"""),"41942003")</f>
        <v>41942003</v>
      </c>
      <c r="AN635" s="12" t="str">
        <f>IFERROR(__xludf.DUMMYFUNCTION("""COMPUTED_VALUE"""),"3118530647")</f>
        <v>3118530647</v>
      </c>
      <c r="AO635" s="6" t="str">
        <f>IFERROR(__xludf.DUMMYFUNCTION("""COMPUTED_VALUE"""),"Madre")</f>
        <v>Madre</v>
      </c>
      <c r="AP635" s="6" t="str">
        <f>IFERROR(__xludf.DUMMYFUNCTION("""COMPUTED_VALUE"""),"Estudiante(s): Elizalde Restrepo")</f>
        <v>Estudiante(s): Elizalde Restrepo</v>
      </c>
      <c r="AQ635" s="6" t="str">
        <f>IFERROR(__xludf.DUMMYFUNCTION("""COMPUTED_VALUE"""),"102106*Gi")</f>
        <v>102106*Gi</v>
      </c>
      <c r="AR635" s="6" t="str">
        <f>IFERROR(__xludf.DUMMYFUNCTION("""COMPUTED_VALUE"""),"Carlos")</f>
        <v>Carlos</v>
      </c>
      <c r="AS635" s="6" t="str">
        <f>IFERROR(__xludf.DUMMYFUNCTION("""COMPUTED_VALUE"""),"Alberto")</f>
        <v>Alberto</v>
      </c>
      <c r="AT635" s="6" t="str">
        <f>IFERROR(__xludf.DUMMYFUNCTION("""COMPUTED_VALUE"""),"Elizalde Rosas")</f>
        <v>Elizalde Rosas</v>
      </c>
      <c r="AU635" s="6" t="str">
        <f>IFERROR(__xludf.DUMMYFUNCTION("""COMPUTED_VALUE"""),"charlielizalde@hotmail.com")</f>
        <v>charlielizalde@hotmail.com</v>
      </c>
      <c r="AV635" s="6"/>
      <c r="AW635" s="6" t="str">
        <f>IFERROR(__xludf.DUMMYFUNCTION("""COMPUTED_VALUE"""),"Tendal Spa")</f>
        <v>Tendal Spa</v>
      </c>
      <c r="AX635" s="12" t="str">
        <f>IFERROR(__xludf.DUMMYFUNCTION("""COMPUTED_VALUE"""),"79983528")</f>
        <v>79983528</v>
      </c>
      <c r="AY635" s="12" t="str">
        <f>IFERROR(__xludf.DUMMYFUNCTION("""COMPUTED_VALUE"""),"3118530646")</f>
        <v>3118530646</v>
      </c>
      <c r="AZ635" s="6" t="str">
        <f>IFERROR(__xludf.DUMMYFUNCTION("""COMPUTED_VALUE"""),"Padre")</f>
        <v>Padre</v>
      </c>
      <c r="BA635" s="6"/>
      <c r="BB635" s="6"/>
      <c r="BC635" s="6"/>
      <c r="BD635" s="12" t="str">
        <f>IFERROR(__xludf.DUMMYFUNCTION("""COMPUTED_VALUE"""),"eli0001")</f>
        <v>eli0001</v>
      </c>
      <c r="BE635" s="6"/>
      <c r="BF635" s="6"/>
      <c r="BG635" s="6">
        <f>IFERROR(__xludf.DUMMYFUNCTION("""COMPUTED_VALUE"""),2030.0)</f>
        <v>2030</v>
      </c>
      <c r="BH635" s="15">
        <f>IFERROR(__xludf.DUMMYFUNCTION("""COMPUTED_VALUE"""),46209.71989583333)</f>
        <v>46209.7199</v>
      </c>
      <c r="BI635" s="6">
        <f>IFERROR(__xludf.DUMMYFUNCTION("""COMPUTED_VALUE"""),636.0)</f>
        <v>636</v>
      </c>
      <c r="BJ635" s="6"/>
      <c r="BK635" s="6"/>
      <c r="BL635" s="6" t="str">
        <f>IFERROR(__xludf.DUMMYFUNCTION("""COMPUTED_VALUE"""),"GISELI0001")</f>
        <v>GISELI0001</v>
      </c>
      <c r="BM635" s="6"/>
      <c r="BN635" s="6"/>
      <c r="BO635" s="6"/>
      <c r="BP635" s="6"/>
      <c r="BQ635" s="6"/>
      <c r="BR635" s="6"/>
      <c r="BS635" s="6"/>
      <c r="BT635" s="6"/>
      <c r="BU635" s="6" t="str">
        <f>IFERROR(__xludf.DUMMYFUNCTION("""COMPUTED_VALUE"""),"SI")</f>
        <v>SI</v>
      </c>
      <c r="BV635" s="6" t="str">
        <f>IFERROR(__xludf.DUMMYFUNCTION("""COMPUTED_VALUE"""),"martina.e2030")</f>
        <v>martina.e2030</v>
      </c>
      <c r="BW635" s="6"/>
      <c r="BX635" s="6"/>
      <c r="BY635" s="6"/>
      <c r="BZ635" s="6"/>
    </row>
    <row r="636">
      <c r="A636" s="12">
        <f>IFERROR(__xludf.DUMMYFUNCTION("""COMPUTED_VALUE"""),1.091886856E9)</f>
        <v>1091886856</v>
      </c>
      <c r="B636" s="6">
        <f>IFERROR(__xludf.DUMMYFUNCTION("""COMPUTED_VALUE"""),15.0)</f>
        <v>15</v>
      </c>
      <c r="C636" s="6" t="str">
        <f>IFERROR(__xludf.DUMMYFUNCTION("""COMPUTED_VALUE"""),"Pedro")</f>
        <v>Pedro</v>
      </c>
      <c r="D636" s="6"/>
      <c r="E636" s="6" t="str">
        <f>IFERROR(__xludf.DUMMYFUNCTION("""COMPUTED_VALUE"""),"Estrada Castaño")</f>
        <v>Estrada Castaño</v>
      </c>
      <c r="F636" s="6" t="str">
        <f>IFERROR(__xludf.DUMMYFUNCTION("""COMPUTED_VALUE"""),"Apartamentos Terra Torre 3 Apto 1502 - Cra 10 No11Nte - 05 La Castellana")</f>
        <v>Apartamentos Terra Torre 3 Apto 1502 - Cra 10 No11Nte - 05 La Castellana</v>
      </c>
      <c r="G636" s="12" t="str">
        <f>IFERROR(__xludf.DUMMYFUNCTION("""COMPUTED_VALUE"""),"2011")</f>
        <v>2011</v>
      </c>
      <c r="H636" s="6" t="str">
        <f>IFERROR(__xludf.DUMMYFUNCTION("""COMPUTED_VALUE"""),"Noviembre")</f>
        <v>Noviembre</v>
      </c>
      <c r="I636" s="12" t="str">
        <f>IFERROR(__xludf.DUMMYFUNCTION("""COMPUTED_VALUE"""),"4")</f>
        <v>4</v>
      </c>
      <c r="J636" s="6" t="str">
        <f>IFERROR(__xludf.DUMMYFUNCTION("""COMPUTED_VALUE"""),"Armenia")</f>
        <v>Armenia</v>
      </c>
      <c r="K636" s="6" t="str">
        <f>IFERROR(__xludf.DUMMYFUNCTION("""COMPUTED_VALUE"""),"pedro.e2030@gi.edu.co")</f>
        <v>pedro.e2030@gi.edu.co</v>
      </c>
      <c r="L636" s="6" t="str">
        <f>IFERROR(__xludf.DUMMYFUNCTION("""COMPUTED_VALUE"""),"TI")</f>
        <v>TI</v>
      </c>
      <c r="M636" s="6" t="str">
        <f>IFERROR(__xludf.DUMMYFUNCTION("""COMPUTED_VALUE"""),"Armenia")</f>
        <v>Armenia</v>
      </c>
      <c r="N636" s="6" t="str">
        <f>IFERROR(__xludf.DUMMYFUNCTION("""COMPUTED_VALUE"""),"M")</f>
        <v>M</v>
      </c>
      <c r="O636" s="6" t="str">
        <f>IFERROR(__xludf.DUMMYFUNCTION("""COMPUTED_VALUE"""),"ACTIVE")</f>
        <v>ACTIVE</v>
      </c>
      <c r="P636" s="6"/>
      <c r="Q636" s="6" t="str">
        <f>IFERROR(__xludf.DUMMYFUNCTION("""COMPUTED_VALUE"""),"Armenia")</f>
        <v>Armenia</v>
      </c>
      <c r="R636" s="12" t="str">
        <f>IFERROR(__xludf.DUMMYFUNCTION("""COMPUTED_VALUE"""),"Gi34dfcv45*")</f>
        <v>Gi34dfcv45*</v>
      </c>
      <c r="S636" s="6" t="str">
        <f>IFERROR(__xludf.DUMMYFUNCTION("""COMPUTED_VALUE"""),"Estrada Castaño Pedro ")</f>
        <v>Estrada Castaño Pedro </v>
      </c>
      <c r="T636" s="6" t="str">
        <f>IFERROR(__xludf.DUMMYFUNCTION("""COMPUTED_VALUE"""),"ARMENIA HOTEL S.A.S.")</f>
        <v>ARMENIA HOTEL S.A.S.</v>
      </c>
      <c r="U636" s="12" t="str">
        <f>IFERROR(__xludf.DUMMYFUNCTION("""COMPUTED_VALUE"""),"801003278")</f>
        <v>801003278</v>
      </c>
      <c r="V636" s="6">
        <f>IFERROR(__xludf.DUMMYFUNCTION("""COMPUTED_VALUE"""),3.206969115E9)</f>
        <v>3206969115</v>
      </c>
      <c r="W636" s="6" t="str">
        <f>IFERROR(__xludf.DUMMYFUNCTION("""COMPUTED_VALUE"""),"contabilidad@armeniahotel.co")</f>
        <v>contabilidad@armeniahotel.co</v>
      </c>
      <c r="X636" s="12" t="str">
        <f>IFERROR(__xludf.DUMMYFUNCTION("""COMPUTED_VALUE"""),"O+")</f>
        <v>O+</v>
      </c>
      <c r="Y636" s="12" t="str">
        <f>IFERROR(__xludf.DUMMYFUNCTION("""COMPUTED_VALUE"""),"9")</f>
        <v>9</v>
      </c>
      <c r="Z636" s="12">
        <f>IFERROR(__xludf.DUMMYFUNCTION("""COMPUTED_VALUE"""),103040.0)</f>
        <v>103040</v>
      </c>
      <c r="AA636" s="6" t="str">
        <f>IFERROR(__xludf.DUMMYFUNCTION("""COMPUTED_VALUE"""),"SURA")</f>
        <v>SURA</v>
      </c>
      <c r="AB636" s="6" t="str">
        <f>IFERROR(__xludf.DUMMYFUNCTION("""COMPUTED_VALUE"""),"Póliza SURA Clásica")</f>
        <v>Póliza SURA Clásica</v>
      </c>
      <c r="AC636" s="6"/>
      <c r="AD636" s="12" t="str">
        <f>IFERROR(__xludf.DUMMYFUNCTION("""COMPUTED_VALUE"""),"9A")</f>
        <v>9A</v>
      </c>
      <c r="AE636" s="12">
        <f>IFERROR(__xludf.DUMMYFUNCTION("""COMPUTED_VALUE"""),1.345281469E9)</f>
        <v>1345281469</v>
      </c>
      <c r="AF636" s="12" t="str">
        <f>IFERROR(__xludf.DUMMYFUNCTION("""COMPUTED_VALUE"""),"0678106563")</f>
        <v>0678106563</v>
      </c>
      <c r="AG636" s="12" t="str">
        <f>IFERROR(__xludf.DUMMYFUNCTION("""COMPUTED_VALUE"""),"Marcela")</f>
        <v>Marcela</v>
      </c>
      <c r="AH636" s="6"/>
      <c r="AI636" s="6" t="str">
        <f>IFERROR(__xludf.DUMMYFUNCTION("""COMPUTED_VALUE"""),"Castaño Velásquez")</f>
        <v>Castaño Velásquez</v>
      </c>
      <c r="AJ636" s="6" t="str">
        <f>IFERROR(__xludf.DUMMYFUNCTION("""COMPUTED_VALUE"""),"macave10@gmail.com")</f>
        <v>macave10@gmail.com</v>
      </c>
      <c r="AK636" s="6" t="str">
        <f>IFERROR(__xludf.DUMMYFUNCTION("""COMPUTED_VALUE"""),"Administrador de negocios")</f>
        <v>Administrador de negocios</v>
      </c>
      <c r="AL636" s="6" t="str">
        <f>IFERROR(__xludf.DUMMYFUNCTION("""COMPUTED_VALUE"""),"Constructora centenario")</f>
        <v>Constructora centenario</v>
      </c>
      <c r="AM636" s="12" t="str">
        <f>IFERROR(__xludf.DUMMYFUNCTION("""COMPUTED_VALUE"""),"41951115")</f>
        <v>41951115</v>
      </c>
      <c r="AN636" s="12" t="str">
        <f>IFERROR(__xludf.DUMMYFUNCTION("""COMPUTED_VALUE"""),"3104598536")</f>
        <v>3104598536</v>
      </c>
      <c r="AO636" s="6" t="str">
        <f>IFERROR(__xludf.DUMMYFUNCTION("""COMPUTED_VALUE"""),"Madre")</f>
        <v>Madre</v>
      </c>
      <c r="AP636" s="6" t="str">
        <f>IFERROR(__xludf.DUMMYFUNCTION("""COMPUTED_VALUE"""),"Estudiante(s): Estrada Castaño")</f>
        <v>Estudiante(s): Estrada Castaño</v>
      </c>
      <c r="AQ636" s="6" t="str">
        <f>IFERROR(__xludf.DUMMYFUNCTION("""COMPUTED_VALUE"""),"103040*Gi")</f>
        <v>103040*Gi</v>
      </c>
      <c r="AR636" s="6" t="str">
        <f>IFERROR(__xludf.DUMMYFUNCTION("""COMPUTED_VALUE"""),"Andrés")</f>
        <v>Andrés</v>
      </c>
      <c r="AS636" s="6"/>
      <c r="AT636" s="6" t="str">
        <f>IFERROR(__xludf.DUMMYFUNCTION("""COMPUTED_VALUE"""),"Estrada Escobar")</f>
        <v>Estrada Escobar</v>
      </c>
      <c r="AU636" s="6" t="str">
        <f>IFERROR(__xludf.DUMMYFUNCTION("""COMPUTED_VALUE"""),"aestradae@yahoo.com")</f>
        <v>aestradae@yahoo.com</v>
      </c>
      <c r="AV636" s="6" t="str">
        <f>IFERROR(__xludf.DUMMYFUNCTION("""COMPUTED_VALUE"""),"Administrador de Negocios")</f>
        <v>Administrador de Negocios</v>
      </c>
      <c r="AW636" s="6" t="str">
        <f>IFERROR(__xludf.DUMMYFUNCTION("""COMPUTED_VALUE"""),"Armenia Hotel")</f>
        <v>Armenia Hotel</v>
      </c>
      <c r="AX636" s="12" t="str">
        <f>IFERROR(__xludf.DUMMYFUNCTION("""COMPUTED_VALUE"""),"98667468")</f>
        <v>98667468</v>
      </c>
      <c r="AY636" s="12" t="str">
        <f>IFERROR(__xludf.DUMMYFUNCTION("""COMPUTED_VALUE"""),"3104598533")</f>
        <v>3104598533</v>
      </c>
      <c r="AZ636" s="6" t="str">
        <f>IFERROR(__xludf.DUMMYFUNCTION("""COMPUTED_VALUE"""),"Padre")</f>
        <v>Padre</v>
      </c>
      <c r="BA636" s="6"/>
      <c r="BB636" s="6"/>
      <c r="BC636" s="6"/>
      <c r="BD636" s="12" t="str">
        <f>IFERROR(__xludf.DUMMYFUNCTION("""COMPUTED_VALUE"""),"est0002")</f>
        <v>est0002</v>
      </c>
      <c r="BE636" s="6"/>
      <c r="BF636" s="6"/>
      <c r="BG636" s="6">
        <f>IFERROR(__xludf.DUMMYFUNCTION("""COMPUTED_VALUE"""),2030.0)</f>
        <v>2030</v>
      </c>
      <c r="BH636" s="15">
        <f>IFERROR(__xludf.DUMMYFUNCTION("""COMPUTED_VALUE"""),46211.40740740741)</f>
        <v>46211.40741</v>
      </c>
      <c r="BI636" s="6">
        <f>IFERROR(__xludf.DUMMYFUNCTION("""COMPUTED_VALUE"""),637.0)</f>
        <v>637</v>
      </c>
      <c r="BJ636" s="6"/>
      <c r="BK636" s="6"/>
      <c r="BL636" s="6" t="str">
        <f>IFERROR(__xludf.DUMMYFUNCTION("""COMPUTED_VALUE"""),"GISEST0002")</f>
        <v>GISEST0002</v>
      </c>
      <c r="BM636" s="6"/>
      <c r="BN636" s="6"/>
      <c r="BO636" s="6" t="str">
        <f>IFERROR(__xludf.DUMMYFUNCTION("""COMPUTED_VALUE"""),"XC_HS_Futbol_M")</f>
        <v>XC_HS_Futbol_M</v>
      </c>
      <c r="BP636" s="6"/>
      <c r="BQ636" s="6" t="str">
        <f>IFERROR(__xludf.DUMMYFUNCTION("""COMPUTED_VALUE"""),"XC_HS_Futbol_M")</f>
        <v>XC_HS_Futbol_M</v>
      </c>
      <c r="BR636" s="6" t="str">
        <f>IFERROR(__xludf.DUMMYFUNCTION("""COMPUTED_VALUE"""),"XC_HS_Futbol_M")</f>
        <v>XC_HS_Futbol_M</v>
      </c>
      <c r="BS636" s="6"/>
      <c r="BT636" s="6" t="str">
        <f>IFERROR(__xludf.DUMMYFUNCTION("""COMPUTED_VALUE"""),"XC_HS_Futbol_M")</f>
        <v>XC_HS_Futbol_M</v>
      </c>
      <c r="BU636" s="6" t="str">
        <f>IFERROR(__xludf.DUMMYFUNCTION("""COMPUTED_VALUE"""),"SI")</f>
        <v>SI</v>
      </c>
      <c r="BV636" s="6" t="str">
        <f>IFERROR(__xludf.DUMMYFUNCTION("""COMPUTED_VALUE"""),"pedro.e2030")</f>
        <v>pedro.e2030</v>
      </c>
      <c r="BW636" s="6"/>
      <c r="BX636" s="6"/>
      <c r="BY636" s="6"/>
      <c r="BZ636" s="6"/>
    </row>
    <row r="637">
      <c r="A637" s="12">
        <f>IFERROR(__xludf.DUMMYFUNCTION("""COMPUTED_VALUE"""),1.092855561E9)</f>
        <v>1092855561</v>
      </c>
      <c r="B637" s="6">
        <f>IFERROR(__xludf.DUMMYFUNCTION("""COMPUTED_VALUE"""),16.0)</f>
        <v>16</v>
      </c>
      <c r="C637" s="6" t="str">
        <f>IFERROR(__xludf.DUMMYFUNCTION("""COMPUTED_VALUE"""),"Paulina")</f>
        <v>Paulina</v>
      </c>
      <c r="D637" s="6"/>
      <c r="E637" s="6" t="str">
        <f>IFERROR(__xludf.DUMMYFUNCTION("""COMPUTED_VALUE"""),"Galvis Arias")</f>
        <v>Galvis Arias</v>
      </c>
      <c r="F637" s="6" t="str">
        <f>IFERROR(__xludf.DUMMYFUNCTION("""COMPUTED_VALUE"""),"Condominio Pradera Boreal Casa 8 - Km. 5 Via Armenia Pereira")</f>
        <v>Condominio Pradera Boreal Casa 8 - Km. 5 Via Armenia Pereira</v>
      </c>
      <c r="G637" s="12" t="str">
        <f>IFERROR(__xludf.DUMMYFUNCTION("""COMPUTED_VALUE"""),"2011")</f>
        <v>2011</v>
      </c>
      <c r="H637" s="6" t="str">
        <f>IFERROR(__xludf.DUMMYFUNCTION("""COMPUTED_VALUE"""),"Septiembre")</f>
        <v>Septiembre</v>
      </c>
      <c r="I637" s="12" t="str">
        <f>IFERROR(__xludf.DUMMYFUNCTION("""COMPUTED_VALUE"""),"15")</f>
        <v>15</v>
      </c>
      <c r="J637" s="6" t="str">
        <f>IFERROR(__xludf.DUMMYFUNCTION("""COMPUTED_VALUE"""),"Armenia")</f>
        <v>Armenia</v>
      </c>
      <c r="K637" s="6" t="str">
        <f>IFERROR(__xludf.DUMMYFUNCTION("""COMPUTED_VALUE"""),"paulina.g2030@gi.edu.co")</f>
        <v>paulina.g2030@gi.edu.co</v>
      </c>
      <c r="L637" s="6" t="str">
        <f>IFERROR(__xludf.DUMMYFUNCTION("""COMPUTED_VALUE"""),"TI")</f>
        <v>TI</v>
      </c>
      <c r="M637" s="6" t="str">
        <f>IFERROR(__xludf.DUMMYFUNCTION("""COMPUTED_VALUE"""),"Armenia")</f>
        <v>Armenia</v>
      </c>
      <c r="N637" s="6" t="str">
        <f>IFERROR(__xludf.DUMMYFUNCTION("""COMPUTED_VALUE"""),"F")</f>
        <v>F</v>
      </c>
      <c r="O637" s="6" t="str">
        <f>IFERROR(__xludf.DUMMYFUNCTION("""COMPUTED_VALUE"""),"INACTIVE")</f>
        <v>INACTIVE</v>
      </c>
      <c r="P637" s="6"/>
      <c r="Q637" s="6" t="str">
        <f>IFERROR(__xludf.DUMMYFUNCTION("""COMPUTED_VALUE"""),"Circasia")</f>
        <v>Circasia</v>
      </c>
      <c r="R637" s="12" t="str">
        <f>IFERROR(__xludf.DUMMYFUNCTION("""COMPUTED_VALUE"""),"Gi8776543w*")</f>
        <v>Gi8776543w*</v>
      </c>
      <c r="S637" s="6" t="str">
        <f>IFERROR(__xludf.DUMMYFUNCTION("""COMPUTED_VALUE"""),"Galvis Arias Paulina ")</f>
        <v>Galvis Arias Paulina </v>
      </c>
      <c r="T637" s="6" t="str">
        <f>IFERROR(__xludf.DUMMYFUNCTION("""COMPUTED_VALUE"""),"VICTORIA EUGENIA ARIAS CIFUENTES")</f>
        <v>VICTORIA EUGENIA ARIAS CIFUENTES</v>
      </c>
      <c r="U637" s="12" t="str">
        <f>IFERROR(__xludf.DUMMYFUNCTION("""COMPUTED_VALUE"""),"41932865")</f>
        <v>41932865</v>
      </c>
      <c r="V637" s="6">
        <f>IFERROR(__xludf.DUMMYFUNCTION("""COMPUTED_VALUE"""),3.174023197E9)</f>
        <v>3174023197</v>
      </c>
      <c r="W637" s="6" t="str">
        <f>IFERROR(__xludf.DUMMYFUNCTION("""COMPUTED_VALUE"""),"vicky_arias@plasticoszenner.com")</f>
        <v>vicky_arias@plasticoszenner.com</v>
      </c>
      <c r="X637" s="12" t="str">
        <f>IFERROR(__xludf.DUMMYFUNCTION("""COMPUTED_VALUE"""),"AB+")</f>
        <v>AB+</v>
      </c>
      <c r="Y637" s="12" t="str">
        <f>IFERROR(__xludf.DUMMYFUNCTION("""COMPUTED_VALUE"""),"9")</f>
        <v>9</v>
      </c>
      <c r="Z637" s="12">
        <f>IFERROR(__xludf.DUMMYFUNCTION("""COMPUTED_VALUE"""),103058.0)</f>
        <v>103058</v>
      </c>
      <c r="AA637" s="6" t="str">
        <f>IFERROR(__xludf.DUMMYFUNCTION("""COMPUTED_VALUE"""),"SURA")</f>
        <v>SURA</v>
      </c>
      <c r="AB637" s="6" t="str">
        <f>IFERROR(__xludf.DUMMYFUNCTION("""COMPUTED_VALUE"""),"COOMEVA PREPAGADA")</f>
        <v>COOMEVA PREPAGADA</v>
      </c>
      <c r="AC637" s="6"/>
      <c r="AD637" s="12" t="str">
        <f>IFERROR(__xludf.DUMMYFUNCTION("""COMPUTED_VALUE"""),"9A")</f>
        <v>9A</v>
      </c>
      <c r="AE637" s="12">
        <f>IFERROR(__xludf.DUMMYFUNCTION("""COMPUTED_VALUE"""),1.345281481E9)</f>
        <v>1345281481</v>
      </c>
      <c r="AF637" s="12" t="str">
        <f>IFERROR(__xludf.DUMMYFUNCTION("""COMPUTED_VALUE"""),"0241029491")</f>
        <v>0241029491</v>
      </c>
      <c r="AG637" s="12" t="str">
        <f>IFERROR(__xludf.DUMMYFUNCTION("""COMPUTED_VALUE"""),"Victoria")</f>
        <v>Victoria</v>
      </c>
      <c r="AH637" s="12" t="str">
        <f>IFERROR(__xludf.DUMMYFUNCTION("""COMPUTED_VALUE"""),"Eugenia")</f>
        <v>Eugenia</v>
      </c>
      <c r="AI637" s="6" t="str">
        <f>IFERROR(__xludf.DUMMYFUNCTION("""COMPUTED_VALUE"""),"Arias Cifuentes")</f>
        <v>Arias Cifuentes</v>
      </c>
      <c r="AJ637" s="6" t="str">
        <f>IFERROR(__xludf.DUMMYFUNCTION("""COMPUTED_VALUE"""),"vicky_arias@plasticoszenner.com")</f>
        <v>vicky_arias@plasticoszenner.com</v>
      </c>
      <c r="AK637" s="6" t="str">
        <f>IFERROR(__xludf.DUMMYFUNCTION("""COMPUTED_VALUE"""),"DISEÑADORA INDUSTRIAL")</f>
        <v>DISEÑADORA INDUSTRIAL</v>
      </c>
      <c r="AL637" s="6" t="str">
        <f>IFERROR(__xludf.DUMMYFUNCTION("""COMPUTED_VALUE"""),"Industrias Zenner S.A.")</f>
        <v>Industrias Zenner S.A.</v>
      </c>
      <c r="AM637" s="12" t="str">
        <f>IFERROR(__xludf.DUMMYFUNCTION("""COMPUTED_VALUE"""),"41932865")</f>
        <v>41932865</v>
      </c>
      <c r="AN637" s="12" t="str">
        <f>IFERROR(__xludf.DUMMYFUNCTION("""COMPUTED_VALUE"""),"3174023197")</f>
        <v>3174023197</v>
      </c>
      <c r="AO637" s="6" t="str">
        <f>IFERROR(__xludf.DUMMYFUNCTION("""COMPUTED_VALUE"""),"Madre")</f>
        <v>Madre</v>
      </c>
      <c r="AP637" s="6" t="str">
        <f>IFERROR(__xludf.DUMMYFUNCTION("""COMPUTED_VALUE"""),"Estudiante(s): Galvis Arias")</f>
        <v>Estudiante(s): Galvis Arias</v>
      </c>
      <c r="AQ637" s="6" t="str">
        <f>IFERROR(__xludf.DUMMYFUNCTION("""COMPUTED_VALUE"""),"103058*Gi")</f>
        <v>103058*Gi</v>
      </c>
      <c r="AR637" s="6" t="str">
        <f>IFERROR(__xludf.DUMMYFUNCTION("""COMPUTED_VALUE"""),"Juan")</f>
        <v>Juan</v>
      </c>
      <c r="AS637" s="6" t="str">
        <f>IFERROR(__xludf.DUMMYFUNCTION("""COMPUTED_VALUE"""),"Miguel")</f>
        <v>Miguel</v>
      </c>
      <c r="AT637" s="6" t="str">
        <f>IFERROR(__xludf.DUMMYFUNCTION("""COMPUTED_VALUE"""),"Galvis Bedoya")</f>
        <v>Galvis Bedoya</v>
      </c>
      <c r="AU637" s="6" t="str">
        <f>IFERROR(__xludf.DUMMYFUNCTION("""COMPUTED_VALUE"""),"jumigaba@hotmail.com")</f>
        <v>jumigaba@hotmail.com</v>
      </c>
      <c r="AV637" s="6" t="str">
        <f>IFERROR(__xludf.DUMMYFUNCTION("""COMPUTED_VALUE"""),"Arquitecto")</f>
        <v>Arquitecto</v>
      </c>
      <c r="AW637" s="6" t="str">
        <f>IFERROR(__xludf.DUMMYFUNCTION("""COMPUTED_VALUE"""),"Gobernacion del Quindio")</f>
        <v>Gobernacion del Quindio</v>
      </c>
      <c r="AX637" s="12" t="str">
        <f>IFERROR(__xludf.DUMMYFUNCTION("""COMPUTED_VALUE"""),"89006347")</f>
        <v>89006347</v>
      </c>
      <c r="AY637" s="12" t="str">
        <f>IFERROR(__xludf.DUMMYFUNCTION("""COMPUTED_VALUE"""),"3136490973")</f>
        <v>3136490973</v>
      </c>
      <c r="AZ637" s="6" t="str">
        <f>IFERROR(__xludf.DUMMYFUNCTION("""COMPUTED_VALUE"""),"Padre")</f>
        <v>Padre</v>
      </c>
      <c r="BA637" s="6"/>
      <c r="BB637" s="6"/>
      <c r="BC637" s="6"/>
      <c r="BD637" s="12" t="str">
        <f>IFERROR(__xludf.DUMMYFUNCTION("""COMPUTED_VALUE"""),"gal0004")</f>
        <v>gal0004</v>
      </c>
      <c r="BE637" s="6" t="str">
        <f>IFERROR(__xludf.DUMMYFUNCTION("""COMPUTED_VALUE"""),"FALTAN FIRMAS")</f>
        <v>FALTAN FIRMAS</v>
      </c>
      <c r="BF637" s="6"/>
      <c r="BG637" s="6">
        <f>IFERROR(__xludf.DUMMYFUNCTION("""COMPUTED_VALUE"""),2030.0)</f>
        <v>2030</v>
      </c>
      <c r="BH637" s="15">
        <f>IFERROR(__xludf.DUMMYFUNCTION("""COMPUTED_VALUE"""),46212.64934027778)</f>
        <v>46212.64934</v>
      </c>
      <c r="BI637" s="6">
        <f>IFERROR(__xludf.DUMMYFUNCTION("""COMPUTED_VALUE"""),638.0)</f>
        <v>638</v>
      </c>
      <c r="BJ637" s="6" t="str">
        <f>IFERROR(__xludf.DUMMYFUNCTION("""COMPUTED_VALUE"""),"SIMAT: Trastornos específicos de aprendizaje escolar")</f>
        <v>SIMAT: Trastornos específicos de aprendizaje escolar</v>
      </c>
      <c r="BK637" s="6"/>
      <c r="BL637" s="6" t="str">
        <f>IFERROR(__xludf.DUMMYFUNCTION("""COMPUTED_VALUE"""),"GISGAL0004")</f>
        <v>GISGAL0004</v>
      </c>
      <c r="BM637" s="6"/>
      <c r="BN637" s="6"/>
      <c r="BO637" s="6"/>
      <c r="BP637" s="6"/>
      <c r="BQ637" s="6"/>
      <c r="BR637" s="6"/>
      <c r="BS637" s="6"/>
      <c r="BT637" s="6"/>
      <c r="BU637" s="6" t="str">
        <f>IFERROR(__xludf.DUMMYFUNCTION("""COMPUTED_VALUE"""),"SI")</f>
        <v>SI</v>
      </c>
      <c r="BV637" s="6" t="str">
        <f>IFERROR(__xludf.DUMMYFUNCTION("""COMPUTED_VALUE"""),"paulina.g2030")</f>
        <v>paulina.g2030</v>
      </c>
      <c r="BW637" s="6"/>
      <c r="BX637" s="6"/>
      <c r="BY637" s="6"/>
      <c r="BZ637" s="6"/>
    </row>
    <row r="638">
      <c r="A638" s="12">
        <f>IFERROR(__xludf.DUMMYFUNCTION("""COMPUTED_VALUE"""),1.027287219E9)</f>
        <v>1027287219</v>
      </c>
      <c r="B638" s="6">
        <f>IFERROR(__xludf.DUMMYFUNCTION("""COMPUTED_VALUE"""),17.0)</f>
        <v>17</v>
      </c>
      <c r="C638" s="6" t="str">
        <f>IFERROR(__xludf.DUMMYFUNCTION("""COMPUTED_VALUE"""),"Tomás")</f>
        <v>Tomás</v>
      </c>
      <c r="D638" s="6"/>
      <c r="E638" s="6" t="str">
        <f>IFERROR(__xludf.DUMMYFUNCTION("""COMPUTED_VALUE"""),"García Arcila")</f>
        <v>García Arcila</v>
      </c>
      <c r="F638" s="6" t="str">
        <f>IFERROR(__xludf.DUMMYFUNCTION("""COMPUTED_VALUE"""),"Edificio Alameda Apto 1404 - Cra 19 No 36Nte - 38")</f>
        <v>Edificio Alameda Apto 1404 - Cra 19 No 36Nte - 38</v>
      </c>
      <c r="G638" s="12" t="str">
        <f>IFERROR(__xludf.DUMMYFUNCTION("""COMPUTED_VALUE"""),"2011")</f>
        <v>2011</v>
      </c>
      <c r="H638" s="6" t="str">
        <f>IFERROR(__xludf.DUMMYFUNCTION("""COMPUTED_VALUE"""),"Octubre")</f>
        <v>Octubre</v>
      </c>
      <c r="I638" s="12" t="str">
        <f>IFERROR(__xludf.DUMMYFUNCTION("""COMPUTED_VALUE"""),"31")</f>
        <v>31</v>
      </c>
      <c r="J638" s="6" t="str">
        <f>IFERROR(__xludf.DUMMYFUNCTION("""COMPUTED_VALUE"""),"Bogotá D.C.")</f>
        <v>Bogotá D.C.</v>
      </c>
      <c r="K638" s="6" t="str">
        <f>IFERROR(__xludf.DUMMYFUNCTION("""COMPUTED_VALUE"""),"tomas.g2030@gi.edu.co")</f>
        <v>tomas.g2030@gi.edu.co</v>
      </c>
      <c r="L638" s="6" t="str">
        <f>IFERROR(__xludf.DUMMYFUNCTION("""COMPUTED_VALUE"""),"TI")</f>
        <v>TI</v>
      </c>
      <c r="M638" s="6" t="str">
        <f>IFERROR(__xludf.DUMMYFUNCTION("""COMPUTED_VALUE"""),"Armenia")</f>
        <v>Armenia</v>
      </c>
      <c r="N638" s="6" t="str">
        <f>IFERROR(__xludf.DUMMYFUNCTION("""COMPUTED_VALUE"""),"M")</f>
        <v>M</v>
      </c>
      <c r="O638" s="6" t="str">
        <f>IFERROR(__xludf.DUMMYFUNCTION("""COMPUTED_VALUE"""),"INACTIVE")</f>
        <v>INACTIVE</v>
      </c>
      <c r="P638" s="6"/>
      <c r="Q638" s="6" t="str">
        <f>IFERROR(__xludf.DUMMYFUNCTION("""COMPUTED_VALUE"""),"Armenia")</f>
        <v>Armenia</v>
      </c>
      <c r="R638" s="12" t="str">
        <f>IFERROR(__xludf.DUMMYFUNCTION("""COMPUTED_VALUE"""),"Gi3E5t8I9T*")</f>
        <v>Gi3E5t8I9T*</v>
      </c>
      <c r="S638" s="6" t="str">
        <f>IFERROR(__xludf.DUMMYFUNCTION("""COMPUTED_VALUE"""),"García Arcila Tomás ")</f>
        <v>García Arcila Tomás </v>
      </c>
      <c r="T638" s="6" t="str">
        <f>IFERROR(__xludf.DUMMYFUNCTION("""COMPUTED_VALUE"""),"GERMÁN ALFONSO GARCÍA GÓMEZ")</f>
        <v>GERMÁN ALFONSO GARCÍA GÓMEZ</v>
      </c>
      <c r="U638" s="12" t="str">
        <f>IFERROR(__xludf.DUMMYFUNCTION("""COMPUTED_VALUE"""),"7562320")</f>
        <v>7562320</v>
      </c>
      <c r="V638" s="6">
        <f>IFERROR(__xludf.DUMMYFUNCTION("""COMPUTED_VALUE"""),3.104933438E9)</f>
        <v>3104933438</v>
      </c>
      <c r="W638" s="6" t="str">
        <f>IFERROR(__xludf.DUMMYFUNCTION("""COMPUTED_VALUE"""),"poison6872@hotmail.com")</f>
        <v>poison6872@hotmail.com</v>
      </c>
      <c r="X638" s="12" t="str">
        <f>IFERROR(__xludf.DUMMYFUNCTION("""COMPUTED_VALUE"""),"B+")</f>
        <v>B+</v>
      </c>
      <c r="Y638" s="12" t="str">
        <f>IFERROR(__xludf.DUMMYFUNCTION("""COMPUTED_VALUE"""),"9")</f>
        <v>9</v>
      </c>
      <c r="Z638" s="12">
        <f>IFERROR(__xludf.DUMMYFUNCTION("""COMPUTED_VALUE"""),120073.0)</f>
        <v>120073</v>
      </c>
      <c r="AA638" s="6" t="str">
        <f>IFERROR(__xludf.DUMMYFUNCTION("""COMPUTED_VALUE"""),"OTRA")</f>
        <v>OTRA</v>
      </c>
      <c r="AB638" s="6"/>
      <c r="AC638" s="6"/>
      <c r="AD638" s="12" t="str">
        <f>IFERROR(__xludf.DUMMYFUNCTION("""COMPUTED_VALUE"""),"9B")</f>
        <v>9B</v>
      </c>
      <c r="AE638" s="12">
        <f>IFERROR(__xludf.DUMMYFUNCTION("""COMPUTED_VALUE"""),1.345282084E9)</f>
        <v>1345282084</v>
      </c>
      <c r="AF638" s="12" t="str">
        <f>IFERROR(__xludf.DUMMYFUNCTION("""COMPUTED_VALUE"""),"0690914371")</f>
        <v>0690914371</v>
      </c>
      <c r="AG638" s="12" t="str">
        <f>IFERROR(__xludf.DUMMYFUNCTION("""COMPUTED_VALUE"""),"Ana")</f>
        <v>Ana</v>
      </c>
      <c r="AH638" s="12" t="str">
        <f>IFERROR(__xludf.DUMMYFUNCTION("""COMPUTED_VALUE"""),"Carolina")</f>
        <v>Carolina</v>
      </c>
      <c r="AI638" s="6" t="str">
        <f>IFERROR(__xludf.DUMMYFUNCTION("""COMPUTED_VALUE"""),"Arcila Arcila")</f>
        <v>Arcila Arcila</v>
      </c>
      <c r="AJ638" s="6" t="str">
        <f>IFERROR(__xludf.DUMMYFUNCTION("""COMPUTED_VALUE"""),"acaroarcila@gmail.com")</f>
        <v>acaroarcila@gmail.com</v>
      </c>
      <c r="AK638" s="6"/>
      <c r="AL638" s="6"/>
      <c r="AM638" s="12" t="str">
        <f>IFERROR(__xludf.DUMMYFUNCTION("""COMPUTED_VALUE"""),"41939247")</f>
        <v>41939247</v>
      </c>
      <c r="AN638" s="12" t="str">
        <f>IFERROR(__xludf.DUMMYFUNCTION("""COMPUTED_VALUE"""),"3203842991")</f>
        <v>3203842991</v>
      </c>
      <c r="AO638" s="6" t="str">
        <f>IFERROR(__xludf.DUMMYFUNCTION("""COMPUTED_VALUE"""),"Madre")</f>
        <v>Madre</v>
      </c>
      <c r="AP638" s="6" t="str">
        <f>IFERROR(__xludf.DUMMYFUNCTION("""COMPUTED_VALUE"""),"Estudiante(s): García Arcila")</f>
        <v>Estudiante(s): García Arcila</v>
      </c>
      <c r="AQ638" s="6" t="str">
        <f>IFERROR(__xludf.DUMMYFUNCTION("""COMPUTED_VALUE"""),"120073*Gi")</f>
        <v>120073*Gi</v>
      </c>
      <c r="AR638" s="6" t="str">
        <f>IFERROR(__xludf.DUMMYFUNCTION("""COMPUTED_VALUE"""),"Germán")</f>
        <v>Germán</v>
      </c>
      <c r="AS638" s="6" t="str">
        <f>IFERROR(__xludf.DUMMYFUNCTION("""COMPUTED_VALUE"""),"Alfonso")</f>
        <v>Alfonso</v>
      </c>
      <c r="AT638" s="6" t="str">
        <f>IFERROR(__xludf.DUMMYFUNCTION("""COMPUTED_VALUE"""),"García Gómez")</f>
        <v>García Gómez</v>
      </c>
      <c r="AU638" s="6" t="str">
        <f>IFERROR(__xludf.DUMMYFUNCTION("""COMPUTED_VALUE"""),"poison6872@hotmail.com")</f>
        <v>poison6872@hotmail.com</v>
      </c>
      <c r="AV638" s="6" t="str">
        <f>IFERROR(__xludf.DUMMYFUNCTION("""COMPUTED_VALUE"""),"CORONEL RETIRADO FAC/ PILOTO")</f>
        <v>CORONEL RETIRADO FAC/ PILOTO</v>
      </c>
      <c r="AW638" s="6"/>
      <c r="AX638" s="12" t="str">
        <f>IFERROR(__xludf.DUMMYFUNCTION("""COMPUTED_VALUE"""),"7562320")</f>
        <v>7562320</v>
      </c>
      <c r="AY638" s="12" t="str">
        <f>IFERROR(__xludf.DUMMYFUNCTION("""COMPUTED_VALUE"""),"3104933438")</f>
        <v>3104933438</v>
      </c>
      <c r="AZ638" s="6" t="str">
        <f>IFERROR(__xludf.DUMMYFUNCTION("""COMPUTED_VALUE"""),"Padre")</f>
        <v>Padre</v>
      </c>
      <c r="BA638" s="6"/>
      <c r="BB638" s="6"/>
      <c r="BC638" s="6"/>
      <c r="BD638" s="12" t="str">
        <f>IFERROR(__xludf.DUMMYFUNCTION("""COMPUTED_VALUE"""),"gar0005")</f>
        <v>gar0005</v>
      </c>
      <c r="BE638" s="6" t="str">
        <f>IFERROR(__xludf.DUMMYFUNCTION("""COMPUTED_VALUE"""),"FALTAN FIRMAS")</f>
        <v>FALTAN FIRMAS</v>
      </c>
      <c r="BF638" s="6"/>
      <c r="BG638" s="6">
        <f>IFERROR(__xludf.DUMMYFUNCTION("""COMPUTED_VALUE"""),2030.0)</f>
        <v>2030</v>
      </c>
      <c r="BH638" s="15">
        <f>IFERROR(__xludf.DUMMYFUNCTION("""COMPUTED_VALUE"""),46204.92753472222)</f>
        <v>46204.92753</v>
      </c>
      <c r="BI638" s="6">
        <f>IFERROR(__xludf.DUMMYFUNCTION("""COMPUTED_VALUE"""),639.0)</f>
        <v>639</v>
      </c>
      <c r="BJ638" s="6" t="str">
        <f>IFERROR(__xludf.DUMMYFUNCTION("""COMPUTED_VALUE"""),"Mayo 14/2023 SIMAT: Discapacidad Física")</f>
        <v>Mayo 14/2023 SIMAT: Discapacidad Física</v>
      </c>
      <c r="BK638" s="6"/>
      <c r="BL638" s="6" t="str">
        <f>IFERROR(__xludf.DUMMYFUNCTION("""COMPUTED_VALUE"""),"GISGAR0005")</f>
        <v>GISGAR0005</v>
      </c>
      <c r="BM638" s="6"/>
      <c r="BN638" s="6"/>
      <c r="BO638" s="6"/>
      <c r="BP638" s="6"/>
      <c r="BQ638" s="6"/>
      <c r="BR638" s="6"/>
      <c r="BS638" s="6"/>
      <c r="BT638" s="6"/>
      <c r="BU638" s="6" t="str">
        <f>IFERROR(__xludf.DUMMYFUNCTION("""COMPUTED_VALUE"""),"SI")</f>
        <v>SI</v>
      </c>
      <c r="BV638" s="6" t="str">
        <f>IFERROR(__xludf.DUMMYFUNCTION("""COMPUTED_VALUE"""),"tomas.g2030")</f>
        <v>tomas.g2030</v>
      </c>
      <c r="BW638" s="6"/>
      <c r="BX638" s="6"/>
      <c r="BY638" s="6"/>
      <c r="BZ638" s="6"/>
    </row>
    <row r="639">
      <c r="A639" s="12">
        <f>IFERROR(__xludf.DUMMYFUNCTION("""COMPUTED_VALUE"""),1.127250716E9)</f>
        <v>1127250716</v>
      </c>
      <c r="B639" s="6">
        <f>IFERROR(__xludf.DUMMYFUNCTION("""COMPUTED_VALUE"""),18.0)</f>
        <v>18</v>
      </c>
      <c r="C639" s="6" t="str">
        <f>IFERROR(__xludf.DUMMYFUNCTION("""COMPUTED_VALUE"""),"Izabela")</f>
        <v>Izabela</v>
      </c>
      <c r="D639" s="6"/>
      <c r="E639" s="6" t="str">
        <f>IFERROR(__xludf.DUMMYFUNCTION("""COMPUTED_VALUE"""),"Gómez Buitrago")</f>
        <v>Gómez Buitrago</v>
      </c>
      <c r="F639" s="6" t="str">
        <f>IFERROR(__xludf.DUMMYFUNCTION("""COMPUTED_VALUE"""),"Cra 14 No15Nte - 23 Apto 502 Edificio Santa Margarita - La Fogata")</f>
        <v>Cra 14 No15Nte - 23 Apto 502 Edificio Santa Margarita - La Fogata</v>
      </c>
      <c r="G639" s="12" t="str">
        <f>IFERROR(__xludf.DUMMYFUNCTION("""COMPUTED_VALUE"""),"2012")</f>
        <v>2012</v>
      </c>
      <c r="H639" s="6" t="str">
        <f>IFERROR(__xludf.DUMMYFUNCTION("""COMPUTED_VALUE"""),"Enero")</f>
        <v>Enero</v>
      </c>
      <c r="I639" s="12" t="str">
        <f>IFERROR(__xludf.DUMMYFUNCTION("""COMPUTED_VALUE"""),"29")</f>
        <v>29</v>
      </c>
      <c r="J639" s="6" t="str">
        <f>IFERROR(__xludf.DUMMYFUNCTION("""COMPUTED_VALUE"""),"Miramar Beach")</f>
        <v>Miramar Beach</v>
      </c>
      <c r="K639" s="6" t="str">
        <f>IFERROR(__xludf.DUMMYFUNCTION("""COMPUTED_VALUE"""),"izabela.g2030@gi.edu.co")</f>
        <v>izabela.g2030@gi.edu.co</v>
      </c>
      <c r="L639" s="6" t="str">
        <f>IFERROR(__xludf.DUMMYFUNCTION("""COMPUTED_VALUE"""),"TI")</f>
        <v>TI</v>
      </c>
      <c r="M639" s="6" t="str">
        <f>IFERROR(__xludf.DUMMYFUNCTION("""COMPUTED_VALUE"""),"Armenia")</f>
        <v>Armenia</v>
      </c>
      <c r="N639" s="6" t="str">
        <f>IFERROR(__xludf.DUMMYFUNCTION("""COMPUTED_VALUE"""),"F")</f>
        <v>F</v>
      </c>
      <c r="O639" s="6" t="str">
        <f>IFERROR(__xludf.DUMMYFUNCTION("""COMPUTED_VALUE"""),"ACTIVE")</f>
        <v>ACTIVE</v>
      </c>
      <c r="P639" s="6"/>
      <c r="Q639" s="6" t="str">
        <f>IFERROR(__xludf.DUMMYFUNCTION("""COMPUTED_VALUE"""),"Armenia")</f>
        <v>Armenia</v>
      </c>
      <c r="R639" s="12" t="str">
        <f>IFERROR(__xludf.DUMMYFUNCTION("""COMPUTED_VALUE"""),"Gi1999gb*")</f>
        <v>Gi1999gb*</v>
      </c>
      <c r="S639" s="6" t="str">
        <f>IFERROR(__xludf.DUMMYFUNCTION("""COMPUTED_VALUE"""),"Gómez Buitrago Izabela ")</f>
        <v>Gómez Buitrago Izabela </v>
      </c>
      <c r="T639" s="6" t="str">
        <f>IFERROR(__xludf.DUMMYFUNCTION("""COMPUTED_VALUE"""),"LINA MARIA BUITRAGO GUTIERREZ")</f>
        <v>LINA MARIA BUITRAGO GUTIERREZ</v>
      </c>
      <c r="U639" s="12" t="str">
        <f>IFERROR(__xludf.DUMMYFUNCTION("""COMPUTED_VALUE"""),"41934311")</f>
        <v>41934311</v>
      </c>
      <c r="V639" s="6">
        <f>IFERROR(__xludf.DUMMYFUNCTION("""COMPUTED_VALUE"""),3.105978619E9)</f>
        <v>3105978619</v>
      </c>
      <c r="W639" s="6" t="str">
        <f>IFERROR(__xludf.DUMMYFUNCTION("""COMPUTED_VALUE"""),"linabuitragog@hotmail.com")</f>
        <v>linabuitragog@hotmail.com</v>
      </c>
      <c r="X639" s="12" t="str">
        <f>IFERROR(__xludf.DUMMYFUNCTION("""COMPUTED_VALUE"""),"O+")</f>
        <v>O+</v>
      </c>
      <c r="Y639" s="12" t="str">
        <f>IFERROR(__xludf.DUMMYFUNCTION("""COMPUTED_VALUE"""),"9")</f>
        <v>9</v>
      </c>
      <c r="Z639" s="12">
        <f>IFERROR(__xludf.DUMMYFUNCTION("""COMPUTED_VALUE"""),103811.0)</f>
        <v>103811</v>
      </c>
      <c r="AA639" s="6" t="str">
        <f>IFERROR(__xludf.DUMMYFUNCTION("""COMPUTED_VALUE"""),"NUEVA EPS")</f>
        <v>NUEVA EPS</v>
      </c>
      <c r="AB639" s="6"/>
      <c r="AC639" s="12" t="str">
        <f>IFERROR(__xludf.DUMMYFUNCTION("""COMPUTED_VALUE"""),"Renitis")</f>
        <v>Renitis</v>
      </c>
      <c r="AD639" s="12" t="str">
        <f>IFERROR(__xludf.DUMMYFUNCTION("""COMPUTED_VALUE"""),"9B")</f>
        <v>9B</v>
      </c>
      <c r="AE639" s="12">
        <f>IFERROR(__xludf.DUMMYFUNCTION("""COMPUTED_VALUE"""),1.345281903E9)</f>
        <v>1345281903</v>
      </c>
      <c r="AF639" s="12" t="str">
        <f>IFERROR(__xludf.DUMMYFUNCTION("""COMPUTED_VALUE"""),"0695267011")</f>
        <v>0695267011</v>
      </c>
      <c r="AG639" s="12" t="str">
        <f>IFERROR(__xludf.DUMMYFUNCTION("""COMPUTED_VALUE"""),"Lina")</f>
        <v>Lina</v>
      </c>
      <c r="AH639" s="12" t="str">
        <f>IFERROR(__xludf.DUMMYFUNCTION("""COMPUTED_VALUE"""),"María")</f>
        <v>María</v>
      </c>
      <c r="AI639" s="6" t="str">
        <f>IFERROR(__xludf.DUMMYFUNCTION("""COMPUTED_VALUE"""),"Buitrago Gutiérrez")</f>
        <v>Buitrago Gutiérrez</v>
      </c>
      <c r="AJ639" s="6" t="str">
        <f>IFERROR(__xludf.DUMMYFUNCTION("""COMPUTED_VALUE"""),"linabuitragog@hotmail.com")</f>
        <v>linabuitragog@hotmail.com</v>
      </c>
      <c r="AK639" s="6" t="str">
        <f>IFERROR(__xludf.DUMMYFUNCTION("""COMPUTED_VALUE"""),"Administración de empresa")</f>
        <v>Administración de empresa</v>
      </c>
      <c r="AL639" s="6" t="str">
        <f>IFERROR(__xludf.DUMMYFUNCTION("""COMPUTED_VALUE"""),"Agropecuaria")</f>
        <v>Agropecuaria</v>
      </c>
      <c r="AM639" s="12" t="str">
        <f>IFERROR(__xludf.DUMMYFUNCTION("""COMPUTED_VALUE"""),"41934311")</f>
        <v>41934311</v>
      </c>
      <c r="AN639" s="12" t="str">
        <f>IFERROR(__xludf.DUMMYFUNCTION("""COMPUTED_VALUE"""),"3105978619")</f>
        <v>3105978619</v>
      </c>
      <c r="AO639" s="6" t="str">
        <f>IFERROR(__xludf.DUMMYFUNCTION("""COMPUTED_VALUE"""),"Madre")</f>
        <v>Madre</v>
      </c>
      <c r="AP639" s="6" t="str">
        <f>IFERROR(__xludf.DUMMYFUNCTION("""COMPUTED_VALUE"""),"Estudiante(s): Gómez Buitrago")</f>
        <v>Estudiante(s): Gómez Buitrago</v>
      </c>
      <c r="AQ639" s="6" t="str">
        <f>IFERROR(__xludf.DUMMYFUNCTION("""COMPUTED_VALUE"""),"103811*Gi")</f>
        <v>103811*Gi</v>
      </c>
      <c r="AR639" s="6" t="str">
        <f>IFERROR(__xludf.DUMMYFUNCTION("""COMPUTED_VALUE"""),"Jorge")</f>
        <v>Jorge</v>
      </c>
      <c r="AS639" s="6" t="str">
        <f>IFERROR(__xludf.DUMMYFUNCTION("""COMPUTED_VALUE"""),"Eduardo")</f>
        <v>Eduardo</v>
      </c>
      <c r="AT639" s="6" t="str">
        <f>IFERROR(__xludf.DUMMYFUNCTION("""COMPUTED_VALUE"""),"Gómez Córdoba")</f>
        <v>Gómez Córdoba</v>
      </c>
      <c r="AU639" s="6" t="str">
        <f>IFERROR(__xludf.DUMMYFUNCTION("""COMPUTED_VALUE"""),"jorgegomezcordoba@hotmail.com")</f>
        <v>jorgegomezcordoba@hotmail.com</v>
      </c>
      <c r="AV639" s="6"/>
      <c r="AW639" s="6"/>
      <c r="AX639" s="12" t="str">
        <f>IFERROR(__xludf.DUMMYFUNCTION("""COMPUTED_VALUE"""),"7559813")</f>
        <v>7559813</v>
      </c>
      <c r="AY639" s="12" t="str">
        <f>IFERROR(__xludf.DUMMYFUNCTION("""COMPUTED_VALUE"""),"3218237625")</f>
        <v>3218237625</v>
      </c>
      <c r="AZ639" s="6" t="str">
        <f>IFERROR(__xludf.DUMMYFUNCTION("""COMPUTED_VALUE"""),"Padre")</f>
        <v>Padre</v>
      </c>
      <c r="BA639" s="6"/>
      <c r="BB639" s="6"/>
      <c r="BC639" s="6"/>
      <c r="BD639" s="12" t="str">
        <f>IFERROR(__xludf.DUMMYFUNCTION("""COMPUTED_VALUE"""),"gme0021")</f>
        <v>gme0021</v>
      </c>
      <c r="BE639" s="6"/>
      <c r="BF639" s="6"/>
      <c r="BG639" s="6">
        <f>IFERROR(__xludf.DUMMYFUNCTION("""COMPUTED_VALUE"""),2030.0)</f>
        <v>2030</v>
      </c>
      <c r="BH639" s="15">
        <f>IFERROR(__xludf.DUMMYFUNCTION("""COMPUTED_VALUE"""),46205.4656712963)</f>
        <v>46205.46567</v>
      </c>
      <c r="BI639" s="6">
        <f>IFERROR(__xludf.DUMMYFUNCTION("""COMPUTED_VALUE"""),640.0)</f>
        <v>640</v>
      </c>
      <c r="BJ639" s="6"/>
      <c r="BK639" s="6"/>
      <c r="BL639" s="6" t="str">
        <f>IFERROR(__xludf.DUMMYFUNCTION("""COMPUTED_VALUE"""),"GISGME0021")</f>
        <v>GISGME0021</v>
      </c>
      <c r="BM639" s="6"/>
      <c r="BN639" s="6"/>
      <c r="BO639" s="6" t="str">
        <f>IFERROR(__xludf.DUMMYFUNCTION("""COMPUTED_VALUE"""),"XC_SEC_ProgRobot")</f>
        <v>XC_SEC_ProgRobot</v>
      </c>
      <c r="BP639" s="6"/>
      <c r="BQ639" s="6"/>
      <c r="BR639" s="6"/>
      <c r="BS639" s="6"/>
      <c r="BT639" s="6"/>
      <c r="BU639" s="6" t="str">
        <f>IFERROR(__xludf.DUMMYFUNCTION("""COMPUTED_VALUE"""),"SI")</f>
        <v>SI</v>
      </c>
      <c r="BV639" s="6" t="str">
        <f>IFERROR(__xludf.DUMMYFUNCTION("""COMPUTED_VALUE"""),"izabela.g2030")</f>
        <v>izabela.g2030</v>
      </c>
      <c r="BW639" s="6"/>
      <c r="BX639" s="6"/>
      <c r="BY639" s="6"/>
      <c r="BZ639" s="6"/>
    </row>
    <row r="640">
      <c r="A640" s="12">
        <f>IFERROR(__xludf.DUMMYFUNCTION("""COMPUTED_VALUE"""),1.092856505E9)</f>
        <v>1092856505</v>
      </c>
      <c r="B640" s="6">
        <f>IFERROR(__xludf.DUMMYFUNCTION("""COMPUTED_VALUE"""),19.0)</f>
        <v>19</v>
      </c>
      <c r="C640" s="6" t="str">
        <f>IFERROR(__xludf.DUMMYFUNCTION("""COMPUTED_VALUE"""),"Susana")</f>
        <v>Susana</v>
      </c>
      <c r="D640" s="6"/>
      <c r="E640" s="6" t="str">
        <f>IFERROR(__xludf.DUMMYFUNCTION("""COMPUTED_VALUE"""),"Gómez Buitrago")</f>
        <v>Gómez Buitrago</v>
      </c>
      <c r="F640" s="6" t="str">
        <f>IFERROR(__xludf.DUMMYFUNCTION("""COMPUTED_VALUE"""),"Parque Residencial Girasol Casa 21 - La Granja")</f>
        <v>Parque Residencial Girasol Casa 21 - La Granja</v>
      </c>
      <c r="G640" s="12" t="str">
        <f>IFERROR(__xludf.DUMMYFUNCTION("""COMPUTED_VALUE"""),"2012")</f>
        <v>2012</v>
      </c>
      <c r="H640" s="6" t="str">
        <f>IFERROR(__xludf.DUMMYFUNCTION("""COMPUTED_VALUE"""),"Diciembre")</f>
        <v>Diciembre</v>
      </c>
      <c r="I640" s="12" t="str">
        <f>IFERROR(__xludf.DUMMYFUNCTION("""COMPUTED_VALUE"""),"26")</f>
        <v>26</v>
      </c>
      <c r="J640" s="6" t="str">
        <f>IFERROR(__xludf.DUMMYFUNCTION("""COMPUTED_VALUE"""),"Armenia")</f>
        <v>Armenia</v>
      </c>
      <c r="K640" s="6" t="str">
        <f>IFERROR(__xludf.DUMMYFUNCTION("""COMPUTED_VALUE"""),"susana.g2030@gi.edu.co")</f>
        <v>susana.g2030@gi.edu.co</v>
      </c>
      <c r="L640" s="6" t="str">
        <f>IFERROR(__xludf.DUMMYFUNCTION("""COMPUTED_VALUE"""),"TI")</f>
        <v>TI</v>
      </c>
      <c r="M640" s="6" t="str">
        <f>IFERROR(__xludf.DUMMYFUNCTION("""COMPUTED_VALUE"""),"Quimbaya")</f>
        <v>Quimbaya</v>
      </c>
      <c r="N640" s="6" t="str">
        <f>IFERROR(__xludf.DUMMYFUNCTION("""COMPUTED_VALUE"""),"F")</f>
        <v>F</v>
      </c>
      <c r="O640" s="6" t="str">
        <f>IFERROR(__xludf.DUMMYFUNCTION("""COMPUTED_VALUE"""),"INACTIVE")</f>
        <v>INACTIVE</v>
      </c>
      <c r="P640" s="6"/>
      <c r="Q640" s="6" t="str">
        <f>IFERROR(__xludf.DUMMYFUNCTION("""COMPUTED_VALUE"""),"Quimbaya")</f>
        <v>Quimbaya</v>
      </c>
      <c r="R640" s="12" t="str">
        <f>IFERROR(__xludf.DUMMYFUNCTION("""COMPUTED_VALUE"""),"G87bki54g*")</f>
        <v>G87bki54g*</v>
      </c>
      <c r="S640" s="6" t="str">
        <f>IFERROR(__xludf.DUMMYFUNCTION("""COMPUTED_VALUE"""),"Gómez Buitrago Susana ")</f>
        <v>Gómez Buitrago Susana </v>
      </c>
      <c r="T640" s="6" t="str">
        <f>IFERROR(__xludf.DUMMYFUNCTION("""COMPUTED_VALUE"""),"CONSTRUCTORA Y COMERCIALIZADORA POPORO SAS BIC")</f>
        <v>CONSTRUCTORA Y COMERCIALIZADORA POPORO SAS BIC</v>
      </c>
      <c r="U640" s="12" t="str">
        <f>IFERROR(__xludf.DUMMYFUNCTION("""COMPUTED_VALUE"""),"900211721")</f>
        <v>900211721</v>
      </c>
      <c r="V640" s="6">
        <f>IFERROR(__xludf.DUMMYFUNCTION("""COMPUTED_VALUE"""),3.20692802E9)</f>
        <v>3206928020</v>
      </c>
      <c r="W640" s="6" t="str">
        <f>IFERROR(__xludf.DUMMYFUNCTION("""COMPUTED_VALUE"""),"tesoreriaconstructorapoporo@gmail.com")</f>
        <v>tesoreriaconstructorapoporo@gmail.com</v>
      </c>
      <c r="X640" s="12" t="str">
        <f>IFERROR(__xludf.DUMMYFUNCTION("""COMPUTED_VALUE"""),"O+")</f>
        <v>O+</v>
      </c>
      <c r="Y640" s="12" t="str">
        <f>IFERROR(__xludf.DUMMYFUNCTION("""COMPUTED_VALUE"""),"9")</f>
        <v>9</v>
      </c>
      <c r="Z640" s="12">
        <f>IFERROR(__xludf.DUMMYFUNCTION("""COMPUTED_VALUE"""),120026.0)</f>
        <v>120026</v>
      </c>
      <c r="AA640" s="6" t="str">
        <f>IFERROR(__xludf.DUMMYFUNCTION("""COMPUTED_VALUE"""),"SURA")</f>
        <v>SURA</v>
      </c>
      <c r="AB640" s="6"/>
      <c r="AC640" s="6"/>
      <c r="AD640" s="12" t="str">
        <f>IFERROR(__xludf.DUMMYFUNCTION("""COMPUTED_VALUE"""),"9A")</f>
        <v>9A</v>
      </c>
      <c r="AE640" s="12">
        <f>IFERROR(__xludf.DUMMYFUNCTION("""COMPUTED_VALUE"""),1.345282028E9)</f>
        <v>1345282028</v>
      </c>
      <c r="AF640" s="12" t="str">
        <f>IFERROR(__xludf.DUMMYFUNCTION("""COMPUTED_VALUE"""),"0671831667")</f>
        <v>0671831667</v>
      </c>
      <c r="AG640" s="12" t="str">
        <f>IFERROR(__xludf.DUMMYFUNCTION("""COMPUTED_VALUE"""),"Diana")</f>
        <v>Diana</v>
      </c>
      <c r="AH640" s="12" t="str">
        <f>IFERROR(__xludf.DUMMYFUNCTION("""COMPUTED_VALUE"""),"Clarena")</f>
        <v>Clarena</v>
      </c>
      <c r="AI640" s="6" t="str">
        <f>IFERROR(__xludf.DUMMYFUNCTION("""COMPUTED_VALUE"""),"Buitrago Ramírez")</f>
        <v>Buitrago Ramírez</v>
      </c>
      <c r="AJ640" s="6" t="str">
        <f>IFERROR(__xludf.DUMMYFUNCTION("""COMPUTED_VALUE"""),"dianaclbuitrago@gmail.com")</f>
        <v>dianaclbuitrago@gmail.com</v>
      </c>
      <c r="AK640" s="6" t="str">
        <f>IFERROR(__xludf.DUMMYFUNCTION("""COMPUTED_VALUE"""),"Fisioterapeuta")</f>
        <v>Fisioterapeuta</v>
      </c>
      <c r="AL640" s="6" t="str">
        <f>IFERROR(__xludf.DUMMYFUNCTION("""COMPUTED_VALUE"""),"Fundacion Construyendo Bienestar")</f>
        <v>Fundacion Construyendo Bienestar</v>
      </c>
      <c r="AM640" s="12" t="str">
        <f>IFERROR(__xludf.DUMMYFUNCTION("""COMPUTED_VALUE"""),"41938214")</f>
        <v>41938214</v>
      </c>
      <c r="AN640" s="12" t="str">
        <f>IFERROR(__xludf.DUMMYFUNCTION("""COMPUTED_VALUE"""),"3116061912")</f>
        <v>3116061912</v>
      </c>
      <c r="AO640" s="6" t="str">
        <f>IFERROR(__xludf.DUMMYFUNCTION("""COMPUTED_VALUE"""),"Madre")</f>
        <v>Madre</v>
      </c>
      <c r="AP640" s="6" t="str">
        <f>IFERROR(__xludf.DUMMYFUNCTION("""COMPUTED_VALUE"""),"Estudiante(s): Gómez Buitrago")</f>
        <v>Estudiante(s): Gómez Buitrago</v>
      </c>
      <c r="AQ640" s="6" t="str">
        <f>IFERROR(__xludf.DUMMYFUNCTION("""COMPUTED_VALUE"""),"103590*Gi")</f>
        <v>103590*Gi</v>
      </c>
      <c r="AR640" s="6" t="str">
        <f>IFERROR(__xludf.DUMMYFUNCTION("""COMPUTED_VALUE"""),"Juan")</f>
        <v>Juan</v>
      </c>
      <c r="AS640" s="6" t="str">
        <f>IFERROR(__xludf.DUMMYFUNCTION("""COMPUTED_VALUE"""),"Diego")</f>
        <v>Diego</v>
      </c>
      <c r="AT640" s="6" t="str">
        <f>IFERROR(__xludf.DUMMYFUNCTION("""COMPUTED_VALUE"""),"Gómez Londoño")</f>
        <v>Gómez Londoño</v>
      </c>
      <c r="AU640" s="6" t="str">
        <f>IFERROR(__xludf.DUMMYFUNCTION("""COMPUTED_VALUE"""),"ingjuandiego@yahoo.com")</f>
        <v>ingjuandiego@yahoo.com</v>
      </c>
      <c r="AV640" s="6" t="str">
        <f>IFERROR(__xludf.DUMMYFUNCTION("""COMPUTED_VALUE"""),"Ingeniero Civil")</f>
        <v>Ingeniero Civil</v>
      </c>
      <c r="AW640" s="6" t="str">
        <f>IFERROR(__xludf.DUMMYFUNCTION("""COMPUTED_VALUE"""),"Constructora poporo")</f>
        <v>Constructora poporo</v>
      </c>
      <c r="AX640" s="12" t="str">
        <f>IFERROR(__xludf.DUMMYFUNCTION("""COMPUTED_VALUE"""),"89004960")</f>
        <v>89004960</v>
      </c>
      <c r="AY640" s="12" t="str">
        <f>IFERROR(__xludf.DUMMYFUNCTION("""COMPUTED_VALUE"""),"3117866462")</f>
        <v>3117866462</v>
      </c>
      <c r="AZ640" s="6" t="str">
        <f>IFERROR(__xludf.DUMMYFUNCTION("""COMPUTED_VALUE"""),"Padre")</f>
        <v>Padre</v>
      </c>
      <c r="BA640" s="6"/>
      <c r="BB640" s="6"/>
      <c r="BC640" s="6"/>
      <c r="BD640" s="12" t="str">
        <f>IFERROR(__xludf.DUMMYFUNCTION("""COMPUTED_VALUE"""),"gme0020")</f>
        <v>gme0020</v>
      </c>
      <c r="BE640" s="6" t="str">
        <f>IFERROR(__xludf.DUMMYFUNCTION("""COMPUTED_VALUE"""),"FALTAN FIRMAS")</f>
        <v>FALTAN FIRMAS</v>
      </c>
      <c r="BF640" s="6"/>
      <c r="BG640" s="6">
        <f>IFERROR(__xludf.DUMMYFUNCTION("""COMPUTED_VALUE"""),2030.0)</f>
        <v>2030</v>
      </c>
      <c r="BH640" s="15">
        <f>IFERROR(__xludf.DUMMYFUNCTION("""COMPUTED_VALUE"""),46211.49082175926)</f>
        <v>46211.49082</v>
      </c>
      <c r="BI640" s="6">
        <f>IFERROR(__xludf.DUMMYFUNCTION("""COMPUTED_VALUE"""),641.0)</f>
        <v>641</v>
      </c>
      <c r="BJ640" s="6"/>
      <c r="BK640" s="6"/>
      <c r="BL640" s="6" t="str">
        <f>IFERROR(__xludf.DUMMYFUNCTION("""COMPUTED_VALUE"""),"GISGME0020")</f>
        <v>GISGME0020</v>
      </c>
      <c r="BM640" s="6"/>
      <c r="BN640" s="6"/>
      <c r="BO640" s="6" t="str">
        <f>IFERROR(__xludf.DUMMYFUNCTION("""COMPUTED_VALUE"""),"XC_HS_Voleibol_F")</f>
        <v>XC_HS_Voleibol_F</v>
      </c>
      <c r="BP640" s="6"/>
      <c r="BQ640" s="6" t="str">
        <f>IFERROR(__xludf.DUMMYFUNCTION("""COMPUTED_VALUE"""),"XC_HS_Voleibol_F")</f>
        <v>XC_HS_Voleibol_F</v>
      </c>
      <c r="BR640" s="6" t="str">
        <f>IFERROR(__xludf.DUMMYFUNCTION("""COMPUTED_VALUE"""),"XC_HS_Voleibol_F")</f>
        <v>XC_HS_Voleibol_F</v>
      </c>
      <c r="BS640" s="6"/>
      <c r="BT640" s="6" t="str">
        <f>IFERROR(__xludf.DUMMYFUNCTION("""COMPUTED_VALUE"""),"XC_HS_Voleibol_F")</f>
        <v>XC_HS_Voleibol_F</v>
      </c>
      <c r="BU640" s="6" t="str">
        <f>IFERROR(__xludf.DUMMYFUNCTION("""COMPUTED_VALUE"""),"SI")</f>
        <v>SI</v>
      </c>
      <c r="BV640" s="6" t="str">
        <f>IFERROR(__xludf.DUMMYFUNCTION("""COMPUTED_VALUE"""),"susana.g2030")</f>
        <v>susana.g2030</v>
      </c>
      <c r="BW640" s="6"/>
      <c r="BX640" s="6"/>
      <c r="BY640" s="6"/>
      <c r="BZ640" s="6"/>
    </row>
    <row r="641">
      <c r="A641" s="12">
        <f>IFERROR(__xludf.DUMMYFUNCTION("""COMPUTED_VALUE"""),1.09285636E9)</f>
        <v>1092856360</v>
      </c>
      <c r="B641" s="6">
        <f>IFERROR(__xludf.DUMMYFUNCTION("""COMPUTED_VALUE"""),20.0)</f>
        <v>20</v>
      </c>
      <c r="C641" s="6" t="str">
        <f>IFERROR(__xludf.DUMMYFUNCTION("""COMPUTED_VALUE"""),"Guadalupe")</f>
        <v>Guadalupe</v>
      </c>
      <c r="D641" s="6"/>
      <c r="E641" s="6" t="str">
        <f>IFERROR(__xludf.DUMMYFUNCTION("""COMPUTED_VALUE"""),"Gómez Pardo")</f>
        <v>Gómez Pardo</v>
      </c>
      <c r="F641" s="6" t="str">
        <f>IFERROR(__xludf.DUMMYFUNCTION("""COMPUTED_VALUE"""),"Condominio Entre Maderos Casa 38 - Vereda El Congal Km 1.2 Via Circasia - Armenia")</f>
        <v>Condominio Entre Maderos Casa 38 - Vereda El Congal Km 1.2 Via Circasia - Armenia</v>
      </c>
      <c r="G641" s="12" t="str">
        <f>IFERROR(__xludf.DUMMYFUNCTION("""COMPUTED_VALUE"""),"2012")</f>
        <v>2012</v>
      </c>
      <c r="H641" s="6" t="str">
        <f>IFERROR(__xludf.DUMMYFUNCTION("""COMPUTED_VALUE"""),"Octubre")</f>
        <v>Octubre</v>
      </c>
      <c r="I641" s="12" t="str">
        <f>IFERROR(__xludf.DUMMYFUNCTION("""COMPUTED_VALUE"""),"16")</f>
        <v>16</v>
      </c>
      <c r="J641" s="6" t="str">
        <f>IFERROR(__xludf.DUMMYFUNCTION("""COMPUTED_VALUE"""),"Armenia")</f>
        <v>Armenia</v>
      </c>
      <c r="K641" s="6" t="str">
        <f>IFERROR(__xludf.DUMMYFUNCTION("""COMPUTED_VALUE"""),"guadalupe.g2030@gi.edu.co")</f>
        <v>guadalupe.g2030@gi.edu.co</v>
      </c>
      <c r="L641" s="6" t="str">
        <f>IFERROR(__xludf.DUMMYFUNCTION("""COMPUTED_VALUE"""),"RC")</f>
        <v>RC</v>
      </c>
      <c r="M641" s="6" t="str">
        <f>IFERROR(__xludf.DUMMYFUNCTION("""COMPUTED_VALUE"""),"Circasia")</f>
        <v>Circasia</v>
      </c>
      <c r="N641" s="6" t="str">
        <f>IFERROR(__xludf.DUMMYFUNCTION("""COMPUTED_VALUE"""),"F")</f>
        <v>F</v>
      </c>
      <c r="O641" s="6" t="str">
        <f>IFERROR(__xludf.DUMMYFUNCTION("""COMPUTED_VALUE"""),"ACTIVE")</f>
        <v>ACTIVE</v>
      </c>
      <c r="P641" s="6"/>
      <c r="Q641" s="6" t="str">
        <f>IFERROR(__xludf.DUMMYFUNCTION("""COMPUTED_VALUE"""),"Circasia")</f>
        <v>Circasia</v>
      </c>
      <c r="R641" s="6" t="str">
        <f>IFERROR(__xludf.DUMMYFUNCTION("""COMPUTED_VALUE"""),"Giky3f9g*")</f>
        <v>Giky3f9g*</v>
      </c>
      <c r="S641" s="6" t="str">
        <f>IFERROR(__xludf.DUMMYFUNCTION("""COMPUTED_VALUE"""),"Gómez Pardo Guadalupe ")</f>
        <v>Gómez Pardo Guadalupe </v>
      </c>
      <c r="T641" s="6" t="str">
        <f>IFERROR(__xludf.DUMMYFUNCTION("""COMPUTED_VALUE"""),"ANDRES GOMEZ LONDOÑO")</f>
        <v>ANDRES GOMEZ LONDOÑO</v>
      </c>
      <c r="U641" s="12" t="str">
        <f>IFERROR(__xludf.DUMMYFUNCTION("""COMPUTED_VALUE"""),"4377404")</f>
        <v>4377404</v>
      </c>
      <c r="V641" s="6">
        <f>IFERROR(__xludf.DUMMYFUNCTION("""COMPUTED_VALUE"""),3.148802408E9)</f>
        <v>3148802408</v>
      </c>
      <c r="W641" s="6" t="str">
        <f>IFERROR(__xludf.DUMMYFUNCTION("""COMPUTED_VALUE"""),"andresgomezge@hotmail.com")</f>
        <v>andresgomezge@hotmail.com</v>
      </c>
      <c r="X641" s="12" t="str">
        <f>IFERROR(__xludf.DUMMYFUNCTION("""COMPUTED_VALUE"""),"O-")</f>
        <v>O-</v>
      </c>
      <c r="Y641" s="12" t="str">
        <f>IFERROR(__xludf.DUMMYFUNCTION("""COMPUTED_VALUE"""),"9")</f>
        <v>9</v>
      </c>
      <c r="Z641" s="12">
        <f>IFERROR(__xludf.DUMMYFUNCTION("""COMPUTED_VALUE"""),103746.0)</f>
        <v>103746</v>
      </c>
      <c r="AA641" s="6" t="str">
        <f>IFERROR(__xludf.DUMMYFUNCTION("""COMPUTED_VALUE"""),"SURA")</f>
        <v>SURA</v>
      </c>
      <c r="AB641" s="6" t="str">
        <f>IFERROR(__xludf.DUMMYFUNCTION("""COMPUTED_VALUE"""),"EMI")</f>
        <v>EMI</v>
      </c>
      <c r="AC641" s="12" t="str">
        <f>IFERROR(__xludf.DUMMYFUNCTION("""COMPUTED_VALUE"""),"polvo, materiales que suelten polvo.")</f>
        <v>polvo, materiales que suelten polvo.</v>
      </c>
      <c r="AD641" s="12" t="str">
        <f>IFERROR(__xludf.DUMMYFUNCTION("""COMPUTED_VALUE"""),"9A")</f>
        <v>9A</v>
      </c>
      <c r="AE641" s="12">
        <f>IFERROR(__xludf.DUMMYFUNCTION("""COMPUTED_VALUE"""),1.345281866E9)</f>
        <v>1345281866</v>
      </c>
      <c r="AF641" s="12" t="str">
        <f>IFERROR(__xludf.DUMMYFUNCTION("""COMPUTED_VALUE"""),"0724574259")</f>
        <v>0724574259</v>
      </c>
      <c r="AG641" s="12" t="str">
        <f>IFERROR(__xludf.DUMMYFUNCTION("""COMPUTED_VALUE"""),"Lesdy")</f>
        <v>Lesdy</v>
      </c>
      <c r="AH641" s="12" t="str">
        <f>IFERROR(__xludf.DUMMYFUNCTION("""COMPUTED_VALUE"""),"Johanna")</f>
        <v>Johanna</v>
      </c>
      <c r="AI641" s="6" t="str">
        <f>IFERROR(__xludf.DUMMYFUNCTION("""COMPUTED_VALUE"""),"Pardo Cardona")</f>
        <v>Pardo Cardona</v>
      </c>
      <c r="AJ641" s="6" t="str">
        <f>IFERROR(__xludf.DUMMYFUNCTION("""COMPUTED_VALUE"""),"johannapardoc@hotmail.com")</f>
        <v>johannapardoc@hotmail.com</v>
      </c>
      <c r="AK641" s="6" t="str">
        <f>IFERROR(__xludf.DUMMYFUNCTION("""COMPUTED_VALUE"""),"abogado")</f>
        <v>abogado</v>
      </c>
      <c r="AL641" s="6" t="str">
        <f>IFERROR(__xludf.DUMMYFUNCTION("""COMPUTED_VALUE"""),"Procuraduria General de la Nacion")</f>
        <v>Procuraduria General de la Nacion</v>
      </c>
      <c r="AM641" s="12" t="str">
        <f>IFERROR(__xludf.DUMMYFUNCTION("""COMPUTED_VALUE"""),"41949580")</f>
        <v>41949580</v>
      </c>
      <c r="AN641" s="12" t="str">
        <f>IFERROR(__xludf.DUMMYFUNCTION("""COMPUTED_VALUE"""),"3207251639")</f>
        <v>3207251639</v>
      </c>
      <c r="AO641" s="6" t="str">
        <f>IFERROR(__xludf.DUMMYFUNCTION("""COMPUTED_VALUE"""),"Madre")</f>
        <v>Madre</v>
      </c>
      <c r="AP641" s="6" t="str">
        <f>IFERROR(__xludf.DUMMYFUNCTION("""COMPUTED_VALUE"""),"Estudiante(s): Gómez Pardo")</f>
        <v>Estudiante(s): Gómez Pardo</v>
      </c>
      <c r="AQ641" s="6" t="str">
        <f>IFERROR(__xludf.DUMMYFUNCTION("""COMPUTED_VALUE"""),"103747*Gi")</f>
        <v>103747*Gi</v>
      </c>
      <c r="AR641" s="6" t="str">
        <f>IFERROR(__xludf.DUMMYFUNCTION("""COMPUTED_VALUE"""),"Andrés")</f>
        <v>Andrés</v>
      </c>
      <c r="AS641" s="6"/>
      <c r="AT641" s="6" t="str">
        <f>IFERROR(__xludf.DUMMYFUNCTION("""COMPUTED_VALUE"""),"Gómez Londoño")</f>
        <v>Gómez Londoño</v>
      </c>
      <c r="AU641" s="6" t="str">
        <f>IFERROR(__xludf.DUMMYFUNCTION("""COMPUTED_VALUE"""),"angomezlo@hotmail.com")</f>
        <v>angomezlo@hotmail.com</v>
      </c>
      <c r="AV641" s="6" t="str">
        <f>IFERROR(__xludf.DUMMYFUNCTION("""COMPUTED_VALUE"""),"agro nomo")</f>
        <v>agro nomo</v>
      </c>
      <c r="AW641" s="6" t="str">
        <f>IFERROR(__xludf.DUMMYFUNCTION("""COMPUTED_VALUE"""),"don express sas")</f>
        <v>don express sas</v>
      </c>
      <c r="AX641" s="12" t="str">
        <f>IFERROR(__xludf.DUMMYFUNCTION("""COMPUTED_VALUE"""),"4377404")</f>
        <v>4377404</v>
      </c>
      <c r="AY641" s="12" t="str">
        <f>IFERROR(__xludf.DUMMYFUNCTION("""COMPUTED_VALUE"""),"3148802408")</f>
        <v>3148802408</v>
      </c>
      <c r="AZ641" s="6" t="str">
        <f>IFERROR(__xludf.DUMMYFUNCTION("""COMPUTED_VALUE"""),"Padre")</f>
        <v>Padre</v>
      </c>
      <c r="BA641" s="6"/>
      <c r="BB641" s="6"/>
      <c r="BC641" s="6"/>
      <c r="BD641" s="12" t="str">
        <f>IFERROR(__xludf.DUMMYFUNCTION("""COMPUTED_VALUE"""),"gom0005")</f>
        <v>gom0005</v>
      </c>
      <c r="BE641" s="6"/>
      <c r="BF641" s="12" t="str">
        <f>IFERROR(__xludf.DUMMYFUNCTION("""COMPUTED_VALUE"""),"PROMOVIDO")</f>
        <v>PROMOVIDO</v>
      </c>
      <c r="BG641" s="6">
        <f>IFERROR(__xludf.DUMMYFUNCTION("""COMPUTED_VALUE"""),2030.0)</f>
        <v>2030</v>
      </c>
      <c r="BH641" s="15">
        <f>IFERROR(__xludf.DUMMYFUNCTION("""COMPUTED_VALUE"""),46204.756747685184)</f>
        <v>46204.75675</v>
      </c>
      <c r="BI641" s="6">
        <f>IFERROR(__xludf.DUMMYFUNCTION("""COMPUTED_VALUE"""),642.0)</f>
        <v>642</v>
      </c>
      <c r="BJ641" s="6"/>
      <c r="BK641" s="6"/>
      <c r="BL641" s="6" t="str">
        <f>IFERROR(__xludf.DUMMYFUNCTION("""COMPUTED_VALUE"""),"GISGOM0005")</f>
        <v>GISGOM0005</v>
      </c>
      <c r="BM641" s="6"/>
      <c r="BN641" s="6"/>
      <c r="BO641" s="6" t="str">
        <f>IFERROR(__xludf.DUMMYFUNCTION("""COMPUTED_VALUE"""),"XC_HS_Voleibol_F")</f>
        <v>XC_HS_Voleibol_F</v>
      </c>
      <c r="BP641" s="6"/>
      <c r="BQ641" s="6" t="str">
        <f>IFERROR(__xludf.DUMMYFUNCTION("""COMPUTED_VALUE"""),"XC_HS_Voleibol_F")</f>
        <v>XC_HS_Voleibol_F</v>
      </c>
      <c r="BR641" s="6" t="str">
        <f>IFERROR(__xludf.DUMMYFUNCTION("""COMPUTED_VALUE"""),"XC_HS_Voleibol_F")</f>
        <v>XC_HS_Voleibol_F</v>
      </c>
      <c r="BS641" s="6"/>
      <c r="BT641" s="6" t="str">
        <f>IFERROR(__xludf.DUMMYFUNCTION("""COMPUTED_VALUE"""),"XC_HS_Voleibol_F")</f>
        <v>XC_HS_Voleibol_F</v>
      </c>
      <c r="BU641" s="6" t="str">
        <f>IFERROR(__xludf.DUMMYFUNCTION("""COMPUTED_VALUE"""),"SI")</f>
        <v>SI</v>
      </c>
      <c r="BV641" s="6" t="str">
        <f>IFERROR(__xludf.DUMMYFUNCTION("""COMPUTED_VALUE"""),"guadalupe.g2030")</f>
        <v>guadalupe.g2030</v>
      </c>
      <c r="BW641" s="6"/>
      <c r="BX641" s="6"/>
      <c r="BY641" s="6"/>
      <c r="BZ641" s="6"/>
    </row>
    <row r="642">
      <c r="A642" s="12">
        <f>IFERROR(__xludf.DUMMYFUNCTION("""COMPUTED_VALUE"""),1.035000093E9)</f>
        <v>1035000093</v>
      </c>
      <c r="B642" s="6">
        <f>IFERROR(__xludf.DUMMYFUNCTION("""COMPUTED_VALUE"""),21.0)</f>
        <v>21</v>
      </c>
      <c r="C642" s="6" t="str">
        <f>IFERROR(__xludf.DUMMYFUNCTION("""COMPUTED_VALUE"""),"Simón")</f>
        <v>Simón</v>
      </c>
      <c r="D642" s="6"/>
      <c r="E642" s="6" t="str">
        <f>IFERROR(__xludf.DUMMYFUNCTION("""COMPUTED_VALUE"""),"Gómez Salazar")</f>
        <v>Gómez Salazar</v>
      </c>
      <c r="F642" s="6" t="str">
        <f>IFERROR(__xludf.DUMMYFUNCTION("""COMPUTED_VALUE"""),"Condominio Reserva de la Pastorita Casa 19 - Av 19 No23ANte - 21")</f>
        <v>Condominio Reserva de la Pastorita Casa 19 - Av 19 No23ANte - 21</v>
      </c>
      <c r="G642" s="12" t="str">
        <f>IFERROR(__xludf.DUMMYFUNCTION("""COMPUTED_VALUE"""),"2012")</f>
        <v>2012</v>
      </c>
      <c r="H642" s="6" t="str">
        <f>IFERROR(__xludf.DUMMYFUNCTION("""COMPUTED_VALUE"""),"Junio")</f>
        <v>Junio</v>
      </c>
      <c r="I642" s="12" t="str">
        <f>IFERROR(__xludf.DUMMYFUNCTION("""COMPUTED_VALUE"""),"1")</f>
        <v>1</v>
      </c>
      <c r="J642" s="6" t="str">
        <f>IFERROR(__xludf.DUMMYFUNCTION("""COMPUTED_VALUE"""),"Medellín")</f>
        <v>Medellín</v>
      </c>
      <c r="K642" s="6" t="str">
        <f>IFERROR(__xludf.DUMMYFUNCTION("""COMPUTED_VALUE"""),"simon.g2030@gi.edu.co")</f>
        <v>simon.g2030@gi.edu.co</v>
      </c>
      <c r="L642" s="6" t="str">
        <f>IFERROR(__xludf.DUMMYFUNCTION("""COMPUTED_VALUE"""),"TI")</f>
        <v>TI</v>
      </c>
      <c r="M642" s="6" t="str">
        <f>IFERROR(__xludf.DUMMYFUNCTION("""COMPUTED_VALUE"""),"Medellín")</f>
        <v>Medellín</v>
      </c>
      <c r="N642" s="6" t="str">
        <f>IFERROR(__xludf.DUMMYFUNCTION("""COMPUTED_VALUE"""),"M")</f>
        <v>M</v>
      </c>
      <c r="O642" s="6" t="str">
        <f>IFERROR(__xludf.DUMMYFUNCTION("""COMPUTED_VALUE"""),"ACTIVE")</f>
        <v>ACTIVE</v>
      </c>
      <c r="P642" s="6"/>
      <c r="Q642" s="6" t="str">
        <f>IFERROR(__xludf.DUMMYFUNCTION("""COMPUTED_VALUE"""),"Armenia")</f>
        <v>Armenia</v>
      </c>
      <c r="R642" s="12" t="str">
        <f>IFERROR(__xludf.DUMMYFUNCTION("""COMPUTED_VALUE"""),"Gi6b5v4c9m*")</f>
        <v>Gi6b5v4c9m*</v>
      </c>
      <c r="S642" s="6" t="str">
        <f>IFERROR(__xludf.DUMMYFUNCTION("""COMPUTED_VALUE"""),"Gómez Salazar Simón ")</f>
        <v>Gómez Salazar Simón </v>
      </c>
      <c r="T642" s="6" t="str">
        <f>IFERROR(__xludf.DUMMYFUNCTION("""COMPUTED_VALUE"""),"ANDRES FELIPE GÓMEZ RESTREPO")</f>
        <v>ANDRES FELIPE GÓMEZ RESTREPO</v>
      </c>
      <c r="U642" s="12" t="str">
        <f>IFERROR(__xludf.DUMMYFUNCTION("""COMPUTED_VALUE"""),"71777734")</f>
        <v>71777734</v>
      </c>
      <c r="V642" s="6">
        <f>IFERROR(__xludf.DUMMYFUNCTION("""COMPUTED_VALUE"""),3.136493366E9)</f>
        <v>3136493366</v>
      </c>
      <c r="W642" s="6" t="str">
        <f>IFERROR(__xludf.DUMMYFUNCTION("""COMPUTED_VALUE"""),"andresfgr@hotmail.com")</f>
        <v>andresfgr@hotmail.com</v>
      </c>
      <c r="X642" s="12" t="str">
        <f>IFERROR(__xludf.DUMMYFUNCTION("""COMPUTED_VALUE"""),"O+")</f>
        <v>O+</v>
      </c>
      <c r="Y642" s="12" t="str">
        <f>IFERROR(__xludf.DUMMYFUNCTION("""COMPUTED_VALUE"""),"9")</f>
        <v>9</v>
      </c>
      <c r="Z642" s="12">
        <f>IFERROR(__xludf.DUMMYFUNCTION("""COMPUTED_VALUE"""),103522.0)</f>
        <v>103522</v>
      </c>
      <c r="AA642" s="6" t="str">
        <f>IFERROR(__xludf.DUMMYFUNCTION("""COMPUTED_VALUE"""),"SURA")</f>
        <v>SURA</v>
      </c>
      <c r="AB642" s="6" t="str">
        <f>IFERROR(__xludf.DUMMYFUNCTION("""COMPUTED_VALUE"""),"Medicina Prepagada")</f>
        <v>Medicina Prepagada</v>
      </c>
      <c r="AC642" s="6"/>
      <c r="AD642" s="12" t="str">
        <f>IFERROR(__xludf.DUMMYFUNCTION("""COMPUTED_VALUE"""),"9A")</f>
        <v>9A</v>
      </c>
      <c r="AE642" s="12">
        <f>IFERROR(__xludf.DUMMYFUNCTION("""COMPUTED_VALUE"""),1.345281727E9)</f>
        <v>1345281727</v>
      </c>
      <c r="AF642" s="12" t="str">
        <f>IFERROR(__xludf.DUMMYFUNCTION("""COMPUTED_VALUE"""),"2489675587")</f>
        <v>2489675587</v>
      </c>
      <c r="AG642" s="12" t="str">
        <f>IFERROR(__xludf.DUMMYFUNCTION("""COMPUTED_VALUE"""),"Glória")</f>
        <v>Glória</v>
      </c>
      <c r="AH642" s="12" t="str">
        <f>IFERROR(__xludf.DUMMYFUNCTION("""COMPUTED_VALUE"""),"Elena")</f>
        <v>Elena</v>
      </c>
      <c r="AI642" s="6" t="str">
        <f>IFERROR(__xludf.DUMMYFUNCTION("""COMPUTED_VALUE"""),"Salazar Pérez")</f>
        <v>Salazar Pérez</v>
      </c>
      <c r="AJ642" s="6" t="str">
        <f>IFERROR(__xludf.DUMMYFUNCTION("""COMPUTED_VALUE"""),"gloriasalazar2508@hotmail.com")</f>
        <v>gloriasalazar2508@hotmail.com</v>
      </c>
      <c r="AK642" s="6" t="str">
        <f>IFERROR(__xludf.DUMMYFUNCTION("""COMPUTED_VALUE"""),"Contador público")</f>
        <v>Contador público</v>
      </c>
      <c r="AL642" s="6" t="str">
        <f>IFERROR(__xludf.DUMMYFUNCTION("""COMPUTED_VALUE"""),"Independiente")</f>
        <v>Independiente</v>
      </c>
      <c r="AM642" s="12" t="str">
        <f>IFERROR(__xludf.DUMMYFUNCTION("""COMPUTED_VALUE"""),"39456405")</f>
        <v>39456405</v>
      </c>
      <c r="AN642" s="12" t="str">
        <f>IFERROR(__xludf.DUMMYFUNCTION("""COMPUTED_VALUE"""),"3136067206")</f>
        <v>3136067206</v>
      </c>
      <c r="AO642" s="6" t="str">
        <f>IFERROR(__xludf.DUMMYFUNCTION("""COMPUTED_VALUE"""),"Madre")</f>
        <v>Madre</v>
      </c>
      <c r="AP642" s="6" t="str">
        <f>IFERROR(__xludf.DUMMYFUNCTION("""COMPUTED_VALUE"""),"Estudiante(s): Gómez Salazar")</f>
        <v>Estudiante(s): Gómez Salazar</v>
      </c>
      <c r="AQ642" s="6" t="str">
        <f>IFERROR(__xludf.DUMMYFUNCTION("""COMPUTED_VALUE"""),"103910*Gi")</f>
        <v>103910*Gi</v>
      </c>
      <c r="AR642" s="6" t="str">
        <f>IFERROR(__xludf.DUMMYFUNCTION("""COMPUTED_VALUE"""),"Andrés")</f>
        <v>Andrés</v>
      </c>
      <c r="AS642" s="6" t="str">
        <f>IFERROR(__xludf.DUMMYFUNCTION("""COMPUTED_VALUE"""),"Felipe")</f>
        <v>Felipe</v>
      </c>
      <c r="AT642" s="6" t="str">
        <f>IFERROR(__xludf.DUMMYFUNCTION("""COMPUTED_VALUE"""),"Gómez Restrepo")</f>
        <v>Gómez Restrepo</v>
      </c>
      <c r="AU642" s="6" t="str">
        <f>IFERROR(__xludf.DUMMYFUNCTION("""COMPUTED_VALUE"""),"andresfgr@hotmail.com")</f>
        <v>andresfgr@hotmail.com</v>
      </c>
      <c r="AV642" s="6" t="str">
        <f>IFERROR(__xludf.DUMMYFUNCTION("""COMPUTED_VALUE"""),"Administrador de empresas")</f>
        <v>Administrador de empresas</v>
      </c>
      <c r="AW642" s="6" t="str">
        <f>IFERROR(__xludf.DUMMYFUNCTION("""COMPUTED_VALUE"""),"Facilisimo")</f>
        <v>Facilisimo</v>
      </c>
      <c r="AX642" s="12" t="str">
        <f>IFERROR(__xludf.DUMMYFUNCTION("""COMPUTED_VALUE"""),"71777734")</f>
        <v>71777734</v>
      </c>
      <c r="AY642" s="12" t="str">
        <f>IFERROR(__xludf.DUMMYFUNCTION("""COMPUTED_VALUE"""),"3136493366")</f>
        <v>3136493366</v>
      </c>
      <c r="AZ642" s="6" t="str">
        <f>IFERROR(__xludf.DUMMYFUNCTION("""COMPUTED_VALUE"""),"Padre")</f>
        <v>Padre</v>
      </c>
      <c r="BA642" s="6"/>
      <c r="BB642" s="6"/>
      <c r="BC642" s="6"/>
      <c r="BD642" s="12" t="str">
        <f>IFERROR(__xludf.DUMMYFUNCTION("""COMPUTED_VALUE"""),"gme0019")</f>
        <v>gme0019</v>
      </c>
      <c r="BE642" s="6"/>
      <c r="BF642" s="6"/>
      <c r="BG642" s="6">
        <f>IFERROR(__xludf.DUMMYFUNCTION("""COMPUTED_VALUE"""),2030.0)</f>
        <v>2030</v>
      </c>
      <c r="BH642" s="15">
        <f>IFERROR(__xludf.DUMMYFUNCTION("""COMPUTED_VALUE"""),46209.64763888889)</f>
        <v>46209.64764</v>
      </c>
      <c r="BI642" s="6">
        <f>IFERROR(__xludf.DUMMYFUNCTION("""COMPUTED_VALUE"""),643.0)</f>
        <v>643</v>
      </c>
      <c r="BJ642" s="6"/>
      <c r="BK642" s="6"/>
      <c r="BL642" s="6" t="str">
        <f>IFERROR(__xludf.DUMMYFUNCTION("""COMPUTED_VALUE"""),"GISGME0019")</f>
        <v>GISGME0019</v>
      </c>
      <c r="BM642" s="6"/>
      <c r="BN642" s="6"/>
      <c r="BO642" s="6"/>
      <c r="BP642" s="6"/>
      <c r="BQ642" s="6"/>
      <c r="BR642" s="6"/>
      <c r="BS642" s="6"/>
      <c r="BT642" s="6"/>
      <c r="BU642" s="6" t="str">
        <f>IFERROR(__xludf.DUMMYFUNCTION("""COMPUTED_VALUE"""),"SI")</f>
        <v>SI</v>
      </c>
      <c r="BV642" s="6" t="str">
        <f>IFERROR(__xludf.DUMMYFUNCTION("""COMPUTED_VALUE"""),"simon.g2030")</f>
        <v>simon.g2030</v>
      </c>
      <c r="BW642" s="6"/>
      <c r="BX642" s="6"/>
      <c r="BY642" s="6"/>
      <c r="BZ642" s="6"/>
    </row>
    <row r="643">
      <c r="A643" s="12">
        <f>IFERROR(__xludf.DUMMYFUNCTION("""COMPUTED_VALUE"""),1.123441096E9)</f>
        <v>1123441096</v>
      </c>
      <c r="B643" s="6">
        <f>IFERROR(__xludf.DUMMYFUNCTION("""COMPUTED_VALUE"""),22.0)</f>
        <v>22</v>
      </c>
      <c r="C643" s="6" t="str">
        <f>IFERROR(__xludf.DUMMYFUNCTION("""COMPUTED_VALUE"""),"Martina")</f>
        <v>Martina</v>
      </c>
      <c r="D643" s="6"/>
      <c r="E643" s="6" t="str">
        <f>IFERROR(__xludf.DUMMYFUNCTION("""COMPUTED_VALUE"""),"González Álvarez")</f>
        <v>González Álvarez</v>
      </c>
      <c r="F643" s="6" t="str">
        <f>IFERROR(__xludf.DUMMYFUNCTION("""COMPUTED_VALUE"""),"Condominio Casa de Campo Casa 29 - Calle 23ANte No19 - 47")</f>
        <v>Condominio Casa de Campo Casa 29 - Calle 23ANte No19 - 47</v>
      </c>
      <c r="G643" s="12" t="str">
        <f>IFERROR(__xludf.DUMMYFUNCTION("""COMPUTED_VALUE"""),"2011")</f>
        <v>2011</v>
      </c>
      <c r="H643" s="6" t="str">
        <f>IFERROR(__xludf.DUMMYFUNCTION("""COMPUTED_VALUE"""),"Mayo")</f>
        <v>Mayo</v>
      </c>
      <c r="I643" s="12" t="str">
        <f>IFERROR(__xludf.DUMMYFUNCTION("""COMPUTED_VALUE"""),"25")</f>
        <v>25</v>
      </c>
      <c r="J643" s="6" t="str">
        <f>IFERROR(__xludf.DUMMYFUNCTION("""COMPUTED_VALUE"""),"Villavicencio")</f>
        <v>Villavicencio</v>
      </c>
      <c r="K643" s="6" t="str">
        <f>IFERROR(__xludf.DUMMYFUNCTION("""COMPUTED_VALUE"""),"martina.g2030@gi.edu.co")</f>
        <v>martina.g2030@gi.edu.co</v>
      </c>
      <c r="L643" s="6" t="str">
        <f>IFERROR(__xludf.DUMMYFUNCTION("""COMPUTED_VALUE"""),"TI")</f>
        <v>TI</v>
      </c>
      <c r="M643" s="6" t="str">
        <f>IFERROR(__xludf.DUMMYFUNCTION("""COMPUTED_VALUE"""),"Armenia")</f>
        <v>Armenia</v>
      </c>
      <c r="N643" s="6" t="str">
        <f>IFERROR(__xludf.DUMMYFUNCTION("""COMPUTED_VALUE"""),"F")</f>
        <v>F</v>
      </c>
      <c r="O643" s="6" t="str">
        <f>IFERROR(__xludf.DUMMYFUNCTION("""COMPUTED_VALUE"""),"ACTIVE")</f>
        <v>ACTIVE</v>
      </c>
      <c r="P643" s="6"/>
      <c r="Q643" s="6" t="str">
        <f>IFERROR(__xludf.DUMMYFUNCTION("""COMPUTED_VALUE"""),"Armenia")</f>
        <v>Armenia</v>
      </c>
      <c r="R643" s="12" t="str">
        <f>IFERROR(__xludf.DUMMYFUNCTION("""COMPUTED_VALUE"""),"Gim2343mg*")</f>
        <v>Gim2343mg*</v>
      </c>
      <c r="S643" s="6" t="str">
        <f>IFERROR(__xludf.DUMMYFUNCTION("""COMPUTED_VALUE"""),"González Álvarez Martina ")</f>
        <v>González Álvarez Martina </v>
      </c>
      <c r="T643" s="6" t="str">
        <f>IFERROR(__xludf.DUMMYFUNCTION("""COMPUTED_VALUE"""),"JAIME CESAR GONZALEZ PULIDO")</f>
        <v>JAIME CESAR GONZALEZ PULIDO</v>
      </c>
      <c r="U643" s="12" t="str">
        <f>IFERROR(__xludf.DUMMYFUNCTION("""COMPUTED_VALUE"""),"86058376")</f>
        <v>86058376</v>
      </c>
      <c r="V643" s="6">
        <f>IFERROR(__xludf.DUMMYFUNCTION("""COMPUTED_VALUE"""),3.157613907E9)</f>
        <v>3157613907</v>
      </c>
      <c r="W643" s="6" t="str">
        <f>IFERROR(__xludf.DUMMYFUNCTION("""COMPUTED_VALUE"""),"jaimecgp@hotmail.com")</f>
        <v>jaimecgp@hotmail.com</v>
      </c>
      <c r="X643" s="12" t="str">
        <f>IFERROR(__xludf.DUMMYFUNCTION("""COMPUTED_VALUE"""),"B+")</f>
        <v>B+</v>
      </c>
      <c r="Y643" s="12" t="str">
        <f>IFERROR(__xludf.DUMMYFUNCTION("""COMPUTED_VALUE"""),"9")</f>
        <v>9</v>
      </c>
      <c r="Z643" s="12">
        <f>IFERROR(__xludf.DUMMYFUNCTION("""COMPUTED_VALUE"""),103879.0)</f>
        <v>103879</v>
      </c>
      <c r="AA643" s="6" t="str">
        <f>IFERROR(__xludf.DUMMYFUNCTION("""COMPUTED_VALUE"""),"OTRA")</f>
        <v>OTRA</v>
      </c>
      <c r="AB643" s="6"/>
      <c r="AC643" s="6"/>
      <c r="AD643" s="12" t="str">
        <f>IFERROR(__xludf.DUMMYFUNCTION("""COMPUTED_VALUE"""),"9B")</f>
        <v>9B</v>
      </c>
      <c r="AE643" s="12">
        <f>IFERROR(__xludf.DUMMYFUNCTION("""COMPUTED_VALUE"""),1.345281948E9)</f>
        <v>1345281948</v>
      </c>
      <c r="AF643" s="12" t="str">
        <f>IFERROR(__xludf.DUMMYFUNCTION("""COMPUTED_VALUE"""),"0688728931")</f>
        <v>0688728931</v>
      </c>
      <c r="AG643" s="12" t="str">
        <f>IFERROR(__xludf.DUMMYFUNCTION("""COMPUTED_VALUE"""),"Esmeralda")</f>
        <v>Esmeralda</v>
      </c>
      <c r="AH643" s="6"/>
      <c r="AI643" s="6" t="str">
        <f>IFERROR(__xludf.DUMMYFUNCTION("""COMPUTED_VALUE"""),"Álvarez Castro")</f>
        <v>Álvarez Castro</v>
      </c>
      <c r="AJ643" s="6" t="str">
        <f>IFERROR(__xludf.DUMMYFUNCTION("""COMPUTED_VALUE"""),"esmeralvarez@hotmail.com")</f>
        <v>esmeralvarez@hotmail.com</v>
      </c>
      <c r="AK643" s="6" t="str">
        <f>IFERROR(__xludf.DUMMYFUNCTION("""COMPUTED_VALUE"""),"Abogada")</f>
        <v>Abogada</v>
      </c>
      <c r="AL643" s="6" t="str">
        <f>IFERROR(__xludf.DUMMYFUNCTION("""COMPUTED_VALUE"""),"Independiente")</f>
        <v>Independiente</v>
      </c>
      <c r="AM643" s="12" t="str">
        <f>IFERROR(__xludf.DUMMYFUNCTION("""COMPUTED_VALUE"""),"40440701")</f>
        <v>40440701</v>
      </c>
      <c r="AN643" s="12" t="str">
        <f>IFERROR(__xludf.DUMMYFUNCTION("""COMPUTED_VALUE"""),"3143346125")</f>
        <v>3143346125</v>
      </c>
      <c r="AO643" s="6" t="str">
        <f>IFERROR(__xludf.DUMMYFUNCTION("""COMPUTED_VALUE"""),"Madre")</f>
        <v>Madre</v>
      </c>
      <c r="AP643" s="6" t="str">
        <f>IFERROR(__xludf.DUMMYFUNCTION("""COMPUTED_VALUE"""),"Estudiante(s): González Álvarez")</f>
        <v>Estudiante(s): González Álvarez</v>
      </c>
      <c r="AQ643" s="6" t="str">
        <f>IFERROR(__xludf.DUMMYFUNCTION("""COMPUTED_VALUE"""),"103879*Gi")</f>
        <v>103879*Gi</v>
      </c>
      <c r="AR643" s="6" t="str">
        <f>IFERROR(__xludf.DUMMYFUNCTION("""COMPUTED_VALUE"""),"Jaime")</f>
        <v>Jaime</v>
      </c>
      <c r="AS643" s="6" t="str">
        <f>IFERROR(__xludf.DUMMYFUNCTION("""COMPUTED_VALUE"""),"César")</f>
        <v>César</v>
      </c>
      <c r="AT643" s="6" t="str">
        <f>IFERROR(__xludf.DUMMYFUNCTION("""COMPUTED_VALUE"""),"González Pulido")</f>
        <v>González Pulido</v>
      </c>
      <c r="AU643" s="6" t="str">
        <f>IFERROR(__xludf.DUMMYFUNCTION("""COMPUTED_VALUE"""),"jaimecgp@hotmail.com")</f>
        <v>jaimecgp@hotmail.com</v>
      </c>
      <c r="AV643" s="6" t="str">
        <f>IFERROR(__xludf.DUMMYFUNCTION("""COMPUTED_VALUE"""),"Ingeniero Civil")</f>
        <v>Ingeniero Civil</v>
      </c>
      <c r="AW643" s="6" t="str">
        <f>IFERROR(__xludf.DUMMYFUNCTION("""COMPUTED_VALUE"""),"S&amp;M BLESSED")</f>
        <v>S&amp;M BLESSED</v>
      </c>
      <c r="AX643" s="12" t="str">
        <f>IFERROR(__xludf.DUMMYFUNCTION("""COMPUTED_VALUE"""),"86058376")</f>
        <v>86058376</v>
      </c>
      <c r="AY643" s="12" t="str">
        <f>IFERROR(__xludf.DUMMYFUNCTION("""COMPUTED_VALUE"""),"3157613907")</f>
        <v>3157613907</v>
      </c>
      <c r="AZ643" s="6" t="str">
        <f>IFERROR(__xludf.DUMMYFUNCTION("""COMPUTED_VALUE"""),"Padre")</f>
        <v>Padre</v>
      </c>
      <c r="BA643" s="6"/>
      <c r="BB643" s="6"/>
      <c r="BC643" s="6"/>
      <c r="BD643" s="12" t="str">
        <f>IFERROR(__xludf.DUMMYFUNCTION("""COMPUTED_VALUE"""),"gon0016")</f>
        <v>gon0016</v>
      </c>
      <c r="BE643" s="6"/>
      <c r="BF643" s="6"/>
      <c r="BG643" s="6">
        <f>IFERROR(__xludf.DUMMYFUNCTION("""COMPUTED_VALUE"""),2030.0)</f>
        <v>2030</v>
      </c>
      <c r="BH643" s="15">
        <f>IFERROR(__xludf.DUMMYFUNCTION("""COMPUTED_VALUE"""),46213.57984953704)</f>
        <v>46213.57985</v>
      </c>
      <c r="BI643" s="6">
        <f>IFERROR(__xludf.DUMMYFUNCTION("""COMPUTED_VALUE"""),644.0)</f>
        <v>644</v>
      </c>
      <c r="BJ643" s="6"/>
      <c r="BK643" s="6"/>
      <c r="BL643" s="6" t="str">
        <f>IFERROR(__xludf.DUMMYFUNCTION("""COMPUTED_VALUE"""),"GISGON0016")</f>
        <v>GISGON0016</v>
      </c>
      <c r="BM643" s="6"/>
      <c r="BN643" s="6"/>
      <c r="BO643" s="6"/>
      <c r="BP643" s="6"/>
      <c r="BQ643" s="6"/>
      <c r="BR643" s="6"/>
      <c r="BS643" s="6"/>
      <c r="BT643" s="6"/>
      <c r="BU643" s="6" t="str">
        <f>IFERROR(__xludf.DUMMYFUNCTION("""COMPUTED_VALUE"""),"SI")</f>
        <v>SI</v>
      </c>
      <c r="BV643" s="6" t="str">
        <f>IFERROR(__xludf.DUMMYFUNCTION("""COMPUTED_VALUE"""),"martina.g2030")</f>
        <v>martina.g2030</v>
      </c>
      <c r="BW643" s="6"/>
      <c r="BX643" s="6"/>
      <c r="BY643" s="6"/>
      <c r="BZ643" s="6"/>
    </row>
    <row r="644">
      <c r="A644" s="12">
        <f>IFERROR(__xludf.DUMMYFUNCTION("""COMPUTED_VALUE"""),1.092855834E9)</f>
        <v>1092855834</v>
      </c>
      <c r="B644" s="6">
        <f>IFERROR(__xludf.DUMMYFUNCTION("""COMPUTED_VALUE"""),23.0)</f>
        <v>23</v>
      </c>
      <c r="C644" s="6" t="str">
        <f>IFERROR(__xludf.DUMMYFUNCTION("""COMPUTED_VALUE"""),"Luciana")</f>
        <v>Luciana</v>
      </c>
      <c r="D644" s="6"/>
      <c r="E644" s="6" t="str">
        <f>IFERROR(__xludf.DUMMYFUNCTION("""COMPUTED_VALUE"""),"Gutiérrez González")</f>
        <v>Gutiérrez González</v>
      </c>
      <c r="F644" s="6" t="str">
        <f>IFERROR(__xludf.DUMMYFUNCTION("""COMPUTED_VALUE"""),"Cra 10 11Nte - 05 Apto 802 Torre O1 - La Castellana")</f>
        <v>Cra 10 11Nte - 05 Apto 802 Torre O1 - La Castellana</v>
      </c>
      <c r="G644" s="12" t="str">
        <f>IFERROR(__xludf.DUMMYFUNCTION("""COMPUTED_VALUE"""),"2012")</f>
        <v>2012</v>
      </c>
      <c r="H644" s="6" t="str">
        <f>IFERROR(__xludf.DUMMYFUNCTION("""COMPUTED_VALUE"""),"Febrero")</f>
        <v>Febrero</v>
      </c>
      <c r="I644" s="12" t="str">
        <f>IFERROR(__xludf.DUMMYFUNCTION("""COMPUTED_VALUE"""),"10")</f>
        <v>10</v>
      </c>
      <c r="J644" s="6" t="str">
        <f>IFERROR(__xludf.DUMMYFUNCTION("""COMPUTED_VALUE"""),"Armenia")</f>
        <v>Armenia</v>
      </c>
      <c r="K644" s="6" t="str">
        <f>IFERROR(__xludf.DUMMYFUNCTION("""COMPUTED_VALUE"""),"luciana.g2030@gi.edu.co")</f>
        <v>luciana.g2030@gi.edu.co</v>
      </c>
      <c r="L644" s="6" t="str">
        <f>IFERROR(__xludf.DUMMYFUNCTION("""COMPUTED_VALUE"""),"RC")</f>
        <v>RC</v>
      </c>
      <c r="M644" s="6" t="str">
        <f>IFERROR(__xludf.DUMMYFUNCTION("""COMPUTED_VALUE"""),"Armenia")</f>
        <v>Armenia</v>
      </c>
      <c r="N644" s="6" t="str">
        <f>IFERROR(__xludf.DUMMYFUNCTION("""COMPUTED_VALUE"""),"F")</f>
        <v>F</v>
      </c>
      <c r="O644" s="6" t="str">
        <f>IFERROR(__xludf.DUMMYFUNCTION("""COMPUTED_VALUE"""),"ACTIVE")</f>
        <v>ACTIVE</v>
      </c>
      <c r="P644" s="6"/>
      <c r="Q644" s="6" t="str">
        <f>IFERROR(__xludf.DUMMYFUNCTION("""COMPUTED_VALUE"""),"Armenia")</f>
        <v>Armenia</v>
      </c>
      <c r="R644" s="12" t="str">
        <f>IFERROR(__xludf.DUMMYFUNCTION("""COMPUTED_VALUE"""),"Gisder4357*")</f>
        <v>Gisder4357*</v>
      </c>
      <c r="S644" s="6" t="str">
        <f>IFERROR(__xludf.DUMMYFUNCTION("""COMPUTED_VALUE"""),"Gutiérrez González Luciana ")</f>
        <v>Gutiérrez González Luciana </v>
      </c>
      <c r="T644" s="6" t="str">
        <f>IFERROR(__xludf.DUMMYFUNCTION("""COMPUTED_VALUE"""),"JUAN CARLOS GUTIERREZ ARAUJO")</f>
        <v>JUAN CARLOS GUTIERREZ ARAUJO</v>
      </c>
      <c r="U644" s="12" t="str">
        <f>IFERROR(__xludf.DUMMYFUNCTION("""COMPUTED_VALUE"""),"18495228")</f>
        <v>18495228</v>
      </c>
      <c r="V644" s="6">
        <f>IFERROR(__xludf.DUMMYFUNCTION("""COMPUTED_VALUE"""),3.143338967E9)</f>
        <v>3143338967</v>
      </c>
      <c r="W644" s="6" t="str">
        <f>IFERROR(__xludf.DUMMYFUNCTION("""COMPUTED_VALUE"""),"caos.gutierrez@gmail.com")</f>
        <v>caos.gutierrez@gmail.com</v>
      </c>
      <c r="X644" s="12" t="str">
        <f>IFERROR(__xludf.DUMMYFUNCTION("""COMPUTED_VALUE"""),"A+")</f>
        <v>A+</v>
      </c>
      <c r="Y644" s="12" t="str">
        <f>IFERROR(__xludf.DUMMYFUNCTION("""COMPUTED_VALUE"""),"9")</f>
        <v>9</v>
      </c>
      <c r="Z644" s="12">
        <f>IFERROR(__xludf.DUMMYFUNCTION("""COMPUTED_VALUE"""),103234.0)</f>
        <v>103234</v>
      </c>
      <c r="AA644" s="6" t="str">
        <f>IFERROR(__xludf.DUMMYFUNCTION("""COMPUTED_VALUE"""),"SANITAS")</f>
        <v>SANITAS</v>
      </c>
      <c r="AB644" s="6" t="str">
        <f>IFERROR(__xludf.DUMMYFUNCTION("""COMPUTED_VALUE"""),"Colsanitas Integral")</f>
        <v>Colsanitas Integral</v>
      </c>
      <c r="AC644" s="6"/>
      <c r="AD644" s="12" t="str">
        <f>IFERROR(__xludf.DUMMYFUNCTION("""COMPUTED_VALUE"""),"9A")</f>
        <v>9A</v>
      </c>
      <c r="AE644" s="12">
        <f>IFERROR(__xludf.DUMMYFUNCTION("""COMPUTED_VALUE"""),1.345281588E9)</f>
        <v>1345281588</v>
      </c>
      <c r="AF644" s="12" t="str">
        <f>IFERROR(__xludf.DUMMYFUNCTION("""COMPUTED_VALUE"""),"0691812467")</f>
        <v>0691812467</v>
      </c>
      <c r="AG644" s="12" t="str">
        <f>IFERROR(__xludf.DUMMYFUNCTION("""COMPUTED_VALUE"""),"María")</f>
        <v>María</v>
      </c>
      <c r="AH644" s="12" t="str">
        <f>IFERROR(__xludf.DUMMYFUNCTION("""COMPUTED_VALUE"""),"Margarita")</f>
        <v>Margarita</v>
      </c>
      <c r="AI644" s="6" t="str">
        <f>IFERROR(__xludf.DUMMYFUNCTION("""COMPUTED_VALUE"""),"González Delgado")</f>
        <v>González Delgado</v>
      </c>
      <c r="AJ644" s="6" t="str">
        <f>IFERROR(__xludf.DUMMYFUNCTION("""COMPUTED_VALUE"""),"marmargd@hotmail.com")</f>
        <v>marmargd@hotmail.com</v>
      </c>
      <c r="AK644" s="6" t="str">
        <f>IFERROR(__xludf.DUMMYFUNCTION("""COMPUTED_VALUE"""),"ABOGADA")</f>
        <v>ABOGADA</v>
      </c>
      <c r="AL644" s="6" t="str">
        <f>IFERROR(__xludf.DUMMYFUNCTION("""COMPUTED_VALUE"""),"CAMARA DE COMERCIO DE ARMENIA")</f>
        <v>CAMARA DE COMERCIO DE ARMENIA</v>
      </c>
      <c r="AM644" s="12" t="str">
        <f>IFERROR(__xludf.DUMMYFUNCTION("""COMPUTED_VALUE"""),"41947684")</f>
        <v>41947684</v>
      </c>
      <c r="AN644" s="12" t="str">
        <f>IFERROR(__xludf.DUMMYFUNCTION("""COMPUTED_VALUE"""),"3113839881")</f>
        <v>3113839881</v>
      </c>
      <c r="AO644" s="6" t="str">
        <f>IFERROR(__xludf.DUMMYFUNCTION("""COMPUTED_VALUE"""),"Madre")</f>
        <v>Madre</v>
      </c>
      <c r="AP644" s="6" t="str">
        <f>IFERROR(__xludf.DUMMYFUNCTION("""COMPUTED_VALUE"""),"Estudiante(s): Gutiérrez González")</f>
        <v>Estudiante(s): Gutiérrez González</v>
      </c>
      <c r="AQ644" s="6" t="str">
        <f>IFERROR(__xludf.DUMMYFUNCTION("""COMPUTED_VALUE"""),"102700*Gi")</f>
        <v>102700*Gi</v>
      </c>
      <c r="AR644" s="6" t="str">
        <f>IFERROR(__xludf.DUMMYFUNCTION("""COMPUTED_VALUE"""),"Juan")</f>
        <v>Juan</v>
      </c>
      <c r="AS644" s="6" t="str">
        <f>IFERROR(__xludf.DUMMYFUNCTION("""COMPUTED_VALUE"""),"Carlos")</f>
        <v>Carlos</v>
      </c>
      <c r="AT644" s="6" t="str">
        <f>IFERROR(__xludf.DUMMYFUNCTION("""COMPUTED_VALUE"""),"Gutiérrez Araújo")</f>
        <v>Gutiérrez Araújo</v>
      </c>
      <c r="AU644" s="6" t="str">
        <f>IFERROR(__xludf.DUMMYFUNCTION("""COMPUTED_VALUE"""),"caos.gutierrez@gmail.com")</f>
        <v>caos.gutierrez@gmail.com</v>
      </c>
      <c r="AV644" s="6" t="str">
        <f>IFERROR(__xludf.DUMMYFUNCTION("""COMPUTED_VALUE"""),"INGENIERO CIVIL")</f>
        <v>INGENIERO CIVIL</v>
      </c>
      <c r="AW644" s="6" t="str">
        <f>IFERROR(__xludf.DUMMYFUNCTION("""COMPUTED_VALUE"""),"ALGORITMO INGENIERIA HIDRAULICA SAS")</f>
        <v>ALGORITMO INGENIERIA HIDRAULICA SAS</v>
      </c>
      <c r="AX644" s="12" t="str">
        <f>IFERROR(__xludf.DUMMYFUNCTION("""COMPUTED_VALUE"""),"18495228")</f>
        <v>18495228</v>
      </c>
      <c r="AY644" s="12" t="str">
        <f>IFERROR(__xludf.DUMMYFUNCTION("""COMPUTED_VALUE"""),"3143338967")</f>
        <v>3143338967</v>
      </c>
      <c r="AZ644" s="6" t="str">
        <f>IFERROR(__xludf.DUMMYFUNCTION("""COMPUTED_VALUE"""),"Padre")</f>
        <v>Padre</v>
      </c>
      <c r="BA644" s="6" t="str">
        <f>IFERROR(__xludf.DUMMYFUNCTION("""COMPUTED_VALUE"""),"GLORIA MARIANA DELGADO RIVAS")</f>
        <v>GLORIA MARIANA DELGADO RIVAS</v>
      </c>
      <c r="BB644" s="6">
        <f>IFERROR(__xludf.DUMMYFUNCTION("""COMPUTED_VALUE"""),3.137097272E9)</f>
        <v>3137097272</v>
      </c>
      <c r="BC644" s="6" t="str">
        <f>IFERROR(__xludf.DUMMYFUNCTION("""COMPUTED_VALUE"""),"Abuelo(a)")</f>
        <v>Abuelo(a)</v>
      </c>
      <c r="BD644" s="12" t="str">
        <f>IFERROR(__xludf.DUMMYFUNCTION("""COMPUTED_VALUE"""),"gut0006")</f>
        <v>gut0006</v>
      </c>
      <c r="BE644" s="6"/>
      <c r="BF644" s="6"/>
      <c r="BG644" s="6">
        <f>IFERROR(__xludf.DUMMYFUNCTION("""COMPUTED_VALUE"""),2030.0)</f>
        <v>2030</v>
      </c>
      <c r="BH644" s="15">
        <f>IFERROR(__xludf.DUMMYFUNCTION("""COMPUTED_VALUE"""),46209.444502314815)</f>
        <v>46209.4445</v>
      </c>
      <c r="BI644" s="6">
        <f>IFERROR(__xludf.DUMMYFUNCTION("""COMPUTED_VALUE"""),645.0)</f>
        <v>645</v>
      </c>
      <c r="BJ644" s="6"/>
      <c r="BK644" s="6"/>
      <c r="BL644" s="6" t="str">
        <f>IFERROR(__xludf.DUMMYFUNCTION("""COMPUTED_VALUE"""),"GISGUT0006")</f>
        <v>GISGUT0006</v>
      </c>
      <c r="BM644" s="6"/>
      <c r="BN644" s="6"/>
      <c r="BO644" s="6" t="str">
        <f>IFERROR(__xludf.DUMMYFUNCTION("""COMPUTED_VALUE"""),"XC_HS_Voleibol_F")</f>
        <v>XC_HS_Voleibol_F</v>
      </c>
      <c r="BP644" s="6"/>
      <c r="BQ644" s="6" t="str">
        <f>IFERROR(__xludf.DUMMYFUNCTION("""COMPUTED_VALUE"""),"XC_HS_Voleibol_F")</f>
        <v>XC_HS_Voleibol_F</v>
      </c>
      <c r="BR644" s="6" t="str">
        <f>IFERROR(__xludf.DUMMYFUNCTION("""COMPUTED_VALUE"""),"XC_HS_Voleibol_F")</f>
        <v>XC_HS_Voleibol_F</v>
      </c>
      <c r="BS644" s="6"/>
      <c r="BT644" s="6" t="str">
        <f>IFERROR(__xludf.DUMMYFUNCTION("""COMPUTED_VALUE"""),"XC_HS_Voleibol_F")</f>
        <v>XC_HS_Voleibol_F</v>
      </c>
      <c r="BU644" s="6" t="str">
        <f>IFERROR(__xludf.DUMMYFUNCTION("""COMPUTED_VALUE"""),"SI")</f>
        <v>SI</v>
      </c>
      <c r="BV644" s="6" t="str">
        <f>IFERROR(__xludf.DUMMYFUNCTION("""COMPUTED_VALUE"""),"luciana.g2030")</f>
        <v>luciana.g2030</v>
      </c>
      <c r="BW644" s="6"/>
      <c r="BX644" s="6"/>
      <c r="BY644" s="6"/>
      <c r="BZ644" s="6"/>
    </row>
    <row r="645">
      <c r="A645" s="12">
        <f>IFERROR(__xludf.DUMMYFUNCTION("""COMPUTED_VALUE"""),1.019906516E9)</f>
        <v>1019906516</v>
      </c>
      <c r="B645" s="6">
        <f>IFERROR(__xludf.DUMMYFUNCTION("""COMPUTED_VALUE"""),24.0)</f>
        <v>24</v>
      </c>
      <c r="C645" s="6" t="str">
        <f>IFERROR(__xludf.DUMMYFUNCTION("""COMPUTED_VALUE"""),"Sara")</f>
        <v>Sara</v>
      </c>
      <c r="D645" s="6"/>
      <c r="E645" s="6" t="str">
        <f>IFERROR(__xludf.DUMMYFUNCTION("""COMPUTED_VALUE"""),"Jaramillo Marín")</f>
        <v>Jaramillo Marín</v>
      </c>
      <c r="F645" s="6" t="str">
        <f>IFERROR(__xludf.DUMMYFUNCTION("""COMPUTED_VALUE"""),"Conjunto Residencial La Primavera Manzana 5 Casa 24 - Cra 14 No54Nte - 10")</f>
        <v>Conjunto Residencial La Primavera Manzana 5 Casa 24 - Cra 14 No54Nte - 10</v>
      </c>
      <c r="G645" s="12" t="str">
        <f>IFERROR(__xludf.DUMMYFUNCTION("""COMPUTED_VALUE"""),"2012")</f>
        <v>2012</v>
      </c>
      <c r="H645" s="6" t="str">
        <f>IFERROR(__xludf.DUMMYFUNCTION("""COMPUTED_VALUE"""),"Mayo")</f>
        <v>Mayo</v>
      </c>
      <c r="I645" s="12" t="str">
        <f>IFERROR(__xludf.DUMMYFUNCTION("""COMPUTED_VALUE"""),"26")</f>
        <v>26</v>
      </c>
      <c r="J645" s="6" t="str">
        <f>IFERROR(__xludf.DUMMYFUNCTION("""COMPUTED_VALUE"""),"Bogotá D.C.")</f>
        <v>Bogotá D.C.</v>
      </c>
      <c r="K645" s="6" t="str">
        <f>IFERROR(__xludf.DUMMYFUNCTION("""COMPUTED_VALUE"""),"sara.j2030@gi.edu.co")</f>
        <v>sara.j2030@gi.edu.co</v>
      </c>
      <c r="L645" s="6" t="str">
        <f>IFERROR(__xludf.DUMMYFUNCTION("""COMPUTED_VALUE"""),"TI")</f>
        <v>TI</v>
      </c>
      <c r="M645" s="6" t="str">
        <f>IFERROR(__xludf.DUMMYFUNCTION("""COMPUTED_VALUE"""),"La Calera")</f>
        <v>La Calera</v>
      </c>
      <c r="N645" s="6" t="str">
        <f>IFERROR(__xludf.DUMMYFUNCTION("""COMPUTED_VALUE"""),"F")</f>
        <v>F</v>
      </c>
      <c r="O645" s="6" t="str">
        <f>IFERROR(__xludf.DUMMYFUNCTION("""COMPUTED_VALUE"""),"ACTIVE")</f>
        <v>ACTIVE</v>
      </c>
      <c r="P645" s="6"/>
      <c r="Q645" s="6" t="str">
        <f>IFERROR(__xludf.DUMMYFUNCTION("""COMPUTED_VALUE"""),"Armenia")</f>
        <v>Armenia</v>
      </c>
      <c r="R645" s="12" t="str">
        <f>IFERROR(__xludf.DUMMYFUNCTION("""COMPUTED_VALUE"""),"Giak64fc*")</f>
        <v>Giak64fc*</v>
      </c>
      <c r="S645" s="6" t="str">
        <f>IFERROR(__xludf.DUMMYFUNCTION("""COMPUTED_VALUE"""),"Jaramillo Marín Sara ")</f>
        <v>Jaramillo Marín Sara </v>
      </c>
      <c r="T645" s="6" t="str">
        <f>IFERROR(__xludf.DUMMYFUNCTION("""COMPUTED_VALUE"""),"OLGA INÉS MARÍN GUTIÉRREZ")</f>
        <v>OLGA INÉS MARÍN GUTIÉRREZ</v>
      </c>
      <c r="U645" s="12" t="str">
        <f>IFERROR(__xludf.DUMMYFUNCTION("""COMPUTED_VALUE"""),"52222490")</f>
        <v>52222490</v>
      </c>
      <c r="V645" s="6">
        <f>IFERROR(__xludf.DUMMYFUNCTION("""COMPUTED_VALUE"""),3.108209106E9)</f>
        <v>3108209106</v>
      </c>
      <c r="W645" s="6" t="str">
        <f>IFERROR(__xludf.DUMMYFUNCTION("""COMPUTED_VALUE"""),"olga_inesmarin@hotmail.com")</f>
        <v>olga_inesmarin@hotmail.com</v>
      </c>
      <c r="X645" s="12" t="str">
        <f>IFERROR(__xludf.DUMMYFUNCTION("""COMPUTED_VALUE"""),"O+")</f>
        <v>O+</v>
      </c>
      <c r="Y645" s="12" t="str">
        <f>IFERROR(__xludf.DUMMYFUNCTION("""COMPUTED_VALUE"""),"9")</f>
        <v>9</v>
      </c>
      <c r="Z645" s="12">
        <f>IFERROR(__xludf.DUMMYFUNCTION("""COMPUTED_VALUE"""),120417.0)</f>
        <v>120417</v>
      </c>
      <c r="AA645" s="6" t="str">
        <f>IFERROR(__xludf.DUMMYFUNCTION("""COMPUTED_VALUE"""),"SURA")</f>
        <v>SURA</v>
      </c>
      <c r="AB645" s="6"/>
      <c r="AC645" s="6"/>
      <c r="AD645" s="12" t="str">
        <f>IFERROR(__xludf.DUMMYFUNCTION("""COMPUTED_VALUE"""),"9A")</f>
        <v>9A</v>
      </c>
      <c r="AE645" s="12" t="str">
        <f>IFERROR(__xludf.DUMMYFUNCTION("""COMPUTED_VALUE"""),"1345282419")</f>
        <v>1345282419</v>
      </c>
      <c r="AF645" s="12" t="str">
        <f>IFERROR(__xludf.DUMMYFUNCTION("""COMPUTED_VALUE"""),"0690155667")</f>
        <v>0690155667</v>
      </c>
      <c r="AG645" s="12" t="str">
        <f>IFERROR(__xludf.DUMMYFUNCTION("""COMPUTED_VALUE"""),"Olga")</f>
        <v>Olga</v>
      </c>
      <c r="AH645" s="12" t="str">
        <f>IFERROR(__xludf.DUMMYFUNCTION("""COMPUTED_VALUE"""),"Inés")</f>
        <v>Inés</v>
      </c>
      <c r="AI645" s="6" t="str">
        <f>IFERROR(__xludf.DUMMYFUNCTION("""COMPUTED_VALUE"""),"Marín Gutiérrez")</f>
        <v>Marín Gutiérrez</v>
      </c>
      <c r="AJ645" s="6" t="str">
        <f>IFERROR(__xludf.DUMMYFUNCTION("""COMPUTED_VALUE"""),"olga_inesmarin@hotmail.com")</f>
        <v>olga_inesmarin@hotmail.com</v>
      </c>
      <c r="AK645" s="6" t="str">
        <f>IFERROR(__xludf.DUMMYFUNCTION("""COMPUTED_VALUE"""),"Administradora de Empresas")</f>
        <v>Administradora de Empresas</v>
      </c>
      <c r="AL645" s="6" t="str">
        <f>IFERROR(__xludf.DUMMYFUNCTION("""COMPUTED_VALUE"""),"Open English")</f>
        <v>Open English</v>
      </c>
      <c r="AM645" s="12" t="str">
        <f>IFERROR(__xludf.DUMMYFUNCTION("""COMPUTED_VALUE"""),"52222490")</f>
        <v>52222490</v>
      </c>
      <c r="AN645" s="12" t="str">
        <f>IFERROR(__xludf.DUMMYFUNCTION("""COMPUTED_VALUE"""),"3108209106")</f>
        <v>3108209106</v>
      </c>
      <c r="AO645" s="6" t="str">
        <f>IFERROR(__xludf.DUMMYFUNCTION("""COMPUTED_VALUE"""),"Madre")</f>
        <v>Madre</v>
      </c>
      <c r="AP645" s="6" t="str">
        <f>IFERROR(__xludf.DUMMYFUNCTION("""COMPUTED_VALUE"""),"Estudiante(s): Jaramillo Marín")</f>
        <v>Estudiante(s): Jaramillo Marín</v>
      </c>
      <c r="AQ645" s="6" t="str">
        <f>IFERROR(__xludf.DUMMYFUNCTION("""COMPUTED_VALUE"""),"120417*Gi")</f>
        <v>120417*Gi</v>
      </c>
      <c r="AR645" s="6" t="str">
        <f>IFERROR(__xludf.DUMMYFUNCTION("""COMPUTED_VALUE"""),"Alberto")</f>
        <v>Alberto</v>
      </c>
      <c r="AS645" s="6"/>
      <c r="AT645" s="6" t="str">
        <f>IFERROR(__xludf.DUMMYFUNCTION("""COMPUTED_VALUE"""),"Jaramillo Santacoloma")</f>
        <v>Jaramillo Santacoloma</v>
      </c>
      <c r="AU645" s="6" t="str">
        <f>IFERROR(__xludf.DUMMYFUNCTION("""COMPUTED_VALUE"""),"albertojaramillos@hotmail.com")</f>
        <v>albertojaramillos@hotmail.com</v>
      </c>
      <c r="AV645" s="6" t="str">
        <f>IFERROR(__xludf.DUMMYFUNCTION("""COMPUTED_VALUE"""),"Administrador de Empresas")</f>
        <v>Administrador de Empresas</v>
      </c>
      <c r="AW645" s="6" t="str">
        <f>IFERROR(__xludf.DUMMYFUNCTION("""COMPUTED_VALUE"""),"Agricola y Pecuaria del Río")</f>
        <v>Agricola y Pecuaria del Río</v>
      </c>
      <c r="AX645" s="12" t="str">
        <f>IFERROR(__xludf.DUMMYFUNCTION("""COMPUTED_VALUE"""),"18493468")</f>
        <v>18493468</v>
      </c>
      <c r="AY645" s="12">
        <f>IFERROR(__xludf.DUMMYFUNCTION("""COMPUTED_VALUE"""),3.104043241E9)</f>
        <v>3104043241</v>
      </c>
      <c r="AZ645" s="6" t="str">
        <f>IFERROR(__xludf.DUMMYFUNCTION("""COMPUTED_VALUE"""),"Padre")</f>
        <v>Padre</v>
      </c>
      <c r="BA645" s="6"/>
      <c r="BB645" s="6"/>
      <c r="BC645" s="6"/>
      <c r="BD645" s="12" t="str">
        <f>IFERROR(__xludf.DUMMYFUNCTION("""COMPUTED_VALUE"""),"jar0026")</f>
        <v>jar0026</v>
      </c>
      <c r="BE645" s="6"/>
      <c r="BF645" s="6"/>
      <c r="BG645" s="6">
        <f>IFERROR(__xludf.DUMMYFUNCTION("""COMPUTED_VALUE"""),2030.0)</f>
        <v>2030</v>
      </c>
      <c r="BH645" s="15">
        <f>IFERROR(__xludf.DUMMYFUNCTION("""COMPUTED_VALUE"""),46211.881053240744)</f>
        <v>46211.88105</v>
      </c>
      <c r="BI645" s="6">
        <f>IFERROR(__xludf.DUMMYFUNCTION("""COMPUTED_VALUE"""),646.0)</f>
        <v>646</v>
      </c>
      <c r="BJ645" s="6"/>
      <c r="BK645" s="6"/>
      <c r="BL645" s="6" t="str">
        <f>IFERROR(__xludf.DUMMYFUNCTION("""COMPUTED_VALUE"""),"GISJAR0026")</f>
        <v>GISJAR0026</v>
      </c>
      <c r="BM645" s="6"/>
      <c r="BN645" s="6"/>
      <c r="BO645" s="6"/>
      <c r="BP645" s="6"/>
      <c r="BQ645" s="6"/>
      <c r="BR645" s="6"/>
      <c r="BS645" s="6"/>
      <c r="BT645" s="6"/>
      <c r="BU645" s="6" t="str">
        <f>IFERROR(__xludf.DUMMYFUNCTION("""COMPUTED_VALUE"""),"SI")</f>
        <v>SI</v>
      </c>
      <c r="BV645" s="6" t="str">
        <f>IFERROR(__xludf.DUMMYFUNCTION("""COMPUTED_VALUE"""),"sara.j2030")</f>
        <v>sara.j2030</v>
      </c>
      <c r="BW645" s="6"/>
      <c r="BX645" s="6"/>
      <c r="BY645" s="6"/>
      <c r="BZ645" s="6"/>
    </row>
    <row r="646">
      <c r="A646" s="12">
        <f>IFERROR(__xludf.DUMMYFUNCTION("""COMPUTED_VALUE"""),1.014881026E9)</f>
        <v>1014881026</v>
      </c>
      <c r="B646" s="6">
        <f>IFERROR(__xludf.DUMMYFUNCTION("""COMPUTED_VALUE"""),25.0)</f>
        <v>25</v>
      </c>
      <c r="C646" s="6" t="str">
        <f>IFERROR(__xludf.DUMMYFUNCTION("""COMPUTED_VALUE"""),"Esteban")</f>
        <v>Esteban</v>
      </c>
      <c r="D646" s="6"/>
      <c r="E646" s="6" t="str">
        <f>IFERROR(__xludf.DUMMYFUNCTION("""COMPUTED_VALUE"""),"Jaramillo Mora")</f>
        <v>Jaramillo Mora</v>
      </c>
      <c r="F646" s="6" t="str">
        <f>IFERROR(__xludf.DUMMYFUNCTION("""COMPUTED_VALUE"""),"Lagos de Iraka Casa 90 - Km 7 Via Armenia - El Caimo")</f>
        <v>Lagos de Iraka Casa 90 - Km 7 Via Armenia - El Caimo</v>
      </c>
      <c r="G646" s="12" t="str">
        <f>IFERROR(__xludf.DUMMYFUNCTION("""COMPUTED_VALUE"""),"2012")</f>
        <v>2012</v>
      </c>
      <c r="H646" s="6" t="str">
        <f>IFERROR(__xludf.DUMMYFUNCTION("""COMPUTED_VALUE"""),"Enero")</f>
        <v>Enero</v>
      </c>
      <c r="I646" s="12" t="str">
        <f>IFERROR(__xludf.DUMMYFUNCTION("""COMPUTED_VALUE"""),"22")</f>
        <v>22</v>
      </c>
      <c r="J646" s="6" t="str">
        <f>IFERROR(__xludf.DUMMYFUNCTION("""COMPUTED_VALUE"""),"Bogotá D.C.")</f>
        <v>Bogotá D.C.</v>
      </c>
      <c r="K646" s="6" t="str">
        <f>IFERROR(__xludf.DUMMYFUNCTION("""COMPUTED_VALUE"""),"esteban.j2030@gi.edu.co")</f>
        <v>esteban.j2030@gi.edu.co</v>
      </c>
      <c r="L646" s="6" t="str">
        <f>IFERROR(__xludf.DUMMYFUNCTION("""COMPUTED_VALUE"""),"TI")</f>
        <v>TI</v>
      </c>
      <c r="M646" s="6" t="str">
        <f>IFERROR(__xludf.DUMMYFUNCTION("""COMPUTED_VALUE"""),"Bogotá D.C.")</f>
        <v>Bogotá D.C.</v>
      </c>
      <c r="N646" s="6" t="str">
        <f>IFERROR(__xludf.DUMMYFUNCTION("""COMPUTED_VALUE"""),"M")</f>
        <v>M</v>
      </c>
      <c r="O646" s="6" t="str">
        <f>IFERROR(__xludf.DUMMYFUNCTION("""COMPUTED_VALUE"""),"ACTIVE")</f>
        <v>ACTIVE</v>
      </c>
      <c r="P646" s="6"/>
      <c r="Q646" s="6" t="str">
        <f>IFERROR(__xludf.DUMMYFUNCTION("""COMPUTED_VALUE"""),"Armenia")</f>
        <v>Armenia</v>
      </c>
      <c r="R646" s="12" t="str">
        <f>IFERROR(__xludf.DUMMYFUNCTION("""COMPUTED_VALUE"""),"G9i8u7y6t*")</f>
        <v>G9i8u7y6t*</v>
      </c>
      <c r="S646" s="6" t="str">
        <f>IFERROR(__xludf.DUMMYFUNCTION("""COMPUTED_VALUE"""),"Jaramillo Mora Esteban ")</f>
        <v>Jaramillo Mora Esteban </v>
      </c>
      <c r="T646" s="6" t="str">
        <f>IFERROR(__xludf.DUMMYFUNCTION("""COMPUTED_VALUE"""),"ANDRÉS JARAMILLO HOYOS")</f>
        <v>ANDRÉS JARAMILLO HOYOS</v>
      </c>
      <c r="U646" s="12" t="str">
        <f>IFERROR(__xludf.DUMMYFUNCTION("""COMPUTED_VALUE"""),"7562626")</f>
        <v>7562626</v>
      </c>
      <c r="V646" s="6">
        <f>IFERROR(__xludf.DUMMYFUNCTION("""COMPUTED_VALUE"""),3.10575206E9)</f>
        <v>3105752060</v>
      </c>
      <c r="W646" s="6" t="str">
        <f>IFERROR(__xludf.DUMMYFUNCTION("""COMPUTED_VALUE"""),"ajaramillo@esguerra.com")</f>
        <v>ajaramillo@esguerra.com</v>
      </c>
      <c r="X646" s="12" t="str">
        <f>IFERROR(__xludf.DUMMYFUNCTION("""COMPUTED_VALUE"""),"A-")</f>
        <v>A-</v>
      </c>
      <c r="Y646" s="12" t="str">
        <f>IFERROR(__xludf.DUMMYFUNCTION("""COMPUTED_VALUE"""),"9")</f>
        <v>9</v>
      </c>
      <c r="Z646" s="12">
        <f>IFERROR(__xludf.DUMMYFUNCTION("""COMPUTED_VALUE"""),103598.0)</f>
        <v>103598</v>
      </c>
      <c r="AA646" s="6" t="str">
        <f>IFERROR(__xludf.DUMMYFUNCTION("""COMPUTED_VALUE"""),"SANITAS")</f>
        <v>SANITAS</v>
      </c>
      <c r="AB646" s="6"/>
      <c r="AC646" s="6"/>
      <c r="AD646" s="12" t="str">
        <f>IFERROR(__xludf.DUMMYFUNCTION("""COMPUTED_VALUE"""),"9A")</f>
        <v>9A</v>
      </c>
      <c r="AE646" s="12">
        <f>IFERROR(__xludf.DUMMYFUNCTION("""COMPUTED_VALUE"""),1.345281791E9)</f>
        <v>1345281791</v>
      </c>
      <c r="AF646" s="12" t="str">
        <f>IFERROR(__xludf.DUMMYFUNCTION("""COMPUTED_VALUE"""),"2803045555")</f>
        <v>2803045555</v>
      </c>
      <c r="AG646" s="12" t="str">
        <f>IFERROR(__xludf.DUMMYFUNCTION("""COMPUTED_VALUE"""),"Lina")</f>
        <v>Lina</v>
      </c>
      <c r="AH646" s="12" t="str">
        <f>IFERROR(__xludf.DUMMYFUNCTION("""COMPUTED_VALUE"""),"Fernanda")</f>
        <v>Fernanda</v>
      </c>
      <c r="AI646" s="6" t="str">
        <f>IFERROR(__xludf.DUMMYFUNCTION("""COMPUTED_VALUE"""),"Mora Ceballos")</f>
        <v>Mora Ceballos</v>
      </c>
      <c r="AJ646" s="6" t="str">
        <f>IFERROR(__xludf.DUMMYFUNCTION("""COMPUTED_VALUE"""),"ajaramillo@esguerrajhr.com")</f>
        <v>ajaramillo@esguerrajhr.com</v>
      </c>
      <c r="AK646" s="6" t="str">
        <f>IFERROR(__xludf.DUMMYFUNCTION("""COMPUTED_VALUE"""),"ingeniera civil")</f>
        <v>ingeniera civil</v>
      </c>
      <c r="AL646" s="6"/>
      <c r="AM646" s="12" t="str">
        <f>IFERROR(__xludf.DUMMYFUNCTION("""COMPUTED_VALUE"""),"41936405")</f>
        <v>41936405</v>
      </c>
      <c r="AN646" s="12" t="str">
        <f>IFERROR(__xludf.DUMMYFUNCTION("""COMPUTED_VALUE"""),"3108148814")</f>
        <v>3108148814</v>
      </c>
      <c r="AO646" s="6" t="str">
        <f>IFERROR(__xludf.DUMMYFUNCTION("""COMPUTED_VALUE"""),"Madre")</f>
        <v>Madre</v>
      </c>
      <c r="AP646" s="6" t="str">
        <f>IFERROR(__xludf.DUMMYFUNCTION("""COMPUTED_VALUE"""),"Estudiante(s): Jaramillo Mora")</f>
        <v>Estudiante(s): Jaramillo Mora</v>
      </c>
      <c r="AQ646" s="6" t="str">
        <f>IFERROR(__xludf.DUMMYFUNCTION("""COMPUTED_VALUE"""),"103598*Gi")</f>
        <v>103598*Gi</v>
      </c>
      <c r="AR646" s="6" t="str">
        <f>IFERROR(__xludf.DUMMYFUNCTION("""COMPUTED_VALUE"""),"Andrés")</f>
        <v>Andrés</v>
      </c>
      <c r="AS646" s="6"/>
      <c r="AT646" s="6" t="str">
        <f>IFERROR(__xludf.DUMMYFUNCTION("""COMPUTED_VALUE"""),"Jaramillo Hoyos")</f>
        <v>Jaramillo Hoyos</v>
      </c>
      <c r="AU646" s="6" t="str">
        <f>IFERROR(__xludf.DUMMYFUNCTION("""COMPUTED_VALUE"""),"ajaramillo@esguerrajhr.com")</f>
        <v>ajaramillo@esguerrajhr.com</v>
      </c>
      <c r="AV646" s="6" t="str">
        <f>IFERROR(__xludf.DUMMYFUNCTION("""COMPUTED_VALUE"""),"Abogado")</f>
        <v>Abogado</v>
      </c>
      <c r="AW646" s="6" t="str">
        <f>IFERROR(__xludf.DUMMYFUNCTION("""COMPUTED_VALUE"""),"Esguerra Asesores Judiricos")</f>
        <v>Esguerra Asesores Judiricos</v>
      </c>
      <c r="AX646" s="12" t="str">
        <f>IFERROR(__xludf.DUMMYFUNCTION("""COMPUTED_VALUE"""),"7562626")</f>
        <v>7562626</v>
      </c>
      <c r="AY646" s="12" t="str">
        <f>IFERROR(__xludf.DUMMYFUNCTION("""COMPUTED_VALUE"""),"3105752060")</f>
        <v>3105752060</v>
      </c>
      <c r="AZ646" s="6" t="str">
        <f>IFERROR(__xludf.DUMMYFUNCTION("""COMPUTED_VALUE"""),"Padre")</f>
        <v>Padre</v>
      </c>
      <c r="BA646" s="6"/>
      <c r="BB646" s="6"/>
      <c r="BC646" s="6"/>
      <c r="BD646" s="12" t="str">
        <f>IFERROR(__xludf.DUMMYFUNCTION("""COMPUTED_VALUE"""),"jar0021")</f>
        <v>jar0021</v>
      </c>
      <c r="BE646" s="6"/>
      <c r="BF646" s="6"/>
      <c r="BG646" s="6">
        <f>IFERROR(__xludf.DUMMYFUNCTION("""COMPUTED_VALUE"""),2030.0)</f>
        <v>2030</v>
      </c>
      <c r="BH646" s="15">
        <f>IFERROR(__xludf.DUMMYFUNCTION("""COMPUTED_VALUE"""),46211.31936342592)</f>
        <v>46211.31936</v>
      </c>
      <c r="BI646" s="6">
        <f>IFERROR(__xludf.DUMMYFUNCTION("""COMPUTED_VALUE"""),647.0)</f>
        <v>647</v>
      </c>
      <c r="BJ646" s="6"/>
      <c r="BK646" s="6"/>
      <c r="BL646" s="6" t="str">
        <f>IFERROR(__xludf.DUMMYFUNCTION("""COMPUTED_VALUE"""),"GISJAR0021")</f>
        <v>GISJAR0021</v>
      </c>
      <c r="BM646" s="6"/>
      <c r="BN646" s="6"/>
      <c r="BO646" s="6" t="str">
        <f>IFERROR(__xludf.DUMMYFUNCTION("""COMPUTED_VALUE"""),"XC_SEC_ProgRobot")</f>
        <v>XC_SEC_ProgRobot</v>
      </c>
      <c r="BP646" s="6"/>
      <c r="BQ646" s="6" t="str">
        <f>IFERROR(__xludf.DUMMYFUNCTION("""COMPUTED_VALUE"""),"XC_SEC_Basquetbol")</f>
        <v>XC_SEC_Basquetbol</v>
      </c>
      <c r="BR646" s="6" t="str">
        <f>IFERROR(__xludf.DUMMYFUNCTION("""COMPUTED_VALUE"""),"XC_SEC_Basquetbol")</f>
        <v>XC_SEC_Basquetbol</v>
      </c>
      <c r="BS646" s="6"/>
      <c r="BT646" s="6" t="str">
        <f>IFERROR(__xludf.DUMMYFUNCTION("""COMPUTED_VALUE"""),"XC_SEC_Basquetbol")</f>
        <v>XC_SEC_Basquetbol</v>
      </c>
      <c r="BU646" s="6" t="str">
        <f>IFERROR(__xludf.DUMMYFUNCTION("""COMPUTED_VALUE"""),"SI")</f>
        <v>SI</v>
      </c>
      <c r="BV646" s="6" t="str">
        <f>IFERROR(__xludf.DUMMYFUNCTION("""COMPUTED_VALUE"""),"esteban.j2030")</f>
        <v>esteban.j2030</v>
      </c>
      <c r="BW646" s="6"/>
      <c r="BX646" s="6"/>
      <c r="BY646" s="6"/>
      <c r="BZ646" s="6"/>
    </row>
    <row r="647">
      <c r="A647" s="12">
        <f>IFERROR(__xludf.DUMMYFUNCTION("""COMPUTED_VALUE"""),1.092860881E9)</f>
        <v>1092860881</v>
      </c>
      <c r="B647" s="6">
        <f>IFERROR(__xludf.DUMMYFUNCTION("""COMPUTED_VALUE"""),26.0)</f>
        <v>26</v>
      </c>
      <c r="C647" s="6" t="str">
        <f>IFERROR(__xludf.DUMMYFUNCTION("""COMPUTED_VALUE"""),"Amelia")</f>
        <v>Amelia</v>
      </c>
      <c r="D647" s="6"/>
      <c r="E647" s="6" t="str">
        <f>IFERROR(__xludf.DUMMYFUNCTION("""COMPUTED_VALUE"""),"Jaramillo Trujillo")</f>
        <v>Jaramillo Trujillo</v>
      </c>
      <c r="F647" s="6" t="str">
        <f>IFERROR(__xludf.DUMMYFUNCTION("""COMPUTED_VALUE"""),"Parque Residencial La Grecia - Calle 45 Variante Nte No 30 - 120")</f>
        <v>Parque Residencial La Grecia - Calle 45 Variante Nte No 30 - 120</v>
      </c>
      <c r="G647" s="12" t="str">
        <f>IFERROR(__xludf.DUMMYFUNCTION("""COMPUTED_VALUE"""),"2011")</f>
        <v>2011</v>
      </c>
      <c r="H647" s="6" t="str">
        <f>IFERROR(__xludf.DUMMYFUNCTION("""COMPUTED_VALUE"""),"Agosto")</f>
        <v>Agosto</v>
      </c>
      <c r="I647" s="12" t="str">
        <f>IFERROR(__xludf.DUMMYFUNCTION("""COMPUTED_VALUE"""),"4")</f>
        <v>4</v>
      </c>
      <c r="J647" s="6" t="str">
        <f>IFERROR(__xludf.DUMMYFUNCTION("""COMPUTED_VALUE"""),"San Francisco")</f>
        <v>San Francisco</v>
      </c>
      <c r="K647" s="6" t="str">
        <f>IFERROR(__xludf.DUMMYFUNCTION("""COMPUTED_VALUE"""),"amelia.j2030@gi.edu.co")</f>
        <v>amelia.j2030@gi.edu.co</v>
      </c>
      <c r="L647" s="6" t="str">
        <f>IFERROR(__xludf.DUMMYFUNCTION("""COMPUTED_VALUE"""),"TI")</f>
        <v>TI</v>
      </c>
      <c r="M647" s="6" t="str">
        <f>IFERROR(__xludf.DUMMYFUNCTION("""COMPUTED_VALUE"""),"Calarcá")</f>
        <v>Calarcá</v>
      </c>
      <c r="N647" s="6" t="str">
        <f>IFERROR(__xludf.DUMMYFUNCTION("""COMPUTED_VALUE"""),"F")</f>
        <v>F</v>
      </c>
      <c r="O647" s="6" t="str">
        <f>IFERROR(__xludf.DUMMYFUNCTION("""COMPUTED_VALUE"""),"ACTIVE")</f>
        <v>ACTIVE</v>
      </c>
      <c r="P647" s="6"/>
      <c r="Q647" s="6" t="str">
        <f>IFERROR(__xludf.DUMMYFUNCTION("""COMPUTED_VALUE"""),"Calarcá")</f>
        <v>Calarcá</v>
      </c>
      <c r="R647" s="6" t="str">
        <f>IFERROR(__xludf.DUMMYFUNCTION("""COMPUTED_VALUE"""),"Gi4m3jT7*")</f>
        <v>Gi4m3jT7*</v>
      </c>
      <c r="S647" s="6" t="str">
        <f>IFERROR(__xludf.DUMMYFUNCTION("""COMPUTED_VALUE"""),"Jaramillo Trujillo Amelia ")</f>
        <v>Jaramillo Trujillo Amelia </v>
      </c>
      <c r="T647" s="6" t="str">
        <f>IFERROR(__xludf.DUMMYFUNCTION("""COMPUTED_VALUE"""),"JORGE IVAN JARAMILLO JARAMILLO")</f>
        <v>JORGE IVAN JARAMILLO JARAMILLO</v>
      </c>
      <c r="U647" s="12" t="str">
        <f>IFERROR(__xludf.DUMMYFUNCTION("""COMPUTED_VALUE"""),"18393433")</f>
        <v>18393433</v>
      </c>
      <c r="V647" s="6">
        <f>IFERROR(__xludf.DUMMYFUNCTION("""COMPUTED_VALUE"""),3.217030044E9)</f>
        <v>3217030044</v>
      </c>
      <c r="W647" s="6" t="str">
        <f>IFERROR(__xludf.DUMMYFUNCTION("""COMPUTED_VALUE"""),"jijaramillo@grupocmp.net")</f>
        <v>jijaramillo@grupocmp.net</v>
      </c>
      <c r="X647" s="12" t="str">
        <f>IFERROR(__xludf.DUMMYFUNCTION("""COMPUTED_VALUE"""),"O+")</f>
        <v>O+</v>
      </c>
      <c r="Y647" s="12" t="str">
        <f>IFERROR(__xludf.DUMMYFUNCTION("""COMPUTED_VALUE"""),"9")</f>
        <v>9</v>
      </c>
      <c r="Z647" s="12">
        <f>IFERROR(__xludf.DUMMYFUNCTION("""COMPUTED_VALUE"""),120205.0)</f>
        <v>120205</v>
      </c>
      <c r="AA647" s="6" t="str">
        <f>IFERROR(__xludf.DUMMYFUNCTION("""COMPUTED_VALUE"""),"SURA")</f>
        <v>SURA</v>
      </c>
      <c r="AB647" s="6"/>
      <c r="AC647" s="12" t="str">
        <f>IFERROR(__xludf.DUMMYFUNCTION("""COMPUTED_VALUE"""),"si:")</f>
        <v>si:</v>
      </c>
      <c r="AD647" s="12" t="str">
        <f>IFERROR(__xludf.DUMMYFUNCTION("""COMPUTED_VALUE"""),"9B")</f>
        <v>9B</v>
      </c>
      <c r="AE647" s="12">
        <f>IFERROR(__xludf.DUMMYFUNCTION("""COMPUTED_VALUE"""),1.345282187E9)</f>
        <v>1345282187</v>
      </c>
      <c r="AF647" s="12" t="str">
        <f>IFERROR(__xludf.DUMMYFUNCTION("""COMPUTED_VALUE"""),"0674090595")</f>
        <v>0674090595</v>
      </c>
      <c r="AG647" s="12" t="str">
        <f>IFERROR(__xludf.DUMMYFUNCTION("""COMPUTED_VALUE"""),"Sandra")</f>
        <v>Sandra</v>
      </c>
      <c r="AH647" s="12" t="str">
        <f>IFERROR(__xludf.DUMMYFUNCTION("""COMPUTED_VALUE"""),"Liliana")</f>
        <v>Liliana</v>
      </c>
      <c r="AI647" s="6" t="str">
        <f>IFERROR(__xludf.DUMMYFUNCTION("""COMPUTED_VALUE"""),"Trujillo Molina")</f>
        <v>Trujillo Molina</v>
      </c>
      <c r="AJ647" s="6" t="str">
        <f>IFERROR(__xludf.DUMMYFUNCTION("""COMPUTED_VALUE"""),"cmppty@gmail.com")</f>
        <v>cmppty@gmail.com</v>
      </c>
      <c r="AK647" s="6" t="str">
        <f>IFERROR(__xludf.DUMMYFUNCTION("""COMPUTED_VALUE"""),"PROF EN SALUD OCUPACIONAL")</f>
        <v>PROF EN SALUD OCUPACIONAL</v>
      </c>
      <c r="AL647" s="6" t="str">
        <f>IFERROR(__xludf.DUMMYFUNCTION("""COMPUTED_VALUE"""),"construcciones mecanicas panama sa")</f>
        <v>construcciones mecanicas panama sa</v>
      </c>
      <c r="AM647" s="12" t="str">
        <f>IFERROR(__xludf.DUMMYFUNCTION("""COMPUTED_VALUE"""),"24585820")</f>
        <v>24585820</v>
      </c>
      <c r="AN647" s="12" t="str">
        <f>IFERROR(__xludf.DUMMYFUNCTION("""COMPUTED_VALUE"""),"3217032344")</f>
        <v>3217032344</v>
      </c>
      <c r="AO647" s="6" t="str">
        <f>IFERROR(__xludf.DUMMYFUNCTION("""COMPUTED_VALUE"""),"Madre")</f>
        <v>Madre</v>
      </c>
      <c r="AP647" s="6" t="str">
        <f>IFERROR(__xludf.DUMMYFUNCTION("""COMPUTED_VALUE"""),"Estudiante(s): Jaramillo Trujillo")</f>
        <v>Estudiante(s): Jaramillo Trujillo</v>
      </c>
      <c r="AQ647" s="6" t="str">
        <f>IFERROR(__xludf.DUMMYFUNCTION("""COMPUTED_VALUE"""),"120205*Gi")</f>
        <v>120205*Gi</v>
      </c>
      <c r="AR647" s="6" t="str">
        <f>IFERROR(__xludf.DUMMYFUNCTION("""COMPUTED_VALUE"""),"Jorge")</f>
        <v>Jorge</v>
      </c>
      <c r="AS647" s="6" t="str">
        <f>IFERROR(__xludf.DUMMYFUNCTION("""COMPUTED_VALUE"""),"Iván")</f>
        <v>Iván</v>
      </c>
      <c r="AT647" s="6" t="str">
        <f>IFERROR(__xludf.DUMMYFUNCTION("""COMPUTED_VALUE"""),"Jaramillo Jaramillo")</f>
        <v>Jaramillo Jaramillo</v>
      </c>
      <c r="AU647" s="6" t="str">
        <f>IFERROR(__xludf.DUMMYFUNCTION("""COMPUTED_VALUE"""),"jijaramillo@grupocmp.net")</f>
        <v>jijaramillo@grupocmp.net</v>
      </c>
      <c r="AV647" s="6" t="str">
        <f>IFERROR(__xludf.DUMMYFUNCTION("""COMPUTED_VALUE"""),"ADMON EMPRESAS")</f>
        <v>ADMON EMPRESAS</v>
      </c>
      <c r="AW647" s="6"/>
      <c r="AX647" s="12" t="str">
        <f>IFERROR(__xludf.DUMMYFUNCTION("""COMPUTED_VALUE"""),"18393433")</f>
        <v>18393433</v>
      </c>
      <c r="AY647" s="12" t="str">
        <f>IFERROR(__xludf.DUMMYFUNCTION("""COMPUTED_VALUE"""),"3217030044")</f>
        <v>3217030044</v>
      </c>
      <c r="AZ647" s="6" t="str">
        <f>IFERROR(__xludf.DUMMYFUNCTION("""COMPUTED_VALUE"""),"Padre")</f>
        <v>Padre</v>
      </c>
      <c r="BA647" s="6"/>
      <c r="BB647" s="6"/>
      <c r="BC647" s="6"/>
      <c r="BD647" s="12" t="str">
        <f>IFERROR(__xludf.DUMMYFUNCTION("""COMPUTED_VALUE"""),"jar0009")</f>
        <v>jar0009</v>
      </c>
      <c r="BE647" s="6"/>
      <c r="BF647" s="12" t="str">
        <f>IFERROR(__xludf.DUMMYFUNCTION("""COMPUTED_VALUE"""),"PROMOVIDO")</f>
        <v>PROMOVIDO</v>
      </c>
      <c r="BG647" s="6">
        <f>IFERROR(__xludf.DUMMYFUNCTION("""COMPUTED_VALUE"""),2030.0)</f>
        <v>2030</v>
      </c>
      <c r="BH647" s="15">
        <f>IFERROR(__xludf.DUMMYFUNCTION("""COMPUTED_VALUE"""),46248.53928240741)</f>
        <v>46248.53928</v>
      </c>
      <c r="BI647" s="6">
        <f>IFERROR(__xludf.DUMMYFUNCTION("""COMPUTED_VALUE"""),648.0)</f>
        <v>648</v>
      </c>
      <c r="BJ647" s="6"/>
      <c r="BK647" s="6"/>
      <c r="BL647" s="6" t="str">
        <f>IFERROR(__xludf.DUMMYFUNCTION("""COMPUTED_VALUE"""),"GISJAR0009")</f>
        <v>GISJAR0009</v>
      </c>
      <c r="BM647" s="6"/>
      <c r="BN647" s="6"/>
      <c r="BO647" s="6" t="str">
        <f>IFERROR(__xludf.DUMMYFUNCTION("""COMPUTED_VALUE"""),"XC_HS_Voleibol_F")</f>
        <v>XC_HS_Voleibol_F</v>
      </c>
      <c r="BP647" s="6"/>
      <c r="BQ647" s="6" t="str">
        <f>IFERROR(__xludf.DUMMYFUNCTION("""COMPUTED_VALUE"""),"XC_HS_Voleibol_F")</f>
        <v>XC_HS_Voleibol_F</v>
      </c>
      <c r="BR647" s="6" t="str">
        <f>IFERROR(__xludf.DUMMYFUNCTION("""COMPUTED_VALUE"""),"XC_HS_Voleibol_F")</f>
        <v>XC_HS_Voleibol_F</v>
      </c>
      <c r="BS647" s="6"/>
      <c r="BT647" s="6" t="str">
        <f>IFERROR(__xludf.DUMMYFUNCTION("""COMPUTED_VALUE"""),"XC_HS_Voleibol_F")</f>
        <v>XC_HS_Voleibol_F</v>
      </c>
      <c r="BU647" s="6" t="str">
        <f>IFERROR(__xludf.DUMMYFUNCTION("""COMPUTED_VALUE"""),"SI")</f>
        <v>SI</v>
      </c>
      <c r="BV647" s="6" t="str">
        <f>IFERROR(__xludf.DUMMYFUNCTION("""COMPUTED_VALUE"""),"amelia.j2030")</f>
        <v>amelia.j2030</v>
      </c>
      <c r="BW647" s="6"/>
      <c r="BX647" s="6"/>
      <c r="BY647" s="6"/>
      <c r="BZ647" s="6"/>
    </row>
    <row r="648">
      <c r="A648" s="12">
        <f>IFERROR(__xludf.DUMMYFUNCTION("""COMPUTED_VALUE"""),1.011106476E9)</f>
        <v>1011106476</v>
      </c>
      <c r="B648" s="6">
        <f>IFERROR(__xludf.DUMMYFUNCTION("""COMPUTED_VALUE"""),27.0)</f>
        <v>27</v>
      </c>
      <c r="C648" s="6" t="str">
        <f>IFERROR(__xludf.DUMMYFUNCTION("""COMPUTED_VALUE"""),"Juan")</f>
        <v>Juan</v>
      </c>
      <c r="D648" s="6" t="str">
        <f>IFERROR(__xludf.DUMMYFUNCTION("""COMPUTED_VALUE"""),"Andrés")</f>
        <v>Andrés</v>
      </c>
      <c r="E648" s="6" t="str">
        <f>IFERROR(__xludf.DUMMYFUNCTION("""COMPUTED_VALUE"""),"Lasso Arboleda")</f>
        <v>Lasso Arboleda</v>
      </c>
      <c r="F648" s="6" t="str">
        <f>IFERROR(__xludf.DUMMYFUNCTION("""COMPUTED_VALUE"""),"Lagos de Iraka - Km 12 Via Armenia - El Caimo")</f>
        <v>Lagos de Iraka - Km 12 Via Armenia - El Caimo</v>
      </c>
      <c r="G648" s="12" t="str">
        <f>IFERROR(__xludf.DUMMYFUNCTION("""COMPUTED_VALUE"""),"2012")</f>
        <v>2012</v>
      </c>
      <c r="H648" s="6" t="str">
        <f>IFERROR(__xludf.DUMMYFUNCTION("""COMPUTED_VALUE"""),"Octubre")</f>
        <v>Octubre</v>
      </c>
      <c r="I648" s="12" t="str">
        <f>IFERROR(__xludf.DUMMYFUNCTION("""COMPUTED_VALUE"""),"6")</f>
        <v>6</v>
      </c>
      <c r="J648" s="6" t="str">
        <f>IFERROR(__xludf.DUMMYFUNCTION("""COMPUTED_VALUE"""),"Bogotá D.C.")</f>
        <v>Bogotá D.C.</v>
      </c>
      <c r="K648" s="6" t="str">
        <f>IFERROR(__xludf.DUMMYFUNCTION("""COMPUTED_VALUE"""),"juan.l2030@gi.edu.co")</f>
        <v>juan.l2030@gi.edu.co</v>
      </c>
      <c r="L648" s="6" t="str">
        <f>IFERROR(__xludf.DUMMYFUNCTION("""COMPUTED_VALUE"""),"TI")</f>
        <v>TI</v>
      </c>
      <c r="M648" s="6" t="str">
        <f>IFERROR(__xludf.DUMMYFUNCTION("""COMPUTED_VALUE"""),"Armenia")</f>
        <v>Armenia</v>
      </c>
      <c r="N648" s="6" t="str">
        <f>IFERROR(__xludf.DUMMYFUNCTION("""COMPUTED_VALUE"""),"M")</f>
        <v>M</v>
      </c>
      <c r="O648" s="6" t="str">
        <f>IFERROR(__xludf.DUMMYFUNCTION("""COMPUTED_VALUE"""),"INACTIVE")</f>
        <v>INACTIVE</v>
      </c>
      <c r="P648" s="6"/>
      <c r="Q648" s="6" t="str">
        <f>IFERROR(__xludf.DUMMYFUNCTION("""COMPUTED_VALUE"""),"Armenia")</f>
        <v>Armenia</v>
      </c>
      <c r="R648" s="12" t="str">
        <f>IFERROR(__xludf.DUMMYFUNCTION("""COMPUTED_VALUE"""),"Gi2qzc6*")</f>
        <v>Gi2qzc6*</v>
      </c>
      <c r="S648" s="6" t="str">
        <f>IFERROR(__xludf.DUMMYFUNCTION("""COMPUTED_VALUE"""),"Lasso Arboleda Juan Andrés")</f>
        <v>Lasso Arboleda Juan Andrés</v>
      </c>
      <c r="T648" s="6" t="str">
        <f>IFERROR(__xludf.DUMMYFUNCTION("""COMPUTED_VALUE"""),"ANDRES LEONARDO LASSO AGUIRRE")</f>
        <v>ANDRES LEONARDO LASSO AGUIRRE</v>
      </c>
      <c r="U648" s="12" t="str">
        <f>IFERROR(__xludf.DUMMYFUNCTION("""COMPUTED_VALUE"""),"80187378")</f>
        <v>80187378</v>
      </c>
      <c r="V648" s="6">
        <f>IFERROR(__xludf.DUMMYFUNCTION("""COMPUTED_VALUE"""),3.125761146E9)</f>
        <v>3125761146</v>
      </c>
      <c r="W648" s="6" t="str">
        <f>IFERROR(__xludf.DUMMYFUNCTION("""COMPUTED_VALUE"""),"leonardolasso@gmail.com")</f>
        <v>leonardolasso@gmail.com</v>
      </c>
      <c r="X648" s="12" t="str">
        <f>IFERROR(__xludf.DUMMYFUNCTION("""COMPUTED_VALUE"""),"O+")</f>
        <v>O+</v>
      </c>
      <c r="Y648" s="12" t="str">
        <f>IFERROR(__xludf.DUMMYFUNCTION("""COMPUTED_VALUE"""),"9")</f>
        <v>9</v>
      </c>
      <c r="Z648" s="12">
        <f>IFERROR(__xludf.DUMMYFUNCTION("""COMPUTED_VALUE"""),120381.0)</f>
        <v>120381</v>
      </c>
      <c r="AA648" s="6" t="str">
        <f>IFERROR(__xludf.DUMMYFUNCTION("""COMPUTED_VALUE"""),"SURA")</f>
        <v>SURA</v>
      </c>
      <c r="AB648" s="6"/>
      <c r="AC648" s="6"/>
      <c r="AD648" s="12" t="str">
        <f>IFERROR(__xludf.DUMMYFUNCTION("""COMPUTED_VALUE"""),"9A")</f>
        <v>9A</v>
      </c>
      <c r="AE648" s="12" t="str">
        <f>IFERROR(__xludf.DUMMYFUNCTION("""COMPUTED_VALUE"""),"1345282383")</f>
        <v>1345282383</v>
      </c>
      <c r="AF648" s="12" t="str">
        <f>IFERROR(__xludf.DUMMYFUNCTION("""COMPUTED_VALUE"""),"0690602579")</f>
        <v>0690602579</v>
      </c>
      <c r="AG648" s="12" t="str">
        <f>IFERROR(__xludf.DUMMYFUNCTION("""COMPUTED_VALUE"""),"Natalia")</f>
        <v>Natalia</v>
      </c>
      <c r="AH648" s="12" t="str">
        <f>IFERROR(__xludf.DUMMYFUNCTION("""COMPUTED_VALUE"""),"Isabel")</f>
        <v>Isabel</v>
      </c>
      <c r="AI648" s="6" t="str">
        <f>IFERROR(__xludf.DUMMYFUNCTION("""COMPUTED_VALUE"""),"Arboleda Sabogal")</f>
        <v>Arboleda Sabogal</v>
      </c>
      <c r="AJ648" s="6" t="str">
        <f>IFERROR(__xludf.DUMMYFUNCTION("""COMPUTED_VALUE"""),"fallecido@gi.edu.co")</f>
        <v>fallecido@gi.edu.co</v>
      </c>
      <c r="AK648" s="6" t="str">
        <f>IFERROR(__xludf.DUMMYFUNCTION("""COMPUTED_VALUE"""),"INGENIERA ELECTRONICA")</f>
        <v>INGENIERA ELECTRONICA</v>
      </c>
      <c r="AL648" s="6"/>
      <c r="AM648" s="12" t="str">
        <f>IFERROR(__xludf.DUMMYFUNCTION("""COMPUTED_VALUE"""),"38641136")</f>
        <v>38641136</v>
      </c>
      <c r="AN648" s="12" t="str">
        <f>IFERROR(__xludf.DUMMYFUNCTION("""COMPUTED_VALUE"""),"3125761146")</f>
        <v>3125761146</v>
      </c>
      <c r="AO648" s="6" t="str">
        <f>IFERROR(__xludf.DUMMYFUNCTION("""COMPUTED_VALUE"""),"Madre")</f>
        <v>Madre</v>
      </c>
      <c r="AP648" s="6" t="str">
        <f>IFERROR(__xludf.DUMMYFUNCTION("""COMPUTED_VALUE"""),"Estudiante(s): Juan Andrés Lasso Arboleda &amp; Quintana Torres Elena &amp; Quintana Torres Emilia")</f>
        <v>Estudiante(s): Juan Andrés Lasso Arboleda &amp; Quintana Torres Elena &amp; Quintana Torres Emilia</v>
      </c>
      <c r="AQ648" s="6" t="str">
        <f>IFERROR(__xludf.DUMMYFUNCTION("""COMPUTED_VALUE"""),"120381*Gi")</f>
        <v>120381*Gi</v>
      </c>
      <c r="AR648" s="6" t="str">
        <f>IFERROR(__xludf.DUMMYFUNCTION("""COMPUTED_VALUE"""),"Andrés")</f>
        <v>Andrés</v>
      </c>
      <c r="AS648" s="6" t="str">
        <f>IFERROR(__xludf.DUMMYFUNCTION("""COMPUTED_VALUE"""),"Leonardo")</f>
        <v>Leonardo</v>
      </c>
      <c r="AT648" s="6" t="str">
        <f>IFERROR(__xludf.DUMMYFUNCTION("""COMPUTED_VALUE"""),"Lasso Aguirre")</f>
        <v>Lasso Aguirre</v>
      </c>
      <c r="AU648" s="6" t="str">
        <f>IFERROR(__xludf.DUMMYFUNCTION("""COMPUTED_VALUE"""),"leonardolasso@gmail.com")</f>
        <v>leonardolasso@gmail.com</v>
      </c>
      <c r="AV648" s="6" t="str">
        <f>IFERROR(__xludf.DUMMYFUNCTION("""COMPUTED_VALUE"""),"ingeniero civil")</f>
        <v>ingeniero civil</v>
      </c>
      <c r="AW648" s="6" t="str">
        <f>IFERROR(__xludf.DUMMYFUNCTION("""COMPUTED_VALUE"""),"CONSORCIO PSA")</f>
        <v>CONSORCIO PSA</v>
      </c>
      <c r="AX648" s="12" t="str">
        <f>IFERROR(__xludf.DUMMYFUNCTION("""COMPUTED_VALUE"""),"80187378")</f>
        <v>80187378</v>
      </c>
      <c r="AY648" s="12">
        <f>IFERROR(__xludf.DUMMYFUNCTION("""COMPUTED_VALUE"""),3.125761146E9)</f>
        <v>3125761146</v>
      </c>
      <c r="AZ648" s="6" t="str">
        <f>IFERROR(__xludf.DUMMYFUNCTION("""COMPUTED_VALUE"""),"Padre")</f>
        <v>Padre</v>
      </c>
      <c r="BA648" s="6" t="str">
        <f>IFERROR(__xludf.DUMMYFUNCTION("""COMPUTED_VALUE"""),"LADY MABEL TORRES SANCHEZ")</f>
        <v>LADY MABEL TORRES SANCHEZ</v>
      </c>
      <c r="BB648" s="6">
        <f>IFERROR(__xludf.DUMMYFUNCTION("""COMPUTED_VALUE"""),3.012568154E9)</f>
        <v>3012568154</v>
      </c>
      <c r="BC648" s="6" t="str">
        <f>IFERROR(__xludf.DUMMYFUNCTION("""COMPUTED_VALUE"""),"Madre")</f>
        <v>Madre</v>
      </c>
      <c r="BD648" s="12" t="str">
        <f>IFERROR(__xludf.DUMMYFUNCTION("""COMPUTED_VALUE"""),"las0001")</f>
        <v>las0001</v>
      </c>
      <c r="BE648" s="6" t="str">
        <f>IFERROR(__xludf.DUMMYFUNCTION("""COMPUTED_VALUE"""),"FALTAN FIRMAS")</f>
        <v>FALTAN FIRMAS</v>
      </c>
      <c r="BF648" s="6"/>
      <c r="BG648" s="6">
        <f>IFERROR(__xludf.DUMMYFUNCTION("""COMPUTED_VALUE"""),2030.0)</f>
        <v>2030</v>
      </c>
      <c r="BH648" s="15">
        <f>IFERROR(__xludf.DUMMYFUNCTION("""COMPUTED_VALUE"""),46250.33256944444)</f>
        <v>46250.33257</v>
      </c>
      <c r="BI648" s="6">
        <f>IFERROR(__xludf.DUMMYFUNCTION("""COMPUTED_VALUE"""),649.0)</f>
        <v>649</v>
      </c>
      <c r="BJ648" s="6"/>
      <c r="BK648" s="6"/>
      <c r="BL648" s="6" t="str">
        <f>IFERROR(__xludf.DUMMYFUNCTION("""COMPUTED_VALUE"""),"GISLAS0001")</f>
        <v>GISLAS0001</v>
      </c>
      <c r="BM648" s="6"/>
      <c r="BN648" s="6"/>
      <c r="BO648" s="6" t="str">
        <f>IFERROR(__xludf.DUMMYFUNCTION("""COMPUTED_VALUE"""),"XC_HS_Futbol_M")</f>
        <v>XC_HS_Futbol_M</v>
      </c>
      <c r="BP648" s="6"/>
      <c r="BQ648" s="6" t="str">
        <f>IFERROR(__xludf.DUMMYFUNCTION("""COMPUTED_VALUE"""),"XC_HS_Futbol_M")</f>
        <v>XC_HS_Futbol_M</v>
      </c>
      <c r="BR648" s="6" t="str">
        <f>IFERROR(__xludf.DUMMYFUNCTION("""COMPUTED_VALUE"""),"XC_HS_Futbol_M")</f>
        <v>XC_HS_Futbol_M</v>
      </c>
      <c r="BS648" s="6"/>
      <c r="BT648" s="6" t="str">
        <f>IFERROR(__xludf.DUMMYFUNCTION("""COMPUTED_VALUE"""),"XC_HS_Futbol_M")</f>
        <v>XC_HS_Futbol_M</v>
      </c>
      <c r="BU648" s="6" t="str">
        <f>IFERROR(__xludf.DUMMYFUNCTION("""COMPUTED_VALUE"""),"SI")</f>
        <v>SI</v>
      </c>
      <c r="BV648" s="6" t="str">
        <f>IFERROR(__xludf.DUMMYFUNCTION("""COMPUTED_VALUE"""),"juan.l2030")</f>
        <v>juan.l2030</v>
      </c>
      <c r="BW648" s="6"/>
      <c r="BX648" s="6"/>
      <c r="BY648" s="6"/>
      <c r="BZ648" s="6"/>
    </row>
    <row r="649">
      <c r="A649" s="12">
        <f>IFERROR(__xludf.DUMMYFUNCTION("""COMPUTED_VALUE"""),1.105381181E9)</f>
        <v>1105381181</v>
      </c>
      <c r="B649" s="6">
        <f>IFERROR(__xludf.DUMMYFUNCTION("""COMPUTED_VALUE"""),28.0)</f>
        <v>28</v>
      </c>
      <c r="C649" s="6" t="str">
        <f>IFERROR(__xludf.DUMMYFUNCTION("""COMPUTED_VALUE"""),"María")</f>
        <v>María</v>
      </c>
      <c r="D649" s="6" t="str">
        <f>IFERROR(__xludf.DUMMYFUNCTION("""COMPUTED_VALUE"""),"Paula")</f>
        <v>Paula</v>
      </c>
      <c r="E649" s="6" t="str">
        <f>IFERROR(__xludf.DUMMYFUNCTION("""COMPUTED_VALUE"""),"Leguizamón Bahamón")</f>
        <v>Leguizamón Bahamón</v>
      </c>
      <c r="F649" s="6" t="str">
        <f>IFERROR(__xludf.DUMMYFUNCTION("""COMPUTED_VALUE"""),"Lagos de Iraka Casa 52 - Km 7 Via Armenia - El Caimo")</f>
        <v>Lagos de Iraka Casa 52 - Km 7 Via Armenia - El Caimo</v>
      </c>
      <c r="G649" s="12" t="str">
        <f>IFERROR(__xludf.DUMMYFUNCTION("""COMPUTED_VALUE"""),"2011")</f>
        <v>2011</v>
      </c>
      <c r="H649" s="6" t="str">
        <f>IFERROR(__xludf.DUMMYFUNCTION("""COMPUTED_VALUE"""),"Noviembre")</f>
        <v>Noviembre</v>
      </c>
      <c r="I649" s="12" t="str">
        <f>IFERROR(__xludf.DUMMYFUNCTION("""COMPUTED_VALUE"""),"11")</f>
        <v>11</v>
      </c>
      <c r="J649" s="6" t="str">
        <f>IFERROR(__xludf.DUMMYFUNCTION("""COMPUTED_VALUE"""),"Cali")</f>
        <v>Cali</v>
      </c>
      <c r="K649" s="6" t="str">
        <f>IFERROR(__xludf.DUMMYFUNCTION("""COMPUTED_VALUE"""),"maria.l2030@gi.edu.co")</f>
        <v>maria.l2030@gi.edu.co</v>
      </c>
      <c r="L649" s="6" t="str">
        <f>IFERROR(__xludf.DUMMYFUNCTION("""COMPUTED_VALUE"""),"TI")</f>
        <v>TI</v>
      </c>
      <c r="M649" s="6" t="str">
        <f>IFERROR(__xludf.DUMMYFUNCTION("""COMPUTED_VALUE"""),"Barranquilla")</f>
        <v>Barranquilla</v>
      </c>
      <c r="N649" s="6" t="str">
        <f>IFERROR(__xludf.DUMMYFUNCTION("""COMPUTED_VALUE"""),"F")</f>
        <v>F</v>
      </c>
      <c r="O649" s="6" t="str">
        <f>IFERROR(__xludf.DUMMYFUNCTION("""COMPUTED_VALUE"""),"ACTIVE")</f>
        <v>ACTIVE</v>
      </c>
      <c r="P649" s="6"/>
      <c r="Q649" s="6" t="str">
        <f>IFERROR(__xludf.DUMMYFUNCTION("""COMPUTED_VALUE"""),"Armenia")</f>
        <v>Armenia</v>
      </c>
      <c r="R649" s="12" t="str">
        <f>IFERROR(__xludf.DUMMYFUNCTION("""COMPUTED_VALUE"""),"Gi8kMUn*")</f>
        <v>Gi8kMUn*</v>
      </c>
      <c r="S649" s="6" t="str">
        <f>IFERROR(__xludf.DUMMYFUNCTION("""COMPUTED_VALUE"""),"Leguizamón Bahamón María Paula")</f>
        <v>Leguizamón Bahamón María Paula</v>
      </c>
      <c r="T649" s="6" t="str">
        <f>IFERROR(__xludf.DUMMYFUNCTION("""COMPUTED_VALUE"""),"JAIRO LEGUIZAMON RIVAS")</f>
        <v>JAIRO LEGUIZAMON RIVAS</v>
      </c>
      <c r="U649" s="12" t="str">
        <f>IFERROR(__xludf.DUMMYFUNCTION("""COMPUTED_VALUE"""),"79441801")</f>
        <v>79441801</v>
      </c>
      <c r="V649" s="6">
        <f>IFERROR(__xludf.DUMMYFUNCTION("""COMPUTED_VALUE"""),3.21577398E9)</f>
        <v>3215773980</v>
      </c>
      <c r="W649" s="6" t="str">
        <f>IFERROR(__xludf.DUMMYFUNCTION("""COMPUTED_VALUE"""),"jailegui2@hotmail.com")</f>
        <v>jailegui2@hotmail.com</v>
      </c>
      <c r="X649" s="12" t="str">
        <f>IFERROR(__xludf.DUMMYFUNCTION("""COMPUTED_VALUE"""),"A+")</f>
        <v>A+</v>
      </c>
      <c r="Y649" s="12" t="str">
        <f>IFERROR(__xludf.DUMMYFUNCTION("""COMPUTED_VALUE"""),"9")</f>
        <v>9</v>
      </c>
      <c r="Z649" s="12">
        <f>IFERROR(__xludf.DUMMYFUNCTION("""COMPUTED_VALUE"""),120159.0)</f>
        <v>120159</v>
      </c>
      <c r="AA649" s="6" t="str">
        <f>IFERROR(__xludf.DUMMYFUNCTION("""COMPUTED_VALUE"""),"OTRA")</f>
        <v>OTRA</v>
      </c>
      <c r="AB649" s="6"/>
      <c r="AC649" s="6"/>
      <c r="AD649" s="12" t="str">
        <f>IFERROR(__xludf.DUMMYFUNCTION("""COMPUTED_VALUE"""),"9B")</f>
        <v>9B</v>
      </c>
      <c r="AE649" s="12">
        <f>IFERROR(__xludf.DUMMYFUNCTION("""COMPUTED_VALUE"""),1.345282138E9)</f>
        <v>1345282138</v>
      </c>
      <c r="AF649" s="12" t="str">
        <f>IFERROR(__xludf.DUMMYFUNCTION("""COMPUTED_VALUE"""),"0694684227")</f>
        <v>0694684227</v>
      </c>
      <c r="AG649" s="12" t="str">
        <f>IFERROR(__xludf.DUMMYFUNCTION("""COMPUTED_VALUE"""),"Nathalie")</f>
        <v>Nathalie</v>
      </c>
      <c r="AH649" s="6"/>
      <c r="AI649" s="6" t="str">
        <f>IFERROR(__xludf.DUMMYFUNCTION("""COMPUTED_VALUE"""),"Bahamon Agudelo")</f>
        <v>Bahamon Agudelo</v>
      </c>
      <c r="AJ649" s="6" t="str">
        <f>IFERROR(__xludf.DUMMYFUNCTION("""COMPUTED_VALUE"""),"nathaliebahamon@yahoo.com")</f>
        <v>nathaliebahamon@yahoo.com</v>
      </c>
      <c r="AK649" s="6" t="str">
        <f>IFERROR(__xludf.DUMMYFUNCTION("""COMPUTED_VALUE"""),"MEDICO")</f>
        <v>MEDICO</v>
      </c>
      <c r="AL649" s="6" t="str">
        <f>IFERROR(__xludf.DUMMYFUNCTION("""COMPUTED_VALUE"""),"CEINSSA")</f>
        <v>CEINSSA</v>
      </c>
      <c r="AM649" s="12" t="str">
        <f>IFERROR(__xludf.DUMMYFUNCTION("""COMPUTED_VALUE"""),"67029794")</f>
        <v>67029794</v>
      </c>
      <c r="AN649" s="12" t="str">
        <f>IFERROR(__xludf.DUMMYFUNCTION("""COMPUTED_VALUE"""),"3166830921")</f>
        <v>3166830921</v>
      </c>
      <c r="AO649" s="6" t="str">
        <f>IFERROR(__xludf.DUMMYFUNCTION("""COMPUTED_VALUE"""),"Madre")</f>
        <v>Madre</v>
      </c>
      <c r="AP649" s="6" t="str">
        <f>IFERROR(__xludf.DUMMYFUNCTION("""COMPUTED_VALUE"""),"Estudiante(s): Leguizamón Bahamón")</f>
        <v>Estudiante(s): Leguizamón Bahamón</v>
      </c>
      <c r="AQ649" s="6" t="str">
        <f>IFERROR(__xludf.DUMMYFUNCTION("""COMPUTED_VALUE"""),"120159*Gi")</f>
        <v>120159*Gi</v>
      </c>
      <c r="AR649" s="6" t="str">
        <f>IFERROR(__xludf.DUMMYFUNCTION("""COMPUTED_VALUE"""),"Jairo")</f>
        <v>Jairo</v>
      </c>
      <c r="AS649" s="6"/>
      <c r="AT649" s="6" t="str">
        <f>IFERROR(__xludf.DUMMYFUNCTION("""COMPUTED_VALUE"""),"Leguizamón Rivas")</f>
        <v>Leguizamón Rivas</v>
      </c>
      <c r="AU649" s="6" t="str">
        <f>IFERROR(__xludf.DUMMYFUNCTION("""COMPUTED_VALUE"""),"jailegui2@hotmail.com")</f>
        <v>jailegui2@hotmail.com</v>
      </c>
      <c r="AV649" s="6" t="str">
        <f>IFERROR(__xludf.DUMMYFUNCTION("""COMPUTED_VALUE"""),"OFICIAL DEL EJERCITO")</f>
        <v>OFICIAL DEL EJERCITO</v>
      </c>
      <c r="AW649" s="6"/>
      <c r="AX649" s="12" t="str">
        <f>IFERROR(__xludf.DUMMYFUNCTION("""COMPUTED_VALUE"""),"79441801")</f>
        <v>79441801</v>
      </c>
      <c r="AY649" s="12" t="str">
        <f>IFERROR(__xludf.DUMMYFUNCTION("""COMPUTED_VALUE"""),"3215773980")</f>
        <v>3215773980</v>
      </c>
      <c r="AZ649" s="6" t="str">
        <f>IFERROR(__xludf.DUMMYFUNCTION("""COMPUTED_VALUE"""),"Padre")</f>
        <v>Padre</v>
      </c>
      <c r="BA649" s="6"/>
      <c r="BB649" s="6"/>
      <c r="BC649" s="6"/>
      <c r="BD649" s="12" t="str">
        <f>IFERROR(__xludf.DUMMYFUNCTION("""COMPUTED_VALUE"""),"leg0001")</f>
        <v>leg0001</v>
      </c>
      <c r="BE649" s="6"/>
      <c r="BF649" s="6"/>
      <c r="BG649" s="6">
        <f>IFERROR(__xludf.DUMMYFUNCTION("""COMPUTED_VALUE"""),2030.0)</f>
        <v>2030</v>
      </c>
      <c r="BH649" s="15">
        <f>IFERROR(__xludf.DUMMYFUNCTION("""COMPUTED_VALUE"""),46203.7334837963)</f>
        <v>46203.73348</v>
      </c>
      <c r="BI649" s="6">
        <f>IFERROR(__xludf.DUMMYFUNCTION("""COMPUTED_VALUE"""),650.0)</f>
        <v>650</v>
      </c>
      <c r="BJ649" s="6"/>
      <c r="BK649" s="6"/>
      <c r="BL649" s="6" t="str">
        <f>IFERROR(__xludf.DUMMYFUNCTION("""COMPUTED_VALUE"""),"GISLEG0001")</f>
        <v>GISLEG0001</v>
      </c>
      <c r="BM649" s="6"/>
      <c r="BN649" s="6"/>
      <c r="BO649" s="6" t="str">
        <f>IFERROR(__xludf.DUMMYFUNCTION("""COMPUTED_VALUE"""),"XC_HS_Voleibol_F")</f>
        <v>XC_HS_Voleibol_F</v>
      </c>
      <c r="BP649" s="6"/>
      <c r="BQ649" s="6" t="str">
        <f>IFERROR(__xludf.DUMMYFUNCTION("""COMPUTED_VALUE"""),"XC_HS_Voleibol_F")</f>
        <v>XC_HS_Voleibol_F</v>
      </c>
      <c r="BR649" s="6" t="str">
        <f>IFERROR(__xludf.DUMMYFUNCTION("""COMPUTED_VALUE"""),"XC_HS_Voleibol_F")</f>
        <v>XC_HS_Voleibol_F</v>
      </c>
      <c r="BS649" s="6"/>
      <c r="BT649" s="6" t="str">
        <f>IFERROR(__xludf.DUMMYFUNCTION("""COMPUTED_VALUE"""),"XC_HS_Voleibol_F")</f>
        <v>XC_HS_Voleibol_F</v>
      </c>
      <c r="BU649" s="6" t="str">
        <f>IFERROR(__xludf.DUMMYFUNCTION("""COMPUTED_VALUE"""),"SI")</f>
        <v>SI</v>
      </c>
      <c r="BV649" s="6" t="str">
        <f>IFERROR(__xludf.DUMMYFUNCTION("""COMPUTED_VALUE"""),"maria.l2030")</f>
        <v>maria.l2030</v>
      </c>
      <c r="BW649" s="6"/>
      <c r="BX649" s="6"/>
      <c r="BY649" s="6"/>
      <c r="BZ649" s="6"/>
    </row>
    <row r="650">
      <c r="A650" s="12">
        <f>IFERROR(__xludf.DUMMYFUNCTION("""COMPUTED_VALUE"""),1.092462253E9)</f>
        <v>1092462253</v>
      </c>
      <c r="B650" s="6">
        <f>IFERROR(__xludf.DUMMYFUNCTION("""COMPUTED_VALUE"""),29.0)</f>
        <v>29</v>
      </c>
      <c r="C650" s="6" t="str">
        <f>IFERROR(__xludf.DUMMYFUNCTION("""COMPUTED_VALUE"""),"Paloma")</f>
        <v>Paloma</v>
      </c>
      <c r="D650" s="6"/>
      <c r="E650" s="6" t="str">
        <f>IFERROR(__xludf.DUMMYFUNCTION("""COMPUTED_VALUE"""),"López Giraldo")</f>
        <v>López Giraldo</v>
      </c>
      <c r="F650" s="6" t="str">
        <f>IFERROR(__xludf.DUMMYFUNCTION("""COMPUTED_VALUE"""),"Conjunto Hacienda El Cabrero Casa 20 - Km 9 Via Armenia-La Tebaida")</f>
        <v>Conjunto Hacienda El Cabrero Casa 20 - Km 9 Via Armenia-La Tebaida</v>
      </c>
      <c r="G650" s="12" t="str">
        <f>IFERROR(__xludf.DUMMYFUNCTION("""COMPUTED_VALUE"""),"2012")</f>
        <v>2012</v>
      </c>
      <c r="H650" s="6" t="str">
        <f>IFERROR(__xludf.DUMMYFUNCTION("""COMPUTED_VALUE"""),"Enero")</f>
        <v>Enero</v>
      </c>
      <c r="I650" s="12" t="str">
        <f>IFERROR(__xludf.DUMMYFUNCTION("""COMPUTED_VALUE"""),"6")</f>
        <v>6</v>
      </c>
      <c r="J650" s="6" t="str">
        <f>IFERROR(__xludf.DUMMYFUNCTION("""COMPUTED_VALUE"""),"Armenia")</f>
        <v>Armenia</v>
      </c>
      <c r="K650" s="6" t="str">
        <f>IFERROR(__xludf.DUMMYFUNCTION("""COMPUTED_VALUE"""),"paloma.l2030@gi.edu.co")</f>
        <v>paloma.l2030@gi.edu.co</v>
      </c>
      <c r="L650" s="6" t="str">
        <f>IFERROR(__xludf.DUMMYFUNCTION("""COMPUTED_VALUE"""),"TI")</f>
        <v>TI</v>
      </c>
      <c r="M650" s="6" t="str">
        <f>IFERROR(__xludf.DUMMYFUNCTION("""COMPUTED_VALUE"""),"Armenia")</f>
        <v>Armenia</v>
      </c>
      <c r="N650" s="6" t="str">
        <f>IFERROR(__xludf.DUMMYFUNCTION("""COMPUTED_VALUE"""),"F")</f>
        <v>F</v>
      </c>
      <c r="O650" s="6" t="str">
        <f>IFERROR(__xludf.DUMMYFUNCTION("""COMPUTED_VALUE"""),"INACTIVE")</f>
        <v>INACTIVE</v>
      </c>
      <c r="P650" s="6"/>
      <c r="Q650" s="6" t="str">
        <f>IFERROR(__xludf.DUMMYFUNCTION("""COMPUTED_VALUE"""),"Armenia")</f>
        <v>Armenia</v>
      </c>
      <c r="R650" s="12" t="str">
        <f>IFERROR(__xludf.DUMMYFUNCTION("""COMPUTED_VALUE"""),"Gi162534er*")</f>
        <v>Gi162534er*</v>
      </c>
      <c r="S650" s="6" t="str">
        <f>IFERROR(__xludf.DUMMYFUNCTION("""COMPUTED_VALUE"""),"López Giraldo Paloma ")</f>
        <v>López Giraldo Paloma </v>
      </c>
      <c r="T650" s="6" t="str">
        <f>IFERROR(__xludf.DUMMYFUNCTION("""COMPUTED_VALUE"""),"MÓNICA BEATRIZ GIRALDO OSORIO")</f>
        <v>MÓNICA BEATRIZ GIRALDO OSORIO</v>
      </c>
      <c r="U650" s="12" t="str">
        <f>IFERROR(__xludf.DUMMYFUNCTION("""COMPUTED_VALUE"""),"41935534")</f>
        <v>41935534</v>
      </c>
      <c r="V650" s="6">
        <f>IFERROR(__xludf.DUMMYFUNCTION("""COMPUTED_VALUE"""),3.022382707E9)</f>
        <v>3022382707</v>
      </c>
      <c r="W650" s="6" t="str">
        <f>IFERROR(__xludf.DUMMYFUNCTION("""COMPUTED_VALUE"""),"mo.nana@hotmail.com")</f>
        <v>mo.nana@hotmail.com</v>
      </c>
      <c r="X650" s="12" t="str">
        <f>IFERROR(__xludf.DUMMYFUNCTION("""COMPUTED_VALUE"""),"O+")</f>
        <v>O+</v>
      </c>
      <c r="Y650" s="12" t="str">
        <f>IFERROR(__xludf.DUMMYFUNCTION("""COMPUTED_VALUE"""),"9")</f>
        <v>9</v>
      </c>
      <c r="Z650" s="12">
        <f>IFERROR(__xludf.DUMMYFUNCTION("""COMPUTED_VALUE"""),103100.0)</f>
        <v>103100</v>
      </c>
      <c r="AA650" s="6" t="str">
        <f>IFERROR(__xludf.DUMMYFUNCTION("""COMPUTED_VALUE"""),"SURA")</f>
        <v>SURA</v>
      </c>
      <c r="AB650" s="6" t="str">
        <f>IFERROR(__xludf.DUMMYFUNCTION("""COMPUTED_VALUE"""),"EMI")</f>
        <v>EMI</v>
      </c>
      <c r="AC650" s="12" t="str">
        <f>IFERROR(__xludf.DUMMYFUNCTION("""COMPUTED_VALUE"""),"Caldos de gallina artificial")</f>
        <v>Caldos de gallina artificial</v>
      </c>
      <c r="AD650" s="12" t="str">
        <f>IFERROR(__xludf.DUMMYFUNCTION("""COMPUTED_VALUE"""),"9B")</f>
        <v>9B</v>
      </c>
      <c r="AE650" s="12">
        <f>IFERROR(__xludf.DUMMYFUNCTION("""COMPUTED_VALUE"""),1.345281511E9)</f>
        <v>1345281511</v>
      </c>
      <c r="AF650" s="12" t="str">
        <f>IFERROR(__xludf.DUMMYFUNCTION("""COMPUTED_VALUE"""),"0696294739")</f>
        <v>0696294739</v>
      </c>
      <c r="AG650" s="12" t="str">
        <f>IFERROR(__xludf.DUMMYFUNCTION("""COMPUTED_VALUE"""),"Mónica")</f>
        <v>Mónica</v>
      </c>
      <c r="AH650" s="12" t="str">
        <f>IFERROR(__xludf.DUMMYFUNCTION("""COMPUTED_VALUE"""),"Beatriz")</f>
        <v>Beatriz</v>
      </c>
      <c r="AI650" s="6" t="str">
        <f>IFERROR(__xludf.DUMMYFUNCTION("""COMPUTED_VALUE"""),"Giraldo Osorio")</f>
        <v>Giraldo Osorio</v>
      </c>
      <c r="AJ650" s="6" t="str">
        <f>IFERROR(__xludf.DUMMYFUNCTION("""COMPUTED_VALUE"""),"mo.nana@hotmail.com")</f>
        <v>mo.nana@hotmail.com</v>
      </c>
      <c r="AK650" s="6" t="str">
        <f>IFERROR(__xludf.DUMMYFUNCTION("""COMPUTED_VALUE"""),"ADMON EMPRESAS")</f>
        <v>ADMON EMPRESAS</v>
      </c>
      <c r="AL650" s="6" t="str">
        <f>IFERROR(__xludf.DUMMYFUNCTION("""COMPUTED_VALUE"""),"Inversora II MEP SAS")</f>
        <v>Inversora II MEP SAS</v>
      </c>
      <c r="AM650" s="12" t="str">
        <f>IFERROR(__xludf.DUMMYFUNCTION("""COMPUTED_VALUE"""),"41935534")</f>
        <v>41935534</v>
      </c>
      <c r="AN650" s="12" t="str">
        <f>IFERROR(__xludf.DUMMYFUNCTION("""COMPUTED_VALUE"""),"3022382707")</f>
        <v>3022382707</v>
      </c>
      <c r="AO650" s="6" t="str">
        <f>IFERROR(__xludf.DUMMYFUNCTION("""COMPUTED_VALUE"""),"Madre")</f>
        <v>Madre</v>
      </c>
      <c r="AP650" s="6" t="str">
        <f>IFERROR(__xludf.DUMMYFUNCTION("""COMPUTED_VALUE"""),"Estudiante(s): López Giraldo")</f>
        <v>Estudiante(s): López Giraldo</v>
      </c>
      <c r="AQ650" s="6" t="str">
        <f>IFERROR(__xludf.DUMMYFUNCTION("""COMPUTED_VALUE"""),"102178*Gi")</f>
        <v>102178*Gi</v>
      </c>
      <c r="AR650" s="6" t="str">
        <f>IFERROR(__xludf.DUMMYFUNCTION("""COMPUTED_VALUE"""),"Arturo")</f>
        <v>Arturo</v>
      </c>
      <c r="AS650" s="6"/>
      <c r="AT650" s="6" t="str">
        <f>IFERROR(__xludf.DUMMYFUNCTION("""COMPUTED_VALUE"""),"López Cardona")</f>
        <v>López Cardona</v>
      </c>
      <c r="AU650" s="6" t="str">
        <f>IFERROR(__xludf.DUMMYFUNCTION("""COMPUTED_VALUE"""),"fallecido@gi.edu.co")</f>
        <v>fallecido@gi.edu.co</v>
      </c>
      <c r="AV650" s="6"/>
      <c r="AW650" s="6"/>
      <c r="AX650" s="12" t="str">
        <f>IFERROR(__xludf.DUMMYFUNCTION("""COMPUTED_VALUE"""),"79382205")</f>
        <v>79382205</v>
      </c>
      <c r="AY650" s="6"/>
      <c r="AZ650" s="6" t="str">
        <f>IFERROR(__xludf.DUMMYFUNCTION("""COMPUTED_VALUE"""),"Padre")</f>
        <v>Padre</v>
      </c>
      <c r="BA650" s="6" t="str">
        <f>IFERROR(__xludf.DUMMYFUNCTION("""COMPUTED_VALUE"""),"CARLOS EDUARDO JARAMILLO SANTACOLOMA")</f>
        <v>CARLOS EDUARDO JARAMILLO SANTACOLOMA</v>
      </c>
      <c r="BB650" s="6">
        <f>IFERROR(__xludf.DUMMYFUNCTION("""COMPUTED_VALUE"""),3.136668172E9)</f>
        <v>3136668172</v>
      </c>
      <c r="BC650" s="6" t="str">
        <f>IFERROR(__xludf.DUMMYFUNCTION("""COMPUTED_VALUE"""),"Otro")</f>
        <v>Otro</v>
      </c>
      <c r="BD650" s="12" t="str">
        <f>IFERROR(__xludf.DUMMYFUNCTION("""COMPUTED_VALUE"""),"lpe0006")</f>
        <v>lpe0006</v>
      </c>
      <c r="BE650" s="6" t="str">
        <f>IFERROR(__xludf.DUMMYFUNCTION("""COMPUTED_VALUE"""),"FALTAN FIRMAS")</f>
        <v>FALTAN FIRMAS</v>
      </c>
      <c r="BF650" s="6"/>
      <c r="BG650" s="6">
        <f>IFERROR(__xludf.DUMMYFUNCTION("""COMPUTED_VALUE"""),2030.0)</f>
        <v>2030</v>
      </c>
      <c r="BH650" s="15">
        <f>IFERROR(__xludf.DUMMYFUNCTION("""COMPUTED_VALUE"""),46209.51199074074)</f>
        <v>46209.51199</v>
      </c>
      <c r="BI650" s="6">
        <f>IFERROR(__xludf.DUMMYFUNCTION("""COMPUTED_VALUE"""),651.0)</f>
        <v>651</v>
      </c>
      <c r="BJ650" s="6"/>
      <c r="BK650" s="6"/>
      <c r="BL650" s="6" t="str">
        <f>IFERROR(__xludf.DUMMYFUNCTION("""COMPUTED_VALUE"""),"GISLPE0006")</f>
        <v>GISLPE0006</v>
      </c>
      <c r="BM650" s="6"/>
      <c r="BN650" s="6"/>
      <c r="BO650" s="6" t="str">
        <f>IFERROR(__xludf.DUMMYFUNCTION("""COMPUTED_VALUE"""),"XC_SEC_Futbol_F")</f>
        <v>XC_SEC_Futbol_F</v>
      </c>
      <c r="BP650" s="6"/>
      <c r="BQ650" s="6" t="str">
        <f>IFERROR(__xludf.DUMMYFUNCTION("""COMPUTED_VALUE"""),"XC_SEC_Futbol_F")</f>
        <v>XC_SEC_Futbol_F</v>
      </c>
      <c r="BR650" s="6" t="str">
        <f>IFERROR(__xludf.DUMMYFUNCTION("""COMPUTED_VALUE"""),"XC_SEC_Futbol_F")</f>
        <v>XC_SEC_Futbol_F</v>
      </c>
      <c r="BS650" s="6"/>
      <c r="BT650" s="6" t="str">
        <f>IFERROR(__xludf.DUMMYFUNCTION("""COMPUTED_VALUE"""),"XC_SEC_Futbol_F")</f>
        <v>XC_SEC_Futbol_F</v>
      </c>
      <c r="BU650" s="6" t="str">
        <f>IFERROR(__xludf.DUMMYFUNCTION("""COMPUTED_VALUE"""),"SI")</f>
        <v>SI</v>
      </c>
      <c r="BV650" s="6" t="str">
        <f>IFERROR(__xludf.DUMMYFUNCTION("""COMPUTED_VALUE"""),"paloma.l2030")</f>
        <v>paloma.l2030</v>
      </c>
      <c r="BW650" s="6"/>
      <c r="BX650" s="6"/>
      <c r="BY650" s="6"/>
      <c r="BZ650" s="6"/>
    </row>
    <row r="651">
      <c r="A651" s="12">
        <f>IFERROR(__xludf.DUMMYFUNCTION("""COMPUTED_VALUE"""),1.021635953E9)</f>
        <v>1021635953</v>
      </c>
      <c r="B651" s="6">
        <f>IFERROR(__xludf.DUMMYFUNCTION("""COMPUTED_VALUE"""),30.0)</f>
        <v>30</v>
      </c>
      <c r="C651" s="6" t="str">
        <f>IFERROR(__xludf.DUMMYFUNCTION("""COMPUTED_VALUE"""),"Inara")</f>
        <v>Inara</v>
      </c>
      <c r="D651" s="6"/>
      <c r="E651" s="6" t="str">
        <f>IFERROR(__xludf.DUMMYFUNCTION("""COMPUTED_VALUE"""),"Lozano Casas")</f>
        <v>Lozano Casas</v>
      </c>
      <c r="F651" s="6" t="str">
        <f>IFERROR(__xludf.DUMMYFUNCTION("""COMPUTED_VALUE"""),"Parque Residencial Los Cedros Mz 7 Casa 3 - Calle 50Nte No15 - 1")</f>
        <v>Parque Residencial Los Cedros Mz 7 Casa 3 - Calle 50Nte No15 - 1</v>
      </c>
      <c r="G651" s="12" t="str">
        <f>IFERROR(__xludf.DUMMYFUNCTION("""COMPUTED_VALUE"""),"2012")</f>
        <v>2012</v>
      </c>
      <c r="H651" s="6" t="str">
        <f>IFERROR(__xludf.DUMMYFUNCTION("""COMPUTED_VALUE"""),"Enero")</f>
        <v>Enero</v>
      </c>
      <c r="I651" s="12" t="str">
        <f>IFERROR(__xludf.DUMMYFUNCTION("""COMPUTED_VALUE"""),"16")</f>
        <v>16</v>
      </c>
      <c r="J651" s="6" t="str">
        <f>IFERROR(__xludf.DUMMYFUNCTION("""COMPUTED_VALUE"""),"Bogotá D.C.")</f>
        <v>Bogotá D.C.</v>
      </c>
      <c r="K651" s="6" t="str">
        <f>IFERROR(__xludf.DUMMYFUNCTION("""COMPUTED_VALUE"""),"inara.l2030@gi.edu.co")</f>
        <v>inara.l2030@gi.edu.co</v>
      </c>
      <c r="L651" s="6" t="str">
        <f>IFERROR(__xludf.DUMMYFUNCTION("""COMPUTED_VALUE"""),"TI")</f>
        <v>TI</v>
      </c>
      <c r="M651" s="6" t="str">
        <f>IFERROR(__xludf.DUMMYFUNCTION("""COMPUTED_VALUE"""),"Armenia")</f>
        <v>Armenia</v>
      </c>
      <c r="N651" s="6" t="str">
        <f>IFERROR(__xludf.DUMMYFUNCTION("""COMPUTED_VALUE"""),"F")</f>
        <v>F</v>
      </c>
      <c r="O651" s="6" t="str">
        <f>IFERROR(__xludf.DUMMYFUNCTION("""COMPUTED_VALUE"""),"ACTIVE")</f>
        <v>ACTIVE</v>
      </c>
      <c r="P651" s="6"/>
      <c r="Q651" s="6" t="str">
        <f>IFERROR(__xludf.DUMMYFUNCTION("""COMPUTED_VALUE"""),"Armenia")</f>
        <v>Armenia</v>
      </c>
      <c r="R651" s="12" t="str">
        <f>IFERROR(__xludf.DUMMYFUNCTION("""COMPUTED_VALUE"""),"Giv45kl76*")</f>
        <v>Giv45kl76*</v>
      </c>
      <c r="S651" s="6" t="str">
        <f>IFERROR(__xludf.DUMMYFUNCTION("""COMPUTED_VALUE"""),"Lozano Casas Inara ")</f>
        <v>Lozano Casas Inara </v>
      </c>
      <c r="T651" s="6" t="str">
        <f>IFERROR(__xludf.DUMMYFUNCTION("""COMPUTED_VALUE"""),"ALEJANDRO LOZANO BALCÁZAR")</f>
        <v>ALEJANDRO LOZANO BALCÁZAR</v>
      </c>
      <c r="U651" s="12" t="str">
        <f>IFERROR(__xludf.DUMMYFUNCTION("""COMPUTED_VALUE"""),"9725934")</f>
        <v>9725934</v>
      </c>
      <c r="V651" s="6">
        <f>IFERROR(__xludf.DUMMYFUNCTION("""COMPUTED_VALUE"""),3.217816603E9)</f>
        <v>3217816603</v>
      </c>
      <c r="W651" s="6" t="str">
        <f>IFERROR(__xludf.DUMMYFUNCTION("""COMPUTED_VALUE"""),"lozalejandro@gmail.com")</f>
        <v>lozalejandro@gmail.com</v>
      </c>
      <c r="X651" s="12" t="str">
        <f>IFERROR(__xludf.DUMMYFUNCTION("""COMPUTED_VALUE"""),"A+")</f>
        <v>A+</v>
      </c>
      <c r="Y651" s="12" t="str">
        <f>IFERROR(__xludf.DUMMYFUNCTION("""COMPUTED_VALUE"""),"9")</f>
        <v>9</v>
      </c>
      <c r="Z651" s="12">
        <f>IFERROR(__xludf.DUMMYFUNCTION("""COMPUTED_VALUE"""),120234.0)</f>
        <v>120234</v>
      </c>
      <c r="AA651" s="6" t="str">
        <f>IFERROR(__xludf.DUMMYFUNCTION("""COMPUTED_VALUE"""),"NUEVA EPS")</f>
        <v>NUEVA EPS</v>
      </c>
      <c r="AB651" s="6"/>
      <c r="AC651" s="6"/>
      <c r="AD651" s="12" t="str">
        <f>IFERROR(__xludf.DUMMYFUNCTION("""COMPUTED_VALUE"""),"9B")</f>
        <v>9B</v>
      </c>
      <c r="AE651" s="12">
        <f>IFERROR(__xludf.DUMMYFUNCTION("""COMPUTED_VALUE"""),1.345282216E9)</f>
        <v>1345282216</v>
      </c>
      <c r="AF651" s="12" t="str">
        <f>IFERROR(__xludf.DUMMYFUNCTION("""COMPUTED_VALUE"""),"0651854803")</f>
        <v>0651854803</v>
      </c>
      <c r="AG651" s="12" t="str">
        <f>IFERROR(__xludf.DUMMYFUNCTION("""COMPUTED_VALUE"""),"Luisa")</f>
        <v>Luisa</v>
      </c>
      <c r="AH651" s="12" t="str">
        <f>IFERROR(__xludf.DUMMYFUNCTION("""COMPUTED_VALUE"""),"Fernanda")</f>
        <v>Fernanda</v>
      </c>
      <c r="AI651" s="6" t="str">
        <f>IFERROR(__xludf.DUMMYFUNCTION("""COMPUTED_VALUE"""),"Casas Caro")</f>
        <v>Casas Caro</v>
      </c>
      <c r="AJ651" s="6" t="str">
        <f>IFERROR(__xludf.DUMMYFUNCTION("""COMPUTED_VALUE"""),"lfcasascaro@gmail.com")</f>
        <v>lfcasascaro@gmail.com</v>
      </c>
      <c r="AK651" s="6" t="str">
        <f>IFERROR(__xludf.DUMMYFUNCTION("""COMPUTED_VALUE"""),"Bióloga")</f>
        <v>Bióloga</v>
      </c>
      <c r="AL651" s="6" t="str">
        <f>IFERROR(__xludf.DUMMYFUNCTION("""COMPUTED_VALUE"""),"Instituto de investigaciones Biológicas Alexander von Humbodlt")</f>
        <v>Instituto de investigaciones Biológicas Alexander von Humbodlt</v>
      </c>
      <c r="AM651" s="12" t="str">
        <f>IFERROR(__xludf.DUMMYFUNCTION("""COMPUTED_VALUE"""),"52697216")</f>
        <v>52697216</v>
      </c>
      <c r="AN651" s="12" t="str">
        <f>IFERROR(__xludf.DUMMYFUNCTION("""COMPUTED_VALUE"""),"3164727050")</f>
        <v>3164727050</v>
      </c>
      <c r="AO651" s="6" t="str">
        <f>IFERROR(__xludf.DUMMYFUNCTION("""COMPUTED_VALUE"""),"Madre")</f>
        <v>Madre</v>
      </c>
      <c r="AP651" s="6" t="str">
        <f>IFERROR(__xludf.DUMMYFUNCTION("""COMPUTED_VALUE"""),"Estudiante(s): Lozano Casas")</f>
        <v>Estudiante(s): Lozano Casas</v>
      </c>
      <c r="AQ651" s="6" t="str">
        <f>IFERROR(__xludf.DUMMYFUNCTION("""COMPUTED_VALUE"""),"120231*Gi")</f>
        <v>120231*Gi</v>
      </c>
      <c r="AR651" s="6" t="str">
        <f>IFERROR(__xludf.DUMMYFUNCTION("""COMPUTED_VALUE"""),"Alejandro")</f>
        <v>Alejandro</v>
      </c>
      <c r="AS651" s="6"/>
      <c r="AT651" s="6" t="str">
        <f>IFERROR(__xludf.DUMMYFUNCTION("""COMPUTED_VALUE"""),"Lozano Balcázar")</f>
        <v>Lozano Balcázar</v>
      </c>
      <c r="AU651" s="6" t="str">
        <f>IFERROR(__xludf.DUMMYFUNCTION("""COMPUTED_VALUE"""),"lozalejandro@gmail.com")</f>
        <v>lozalejandro@gmail.com</v>
      </c>
      <c r="AV651" s="6" t="str">
        <f>IFERROR(__xludf.DUMMYFUNCTION("""COMPUTED_VALUE"""),"Biólogo")</f>
        <v>Biólogo</v>
      </c>
      <c r="AW651" s="6" t="str">
        <f>IFERROR(__xludf.DUMMYFUNCTION("""COMPUTED_VALUE"""),"Ecofrutales SAS")</f>
        <v>Ecofrutales SAS</v>
      </c>
      <c r="AX651" s="12" t="str">
        <f>IFERROR(__xludf.DUMMYFUNCTION("""COMPUTED_VALUE"""),"9725934")</f>
        <v>9725934</v>
      </c>
      <c r="AY651" s="12" t="str">
        <f>IFERROR(__xludf.DUMMYFUNCTION("""COMPUTED_VALUE"""),"3217816603")</f>
        <v>3217816603</v>
      </c>
      <c r="AZ651" s="6" t="str">
        <f>IFERROR(__xludf.DUMMYFUNCTION("""COMPUTED_VALUE"""),"Padre")</f>
        <v>Padre</v>
      </c>
      <c r="BA651" s="6"/>
      <c r="BB651" s="6"/>
      <c r="BC651" s="6"/>
      <c r="BD651" s="12" t="str">
        <f>IFERROR(__xludf.DUMMYFUNCTION("""COMPUTED_VALUE"""),"loz0002")</f>
        <v>loz0002</v>
      </c>
      <c r="BE651" s="6"/>
      <c r="BF651" s="6"/>
      <c r="BG651" s="6">
        <f>IFERROR(__xludf.DUMMYFUNCTION("""COMPUTED_VALUE"""),2030.0)</f>
        <v>2030</v>
      </c>
      <c r="BH651" s="15">
        <f>IFERROR(__xludf.DUMMYFUNCTION("""COMPUTED_VALUE"""),46212.75041666667)</f>
        <v>46212.75042</v>
      </c>
      <c r="BI651" s="6">
        <f>IFERROR(__xludf.DUMMYFUNCTION("""COMPUTED_VALUE"""),652.0)</f>
        <v>652</v>
      </c>
      <c r="BJ651" s="6"/>
      <c r="BK651" s="6"/>
      <c r="BL651" s="6" t="str">
        <f>IFERROR(__xludf.DUMMYFUNCTION("""COMPUTED_VALUE"""),"GISLOZ0002")</f>
        <v>GISLOZ0002</v>
      </c>
      <c r="BM651" s="6"/>
      <c r="BN651" s="6"/>
      <c r="BO651" s="6"/>
      <c r="BP651" s="6"/>
      <c r="BQ651" s="6"/>
      <c r="BR651" s="6"/>
      <c r="BS651" s="6"/>
      <c r="BT651" s="6"/>
      <c r="BU651" s="6" t="str">
        <f>IFERROR(__xludf.DUMMYFUNCTION("""COMPUTED_VALUE"""),"SI")</f>
        <v>SI</v>
      </c>
      <c r="BV651" s="6" t="str">
        <f>IFERROR(__xludf.DUMMYFUNCTION("""COMPUTED_VALUE"""),"inara.l2030")</f>
        <v>inara.l2030</v>
      </c>
      <c r="BW651" s="6"/>
      <c r="BX651" s="6"/>
      <c r="BY651" s="6"/>
      <c r="BZ651" s="6"/>
    </row>
    <row r="652">
      <c r="A652" s="12">
        <f>IFERROR(__xludf.DUMMYFUNCTION("""COMPUTED_VALUE"""),1.092855668E9)</f>
        <v>1092855668</v>
      </c>
      <c r="B652" s="6">
        <f>IFERROR(__xludf.DUMMYFUNCTION("""COMPUTED_VALUE"""),31.0)</f>
        <v>31</v>
      </c>
      <c r="C652" s="6" t="str">
        <f>IFERROR(__xludf.DUMMYFUNCTION("""COMPUTED_VALUE"""),"Gabriel")</f>
        <v>Gabriel</v>
      </c>
      <c r="D652" s="6"/>
      <c r="E652" s="6" t="str">
        <f>IFERROR(__xludf.DUMMYFUNCTION("""COMPUTED_VALUE"""),"Mejía Jaramillo")</f>
        <v>Mejía Jaramillo</v>
      </c>
      <c r="F652" s="6" t="str">
        <f>IFERROR(__xludf.DUMMYFUNCTION("""COMPUTED_VALUE"""),"Calle 13Nte No10 - 149 - La Castellana")</f>
        <v>Calle 13Nte No10 - 149 - La Castellana</v>
      </c>
      <c r="G652" s="12" t="str">
        <f>IFERROR(__xludf.DUMMYFUNCTION("""COMPUTED_VALUE"""),"2011")</f>
        <v>2011</v>
      </c>
      <c r="H652" s="6" t="str">
        <f>IFERROR(__xludf.DUMMYFUNCTION("""COMPUTED_VALUE"""),"Noviembre")</f>
        <v>Noviembre</v>
      </c>
      <c r="I652" s="12" t="str">
        <f>IFERROR(__xludf.DUMMYFUNCTION("""COMPUTED_VALUE"""),"1")</f>
        <v>1</v>
      </c>
      <c r="J652" s="6" t="str">
        <f>IFERROR(__xludf.DUMMYFUNCTION("""COMPUTED_VALUE"""),"Armenia")</f>
        <v>Armenia</v>
      </c>
      <c r="K652" s="6" t="str">
        <f>IFERROR(__xludf.DUMMYFUNCTION("""COMPUTED_VALUE"""),"gabriel.m2030@gi.edu.co")</f>
        <v>gabriel.m2030@gi.edu.co</v>
      </c>
      <c r="L652" s="6" t="str">
        <f>IFERROR(__xludf.DUMMYFUNCTION("""COMPUTED_VALUE"""),"TI")</f>
        <v>TI</v>
      </c>
      <c r="M652" s="6" t="str">
        <f>IFERROR(__xludf.DUMMYFUNCTION("""COMPUTED_VALUE"""),"Armenia")</f>
        <v>Armenia</v>
      </c>
      <c r="N652" s="6" t="str">
        <f>IFERROR(__xludf.DUMMYFUNCTION("""COMPUTED_VALUE"""),"M")</f>
        <v>M</v>
      </c>
      <c r="O652" s="6" t="str">
        <f>IFERROR(__xludf.DUMMYFUNCTION("""COMPUTED_VALUE"""),"ACTIVE")</f>
        <v>ACTIVE</v>
      </c>
      <c r="P652" s="6"/>
      <c r="Q652" s="6" t="str">
        <f>IFERROR(__xludf.DUMMYFUNCTION("""COMPUTED_VALUE"""),"Armenia")</f>
        <v>Armenia</v>
      </c>
      <c r="R652" s="12" t="str">
        <f>IFERROR(__xludf.DUMMYFUNCTION("""COMPUTED_VALUE"""),"Gigf7654238*")</f>
        <v>Gigf7654238*</v>
      </c>
      <c r="S652" s="6" t="str">
        <f>IFERROR(__xludf.DUMMYFUNCTION("""COMPUTED_VALUE"""),"Mejía Jaramillo Gabriel ")</f>
        <v>Mejía Jaramillo Gabriel </v>
      </c>
      <c r="T652" s="6" t="str">
        <f>IFERROR(__xludf.DUMMYFUNCTION("""COMPUTED_VALUE"""),"CARLOS ANDRÉS MEJÍA SALAZAR")</f>
        <v>CARLOS ANDRÉS MEJÍA SALAZAR</v>
      </c>
      <c r="U652" s="12" t="str">
        <f>IFERROR(__xludf.DUMMYFUNCTION("""COMPUTED_VALUE"""),"9727151")</f>
        <v>9727151</v>
      </c>
      <c r="V652" s="6">
        <f>IFERROR(__xludf.DUMMYFUNCTION("""COMPUTED_VALUE"""),3.116342965E9)</f>
        <v>3116342965</v>
      </c>
      <c r="W652" s="6" t="str">
        <f>IFERROR(__xludf.DUMMYFUNCTION("""COMPUTED_VALUE"""),"caliche60@hotmail.com")</f>
        <v>caliche60@hotmail.com</v>
      </c>
      <c r="X652" s="12" t="str">
        <f>IFERROR(__xludf.DUMMYFUNCTION("""COMPUTED_VALUE"""),"O+")</f>
        <v>O+</v>
      </c>
      <c r="Y652" s="12" t="str">
        <f>IFERROR(__xludf.DUMMYFUNCTION("""COMPUTED_VALUE"""),"9")</f>
        <v>9</v>
      </c>
      <c r="Z652" s="12">
        <f>IFERROR(__xludf.DUMMYFUNCTION("""COMPUTED_VALUE"""),103345.0)</f>
        <v>103345</v>
      </c>
      <c r="AA652" s="6" t="str">
        <f>IFERROR(__xludf.DUMMYFUNCTION("""COMPUTED_VALUE"""),"SURA")</f>
        <v>SURA</v>
      </c>
      <c r="AB652" s="6"/>
      <c r="AC652" s="6"/>
      <c r="AD652" s="12" t="str">
        <f>IFERROR(__xludf.DUMMYFUNCTION("""COMPUTED_VALUE"""),"9B")</f>
        <v>9B</v>
      </c>
      <c r="AE652" s="12">
        <f>IFERROR(__xludf.DUMMYFUNCTION("""COMPUTED_VALUE"""),1.345281645E9)</f>
        <v>1345281645</v>
      </c>
      <c r="AF652" s="12" t="str">
        <f>IFERROR(__xludf.DUMMYFUNCTION("""COMPUTED_VALUE"""),"0677442371")</f>
        <v>0677442371</v>
      </c>
      <c r="AG652" s="12" t="str">
        <f>IFERROR(__xludf.DUMMYFUNCTION("""COMPUTED_VALUE"""),"Marcela")</f>
        <v>Marcela</v>
      </c>
      <c r="AH652" s="6"/>
      <c r="AI652" s="6" t="str">
        <f>IFERROR(__xludf.DUMMYFUNCTION("""COMPUTED_VALUE"""),"Jaramillo Botero")</f>
        <v>Jaramillo Botero</v>
      </c>
      <c r="AJ652" s="6" t="str">
        <f>IFERROR(__xludf.DUMMYFUNCTION("""COMPUTED_VALUE"""),"marcejb@hotmail.com")</f>
        <v>marcejb@hotmail.com</v>
      </c>
      <c r="AK652" s="6"/>
      <c r="AL652" s="6"/>
      <c r="AM652" s="12" t="str">
        <f>IFERROR(__xludf.DUMMYFUNCTION("""COMPUTED_VALUE"""),"41929892")</f>
        <v>41929892</v>
      </c>
      <c r="AN652" s="12" t="str">
        <f>IFERROR(__xludf.DUMMYFUNCTION("""COMPUTED_VALUE"""),"3113007309")</f>
        <v>3113007309</v>
      </c>
      <c r="AO652" s="6" t="str">
        <f>IFERROR(__xludf.DUMMYFUNCTION("""COMPUTED_VALUE"""),"Madre")</f>
        <v>Madre</v>
      </c>
      <c r="AP652" s="6" t="str">
        <f>IFERROR(__xludf.DUMMYFUNCTION("""COMPUTED_VALUE"""),"Estudiante(s): Mejía Jaramillo")</f>
        <v>Estudiante(s): Mejía Jaramillo</v>
      </c>
      <c r="AQ652" s="6" t="str">
        <f>IFERROR(__xludf.DUMMYFUNCTION("""COMPUTED_VALUE"""),"103211*Gi")</f>
        <v>103211*Gi</v>
      </c>
      <c r="AR652" s="6" t="str">
        <f>IFERROR(__xludf.DUMMYFUNCTION("""COMPUTED_VALUE"""),"Carlos")</f>
        <v>Carlos</v>
      </c>
      <c r="AS652" s="6" t="str">
        <f>IFERROR(__xludf.DUMMYFUNCTION("""COMPUTED_VALUE"""),"Andrés")</f>
        <v>Andrés</v>
      </c>
      <c r="AT652" s="6" t="str">
        <f>IFERROR(__xludf.DUMMYFUNCTION("""COMPUTED_VALUE"""),"Mejía Salazar")</f>
        <v>Mejía Salazar</v>
      </c>
      <c r="AU652" s="6" t="str">
        <f>IFERROR(__xludf.DUMMYFUNCTION("""COMPUTED_VALUE"""),"caliche60@hotmail.com")</f>
        <v>caliche60@hotmail.com</v>
      </c>
      <c r="AV652" s="6" t="str">
        <f>IFERROR(__xludf.DUMMYFUNCTION("""COMPUTED_VALUE"""),"Economista")</f>
        <v>Economista</v>
      </c>
      <c r="AW652" s="6" t="str">
        <f>IFERROR(__xludf.DUMMYFUNCTION("""COMPUTED_VALUE"""),"Agricultor Independiente")</f>
        <v>Agricultor Independiente</v>
      </c>
      <c r="AX652" s="12" t="str">
        <f>IFERROR(__xludf.DUMMYFUNCTION("""COMPUTED_VALUE"""),"9727151")</f>
        <v>9727151</v>
      </c>
      <c r="AY652" s="12" t="str">
        <f>IFERROR(__xludf.DUMMYFUNCTION("""COMPUTED_VALUE"""),"3116342965")</f>
        <v>3116342965</v>
      </c>
      <c r="AZ652" s="6" t="str">
        <f>IFERROR(__xludf.DUMMYFUNCTION("""COMPUTED_VALUE"""),"Padre")</f>
        <v>Padre</v>
      </c>
      <c r="BA652" s="6"/>
      <c r="BB652" s="6"/>
      <c r="BC652" s="6"/>
      <c r="BD652" s="12" t="str">
        <f>IFERROR(__xludf.DUMMYFUNCTION("""COMPUTED_VALUE"""),"mej0019")</f>
        <v>mej0019</v>
      </c>
      <c r="BE652" s="6"/>
      <c r="BF652" s="6"/>
      <c r="BG652" s="6">
        <f>IFERROR(__xludf.DUMMYFUNCTION("""COMPUTED_VALUE"""),2030.0)</f>
        <v>2030</v>
      </c>
      <c r="BH652" s="15">
        <f>IFERROR(__xludf.DUMMYFUNCTION("""COMPUTED_VALUE"""),46211.361921296295)</f>
        <v>46211.36192</v>
      </c>
      <c r="BI652" s="6">
        <f>IFERROR(__xludf.DUMMYFUNCTION("""COMPUTED_VALUE"""),653.0)</f>
        <v>653</v>
      </c>
      <c r="BJ652" s="6"/>
      <c r="BK652" s="6"/>
      <c r="BL652" s="6" t="str">
        <f>IFERROR(__xludf.DUMMYFUNCTION("""COMPUTED_VALUE"""),"GISMEJ0019")</f>
        <v>GISMEJ0019</v>
      </c>
      <c r="BM652" s="6"/>
      <c r="BN652" s="6"/>
      <c r="BO652" s="6"/>
      <c r="BP652" s="6"/>
      <c r="BQ652" s="6"/>
      <c r="BR652" s="6"/>
      <c r="BS652" s="6"/>
      <c r="BT652" s="6"/>
      <c r="BU652" s="6" t="str">
        <f>IFERROR(__xludf.DUMMYFUNCTION("""COMPUTED_VALUE"""),"SI")</f>
        <v>SI</v>
      </c>
      <c r="BV652" s="6" t="str">
        <f>IFERROR(__xludf.DUMMYFUNCTION("""COMPUTED_VALUE"""),"gabriel.m2030")</f>
        <v>gabriel.m2030</v>
      </c>
      <c r="BW652" s="6"/>
      <c r="BX652" s="6"/>
      <c r="BY652" s="6"/>
      <c r="BZ652" s="6"/>
    </row>
    <row r="653">
      <c r="A653" s="12">
        <f>IFERROR(__xludf.DUMMYFUNCTION("""COMPUTED_VALUE"""),1.014880651E9)</f>
        <v>1014880651</v>
      </c>
      <c r="B653" s="6">
        <f>IFERROR(__xludf.DUMMYFUNCTION("""COMPUTED_VALUE"""),32.0)</f>
        <v>32</v>
      </c>
      <c r="C653" s="6" t="str">
        <f>IFERROR(__xludf.DUMMYFUNCTION("""COMPUTED_VALUE"""),"Valentino")</f>
        <v>Valentino</v>
      </c>
      <c r="D653" s="6"/>
      <c r="E653" s="6" t="str">
        <f>IFERROR(__xludf.DUMMYFUNCTION("""COMPUTED_VALUE"""),"Montoya Quintero")</f>
        <v>Montoya Quintero</v>
      </c>
      <c r="F653" s="6" t="str">
        <f>IFERROR(__xludf.DUMMYFUNCTION("""COMPUTED_VALUE"""),"Condominio Hacienda Horizontes Casa 55 - Km 3 Via Circasia Vereda la Florida")</f>
        <v>Condominio Hacienda Horizontes Casa 55 - Km 3 Via Circasia Vereda la Florida</v>
      </c>
      <c r="G653" s="12" t="str">
        <f>IFERROR(__xludf.DUMMYFUNCTION("""COMPUTED_VALUE"""),"2011")</f>
        <v>2011</v>
      </c>
      <c r="H653" s="6" t="str">
        <f>IFERROR(__xludf.DUMMYFUNCTION("""COMPUTED_VALUE"""),"Noviembre")</f>
        <v>Noviembre</v>
      </c>
      <c r="I653" s="12" t="str">
        <f>IFERROR(__xludf.DUMMYFUNCTION("""COMPUTED_VALUE"""),"28")</f>
        <v>28</v>
      </c>
      <c r="J653" s="6" t="str">
        <f>IFERROR(__xludf.DUMMYFUNCTION("""COMPUTED_VALUE"""),"Bogotá D.C.")</f>
        <v>Bogotá D.C.</v>
      </c>
      <c r="K653" s="6" t="str">
        <f>IFERROR(__xludf.DUMMYFUNCTION("""COMPUTED_VALUE"""),"valentinom.2030@gi.edu.co")</f>
        <v>valentinom.2030@gi.edu.co</v>
      </c>
      <c r="L653" s="6" t="str">
        <f>IFERROR(__xludf.DUMMYFUNCTION("""COMPUTED_VALUE"""),"TI")</f>
        <v>TI</v>
      </c>
      <c r="M653" s="6" t="str">
        <f>IFERROR(__xludf.DUMMYFUNCTION("""COMPUTED_VALUE"""),"Bogotá D.C.")</f>
        <v>Bogotá D.C.</v>
      </c>
      <c r="N653" s="6" t="str">
        <f>IFERROR(__xludf.DUMMYFUNCTION("""COMPUTED_VALUE"""),"M")</f>
        <v>M</v>
      </c>
      <c r="O653" s="6" t="str">
        <f>IFERROR(__xludf.DUMMYFUNCTION("""COMPUTED_VALUE"""),"ACTIVE")</f>
        <v>ACTIVE</v>
      </c>
      <c r="P653" s="6"/>
      <c r="Q653" s="6" t="str">
        <f>IFERROR(__xludf.DUMMYFUNCTION("""COMPUTED_VALUE"""),"Armenia")</f>
        <v>Armenia</v>
      </c>
      <c r="R653" s="12" t="str">
        <f>IFERROR(__xludf.DUMMYFUNCTION("""COMPUTED_VALUE"""),"Gimnbvfgr4*")</f>
        <v>Gimnbvfgr4*</v>
      </c>
      <c r="S653" s="6" t="str">
        <f>IFERROR(__xludf.DUMMYFUNCTION("""COMPUTED_VALUE"""),"Montoya Quintero Valentino ")</f>
        <v>Montoya Quintero Valentino </v>
      </c>
      <c r="T653" s="6" t="str">
        <f>IFERROR(__xludf.DUMMYFUNCTION("""COMPUTED_VALUE"""),"CLAUDIA MILENA QUINTERO MORALES")</f>
        <v>CLAUDIA MILENA QUINTERO MORALES</v>
      </c>
      <c r="U653" s="12" t="str">
        <f>IFERROR(__xludf.DUMMYFUNCTION("""COMPUTED_VALUE"""),"1121822183")</f>
        <v>1121822183</v>
      </c>
      <c r="V653" s="6">
        <f>IFERROR(__xludf.DUMMYFUNCTION("""COMPUTED_VALUE"""),3.166252483E9)</f>
        <v>3166252483</v>
      </c>
      <c r="W653" s="6" t="str">
        <f>IFERROR(__xludf.DUMMYFUNCTION("""COMPUTED_VALUE"""),"klaukintero29@hotmail.com")</f>
        <v>klaukintero29@hotmail.com</v>
      </c>
      <c r="X653" s="12" t="str">
        <f>IFERROR(__xludf.DUMMYFUNCTION("""COMPUTED_VALUE"""),"O+")</f>
        <v>O+</v>
      </c>
      <c r="Y653" s="12" t="str">
        <f>IFERROR(__xludf.DUMMYFUNCTION("""COMPUTED_VALUE"""),"9")</f>
        <v>9</v>
      </c>
      <c r="Z653" s="12">
        <f>IFERROR(__xludf.DUMMYFUNCTION("""COMPUTED_VALUE"""),103082.0)</f>
        <v>103082</v>
      </c>
      <c r="AA653" s="6" t="str">
        <f>IFERROR(__xludf.DUMMYFUNCTION("""COMPUTED_VALUE"""),"SALUD TOTAL")</f>
        <v>SALUD TOTAL</v>
      </c>
      <c r="AB653" s="6" t="str">
        <f>IFERROR(__xludf.DUMMYFUNCTION("""COMPUTED_VALUE"""),"EMI POLIZA GLOBAL SURAMERICANA")</f>
        <v>EMI POLIZA GLOBAL SURAMERICANA</v>
      </c>
      <c r="AC653" s="6"/>
      <c r="AD653" s="12" t="str">
        <f>IFERROR(__xludf.DUMMYFUNCTION("""COMPUTED_VALUE"""),"9A")</f>
        <v>9A</v>
      </c>
      <c r="AE653" s="12">
        <f>IFERROR(__xludf.DUMMYFUNCTION("""COMPUTED_VALUE"""),1.345281499E9)</f>
        <v>1345281499</v>
      </c>
      <c r="AF653" s="12" t="str">
        <f>IFERROR(__xludf.DUMMYFUNCTION("""COMPUTED_VALUE"""),"0694582403")</f>
        <v>0694582403</v>
      </c>
      <c r="AG653" s="12" t="str">
        <f>IFERROR(__xludf.DUMMYFUNCTION("""COMPUTED_VALUE"""),"Claudia")</f>
        <v>Claudia</v>
      </c>
      <c r="AH653" s="12" t="str">
        <f>IFERROR(__xludf.DUMMYFUNCTION("""COMPUTED_VALUE"""),"Milena")</f>
        <v>Milena</v>
      </c>
      <c r="AI653" s="6" t="str">
        <f>IFERROR(__xludf.DUMMYFUNCTION("""COMPUTED_VALUE"""),"Quintero Morales")</f>
        <v>Quintero Morales</v>
      </c>
      <c r="AJ653" s="6" t="str">
        <f>IFERROR(__xludf.DUMMYFUNCTION("""COMPUTED_VALUE"""),"klaukintero29@hotmail.com")</f>
        <v>klaukintero29@hotmail.com</v>
      </c>
      <c r="AK653" s="6" t="str">
        <f>IFERROR(__xludf.DUMMYFUNCTION("""COMPUTED_VALUE"""),"adm de empresas")</f>
        <v>adm de empresas</v>
      </c>
      <c r="AL653" s="6" t="str">
        <f>IFERROR(__xludf.DUMMYFUNCTION("""COMPUTED_VALUE"""),"independiente")</f>
        <v>independiente</v>
      </c>
      <c r="AM653" s="12" t="str">
        <f>IFERROR(__xludf.DUMMYFUNCTION("""COMPUTED_VALUE"""),"1121822183")</f>
        <v>1121822183</v>
      </c>
      <c r="AN653" s="12" t="str">
        <f>IFERROR(__xludf.DUMMYFUNCTION("""COMPUTED_VALUE"""),"3166252483")</f>
        <v>3166252483</v>
      </c>
      <c r="AO653" s="6" t="str">
        <f>IFERROR(__xludf.DUMMYFUNCTION("""COMPUTED_VALUE"""),"Madre")</f>
        <v>Madre</v>
      </c>
      <c r="AP653" s="6" t="str">
        <f>IFERROR(__xludf.DUMMYFUNCTION("""COMPUTED_VALUE"""),"Estudiante(s): Montoya Quintero")</f>
        <v>Estudiante(s): Montoya Quintero</v>
      </c>
      <c r="AQ653" s="6" t="str">
        <f>IFERROR(__xludf.DUMMYFUNCTION("""COMPUTED_VALUE"""),"103082*Gi")</f>
        <v>103082*Gi</v>
      </c>
      <c r="AR653" s="6" t="str">
        <f>IFERROR(__xludf.DUMMYFUNCTION("""COMPUTED_VALUE"""),"Carlos")</f>
        <v>Carlos</v>
      </c>
      <c r="AS653" s="6" t="str">
        <f>IFERROR(__xludf.DUMMYFUNCTION("""COMPUTED_VALUE"""),"Julio")</f>
        <v>Julio</v>
      </c>
      <c r="AT653" s="6" t="str">
        <f>IFERROR(__xludf.DUMMYFUNCTION("""COMPUTED_VALUE"""),"Montoya Pérez")</f>
        <v>Montoya Pérez</v>
      </c>
      <c r="AU653" s="6" t="str">
        <f>IFERROR(__xludf.DUMMYFUNCTION("""COMPUTED_VALUE"""),"montoyacj1@gmail.com")</f>
        <v>montoyacj1@gmail.com</v>
      </c>
      <c r="AV653" s="6" t="str">
        <f>IFERROR(__xludf.DUMMYFUNCTION("""COMPUTED_VALUE"""),"gandero-adm empresas")</f>
        <v>gandero-adm empresas</v>
      </c>
      <c r="AW653" s="6" t="str">
        <f>IFERROR(__xludf.DUMMYFUNCTION("""COMPUTED_VALUE"""),"independiente")</f>
        <v>independiente</v>
      </c>
      <c r="AX653" s="12" t="str">
        <f>IFERROR(__xludf.DUMMYFUNCTION("""COMPUTED_VALUE"""),"1020717601")</f>
        <v>1020717601</v>
      </c>
      <c r="AY653" s="12" t="str">
        <f>IFERROR(__xludf.DUMMYFUNCTION("""COMPUTED_VALUE"""),"3175100510")</f>
        <v>3175100510</v>
      </c>
      <c r="AZ653" s="6" t="str">
        <f>IFERROR(__xludf.DUMMYFUNCTION("""COMPUTED_VALUE"""),"Padre")</f>
        <v>Padre</v>
      </c>
      <c r="BA653" s="6"/>
      <c r="BB653" s="6"/>
      <c r="BC653" s="6"/>
      <c r="BD653" s="12" t="str">
        <f>IFERROR(__xludf.DUMMYFUNCTION("""COMPUTED_VALUE"""),"mon0011")</f>
        <v>mon0011</v>
      </c>
      <c r="BE653" s="6"/>
      <c r="BF653" s="6"/>
      <c r="BG653" s="6">
        <f>IFERROR(__xludf.DUMMYFUNCTION("""COMPUTED_VALUE"""),2030.0)</f>
        <v>2030</v>
      </c>
      <c r="BH653" s="15">
        <f>IFERROR(__xludf.DUMMYFUNCTION("""COMPUTED_VALUE"""),46233.67858796296)</f>
        <v>46233.67859</v>
      </c>
      <c r="BI653" s="6">
        <f>IFERROR(__xludf.DUMMYFUNCTION("""COMPUTED_VALUE"""),654.0)</f>
        <v>654</v>
      </c>
      <c r="BJ653" s="6" t="str">
        <f>IFERROR(__xludf.DUMMYFUNCTION("""COMPUTED_VALUE"""),"Mayo 14/2024 SIMAT: Discapacidad psicosocial (Mental)")</f>
        <v>Mayo 14/2024 SIMAT: Discapacidad psicosocial (Mental)</v>
      </c>
      <c r="BK653" s="6"/>
      <c r="BL653" s="6" t="str">
        <f>IFERROR(__xludf.DUMMYFUNCTION("""COMPUTED_VALUE"""),"GISMON0011")</f>
        <v>GISMON0011</v>
      </c>
      <c r="BM653" s="6"/>
      <c r="BN653" s="6"/>
      <c r="BO653" s="6"/>
      <c r="BP653" s="6"/>
      <c r="BQ653" s="6"/>
      <c r="BR653" s="6"/>
      <c r="BS653" s="6"/>
      <c r="BT653" s="6"/>
      <c r="BU653" s="6" t="str">
        <f>IFERROR(__xludf.DUMMYFUNCTION("""COMPUTED_VALUE"""),"SI")</f>
        <v>SI</v>
      </c>
      <c r="BV653" s="6" t="str">
        <f>IFERROR(__xludf.DUMMYFUNCTION("""COMPUTED_VALUE"""),"valentinom.2030")</f>
        <v>valentinom.2030</v>
      </c>
      <c r="BW653" s="6"/>
      <c r="BX653" s="6"/>
      <c r="BY653" s="6"/>
      <c r="BZ653" s="6"/>
    </row>
    <row r="654">
      <c r="A654" s="12">
        <f>IFERROR(__xludf.DUMMYFUNCTION("""COMPUTED_VALUE"""),1.221714966E9)</f>
        <v>1221714966</v>
      </c>
      <c r="B654" s="6">
        <f>IFERROR(__xludf.DUMMYFUNCTION("""COMPUTED_VALUE"""),33.0)</f>
        <v>33</v>
      </c>
      <c r="C654" s="6" t="str">
        <f>IFERROR(__xludf.DUMMYFUNCTION("""COMPUTED_VALUE"""),"Juan")</f>
        <v>Juan</v>
      </c>
      <c r="D654" s="6" t="str">
        <f>IFERROR(__xludf.DUMMYFUNCTION("""COMPUTED_VALUE"""),"Esteban")</f>
        <v>Esteban</v>
      </c>
      <c r="E654" s="6" t="str">
        <f>IFERROR(__xludf.DUMMYFUNCTION("""COMPUTED_VALUE"""),"Ordóñez Herrera")</f>
        <v>Ordóñez Herrera</v>
      </c>
      <c r="F654" s="6" t="str">
        <f>IFERROR(__xludf.DUMMYFUNCTION("""COMPUTED_VALUE"""),"Casa 3 - Getsemani Cra 19 No36Nte - 38")</f>
        <v>Casa 3 - Getsemani Cra 19 No36Nte - 38</v>
      </c>
      <c r="G654" s="12" t="str">
        <f>IFERROR(__xludf.DUMMYFUNCTION("""COMPUTED_VALUE"""),"2012")</f>
        <v>2012</v>
      </c>
      <c r="H654" s="6" t="str">
        <f>IFERROR(__xludf.DUMMYFUNCTION("""COMPUTED_VALUE"""),"Octubre")</f>
        <v>Octubre</v>
      </c>
      <c r="I654" s="12" t="str">
        <f>IFERROR(__xludf.DUMMYFUNCTION("""COMPUTED_VALUE"""),"8")</f>
        <v>8</v>
      </c>
      <c r="J654" s="6" t="str">
        <f>IFERROR(__xludf.DUMMYFUNCTION("""COMPUTED_VALUE"""),"Madrid")</f>
        <v>Madrid</v>
      </c>
      <c r="K654" s="6" t="str">
        <f>IFERROR(__xludf.DUMMYFUNCTION("""COMPUTED_VALUE"""),"juane.o2030@gi.edu.co")</f>
        <v>juane.o2030@gi.edu.co</v>
      </c>
      <c r="L654" s="6" t="str">
        <f>IFERROR(__xludf.DUMMYFUNCTION("""COMPUTED_VALUE"""),"TI")</f>
        <v>TI</v>
      </c>
      <c r="M654" s="6" t="str">
        <f>IFERROR(__xludf.DUMMYFUNCTION("""COMPUTED_VALUE"""),"Armenia")</f>
        <v>Armenia</v>
      </c>
      <c r="N654" s="6" t="str">
        <f>IFERROR(__xludf.DUMMYFUNCTION("""COMPUTED_VALUE"""),"M")</f>
        <v>M</v>
      </c>
      <c r="O654" s="6" t="str">
        <f>IFERROR(__xludf.DUMMYFUNCTION("""COMPUTED_VALUE"""),"INACTIVE")</f>
        <v>INACTIVE</v>
      </c>
      <c r="P654" s="6"/>
      <c r="Q654" s="6" t="str">
        <f>IFERROR(__xludf.DUMMYFUNCTION("""COMPUTED_VALUE"""),"Armenia")</f>
        <v>Armenia</v>
      </c>
      <c r="R654" s="12" t="str">
        <f>IFERROR(__xludf.DUMMYFUNCTION("""COMPUTED_VALUE"""),"Gifsayer*")</f>
        <v>Gifsayer*</v>
      </c>
      <c r="S654" s="6" t="str">
        <f>IFERROR(__xludf.DUMMYFUNCTION("""COMPUTED_VALUE"""),"Ordóñez Herrera Juan Esteban")</f>
        <v>Ordóñez Herrera Juan Esteban</v>
      </c>
      <c r="T654" s="6" t="str">
        <f>IFERROR(__xludf.DUMMYFUNCTION("""COMPUTED_VALUE"""),"JUNIOR ORDOÑEZ RODRIGUEZ")</f>
        <v>JUNIOR ORDOÑEZ RODRIGUEZ</v>
      </c>
      <c r="U654" s="12" t="str">
        <f>IFERROR(__xludf.DUMMYFUNCTION("""COMPUTED_VALUE"""),"94375831")</f>
        <v>94375831</v>
      </c>
      <c r="V654" s="6">
        <f>IFERROR(__xludf.DUMMYFUNCTION("""COMPUTED_VALUE"""),3.182481233E9)</f>
        <v>3182481233</v>
      </c>
      <c r="W654" s="6" t="str">
        <f>IFERROR(__xludf.DUMMYFUNCTION("""COMPUTED_VALUE"""),"ordonezjunior@hotmail.com")</f>
        <v>ordonezjunior@hotmail.com</v>
      </c>
      <c r="X654" s="12" t="str">
        <f>IFERROR(__xludf.DUMMYFUNCTION("""COMPUTED_VALUE"""),"O-")</f>
        <v>O-</v>
      </c>
      <c r="Y654" s="12" t="str">
        <f>IFERROR(__xludf.DUMMYFUNCTION("""COMPUTED_VALUE"""),"9")</f>
        <v>9</v>
      </c>
      <c r="Z654" s="12">
        <f>IFERROR(__xludf.DUMMYFUNCTION("""COMPUTED_VALUE"""),103671.0)</f>
        <v>103671</v>
      </c>
      <c r="AA654" s="6" t="str">
        <f>IFERROR(__xludf.DUMMYFUNCTION("""COMPUTED_VALUE"""),"SANITAS")</f>
        <v>SANITAS</v>
      </c>
      <c r="AB654" s="6"/>
      <c r="AC654" s="12" t="str">
        <f>IFERROR(__xludf.DUMMYFUNCTION("""COMPUTED_VALUE"""),"rinithis")</f>
        <v>rinithis</v>
      </c>
      <c r="AD654" s="12" t="str">
        <f>IFERROR(__xludf.DUMMYFUNCTION("""COMPUTED_VALUE"""),"9B")</f>
        <v>9B</v>
      </c>
      <c r="AE654" s="12">
        <f>IFERROR(__xludf.DUMMYFUNCTION("""COMPUTED_VALUE"""),1.345281829E9)</f>
        <v>1345281829</v>
      </c>
      <c r="AF654" s="12" t="str">
        <f>IFERROR(__xludf.DUMMYFUNCTION("""COMPUTED_VALUE"""),"0694932611")</f>
        <v>0694932611</v>
      </c>
      <c r="AG654" s="12" t="str">
        <f>IFERROR(__xludf.DUMMYFUNCTION("""COMPUTED_VALUE"""),"Margarita")</f>
        <v>Margarita</v>
      </c>
      <c r="AH654" s="12" t="str">
        <f>IFERROR(__xludf.DUMMYFUNCTION("""COMPUTED_VALUE"""),"Maria")</f>
        <v>Maria</v>
      </c>
      <c r="AI654" s="6" t="str">
        <f>IFERROR(__xludf.DUMMYFUNCTION("""COMPUTED_VALUE"""),"Herrera Herrera")</f>
        <v>Herrera Herrera</v>
      </c>
      <c r="AJ654" s="6" t="str">
        <f>IFERROR(__xludf.DUMMYFUNCTION("""COMPUTED_VALUE"""),"margaris19@hotmail.com")</f>
        <v>margaris19@hotmail.com</v>
      </c>
      <c r="AK654" s="6" t="str">
        <f>IFERROR(__xludf.DUMMYFUNCTION("""COMPUTED_VALUE"""),"administradora de empresas")</f>
        <v>administradora de empresas</v>
      </c>
      <c r="AL654" s="6" t="str">
        <f>IFERROR(__xludf.DUMMYFUNCTION("""COMPUTED_VALUE"""),"transportes el encinar")</f>
        <v>transportes el encinar</v>
      </c>
      <c r="AM654" s="12" t="str">
        <f>IFERROR(__xludf.DUMMYFUNCTION("""COMPUTED_VALUE"""),"1094888903")</f>
        <v>1094888903</v>
      </c>
      <c r="AN654" s="12" t="str">
        <f>IFERROR(__xludf.DUMMYFUNCTION("""COMPUTED_VALUE"""),"3175129896")</f>
        <v>3175129896</v>
      </c>
      <c r="AO654" s="6" t="str">
        <f>IFERROR(__xludf.DUMMYFUNCTION("""COMPUTED_VALUE"""),"Madre")</f>
        <v>Madre</v>
      </c>
      <c r="AP654" s="6" t="str">
        <f>IFERROR(__xludf.DUMMYFUNCTION("""COMPUTED_VALUE"""),"Estudiante(s): Ordóñez Herrera")</f>
        <v>Estudiante(s): Ordóñez Herrera</v>
      </c>
      <c r="AQ654" s="6" t="str">
        <f>IFERROR(__xludf.DUMMYFUNCTION("""COMPUTED_VALUE"""),"103692*Gi")</f>
        <v>103692*Gi</v>
      </c>
      <c r="AR654" s="6" t="str">
        <f>IFERROR(__xludf.DUMMYFUNCTION("""COMPUTED_VALUE"""),"Junior")</f>
        <v>Junior</v>
      </c>
      <c r="AS654" s="6"/>
      <c r="AT654" s="6" t="str">
        <f>IFERROR(__xludf.DUMMYFUNCTION("""COMPUTED_VALUE"""),"Ordoñez Rodriguez")</f>
        <v>Ordoñez Rodriguez</v>
      </c>
      <c r="AU654" s="6" t="str">
        <f>IFERROR(__xludf.DUMMYFUNCTION("""COMPUTED_VALUE"""),"ordonezjunior@hotmail.com")</f>
        <v>ordonezjunior@hotmail.com</v>
      </c>
      <c r="AV654" s="6" t="str">
        <f>IFERROR(__xludf.DUMMYFUNCTION("""COMPUTED_VALUE"""),"administrador de empresas")</f>
        <v>administrador de empresas</v>
      </c>
      <c r="AW654" s="6" t="str">
        <f>IFERROR(__xludf.DUMMYFUNCTION("""COMPUTED_VALUE"""),"transportes el encinar")</f>
        <v>transportes el encinar</v>
      </c>
      <c r="AX654" s="12" t="str">
        <f>IFERROR(__xludf.DUMMYFUNCTION("""COMPUTED_VALUE"""),"94375831")</f>
        <v>94375831</v>
      </c>
      <c r="AY654" s="12" t="str">
        <f>IFERROR(__xludf.DUMMYFUNCTION("""COMPUTED_VALUE"""),"3182481233")</f>
        <v>3182481233</v>
      </c>
      <c r="AZ654" s="6" t="str">
        <f>IFERROR(__xludf.DUMMYFUNCTION("""COMPUTED_VALUE"""),"Padre")</f>
        <v>Padre</v>
      </c>
      <c r="BA654" s="6"/>
      <c r="BB654" s="6"/>
      <c r="BC654" s="6"/>
      <c r="BD654" s="12" t="str">
        <f>IFERROR(__xludf.DUMMYFUNCTION("""COMPUTED_VALUE"""),"ord0001")</f>
        <v>ord0001</v>
      </c>
      <c r="BE654" s="6" t="str">
        <f>IFERROR(__xludf.DUMMYFUNCTION("""COMPUTED_VALUE"""),"FALTAN FIRMAS")</f>
        <v>FALTAN FIRMAS</v>
      </c>
      <c r="BF654" s="6"/>
      <c r="BG654" s="6">
        <f>IFERROR(__xludf.DUMMYFUNCTION("""COMPUTED_VALUE"""),2030.0)</f>
        <v>2030</v>
      </c>
      <c r="BH654" s="15">
        <f>IFERROR(__xludf.DUMMYFUNCTION("""COMPUTED_VALUE"""),46216.840474537035)</f>
        <v>46216.84047</v>
      </c>
      <c r="BI654" s="6">
        <f>IFERROR(__xludf.DUMMYFUNCTION("""COMPUTED_VALUE"""),655.0)</f>
        <v>655</v>
      </c>
      <c r="BJ654" s="6"/>
      <c r="BK654" s="6"/>
      <c r="BL654" s="6" t="str">
        <f>IFERROR(__xludf.DUMMYFUNCTION("""COMPUTED_VALUE"""),"GISORD0001")</f>
        <v>GISORD0001</v>
      </c>
      <c r="BM654" s="6"/>
      <c r="BN654" s="6"/>
      <c r="BO654" s="6"/>
      <c r="BP654" s="6"/>
      <c r="BQ654" s="6"/>
      <c r="BR654" s="6" t="str">
        <f>IFERROR(__xludf.DUMMYFUNCTION("""COMPUTED_VALUE"""),"XC_90_BandaHorz")</f>
        <v>XC_90_BandaHorz</v>
      </c>
      <c r="BS654" s="6"/>
      <c r="BT654" s="6"/>
      <c r="BU654" s="6" t="str">
        <f>IFERROR(__xludf.DUMMYFUNCTION("""COMPUTED_VALUE"""),"SI")</f>
        <v>SI</v>
      </c>
      <c r="BV654" s="6" t="str">
        <f>IFERROR(__xludf.DUMMYFUNCTION("""COMPUTED_VALUE"""),"juane.o2030")</f>
        <v>juane.o2030</v>
      </c>
      <c r="BW654" s="6"/>
      <c r="BX654" s="6"/>
      <c r="BY654" s="6"/>
      <c r="BZ654" s="6"/>
    </row>
    <row r="655">
      <c r="A655" s="12">
        <f>IFERROR(__xludf.DUMMYFUNCTION("""COMPUTED_VALUE"""),1.020792643E9)</f>
        <v>1020792643</v>
      </c>
      <c r="B655" s="6">
        <f>IFERROR(__xludf.DUMMYFUNCTION("""COMPUTED_VALUE"""),34.0)</f>
        <v>34</v>
      </c>
      <c r="C655" s="6" t="str">
        <f>IFERROR(__xludf.DUMMYFUNCTION("""COMPUTED_VALUE"""),"Emilia")</f>
        <v>Emilia</v>
      </c>
      <c r="D655" s="6"/>
      <c r="E655" s="6" t="str">
        <f>IFERROR(__xludf.DUMMYFUNCTION("""COMPUTED_VALUE"""),"Ortíz Castillo")</f>
        <v>Ortíz Castillo</v>
      </c>
      <c r="F655" s="6" t="str">
        <f>IFERROR(__xludf.DUMMYFUNCTION("""COMPUTED_VALUE"""),"Condominio Hacienda Horizontes Casa 10 - Km 3 Via Circasia Vereda la Florida")</f>
        <v>Condominio Hacienda Horizontes Casa 10 - Km 3 Via Circasia Vereda la Florida</v>
      </c>
      <c r="G655" s="12" t="str">
        <f>IFERROR(__xludf.DUMMYFUNCTION("""COMPUTED_VALUE"""),"2012")</f>
        <v>2012</v>
      </c>
      <c r="H655" s="6" t="str">
        <f>IFERROR(__xludf.DUMMYFUNCTION("""COMPUTED_VALUE"""),"Abril")</f>
        <v>Abril</v>
      </c>
      <c r="I655" s="12" t="str">
        <f>IFERROR(__xludf.DUMMYFUNCTION("""COMPUTED_VALUE"""),"25")</f>
        <v>25</v>
      </c>
      <c r="J655" s="6" t="str">
        <f>IFERROR(__xludf.DUMMYFUNCTION("""COMPUTED_VALUE"""),"Bogotá D.C.")</f>
        <v>Bogotá D.C.</v>
      </c>
      <c r="K655" s="6" t="str">
        <f>IFERROR(__xludf.DUMMYFUNCTION("""COMPUTED_VALUE"""),"emilia.o2030@gi.edu.co")</f>
        <v>emilia.o2030@gi.edu.co</v>
      </c>
      <c r="L655" s="6" t="str">
        <f>IFERROR(__xludf.DUMMYFUNCTION("""COMPUTED_VALUE"""),"TI")</f>
        <v>TI</v>
      </c>
      <c r="M655" s="6" t="str">
        <f>IFERROR(__xludf.DUMMYFUNCTION("""COMPUTED_VALUE"""),"Armenia")</f>
        <v>Armenia</v>
      </c>
      <c r="N655" s="6" t="str">
        <f>IFERROR(__xludf.DUMMYFUNCTION("""COMPUTED_VALUE"""),"F")</f>
        <v>F</v>
      </c>
      <c r="O655" s="6" t="str">
        <f>IFERROR(__xludf.DUMMYFUNCTION("""COMPUTED_VALUE"""),"INACTIVE")</f>
        <v>INACTIVE</v>
      </c>
      <c r="P655" s="6"/>
      <c r="Q655" s="6" t="str">
        <f>IFERROR(__xludf.DUMMYFUNCTION("""COMPUTED_VALUE"""),"Circasia")</f>
        <v>Circasia</v>
      </c>
      <c r="R655" s="12" t="str">
        <f>IFERROR(__xludf.DUMMYFUNCTION("""COMPUTED_VALUE"""),"Gi8n7b6v5c*")</f>
        <v>Gi8n7b6v5c*</v>
      </c>
      <c r="S655" s="6" t="str">
        <f>IFERROR(__xludf.DUMMYFUNCTION("""COMPUTED_VALUE"""),"Ortíz Castillo Emilia ")</f>
        <v>Ortíz Castillo Emilia </v>
      </c>
      <c r="T655" s="6" t="str">
        <f>IFERROR(__xludf.DUMMYFUNCTION("""COMPUTED_VALUE"""),"CESAR AUGUSTO ORTIZ PEÑARANDA")</f>
        <v>CESAR AUGUSTO ORTIZ PEÑARANDA</v>
      </c>
      <c r="U655" s="12" t="str">
        <f>IFERROR(__xludf.DUMMYFUNCTION("""COMPUTED_VALUE"""),"79787573")</f>
        <v>79787573</v>
      </c>
      <c r="V655" s="6">
        <f>IFERROR(__xludf.DUMMYFUNCTION("""COMPUTED_VALUE"""),3.115616628E9)</f>
        <v>3115616628</v>
      </c>
      <c r="W655" s="6" t="str">
        <f>IFERROR(__xludf.DUMMYFUNCTION("""COMPUTED_VALUE"""),"cortizp76@gmail.com")</f>
        <v>cortizp76@gmail.com</v>
      </c>
      <c r="X655" s="12" t="str">
        <f>IFERROR(__xludf.DUMMYFUNCTION("""COMPUTED_VALUE"""),"A+")</f>
        <v>A+</v>
      </c>
      <c r="Y655" s="12" t="str">
        <f>IFERROR(__xludf.DUMMYFUNCTION("""COMPUTED_VALUE"""),"9")</f>
        <v>9</v>
      </c>
      <c r="Z655" s="12">
        <f>IFERROR(__xludf.DUMMYFUNCTION("""COMPUTED_VALUE"""),103543.0)</f>
        <v>103543</v>
      </c>
      <c r="AA655" s="6" t="str">
        <f>IFERROR(__xludf.DUMMYFUNCTION("""COMPUTED_VALUE"""),"SURA")</f>
        <v>SURA</v>
      </c>
      <c r="AB655" s="6" t="str">
        <f>IFERROR(__xludf.DUMMYFUNCTION("""COMPUTED_VALUE"""),"Póliza de salud MAPFRE")</f>
        <v>Póliza de salud MAPFRE</v>
      </c>
      <c r="AC655" s="6"/>
      <c r="AD655" s="12" t="str">
        <f>IFERROR(__xludf.DUMMYFUNCTION("""COMPUTED_VALUE"""),"9B")</f>
        <v>9B</v>
      </c>
      <c r="AE655" s="12">
        <f>IFERROR(__xludf.DUMMYFUNCTION("""COMPUTED_VALUE"""),1.345281746E9)</f>
        <v>1345281746</v>
      </c>
      <c r="AF655" s="12" t="str">
        <f>IFERROR(__xludf.DUMMYFUNCTION("""COMPUTED_VALUE"""),"0722912243")</f>
        <v>0722912243</v>
      </c>
      <c r="AG655" s="12" t="str">
        <f>IFERROR(__xludf.DUMMYFUNCTION("""COMPUTED_VALUE"""),"Juliana")</f>
        <v>Juliana</v>
      </c>
      <c r="AH655" s="6"/>
      <c r="AI655" s="6" t="str">
        <f>IFERROR(__xludf.DUMMYFUNCTION("""COMPUTED_VALUE"""),"Castillo Leaño")</f>
        <v>Castillo Leaño</v>
      </c>
      <c r="AJ655" s="6" t="str">
        <f>IFERROR(__xludf.DUMMYFUNCTION("""COMPUTED_VALUE"""),"castillojuly32@gmail.com")</f>
        <v>castillojuly32@gmail.com</v>
      </c>
      <c r="AK655" s="6" t="str">
        <f>IFERROR(__xludf.DUMMYFUNCTION("""COMPUTED_VALUE"""),"psicóloga")</f>
        <v>psicóloga</v>
      </c>
      <c r="AL655" s="6"/>
      <c r="AM655" s="12" t="str">
        <f>IFERROR(__xludf.DUMMYFUNCTION("""COMPUTED_VALUE"""),"52864735")</f>
        <v>52864735</v>
      </c>
      <c r="AN655" s="12" t="str">
        <f>IFERROR(__xludf.DUMMYFUNCTION("""COMPUTED_VALUE"""),"3138829018")</f>
        <v>3138829018</v>
      </c>
      <c r="AO655" s="6" t="str">
        <f>IFERROR(__xludf.DUMMYFUNCTION("""COMPUTED_VALUE"""),"Madre")</f>
        <v>Madre</v>
      </c>
      <c r="AP655" s="6" t="str">
        <f>IFERROR(__xludf.DUMMYFUNCTION("""COMPUTED_VALUE"""),"Estudiante(s): Ortíz Castillo")</f>
        <v>Estudiante(s): Ortíz Castillo</v>
      </c>
      <c r="AQ655" s="6" t="str">
        <f>IFERROR(__xludf.DUMMYFUNCTION("""COMPUTED_VALUE"""),"103543*Gi")</f>
        <v>103543*Gi</v>
      </c>
      <c r="AR655" s="6" t="str">
        <f>IFERROR(__xludf.DUMMYFUNCTION("""COMPUTED_VALUE"""),"Cesar")</f>
        <v>Cesar</v>
      </c>
      <c r="AS655" s="6" t="str">
        <f>IFERROR(__xludf.DUMMYFUNCTION("""COMPUTED_VALUE"""),"Augusto")</f>
        <v>Augusto</v>
      </c>
      <c r="AT655" s="6" t="str">
        <f>IFERROR(__xludf.DUMMYFUNCTION("""COMPUTED_VALUE"""),"Ortiz Peñaranda")</f>
        <v>Ortiz Peñaranda</v>
      </c>
      <c r="AU655" s="6" t="str">
        <f>IFERROR(__xludf.DUMMYFUNCTION("""COMPUTED_VALUE"""),"cortizp76@gmail.com")</f>
        <v>cortizp76@gmail.com</v>
      </c>
      <c r="AV655" s="6" t="str">
        <f>IFERROR(__xludf.DUMMYFUNCTION("""COMPUTED_VALUE"""),"ADM DE EMPRESAS")</f>
        <v>ADM DE EMPRESAS</v>
      </c>
      <c r="AW655" s="6" t="str">
        <f>IFERROR(__xludf.DUMMYFUNCTION("""COMPUTED_VALUE"""),"AGROALCE SAS")</f>
        <v>AGROALCE SAS</v>
      </c>
      <c r="AX655" s="12" t="str">
        <f>IFERROR(__xludf.DUMMYFUNCTION("""COMPUTED_VALUE"""),"79787573")</f>
        <v>79787573</v>
      </c>
      <c r="AY655" s="12" t="str">
        <f>IFERROR(__xludf.DUMMYFUNCTION("""COMPUTED_VALUE"""),"3115616628")</f>
        <v>3115616628</v>
      </c>
      <c r="AZ655" s="6" t="str">
        <f>IFERROR(__xludf.DUMMYFUNCTION("""COMPUTED_VALUE"""),"Padre")</f>
        <v>Padre</v>
      </c>
      <c r="BA655" s="6"/>
      <c r="BB655" s="6"/>
      <c r="BC655" s="6"/>
      <c r="BD655" s="12" t="str">
        <f>IFERROR(__xludf.DUMMYFUNCTION("""COMPUTED_VALUE"""),"ort0002")</f>
        <v>ort0002</v>
      </c>
      <c r="BE655" s="6" t="str">
        <f>IFERROR(__xludf.DUMMYFUNCTION("""COMPUTED_VALUE"""),"FALTAN FIRMAS")</f>
        <v>FALTAN FIRMAS</v>
      </c>
      <c r="BF655" s="6"/>
      <c r="BG655" s="6">
        <f>IFERROR(__xludf.DUMMYFUNCTION("""COMPUTED_VALUE"""),2030.0)</f>
        <v>2030</v>
      </c>
      <c r="BH655" s="15">
        <f>IFERROR(__xludf.DUMMYFUNCTION("""COMPUTED_VALUE"""),46212.57221064815)</f>
        <v>46212.57221</v>
      </c>
      <c r="BI655" s="6">
        <f>IFERROR(__xludf.DUMMYFUNCTION("""COMPUTED_VALUE"""),656.0)</f>
        <v>656</v>
      </c>
      <c r="BJ655" s="6"/>
      <c r="BK655" s="6"/>
      <c r="BL655" s="6" t="str">
        <f>IFERROR(__xludf.DUMMYFUNCTION("""COMPUTED_VALUE"""),"GISORT0002")</f>
        <v>GISORT0002</v>
      </c>
      <c r="BM655" s="6"/>
      <c r="BN655" s="6"/>
      <c r="BO655" s="6" t="str">
        <f>IFERROR(__xludf.DUMMYFUNCTION("""COMPUTED_VALUE"""),"XC_HS_Voleibol_F")</f>
        <v>XC_HS_Voleibol_F</v>
      </c>
      <c r="BP655" s="6"/>
      <c r="BQ655" s="6" t="str">
        <f>IFERROR(__xludf.DUMMYFUNCTION("""COMPUTED_VALUE"""),"XC_HS_Voleibol_F")</f>
        <v>XC_HS_Voleibol_F</v>
      </c>
      <c r="BR655" s="6" t="str">
        <f>IFERROR(__xludf.DUMMYFUNCTION("""COMPUTED_VALUE"""),"XC_HS_Voleibol_F")</f>
        <v>XC_HS_Voleibol_F</v>
      </c>
      <c r="BS655" s="6"/>
      <c r="BT655" s="6" t="str">
        <f>IFERROR(__xludf.DUMMYFUNCTION("""COMPUTED_VALUE"""),"XC_HS_Voleibol_F")</f>
        <v>XC_HS_Voleibol_F</v>
      </c>
      <c r="BU655" s="6" t="str">
        <f>IFERROR(__xludf.DUMMYFUNCTION("""COMPUTED_VALUE"""),"SI")</f>
        <v>SI</v>
      </c>
      <c r="BV655" s="6" t="str">
        <f>IFERROR(__xludf.DUMMYFUNCTION("""COMPUTED_VALUE"""),"emilia.o2030")</f>
        <v>emilia.o2030</v>
      </c>
      <c r="BW655" s="6"/>
      <c r="BX655" s="6"/>
      <c r="BY655" s="6"/>
      <c r="BZ655" s="6"/>
    </row>
    <row r="656">
      <c r="A656" s="12">
        <f>IFERROR(__xludf.DUMMYFUNCTION("""COMPUTED_VALUE"""),1.026575125E9)</f>
        <v>1026575125</v>
      </c>
      <c r="B656" s="6">
        <f>IFERROR(__xludf.DUMMYFUNCTION("""COMPUTED_VALUE"""),35.0)</f>
        <v>35</v>
      </c>
      <c r="C656" s="6" t="str">
        <f>IFERROR(__xludf.DUMMYFUNCTION("""COMPUTED_VALUE"""),"Daniela")</f>
        <v>Daniela</v>
      </c>
      <c r="D656" s="6"/>
      <c r="E656" s="6" t="str">
        <f>IFERROR(__xludf.DUMMYFUNCTION("""COMPUTED_VALUE"""),"Ortíz Ospina")</f>
        <v>Ortíz Ospina</v>
      </c>
      <c r="F656" s="6" t="str">
        <f>IFERROR(__xludf.DUMMYFUNCTION("""COMPUTED_VALUE"""),"Km 1 Vereda el Congal Casa 32")</f>
        <v>Km 1 Vereda el Congal Casa 32</v>
      </c>
      <c r="G656" s="12" t="str">
        <f>IFERROR(__xludf.DUMMYFUNCTION("""COMPUTED_VALUE"""),"2011")</f>
        <v>2011</v>
      </c>
      <c r="H656" s="6" t="str">
        <f>IFERROR(__xludf.DUMMYFUNCTION("""COMPUTED_VALUE"""),"Enero")</f>
        <v>Enero</v>
      </c>
      <c r="I656" s="12" t="str">
        <f>IFERROR(__xludf.DUMMYFUNCTION("""COMPUTED_VALUE"""),"24")</f>
        <v>24</v>
      </c>
      <c r="J656" s="6" t="str">
        <f>IFERROR(__xludf.DUMMYFUNCTION("""COMPUTED_VALUE"""),"Bogotá D.C.")</f>
        <v>Bogotá D.C.</v>
      </c>
      <c r="K656" s="6" t="str">
        <f>IFERROR(__xludf.DUMMYFUNCTION("""COMPUTED_VALUE"""),"daniela.o2030@gi.edu.co")</f>
        <v>daniela.o2030@gi.edu.co</v>
      </c>
      <c r="L656" s="6" t="str">
        <f>IFERROR(__xludf.DUMMYFUNCTION("""COMPUTED_VALUE"""),"TI")</f>
        <v>TI</v>
      </c>
      <c r="M656" s="6" t="str">
        <f>IFERROR(__xludf.DUMMYFUNCTION("""COMPUTED_VALUE"""),"Facatativá")</f>
        <v>Facatativá</v>
      </c>
      <c r="N656" s="6" t="str">
        <f>IFERROR(__xludf.DUMMYFUNCTION("""COMPUTED_VALUE"""),"F")</f>
        <v>F</v>
      </c>
      <c r="O656" s="6" t="str">
        <f>IFERROR(__xludf.DUMMYFUNCTION("""COMPUTED_VALUE"""),"ACTIVE")</f>
        <v>ACTIVE</v>
      </c>
      <c r="P656" s="6"/>
      <c r="Q656" s="6" t="str">
        <f>IFERROR(__xludf.DUMMYFUNCTION("""COMPUTED_VALUE"""),"Circasia")</f>
        <v>Circasia</v>
      </c>
      <c r="R656" s="12" t="str">
        <f>IFERROR(__xludf.DUMMYFUNCTION("""COMPUTED_VALUE"""),"Giw345p*")</f>
        <v>Giw345p*</v>
      </c>
      <c r="S656" s="6" t="str">
        <f>IFERROR(__xludf.DUMMYFUNCTION("""COMPUTED_VALUE"""),"Ortíz Ospina Daniela ")</f>
        <v>Ortíz Ospina Daniela </v>
      </c>
      <c r="T656" s="6" t="str">
        <f>IFERROR(__xludf.DUMMYFUNCTION("""COMPUTED_VALUE"""),"HERNÁN ADOLFO ORTIZ ARTURO")</f>
        <v>HERNÁN ADOLFO ORTIZ ARTURO</v>
      </c>
      <c r="U656" s="12" t="str">
        <f>IFERROR(__xludf.DUMMYFUNCTION("""COMPUTED_VALUE"""),"94225745")</f>
        <v>94225745</v>
      </c>
      <c r="V656" s="6">
        <f>IFERROR(__xludf.DUMMYFUNCTION("""COMPUTED_VALUE"""),3.214908787E9)</f>
        <v>3214908787</v>
      </c>
      <c r="W656" s="6" t="str">
        <f>IFERROR(__xludf.DUMMYFUNCTION("""COMPUTED_VALUE"""),"hernanortizarturo@gmail.com")</f>
        <v>hernanortizarturo@gmail.com</v>
      </c>
      <c r="X656" s="12" t="str">
        <f>IFERROR(__xludf.DUMMYFUNCTION("""COMPUTED_VALUE"""),"O+")</f>
        <v>O+</v>
      </c>
      <c r="Y656" s="12" t="str">
        <f>IFERROR(__xludf.DUMMYFUNCTION("""COMPUTED_VALUE"""),"9")</f>
        <v>9</v>
      </c>
      <c r="Z656" s="12">
        <f>IFERROR(__xludf.DUMMYFUNCTION("""COMPUTED_VALUE"""),120284.0)</f>
        <v>120284</v>
      </c>
      <c r="AA656" s="6" t="str">
        <f>IFERROR(__xludf.DUMMYFUNCTION("""COMPUTED_VALUE"""),"SURA")</f>
        <v>SURA</v>
      </c>
      <c r="AB656" s="6"/>
      <c r="AC656" s="6"/>
      <c r="AD656" s="12" t="str">
        <f>IFERROR(__xludf.DUMMYFUNCTION("""COMPUTED_VALUE"""),"9B")</f>
        <v>9B</v>
      </c>
      <c r="AE656" s="12">
        <f>IFERROR(__xludf.DUMMYFUNCTION("""COMPUTED_VALUE"""),1.345282253E9)</f>
        <v>1345282253</v>
      </c>
      <c r="AF656" s="12" t="str">
        <f>IFERROR(__xludf.DUMMYFUNCTION("""COMPUTED_VALUE"""),"0695182099")</f>
        <v>0695182099</v>
      </c>
      <c r="AG656" s="12" t="str">
        <f>IFERROR(__xludf.DUMMYFUNCTION("""COMPUTED_VALUE"""),"Beatriz")</f>
        <v>Beatriz</v>
      </c>
      <c r="AH656" s="12" t="str">
        <f>IFERROR(__xludf.DUMMYFUNCTION("""COMPUTED_VALUE"""),"Eugenia")</f>
        <v>Eugenia</v>
      </c>
      <c r="AI656" s="6" t="str">
        <f>IFERROR(__xludf.DUMMYFUNCTION("""COMPUTED_VALUE"""),"Ospina Granada")</f>
        <v>Ospina Granada</v>
      </c>
      <c r="AJ656" s="6" t="str">
        <f>IFERROR(__xludf.DUMMYFUNCTION("""COMPUTED_VALUE"""),"beatrizeugeniaospina@gmail.com")</f>
        <v>beatrizeugeniaospina@gmail.com</v>
      </c>
      <c r="AK656" s="6" t="str">
        <f>IFERROR(__xludf.DUMMYFUNCTION("""COMPUTED_VALUE"""),"Mercadeo")</f>
        <v>Mercadeo</v>
      </c>
      <c r="AL656" s="6" t="str">
        <f>IFERROR(__xludf.DUMMYFUNCTION("""COMPUTED_VALUE"""),"Estrategia Visible Consultores SAS")</f>
        <v>Estrategia Visible Consultores SAS</v>
      </c>
      <c r="AM656" s="12" t="str">
        <f>IFERROR(__xludf.DUMMYFUNCTION("""COMPUTED_VALUE"""),"30331703")</f>
        <v>30331703</v>
      </c>
      <c r="AN656" s="12" t="str">
        <f>IFERROR(__xludf.DUMMYFUNCTION("""COMPUTED_VALUE"""),"3104037215")</f>
        <v>3104037215</v>
      </c>
      <c r="AO656" s="6" t="str">
        <f>IFERROR(__xludf.DUMMYFUNCTION("""COMPUTED_VALUE"""),"Madre")</f>
        <v>Madre</v>
      </c>
      <c r="AP656" s="6" t="str">
        <f>IFERROR(__xludf.DUMMYFUNCTION("""COMPUTED_VALUE"""),"Estudiante(s): Ortíz Ospina")</f>
        <v>Estudiante(s): Ortíz Ospina</v>
      </c>
      <c r="AQ656" s="6" t="str">
        <f>IFERROR(__xludf.DUMMYFUNCTION("""COMPUTED_VALUE"""),"120284*Gi")</f>
        <v>120284*Gi</v>
      </c>
      <c r="AR656" s="6" t="str">
        <f>IFERROR(__xludf.DUMMYFUNCTION("""COMPUTED_VALUE"""),"Hernan")</f>
        <v>Hernan</v>
      </c>
      <c r="AS656" s="6" t="str">
        <f>IFERROR(__xludf.DUMMYFUNCTION("""COMPUTED_VALUE"""),"Adolfo")</f>
        <v>Adolfo</v>
      </c>
      <c r="AT656" s="6" t="str">
        <f>IFERROR(__xludf.DUMMYFUNCTION("""COMPUTED_VALUE"""),"Ortíz Arturo")</f>
        <v>Ortíz Arturo</v>
      </c>
      <c r="AU656" s="6" t="str">
        <f>IFERROR(__xludf.DUMMYFUNCTION("""COMPUTED_VALUE"""),"hernanortizarturo@gmail.com")</f>
        <v>hernanortizarturo@gmail.com</v>
      </c>
      <c r="AV656" s="6" t="str">
        <f>IFERROR(__xludf.DUMMYFUNCTION("""COMPUTED_VALUE"""),"Ingeniero Industrial")</f>
        <v>Ingeniero Industrial</v>
      </c>
      <c r="AW656" s="6" t="str">
        <f>IFERROR(__xludf.DUMMYFUNCTION("""COMPUTED_VALUE"""),"Estrategia Visible Consultores")</f>
        <v>Estrategia Visible Consultores</v>
      </c>
      <c r="AX656" s="12" t="str">
        <f>IFERROR(__xludf.DUMMYFUNCTION("""COMPUTED_VALUE"""),"94225745")</f>
        <v>94225745</v>
      </c>
      <c r="AY656" s="12" t="str">
        <f>IFERROR(__xludf.DUMMYFUNCTION("""COMPUTED_VALUE"""),"3214908787")</f>
        <v>3214908787</v>
      </c>
      <c r="AZ656" s="6" t="str">
        <f>IFERROR(__xludf.DUMMYFUNCTION("""COMPUTED_VALUE"""),"Padre")</f>
        <v>Padre</v>
      </c>
      <c r="BA656" s="6"/>
      <c r="BB656" s="6"/>
      <c r="BC656" s="6"/>
      <c r="BD656" s="12" t="str">
        <f>IFERROR(__xludf.DUMMYFUNCTION("""COMPUTED_VALUE"""),"ort0004")</f>
        <v>ort0004</v>
      </c>
      <c r="BE656" s="6"/>
      <c r="BF656" s="6"/>
      <c r="BG656" s="6">
        <f>IFERROR(__xludf.DUMMYFUNCTION("""COMPUTED_VALUE"""),2030.0)</f>
        <v>2030</v>
      </c>
      <c r="BH656" s="15">
        <f>IFERROR(__xludf.DUMMYFUNCTION("""COMPUTED_VALUE"""),46211.46195601852)</f>
        <v>46211.46196</v>
      </c>
      <c r="BI656" s="6">
        <f>IFERROR(__xludf.DUMMYFUNCTION("""COMPUTED_VALUE"""),657.0)</f>
        <v>657</v>
      </c>
      <c r="BJ656" s="6"/>
      <c r="BK656" s="6"/>
      <c r="BL656" s="6" t="str">
        <f>IFERROR(__xludf.DUMMYFUNCTION("""COMPUTED_VALUE"""),"GISORT0004")</f>
        <v>GISORT0004</v>
      </c>
      <c r="BM656" s="6"/>
      <c r="BN656" s="6"/>
      <c r="BO656" s="6"/>
      <c r="BP656" s="6"/>
      <c r="BQ656" s="6"/>
      <c r="BR656" s="6" t="str">
        <f>IFERROR(__xludf.DUMMYFUNCTION("""COMPUTED_VALUE"""),"XC_90_BandaHorz")</f>
        <v>XC_90_BandaHorz</v>
      </c>
      <c r="BS656" s="6"/>
      <c r="BT656" s="6"/>
      <c r="BU656" s="6" t="str">
        <f>IFERROR(__xludf.DUMMYFUNCTION("""COMPUTED_VALUE"""),"SI")</f>
        <v>SI</v>
      </c>
      <c r="BV656" s="6" t="str">
        <f>IFERROR(__xludf.DUMMYFUNCTION("""COMPUTED_VALUE"""),"daniela.o2030")</f>
        <v>daniela.o2030</v>
      </c>
      <c r="BW656" s="6"/>
      <c r="BX656" s="6"/>
      <c r="BY656" s="6"/>
      <c r="BZ656" s="6"/>
    </row>
    <row r="657">
      <c r="A657" s="12">
        <f>IFERROR(__xludf.DUMMYFUNCTION("""COMPUTED_VALUE"""),1.092462678E9)</f>
        <v>1092462678</v>
      </c>
      <c r="B657" s="6">
        <f>IFERROR(__xludf.DUMMYFUNCTION("""COMPUTED_VALUE"""),36.0)</f>
        <v>36</v>
      </c>
      <c r="C657" s="6" t="str">
        <f>IFERROR(__xludf.DUMMYFUNCTION("""COMPUTED_VALUE"""),"Valentina")</f>
        <v>Valentina</v>
      </c>
      <c r="D657" s="6"/>
      <c r="E657" s="6" t="str">
        <f>IFERROR(__xludf.DUMMYFUNCTION("""COMPUTED_VALUE"""),"Palacios Orrego")</f>
        <v>Palacios Orrego</v>
      </c>
      <c r="F657" s="6" t="str">
        <f>IFERROR(__xludf.DUMMYFUNCTION("""COMPUTED_VALUE"""),"Conjunto Hacienda El Cabrero Casa 28 - Km 9 Via Armenia-La Tebaida")</f>
        <v>Conjunto Hacienda El Cabrero Casa 28 - Km 9 Via Armenia-La Tebaida</v>
      </c>
      <c r="G657" s="12" t="str">
        <f>IFERROR(__xludf.DUMMYFUNCTION("""COMPUTED_VALUE"""),"2012")</f>
        <v>2012</v>
      </c>
      <c r="H657" s="6" t="str">
        <f>IFERROR(__xludf.DUMMYFUNCTION("""COMPUTED_VALUE"""),"Agosto")</f>
        <v>Agosto</v>
      </c>
      <c r="I657" s="12" t="str">
        <f>IFERROR(__xludf.DUMMYFUNCTION("""COMPUTED_VALUE"""),"18")</f>
        <v>18</v>
      </c>
      <c r="J657" s="6" t="str">
        <f>IFERROR(__xludf.DUMMYFUNCTION("""COMPUTED_VALUE"""),"Cali")</f>
        <v>Cali</v>
      </c>
      <c r="K657" s="6" t="str">
        <f>IFERROR(__xludf.DUMMYFUNCTION("""COMPUTED_VALUE"""),"valentina.p2030@gi.edu.co")</f>
        <v>valentina.p2030@gi.edu.co</v>
      </c>
      <c r="L657" s="6" t="str">
        <f>IFERROR(__xludf.DUMMYFUNCTION("""COMPUTED_VALUE"""),"TI")</f>
        <v>TI</v>
      </c>
      <c r="M657" s="6" t="str">
        <f>IFERROR(__xludf.DUMMYFUNCTION("""COMPUTED_VALUE"""),"Armenia")</f>
        <v>Armenia</v>
      </c>
      <c r="N657" s="6" t="str">
        <f>IFERROR(__xludf.DUMMYFUNCTION("""COMPUTED_VALUE"""),"F")</f>
        <v>F</v>
      </c>
      <c r="O657" s="6" t="str">
        <f>IFERROR(__xludf.DUMMYFUNCTION("""COMPUTED_VALUE"""),"ACTIVE")</f>
        <v>ACTIVE</v>
      </c>
      <c r="P657" s="6"/>
      <c r="Q657" s="6" t="str">
        <f>IFERROR(__xludf.DUMMYFUNCTION("""COMPUTED_VALUE"""),"Armenia")</f>
        <v>Armenia</v>
      </c>
      <c r="R657" s="12" t="str">
        <f>IFERROR(__xludf.DUMMYFUNCTION("""COMPUTED_VALUE"""),"Gi99hee23d*")</f>
        <v>Gi99hee23d*</v>
      </c>
      <c r="S657" s="6" t="str">
        <f>IFERROR(__xludf.DUMMYFUNCTION("""COMPUTED_VALUE"""),"Palacios Orrego Valentina ")</f>
        <v>Palacios Orrego Valentina </v>
      </c>
      <c r="T657" s="6" t="str">
        <f>IFERROR(__xludf.DUMMYFUNCTION("""COMPUTED_VALUE"""),"VÍCTOR MANUEL PALACIOS OCHOA")</f>
        <v>VÍCTOR MANUEL PALACIOS OCHOA</v>
      </c>
      <c r="U657" s="12" t="str">
        <f>IFERROR(__xludf.DUMMYFUNCTION("""COMPUTED_VALUE"""),"18497846")</f>
        <v>18497846</v>
      </c>
      <c r="V657" s="6">
        <f>IFERROR(__xludf.DUMMYFUNCTION("""COMPUTED_VALUE"""),3.155483073E9)</f>
        <v>3155483073</v>
      </c>
      <c r="W657" s="6" t="str">
        <f>IFERROR(__xludf.DUMMYFUNCTION("""COMPUTED_VALUE"""),"vmpalacios@gmail.com")</f>
        <v>vmpalacios@gmail.com</v>
      </c>
      <c r="X657" s="12" t="str">
        <f>IFERROR(__xludf.DUMMYFUNCTION("""COMPUTED_VALUE"""),"O+")</f>
        <v>O+</v>
      </c>
      <c r="Y657" s="12" t="str">
        <f>IFERROR(__xludf.DUMMYFUNCTION("""COMPUTED_VALUE"""),"9")</f>
        <v>9</v>
      </c>
      <c r="Z657" s="12">
        <f>IFERROR(__xludf.DUMMYFUNCTION("""COMPUTED_VALUE"""),103160.0)</f>
        <v>103160</v>
      </c>
      <c r="AA657" s="6" t="str">
        <f>IFERROR(__xludf.DUMMYFUNCTION("""COMPUTED_VALUE"""),"SURA")</f>
        <v>SURA</v>
      </c>
      <c r="AB657" s="6" t="str">
        <f>IFERROR(__xludf.DUMMYFUNCTION("""COMPUTED_VALUE"""),"SURA")</f>
        <v>SURA</v>
      </c>
      <c r="AC657" s="12" t="str">
        <f>IFERROR(__xludf.DUMMYFUNCTION("""COMPUTED_VALUE"""),"PENICILINA - Camarones")</f>
        <v>PENICILINA - Camarones</v>
      </c>
      <c r="AD657" s="12" t="str">
        <f>IFERROR(__xludf.DUMMYFUNCTION("""COMPUTED_VALUE"""),"9B")</f>
        <v>9B</v>
      </c>
      <c r="AE657" s="12">
        <f>IFERROR(__xludf.DUMMYFUNCTION("""COMPUTED_VALUE"""),1.345281554E9)</f>
        <v>1345281554</v>
      </c>
      <c r="AF657" s="12" t="str">
        <f>IFERROR(__xludf.DUMMYFUNCTION("""COMPUTED_VALUE"""),"0671933139")</f>
        <v>0671933139</v>
      </c>
      <c r="AG657" s="12" t="str">
        <f>IFERROR(__xludf.DUMMYFUNCTION("""COMPUTED_VALUE"""),"Ana")</f>
        <v>Ana</v>
      </c>
      <c r="AH657" s="12" t="str">
        <f>IFERROR(__xludf.DUMMYFUNCTION("""COMPUTED_VALUE"""),"María")</f>
        <v>María</v>
      </c>
      <c r="AI657" s="6" t="str">
        <f>IFERROR(__xludf.DUMMYFUNCTION("""COMPUTED_VALUE"""),"Orrego Bustamante")</f>
        <v>Orrego Bustamante</v>
      </c>
      <c r="AJ657" s="6" t="str">
        <f>IFERROR(__xludf.DUMMYFUNCTION("""COMPUTED_VALUE"""),"anamorrego@hotmail.com")</f>
        <v>anamorrego@hotmail.com</v>
      </c>
      <c r="AK657" s="6" t="str">
        <f>IFERROR(__xludf.DUMMYFUNCTION("""COMPUTED_VALUE"""),"ARQUITECTA")</f>
        <v>ARQUITECTA</v>
      </c>
      <c r="AL657" s="6" t="str">
        <f>IFERROR(__xludf.DUMMYFUNCTION("""COMPUTED_VALUE"""),"ILIMITADA ARQUITECTURA SAS")</f>
        <v>ILIMITADA ARQUITECTURA SAS</v>
      </c>
      <c r="AM657" s="12" t="str">
        <f>IFERROR(__xludf.DUMMYFUNCTION("""COMPUTED_VALUE"""),"43628612")</f>
        <v>43628612</v>
      </c>
      <c r="AN657" s="12" t="str">
        <f>IFERROR(__xludf.DUMMYFUNCTION("""COMPUTED_VALUE"""),"3164462955")</f>
        <v>3164462955</v>
      </c>
      <c r="AO657" s="6" t="str">
        <f>IFERROR(__xludf.DUMMYFUNCTION("""COMPUTED_VALUE"""),"Madre")</f>
        <v>Madre</v>
      </c>
      <c r="AP657" s="6" t="str">
        <f>IFERROR(__xludf.DUMMYFUNCTION("""COMPUTED_VALUE"""),"Estudiante(s): Palacios Orrego")</f>
        <v>Estudiante(s): Palacios Orrego</v>
      </c>
      <c r="AQ657" s="6" t="str">
        <f>IFERROR(__xludf.DUMMYFUNCTION("""COMPUTED_VALUE"""),"102083*Gi")</f>
        <v>102083*Gi</v>
      </c>
      <c r="AR657" s="6" t="str">
        <f>IFERROR(__xludf.DUMMYFUNCTION("""COMPUTED_VALUE"""),"Víctor")</f>
        <v>Víctor</v>
      </c>
      <c r="AS657" s="6" t="str">
        <f>IFERROR(__xludf.DUMMYFUNCTION("""COMPUTED_VALUE"""),"Manuel")</f>
        <v>Manuel</v>
      </c>
      <c r="AT657" s="6" t="str">
        <f>IFERROR(__xludf.DUMMYFUNCTION("""COMPUTED_VALUE"""),"Palacios Ochoa")</f>
        <v>Palacios Ochoa</v>
      </c>
      <c r="AU657" s="6" t="str">
        <f>IFERROR(__xludf.DUMMYFUNCTION("""COMPUTED_VALUE"""),"vmpalacios@gmail.com")</f>
        <v>vmpalacios@gmail.com</v>
      </c>
      <c r="AV657" s="6"/>
      <c r="AW657" s="6"/>
      <c r="AX657" s="12" t="str">
        <f>IFERROR(__xludf.DUMMYFUNCTION("""COMPUTED_VALUE"""),"18497846")</f>
        <v>18497846</v>
      </c>
      <c r="AY657" s="12" t="str">
        <f>IFERROR(__xludf.DUMMYFUNCTION("""COMPUTED_VALUE"""),"3155483073")</f>
        <v>3155483073</v>
      </c>
      <c r="AZ657" s="6" t="str">
        <f>IFERROR(__xludf.DUMMYFUNCTION("""COMPUTED_VALUE"""),"Padre")</f>
        <v>Padre</v>
      </c>
      <c r="BA657" s="6"/>
      <c r="BB657" s="6"/>
      <c r="BC657" s="6"/>
      <c r="BD657" s="12" t="str">
        <f>IFERROR(__xludf.DUMMYFUNCTION("""COMPUTED_VALUE"""),"pal0004")</f>
        <v>pal0004</v>
      </c>
      <c r="BE657" s="6"/>
      <c r="BF657" s="6"/>
      <c r="BG657" s="6">
        <f>IFERROR(__xludf.DUMMYFUNCTION("""COMPUTED_VALUE"""),2030.0)</f>
        <v>2030</v>
      </c>
      <c r="BH657" s="15">
        <f>IFERROR(__xludf.DUMMYFUNCTION("""COMPUTED_VALUE"""),46210.45377314815)</f>
        <v>46210.45377</v>
      </c>
      <c r="BI657" s="6">
        <f>IFERROR(__xludf.DUMMYFUNCTION("""COMPUTED_VALUE"""),658.0)</f>
        <v>658</v>
      </c>
      <c r="BJ657" s="6"/>
      <c r="BK657" s="6"/>
      <c r="BL657" s="6" t="str">
        <f>IFERROR(__xludf.DUMMYFUNCTION("""COMPUTED_VALUE"""),"GISPAL0004")</f>
        <v>GISPAL0004</v>
      </c>
      <c r="BM657" s="6"/>
      <c r="BN657" s="6"/>
      <c r="BO657" s="6" t="str">
        <f>IFERROR(__xludf.DUMMYFUNCTION("""COMPUTED_VALUE"""),"XC_HS_Voleibol_F")</f>
        <v>XC_HS_Voleibol_F</v>
      </c>
      <c r="BP657" s="6"/>
      <c r="BQ657" s="6" t="str">
        <f>IFERROR(__xludf.DUMMYFUNCTION("""COMPUTED_VALUE"""),"XC_HS_Voleibol_F")</f>
        <v>XC_HS_Voleibol_F</v>
      </c>
      <c r="BR657" s="6" t="str">
        <f>IFERROR(__xludf.DUMMYFUNCTION("""COMPUTED_VALUE"""),"XC_HS_Voleibol_F")</f>
        <v>XC_HS_Voleibol_F</v>
      </c>
      <c r="BS657" s="6"/>
      <c r="BT657" s="6" t="str">
        <f>IFERROR(__xludf.DUMMYFUNCTION("""COMPUTED_VALUE"""),"XC_HS_Voleibol_F")</f>
        <v>XC_HS_Voleibol_F</v>
      </c>
      <c r="BU657" s="6" t="str">
        <f>IFERROR(__xludf.DUMMYFUNCTION("""COMPUTED_VALUE"""),"NO")</f>
        <v>NO</v>
      </c>
      <c r="BV657" s="6" t="str">
        <f>IFERROR(__xludf.DUMMYFUNCTION("""COMPUTED_VALUE"""),"valentina.p2030")</f>
        <v>valentina.p2030</v>
      </c>
      <c r="BW657" s="6"/>
      <c r="BX657" s="6"/>
      <c r="BY657" s="6"/>
      <c r="BZ657" s="6"/>
    </row>
    <row r="658">
      <c r="A658" s="12">
        <f>IFERROR(__xludf.DUMMYFUNCTION("""COMPUTED_VALUE"""),1.092855986E9)</f>
        <v>1092855986</v>
      </c>
      <c r="B658" s="6">
        <f>IFERROR(__xludf.DUMMYFUNCTION("""COMPUTED_VALUE"""),37.0)</f>
        <v>37</v>
      </c>
      <c r="C658" s="6" t="str">
        <f>IFERROR(__xludf.DUMMYFUNCTION("""COMPUTED_VALUE"""),"María")</f>
        <v>María</v>
      </c>
      <c r="D658" s="6" t="str">
        <f>IFERROR(__xludf.DUMMYFUNCTION("""COMPUTED_VALUE"""),"Del Mar")</f>
        <v>Del Mar</v>
      </c>
      <c r="E658" s="6" t="str">
        <f>IFERROR(__xludf.DUMMYFUNCTION("""COMPUTED_VALUE"""),"Peñaranda Botero")</f>
        <v>Peñaranda Botero</v>
      </c>
      <c r="F658" s="6" t="str">
        <f>IFERROR(__xludf.DUMMYFUNCTION("""COMPUTED_VALUE"""),"NO TIENE DIRECCION REGISTRADA")</f>
        <v>NO TIENE DIRECCION REGISTRADA</v>
      </c>
      <c r="G658" s="12" t="str">
        <f>IFERROR(__xludf.DUMMYFUNCTION("""COMPUTED_VALUE"""),"2012")</f>
        <v>2012</v>
      </c>
      <c r="H658" s="6" t="str">
        <f>IFERROR(__xludf.DUMMYFUNCTION("""COMPUTED_VALUE"""),"Abril")</f>
        <v>Abril</v>
      </c>
      <c r="I658" s="12" t="str">
        <f>IFERROR(__xludf.DUMMYFUNCTION("""COMPUTED_VALUE"""),"7")</f>
        <v>7</v>
      </c>
      <c r="J658" s="6" t="str">
        <f>IFERROR(__xludf.DUMMYFUNCTION("""COMPUTED_VALUE"""),"Armenia")</f>
        <v>Armenia</v>
      </c>
      <c r="K658" s="6" t="str">
        <f>IFERROR(__xludf.DUMMYFUNCTION("""COMPUTED_VALUE"""),"mariadelmar.p2030@gi.edu.co")</f>
        <v>mariadelmar.p2030@gi.edu.co</v>
      </c>
      <c r="L658" s="6" t="str">
        <f>IFERROR(__xludf.DUMMYFUNCTION("""COMPUTED_VALUE"""),"RC")</f>
        <v>RC</v>
      </c>
      <c r="M658" s="6" t="str">
        <f>IFERROR(__xludf.DUMMYFUNCTION("""COMPUTED_VALUE"""),"Armenia")</f>
        <v>Armenia</v>
      </c>
      <c r="N658" s="6" t="str">
        <f>IFERROR(__xludf.DUMMYFUNCTION("""COMPUTED_VALUE"""),"F")</f>
        <v>F</v>
      </c>
      <c r="O658" s="6" t="str">
        <f>IFERROR(__xludf.DUMMYFUNCTION("""COMPUTED_VALUE"""),"INACTIVE")</f>
        <v>INACTIVE</v>
      </c>
      <c r="P658" s="6"/>
      <c r="Q658" s="6" t="str">
        <f>IFERROR(__xludf.DUMMYFUNCTION("""COMPUTED_VALUE"""),"Armenia")</f>
        <v>Armenia</v>
      </c>
      <c r="R658" s="12" t="str">
        <f>IFERROR(__xludf.DUMMYFUNCTION("""COMPUTED_VALUE"""),"Giask8620j*")</f>
        <v>Giask8620j*</v>
      </c>
      <c r="S658" s="6" t="str">
        <f>IFERROR(__xludf.DUMMYFUNCTION("""COMPUTED_VALUE"""),"Peñaranda Botero María Del Mar")</f>
        <v>Peñaranda Botero María Del Mar</v>
      </c>
      <c r="T658" s="6" t="str">
        <f>IFERROR(__xludf.DUMMYFUNCTION("""COMPUTED_VALUE"""),"SEBASTIAN PEÑARANDA CASTRO")</f>
        <v>SEBASTIAN PEÑARANDA CASTRO</v>
      </c>
      <c r="U658" s="12" t="str">
        <f>IFERROR(__xludf.DUMMYFUNCTION("""COMPUTED_VALUE"""),"1005101223")</f>
        <v>1005101223</v>
      </c>
      <c r="V658" s="6">
        <f>IFERROR(__xludf.DUMMYFUNCTION("""COMPUTED_VALUE"""),3.12229798E9)</f>
        <v>3122297980</v>
      </c>
      <c r="W658" s="6" t="str">
        <f>IFERROR(__xludf.DUMMYFUNCTION("""COMPUTED_VALUE"""),"sebaspcastro@gmail.com")</f>
        <v>sebaspcastro@gmail.com</v>
      </c>
      <c r="X658" s="12" t="str">
        <f>IFERROR(__xludf.DUMMYFUNCTION("""COMPUTED_VALUE"""),"O+")</f>
        <v>O+</v>
      </c>
      <c r="Y658" s="12" t="str">
        <f>IFERROR(__xludf.DUMMYFUNCTION("""COMPUTED_VALUE"""),"9")</f>
        <v>9</v>
      </c>
      <c r="Z658" s="12">
        <f>IFERROR(__xludf.DUMMYFUNCTION("""COMPUTED_VALUE"""),103353.0)</f>
        <v>103353</v>
      </c>
      <c r="AA658" s="6" t="str">
        <f>IFERROR(__xludf.DUMMYFUNCTION("""COMPUTED_VALUE"""),"NUEVA EPS")</f>
        <v>NUEVA EPS</v>
      </c>
      <c r="AB658" s="6" t="str">
        <f>IFERROR(__xludf.DUMMYFUNCTION("""COMPUTED_VALUE"""),"-")</f>
        <v>-</v>
      </c>
      <c r="AC658" s="6"/>
      <c r="AD658" s="12" t="str">
        <f>IFERROR(__xludf.DUMMYFUNCTION("""COMPUTED_VALUE"""),"9A")</f>
        <v>9A</v>
      </c>
      <c r="AE658" s="12">
        <f>IFERROR(__xludf.DUMMYFUNCTION("""COMPUTED_VALUE"""),1.345281654E9)</f>
        <v>1345281654</v>
      </c>
      <c r="AF658" s="12" t="str">
        <f>IFERROR(__xludf.DUMMYFUNCTION("""COMPUTED_VALUE"""),"0666169347")</f>
        <v>0666169347</v>
      </c>
      <c r="AG658" s="12" t="str">
        <f>IFERROR(__xludf.DUMMYFUNCTION("""COMPUTED_VALUE"""),"Laura")</f>
        <v>Laura</v>
      </c>
      <c r="AH658" s="12" t="str">
        <f>IFERROR(__xludf.DUMMYFUNCTION("""COMPUTED_VALUE"""),"Maria")</f>
        <v>Maria</v>
      </c>
      <c r="AI658" s="6" t="str">
        <f>IFERROR(__xludf.DUMMYFUNCTION("""COMPUTED_VALUE"""),"Botero García")</f>
        <v>Botero García</v>
      </c>
      <c r="AJ658" s="6" t="str">
        <f>IFERROR(__xludf.DUMMYFUNCTION("""COMPUTED_VALUE"""),"tatamboga@hotmail.com")</f>
        <v>tatamboga@hotmail.com</v>
      </c>
      <c r="AK658" s="6" t="str">
        <f>IFERROR(__xludf.DUMMYFUNCTION("""COMPUTED_VALUE"""),"Abogada")</f>
        <v>Abogada</v>
      </c>
      <c r="AL658" s="6"/>
      <c r="AM658" s="12" t="str">
        <f>IFERROR(__xludf.DUMMYFUNCTION("""COMPUTED_VALUE"""),"1097397712")</f>
        <v>1097397712</v>
      </c>
      <c r="AN658" s="12" t="str">
        <f>IFERROR(__xludf.DUMMYFUNCTION("""COMPUTED_VALUE"""),"3148630452")</f>
        <v>3148630452</v>
      </c>
      <c r="AO658" s="6" t="str">
        <f>IFERROR(__xludf.DUMMYFUNCTION("""COMPUTED_VALUE"""),"Madre")</f>
        <v>Madre</v>
      </c>
      <c r="AP658" s="6" t="str">
        <f>IFERROR(__xludf.DUMMYFUNCTION("""COMPUTED_VALUE"""),"Estudiante(s): Peñaranda Botero")</f>
        <v>Estudiante(s): Peñaranda Botero</v>
      </c>
      <c r="AQ658" s="6" t="str">
        <f>IFERROR(__xludf.DUMMYFUNCTION("""COMPUTED_VALUE"""),"103353*Gi")</f>
        <v>103353*Gi</v>
      </c>
      <c r="AR658" s="6" t="str">
        <f>IFERROR(__xludf.DUMMYFUNCTION("""COMPUTED_VALUE"""),"Sebastian")</f>
        <v>Sebastian</v>
      </c>
      <c r="AS658" s="6"/>
      <c r="AT658" s="6" t="str">
        <f>IFERROR(__xludf.DUMMYFUNCTION("""COMPUTED_VALUE"""),"Peñaranda Castro")</f>
        <v>Peñaranda Castro</v>
      </c>
      <c r="AU658" s="6" t="str">
        <f>IFERROR(__xludf.DUMMYFUNCTION("""COMPUTED_VALUE"""),"sebaspcastro@gmail.com")</f>
        <v>sebaspcastro@gmail.com</v>
      </c>
      <c r="AV658" s="6"/>
      <c r="AW658" s="6"/>
      <c r="AX658" s="12" t="str">
        <f>IFERROR(__xludf.DUMMYFUNCTION("""COMPUTED_VALUE"""),"1005101223")</f>
        <v>1005101223</v>
      </c>
      <c r="AY658" s="12" t="str">
        <f>IFERROR(__xludf.DUMMYFUNCTION("""COMPUTED_VALUE"""),"3122297980")</f>
        <v>3122297980</v>
      </c>
      <c r="AZ658" s="6" t="str">
        <f>IFERROR(__xludf.DUMMYFUNCTION("""COMPUTED_VALUE"""),"Padre")</f>
        <v>Padre</v>
      </c>
      <c r="BA658" s="6"/>
      <c r="BB658" s="6"/>
      <c r="BC658" s="6"/>
      <c r="BD658" s="12" t="str">
        <f>IFERROR(__xludf.DUMMYFUNCTION("""COMPUTED_VALUE"""),"pea0001")</f>
        <v>pea0001</v>
      </c>
      <c r="BE658" s="6" t="str">
        <f>IFERROR(__xludf.DUMMYFUNCTION("""COMPUTED_VALUE"""),"FALTAN FIRMAS")</f>
        <v>FALTAN FIRMAS</v>
      </c>
      <c r="BF658" s="6"/>
      <c r="BG658" s="6">
        <f>IFERROR(__xludf.DUMMYFUNCTION("""COMPUTED_VALUE"""),2030.0)</f>
        <v>2030</v>
      </c>
      <c r="BH658" s="15">
        <f>IFERROR(__xludf.DUMMYFUNCTION("""COMPUTED_VALUE"""),46212.38591435185)</f>
        <v>46212.38591</v>
      </c>
      <c r="BI658" s="6">
        <f>IFERROR(__xludf.DUMMYFUNCTION("""COMPUTED_VALUE"""),659.0)</f>
        <v>659</v>
      </c>
      <c r="BJ658" s="6" t="str">
        <f>IFERROR(__xludf.DUMMYFUNCTION("""COMPUTED_VALUE"""),"DANE: Déficit de atención
SIMAT: Trastorno de la atención")</f>
        <v>DANE: Déficit de atención
SIMAT: Trastorno de la atención</v>
      </c>
      <c r="BK658" s="6"/>
      <c r="BL658" s="6" t="str">
        <f>IFERROR(__xludf.DUMMYFUNCTION("""COMPUTED_VALUE"""),"GISPEA0001")</f>
        <v>GISPEA0001</v>
      </c>
      <c r="BM658" s="6"/>
      <c r="BN658" s="6"/>
      <c r="BO658" s="6"/>
      <c r="BP658" s="6"/>
      <c r="BQ658" s="6"/>
      <c r="BR658" s="6"/>
      <c r="BS658" s="6"/>
      <c r="BT658" s="6"/>
      <c r="BU658" s="6" t="str">
        <f>IFERROR(__xludf.DUMMYFUNCTION("""COMPUTED_VALUE"""),"SI")</f>
        <v>SI</v>
      </c>
      <c r="BV658" s="6" t="str">
        <f>IFERROR(__xludf.DUMMYFUNCTION("""COMPUTED_VALUE"""),"mariadelmar.p2030")</f>
        <v>mariadelmar.p2030</v>
      </c>
      <c r="BW658" s="6"/>
      <c r="BX658" s="6"/>
      <c r="BY658" s="6"/>
      <c r="BZ658" s="6"/>
    </row>
    <row r="659">
      <c r="A659" s="12">
        <f>IFERROR(__xludf.DUMMYFUNCTION("""COMPUTED_VALUE"""),1.09246275E9)</f>
        <v>1092462750</v>
      </c>
      <c r="B659" s="6">
        <f>IFERROR(__xludf.DUMMYFUNCTION("""COMPUTED_VALUE"""),38.0)</f>
        <v>38</v>
      </c>
      <c r="C659" s="6" t="str">
        <f>IFERROR(__xludf.DUMMYFUNCTION("""COMPUTED_VALUE"""),"Lauren")</f>
        <v>Lauren</v>
      </c>
      <c r="D659" s="6" t="str">
        <f>IFERROR(__xludf.DUMMYFUNCTION("""COMPUTED_VALUE"""),"Jineth")</f>
        <v>Jineth</v>
      </c>
      <c r="E659" s="6" t="str">
        <f>IFERROR(__xludf.DUMMYFUNCTION("""COMPUTED_VALUE"""),"Ramos Rodríguez")</f>
        <v>Ramos Rodríguez</v>
      </c>
      <c r="F659" s="6" t="str">
        <f>IFERROR(__xludf.DUMMYFUNCTION("""COMPUTED_VALUE"""),"Cra 9 No13Nte - 85 - La Castellana")</f>
        <v>Cra 9 No13Nte - 85 - La Castellana</v>
      </c>
      <c r="G659" s="12" t="str">
        <f>IFERROR(__xludf.DUMMYFUNCTION("""COMPUTED_VALUE"""),"2012")</f>
        <v>2012</v>
      </c>
      <c r="H659" s="6" t="str">
        <f>IFERROR(__xludf.DUMMYFUNCTION("""COMPUTED_VALUE"""),"Octubre")</f>
        <v>Octubre</v>
      </c>
      <c r="I659" s="12" t="str">
        <f>IFERROR(__xludf.DUMMYFUNCTION("""COMPUTED_VALUE"""),"12")</f>
        <v>12</v>
      </c>
      <c r="J659" s="6" t="str">
        <f>IFERROR(__xludf.DUMMYFUNCTION("""COMPUTED_VALUE"""),"Armenia")</f>
        <v>Armenia</v>
      </c>
      <c r="K659" s="6" t="str">
        <f>IFERROR(__xludf.DUMMYFUNCTION("""COMPUTED_VALUE"""),"lauren.r2030@gi.edu.co")</f>
        <v>lauren.r2030@gi.edu.co</v>
      </c>
      <c r="L659" s="6" t="str">
        <f>IFERROR(__xludf.DUMMYFUNCTION("""COMPUTED_VALUE"""),"TI")</f>
        <v>TI</v>
      </c>
      <c r="M659" s="6" t="str">
        <f>IFERROR(__xludf.DUMMYFUNCTION("""COMPUTED_VALUE"""),"Armenia")</f>
        <v>Armenia</v>
      </c>
      <c r="N659" s="6" t="str">
        <f>IFERROR(__xludf.DUMMYFUNCTION("""COMPUTED_VALUE"""),"F")</f>
        <v>F</v>
      </c>
      <c r="O659" s="6" t="str">
        <f>IFERROR(__xludf.DUMMYFUNCTION("""COMPUTED_VALUE"""),"ACTIVE")</f>
        <v>ACTIVE</v>
      </c>
      <c r="P659" s="6"/>
      <c r="Q659" s="6" t="str">
        <f>IFERROR(__xludf.DUMMYFUNCTION("""COMPUTED_VALUE"""),"Armenia")</f>
        <v>Armenia</v>
      </c>
      <c r="R659" s="12" t="str">
        <f>IFERROR(__xludf.DUMMYFUNCTION("""COMPUTED_VALUE"""),"Gi5673su2d*")</f>
        <v>Gi5673su2d*</v>
      </c>
      <c r="S659" s="6" t="str">
        <f>IFERROR(__xludf.DUMMYFUNCTION("""COMPUTED_VALUE"""),"Ramos Rodríguez Lauren Jineth")</f>
        <v>Ramos Rodríguez Lauren Jineth</v>
      </c>
      <c r="T659" s="6" t="str">
        <f>IFERROR(__xludf.DUMMYFUNCTION("""COMPUTED_VALUE"""),"ALEXA LILIANA RODRIGUEZ PEDRAZA")</f>
        <v>ALEXA LILIANA RODRIGUEZ PEDRAZA</v>
      </c>
      <c r="U659" s="12" t="str">
        <f>IFERROR(__xludf.DUMMYFUNCTION("""COMPUTED_VALUE"""),"41939476")</f>
        <v>41939476</v>
      </c>
      <c r="V659" s="6">
        <f>IFERROR(__xludf.DUMMYFUNCTION("""COMPUTED_VALUE"""),3.117471446E9)</f>
        <v>3117471446</v>
      </c>
      <c r="W659" s="6" t="str">
        <f>IFERROR(__xludf.DUMMYFUNCTION("""COMPUTED_VALUE"""),"rodriguezalexa920@gmail.com")</f>
        <v>rodriguezalexa920@gmail.com</v>
      </c>
      <c r="X659" s="12" t="str">
        <f>IFERROR(__xludf.DUMMYFUNCTION("""COMPUTED_VALUE"""),"O+")</f>
        <v>O+</v>
      </c>
      <c r="Y659" s="12" t="str">
        <f>IFERROR(__xludf.DUMMYFUNCTION("""COMPUTED_VALUE"""),"9")</f>
        <v>9</v>
      </c>
      <c r="Z659" s="12">
        <f>IFERROR(__xludf.DUMMYFUNCTION("""COMPUTED_VALUE"""),103206.0)</f>
        <v>103206</v>
      </c>
      <c r="AA659" s="6" t="str">
        <f>IFERROR(__xludf.DUMMYFUNCTION("""COMPUTED_VALUE"""),"SURA")</f>
        <v>SURA</v>
      </c>
      <c r="AB659" s="6" t="str">
        <f>IFERROR(__xludf.DUMMYFUNCTION("""COMPUTED_VALUE"""),"Medimas")</f>
        <v>Medimas</v>
      </c>
      <c r="AC659" s="6"/>
      <c r="AD659" s="12" t="str">
        <f>IFERROR(__xludf.DUMMYFUNCTION("""COMPUTED_VALUE"""),"9A")</f>
        <v>9A</v>
      </c>
      <c r="AE659" s="12">
        <f>IFERROR(__xludf.DUMMYFUNCTION("""COMPUTED_VALUE"""),1.345281568E9)</f>
        <v>1345281568</v>
      </c>
      <c r="AF659" s="12" t="str">
        <f>IFERROR(__xludf.DUMMYFUNCTION("""COMPUTED_VALUE"""),"0694938179")</f>
        <v>0694938179</v>
      </c>
      <c r="AG659" s="12" t="str">
        <f>IFERROR(__xludf.DUMMYFUNCTION("""COMPUTED_VALUE"""),"Alexa")</f>
        <v>Alexa</v>
      </c>
      <c r="AH659" s="12" t="str">
        <f>IFERROR(__xludf.DUMMYFUNCTION("""COMPUTED_VALUE"""),"Liliana")</f>
        <v>Liliana</v>
      </c>
      <c r="AI659" s="6" t="str">
        <f>IFERROR(__xludf.DUMMYFUNCTION("""COMPUTED_VALUE"""),"Rodríguez Pedraza")</f>
        <v>Rodríguez Pedraza</v>
      </c>
      <c r="AJ659" s="6" t="str">
        <f>IFERROR(__xludf.DUMMYFUNCTION("""COMPUTED_VALUE"""),"rodriguezalexa920@gmail.com")</f>
        <v>rodriguezalexa920@gmail.com</v>
      </c>
      <c r="AK659" s="6" t="str">
        <f>IFERROR(__xludf.DUMMYFUNCTION("""COMPUTED_VALUE"""),"abogada")</f>
        <v>abogada</v>
      </c>
      <c r="AL659" s="6" t="str">
        <f>IFERROR(__xludf.DUMMYFUNCTION("""COMPUTED_VALUE"""),"comerciante")</f>
        <v>comerciante</v>
      </c>
      <c r="AM659" s="12" t="str">
        <f>IFERROR(__xludf.DUMMYFUNCTION("""COMPUTED_VALUE"""),"41939476")</f>
        <v>41939476</v>
      </c>
      <c r="AN659" s="12" t="str">
        <f>IFERROR(__xludf.DUMMYFUNCTION("""COMPUTED_VALUE"""),"3117471446")</f>
        <v>3117471446</v>
      </c>
      <c r="AO659" s="6" t="str">
        <f>IFERROR(__xludf.DUMMYFUNCTION("""COMPUTED_VALUE"""),"Madre")</f>
        <v>Madre</v>
      </c>
      <c r="AP659" s="6" t="str">
        <f>IFERROR(__xludf.DUMMYFUNCTION("""COMPUTED_VALUE"""),"Estudiante(s): Ramos Rodríguez")</f>
        <v>Estudiante(s): Ramos Rodríguez</v>
      </c>
      <c r="AQ659" s="6" t="str">
        <f>IFERROR(__xludf.DUMMYFUNCTION("""COMPUTED_VALUE"""),"103206*Gi")</f>
        <v>103206*Gi</v>
      </c>
      <c r="AR659" s="6" t="str">
        <f>IFERROR(__xludf.DUMMYFUNCTION("""COMPUTED_VALUE"""),"Narces")</f>
        <v>Narces</v>
      </c>
      <c r="AS659" s="6" t="str">
        <f>IFERROR(__xludf.DUMMYFUNCTION("""COMPUTED_VALUE"""),"Geovanni")</f>
        <v>Geovanni</v>
      </c>
      <c r="AT659" s="6" t="str">
        <f>IFERROR(__xludf.DUMMYFUNCTION("""COMPUTED_VALUE"""),"Ramos  Duque")</f>
        <v>Ramos  Duque</v>
      </c>
      <c r="AU659" s="6" t="str">
        <f>IFERROR(__xludf.DUMMYFUNCTION("""COMPUTED_VALUE"""),"cafevillalauren@gmail.com")</f>
        <v>cafevillalauren@gmail.com</v>
      </c>
      <c r="AV659" s="6" t="str">
        <f>IFERROR(__xludf.DUMMYFUNCTION("""COMPUTED_VALUE"""),"Contador")</f>
        <v>Contador</v>
      </c>
      <c r="AW659" s="6"/>
      <c r="AX659" s="12" t="str">
        <f>IFERROR(__xludf.DUMMYFUNCTION("""COMPUTED_VALUE"""),"9726667")</f>
        <v>9726667</v>
      </c>
      <c r="AY659" s="12" t="str">
        <f>IFERROR(__xludf.DUMMYFUNCTION("""COMPUTED_VALUE"""),"3117112080")</f>
        <v>3117112080</v>
      </c>
      <c r="AZ659" s="6" t="str">
        <f>IFERROR(__xludf.DUMMYFUNCTION("""COMPUTED_VALUE"""),"Padre")</f>
        <v>Padre</v>
      </c>
      <c r="BA659" s="6"/>
      <c r="BB659" s="6"/>
      <c r="BC659" s="6"/>
      <c r="BD659" s="12" t="str">
        <f>IFERROR(__xludf.DUMMYFUNCTION("""COMPUTED_VALUE"""),"ram0013")</f>
        <v>ram0013</v>
      </c>
      <c r="BE659" s="6"/>
      <c r="BF659" s="6"/>
      <c r="BG659" s="6">
        <f>IFERROR(__xludf.DUMMYFUNCTION("""COMPUTED_VALUE"""),2030.0)</f>
        <v>2030</v>
      </c>
      <c r="BH659" s="15">
        <f>IFERROR(__xludf.DUMMYFUNCTION("""COMPUTED_VALUE"""),46208.843194444446)</f>
        <v>46208.84319</v>
      </c>
      <c r="BI659" s="6">
        <f>IFERROR(__xludf.DUMMYFUNCTION("""COMPUTED_VALUE"""),660.0)</f>
        <v>660</v>
      </c>
      <c r="BJ659" s="6"/>
      <c r="BK659" s="6"/>
      <c r="BL659" s="6" t="str">
        <f>IFERROR(__xludf.DUMMYFUNCTION("""COMPUTED_VALUE"""),"GISRAM0013")</f>
        <v>GISRAM0013</v>
      </c>
      <c r="BM659" s="6"/>
      <c r="BN659" s="6"/>
      <c r="BO659" s="6"/>
      <c r="BP659" s="6"/>
      <c r="BQ659" s="6"/>
      <c r="BR659" s="6"/>
      <c r="BS659" s="6"/>
      <c r="BT659" s="6"/>
      <c r="BU659" s="6" t="str">
        <f>IFERROR(__xludf.DUMMYFUNCTION("""COMPUTED_VALUE"""),"SI")</f>
        <v>SI</v>
      </c>
      <c r="BV659" s="6" t="str">
        <f>IFERROR(__xludf.DUMMYFUNCTION("""COMPUTED_VALUE"""),"lauren.r2030")</f>
        <v>lauren.r2030</v>
      </c>
      <c r="BW659" s="6"/>
      <c r="BX659" s="6"/>
      <c r="BY659" s="6"/>
      <c r="BZ659" s="6"/>
    </row>
    <row r="660">
      <c r="A660" s="12">
        <f>IFERROR(__xludf.DUMMYFUNCTION("""COMPUTED_VALUE"""),1.082980439E9)</f>
        <v>1082980439</v>
      </c>
      <c r="B660" s="6">
        <f>IFERROR(__xludf.DUMMYFUNCTION("""COMPUTED_VALUE"""),39.0)</f>
        <v>39</v>
      </c>
      <c r="C660" s="6" t="str">
        <f>IFERROR(__xludf.DUMMYFUNCTION("""COMPUTED_VALUE"""),"Molly")</f>
        <v>Molly</v>
      </c>
      <c r="D660" s="6"/>
      <c r="E660" s="6" t="str">
        <f>IFERROR(__xludf.DUMMYFUNCTION("""COMPUTED_VALUE"""),"Roberts Perdomo")</f>
        <v>Roberts Perdomo</v>
      </c>
      <c r="F660" s="6" t="str">
        <f>IFERROR(__xludf.DUMMYFUNCTION("""COMPUTED_VALUE"""),"Conjunto Angeles del Bosque Casa 25 Km 8 Via Pereira")</f>
        <v>Conjunto Angeles del Bosque Casa 25 Km 8 Via Pereira</v>
      </c>
      <c r="G660" s="12" t="str">
        <f>IFERROR(__xludf.DUMMYFUNCTION("""COMPUTED_VALUE"""),"2012")</f>
        <v>2012</v>
      </c>
      <c r="H660" s="6" t="str">
        <f>IFERROR(__xludf.DUMMYFUNCTION("""COMPUTED_VALUE"""),"Febrero")</f>
        <v>Febrero</v>
      </c>
      <c r="I660" s="12" t="str">
        <f>IFERROR(__xludf.DUMMYFUNCTION("""COMPUTED_VALUE"""),"28")</f>
        <v>28</v>
      </c>
      <c r="J660" s="6" t="str">
        <f>IFERROR(__xludf.DUMMYFUNCTION("""COMPUTED_VALUE"""),"Santa Marta")</f>
        <v>Santa Marta</v>
      </c>
      <c r="K660" s="6" t="str">
        <f>IFERROR(__xludf.DUMMYFUNCTION("""COMPUTED_VALUE"""),"molly.r2030@gi.edu.co")</f>
        <v>molly.r2030@gi.edu.co</v>
      </c>
      <c r="L660" s="6" t="str">
        <f>IFERROR(__xludf.DUMMYFUNCTION("""COMPUTED_VALUE"""),"TI")</f>
        <v>TI</v>
      </c>
      <c r="M660" s="6" t="str">
        <f>IFERROR(__xludf.DUMMYFUNCTION("""COMPUTED_VALUE"""),"Armenia")</f>
        <v>Armenia</v>
      </c>
      <c r="N660" s="6" t="str">
        <f>IFERROR(__xludf.DUMMYFUNCTION("""COMPUTED_VALUE"""),"F")</f>
        <v>F</v>
      </c>
      <c r="O660" s="6" t="str">
        <f>IFERROR(__xludf.DUMMYFUNCTION("""COMPUTED_VALUE"""),"ACTIVE")</f>
        <v>ACTIVE</v>
      </c>
      <c r="P660" s="6"/>
      <c r="Q660" s="6" t="str">
        <f>IFERROR(__xludf.DUMMYFUNCTION("""COMPUTED_VALUE"""),"Circasia")</f>
        <v>Circasia</v>
      </c>
      <c r="R660" s="6" t="str">
        <f>IFERROR(__xludf.DUMMYFUNCTION("""COMPUTED_VALUE"""),"Gier23sfs*")</f>
        <v>Gier23sfs*</v>
      </c>
      <c r="S660" s="6" t="str">
        <f>IFERROR(__xludf.DUMMYFUNCTION("""COMPUTED_VALUE"""),"Roberts Perdomo Molly ")</f>
        <v>Roberts Perdomo Molly </v>
      </c>
      <c r="T660" s="6" t="str">
        <f>IFERROR(__xludf.DUMMYFUNCTION("""COMPUTED_VALUE"""),"ANDREW PETER ROBERTS")</f>
        <v>ANDREW PETER ROBERTS</v>
      </c>
      <c r="U660" s="12" t="str">
        <f>IFERROR(__xludf.DUMMYFUNCTION("""COMPUTED_VALUE"""),"317564")</f>
        <v>317564</v>
      </c>
      <c r="V660" s="6">
        <f>IFERROR(__xludf.DUMMYFUNCTION("""COMPUTED_VALUE"""),3.114034076E9)</f>
        <v>3114034076</v>
      </c>
      <c r="W660" s="6" t="str">
        <f>IFERROR(__xludf.DUMMYFUNCTION("""COMPUTED_VALUE"""),"andrewpfr@gmail.com")</f>
        <v>andrewpfr@gmail.com</v>
      </c>
      <c r="X660" s="12" t="str">
        <f>IFERROR(__xludf.DUMMYFUNCTION("""COMPUTED_VALUE"""),"O+")</f>
        <v>O+</v>
      </c>
      <c r="Y660" s="12" t="str">
        <f>IFERROR(__xludf.DUMMYFUNCTION("""COMPUTED_VALUE"""),"9")</f>
        <v>9</v>
      </c>
      <c r="Z660" s="12">
        <f>IFERROR(__xludf.DUMMYFUNCTION("""COMPUTED_VALUE"""),103668.0)</f>
        <v>103668</v>
      </c>
      <c r="AA660" s="6" t="str">
        <f>IFERROR(__xludf.DUMMYFUNCTION("""COMPUTED_VALUE"""),"COLMEDICA")</f>
        <v>COLMEDICA</v>
      </c>
      <c r="AB660" s="6"/>
      <c r="AC660" s="12" t="str">
        <f>IFERROR(__xludf.DUMMYFUNCTION("""COMPUTED_VALUE"""),"Polen, polvo")</f>
        <v>Polen, polvo</v>
      </c>
      <c r="AD660" s="12" t="str">
        <f>IFERROR(__xludf.DUMMYFUNCTION("""COMPUTED_VALUE"""),"9A")</f>
        <v>9A</v>
      </c>
      <c r="AE660" s="12">
        <f>IFERROR(__xludf.DUMMYFUNCTION("""COMPUTED_VALUE"""),1.345281827E9)</f>
        <v>1345281827</v>
      </c>
      <c r="AF660" s="12" t="str">
        <f>IFERROR(__xludf.DUMMYFUNCTION("""COMPUTED_VALUE"""),"0691963923")</f>
        <v>0691963923</v>
      </c>
      <c r="AG660" s="12" t="str">
        <f>IFERROR(__xludf.DUMMYFUNCTION("""COMPUTED_VALUE"""),"Edna")</f>
        <v>Edna</v>
      </c>
      <c r="AH660" s="12" t="str">
        <f>IFERROR(__xludf.DUMMYFUNCTION("""COMPUTED_VALUE"""),"Liceth")</f>
        <v>Liceth</v>
      </c>
      <c r="AI660" s="6" t="str">
        <f>IFERROR(__xludf.DUMMYFUNCTION("""COMPUTED_VALUE"""),"Perdomo Orozco")</f>
        <v>Perdomo Orozco</v>
      </c>
      <c r="AJ660" s="6" t="str">
        <f>IFERROR(__xludf.DUMMYFUNCTION("""COMPUTED_VALUE"""),"ednaperdomo@gmail.com")</f>
        <v>ednaperdomo@gmail.com</v>
      </c>
      <c r="AK660" s="6" t="str">
        <f>IFERROR(__xludf.DUMMYFUNCTION("""COMPUTED_VALUE"""),"Docente")</f>
        <v>Docente</v>
      </c>
      <c r="AL660" s="6" t="str">
        <f>IFERROR(__xludf.DUMMYFUNCTION("""COMPUTED_VALUE"""),"Fundacion Gimnasio Ingles de Armenia")</f>
        <v>Fundacion Gimnasio Ingles de Armenia</v>
      </c>
      <c r="AM660" s="12" t="str">
        <f>IFERROR(__xludf.DUMMYFUNCTION("""COMPUTED_VALUE"""),"55176890")</f>
        <v>55176890</v>
      </c>
      <c r="AN660" s="12" t="str">
        <f>IFERROR(__xludf.DUMMYFUNCTION("""COMPUTED_VALUE"""),"3135323832")</f>
        <v>3135323832</v>
      </c>
      <c r="AO660" s="6" t="str">
        <f>IFERROR(__xludf.DUMMYFUNCTION("""COMPUTED_VALUE"""),"Madre")</f>
        <v>Madre</v>
      </c>
      <c r="AP660" s="6" t="str">
        <f>IFERROR(__xludf.DUMMYFUNCTION("""COMPUTED_VALUE"""),"Estudiante(s): Roberts Perdomo")</f>
        <v>Estudiante(s): Roberts Perdomo</v>
      </c>
      <c r="AQ660" s="6" t="str">
        <f>IFERROR(__xludf.DUMMYFUNCTION("""COMPUTED_VALUE"""),"103668*Gi")</f>
        <v>103668*Gi</v>
      </c>
      <c r="AR660" s="6" t="str">
        <f>IFERROR(__xludf.DUMMYFUNCTION("""COMPUTED_VALUE"""),"Andrew")</f>
        <v>Andrew</v>
      </c>
      <c r="AS660" s="6" t="str">
        <f>IFERROR(__xludf.DUMMYFUNCTION("""COMPUTED_VALUE"""),"Peter")</f>
        <v>Peter</v>
      </c>
      <c r="AT660" s="6" t="str">
        <f>IFERROR(__xludf.DUMMYFUNCTION("""COMPUTED_VALUE"""),"Roberts")</f>
        <v>Roberts</v>
      </c>
      <c r="AU660" s="6" t="str">
        <f>IFERROR(__xludf.DUMMYFUNCTION("""COMPUTED_VALUE"""),"andrewpfr@gmail.com")</f>
        <v>andrewpfr@gmail.com</v>
      </c>
      <c r="AV660" s="6" t="str">
        <f>IFERROR(__xludf.DUMMYFUNCTION("""COMPUTED_VALUE"""),"EDUCADOR")</f>
        <v>EDUCADOR</v>
      </c>
      <c r="AW660" s="6" t="str">
        <f>IFERROR(__xludf.DUMMYFUNCTION("""COMPUTED_VALUE"""),"GI SCHOOL")</f>
        <v>GI SCHOOL</v>
      </c>
      <c r="AX660" s="12" t="str">
        <f>IFERROR(__xludf.DUMMYFUNCTION("""COMPUTED_VALUE"""),"317564")</f>
        <v>317564</v>
      </c>
      <c r="AY660" s="12" t="str">
        <f>IFERROR(__xludf.DUMMYFUNCTION("""COMPUTED_VALUE"""),"3114034076")</f>
        <v>3114034076</v>
      </c>
      <c r="AZ660" s="6" t="str">
        <f>IFERROR(__xludf.DUMMYFUNCTION("""COMPUTED_VALUE"""),"Padre")</f>
        <v>Padre</v>
      </c>
      <c r="BA660" s="6"/>
      <c r="BB660" s="6"/>
      <c r="BC660" s="6"/>
      <c r="BD660" s="12" t="str">
        <f>IFERROR(__xludf.DUMMYFUNCTION("""COMPUTED_VALUE"""),"rob0001")</f>
        <v>rob0001</v>
      </c>
      <c r="BE660" s="6"/>
      <c r="BF660" s="12" t="str">
        <f>IFERROR(__xludf.DUMMYFUNCTION("""COMPUTED_VALUE"""),"PROMOVIDO")</f>
        <v>PROMOVIDO</v>
      </c>
      <c r="BG660" s="6">
        <f>IFERROR(__xludf.DUMMYFUNCTION("""COMPUTED_VALUE"""),2030.0)</f>
        <v>2030</v>
      </c>
      <c r="BH660" s="15">
        <f>IFERROR(__xludf.DUMMYFUNCTION("""COMPUTED_VALUE"""),46210.51527777778)</f>
        <v>46210.51528</v>
      </c>
      <c r="BI660" s="6">
        <f>IFERROR(__xludf.DUMMYFUNCTION("""COMPUTED_VALUE"""),661.0)</f>
        <v>661</v>
      </c>
      <c r="BJ660" s="6"/>
      <c r="BK660" s="6"/>
      <c r="BL660" s="6" t="str">
        <f>IFERROR(__xludf.DUMMYFUNCTION("""COMPUTED_VALUE"""),"GISROB0001")</f>
        <v>GISROB0001</v>
      </c>
      <c r="BM660" s="6"/>
      <c r="BN660" s="6"/>
      <c r="BO660" s="6" t="str">
        <f>IFERROR(__xludf.DUMMYFUNCTION("""COMPUTED_VALUE"""),"XC_SEC_Futbol_F")</f>
        <v>XC_SEC_Futbol_F</v>
      </c>
      <c r="BP660" s="6"/>
      <c r="BQ660" s="6" t="str">
        <f>IFERROR(__xludf.DUMMYFUNCTION("""COMPUTED_VALUE"""),"XC_SEC_Futbol_F")</f>
        <v>XC_SEC_Futbol_F</v>
      </c>
      <c r="BR660" s="6" t="str">
        <f>IFERROR(__xludf.DUMMYFUNCTION("""COMPUTED_VALUE"""),"XC_SEC_Futbol_F")</f>
        <v>XC_SEC_Futbol_F</v>
      </c>
      <c r="BS660" s="6" t="str">
        <f>IFERROR(__xludf.DUMMYFUNCTION("""COMPUTED_VALUE"""),"XC_HS_BandaInside")</f>
        <v>XC_HS_BandaInside</v>
      </c>
      <c r="BT660" s="6" t="str">
        <f>IFERROR(__xludf.DUMMYFUNCTION("""COMPUTED_VALUE"""),"XC_SEC_Futbol_F")</f>
        <v>XC_SEC_Futbol_F</v>
      </c>
      <c r="BU660" s="6" t="str">
        <f>IFERROR(__xludf.DUMMYFUNCTION("""COMPUTED_VALUE"""),"SI")</f>
        <v>SI</v>
      </c>
      <c r="BV660" s="6" t="str">
        <f>IFERROR(__xludf.DUMMYFUNCTION("""COMPUTED_VALUE"""),"molly.r2030")</f>
        <v>molly.r2030</v>
      </c>
      <c r="BW660" s="6"/>
      <c r="BX660" s="6"/>
      <c r="BY660" s="6"/>
      <c r="BZ660" s="6"/>
    </row>
    <row r="661">
      <c r="A661" s="12">
        <f>IFERROR(__xludf.DUMMYFUNCTION("""COMPUTED_VALUE"""),1.090277564E9)</f>
        <v>1090277564</v>
      </c>
      <c r="B661" s="6">
        <f>IFERROR(__xludf.DUMMYFUNCTION("""COMPUTED_VALUE"""),40.0)</f>
        <v>40</v>
      </c>
      <c r="C661" s="6" t="str">
        <f>IFERROR(__xludf.DUMMYFUNCTION("""COMPUTED_VALUE"""),"Thomas")</f>
        <v>Thomas</v>
      </c>
      <c r="D661" s="6"/>
      <c r="E661" s="6" t="str">
        <f>IFERROR(__xludf.DUMMYFUNCTION("""COMPUTED_VALUE"""),"Rodríguez Arboleda")</f>
        <v>Rodríguez Arboleda</v>
      </c>
      <c r="F661" s="6" t="str">
        <f>IFERROR(__xludf.DUMMYFUNCTION("""COMPUTED_VALUE"""),"Bosque Residencial La Pradera Casa 11 - Cra 6 No50Nte - 1 Av Centenario")</f>
        <v>Bosque Residencial La Pradera Casa 11 - Cra 6 No50Nte - 1 Av Centenario</v>
      </c>
      <c r="G661" s="12" t="str">
        <f>IFERROR(__xludf.DUMMYFUNCTION("""COMPUTED_VALUE"""),"2011")</f>
        <v>2011</v>
      </c>
      <c r="H661" s="6" t="str">
        <f>IFERROR(__xludf.DUMMYFUNCTION("""COMPUTED_VALUE"""),"Noviembre")</f>
        <v>Noviembre</v>
      </c>
      <c r="I661" s="12" t="str">
        <f>IFERROR(__xludf.DUMMYFUNCTION("""COMPUTED_VALUE"""),"24")</f>
        <v>24</v>
      </c>
      <c r="J661" s="6" t="str">
        <f>IFERROR(__xludf.DUMMYFUNCTION("""COMPUTED_VALUE"""),"Armenia")</f>
        <v>Armenia</v>
      </c>
      <c r="K661" s="6" t="str">
        <f>IFERROR(__xludf.DUMMYFUNCTION("""COMPUTED_VALUE"""),"thomas.r2030@gi.edu.co")</f>
        <v>thomas.r2030@gi.edu.co</v>
      </c>
      <c r="L661" s="6" t="str">
        <f>IFERROR(__xludf.DUMMYFUNCTION("""COMPUTED_VALUE"""),"TI")</f>
        <v>TI</v>
      </c>
      <c r="M661" s="6" t="str">
        <f>IFERROR(__xludf.DUMMYFUNCTION("""COMPUTED_VALUE"""),"Armenia")</f>
        <v>Armenia</v>
      </c>
      <c r="N661" s="6" t="str">
        <f>IFERROR(__xludf.DUMMYFUNCTION("""COMPUTED_VALUE"""),"M")</f>
        <v>M</v>
      </c>
      <c r="O661" s="6" t="str">
        <f>IFERROR(__xludf.DUMMYFUNCTION("""COMPUTED_VALUE"""),"INACTIVE")</f>
        <v>INACTIVE</v>
      </c>
      <c r="P661" s="6"/>
      <c r="Q661" s="6" t="str">
        <f>IFERROR(__xludf.DUMMYFUNCTION("""COMPUTED_VALUE"""),"Armenia")</f>
        <v>Armenia</v>
      </c>
      <c r="R661" s="12" t="str">
        <f>IFERROR(__xludf.DUMMYFUNCTION("""COMPUTED_VALUE"""),"Gi4354tr5u*")</f>
        <v>Gi4354tr5u*</v>
      </c>
      <c r="S661" s="6" t="str">
        <f>IFERROR(__xludf.DUMMYFUNCTION("""COMPUTED_VALUE"""),"Rodríguez Arboleda Thomas ")</f>
        <v>Rodríguez Arboleda Thomas </v>
      </c>
      <c r="T661" s="6" t="str">
        <f>IFERROR(__xludf.DUMMYFUNCTION("""COMPUTED_VALUE"""),"YOANNY RODRIGUEZ JIMENEZ")</f>
        <v>YOANNY RODRIGUEZ JIMENEZ</v>
      </c>
      <c r="U661" s="12" t="str">
        <f>IFERROR(__xludf.DUMMYFUNCTION("""COMPUTED_VALUE"""),"9726645")</f>
        <v>9726645</v>
      </c>
      <c r="V661" s="6">
        <f>IFERROR(__xludf.DUMMYFUNCTION("""COMPUTED_VALUE"""),3.113344379E9)</f>
        <v>3113344379</v>
      </c>
      <c r="W661" s="6" t="str">
        <f>IFERROR(__xludf.DUMMYFUNCTION("""COMPUTED_VALUE"""),"yoannyrj@gmail.com")</f>
        <v>yoannyrj@gmail.com</v>
      </c>
      <c r="X661" s="12" t="str">
        <f>IFERROR(__xludf.DUMMYFUNCTION("""COMPUTED_VALUE"""),"O+")</f>
        <v>O+</v>
      </c>
      <c r="Y661" s="12" t="str">
        <f>IFERROR(__xludf.DUMMYFUNCTION("""COMPUTED_VALUE"""),"9")</f>
        <v>9</v>
      </c>
      <c r="Z661" s="12">
        <f>IFERROR(__xludf.DUMMYFUNCTION("""COMPUTED_VALUE"""),103118.0)</f>
        <v>103118</v>
      </c>
      <c r="AA661" s="6" t="str">
        <f>IFERROR(__xludf.DUMMYFUNCTION("""COMPUTED_VALUE"""),"SURA")</f>
        <v>SURA</v>
      </c>
      <c r="AB661" s="6" t="str">
        <f>IFERROR(__xludf.DUMMYFUNCTION("""COMPUTED_VALUE"""),"EMI- POLIZA SURAMERICANA")</f>
        <v>EMI- POLIZA SURAMERICANA</v>
      </c>
      <c r="AC661" s="6"/>
      <c r="AD661" s="12" t="str">
        <f>IFERROR(__xludf.DUMMYFUNCTION("""COMPUTED_VALUE"""),"9B")</f>
        <v>9B</v>
      </c>
      <c r="AE661" s="12">
        <f>IFERROR(__xludf.DUMMYFUNCTION("""COMPUTED_VALUE"""),1.345281522E9)</f>
        <v>1345281522</v>
      </c>
      <c r="AF661" s="12" t="str">
        <f>IFERROR(__xludf.DUMMYFUNCTION("""COMPUTED_VALUE"""),"0691609507")</f>
        <v>0691609507</v>
      </c>
      <c r="AG661" s="12" t="str">
        <f>IFERROR(__xludf.DUMMYFUNCTION("""COMPUTED_VALUE"""),"Ángela")</f>
        <v>Ángela</v>
      </c>
      <c r="AH661" s="12" t="str">
        <f>IFERROR(__xludf.DUMMYFUNCTION("""COMPUTED_VALUE"""),"María")</f>
        <v>María</v>
      </c>
      <c r="AI661" s="6" t="str">
        <f>IFERROR(__xludf.DUMMYFUNCTION("""COMPUTED_VALUE"""),"Arboleda Castaño")</f>
        <v>Arboleda Castaño</v>
      </c>
      <c r="AJ661" s="6" t="str">
        <f>IFERROR(__xludf.DUMMYFUNCTION("""COMPUTED_VALUE"""),"angierj1005@gmail.com")</f>
        <v>angierj1005@gmail.com</v>
      </c>
      <c r="AK661" s="6" t="str">
        <f>IFERROR(__xludf.DUMMYFUNCTION("""COMPUTED_VALUE"""),"ing electronica")</f>
        <v>ing electronica</v>
      </c>
      <c r="AL661" s="6" t="str">
        <f>IFERROR(__xludf.DUMMYFUNCTION("""COMPUTED_VALUE"""),"ATYSHOP SAS")</f>
        <v>ATYSHOP SAS</v>
      </c>
      <c r="AM661" s="12" t="str">
        <f>IFERROR(__xludf.DUMMYFUNCTION("""COMPUTED_VALUE"""),"1094881860")</f>
        <v>1094881860</v>
      </c>
      <c r="AN661" s="12" t="str">
        <f>IFERROR(__xludf.DUMMYFUNCTION("""COMPUTED_VALUE"""),"3127727942")</f>
        <v>3127727942</v>
      </c>
      <c r="AO661" s="6" t="str">
        <f>IFERROR(__xludf.DUMMYFUNCTION("""COMPUTED_VALUE"""),"Madre")</f>
        <v>Madre</v>
      </c>
      <c r="AP661" s="6" t="str">
        <f>IFERROR(__xludf.DUMMYFUNCTION("""COMPUTED_VALUE"""),"Estudiante(s): Rodríguez Arboleda")</f>
        <v>Estudiante(s): Rodríguez Arboleda</v>
      </c>
      <c r="AQ661" s="6" t="str">
        <f>IFERROR(__xludf.DUMMYFUNCTION("""COMPUTED_VALUE"""),"103118*Gi")</f>
        <v>103118*Gi</v>
      </c>
      <c r="AR661" s="6" t="str">
        <f>IFERROR(__xludf.DUMMYFUNCTION("""COMPUTED_VALUE"""),"Yoanny")</f>
        <v>Yoanny</v>
      </c>
      <c r="AS661" s="6"/>
      <c r="AT661" s="6" t="str">
        <f>IFERROR(__xludf.DUMMYFUNCTION("""COMPUTED_VALUE"""),"Rodríguez Jiménez")</f>
        <v>Rodríguez Jiménez</v>
      </c>
      <c r="AU661" s="6" t="str">
        <f>IFERROR(__xludf.DUMMYFUNCTION("""COMPUTED_VALUE"""),"yoannyrj@gmail.com")</f>
        <v>yoannyrj@gmail.com</v>
      </c>
      <c r="AV661" s="6" t="str">
        <f>IFERROR(__xludf.DUMMYFUNCTION("""COMPUTED_VALUE"""),"Adm. de Empresas")</f>
        <v>Adm. de Empresas</v>
      </c>
      <c r="AW661" s="6" t="str">
        <f>IFERROR(__xludf.DUMMYFUNCTION("""COMPUTED_VALUE"""),"innova arquitectura e inmobiliaria SAS")</f>
        <v>innova arquitectura e inmobiliaria SAS</v>
      </c>
      <c r="AX661" s="12" t="str">
        <f>IFERROR(__xludf.DUMMYFUNCTION("""COMPUTED_VALUE"""),"9726645")</f>
        <v>9726645</v>
      </c>
      <c r="AY661" s="12" t="str">
        <f>IFERROR(__xludf.DUMMYFUNCTION("""COMPUTED_VALUE"""),"3113344379")</f>
        <v>3113344379</v>
      </c>
      <c r="AZ661" s="6" t="str">
        <f>IFERROR(__xludf.DUMMYFUNCTION("""COMPUTED_VALUE"""),"Padre")</f>
        <v>Padre</v>
      </c>
      <c r="BA661" s="6"/>
      <c r="BB661" s="6"/>
      <c r="BC661" s="6"/>
      <c r="BD661" s="12" t="str">
        <f>IFERROR(__xludf.DUMMYFUNCTION("""COMPUTED_VALUE"""),"rod0011")</f>
        <v>rod0011</v>
      </c>
      <c r="BE661" s="6" t="str">
        <f>IFERROR(__xludf.DUMMYFUNCTION("""COMPUTED_VALUE"""),"FALTAN FIRMAS")</f>
        <v>FALTAN FIRMAS</v>
      </c>
      <c r="BF661" s="6"/>
      <c r="BG661" s="6">
        <f>IFERROR(__xludf.DUMMYFUNCTION("""COMPUTED_VALUE"""),2030.0)</f>
        <v>2030</v>
      </c>
      <c r="BH661" s="15">
        <f>IFERROR(__xludf.DUMMYFUNCTION("""COMPUTED_VALUE"""),46213.715416666666)</f>
        <v>46213.71542</v>
      </c>
      <c r="BI661" s="6">
        <f>IFERROR(__xludf.DUMMYFUNCTION("""COMPUTED_VALUE"""),662.0)</f>
        <v>662</v>
      </c>
      <c r="BJ661" s="6"/>
      <c r="BK661" s="6"/>
      <c r="BL661" s="6" t="str">
        <f>IFERROR(__xludf.DUMMYFUNCTION("""COMPUTED_VALUE"""),"GISROD0011")</f>
        <v>GISROD0011</v>
      </c>
      <c r="BM661" s="6"/>
      <c r="BN661" s="6"/>
      <c r="BO661" s="6"/>
      <c r="BP661" s="6"/>
      <c r="BQ661" s="6"/>
      <c r="BR661" s="6"/>
      <c r="BS661" s="6"/>
      <c r="BT661" s="6"/>
      <c r="BU661" s="6" t="str">
        <f>IFERROR(__xludf.DUMMYFUNCTION("""COMPUTED_VALUE"""),"SI")</f>
        <v>SI</v>
      </c>
      <c r="BV661" s="6" t="str">
        <f>IFERROR(__xludf.DUMMYFUNCTION("""COMPUTED_VALUE"""),"thomas.r2030")</f>
        <v>thomas.r2030</v>
      </c>
      <c r="BW661" s="6"/>
      <c r="BX661" s="6"/>
      <c r="BY661" s="6"/>
      <c r="BZ661" s="6"/>
    </row>
    <row r="662">
      <c r="A662" s="12">
        <f>IFERROR(__xludf.DUMMYFUNCTION("""COMPUTED_VALUE"""),1.092856246E9)</f>
        <v>1092856246</v>
      </c>
      <c r="B662" s="6">
        <f>IFERROR(__xludf.DUMMYFUNCTION("""COMPUTED_VALUE"""),41.0)</f>
        <v>41</v>
      </c>
      <c r="C662" s="6" t="str">
        <f>IFERROR(__xludf.DUMMYFUNCTION("""COMPUTED_VALUE"""),"María")</f>
        <v>María</v>
      </c>
      <c r="D662" s="6" t="str">
        <f>IFERROR(__xludf.DUMMYFUNCTION("""COMPUTED_VALUE"""),"José")</f>
        <v>José</v>
      </c>
      <c r="E662" s="6" t="str">
        <f>IFERROR(__xludf.DUMMYFUNCTION("""COMPUTED_VALUE"""),"Rojas Pérez")</f>
        <v>Rojas Pérez</v>
      </c>
      <c r="F662" s="6" t="str">
        <f>IFERROR(__xludf.DUMMYFUNCTION("""COMPUTED_VALUE"""),"Netania Casa 4 - Calle 19Nte No10 - 42 COINCA")</f>
        <v>Netania Casa 4 - Calle 19Nte No10 - 42 COINCA</v>
      </c>
      <c r="G662" s="12" t="str">
        <f>IFERROR(__xludf.DUMMYFUNCTION("""COMPUTED_VALUE"""),"2012")</f>
        <v>2012</v>
      </c>
      <c r="H662" s="6" t="str">
        <f>IFERROR(__xludf.DUMMYFUNCTION("""COMPUTED_VALUE"""),"Agosto")</f>
        <v>Agosto</v>
      </c>
      <c r="I662" s="12" t="str">
        <f>IFERROR(__xludf.DUMMYFUNCTION("""COMPUTED_VALUE"""),"27")</f>
        <v>27</v>
      </c>
      <c r="J662" s="6" t="str">
        <f>IFERROR(__xludf.DUMMYFUNCTION("""COMPUTED_VALUE"""),"Armenia")</f>
        <v>Armenia</v>
      </c>
      <c r="K662" s="6" t="str">
        <f>IFERROR(__xludf.DUMMYFUNCTION("""COMPUTED_VALUE"""),"mariaj.r2030@gi.edu.co")</f>
        <v>mariaj.r2030@gi.edu.co</v>
      </c>
      <c r="L662" s="6" t="str">
        <f>IFERROR(__xludf.DUMMYFUNCTION("""COMPUTED_VALUE"""),"TI")</f>
        <v>TI</v>
      </c>
      <c r="M662" s="6" t="str">
        <f>IFERROR(__xludf.DUMMYFUNCTION("""COMPUTED_VALUE"""),"Armenia")</f>
        <v>Armenia</v>
      </c>
      <c r="N662" s="6" t="str">
        <f>IFERROR(__xludf.DUMMYFUNCTION("""COMPUTED_VALUE"""),"F")</f>
        <v>F</v>
      </c>
      <c r="O662" s="6" t="str">
        <f>IFERROR(__xludf.DUMMYFUNCTION("""COMPUTED_VALUE"""),"ACTIVE")</f>
        <v>ACTIVE</v>
      </c>
      <c r="P662" s="6"/>
      <c r="Q662" s="6" t="str">
        <f>IFERROR(__xludf.DUMMYFUNCTION("""COMPUTED_VALUE"""),"Armenia")</f>
        <v>Armenia</v>
      </c>
      <c r="R662" s="12" t="str">
        <f>IFERROR(__xludf.DUMMYFUNCTION("""COMPUTED_VALUE"""),"Gikplmn199*")</f>
        <v>Gikplmn199*</v>
      </c>
      <c r="S662" s="6" t="str">
        <f>IFERROR(__xludf.DUMMYFUNCTION("""COMPUTED_VALUE"""),"Rojas Pérez María José")</f>
        <v>Rojas Pérez María José</v>
      </c>
      <c r="T662" s="6" t="str">
        <f>IFERROR(__xludf.DUMMYFUNCTION("""COMPUTED_VALUE"""),"DAVID CARLOS ROJAS OSPINA")</f>
        <v>DAVID CARLOS ROJAS OSPINA</v>
      </c>
      <c r="U662" s="12" t="str">
        <f>IFERROR(__xludf.DUMMYFUNCTION("""COMPUTED_VALUE"""),"16685292")</f>
        <v>16685292</v>
      </c>
      <c r="V662" s="6">
        <f>IFERROR(__xludf.DUMMYFUNCTION("""COMPUTED_VALUE"""),3.113334733E9)</f>
        <v>3113334733</v>
      </c>
      <c r="W662" s="6" t="str">
        <f>IFERROR(__xludf.DUMMYFUNCTION("""COMPUTED_VALUE"""),"dacrolomb@yahoo.com")</f>
        <v>dacrolomb@yahoo.com</v>
      </c>
      <c r="X662" s="12" t="str">
        <f>IFERROR(__xludf.DUMMYFUNCTION("""COMPUTED_VALUE"""),"O+")</f>
        <v>O+</v>
      </c>
      <c r="Y662" s="12" t="str">
        <f>IFERROR(__xludf.DUMMYFUNCTION("""COMPUTED_VALUE"""),"9")</f>
        <v>9</v>
      </c>
      <c r="Z662" s="12">
        <f>IFERROR(__xludf.DUMMYFUNCTION("""COMPUTED_VALUE"""),103230.0)</f>
        <v>103230</v>
      </c>
      <c r="AA662" s="6" t="str">
        <f>IFERROR(__xludf.DUMMYFUNCTION("""COMPUTED_VALUE"""),"SANITAS")</f>
        <v>SANITAS</v>
      </c>
      <c r="AB662" s="6" t="str">
        <f>IFERROR(__xludf.DUMMYFUNCTION("""COMPUTED_VALUE"""),"No")</f>
        <v>No</v>
      </c>
      <c r="AC662" s="12" t="str">
        <f>IFERROR(__xludf.DUMMYFUNCTION("""COMPUTED_VALUE"""),"Conservantes artificiales")</f>
        <v>Conservantes artificiales</v>
      </c>
      <c r="AD662" s="12" t="str">
        <f>IFERROR(__xludf.DUMMYFUNCTION("""COMPUTED_VALUE"""),"9B")</f>
        <v>9B</v>
      </c>
      <c r="AE662" s="12">
        <f>IFERROR(__xludf.DUMMYFUNCTION("""COMPUTED_VALUE"""),1.345281584E9)</f>
        <v>1345281584</v>
      </c>
      <c r="AF662" s="12" t="str">
        <f>IFERROR(__xludf.DUMMYFUNCTION("""COMPUTED_VALUE"""),"0696550819")</f>
        <v>0696550819</v>
      </c>
      <c r="AG662" s="12" t="str">
        <f>IFERROR(__xludf.DUMMYFUNCTION("""COMPUTED_VALUE"""),"Paola")</f>
        <v>Paola</v>
      </c>
      <c r="AH662" s="12" t="str">
        <f>IFERROR(__xludf.DUMMYFUNCTION("""COMPUTED_VALUE"""),"Andrea")</f>
        <v>Andrea</v>
      </c>
      <c r="AI662" s="6" t="str">
        <f>IFERROR(__xludf.DUMMYFUNCTION("""COMPUTED_VALUE"""),"Perez Londoño")</f>
        <v>Perez Londoño</v>
      </c>
      <c r="AJ662" s="6" t="str">
        <f>IFERROR(__xludf.DUMMYFUNCTION("""COMPUTED_VALUE"""),"paoperez1412@gmail.com")</f>
        <v>paoperez1412@gmail.com</v>
      </c>
      <c r="AK662" s="6" t="str">
        <f>IFERROR(__xludf.DUMMYFUNCTION("""COMPUTED_VALUE"""),"Ing de Alimentos")</f>
        <v>Ing de Alimentos</v>
      </c>
      <c r="AL662" s="6"/>
      <c r="AM662" s="12" t="str">
        <f>IFERROR(__xludf.DUMMYFUNCTION("""COMPUTED_VALUE"""),"52054801")</f>
        <v>52054801</v>
      </c>
      <c r="AN662" s="12" t="str">
        <f>IFERROR(__xludf.DUMMYFUNCTION("""COMPUTED_VALUE"""),"3014254162")</f>
        <v>3014254162</v>
      </c>
      <c r="AO662" s="6" t="str">
        <f>IFERROR(__xludf.DUMMYFUNCTION("""COMPUTED_VALUE"""),"Madre")</f>
        <v>Madre</v>
      </c>
      <c r="AP662" s="6" t="str">
        <f>IFERROR(__xludf.DUMMYFUNCTION("""COMPUTED_VALUE"""),"Estudiante(s): Rojas Pérez")</f>
        <v>Estudiante(s): Rojas Pérez</v>
      </c>
      <c r="AQ662" s="6" t="str">
        <f>IFERROR(__xludf.DUMMYFUNCTION("""COMPUTED_VALUE"""),"103230*Gi")</f>
        <v>103230*Gi</v>
      </c>
      <c r="AR662" s="6" t="str">
        <f>IFERROR(__xludf.DUMMYFUNCTION("""COMPUTED_VALUE"""),"David")</f>
        <v>David</v>
      </c>
      <c r="AS662" s="6" t="str">
        <f>IFERROR(__xludf.DUMMYFUNCTION("""COMPUTED_VALUE"""),"Carlos")</f>
        <v>Carlos</v>
      </c>
      <c r="AT662" s="6" t="str">
        <f>IFERROR(__xludf.DUMMYFUNCTION("""COMPUTED_VALUE"""),"Rojas Ospina")</f>
        <v>Rojas Ospina</v>
      </c>
      <c r="AU662" s="6" t="str">
        <f>IFERROR(__xludf.DUMMYFUNCTION("""COMPUTED_VALUE"""),"dacrolomb@yahoo.com")</f>
        <v>dacrolomb@yahoo.com</v>
      </c>
      <c r="AV662" s="6" t="str">
        <f>IFERROR(__xludf.DUMMYFUNCTION("""COMPUTED_VALUE"""),"Administrador de Empresas")</f>
        <v>Administrador de Empresas</v>
      </c>
      <c r="AW662" s="6" t="str">
        <f>IFERROR(__xludf.DUMMYFUNCTION("""COMPUTED_VALUE"""),"Frigocafé")</f>
        <v>Frigocafé</v>
      </c>
      <c r="AX662" s="12" t="str">
        <f>IFERROR(__xludf.DUMMYFUNCTION("""COMPUTED_VALUE"""),"16685292")</f>
        <v>16685292</v>
      </c>
      <c r="AY662" s="12" t="str">
        <f>IFERROR(__xludf.DUMMYFUNCTION("""COMPUTED_VALUE"""),"3113334733")</f>
        <v>3113334733</v>
      </c>
      <c r="AZ662" s="6" t="str">
        <f>IFERROR(__xludf.DUMMYFUNCTION("""COMPUTED_VALUE"""),"Padre")</f>
        <v>Padre</v>
      </c>
      <c r="BA662" s="6"/>
      <c r="BB662" s="6"/>
      <c r="BC662" s="6"/>
      <c r="BD662" s="12" t="str">
        <f>IFERROR(__xludf.DUMMYFUNCTION("""COMPUTED_VALUE"""),"roj0004")</f>
        <v>roj0004</v>
      </c>
      <c r="BE662" s="6"/>
      <c r="BF662" s="6"/>
      <c r="BG662" s="6">
        <f>IFERROR(__xludf.DUMMYFUNCTION("""COMPUTED_VALUE"""),2030.0)</f>
        <v>2030</v>
      </c>
      <c r="BH662" s="15">
        <f>IFERROR(__xludf.DUMMYFUNCTION("""COMPUTED_VALUE"""),46212.62258101852)</f>
        <v>46212.62258</v>
      </c>
      <c r="BI662" s="6">
        <f>IFERROR(__xludf.DUMMYFUNCTION("""COMPUTED_VALUE"""),663.0)</f>
        <v>663</v>
      </c>
      <c r="BJ662" s="6"/>
      <c r="BK662" s="6"/>
      <c r="BL662" s="6" t="str">
        <f>IFERROR(__xludf.DUMMYFUNCTION("""COMPUTED_VALUE"""),"GISROJ0004")</f>
        <v>GISROJ0004</v>
      </c>
      <c r="BM662" s="6"/>
      <c r="BN662" s="6"/>
      <c r="BO662" s="6"/>
      <c r="BP662" s="6"/>
      <c r="BQ662" s="6"/>
      <c r="BR662" s="6" t="str">
        <f>IFERROR(__xludf.DUMMYFUNCTION("""COMPUTED_VALUE"""),"XC_SEC_ArtesPlasticas")</f>
        <v>XC_SEC_ArtesPlasticas</v>
      </c>
      <c r="BS662" s="6"/>
      <c r="BT662" s="6"/>
      <c r="BU662" s="6" t="str">
        <f>IFERROR(__xludf.DUMMYFUNCTION("""COMPUTED_VALUE"""),"NO")</f>
        <v>NO</v>
      </c>
      <c r="BV662" s="6" t="str">
        <f>IFERROR(__xludf.DUMMYFUNCTION("""COMPUTED_VALUE"""),"mariaj.r2030")</f>
        <v>mariaj.r2030</v>
      </c>
      <c r="BW662" s="6"/>
      <c r="BX662" s="6"/>
      <c r="BY662" s="6"/>
      <c r="BZ662" s="6"/>
    </row>
    <row r="663">
      <c r="A663" s="12">
        <f>IFERROR(__xludf.DUMMYFUNCTION("""COMPUTED_VALUE"""),1.127432086E9)</f>
        <v>1127432086</v>
      </c>
      <c r="B663" s="6">
        <f>IFERROR(__xludf.DUMMYFUNCTION("""COMPUTED_VALUE"""),42.0)</f>
        <v>42</v>
      </c>
      <c r="C663" s="6" t="str">
        <f>IFERROR(__xludf.DUMMYFUNCTION("""COMPUTED_VALUE"""),"Mathias")</f>
        <v>Mathias</v>
      </c>
      <c r="D663" s="6"/>
      <c r="E663" s="6" t="str">
        <f>IFERROR(__xludf.DUMMYFUNCTION("""COMPUTED_VALUE"""),"Serna Ruíz")</f>
        <v>Serna Ruíz</v>
      </c>
      <c r="F663" s="6" t="str">
        <f>IFERROR(__xludf.DUMMYFUNCTION("""COMPUTED_VALUE"""),"Condominio Alcala Casa 41 - Calle 24ANte No 18 - 20")</f>
        <v>Condominio Alcala Casa 41 - Calle 24ANte No 18 - 20</v>
      </c>
      <c r="G663" s="12" t="str">
        <f>IFERROR(__xludf.DUMMYFUNCTION("""COMPUTED_VALUE"""),"2012")</f>
        <v>2012</v>
      </c>
      <c r="H663" s="6" t="str">
        <f>IFERROR(__xludf.DUMMYFUNCTION("""COMPUTED_VALUE"""),"Octubre")</f>
        <v>Octubre</v>
      </c>
      <c r="I663" s="12" t="str">
        <f>IFERROR(__xludf.DUMMYFUNCTION("""COMPUTED_VALUE"""),"16")</f>
        <v>16</v>
      </c>
      <c r="J663" s="6" t="str">
        <f>IFERROR(__xludf.DUMMYFUNCTION("""COMPUTED_VALUE"""),"Brasília")</f>
        <v>Brasília</v>
      </c>
      <c r="K663" s="6" t="str">
        <f>IFERROR(__xludf.DUMMYFUNCTION("""COMPUTED_VALUE"""),"mathias.s2030@gi.edu.co")</f>
        <v>mathias.s2030@gi.edu.co</v>
      </c>
      <c r="L663" s="6" t="str">
        <f>IFERROR(__xludf.DUMMYFUNCTION("""COMPUTED_VALUE"""),"TI")</f>
        <v>TI</v>
      </c>
      <c r="M663" s="6" t="str">
        <f>IFERROR(__xludf.DUMMYFUNCTION("""COMPUTED_VALUE"""),"Armenia")</f>
        <v>Armenia</v>
      </c>
      <c r="N663" s="6" t="str">
        <f>IFERROR(__xludf.DUMMYFUNCTION("""COMPUTED_VALUE"""),"M")</f>
        <v>M</v>
      </c>
      <c r="O663" s="6" t="str">
        <f>IFERROR(__xludf.DUMMYFUNCTION("""COMPUTED_VALUE"""),"INACTIVE")</f>
        <v>INACTIVE</v>
      </c>
      <c r="P663" s="6"/>
      <c r="Q663" s="6" t="str">
        <f>IFERROR(__xludf.DUMMYFUNCTION("""COMPUTED_VALUE"""),"Armenia")</f>
        <v>Armenia</v>
      </c>
      <c r="R663" s="12" t="str">
        <f>IFERROR(__xludf.DUMMYFUNCTION("""COMPUTED_VALUE"""),"Ginvjkf624*")</f>
        <v>Ginvjkf624*</v>
      </c>
      <c r="S663" s="6" t="str">
        <f>IFERROR(__xludf.DUMMYFUNCTION("""COMPUTED_VALUE"""),"Serna Ruíz Mathias ")</f>
        <v>Serna Ruíz Mathias </v>
      </c>
      <c r="T663" s="6" t="str">
        <f>IFERROR(__xludf.DUMMYFUNCTION("""COMPUTED_VALUE"""),"ANDRÉS SERNA MARÍN")</f>
        <v>ANDRÉS SERNA MARÍN</v>
      </c>
      <c r="U663" s="12" t="str">
        <f>IFERROR(__xludf.DUMMYFUNCTION("""COMPUTED_VALUE"""),"8434517")</f>
        <v>8434517</v>
      </c>
      <c r="V663" s="6">
        <f>IFERROR(__xludf.DUMMYFUNCTION("""COMPUTED_VALUE"""),3.104622272E9)</f>
        <v>3104622272</v>
      </c>
      <c r="W663" s="6" t="str">
        <f>IFERROR(__xludf.DUMMYFUNCTION("""COMPUTED_VALUE"""),"fcbarce.07@hotmail.com")</f>
        <v>fcbarce.07@hotmail.com</v>
      </c>
      <c r="X663" s="12" t="str">
        <f>IFERROR(__xludf.DUMMYFUNCTION("""COMPUTED_VALUE"""),"O+")</f>
        <v>O+</v>
      </c>
      <c r="Y663" s="12" t="str">
        <f>IFERROR(__xludf.DUMMYFUNCTION("""COMPUTED_VALUE"""),"9")</f>
        <v>9</v>
      </c>
      <c r="Z663" s="12">
        <f>IFERROR(__xludf.DUMMYFUNCTION("""COMPUTED_VALUE"""),103704.0)</f>
        <v>103704</v>
      </c>
      <c r="AA663" s="6" t="str">
        <f>IFERROR(__xludf.DUMMYFUNCTION("""COMPUTED_VALUE"""),"OTRA")</f>
        <v>OTRA</v>
      </c>
      <c r="AB663" s="6" t="str">
        <f>IFERROR(__xludf.DUMMYFUNCTION("""COMPUTED_VALUE"""),"EMI")</f>
        <v>EMI</v>
      </c>
      <c r="AC663" s="6"/>
      <c r="AD663" s="12" t="str">
        <f>IFERROR(__xludf.DUMMYFUNCTION("""COMPUTED_VALUE"""),"9B")</f>
        <v>9B</v>
      </c>
      <c r="AE663" s="12">
        <f>IFERROR(__xludf.DUMMYFUNCTION("""COMPUTED_VALUE"""),1.345281842E9)</f>
        <v>1345281842</v>
      </c>
      <c r="AF663" s="12" t="str">
        <f>IFERROR(__xludf.DUMMYFUNCTION("""COMPUTED_VALUE"""),"0706659555")</f>
        <v>0706659555</v>
      </c>
      <c r="AG663" s="12" t="str">
        <f>IFERROR(__xludf.DUMMYFUNCTION("""COMPUTED_VALUE"""),"Paola")</f>
        <v>Paola</v>
      </c>
      <c r="AH663" s="12" t="str">
        <f>IFERROR(__xludf.DUMMYFUNCTION("""COMPUTED_VALUE"""),"Andrea")</f>
        <v>Andrea</v>
      </c>
      <c r="AI663" s="6" t="str">
        <f>IFERROR(__xludf.DUMMYFUNCTION("""COMPUTED_VALUE"""),"Ruíz Martínez")</f>
        <v>Ruíz Martínez</v>
      </c>
      <c r="AJ663" s="6" t="str">
        <f>IFERROR(__xludf.DUMMYFUNCTION("""COMPUTED_VALUE"""),"damathi781@gmail.com")</f>
        <v>damathi781@gmail.com</v>
      </c>
      <c r="AK663" s="6" t="str">
        <f>IFERROR(__xludf.DUMMYFUNCTION("""COMPUTED_VALUE"""),"admon financiera")</f>
        <v>admon financiera</v>
      </c>
      <c r="AL663" s="6"/>
      <c r="AM663" s="12" t="str">
        <f>IFERROR(__xludf.DUMMYFUNCTION("""COMPUTED_VALUE"""),"24814517")</f>
        <v>24814517</v>
      </c>
      <c r="AN663" s="12" t="str">
        <f>IFERROR(__xludf.DUMMYFUNCTION("""COMPUTED_VALUE"""),"3127916176")</f>
        <v>3127916176</v>
      </c>
      <c r="AO663" s="6" t="str">
        <f>IFERROR(__xludf.DUMMYFUNCTION("""COMPUTED_VALUE"""),"Madre")</f>
        <v>Madre</v>
      </c>
      <c r="AP663" s="6" t="str">
        <f>IFERROR(__xludf.DUMMYFUNCTION("""COMPUTED_VALUE"""),"Estudiante(s): Serna Ruíz")</f>
        <v>Estudiante(s): Serna Ruíz</v>
      </c>
      <c r="AQ663" s="6" t="str">
        <f>IFERROR(__xludf.DUMMYFUNCTION("""COMPUTED_VALUE"""),"103905*Gi")</f>
        <v>103905*Gi</v>
      </c>
      <c r="AR663" s="6" t="str">
        <f>IFERROR(__xludf.DUMMYFUNCTION("""COMPUTED_VALUE"""),"Andres ")</f>
        <v>Andres </v>
      </c>
      <c r="AS663" s="6"/>
      <c r="AT663" s="6" t="str">
        <f>IFERROR(__xludf.DUMMYFUNCTION("""COMPUTED_VALUE"""),"Serna Marín")</f>
        <v>Serna Marín</v>
      </c>
      <c r="AU663" s="6" t="str">
        <f>IFERROR(__xludf.DUMMYFUNCTION("""COMPUTED_VALUE"""),"fcbarce.07@hotmail.com")</f>
        <v>fcbarce.07@hotmail.com</v>
      </c>
      <c r="AV663" s="6" t="str">
        <f>IFERROR(__xludf.DUMMYFUNCTION("""COMPUTED_VALUE"""),"administrador empresas")</f>
        <v>administrador empresas</v>
      </c>
      <c r="AW663" s="6" t="str">
        <f>IFERROR(__xludf.DUMMYFUNCTION("""COMPUTED_VALUE"""),"INDEPENDIENTE")</f>
        <v>INDEPENDIENTE</v>
      </c>
      <c r="AX663" s="12" t="str">
        <f>IFERROR(__xludf.DUMMYFUNCTION("""COMPUTED_VALUE"""),"8434517")</f>
        <v>8434517</v>
      </c>
      <c r="AY663" s="12" t="str">
        <f>IFERROR(__xludf.DUMMYFUNCTION("""COMPUTED_VALUE"""),"3104622272")</f>
        <v>3104622272</v>
      </c>
      <c r="AZ663" s="6" t="str">
        <f>IFERROR(__xludf.DUMMYFUNCTION("""COMPUTED_VALUE"""),"Padre")</f>
        <v>Padre</v>
      </c>
      <c r="BA663" s="6"/>
      <c r="BB663" s="6"/>
      <c r="BC663" s="6"/>
      <c r="BD663" s="12" t="str">
        <f>IFERROR(__xludf.DUMMYFUNCTION("""COMPUTED_VALUE"""),"ser0003")</f>
        <v>ser0003</v>
      </c>
      <c r="BE663" s="6" t="str">
        <f>IFERROR(__xludf.DUMMYFUNCTION("""COMPUTED_VALUE"""),"FALTAN FIRMAS")</f>
        <v>FALTAN FIRMAS</v>
      </c>
      <c r="BF663" s="6"/>
      <c r="BG663" s="6">
        <f>IFERROR(__xludf.DUMMYFUNCTION("""COMPUTED_VALUE"""),2030.0)</f>
        <v>2030</v>
      </c>
      <c r="BH663" s="15">
        <f>IFERROR(__xludf.DUMMYFUNCTION("""COMPUTED_VALUE"""),46212.28380787037)</f>
        <v>46212.28381</v>
      </c>
      <c r="BI663" s="6">
        <f>IFERROR(__xludf.DUMMYFUNCTION("""COMPUTED_VALUE"""),664.0)</f>
        <v>664</v>
      </c>
      <c r="BJ663" s="6"/>
      <c r="BK663" s="6"/>
      <c r="BL663" s="6" t="str">
        <f>IFERROR(__xludf.DUMMYFUNCTION("""COMPUTED_VALUE"""),"GISSER0003")</f>
        <v>GISSER0003</v>
      </c>
      <c r="BM663" s="6"/>
      <c r="BN663" s="6"/>
      <c r="BO663" s="6"/>
      <c r="BP663" s="6"/>
      <c r="BQ663" s="6"/>
      <c r="BR663" s="6"/>
      <c r="BS663" s="6"/>
      <c r="BT663" s="6"/>
      <c r="BU663" s="6" t="str">
        <f>IFERROR(__xludf.DUMMYFUNCTION("""COMPUTED_VALUE"""),"SI")</f>
        <v>SI</v>
      </c>
      <c r="BV663" s="6" t="str">
        <f>IFERROR(__xludf.DUMMYFUNCTION("""COMPUTED_VALUE"""),"mathias.s2030")</f>
        <v>mathias.s2030</v>
      </c>
      <c r="BW663" s="6"/>
      <c r="BX663" s="6"/>
      <c r="BY663" s="6"/>
      <c r="BZ663" s="6"/>
    </row>
    <row r="664">
      <c r="A664" s="12">
        <f>IFERROR(__xludf.DUMMYFUNCTION("""COMPUTED_VALUE"""),509171.0)</f>
        <v>509171</v>
      </c>
      <c r="B664" s="6">
        <f>IFERROR(__xludf.DUMMYFUNCTION("""COMPUTED_VALUE"""),43.0)</f>
        <v>43</v>
      </c>
      <c r="C664" s="6" t="str">
        <f>IFERROR(__xludf.DUMMYFUNCTION("""COMPUTED_VALUE"""),"Gina")</f>
        <v>Gina</v>
      </c>
      <c r="D664" s="6"/>
      <c r="E664" s="6" t="str">
        <f>IFERROR(__xludf.DUMMYFUNCTION("""COMPUTED_VALUE"""),"Tort Zander")</f>
        <v>Tort Zander</v>
      </c>
      <c r="F664" s="6" t="str">
        <f>IFERROR(__xludf.DUMMYFUNCTION("""COMPUTED_VALUE"""),"Conjunto Cantabria Manzana G Casa 15 - Calle 6 No18 - 22 Circasia")</f>
        <v>Conjunto Cantabria Manzana G Casa 15 - Calle 6 No18 - 22 Circasia</v>
      </c>
      <c r="G664" s="12" t="str">
        <f>IFERROR(__xludf.DUMMYFUNCTION("""COMPUTED_VALUE"""),"2012")</f>
        <v>2012</v>
      </c>
      <c r="H664" s="6" t="str">
        <f>IFERROR(__xludf.DUMMYFUNCTION("""COMPUTED_VALUE"""),"Enero")</f>
        <v>Enero</v>
      </c>
      <c r="I664" s="12" t="str">
        <f>IFERROR(__xludf.DUMMYFUNCTION("""COMPUTED_VALUE"""),"26")</f>
        <v>26</v>
      </c>
      <c r="J664" s="6" t="str">
        <f>IFERROR(__xludf.DUMMYFUNCTION("""COMPUTED_VALUE"""),"Barcelona")</f>
        <v>Barcelona</v>
      </c>
      <c r="K664" s="6" t="str">
        <f>IFERROR(__xludf.DUMMYFUNCTION("""COMPUTED_VALUE"""),"gina.t2030@gi.edu.co")</f>
        <v>gina.t2030@gi.edu.co</v>
      </c>
      <c r="L664" s="6" t="str">
        <f>IFERROR(__xludf.DUMMYFUNCTION("""COMPUTED_VALUE"""),"CE")</f>
        <v>CE</v>
      </c>
      <c r="M664" s="6" t="str">
        <f>IFERROR(__xludf.DUMMYFUNCTION("""COMPUTED_VALUE"""),"Armenia")</f>
        <v>Armenia</v>
      </c>
      <c r="N664" s="6" t="str">
        <f>IFERROR(__xludf.DUMMYFUNCTION("""COMPUTED_VALUE"""),"F")</f>
        <v>F</v>
      </c>
      <c r="O664" s="6" t="str">
        <f>IFERROR(__xludf.DUMMYFUNCTION("""COMPUTED_VALUE"""),"ACTIVE")</f>
        <v>ACTIVE</v>
      </c>
      <c r="P664" s="6"/>
      <c r="Q664" s="6" t="str">
        <f>IFERROR(__xludf.DUMMYFUNCTION("""COMPUTED_VALUE"""),"Circasia")</f>
        <v>Circasia</v>
      </c>
      <c r="R664" s="12" t="str">
        <f>IFERROR(__xludf.DUMMYFUNCTION("""COMPUTED_VALUE"""),"Gievxx2k*")</f>
        <v>Gievxx2k*</v>
      </c>
      <c r="S664" s="6" t="str">
        <f>IFERROR(__xludf.DUMMYFUNCTION("""COMPUTED_VALUE"""),"Tort Zander Gina ")</f>
        <v>Tort Zander Gina </v>
      </c>
      <c r="T664" s="6" t="str">
        <f>IFERROR(__xludf.DUMMYFUNCTION("""COMPUTED_VALUE"""),"GRAN AZUL COLOMBIA S.A.S.")</f>
        <v>GRAN AZUL COLOMBIA S.A.S.</v>
      </c>
      <c r="U664" s="12" t="str">
        <f>IFERROR(__xludf.DUMMYFUNCTION("""COMPUTED_VALUE"""),"901889522")</f>
        <v>901889522</v>
      </c>
      <c r="V664" s="6">
        <f>IFERROR(__xludf.DUMMYFUNCTION("""COMPUTED_VALUE"""),3.212175061E9)</f>
        <v>3212175061</v>
      </c>
      <c r="W664" s="6" t="str">
        <f>IFERROR(__xludf.DUMMYFUNCTION("""COMPUTED_VALUE"""),"contabilidadgranazul@gmail.com")</f>
        <v>contabilidadgranazul@gmail.com</v>
      </c>
      <c r="X664" s="12" t="str">
        <f>IFERROR(__xludf.DUMMYFUNCTION("""COMPUTED_VALUE"""),"A+")</f>
        <v>A+</v>
      </c>
      <c r="Y664" s="12" t="str">
        <f>IFERROR(__xludf.DUMMYFUNCTION("""COMPUTED_VALUE"""),"9")</f>
        <v>9</v>
      </c>
      <c r="Z664" s="12">
        <f>IFERROR(__xludf.DUMMYFUNCTION("""COMPUTED_VALUE"""),120560.0)</f>
        <v>120560</v>
      </c>
      <c r="AA664" s="6" t="str">
        <f>IFERROR(__xludf.DUMMYFUNCTION("""COMPUTED_VALUE"""),"SURA")</f>
        <v>SURA</v>
      </c>
      <c r="AB664" s="6"/>
      <c r="AC664" s="6"/>
      <c r="AD664" s="12" t="str">
        <f>IFERROR(__xludf.DUMMYFUNCTION("""COMPUTED_VALUE"""),"9B")</f>
        <v>9B</v>
      </c>
      <c r="AE664" s="12">
        <f>IFERROR(__xludf.DUMMYFUNCTION("""COMPUTED_VALUE"""),1.345282557E9)</f>
        <v>1345282557</v>
      </c>
      <c r="AF664" s="12">
        <f>IFERROR(__xludf.DUMMYFUNCTION("""COMPUTED_VALUE"""),1.0500193E8)</f>
        <v>105001930</v>
      </c>
      <c r="AG664" s="12" t="str">
        <f>IFERROR(__xludf.DUMMYFUNCTION("""COMPUTED_VALUE"""),"Cristina")</f>
        <v>Cristina</v>
      </c>
      <c r="AH664" s="6"/>
      <c r="AI664" s="6" t="str">
        <f>IFERROR(__xludf.DUMMYFUNCTION("""COMPUTED_VALUE"""),"Zander Vilaclara")</f>
        <v>Zander Vilaclara</v>
      </c>
      <c r="AJ664" s="6" t="str">
        <f>IFERROR(__xludf.DUMMYFUNCTION("""COMPUTED_VALUE"""),"cristizander@gmail.com")</f>
        <v>cristizander@gmail.com</v>
      </c>
      <c r="AK664" s="6" t="str">
        <f>IFERROR(__xludf.DUMMYFUNCTION("""COMPUTED_VALUE"""),"HOTELERA")</f>
        <v>HOTELERA</v>
      </c>
      <c r="AL664" s="6" t="str">
        <f>IFERROR(__xludf.DUMMYFUNCTION("""COMPUTED_VALUE"""),"ECORESORT GRAN AZUL")</f>
        <v>ECORESORT GRAN AZUL</v>
      </c>
      <c r="AM664" s="12" t="str">
        <f>IFERROR(__xludf.DUMMYFUNCTION("""COMPUTED_VALUE"""),"509186")</f>
        <v>509186</v>
      </c>
      <c r="AN664" s="12" t="str">
        <f>IFERROR(__xludf.DUMMYFUNCTION("""COMPUTED_VALUE"""),"3224941878")</f>
        <v>3224941878</v>
      </c>
      <c r="AO664" s="6" t="str">
        <f>IFERROR(__xludf.DUMMYFUNCTION("""COMPUTED_VALUE"""),"Madre")</f>
        <v>Madre</v>
      </c>
      <c r="AP664" s="6" t="str">
        <f>IFERROR(__xludf.DUMMYFUNCTION("""COMPUTED_VALUE"""),"Estudiante(s): Tort Zander")</f>
        <v>Estudiante(s): Tort Zander</v>
      </c>
      <c r="AQ664" s="6" t="str">
        <f>IFERROR(__xludf.DUMMYFUNCTION("""COMPUTED_VALUE"""),"120560*Gi")</f>
        <v>120560*Gi</v>
      </c>
      <c r="AR664" s="6" t="str">
        <f>IFERROR(__xludf.DUMMYFUNCTION("""COMPUTED_VALUE"""),"Jorge")</f>
        <v>Jorge</v>
      </c>
      <c r="AS664" s="6"/>
      <c r="AT664" s="6" t="str">
        <f>IFERROR(__xludf.DUMMYFUNCTION("""COMPUTED_VALUE"""),"Tort Alsina")</f>
        <v>Tort Alsina</v>
      </c>
      <c r="AU664" s="6" t="str">
        <f>IFERROR(__xludf.DUMMYFUNCTION("""COMPUTED_VALUE"""),"jorditortmail@yahoo.es")</f>
        <v>jorditortmail@yahoo.es</v>
      </c>
      <c r="AV664" s="6" t="str">
        <f>IFERROR(__xludf.DUMMYFUNCTION("""COMPUTED_VALUE"""),"ECONOMISTA")</f>
        <v>ECONOMISTA</v>
      </c>
      <c r="AW664" s="6" t="str">
        <f>IFERROR(__xludf.DUMMYFUNCTION("""COMPUTED_VALUE"""),"ECORESORT GRAN AZUL")</f>
        <v>ECORESORT GRAN AZUL</v>
      </c>
      <c r="AX664" s="12" t="str">
        <f>IFERROR(__xludf.DUMMYFUNCTION("""COMPUTED_VALUE"""),"509180")</f>
        <v>509180</v>
      </c>
      <c r="AY664" s="12" t="str">
        <f>IFERROR(__xludf.DUMMYFUNCTION("""COMPUTED_VALUE"""),"3104462012")</f>
        <v>3104462012</v>
      </c>
      <c r="AZ664" s="6" t="str">
        <f>IFERROR(__xludf.DUMMYFUNCTION("""COMPUTED_VALUE"""),"Padre")</f>
        <v>Padre</v>
      </c>
      <c r="BA664" s="6"/>
      <c r="BB664" s="6"/>
      <c r="BC664" s="6"/>
      <c r="BD664" s="12" t="str">
        <f>IFERROR(__xludf.DUMMYFUNCTION("""COMPUTED_VALUE"""),"tor0010")</f>
        <v>tor0010</v>
      </c>
      <c r="BE664" s="6"/>
      <c r="BF664" s="6"/>
      <c r="BG664" s="6">
        <f>IFERROR(__xludf.DUMMYFUNCTION("""COMPUTED_VALUE"""),2030.0)</f>
        <v>2030</v>
      </c>
      <c r="BH664" s="15">
        <f>IFERROR(__xludf.DUMMYFUNCTION("""COMPUTED_VALUE"""),46219.70483796296)</f>
        <v>46219.70484</v>
      </c>
      <c r="BI664" s="6">
        <f>IFERROR(__xludf.DUMMYFUNCTION("""COMPUTED_VALUE"""),665.0)</f>
        <v>665</v>
      </c>
      <c r="BJ664" s="6"/>
      <c r="BK664" s="6"/>
      <c r="BL664" s="6" t="str">
        <f>IFERROR(__xludf.DUMMYFUNCTION("""COMPUTED_VALUE"""),"GISTOR0010")</f>
        <v>GISTOR0010</v>
      </c>
      <c r="BM664" s="6"/>
      <c r="BN664" s="6"/>
      <c r="BO664" s="6"/>
      <c r="BP664" s="6"/>
      <c r="BQ664" s="6"/>
      <c r="BR664" s="6"/>
      <c r="BS664" s="6"/>
      <c r="BT664" s="6"/>
      <c r="BU664" s="6" t="str">
        <f>IFERROR(__xludf.DUMMYFUNCTION("""COMPUTED_VALUE"""),"SI")</f>
        <v>SI</v>
      </c>
      <c r="BV664" s="6" t="str">
        <f>IFERROR(__xludf.DUMMYFUNCTION("""COMPUTED_VALUE"""),"gina.t2030")</f>
        <v>gina.t2030</v>
      </c>
      <c r="BW664" s="6"/>
      <c r="BX664" s="6"/>
      <c r="BY664" s="6"/>
      <c r="BZ664" s="6"/>
    </row>
    <row r="665">
      <c r="A665" s="12">
        <f>IFERROR(__xludf.DUMMYFUNCTION("""COMPUTED_VALUE"""),1.09285634E9)</f>
        <v>1092856340</v>
      </c>
      <c r="B665" s="6">
        <f>IFERROR(__xludf.DUMMYFUNCTION("""COMPUTED_VALUE"""),44.0)</f>
        <v>44</v>
      </c>
      <c r="C665" s="6" t="str">
        <f>IFERROR(__xludf.DUMMYFUNCTION("""COMPUTED_VALUE"""),"Valeria")</f>
        <v>Valeria</v>
      </c>
      <c r="D665" s="6"/>
      <c r="E665" s="6" t="str">
        <f>IFERROR(__xludf.DUMMYFUNCTION("""COMPUTED_VALUE"""),"Trujillo Palacio")</f>
        <v>Trujillo Palacio</v>
      </c>
      <c r="F665" s="6" t="str">
        <f>IFERROR(__xludf.DUMMYFUNCTION("""COMPUTED_VALUE"""),"Bosque Residencial La Pradera Casa 25 - Cra 6 No50Nte - 1 Av Centenario")</f>
        <v>Bosque Residencial La Pradera Casa 25 - Cra 6 No50Nte - 1 Av Centenario</v>
      </c>
      <c r="G665" s="12" t="str">
        <f>IFERROR(__xludf.DUMMYFUNCTION("""COMPUTED_VALUE"""),"2012")</f>
        <v>2012</v>
      </c>
      <c r="H665" s="6" t="str">
        <f>IFERROR(__xludf.DUMMYFUNCTION("""COMPUTED_VALUE"""),"Octubre")</f>
        <v>Octubre</v>
      </c>
      <c r="I665" s="12" t="str">
        <f>IFERROR(__xludf.DUMMYFUNCTION("""COMPUTED_VALUE"""),"6")</f>
        <v>6</v>
      </c>
      <c r="J665" s="6" t="str">
        <f>IFERROR(__xludf.DUMMYFUNCTION("""COMPUTED_VALUE"""),"Armenia")</f>
        <v>Armenia</v>
      </c>
      <c r="K665" s="6" t="str">
        <f>IFERROR(__xludf.DUMMYFUNCTION("""COMPUTED_VALUE"""),"valeria.t2030@gi.edu.co")</f>
        <v>valeria.t2030@gi.edu.co</v>
      </c>
      <c r="L665" s="6" t="str">
        <f>IFERROR(__xludf.DUMMYFUNCTION("""COMPUTED_VALUE"""),"TI")</f>
        <v>TI</v>
      </c>
      <c r="M665" s="6" t="str">
        <f>IFERROR(__xludf.DUMMYFUNCTION("""COMPUTED_VALUE"""),"Armenia")</f>
        <v>Armenia</v>
      </c>
      <c r="N665" s="6" t="str">
        <f>IFERROR(__xludf.DUMMYFUNCTION("""COMPUTED_VALUE"""),"F")</f>
        <v>F</v>
      </c>
      <c r="O665" s="6" t="str">
        <f>IFERROR(__xludf.DUMMYFUNCTION("""COMPUTED_VALUE"""),"INACTIVE")</f>
        <v>INACTIVE</v>
      </c>
      <c r="P665" s="6"/>
      <c r="Q665" s="6" t="str">
        <f>IFERROR(__xludf.DUMMYFUNCTION("""COMPUTED_VALUE"""),"Armenia")</f>
        <v>Armenia</v>
      </c>
      <c r="R665" s="12" t="str">
        <f>IFERROR(__xludf.DUMMYFUNCTION("""COMPUTED_VALUE"""),"Gi453298da*")</f>
        <v>Gi453298da*</v>
      </c>
      <c r="S665" s="6" t="str">
        <f>IFERROR(__xludf.DUMMYFUNCTION("""COMPUTED_VALUE"""),"Trujillo Palacio Valeria ")</f>
        <v>Trujillo Palacio Valeria </v>
      </c>
      <c r="T665" s="6" t="str">
        <f>IFERROR(__xludf.DUMMYFUNCTION("""COMPUTED_VALUE"""),"FABIÁN MAURICIO TRUJILLO MONROY")</f>
        <v>FABIÁN MAURICIO TRUJILLO MONROY</v>
      </c>
      <c r="U665" s="12" t="str">
        <f>IFERROR(__xludf.DUMMYFUNCTION("""COMPUTED_VALUE"""),"89003553")</f>
        <v>89003553</v>
      </c>
      <c r="V665" s="6">
        <f>IFERROR(__xludf.DUMMYFUNCTION("""COMPUTED_VALUE"""),3.127770172E9)</f>
        <v>3127770172</v>
      </c>
      <c r="W665" s="6" t="str">
        <f>IFERROR(__xludf.DUMMYFUNCTION("""COMPUTED_VALUE"""),"famatrumon@hotmail.com")</f>
        <v>famatrumon@hotmail.com</v>
      </c>
      <c r="X665" s="12" t="str">
        <f>IFERROR(__xludf.DUMMYFUNCTION("""COMPUTED_VALUE"""),"B-")</f>
        <v>B-</v>
      </c>
      <c r="Y665" s="12" t="str">
        <f>IFERROR(__xludf.DUMMYFUNCTION("""COMPUTED_VALUE"""),"9")</f>
        <v>9</v>
      </c>
      <c r="Z665" s="12">
        <f>IFERROR(__xludf.DUMMYFUNCTION("""COMPUTED_VALUE"""),103181.0)</f>
        <v>103181</v>
      </c>
      <c r="AA665" s="6" t="str">
        <f>IFERROR(__xludf.DUMMYFUNCTION("""COMPUTED_VALUE"""),"SURA")</f>
        <v>SURA</v>
      </c>
      <c r="AB665" s="6" t="str">
        <f>IFERROR(__xludf.DUMMYFUNCTION("""COMPUTED_VALUE"""),"EMI")</f>
        <v>EMI</v>
      </c>
      <c r="AC665" s="6"/>
      <c r="AD665" s="12" t="str">
        <f>IFERROR(__xludf.DUMMYFUNCTION("""COMPUTED_VALUE"""),"9A")</f>
        <v>9A</v>
      </c>
      <c r="AE665" s="12">
        <f>IFERROR(__xludf.DUMMYFUNCTION("""COMPUTED_VALUE"""),1.345281559E9)</f>
        <v>1345281559</v>
      </c>
      <c r="AF665" s="12" t="str">
        <f>IFERROR(__xludf.DUMMYFUNCTION("""COMPUTED_VALUE"""),"0658133187")</f>
        <v>0658133187</v>
      </c>
      <c r="AG665" s="12" t="str">
        <f>IFERROR(__xludf.DUMMYFUNCTION("""COMPUTED_VALUE"""),"Claudia")</f>
        <v>Claudia</v>
      </c>
      <c r="AH665" s="12" t="str">
        <f>IFERROR(__xludf.DUMMYFUNCTION("""COMPUTED_VALUE"""),"Lucero")</f>
        <v>Lucero</v>
      </c>
      <c r="AI665" s="6" t="str">
        <f>IFERROR(__xludf.DUMMYFUNCTION("""COMPUTED_VALUE"""),"Palacio Velásquez")</f>
        <v>Palacio Velásquez</v>
      </c>
      <c r="AJ665" s="6" t="str">
        <f>IFERROR(__xludf.DUMMYFUNCTION("""COMPUTED_VALUE"""),"clapa64@hotmail.com")</f>
        <v>clapa64@hotmail.com</v>
      </c>
      <c r="AK665" s="6"/>
      <c r="AL665" s="6"/>
      <c r="AM665" s="12" t="str">
        <f>IFERROR(__xludf.DUMMYFUNCTION("""COMPUTED_VALUE"""),"41925948")</f>
        <v>41925948</v>
      </c>
      <c r="AN665" s="12" t="str">
        <f>IFERROR(__xludf.DUMMYFUNCTION("""COMPUTED_VALUE"""),"3138701827")</f>
        <v>3138701827</v>
      </c>
      <c r="AO665" s="6" t="str">
        <f>IFERROR(__xludf.DUMMYFUNCTION("""COMPUTED_VALUE"""),"Madre")</f>
        <v>Madre</v>
      </c>
      <c r="AP665" s="6" t="str">
        <f>IFERROR(__xludf.DUMMYFUNCTION("""COMPUTED_VALUE"""),"Estudiante(s): Trujillo Palacio")</f>
        <v>Estudiante(s): Trujillo Palacio</v>
      </c>
      <c r="AQ665" s="6" t="str">
        <f>IFERROR(__xludf.DUMMYFUNCTION("""COMPUTED_VALUE"""),"102091*Gi")</f>
        <v>102091*Gi</v>
      </c>
      <c r="AR665" s="6" t="str">
        <f>IFERROR(__xludf.DUMMYFUNCTION("""COMPUTED_VALUE"""),"Fabián")</f>
        <v>Fabián</v>
      </c>
      <c r="AS665" s="6" t="str">
        <f>IFERROR(__xludf.DUMMYFUNCTION("""COMPUTED_VALUE"""),"Mauricio")</f>
        <v>Mauricio</v>
      </c>
      <c r="AT665" s="6" t="str">
        <f>IFERROR(__xludf.DUMMYFUNCTION("""COMPUTED_VALUE"""),"Trujillo Monroy")</f>
        <v>Trujillo Monroy</v>
      </c>
      <c r="AU665" s="6" t="str">
        <f>IFERROR(__xludf.DUMMYFUNCTION("""COMPUTED_VALUE"""),"famatrumon@hotmail.com")</f>
        <v>famatrumon@hotmail.com</v>
      </c>
      <c r="AV665" s="6" t="str">
        <f>IFERROR(__xludf.DUMMYFUNCTION("""COMPUTED_VALUE"""),"Anestesiologo")</f>
        <v>Anestesiologo</v>
      </c>
      <c r="AW665" s="6" t="str">
        <f>IFERROR(__xludf.DUMMYFUNCTION("""COMPUTED_VALUE"""),"Clinica sagradaClinica Central")</f>
        <v>Clinica sagradaClinica Central</v>
      </c>
      <c r="AX665" s="12" t="str">
        <f>IFERROR(__xludf.DUMMYFUNCTION("""COMPUTED_VALUE"""),"89003553")</f>
        <v>89003553</v>
      </c>
      <c r="AY665" s="12" t="str">
        <f>IFERROR(__xludf.DUMMYFUNCTION("""COMPUTED_VALUE"""),"3127770172")</f>
        <v>3127770172</v>
      </c>
      <c r="AZ665" s="6" t="str">
        <f>IFERROR(__xludf.DUMMYFUNCTION("""COMPUTED_VALUE"""),"Padre")</f>
        <v>Padre</v>
      </c>
      <c r="BA665" s="6"/>
      <c r="BB665" s="6"/>
      <c r="BC665" s="6"/>
      <c r="BD665" s="12" t="str">
        <f>IFERROR(__xludf.DUMMYFUNCTION("""COMPUTED_VALUE"""),"tru0002")</f>
        <v>tru0002</v>
      </c>
      <c r="BE665" s="6" t="str">
        <f>IFERROR(__xludf.DUMMYFUNCTION("""COMPUTED_VALUE"""),"FALTAN FIRMAS")</f>
        <v>FALTAN FIRMAS</v>
      </c>
      <c r="BF665" s="6"/>
      <c r="BG665" s="6">
        <f>IFERROR(__xludf.DUMMYFUNCTION("""COMPUTED_VALUE"""),2030.0)</f>
        <v>2030</v>
      </c>
      <c r="BH665" s="15">
        <f>IFERROR(__xludf.DUMMYFUNCTION("""COMPUTED_VALUE"""),46212.485300925924)</f>
        <v>46212.4853</v>
      </c>
      <c r="BI665" s="6">
        <f>IFERROR(__xludf.DUMMYFUNCTION("""COMPUTED_VALUE"""),666.0)</f>
        <v>666</v>
      </c>
      <c r="BJ665" s="6"/>
      <c r="BK665" s="6"/>
      <c r="BL665" s="6" t="str">
        <f>IFERROR(__xludf.DUMMYFUNCTION("""COMPUTED_VALUE"""),"GISTRU0002")</f>
        <v>GISTRU0002</v>
      </c>
      <c r="BM665" s="6"/>
      <c r="BN665" s="6"/>
      <c r="BO665" s="6"/>
      <c r="BP665" s="6"/>
      <c r="BQ665" s="6"/>
      <c r="BR665" s="6"/>
      <c r="BS665" s="6"/>
      <c r="BT665" s="6"/>
      <c r="BU665" s="6" t="str">
        <f>IFERROR(__xludf.DUMMYFUNCTION("""COMPUTED_VALUE"""),"SI")</f>
        <v>SI</v>
      </c>
      <c r="BV665" s="6" t="str">
        <f>IFERROR(__xludf.DUMMYFUNCTION("""COMPUTED_VALUE"""),"valeria.t2030")</f>
        <v>valeria.t2030</v>
      </c>
      <c r="BW665" s="6"/>
      <c r="BX665" s="6"/>
      <c r="BY665" s="6"/>
      <c r="BZ665" s="6"/>
    </row>
    <row r="666">
      <c r="A666" s="12">
        <f>IFERROR(__xludf.DUMMYFUNCTION("""COMPUTED_VALUE"""),1.092855744E9)</f>
        <v>1092855744</v>
      </c>
      <c r="B666" s="6">
        <f>IFERROR(__xludf.DUMMYFUNCTION("""COMPUTED_VALUE"""),45.0)</f>
        <v>45</v>
      </c>
      <c r="C666" s="6" t="str">
        <f>IFERROR(__xludf.DUMMYFUNCTION("""COMPUTED_VALUE"""),"Jerónimo")</f>
        <v>Jerónimo</v>
      </c>
      <c r="D666" s="6"/>
      <c r="E666" s="6" t="str">
        <f>IFERROR(__xludf.DUMMYFUNCTION("""COMPUTED_VALUE"""),"Velásquez Tascón")</f>
        <v>Velásquez Tascón</v>
      </c>
      <c r="F666" s="6" t="str">
        <f>IFERROR(__xludf.DUMMYFUNCTION("""COMPUTED_VALUE"""),"Torre Orion Apto 201 - Cra 11A No11Nte - 34 La Castellana")</f>
        <v>Torre Orion Apto 201 - Cra 11A No11Nte - 34 La Castellana</v>
      </c>
      <c r="G666" s="12" t="str">
        <f>IFERROR(__xludf.DUMMYFUNCTION("""COMPUTED_VALUE"""),"2011")</f>
        <v>2011</v>
      </c>
      <c r="H666" s="6" t="str">
        <f>IFERROR(__xludf.DUMMYFUNCTION("""COMPUTED_VALUE"""),"Diciembre")</f>
        <v>Diciembre</v>
      </c>
      <c r="I666" s="12" t="str">
        <f>IFERROR(__xludf.DUMMYFUNCTION("""COMPUTED_VALUE"""),"28")</f>
        <v>28</v>
      </c>
      <c r="J666" s="6" t="str">
        <f>IFERROR(__xludf.DUMMYFUNCTION("""COMPUTED_VALUE"""),"Armenia")</f>
        <v>Armenia</v>
      </c>
      <c r="K666" s="6" t="str">
        <f>IFERROR(__xludf.DUMMYFUNCTION("""COMPUTED_VALUE"""),"jeronimo.v2030@gi.edu.co")</f>
        <v>jeronimo.v2030@gi.edu.co</v>
      </c>
      <c r="L666" s="6" t="str">
        <f>IFERROR(__xludf.DUMMYFUNCTION("""COMPUTED_VALUE"""),"TI")</f>
        <v>TI</v>
      </c>
      <c r="M666" s="6" t="str">
        <f>IFERROR(__xludf.DUMMYFUNCTION("""COMPUTED_VALUE"""),"Armenia")</f>
        <v>Armenia</v>
      </c>
      <c r="N666" s="6" t="str">
        <f>IFERROR(__xludf.DUMMYFUNCTION("""COMPUTED_VALUE"""),"M")</f>
        <v>M</v>
      </c>
      <c r="O666" s="6" t="str">
        <f>IFERROR(__xludf.DUMMYFUNCTION("""COMPUTED_VALUE"""),"INACTIVE")</f>
        <v>INACTIVE</v>
      </c>
      <c r="P666" s="6"/>
      <c r="Q666" s="6" t="str">
        <f>IFERROR(__xludf.DUMMYFUNCTION("""COMPUTED_VALUE"""),"Armenia")</f>
        <v>Armenia</v>
      </c>
      <c r="R666" s="6" t="str">
        <f>IFERROR(__xludf.DUMMYFUNCTION("""COMPUTED_VALUE"""),"Gidf72335928*")</f>
        <v>Gidf72335928*</v>
      </c>
      <c r="S666" s="6" t="str">
        <f>IFERROR(__xludf.DUMMYFUNCTION("""COMPUTED_VALUE"""),"Velásquez Tascón Jerónimo ")</f>
        <v>Velásquez Tascón Jerónimo </v>
      </c>
      <c r="T666" s="6" t="str">
        <f>IFERROR(__xludf.DUMMYFUNCTION("""COMPUTED_VALUE"""),"ADRIANA CECILIA TASCÓN RODRÍGUEZ")</f>
        <v>ADRIANA CECILIA TASCÓN RODRÍGUEZ</v>
      </c>
      <c r="U666" s="12" t="str">
        <f>IFERROR(__xludf.DUMMYFUNCTION("""COMPUTED_VALUE"""),"41953700")</f>
        <v>41953700</v>
      </c>
      <c r="V666" s="6">
        <f>IFERROR(__xludf.DUMMYFUNCTION("""COMPUTED_VALUE"""),3.117629834E9)</f>
        <v>3117629834</v>
      </c>
      <c r="W666" s="6" t="str">
        <f>IFERROR(__xludf.DUMMYFUNCTION("""COMPUTED_VALUE"""),"adritasro@gmail.com")</f>
        <v>adritasro@gmail.com</v>
      </c>
      <c r="X666" s="12" t="str">
        <f>IFERROR(__xludf.DUMMYFUNCTION("""COMPUTED_VALUE"""),"O+")</f>
        <v>O+</v>
      </c>
      <c r="Y666" s="12" t="str">
        <f>IFERROR(__xludf.DUMMYFUNCTION("""COMPUTED_VALUE"""),"9")</f>
        <v>9</v>
      </c>
      <c r="Z666" s="12">
        <f>IFERROR(__xludf.DUMMYFUNCTION("""COMPUTED_VALUE"""),103346.0)</f>
        <v>103346</v>
      </c>
      <c r="AA666" s="6" t="str">
        <f>IFERROR(__xludf.DUMMYFUNCTION("""COMPUTED_VALUE"""),"SURA")</f>
        <v>SURA</v>
      </c>
      <c r="AB666" s="6" t="str">
        <f>IFERROR(__xludf.DUMMYFUNCTION("""COMPUTED_VALUE"""),"SURA")</f>
        <v>SURA</v>
      </c>
      <c r="AC666" s="6"/>
      <c r="AD666" s="12" t="str">
        <f>IFERROR(__xludf.DUMMYFUNCTION("""COMPUTED_VALUE"""),"9A")</f>
        <v>9A</v>
      </c>
      <c r="AE666" s="12">
        <f>IFERROR(__xludf.DUMMYFUNCTION("""COMPUTED_VALUE"""),1.345281646E9)</f>
        <v>1345281646</v>
      </c>
      <c r="AF666" s="12" t="str">
        <f>IFERROR(__xludf.DUMMYFUNCTION("""COMPUTED_VALUE"""),"0762425859")</f>
        <v>0762425859</v>
      </c>
      <c r="AG666" s="12" t="str">
        <f>IFERROR(__xludf.DUMMYFUNCTION("""COMPUTED_VALUE"""),"Adriana")</f>
        <v>Adriana</v>
      </c>
      <c r="AH666" s="12" t="str">
        <f>IFERROR(__xludf.DUMMYFUNCTION("""COMPUTED_VALUE"""),"Cecilia")</f>
        <v>Cecilia</v>
      </c>
      <c r="AI666" s="6" t="str">
        <f>IFERROR(__xludf.DUMMYFUNCTION("""COMPUTED_VALUE"""),"Tascón Rodríguez")</f>
        <v>Tascón Rodríguez</v>
      </c>
      <c r="AJ666" s="6" t="str">
        <f>IFERROR(__xludf.DUMMYFUNCTION("""COMPUTED_VALUE"""),"adritasro@gmail.com")</f>
        <v>adritasro@gmail.com</v>
      </c>
      <c r="AK666" s="6" t="str">
        <f>IFERROR(__xludf.DUMMYFUNCTION("""COMPUTED_VALUE"""),"arquitecta")</f>
        <v>arquitecta</v>
      </c>
      <c r="AL666" s="6" t="str">
        <f>IFERROR(__xludf.DUMMYFUNCTION("""COMPUTED_VALUE"""),"AD")</f>
        <v>AD</v>
      </c>
      <c r="AM666" s="12" t="str">
        <f>IFERROR(__xludf.DUMMYFUNCTION("""COMPUTED_VALUE"""),"41953700")</f>
        <v>41953700</v>
      </c>
      <c r="AN666" s="12" t="str">
        <f>IFERROR(__xludf.DUMMYFUNCTION("""COMPUTED_VALUE"""),"3117629834")</f>
        <v>3117629834</v>
      </c>
      <c r="AO666" s="6" t="str">
        <f>IFERROR(__xludf.DUMMYFUNCTION("""COMPUTED_VALUE"""),"Madre")</f>
        <v>Madre</v>
      </c>
      <c r="AP666" s="6" t="str">
        <f>IFERROR(__xludf.DUMMYFUNCTION("""COMPUTED_VALUE"""),"Estudiante(s): Velásquez Tascón")</f>
        <v>Estudiante(s): Velásquez Tascón</v>
      </c>
      <c r="AQ666" s="6" t="str">
        <f>IFERROR(__xludf.DUMMYFUNCTION("""COMPUTED_VALUE"""),"103346*Gi")</f>
        <v>103346*Gi</v>
      </c>
      <c r="AR666" s="6" t="str">
        <f>IFERROR(__xludf.DUMMYFUNCTION("""COMPUTED_VALUE"""),"Juan")</f>
        <v>Juan</v>
      </c>
      <c r="AS666" s="6" t="str">
        <f>IFERROR(__xludf.DUMMYFUNCTION("""COMPUTED_VALUE"""),"Manuel")</f>
        <v>Manuel</v>
      </c>
      <c r="AT666" s="6" t="str">
        <f>IFERROR(__xludf.DUMMYFUNCTION("""COMPUTED_VALUE"""),"Velásquez  Páez")</f>
        <v>Velásquez  Páez</v>
      </c>
      <c r="AU666" s="6" t="str">
        <f>IFERROR(__xludf.DUMMYFUNCTION("""COMPUTED_VALUE"""),"juanvelapa12@gmail.com")</f>
        <v>juanvelapa12@gmail.com</v>
      </c>
      <c r="AV666" s="6"/>
      <c r="AW666" s="6"/>
      <c r="AX666" s="12" t="str">
        <f>IFERROR(__xludf.DUMMYFUNCTION("""COMPUTED_VALUE"""),"89002777")</f>
        <v>89002777</v>
      </c>
      <c r="AY666" s="12" t="str">
        <f>IFERROR(__xludf.DUMMYFUNCTION("""COMPUTED_VALUE"""),"3105978946")</f>
        <v>3105978946</v>
      </c>
      <c r="AZ666" s="6" t="str">
        <f>IFERROR(__xludf.DUMMYFUNCTION("""COMPUTED_VALUE"""),"Padre")</f>
        <v>Padre</v>
      </c>
      <c r="BA666" s="6"/>
      <c r="BB666" s="6"/>
      <c r="BC666" s="6"/>
      <c r="BD666" s="12" t="str">
        <f>IFERROR(__xludf.DUMMYFUNCTION("""COMPUTED_VALUE"""),"vel0008")</f>
        <v>vel0008</v>
      </c>
      <c r="BE666" s="6" t="str">
        <f>IFERROR(__xludf.DUMMYFUNCTION("""COMPUTED_VALUE"""),"FALTAN FIRMAS")</f>
        <v>FALTAN FIRMAS</v>
      </c>
      <c r="BF666" s="12" t="str">
        <f>IFERROR(__xludf.DUMMYFUNCTION("""COMPUTED_VALUE"""),"PROMOVIDO")</f>
        <v>PROMOVIDO</v>
      </c>
      <c r="BG666" s="6">
        <f>IFERROR(__xludf.DUMMYFUNCTION("""COMPUTED_VALUE"""),2030.0)</f>
        <v>2030</v>
      </c>
      <c r="BH666" s="15">
        <f>IFERROR(__xludf.DUMMYFUNCTION("""COMPUTED_VALUE"""),46211.50072916667)</f>
        <v>46211.50073</v>
      </c>
      <c r="BI666" s="6">
        <f>IFERROR(__xludf.DUMMYFUNCTION("""COMPUTED_VALUE"""),667.0)</f>
        <v>667</v>
      </c>
      <c r="BJ666" s="6"/>
      <c r="BK666" s="6"/>
      <c r="BL666" s="6" t="str">
        <f>IFERROR(__xludf.DUMMYFUNCTION("""COMPUTED_VALUE"""),"GISVEL0008")</f>
        <v>GISVEL0008</v>
      </c>
      <c r="BM666" s="6"/>
      <c r="BN666" s="6"/>
      <c r="BO666" s="6"/>
      <c r="BP666" s="6"/>
      <c r="BQ666" s="6"/>
      <c r="BR666" s="6"/>
      <c r="BS666" s="6"/>
      <c r="BT666" s="6"/>
      <c r="BU666" s="6" t="str">
        <f>IFERROR(__xludf.DUMMYFUNCTION("""COMPUTED_VALUE"""),"NO")</f>
        <v>NO</v>
      </c>
      <c r="BV666" s="6" t="str">
        <f>IFERROR(__xludf.DUMMYFUNCTION("""COMPUTED_VALUE"""),"jeronimo.v2030")</f>
        <v>jeronimo.v2030</v>
      </c>
      <c r="BW666" s="6"/>
      <c r="BX666" s="6"/>
      <c r="BY666" s="6"/>
      <c r="BZ666" s="6"/>
    </row>
    <row r="667">
      <c r="A667" s="12">
        <f>IFERROR(__xludf.DUMMYFUNCTION("""COMPUTED_VALUE"""),1.092856036E9)</f>
        <v>1092856036</v>
      </c>
      <c r="B667" s="6">
        <f>IFERROR(__xludf.DUMMYFUNCTION("""COMPUTED_VALUE"""),46.0)</f>
        <v>46</v>
      </c>
      <c r="C667" s="6" t="str">
        <f>IFERROR(__xludf.DUMMYFUNCTION("""COMPUTED_VALUE"""),"Samuel")</f>
        <v>Samuel</v>
      </c>
      <c r="D667" s="6"/>
      <c r="E667" s="6" t="str">
        <f>IFERROR(__xludf.DUMMYFUNCTION("""COMPUTED_VALUE"""),"Vélez Tafur")</f>
        <v>Vélez Tafur</v>
      </c>
      <c r="F667" s="6" t="str">
        <f>IFERROR(__xludf.DUMMYFUNCTION("""COMPUTED_VALUE"""),"Condominio Jordan Campestre Casa 17 - Cra 6 13Nte - 30 Av Centenario")</f>
        <v>Condominio Jordan Campestre Casa 17 - Cra 6 13Nte - 30 Av Centenario</v>
      </c>
      <c r="G667" s="12" t="str">
        <f>IFERROR(__xludf.DUMMYFUNCTION("""COMPUTED_VALUE"""),"2012")</f>
        <v>2012</v>
      </c>
      <c r="H667" s="6" t="str">
        <f>IFERROR(__xludf.DUMMYFUNCTION("""COMPUTED_VALUE"""),"Mayo")</f>
        <v>Mayo</v>
      </c>
      <c r="I667" s="12" t="str">
        <f>IFERROR(__xludf.DUMMYFUNCTION("""COMPUTED_VALUE"""),"25")</f>
        <v>25</v>
      </c>
      <c r="J667" s="6" t="str">
        <f>IFERROR(__xludf.DUMMYFUNCTION("""COMPUTED_VALUE"""),"Armenia")</f>
        <v>Armenia</v>
      </c>
      <c r="K667" s="6" t="str">
        <f>IFERROR(__xludf.DUMMYFUNCTION("""COMPUTED_VALUE"""),"samuel.v2030@gi.edu.co")</f>
        <v>samuel.v2030@gi.edu.co</v>
      </c>
      <c r="L667" s="6" t="str">
        <f>IFERROR(__xludf.DUMMYFUNCTION("""COMPUTED_VALUE"""),"TI")</f>
        <v>TI</v>
      </c>
      <c r="M667" s="6" t="str">
        <f>IFERROR(__xludf.DUMMYFUNCTION("""COMPUTED_VALUE"""),"Armenia")</f>
        <v>Armenia</v>
      </c>
      <c r="N667" s="6" t="str">
        <f>IFERROR(__xludf.DUMMYFUNCTION("""COMPUTED_VALUE"""),"M")</f>
        <v>M</v>
      </c>
      <c r="O667" s="6" t="str">
        <f>IFERROR(__xludf.DUMMYFUNCTION("""COMPUTED_VALUE"""),"ACTIVE")</f>
        <v>ACTIVE</v>
      </c>
      <c r="P667" s="6"/>
      <c r="Q667" s="6" t="str">
        <f>IFERROR(__xludf.DUMMYFUNCTION("""COMPUTED_VALUE"""),"Armenia")</f>
        <v>Armenia</v>
      </c>
      <c r="R667" s="12" t="str">
        <f>IFERROR(__xludf.DUMMYFUNCTION("""COMPUTED_VALUE"""),"Gi6b5v4c3x*")</f>
        <v>Gi6b5v4c3x*</v>
      </c>
      <c r="S667" s="6" t="str">
        <f>IFERROR(__xludf.DUMMYFUNCTION("""COMPUTED_VALUE"""),"Vélez Tafur Samuel ")</f>
        <v>Vélez Tafur Samuel </v>
      </c>
      <c r="T667" s="6" t="str">
        <f>IFERROR(__xludf.DUMMYFUNCTION("""COMPUTED_VALUE"""),"LINA MARIA TAFUR ALZATE")</f>
        <v>LINA MARIA TAFUR ALZATE</v>
      </c>
      <c r="U667" s="12" t="str">
        <f>IFERROR(__xludf.DUMMYFUNCTION("""COMPUTED_VALUE"""),"41944841")</f>
        <v>41944841</v>
      </c>
      <c r="V667" s="6">
        <f>IFERROR(__xludf.DUMMYFUNCTION("""COMPUTED_VALUE"""),3.117644554E9)</f>
        <v>3117644554</v>
      </c>
      <c r="W667" s="6" t="str">
        <f>IFERROR(__xludf.DUMMYFUNCTION("""COMPUTED_VALUE"""),"linatafur@hotmail.com")</f>
        <v>linatafur@hotmail.com</v>
      </c>
      <c r="X667" s="12" t="str">
        <f>IFERROR(__xludf.DUMMYFUNCTION("""COMPUTED_VALUE"""),"A+")</f>
        <v>A+</v>
      </c>
      <c r="Y667" s="12" t="str">
        <f>IFERROR(__xludf.DUMMYFUNCTION("""COMPUTED_VALUE"""),"9")</f>
        <v>9</v>
      </c>
      <c r="Z667" s="12">
        <f>IFERROR(__xludf.DUMMYFUNCTION("""COMPUTED_VALUE"""),103528.0)</f>
        <v>103528</v>
      </c>
      <c r="AA667" s="6" t="str">
        <f>IFERROR(__xludf.DUMMYFUNCTION("""COMPUTED_VALUE"""),"SURA")</f>
        <v>SURA</v>
      </c>
      <c r="AB667" s="6" t="str">
        <f>IFERROR(__xludf.DUMMYFUNCTION("""COMPUTED_VALUE"""),"EMI")</f>
        <v>EMI</v>
      </c>
      <c r="AC667" s="12" t="str">
        <f>IFERROR(__xludf.DUMMYFUNCTION("""COMPUTED_VALUE"""),"acaros")</f>
        <v>acaros</v>
      </c>
      <c r="AD667" s="12" t="str">
        <f>IFERROR(__xludf.DUMMYFUNCTION("""COMPUTED_VALUE"""),"9A")</f>
        <v>9A</v>
      </c>
      <c r="AE667" s="12">
        <f>IFERROR(__xludf.DUMMYFUNCTION("""COMPUTED_VALUE"""),1.345281736E9)</f>
        <v>1345281736</v>
      </c>
      <c r="AF667" s="12" t="str">
        <f>IFERROR(__xludf.DUMMYFUNCTION("""COMPUTED_VALUE"""),"0670554339")</f>
        <v>0670554339</v>
      </c>
      <c r="AG667" s="12" t="str">
        <f>IFERROR(__xludf.DUMMYFUNCTION("""COMPUTED_VALUE"""),"Lina")</f>
        <v>Lina</v>
      </c>
      <c r="AH667" s="12" t="str">
        <f>IFERROR(__xludf.DUMMYFUNCTION("""COMPUTED_VALUE"""),"María")</f>
        <v>María</v>
      </c>
      <c r="AI667" s="6" t="str">
        <f>IFERROR(__xludf.DUMMYFUNCTION("""COMPUTED_VALUE"""),"Tafur Alzate")</f>
        <v>Tafur Alzate</v>
      </c>
      <c r="AJ667" s="6" t="str">
        <f>IFERROR(__xludf.DUMMYFUNCTION("""COMPUTED_VALUE"""),"linatafur@hotmail.com")</f>
        <v>linatafur@hotmail.com</v>
      </c>
      <c r="AK667" s="6" t="str">
        <f>IFERROR(__xludf.DUMMYFUNCTION("""COMPUTED_VALUE"""),"Administradora de empresas")</f>
        <v>Administradora de empresas</v>
      </c>
      <c r="AL667" s="6" t="str">
        <f>IFERROR(__xludf.DUMMYFUNCTION("""COMPUTED_VALUE"""),"Supermercado Laureles Mall paraiso")</f>
        <v>Supermercado Laureles Mall paraiso</v>
      </c>
      <c r="AM667" s="12" t="str">
        <f>IFERROR(__xludf.DUMMYFUNCTION("""COMPUTED_VALUE"""),"41944841")</f>
        <v>41944841</v>
      </c>
      <c r="AN667" s="12" t="str">
        <f>IFERROR(__xludf.DUMMYFUNCTION("""COMPUTED_VALUE"""),"3117644554")</f>
        <v>3117644554</v>
      </c>
      <c r="AO667" s="6" t="str">
        <f>IFERROR(__xludf.DUMMYFUNCTION("""COMPUTED_VALUE"""),"Madre")</f>
        <v>Madre</v>
      </c>
      <c r="AP667" s="6" t="str">
        <f>IFERROR(__xludf.DUMMYFUNCTION("""COMPUTED_VALUE"""),"Estudiante(s): Vélez Tafur")</f>
        <v>Estudiante(s): Vélez Tafur</v>
      </c>
      <c r="AQ667" s="6" t="str">
        <f>IFERROR(__xludf.DUMMYFUNCTION("""COMPUTED_VALUE"""),"103528*Gi")</f>
        <v>103528*Gi</v>
      </c>
      <c r="AR667" s="6" t="str">
        <f>IFERROR(__xludf.DUMMYFUNCTION("""COMPUTED_VALUE"""),"Paulo")</f>
        <v>Paulo</v>
      </c>
      <c r="AS667" s="6" t="str">
        <f>IFERROR(__xludf.DUMMYFUNCTION("""COMPUTED_VALUE"""),"César")</f>
        <v>César</v>
      </c>
      <c r="AT667" s="6" t="str">
        <f>IFERROR(__xludf.DUMMYFUNCTION("""COMPUTED_VALUE"""),"Vélez López")</f>
        <v>Vélez López</v>
      </c>
      <c r="AU667" s="6" t="str">
        <f>IFERROR(__xludf.DUMMYFUNCTION("""COMPUTED_VALUE"""),"gatofelix79@hotmail.com")</f>
        <v>gatofelix79@hotmail.com</v>
      </c>
      <c r="AV667" s="6" t="str">
        <f>IFERROR(__xludf.DUMMYFUNCTION("""COMPUTED_VALUE"""),"COMERCIANTE")</f>
        <v>COMERCIANTE</v>
      </c>
      <c r="AW667" s="6" t="str">
        <f>IFERROR(__xludf.DUMMYFUNCTION("""COMPUTED_VALUE"""),"TOTAL ASEO")</f>
        <v>TOTAL ASEO</v>
      </c>
      <c r="AX667" s="12" t="str">
        <f>IFERROR(__xludf.DUMMYFUNCTION("""COMPUTED_VALUE"""),"89006033")</f>
        <v>89006033</v>
      </c>
      <c r="AY667" s="12" t="str">
        <f>IFERROR(__xludf.DUMMYFUNCTION("""COMPUTED_VALUE"""),"3006547581")</f>
        <v>3006547581</v>
      </c>
      <c r="AZ667" s="6" t="str">
        <f>IFERROR(__xludf.DUMMYFUNCTION("""COMPUTED_VALUE"""),"Padre")</f>
        <v>Padre</v>
      </c>
      <c r="BA667" s="6"/>
      <c r="BB667" s="6"/>
      <c r="BC667" s="6"/>
      <c r="BD667" s="12" t="str">
        <f>IFERROR(__xludf.DUMMYFUNCTION("""COMPUTED_VALUE"""),"vle0004")</f>
        <v>vle0004</v>
      </c>
      <c r="BE667" s="6"/>
      <c r="BF667" s="6"/>
      <c r="BG667" s="6">
        <f>IFERROR(__xludf.DUMMYFUNCTION("""COMPUTED_VALUE"""),2030.0)</f>
        <v>2030</v>
      </c>
      <c r="BH667" s="15">
        <f>IFERROR(__xludf.DUMMYFUNCTION("""COMPUTED_VALUE"""),46211.61115740741)</f>
        <v>46211.61116</v>
      </c>
      <c r="BI667" s="6">
        <f>IFERROR(__xludf.DUMMYFUNCTION("""COMPUTED_VALUE"""),668.0)</f>
        <v>668</v>
      </c>
      <c r="BJ667" s="6" t="str">
        <f>IFERROR(__xludf.DUMMYFUNCTION("""COMPUTED_VALUE"""),"SIMAT: trastorno por déficit de atención con o sin hiperactividad (Nov 13 2024)")</f>
        <v>SIMAT: trastorno por déficit de atención con o sin hiperactividad (Nov 13 2024)</v>
      </c>
      <c r="BK667" s="6"/>
      <c r="BL667" s="6" t="str">
        <f>IFERROR(__xludf.DUMMYFUNCTION("""COMPUTED_VALUE"""),"GISVLE0004")</f>
        <v>GISVLE0004</v>
      </c>
      <c r="BM667" s="6"/>
      <c r="BN667" s="6"/>
      <c r="BO667" s="6" t="str">
        <f>IFERROR(__xludf.DUMMYFUNCTION("""COMPUTED_VALUE"""),"XC_SEC_Basquetbol")</f>
        <v>XC_SEC_Basquetbol</v>
      </c>
      <c r="BP667" s="6"/>
      <c r="BQ667" s="6" t="str">
        <f>IFERROR(__xludf.DUMMYFUNCTION("""COMPUTED_VALUE"""),"XC_SEC_Basquetbol")</f>
        <v>XC_SEC_Basquetbol</v>
      </c>
      <c r="BR667" s="6" t="str">
        <f>IFERROR(__xludf.DUMMYFUNCTION("""COMPUTED_VALUE"""),"XC_SEC_Basquetbol")</f>
        <v>XC_SEC_Basquetbol</v>
      </c>
      <c r="BS667" s="6"/>
      <c r="BT667" s="6" t="str">
        <f>IFERROR(__xludf.DUMMYFUNCTION("""COMPUTED_VALUE"""),"XC_SEC_Basquetbol")</f>
        <v>XC_SEC_Basquetbol</v>
      </c>
      <c r="BU667" s="6" t="str">
        <f>IFERROR(__xludf.DUMMYFUNCTION("""COMPUTED_VALUE"""),"SI")</f>
        <v>SI</v>
      </c>
      <c r="BV667" s="6" t="str">
        <f>IFERROR(__xludf.DUMMYFUNCTION("""COMPUTED_VALUE"""),"samuel.v2030")</f>
        <v>samuel.v2030</v>
      </c>
      <c r="BW667" s="6"/>
      <c r="BX667" s="6"/>
      <c r="BY667" s="6"/>
      <c r="BZ667" s="6"/>
    </row>
    <row r="668">
      <c r="A668" s="12">
        <f>IFERROR(__xludf.DUMMYFUNCTION("""COMPUTED_VALUE"""),1.092856125E9)</f>
        <v>1092856125</v>
      </c>
      <c r="B668" s="6">
        <f>IFERROR(__xludf.DUMMYFUNCTION("""COMPUTED_VALUE"""),47.0)</f>
        <v>47</v>
      </c>
      <c r="C668" s="6" t="str">
        <f>IFERROR(__xludf.DUMMYFUNCTION("""COMPUTED_VALUE"""),"Amelia")</f>
        <v>Amelia</v>
      </c>
      <c r="D668" s="6"/>
      <c r="E668" s="6" t="str">
        <f>IFERROR(__xludf.DUMMYFUNCTION("""COMPUTED_VALUE"""),"Zabala Restrepo")</f>
        <v>Zabala Restrepo</v>
      </c>
      <c r="F668" s="6" t="str">
        <f>IFERROR(__xludf.DUMMYFUNCTION("""COMPUTED_VALUE"""),"Sauzalito Campestre Casa 33 - Km 7 Via Armenia después de la bomba del EXITO Vereda Los Pinos")</f>
        <v>Sauzalito Campestre Casa 33 - Km 7 Via Armenia después de la bomba del EXITO Vereda Los Pinos</v>
      </c>
      <c r="G668" s="12" t="str">
        <f>IFERROR(__xludf.DUMMYFUNCTION("""COMPUTED_VALUE"""),"2012")</f>
        <v>2012</v>
      </c>
      <c r="H668" s="6" t="str">
        <f>IFERROR(__xludf.DUMMYFUNCTION("""COMPUTED_VALUE"""),"Julio")</f>
        <v>Julio</v>
      </c>
      <c r="I668" s="12" t="str">
        <f>IFERROR(__xludf.DUMMYFUNCTION("""COMPUTED_VALUE"""),"14")</f>
        <v>14</v>
      </c>
      <c r="J668" s="6" t="str">
        <f>IFERROR(__xludf.DUMMYFUNCTION("""COMPUTED_VALUE"""),"Armenia")</f>
        <v>Armenia</v>
      </c>
      <c r="K668" s="6" t="str">
        <f>IFERROR(__xludf.DUMMYFUNCTION("""COMPUTED_VALUE"""),"amelia.z2030@gi.edu.co")</f>
        <v>amelia.z2030@gi.edu.co</v>
      </c>
      <c r="L668" s="6" t="str">
        <f>IFERROR(__xludf.DUMMYFUNCTION("""COMPUTED_VALUE"""),"TI")</f>
        <v>TI</v>
      </c>
      <c r="M668" s="6" t="str">
        <f>IFERROR(__xludf.DUMMYFUNCTION("""COMPUTED_VALUE"""),"Armenia")</f>
        <v>Armenia</v>
      </c>
      <c r="N668" s="6" t="str">
        <f>IFERROR(__xludf.DUMMYFUNCTION("""COMPUTED_VALUE"""),"F")</f>
        <v>F</v>
      </c>
      <c r="O668" s="6" t="str">
        <f>IFERROR(__xludf.DUMMYFUNCTION("""COMPUTED_VALUE"""),"INACTIVE")</f>
        <v>INACTIVE</v>
      </c>
      <c r="P668" s="6"/>
      <c r="Q668" s="6" t="str">
        <f>IFERROR(__xludf.DUMMYFUNCTION("""COMPUTED_VALUE"""),"Armenia")</f>
        <v>Armenia</v>
      </c>
      <c r="R668" s="12" t="str">
        <f>IFERROR(__xludf.DUMMYFUNCTION("""COMPUTED_VALUE"""),"Giccdd2233*")</f>
        <v>Giccdd2233*</v>
      </c>
      <c r="S668" s="6" t="str">
        <f>IFERROR(__xludf.DUMMYFUNCTION("""COMPUTED_VALUE"""),"Zabala Restrepo Amelia ")</f>
        <v>Zabala Restrepo Amelia </v>
      </c>
      <c r="T668" s="6" t="str">
        <f>IFERROR(__xludf.DUMMYFUNCTION("""COMPUTED_VALUE"""),"MÓNICA MARÍA RESTREPO PÉREZ")</f>
        <v>MÓNICA MARÍA RESTREPO PÉREZ</v>
      </c>
      <c r="U668" s="12" t="str">
        <f>IFERROR(__xludf.DUMMYFUNCTION("""COMPUTED_VALUE"""),"52251600")</f>
        <v>52251600</v>
      </c>
      <c r="V668" s="6">
        <f>IFERROR(__xludf.DUMMYFUNCTION("""COMPUTED_VALUE"""),3.104873638E9)</f>
        <v>3104873638</v>
      </c>
      <c r="W668" s="6" t="str">
        <f>IFERROR(__xludf.DUMMYFUNCTION("""COMPUTED_VALUE"""),"mmrpso@hotmail.com")</f>
        <v>mmrpso@hotmail.com</v>
      </c>
      <c r="X668" s="12" t="str">
        <f>IFERROR(__xludf.DUMMYFUNCTION("""COMPUTED_VALUE"""),"O+")</f>
        <v>O+</v>
      </c>
      <c r="Y668" s="12" t="str">
        <f>IFERROR(__xludf.DUMMYFUNCTION("""COMPUTED_VALUE"""),"9")</f>
        <v>9</v>
      </c>
      <c r="Z668" s="12">
        <f>IFERROR(__xludf.DUMMYFUNCTION("""COMPUTED_VALUE"""),103149.0)</f>
        <v>103149</v>
      </c>
      <c r="AA668" s="6" t="str">
        <f>IFERROR(__xludf.DUMMYFUNCTION("""COMPUTED_VALUE"""),"SURA")</f>
        <v>SURA</v>
      </c>
      <c r="AB668" s="6"/>
      <c r="AC668" s="6"/>
      <c r="AD668" s="12" t="str">
        <f>IFERROR(__xludf.DUMMYFUNCTION("""COMPUTED_VALUE"""),"9B")</f>
        <v>9B</v>
      </c>
      <c r="AE668" s="12">
        <f>IFERROR(__xludf.DUMMYFUNCTION("""COMPUTED_VALUE"""),1.34528155E9)</f>
        <v>1345281550</v>
      </c>
      <c r="AF668" s="12" t="str">
        <f>IFERROR(__xludf.DUMMYFUNCTION("""COMPUTED_VALUE"""),"0676450931")</f>
        <v>0676450931</v>
      </c>
      <c r="AG668" s="12" t="str">
        <f>IFERROR(__xludf.DUMMYFUNCTION("""COMPUTED_VALUE"""),"Mónica")</f>
        <v>Mónica</v>
      </c>
      <c r="AH668" s="12" t="str">
        <f>IFERROR(__xludf.DUMMYFUNCTION("""COMPUTED_VALUE"""),"María")</f>
        <v>María</v>
      </c>
      <c r="AI668" s="6" t="str">
        <f>IFERROR(__xludf.DUMMYFUNCTION("""COMPUTED_VALUE"""),"Restrepo Pérez")</f>
        <v>Restrepo Pérez</v>
      </c>
      <c r="AJ668" s="6" t="str">
        <f>IFERROR(__xludf.DUMMYFUNCTION("""COMPUTED_VALUE"""),"mmrpso@hotmail.com")</f>
        <v>mmrpso@hotmail.com</v>
      </c>
      <c r="AK668" s="6" t="str">
        <f>IFERROR(__xludf.DUMMYFUNCTION("""COMPUTED_VALUE"""),"cirujano maxilofacial")</f>
        <v>cirujano maxilofacial</v>
      </c>
      <c r="AL668" s="6" t="str">
        <f>IFERROR(__xludf.DUMMYFUNCTION("""COMPUTED_VALUE"""),"Oralmaxi")</f>
        <v>Oralmaxi</v>
      </c>
      <c r="AM668" s="12" t="str">
        <f>IFERROR(__xludf.DUMMYFUNCTION("""COMPUTED_VALUE"""),"52251600")</f>
        <v>52251600</v>
      </c>
      <c r="AN668" s="12" t="str">
        <f>IFERROR(__xludf.DUMMYFUNCTION("""COMPUTED_VALUE"""),"3104873638")</f>
        <v>3104873638</v>
      </c>
      <c r="AO668" s="6" t="str">
        <f>IFERROR(__xludf.DUMMYFUNCTION("""COMPUTED_VALUE"""),"Madre")</f>
        <v>Madre</v>
      </c>
      <c r="AP668" s="6" t="str">
        <f>IFERROR(__xludf.DUMMYFUNCTION("""COMPUTED_VALUE"""),"Estudiante(s): Zabala Restrepo")</f>
        <v>Estudiante(s): Zabala Restrepo</v>
      </c>
      <c r="AQ668" s="6" t="str">
        <f>IFERROR(__xludf.DUMMYFUNCTION("""COMPUTED_VALUE"""),"103038*Gi")</f>
        <v>103038*Gi</v>
      </c>
      <c r="AR668" s="6" t="str">
        <f>IFERROR(__xludf.DUMMYFUNCTION("""COMPUTED_VALUE"""),"Alexander")</f>
        <v>Alexander</v>
      </c>
      <c r="AS668" s="6"/>
      <c r="AT668" s="6" t="str">
        <f>IFERROR(__xludf.DUMMYFUNCTION("""COMPUTED_VALUE"""),"Zabala Castaño")</f>
        <v>Zabala Castaño</v>
      </c>
      <c r="AU668" s="6" t="str">
        <f>IFERROR(__xludf.DUMMYFUNCTION("""COMPUTED_VALUE"""),"oralmaxi75@gmail.com")</f>
        <v>oralmaxi75@gmail.com</v>
      </c>
      <c r="AV668" s="6"/>
      <c r="AW668" s="6"/>
      <c r="AX668" s="12" t="str">
        <f>IFERROR(__xludf.DUMMYFUNCTION("""COMPUTED_VALUE"""),"89008033")</f>
        <v>89008033</v>
      </c>
      <c r="AY668" s="12" t="str">
        <f>IFERROR(__xludf.DUMMYFUNCTION("""COMPUTED_VALUE"""),"3206765886")</f>
        <v>3206765886</v>
      </c>
      <c r="AZ668" s="6" t="str">
        <f>IFERROR(__xludf.DUMMYFUNCTION("""COMPUTED_VALUE"""),"Padre")</f>
        <v>Padre</v>
      </c>
      <c r="BA668" s="6"/>
      <c r="BB668" s="6"/>
      <c r="BC668" s="6"/>
      <c r="BD668" s="12" t="str">
        <f>IFERROR(__xludf.DUMMYFUNCTION("""COMPUTED_VALUE"""),"zab0001")</f>
        <v>zab0001</v>
      </c>
      <c r="BE668" s="6" t="str">
        <f>IFERROR(__xludf.DUMMYFUNCTION("""COMPUTED_VALUE"""),"FALTAN FIRMAS")</f>
        <v>FALTAN FIRMAS</v>
      </c>
      <c r="BF668" s="6"/>
      <c r="BG668" s="6">
        <f>IFERROR(__xludf.DUMMYFUNCTION("""COMPUTED_VALUE"""),2030.0)</f>
        <v>2030</v>
      </c>
      <c r="BH668" s="15">
        <f>IFERROR(__xludf.DUMMYFUNCTION("""COMPUTED_VALUE"""),46228.67086805555)</f>
        <v>46228.67087</v>
      </c>
      <c r="BI668" s="6">
        <f>IFERROR(__xludf.DUMMYFUNCTION("""COMPUTED_VALUE"""),669.0)</f>
        <v>669</v>
      </c>
      <c r="BJ668" s="6"/>
      <c r="BK668" s="6"/>
      <c r="BL668" s="6" t="str">
        <f>IFERROR(__xludf.DUMMYFUNCTION("""COMPUTED_VALUE"""),"GISZAB0001")</f>
        <v>GISZAB0001</v>
      </c>
      <c r="BM668" s="6"/>
      <c r="BN668" s="6"/>
      <c r="BO668" s="6"/>
      <c r="BP668" s="6"/>
      <c r="BQ668" s="6"/>
      <c r="BR668" s="6"/>
      <c r="BS668" s="6"/>
      <c r="BT668" s="6"/>
      <c r="BU668" s="6" t="str">
        <f>IFERROR(__xludf.DUMMYFUNCTION("""COMPUTED_VALUE"""),"SI")</f>
        <v>SI</v>
      </c>
      <c r="BV668" s="6" t="str">
        <f>IFERROR(__xludf.DUMMYFUNCTION("""COMPUTED_VALUE"""),"amelia.z2030")</f>
        <v>amelia.z2030</v>
      </c>
      <c r="BW668" s="6"/>
      <c r="BX668" s="6"/>
      <c r="BY668" s="6"/>
      <c r="BZ668" s="6"/>
    </row>
    <row r="669">
      <c r="A669" s="12">
        <f>IFERROR(__xludf.DUMMYFUNCTION("""COMPUTED_VALUE"""),1.10992549E9)</f>
        <v>1109925490</v>
      </c>
      <c r="B669" s="6">
        <f>IFERROR(__xludf.DUMMYFUNCTION("""COMPUTED_VALUE"""),48.0)</f>
        <v>48</v>
      </c>
      <c r="C669" s="6" t="str">
        <f>IFERROR(__xludf.DUMMYFUNCTION("""COMPUTED_VALUE"""),"Simón")</f>
        <v>Simón</v>
      </c>
      <c r="D669" s="6"/>
      <c r="E669" s="6" t="str">
        <f>IFERROR(__xludf.DUMMYFUNCTION("""COMPUTED_VALUE"""),"Zuluaga López")</f>
        <v>Zuluaga López</v>
      </c>
      <c r="F669" s="6" t="str">
        <f>IFERROR(__xludf.DUMMYFUNCTION("""COMPUTED_VALUE"""),"Calle 24Nte No5 - 07 - Av Centenario")</f>
        <v>Calle 24Nte No5 - 07 - Av Centenario</v>
      </c>
      <c r="G669" s="12" t="str">
        <f>IFERROR(__xludf.DUMMYFUNCTION("""COMPUTED_VALUE"""),"2012")</f>
        <v>2012</v>
      </c>
      <c r="H669" s="6" t="str">
        <f>IFERROR(__xludf.DUMMYFUNCTION("""COMPUTED_VALUE"""),"Enero")</f>
        <v>Enero</v>
      </c>
      <c r="I669" s="12" t="str">
        <f>IFERROR(__xludf.DUMMYFUNCTION("""COMPUTED_VALUE"""),"10")</f>
        <v>10</v>
      </c>
      <c r="J669" s="6" t="str">
        <f>IFERROR(__xludf.DUMMYFUNCTION("""COMPUTED_VALUE"""),"Cali")</f>
        <v>Cali</v>
      </c>
      <c r="K669" s="6" t="str">
        <f>IFERROR(__xludf.DUMMYFUNCTION("""COMPUTED_VALUE"""),"simon.z2030@gi.edu.co")</f>
        <v>simon.z2030@gi.edu.co</v>
      </c>
      <c r="L669" s="6" t="str">
        <f>IFERROR(__xludf.DUMMYFUNCTION("""COMPUTED_VALUE"""),"TI")</f>
        <v>TI</v>
      </c>
      <c r="M669" s="6" t="str">
        <f>IFERROR(__xludf.DUMMYFUNCTION("""COMPUTED_VALUE"""),"Cali")</f>
        <v>Cali</v>
      </c>
      <c r="N669" s="6" t="str">
        <f>IFERROR(__xludf.DUMMYFUNCTION("""COMPUTED_VALUE"""),"M")</f>
        <v>M</v>
      </c>
      <c r="O669" s="6" t="str">
        <f>IFERROR(__xludf.DUMMYFUNCTION("""COMPUTED_VALUE"""),"ACTIVE")</f>
        <v>ACTIVE</v>
      </c>
      <c r="P669" s="6"/>
      <c r="Q669" s="6" t="str">
        <f>IFERROR(__xludf.DUMMYFUNCTION("""COMPUTED_VALUE"""),"Armenia")</f>
        <v>Armenia</v>
      </c>
      <c r="R669" s="12" t="str">
        <f>IFERROR(__xludf.DUMMYFUNCTION("""COMPUTED_VALUE"""),"Giw3t529j*")</f>
        <v>Giw3t529j*</v>
      </c>
      <c r="S669" s="6" t="str">
        <f>IFERROR(__xludf.DUMMYFUNCTION("""COMPUTED_VALUE"""),"Zuluaga López Simón ")</f>
        <v>Zuluaga López Simón </v>
      </c>
      <c r="T669" s="6" t="str">
        <f>IFERROR(__xludf.DUMMYFUNCTION("""COMPUTED_VALUE"""),"ARLEY ANTONIO ZULUAGA GIRALDO")</f>
        <v>ARLEY ANTONIO ZULUAGA GIRALDO</v>
      </c>
      <c r="U669" s="12" t="str">
        <f>IFERROR(__xludf.DUMMYFUNCTION("""COMPUTED_VALUE"""),"94379372")</f>
        <v>94379372</v>
      </c>
      <c r="V669" s="6">
        <f>IFERROR(__xludf.DUMMYFUNCTION("""COMPUTED_VALUE"""),3.225397384E9)</f>
        <v>3225397384</v>
      </c>
      <c r="W669" s="6" t="str">
        <f>IFERROR(__xludf.DUMMYFUNCTION("""COMPUTED_VALUE"""),"zuluaga1772@gmail.com")</f>
        <v>zuluaga1772@gmail.com</v>
      </c>
      <c r="X669" s="12" t="str">
        <f>IFERROR(__xludf.DUMMYFUNCTION("""COMPUTED_VALUE"""),"A+")</f>
        <v>A+</v>
      </c>
      <c r="Y669" s="12" t="str">
        <f>IFERROR(__xludf.DUMMYFUNCTION("""COMPUTED_VALUE"""),"9")</f>
        <v>9</v>
      </c>
      <c r="Z669" s="12">
        <f>IFERROR(__xludf.DUMMYFUNCTION("""COMPUTED_VALUE"""),120099.0)</f>
        <v>120099</v>
      </c>
      <c r="AA669" s="6" t="str">
        <f>IFERROR(__xludf.DUMMYFUNCTION("""COMPUTED_VALUE"""),"OTRA")</f>
        <v>OTRA</v>
      </c>
      <c r="AB669" s="6"/>
      <c r="AC669" s="6"/>
      <c r="AD669" s="12" t="str">
        <f>IFERROR(__xludf.DUMMYFUNCTION("""COMPUTED_VALUE"""),"9A")</f>
        <v>9A</v>
      </c>
      <c r="AE669" s="12">
        <f>IFERROR(__xludf.DUMMYFUNCTION("""COMPUTED_VALUE"""),1.345282071E9)</f>
        <v>1345282071</v>
      </c>
      <c r="AF669" s="12" t="str">
        <f>IFERROR(__xludf.DUMMYFUNCTION("""COMPUTED_VALUE"""),"0677337363")</f>
        <v>0677337363</v>
      </c>
      <c r="AG669" s="12" t="str">
        <f>IFERROR(__xludf.DUMMYFUNCTION("""COMPUTED_VALUE"""),"Doreley")</f>
        <v>Doreley</v>
      </c>
      <c r="AH669" s="6"/>
      <c r="AI669" s="6" t="str">
        <f>IFERROR(__xludf.DUMMYFUNCTION("""COMPUTED_VALUE"""),"López Toro")</f>
        <v>López Toro</v>
      </c>
      <c r="AJ669" s="6" t="str">
        <f>IFERROR(__xludf.DUMMYFUNCTION("""COMPUTED_VALUE"""),"doreley19@hotmail.com")</f>
        <v>doreley19@hotmail.com</v>
      </c>
      <c r="AK669" s="6" t="str">
        <f>IFERROR(__xludf.DUMMYFUNCTION("""COMPUTED_VALUE"""),"comerciante")</f>
        <v>comerciante</v>
      </c>
      <c r="AL669" s="6" t="str">
        <f>IFERROR(__xludf.DUMMYFUNCTION("""COMPUTED_VALUE"""),"la casa del pandebono")</f>
        <v>la casa del pandebono</v>
      </c>
      <c r="AM669" s="12" t="str">
        <f>IFERROR(__xludf.DUMMYFUNCTION("""COMPUTED_VALUE"""),"29670680")</f>
        <v>29670680</v>
      </c>
      <c r="AN669" s="12" t="str">
        <f>IFERROR(__xludf.DUMMYFUNCTION("""COMPUTED_VALUE"""),"3218007466")</f>
        <v>3218007466</v>
      </c>
      <c r="AO669" s="6" t="str">
        <f>IFERROR(__xludf.DUMMYFUNCTION("""COMPUTED_VALUE"""),"Madre")</f>
        <v>Madre</v>
      </c>
      <c r="AP669" s="6" t="str">
        <f>IFERROR(__xludf.DUMMYFUNCTION("""COMPUTED_VALUE"""),"Estudiante(s): Zuluaga López")</f>
        <v>Estudiante(s): Zuluaga López</v>
      </c>
      <c r="AQ669" s="6" t="str">
        <f>IFERROR(__xludf.DUMMYFUNCTION("""COMPUTED_VALUE"""),"120099*Gi")</f>
        <v>120099*Gi</v>
      </c>
      <c r="AR669" s="6" t="str">
        <f>IFERROR(__xludf.DUMMYFUNCTION("""COMPUTED_VALUE"""),"Arley")</f>
        <v>Arley</v>
      </c>
      <c r="AS669" s="6" t="str">
        <f>IFERROR(__xludf.DUMMYFUNCTION("""COMPUTED_VALUE"""),"Antonio")</f>
        <v>Antonio</v>
      </c>
      <c r="AT669" s="6" t="str">
        <f>IFERROR(__xludf.DUMMYFUNCTION("""COMPUTED_VALUE"""),"Zuluaga Giraldo")</f>
        <v>Zuluaga Giraldo</v>
      </c>
      <c r="AU669" s="6" t="str">
        <f>IFERROR(__xludf.DUMMYFUNCTION("""COMPUTED_VALUE"""),"zuluaga1772@gmail.com")</f>
        <v>zuluaga1772@gmail.com</v>
      </c>
      <c r="AV669" s="6" t="str">
        <f>IFERROR(__xludf.DUMMYFUNCTION("""COMPUTED_VALUE"""),"comerciante")</f>
        <v>comerciante</v>
      </c>
      <c r="AW669" s="6" t="str">
        <f>IFERROR(__xludf.DUMMYFUNCTION("""COMPUTED_VALUE"""),"panaderia peter pan san jose")</f>
        <v>panaderia peter pan san jose</v>
      </c>
      <c r="AX669" s="12" t="str">
        <f>IFERROR(__xludf.DUMMYFUNCTION("""COMPUTED_VALUE"""),"94379372")</f>
        <v>94379372</v>
      </c>
      <c r="AY669" s="12" t="str">
        <f>IFERROR(__xludf.DUMMYFUNCTION("""COMPUTED_VALUE"""),"3225397384")</f>
        <v>3225397384</v>
      </c>
      <c r="AZ669" s="6" t="str">
        <f>IFERROR(__xludf.DUMMYFUNCTION("""COMPUTED_VALUE"""),"Padre")</f>
        <v>Padre</v>
      </c>
      <c r="BA669" s="6"/>
      <c r="BB669" s="6"/>
      <c r="BC669" s="6"/>
      <c r="BD669" s="12" t="str">
        <f>IFERROR(__xludf.DUMMYFUNCTION("""COMPUTED_VALUE"""),"zul0001")</f>
        <v>zul0001</v>
      </c>
      <c r="BE669" s="6"/>
      <c r="BF669" s="6"/>
      <c r="BG669" s="6">
        <f>IFERROR(__xludf.DUMMYFUNCTION("""COMPUTED_VALUE"""),2030.0)</f>
        <v>2030</v>
      </c>
      <c r="BH669" s="15">
        <f>IFERROR(__xludf.DUMMYFUNCTION("""COMPUTED_VALUE"""),46205.525196759256)</f>
        <v>46205.5252</v>
      </c>
      <c r="BI669" s="6">
        <f>IFERROR(__xludf.DUMMYFUNCTION("""COMPUTED_VALUE"""),670.0)</f>
        <v>670</v>
      </c>
      <c r="BJ669" s="6"/>
      <c r="BK669" s="6"/>
      <c r="BL669" s="6" t="str">
        <f>IFERROR(__xludf.DUMMYFUNCTION("""COMPUTED_VALUE"""),"GISZUL0001")</f>
        <v>GISZUL0001</v>
      </c>
      <c r="BM669" s="6"/>
      <c r="BN669" s="6"/>
      <c r="BO669" s="6" t="str">
        <f>IFERROR(__xludf.DUMMYFUNCTION("""COMPUTED_VALUE"""),"XC_HS_Futbol_M")</f>
        <v>XC_HS_Futbol_M</v>
      </c>
      <c r="BP669" s="6"/>
      <c r="BQ669" s="6" t="str">
        <f>IFERROR(__xludf.DUMMYFUNCTION("""COMPUTED_VALUE"""),"XC_HS_Futbol_M")</f>
        <v>XC_HS_Futbol_M</v>
      </c>
      <c r="BR669" s="6" t="str">
        <f>IFERROR(__xludf.DUMMYFUNCTION("""COMPUTED_VALUE"""),"XC_HS_Futbol_M")</f>
        <v>XC_HS_Futbol_M</v>
      </c>
      <c r="BS669" s="6"/>
      <c r="BT669" s="6" t="str">
        <f>IFERROR(__xludf.DUMMYFUNCTION("""COMPUTED_VALUE"""),"XC_HS_Futbol_M")</f>
        <v>XC_HS_Futbol_M</v>
      </c>
      <c r="BU669" s="6" t="str">
        <f>IFERROR(__xludf.DUMMYFUNCTION("""COMPUTED_VALUE"""),"SI")</f>
        <v>SI</v>
      </c>
      <c r="BV669" s="6" t="str">
        <f>IFERROR(__xludf.DUMMYFUNCTION("""COMPUTED_VALUE"""),"simon.z2030")</f>
        <v>simon.z2030</v>
      </c>
      <c r="BW669" s="6"/>
      <c r="BX669" s="6"/>
      <c r="BY669" s="6"/>
      <c r="B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 t="str">
        <f>IFERROR(__xludf.DUMMYFUNCTION("""COMPUTED_VALUE"""),"Madre")</f>
        <v>Madre</v>
      </c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 t="str">
        <f>IFERROR(__xludf.DUMMYFUNCTION("""COMPUTED_VALUE"""),"Padre")</f>
        <v>Padre</v>
      </c>
      <c r="BA670" s="6"/>
      <c r="BB670" s="6"/>
      <c r="BC670" s="6"/>
      <c r="BD670" s="6"/>
      <c r="BE670" s="6"/>
      <c r="BF670" s="6"/>
      <c r="BG670" s="6"/>
      <c r="BH670" s="6"/>
      <c r="BI670" s="6">
        <f>IFERROR(__xludf.DUMMYFUNCTION("""COMPUTED_VALUE"""),671.0)</f>
        <v>671</v>
      </c>
      <c r="BJ670" s="6"/>
      <c r="BK670" s="6"/>
      <c r="BL670" s="6"/>
      <c r="BM670" s="6"/>
      <c r="BN670" s="6"/>
      <c r="BO670" s="6"/>
      <c r="BP670" s="6"/>
      <c r="BQ670" s="6"/>
      <c r="BR670" s="6"/>
      <c r="BS670" s="6"/>
      <c r="BT670" s="6"/>
      <c r="BU670" s="6"/>
      <c r="BV670" s="6"/>
      <c r="BW670" s="6"/>
      <c r="BX670" s="6"/>
      <c r="BY670" s="6"/>
      <c r="BZ670" s="6"/>
    </row>
    <row r="671">
      <c r="A671" s="12">
        <f>IFERROR(__xludf.DUMMYFUNCTION("""COMPUTED_VALUE"""),1.090277167E9)</f>
        <v>1090277167</v>
      </c>
      <c r="B671" s="6">
        <f>IFERROR(__xludf.DUMMYFUNCTION("""COMPUTED_VALUE"""),1.0)</f>
        <v>1</v>
      </c>
      <c r="C671" s="6" t="str">
        <f>IFERROR(__xludf.DUMMYFUNCTION("""COMPUTED_VALUE"""),"Scarleth")</f>
        <v>Scarleth</v>
      </c>
      <c r="D671" s="6"/>
      <c r="E671" s="6" t="str">
        <f>IFERROR(__xludf.DUMMYFUNCTION("""COMPUTED_VALUE"""),"Agudelo Ceballos")</f>
        <v>Agudelo Ceballos</v>
      </c>
      <c r="F671" s="6" t="str">
        <f>IFERROR(__xludf.DUMMYFUNCTION("""COMPUTED_VALUE"""),"Via La Tebaida Conjunto San Antonio Casa 20 / Correspondencia: B/Popular Cra 32 No23-32")</f>
        <v>Via La Tebaida Conjunto San Antonio Casa 20 / Correspondencia: B/Popular Cra 32 No23-32</v>
      </c>
      <c r="G671" s="12" t="str">
        <f>IFERROR(__xludf.DUMMYFUNCTION("""COMPUTED_VALUE"""),"2011")</f>
        <v>2011</v>
      </c>
      <c r="H671" s="6" t="str">
        <f>IFERROR(__xludf.DUMMYFUNCTION("""COMPUTED_VALUE"""),"Abril")</f>
        <v>Abril</v>
      </c>
      <c r="I671" s="12" t="str">
        <f>IFERROR(__xludf.DUMMYFUNCTION("""COMPUTED_VALUE"""),"8")</f>
        <v>8</v>
      </c>
      <c r="J671" s="6" t="str">
        <f>IFERROR(__xludf.DUMMYFUNCTION("""COMPUTED_VALUE"""),"Armenia")</f>
        <v>Armenia</v>
      </c>
      <c r="K671" s="6" t="str">
        <f>IFERROR(__xludf.DUMMYFUNCTION("""COMPUTED_VALUE"""),"scarleth.a2029@gi.edu.co")</f>
        <v>scarleth.a2029@gi.edu.co</v>
      </c>
      <c r="L671" s="6" t="str">
        <f>IFERROR(__xludf.DUMMYFUNCTION("""COMPUTED_VALUE"""),"TI")</f>
        <v>TI</v>
      </c>
      <c r="M671" s="6" t="str">
        <f>IFERROR(__xludf.DUMMYFUNCTION("""COMPUTED_VALUE"""),"Armenia")</f>
        <v>Armenia</v>
      </c>
      <c r="N671" s="6" t="str">
        <f>IFERROR(__xludf.DUMMYFUNCTION("""COMPUTED_VALUE"""),"F")</f>
        <v>F</v>
      </c>
      <c r="O671" s="6" t="str">
        <f>IFERROR(__xludf.DUMMYFUNCTION("""COMPUTED_VALUE"""),"ACTIVE")</f>
        <v>ACTIVE</v>
      </c>
      <c r="P671" s="6"/>
      <c r="Q671" s="6" t="str">
        <f>IFERROR(__xludf.DUMMYFUNCTION("""COMPUTED_VALUE"""),"Armenia")</f>
        <v>Armenia</v>
      </c>
      <c r="R671" s="12" t="str">
        <f>IFERROR(__xludf.DUMMYFUNCTION("""COMPUTED_VALUE"""),"Gi3425te65*")</f>
        <v>Gi3425te65*</v>
      </c>
      <c r="S671" s="6" t="str">
        <f>IFERROR(__xludf.DUMMYFUNCTION("""COMPUTED_VALUE"""),"Agudelo Ceballos Scarleth ")</f>
        <v>Agudelo Ceballos Scarleth </v>
      </c>
      <c r="T671" s="6" t="str">
        <f>IFERROR(__xludf.DUMMYFUNCTION("""COMPUTED_VALUE"""),"YESENIA CEBALLOS VALENCIA")</f>
        <v>YESENIA CEBALLOS VALENCIA</v>
      </c>
      <c r="U671" s="12" t="str">
        <f>IFERROR(__xludf.DUMMYFUNCTION("""COMPUTED_VALUE"""),"41946689")</f>
        <v>41946689</v>
      </c>
      <c r="V671" s="6">
        <f>IFERROR(__xludf.DUMMYFUNCTION("""COMPUTED_VALUE"""),3.168257108E9)</f>
        <v>3168257108</v>
      </c>
      <c r="W671" s="6" t="str">
        <f>IFERROR(__xludf.DUMMYFUNCTION("""COMPUTED_VALUE"""),"yeseniaceballos-08@hotmail.com")</f>
        <v>yeseniaceballos-08@hotmail.com</v>
      </c>
      <c r="X671" s="12" t="str">
        <f>IFERROR(__xludf.DUMMYFUNCTION("""COMPUTED_VALUE"""),"O+")</f>
        <v>O+</v>
      </c>
      <c r="Y671" s="12" t="str">
        <f>IFERROR(__xludf.DUMMYFUNCTION("""COMPUTED_VALUE"""),"10")</f>
        <v>10</v>
      </c>
      <c r="Z671" s="12">
        <f>IFERROR(__xludf.DUMMYFUNCTION("""COMPUTED_VALUE"""),103116.0)</f>
        <v>103116</v>
      </c>
      <c r="AA671" s="6" t="str">
        <f>IFERROR(__xludf.DUMMYFUNCTION("""COMPUTED_VALUE"""),"SURA")</f>
        <v>SURA</v>
      </c>
      <c r="AB671" s="6"/>
      <c r="AC671" s="12" t="str">
        <f>IFERROR(__xludf.DUMMYFUNCTION("""COMPUTED_VALUE"""),"Picaduras moscos y el polvo")</f>
        <v>Picaduras moscos y el polvo</v>
      </c>
      <c r="AD671" s="12" t="str">
        <f>IFERROR(__xludf.DUMMYFUNCTION("""COMPUTED_VALUE"""),"10B")</f>
        <v>10B</v>
      </c>
      <c r="AE671" s="12">
        <f>IFERROR(__xludf.DUMMYFUNCTION("""COMPUTED_VALUE"""),1.345281521E9)</f>
        <v>1345281521</v>
      </c>
      <c r="AF671" s="12" t="str">
        <f>IFERROR(__xludf.DUMMYFUNCTION("""COMPUTED_VALUE"""),"0687651523")</f>
        <v>0687651523</v>
      </c>
      <c r="AG671" s="12" t="str">
        <f>IFERROR(__xludf.DUMMYFUNCTION("""COMPUTED_VALUE"""),"Yesenia")</f>
        <v>Yesenia</v>
      </c>
      <c r="AH671" s="6"/>
      <c r="AI671" s="6" t="str">
        <f>IFERROR(__xludf.DUMMYFUNCTION("""COMPUTED_VALUE"""),"Ceballos Valencia")</f>
        <v>Ceballos Valencia</v>
      </c>
      <c r="AJ671" s="6" t="str">
        <f>IFERROR(__xludf.DUMMYFUNCTION("""COMPUTED_VALUE"""),"yeseniaceballos-08@hotmail.com")</f>
        <v>yeseniaceballos-08@hotmail.com</v>
      </c>
      <c r="AK671" s="6" t="str">
        <f>IFERROR(__xludf.DUMMYFUNCTION("""COMPUTED_VALUE"""),"comerciante")</f>
        <v>comerciante</v>
      </c>
      <c r="AL671" s="6" t="str">
        <f>IFERROR(__xludf.DUMMYFUNCTION("""COMPUTED_VALUE"""),"inducoffin sas")</f>
        <v>inducoffin sas</v>
      </c>
      <c r="AM671" s="12" t="str">
        <f>IFERROR(__xludf.DUMMYFUNCTION("""COMPUTED_VALUE"""),"41946689")</f>
        <v>41946689</v>
      </c>
      <c r="AN671" s="12" t="str">
        <f>IFERROR(__xludf.DUMMYFUNCTION("""COMPUTED_VALUE"""),"3168257108")</f>
        <v>3168257108</v>
      </c>
      <c r="AO671" s="6" t="str">
        <f>IFERROR(__xludf.DUMMYFUNCTION("""COMPUTED_VALUE"""),"Madre")</f>
        <v>Madre</v>
      </c>
      <c r="AP671" s="6" t="str">
        <f>IFERROR(__xludf.DUMMYFUNCTION("""COMPUTED_VALUE"""),"Estudiante(s): Agudelo Ceballos")</f>
        <v>Estudiante(s): Agudelo Ceballos</v>
      </c>
      <c r="AQ671" s="6" t="str">
        <f>IFERROR(__xludf.DUMMYFUNCTION("""COMPUTED_VALUE"""),"103116*Gi")</f>
        <v>103116*Gi</v>
      </c>
      <c r="AR671" s="6" t="str">
        <f>IFERROR(__xludf.DUMMYFUNCTION("""COMPUTED_VALUE"""),"Francisco")</f>
        <v>Francisco</v>
      </c>
      <c r="AS671" s="6" t="str">
        <f>IFERROR(__xludf.DUMMYFUNCTION("""COMPUTED_VALUE"""),"Javier")</f>
        <v>Javier</v>
      </c>
      <c r="AT671" s="6" t="str">
        <f>IFERROR(__xludf.DUMMYFUNCTION("""COMPUTED_VALUE"""),"Agudelo")</f>
        <v>Agudelo</v>
      </c>
      <c r="AU671" s="6" t="str">
        <f>IFERROR(__xludf.DUMMYFUNCTION("""COMPUTED_VALUE"""),"pacho-agudelo@hotmail.com")</f>
        <v>pacho-agudelo@hotmail.com</v>
      </c>
      <c r="AV671" s="6"/>
      <c r="AW671" s="6"/>
      <c r="AX671" s="12" t="str">
        <f>IFERROR(__xludf.DUMMYFUNCTION("""COMPUTED_VALUE"""),"9735821")</f>
        <v>9735821</v>
      </c>
      <c r="AY671" s="12" t="str">
        <f>IFERROR(__xludf.DUMMYFUNCTION("""COMPUTED_VALUE"""),"3152823456")</f>
        <v>3152823456</v>
      </c>
      <c r="AZ671" s="6" t="str">
        <f>IFERROR(__xludf.DUMMYFUNCTION("""COMPUTED_VALUE"""),"Padre")</f>
        <v>Padre</v>
      </c>
      <c r="BA671" s="6"/>
      <c r="BB671" s="6"/>
      <c r="BC671" s="6"/>
      <c r="BD671" s="12" t="str">
        <f>IFERROR(__xludf.DUMMYFUNCTION("""COMPUTED_VALUE"""),"agu0006")</f>
        <v>agu0006</v>
      </c>
      <c r="BE671" s="6"/>
      <c r="BF671" s="6"/>
      <c r="BG671" s="6">
        <f>IFERROR(__xludf.DUMMYFUNCTION("""COMPUTED_VALUE"""),2029.0)</f>
        <v>2029</v>
      </c>
      <c r="BH671" s="15">
        <f>IFERROR(__xludf.DUMMYFUNCTION("""COMPUTED_VALUE"""),46204.674837962964)</f>
        <v>46204.67484</v>
      </c>
      <c r="BI671" s="6">
        <f>IFERROR(__xludf.DUMMYFUNCTION("""COMPUTED_VALUE"""),672.0)</f>
        <v>672</v>
      </c>
      <c r="BJ671" s="6"/>
      <c r="BK671" s="6"/>
      <c r="BL671" s="6" t="str">
        <f>IFERROR(__xludf.DUMMYFUNCTION("""COMPUTED_VALUE"""),"GISAGU0006")</f>
        <v>GISAGU0006</v>
      </c>
      <c r="BM671" s="6"/>
      <c r="BN671" s="6"/>
      <c r="BO671" s="6"/>
      <c r="BP671" s="6"/>
      <c r="BQ671" s="6"/>
      <c r="BR671" s="6"/>
      <c r="BS671" s="6"/>
      <c r="BT671" s="6"/>
      <c r="BU671" s="6" t="str">
        <f>IFERROR(__xludf.DUMMYFUNCTION("""COMPUTED_VALUE"""),"SI")</f>
        <v>SI</v>
      </c>
      <c r="BV671" s="6" t="str">
        <f>IFERROR(__xludf.DUMMYFUNCTION("""COMPUTED_VALUE"""),"scarleth.a2029")</f>
        <v>scarleth.a2029</v>
      </c>
      <c r="BW671" s="6"/>
      <c r="BX671" s="6"/>
      <c r="BY671" s="6"/>
      <c r="BZ671" s="6"/>
    </row>
    <row r="672">
      <c r="A672" s="12">
        <f>IFERROR(__xludf.DUMMYFUNCTION("""COMPUTED_VALUE"""),1.01300772E9)</f>
        <v>1013007720</v>
      </c>
      <c r="B672" s="6">
        <f>IFERROR(__xludf.DUMMYFUNCTION("""COMPUTED_VALUE"""),2.0)</f>
        <v>2</v>
      </c>
      <c r="C672" s="6" t="str">
        <f>IFERROR(__xludf.DUMMYFUNCTION("""COMPUTED_VALUE"""),"Salomé")</f>
        <v>Salomé</v>
      </c>
      <c r="D672" s="6"/>
      <c r="E672" s="6" t="str">
        <f>IFERROR(__xludf.DUMMYFUNCTION("""COMPUTED_VALUE"""),"Albarracín Gutiérrez")</f>
        <v>Albarracín Gutiérrez</v>
      </c>
      <c r="F672" s="6" t="str">
        <f>IFERROR(__xludf.DUMMYFUNCTION("""COMPUTED_VALUE"""),"Condominio Entre Maderos Casa 34 - Vereda El Congal Km 1.2 Via Circasia - Armenia")</f>
        <v>Condominio Entre Maderos Casa 34 - Vereda El Congal Km 1.2 Via Circasia - Armenia</v>
      </c>
      <c r="G672" s="12" t="str">
        <f>IFERROR(__xludf.DUMMYFUNCTION("""COMPUTED_VALUE"""),"2010")</f>
        <v>2010</v>
      </c>
      <c r="H672" s="6" t="str">
        <f>IFERROR(__xludf.DUMMYFUNCTION("""COMPUTED_VALUE"""),"Junio")</f>
        <v>Junio</v>
      </c>
      <c r="I672" s="12" t="str">
        <f>IFERROR(__xludf.DUMMYFUNCTION("""COMPUTED_VALUE"""),"29")</f>
        <v>29</v>
      </c>
      <c r="J672" s="6" t="str">
        <f>IFERROR(__xludf.DUMMYFUNCTION("""COMPUTED_VALUE"""),"Bogotá D.C.")</f>
        <v>Bogotá D.C.</v>
      </c>
      <c r="K672" s="6" t="str">
        <f>IFERROR(__xludf.DUMMYFUNCTION("""COMPUTED_VALUE"""),"salome.a2029@gi.edu.co")</f>
        <v>salome.a2029@gi.edu.co</v>
      </c>
      <c r="L672" s="6" t="str">
        <f>IFERROR(__xludf.DUMMYFUNCTION("""COMPUTED_VALUE"""),"TI")</f>
        <v>TI</v>
      </c>
      <c r="M672" s="6" t="str">
        <f>IFERROR(__xludf.DUMMYFUNCTION("""COMPUTED_VALUE"""),"Bogotá D.C.")</f>
        <v>Bogotá D.C.</v>
      </c>
      <c r="N672" s="6" t="str">
        <f>IFERROR(__xludf.DUMMYFUNCTION("""COMPUTED_VALUE"""),"F")</f>
        <v>F</v>
      </c>
      <c r="O672" s="6" t="str">
        <f>IFERROR(__xludf.DUMMYFUNCTION("""COMPUTED_VALUE"""),"ACTIVE")</f>
        <v>ACTIVE</v>
      </c>
      <c r="P672" s="6"/>
      <c r="Q672" s="6" t="str">
        <f>IFERROR(__xludf.DUMMYFUNCTION("""COMPUTED_VALUE"""),"Circasia")</f>
        <v>Circasia</v>
      </c>
      <c r="R672" s="12" t="str">
        <f>IFERROR(__xludf.DUMMYFUNCTION("""COMPUTED_VALUE"""),"Gij5rY33*")</f>
        <v>Gij5rY33*</v>
      </c>
      <c r="S672" s="6" t="str">
        <f>IFERROR(__xludf.DUMMYFUNCTION("""COMPUTED_VALUE"""),"Albarracín Gutiérrez Salomé ")</f>
        <v>Albarracín Gutiérrez Salomé </v>
      </c>
      <c r="T672" s="6" t="str">
        <f>IFERROR(__xludf.DUMMYFUNCTION("""COMPUTED_VALUE"""),"JAVIER MAURICIO ALBARRACIN ALMANZA")</f>
        <v>JAVIER MAURICIO ALBARRACIN ALMANZA</v>
      </c>
      <c r="U672" s="12" t="str">
        <f>IFERROR(__xludf.DUMMYFUNCTION("""COMPUTED_VALUE"""),"80162615")</f>
        <v>80162615</v>
      </c>
      <c r="V672" s="6">
        <f>IFERROR(__xludf.DUMMYFUNCTION("""COMPUTED_VALUE"""),3.164732883E9)</f>
        <v>3164732883</v>
      </c>
      <c r="W672" s="6" t="str">
        <f>IFERROR(__xludf.DUMMYFUNCTION("""COMPUTED_VALUE"""),"eldepublicidad@gmail.com")</f>
        <v>eldepublicidad@gmail.com</v>
      </c>
      <c r="X672" s="12" t="str">
        <f>IFERROR(__xludf.DUMMYFUNCTION("""COMPUTED_VALUE"""),"O+")</f>
        <v>O+</v>
      </c>
      <c r="Y672" s="12" t="str">
        <f>IFERROR(__xludf.DUMMYFUNCTION("""COMPUTED_VALUE"""),"10")</f>
        <v>10</v>
      </c>
      <c r="Z672" s="12">
        <f>IFERROR(__xludf.DUMMYFUNCTION("""COMPUTED_VALUE"""),134589.0)</f>
        <v>134589</v>
      </c>
      <c r="AA672" s="6" t="str">
        <f>IFERROR(__xludf.DUMMYFUNCTION("""COMPUTED_VALUE"""),"OTRA")</f>
        <v>OTRA</v>
      </c>
      <c r="AB672" s="6"/>
      <c r="AC672" s="6"/>
      <c r="AD672" s="12" t="str">
        <f>IFERROR(__xludf.DUMMYFUNCTION("""COMPUTED_VALUE"""),"10B")</f>
        <v>10B</v>
      </c>
      <c r="AE672" s="12">
        <f>IFERROR(__xludf.DUMMYFUNCTION("""COMPUTED_VALUE"""),1.3452822E9)</f>
        <v>1345282200</v>
      </c>
      <c r="AF672" s="12" t="str">
        <f>IFERROR(__xludf.DUMMYFUNCTION("""COMPUTED_VALUE"""),"0699791459")</f>
        <v>0699791459</v>
      </c>
      <c r="AG672" s="12" t="str">
        <f>IFERROR(__xludf.DUMMYFUNCTION("""COMPUTED_VALUE"""),"Ginna")</f>
        <v>Ginna</v>
      </c>
      <c r="AH672" s="12" t="str">
        <f>IFERROR(__xludf.DUMMYFUNCTION("""COMPUTED_VALUE"""),"Paola")</f>
        <v>Paola</v>
      </c>
      <c r="AI672" s="6" t="str">
        <f>IFERROR(__xludf.DUMMYFUNCTION("""COMPUTED_VALUE"""),"Gutiérrez Bustos")</f>
        <v>Gutiérrez Bustos</v>
      </c>
      <c r="AJ672" s="6" t="str">
        <f>IFERROR(__xludf.DUMMYFUNCTION("""COMPUTED_VALUE"""),"ginnapaolag@gmail.com")</f>
        <v>ginnapaolag@gmail.com</v>
      </c>
      <c r="AK672" s="6" t="str">
        <f>IFERROR(__xludf.DUMMYFUNCTION("""COMPUTED_VALUE"""),"PUBLICISTA")</f>
        <v>PUBLICISTA</v>
      </c>
      <c r="AL672" s="6"/>
      <c r="AM672" s="12" t="str">
        <f>IFERROR(__xludf.DUMMYFUNCTION("""COMPUTED_VALUE"""),"1015996336")</f>
        <v>1015996336</v>
      </c>
      <c r="AN672" s="12" t="str">
        <f>IFERROR(__xludf.DUMMYFUNCTION("""COMPUTED_VALUE"""),"3144858066")</f>
        <v>3144858066</v>
      </c>
      <c r="AO672" s="6" t="str">
        <f>IFERROR(__xludf.DUMMYFUNCTION("""COMPUTED_VALUE"""),"Madre")</f>
        <v>Madre</v>
      </c>
      <c r="AP672" s="6" t="str">
        <f>IFERROR(__xludf.DUMMYFUNCTION("""COMPUTED_VALUE"""),"Estudiante(s): Albarracín Gutiérrez")</f>
        <v>Estudiante(s): Albarracín Gutiérrez</v>
      </c>
      <c r="AQ672" s="6" t="str">
        <f>IFERROR(__xludf.DUMMYFUNCTION("""COMPUTED_VALUE"""),"134589*Gi")</f>
        <v>134589*Gi</v>
      </c>
      <c r="AR672" s="6" t="str">
        <f>IFERROR(__xludf.DUMMYFUNCTION("""COMPUTED_VALUE"""),"Javier")</f>
        <v>Javier</v>
      </c>
      <c r="AS672" s="6" t="str">
        <f>IFERROR(__xludf.DUMMYFUNCTION("""COMPUTED_VALUE"""),"Mauricio")</f>
        <v>Mauricio</v>
      </c>
      <c r="AT672" s="6" t="str">
        <f>IFERROR(__xludf.DUMMYFUNCTION("""COMPUTED_VALUE"""),"Albarracín Almanza")</f>
        <v>Albarracín Almanza</v>
      </c>
      <c r="AU672" s="6" t="str">
        <f>IFERROR(__xludf.DUMMYFUNCTION("""COMPUTED_VALUE"""),"eldepublicidad@gmail.com")</f>
        <v>eldepublicidad@gmail.com</v>
      </c>
      <c r="AV672" s="6" t="str">
        <f>IFERROR(__xludf.DUMMYFUNCTION("""COMPUTED_VALUE"""),"INGENIERO DE SISTEMAS")</f>
        <v>INGENIERO DE SISTEMAS</v>
      </c>
      <c r="AW672" s="6" t="str">
        <f>IFERROR(__xludf.DUMMYFUNCTION("""COMPUTED_VALUE"""),"NTTDATA")</f>
        <v>NTTDATA</v>
      </c>
      <c r="AX672" s="12" t="str">
        <f>IFERROR(__xludf.DUMMYFUNCTION("""COMPUTED_VALUE"""),"80162615")</f>
        <v>80162615</v>
      </c>
      <c r="AY672" s="12" t="str">
        <f>IFERROR(__xludf.DUMMYFUNCTION("""COMPUTED_VALUE"""),"3164732883")</f>
        <v>3164732883</v>
      </c>
      <c r="AZ672" s="6" t="str">
        <f>IFERROR(__xludf.DUMMYFUNCTION("""COMPUTED_VALUE"""),"Padre")</f>
        <v>Padre</v>
      </c>
      <c r="BA672" s="6"/>
      <c r="BB672" s="6"/>
      <c r="BC672" s="6"/>
      <c r="BD672" s="12" t="str">
        <f>IFERROR(__xludf.DUMMYFUNCTION("""COMPUTED_VALUE"""),"alb0002")</f>
        <v>alb0002</v>
      </c>
      <c r="BE672" s="6"/>
      <c r="BF672" s="6"/>
      <c r="BG672" s="6">
        <f>IFERROR(__xludf.DUMMYFUNCTION("""COMPUTED_VALUE"""),2029.0)</f>
        <v>2029</v>
      </c>
      <c r="BH672" s="15">
        <f>IFERROR(__xludf.DUMMYFUNCTION("""COMPUTED_VALUE"""),46212.406180555554)</f>
        <v>46212.40618</v>
      </c>
      <c r="BI672" s="6">
        <f>IFERROR(__xludf.DUMMYFUNCTION("""COMPUTED_VALUE"""),673.0)</f>
        <v>673</v>
      </c>
      <c r="BJ672" s="6"/>
      <c r="BK672" s="6"/>
      <c r="BL672" s="6" t="str">
        <f>IFERROR(__xludf.DUMMYFUNCTION("""COMPUTED_VALUE"""),"GISALB0002")</f>
        <v>GISALB0002</v>
      </c>
      <c r="BM672" s="6"/>
      <c r="BN672" s="6"/>
      <c r="BO672" s="6"/>
      <c r="BP672" s="6"/>
      <c r="BQ672" s="6"/>
      <c r="BR672" s="6"/>
      <c r="BS672" s="6"/>
      <c r="BT672" s="6"/>
      <c r="BU672" s="6" t="str">
        <f>IFERROR(__xludf.DUMMYFUNCTION("""COMPUTED_VALUE"""),"SI")</f>
        <v>SI</v>
      </c>
      <c r="BV672" s="6" t="str">
        <f>IFERROR(__xludf.DUMMYFUNCTION("""COMPUTED_VALUE"""),"salome.a2029")</f>
        <v>salome.a2029</v>
      </c>
      <c r="BW672" s="6"/>
      <c r="BX672" s="6"/>
      <c r="BY672" s="6"/>
      <c r="BZ672" s="6"/>
    </row>
    <row r="673">
      <c r="A673" s="12">
        <f>IFERROR(__xludf.DUMMYFUNCTION("""COMPUTED_VALUE"""),1.019905202E9)</f>
        <v>1019905202</v>
      </c>
      <c r="B673" s="6">
        <f>IFERROR(__xludf.DUMMYFUNCTION("""COMPUTED_VALUE"""),3.0)</f>
        <v>3</v>
      </c>
      <c r="C673" s="6" t="str">
        <f>IFERROR(__xludf.DUMMYFUNCTION("""COMPUTED_VALUE"""),"Paz")</f>
        <v>Paz</v>
      </c>
      <c r="D673" s="6"/>
      <c r="E673" s="6" t="str">
        <f>IFERROR(__xludf.DUMMYFUNCTION("""COMPUTED_VALUE"""),"Almonacid Palacio")</f>
        <v>Almonacid Palacio</v>
      </c>
      <c r="F673" s="6" t="str">
        <f>IFERROR(__xludf.DUMMYFUNCTION("""COMPUTED_VALUE"""),"Parque Residencial Los Cedros Torre 2 Apto 201 - Calle 50Nte No15 - 1")</f>
        <v>Parque Residencial Los Cedros Torre 2 Apto 201 - Calle 50Nte No15 - 1</v>
      </c>
      <c r="G673" s="12" t="str">
        <f>IFERROR(__xludf.DUMMYFUNCTION("""COMPUTED_VALUE"""),"2011")</f>
        <v>2011</v>
      </c>
      <c r="H673" s="6" t="str">
        <f>IFERROR(__xludf.DUMMYFUNCTION("""COMPUTED_VALUE"""),"Mayo")</f>
        <v>Mayo</v>
      </c>
      <c r="I673" s="12" t="str">
        <f>IFERROR(__xludf.DUMMYFUNCTION("""COMPUTED_VALUE"""),"19")</f>
        <v>19</v>
      </c>
      <c r="J673" s="6" t="str">
        <f>IFERROR(__xludf.DUMMYFUNCTION("""COMPUTED_VALUE"""),"Armenia")</f>
        <v>Armenia</v>
      </c>
      <c r="K673" s="6" t="str">
        <f>IFERROR(__xludf.DUMMYFUNCTION("""COMPUTED_VALUE"""),"paz.a2029@gi.edu.co")</f>
        <v>paz.a2029@gi.edu.co</v>
      </c>
      <c r="L673" s="6" t="str">
        <f>IFERROR(__xludf.DUMMYFUNCTION("""COMPUTED_VALUE"""),"TI")</f>
        <v>TI</v>
      </c>
      <c r="M673" s="6" t="str">
        <f>IFERROR(__xludf.DUMMYFUNCTION("""COMPUTED_VALUE"""),"Armenia")</f>
        <v>Armenia</v>
      </c>
      <c r="N673" s="6" t="str">
        <f>IFERROR(__xludf.DUMMYFUNCTION("""COMPUTED_VALUE"""),"F")</f>
        <v>F</v>
      </c>
      <c r="O673" s="6" t="str">
        <f>IFERROR(__xludf.DUMMYFUNCTION("""COMPUTED_VALUE"""),"ACTIVE")</f>
        <v>ACTIVE</v>
      </c>
      <c r="P673" s="6"/>
      <c r="Q673" s="6" t="str">
        <f>IFERROR(__xludf.DUMMYFUNCTION("""COMPUTED_VALUE"""),"Armenia")</f>
        <v>Armenia</v>
      </c>
      <c r="R673" s="12" t="str">
        <f>IFERROR(__xludf.DUMMYFUNCTION("""COMPUTED_VALUE"""),"Giresbg1f*")</f>
        <v>Giresbg1f*</v>
      </c>
      <c r="S673" s="6" t="str">
        <f>IFERROR(__xludf.DUMMYFUNCTION("""COMPUTED_VALUE"""),"Almonacid Palacio Paz ")</f>
        <v>Almonacid Palacio Paz </v>
      </c>
      <c r="T673" s="6" t="str">
        <f>IFERROR(__xludf.DUMMYFUNCTION("""COMPUTED_VALUE"""),"MARÍA DEL PILAR PALACIO CARDONA")</f>
        <v>MARÍA DEL PILAR PALACIO CARDONA</v>
      </c>
      <c r="U673" s="12" t="str">
        <f>IFERROR(__xludf.DUMMYFUNCTION("""COMPUTED_VALUE"""),"41958577")</f>
        <v>41958577</v>
      </c>
      <c r="V673" s="6">
        <f>IFERROR(__xludf.DUMMYFUNCTION("""COMPUTED_VALUE"""),3.103807256E9)</f>
        <v>3103807256</v>
      </c>
      <c r="W673" s="6" t="str">
        <f>IFERROR(__xludf.DUMMYFUNCTION("""COMPUTED_VALUE"""),"mariapalacio7@gmail.com")</f>
        <v>mariapalacio7@gmail.com</v>
      </c>
      <c r="X673" s="12" t="str">
        <f>IFERROR(__xludf.DUMMYFUNCTION("""COMPUTED_VALUE"""),"A+")</f>
        <v>A+</v>
      </c>
      <c r="Y673" s="12" t="str">
        <f>IFERROR(__xludf.DUMMYFUNCTION("""COMPUTED_VALUE"""),"10")</f>
        <v>10</v>
      </c>
      <c r="Z673" s="12">
        <f>IFERROR(__xludf.DUMMYFUNCTION("""COMPUTED_VALUE"""),103720.0)</f>
        <v>103720</v>
      </c>
      <c r="AA673" s="6" t="str">
        <f>IFERROR(__xludf.DUMMYFUNCTION("""COMPUTED_VALUE"""),"SURA")</f>
        <v>SURA</v>
      </c>
      <c r="AB673" s="6" t="str">
        <f>IFERROR(__xludf.DUMMYFUNCTION("""COMPUTED_VALUE"""),"medplus medicina prepagada")</f>
        <v>medplus medicina prepagada</v>
      </c>
      <c r="AC673" s="6"/>
      <c r="AD673" s="12" t="str">
        <f>IFERROR(__xludf.DUMMYFUNCTION("""COMPUTED_VALUE"""),"10B")</f>
        <v>10B</v>
      </c>
      <c r="AE673" s="12">
        <f>IFERROR(__xludf.DUMMYFUNCTION("""COMPUTED_VALUE"""),1.345281852E9)</f>
        <v>1345281852</v>
      </c>
      <c r="AF673" s="12" t="str">
        <f>IFERROR(__xludf.DUMMYFUNCTION("""COMPUTED_VALUE"""),"0675187123")</f>
        <v>0675187123</v>
      </c>
      <c r="AG673" s="12" t="str">
        <f>IFERROR(__xludf.DUMMYFUNCTION("""COMPUTED_VALUE"""),"María")</f>
        <v>María</v>
      </c>
      <c r="AH673" s="12" t="str">
        <f>IFERROR(__xludf.DUMMYFUNCTION("""COMPUTED_VALUE"""),"Del Pilar")</f>
        <v>Del Pilar</v>
      </c>
      <c r="AI673" s="6" t="str">
        <f>IFERROR(__xludf.DUMMYFUNCTION("""COMPUTED_VALUE"""),"Palacio Cardona")</f>
        <v>Palacio Cardona</v>
      </c>
      <c r="AJ673" s="6" t="str">
        <f>IFERROR(__xludf.DUMMYFUNCTION("""COMPUTED_VALUE"""),"mariapalacio7@gmail.com")</f>
        <v>mariapalacio7@gmail.com</v>
      </c>
      <c r="AK673" s="6" t="str">
        <f>IFERROR(__xludf.DUMMYFUNCTION("""COMPUTED_VALUE"""),"Comunicadora social")</f>
        <v>Comunicadora social</v>
      </c>
      <c r="AL673" s="6" t="str">
        <f>IFERROR(__xludf.DUMMYFUNCTION("""COMPUTED_VALUE"""),"Estrategias Editoriales SAS")</f>
        <v>Estrategias Editoriales SAS</v>
      </c>
      <c r="AM673" s="12" t="str">
        <f>IFERROR(__xludf.DUMMYFUNCTION("""COMPUTED_VALUE"""),"41958577")</f>
        <v>41958577</v>
      </c>
      <c r="AN673" s="12" t="str">
        <f>IFERROR(__xludf.DUMMYFUNCTION("""COMPUTED_VALUE"""),"3103807256")</f>
        <v>3103807256</v>
      </c>
      <c r="AO673" s="6" t="str">
        <f>IFERROR(__xludf.DUMMYFUNCTION("""COMPUTED_VALUE"""),"Madre")</f>
        <v>Madre</v>
      </c>
      <c r="AP673" s="6" t="str">
        <f>IFERROR(__xludf.DUMMYFUNCTION("""COMPUTED_VALUE"""),"Estudiante(s): Almonacid Palacio")</f>
        <v>Estudiante(s): Almonacid Palacio</v>
      </c>
      <c r="AQ673" s="6" t="str">
        <f>IFERROR(__xludf.DUMMYFUNCTION("""COMPUTED_VALUE"""),"103720*Gi")</f>
        <v>103720*Gi</v>
      </c>
      <c r="AR673" s="6" t="str">
        <f>IFERROR(__xludf.DUMMYFUNCTION("""COMPUTED_VALUE"""),"Andrés")</f>
        <v>Andrés</v>
      </c>
      <c r="AS673" s="6" t="str">
        <f>IFERROR(__xludf.DUMMYFUNCTION("""COMPUTED_VALUE"""),"Fernando")</f>
        <v>Fernando</v>
      </c>
      <c r="AT673" s="6" t="str">
        <f>IFERROR(__xludf.DUMMYFUNCTION("""COMPUTED_VALUE"""),"Almonacid López")</f>
        <v>Almonacid López</v>
      </c>
      <c r="AU673" s="6" t="str">
        <f>IFERROR(__xludf.DUMMYFUNCTION("""COMPUTED_VALUE"""),"andresalmonacideu@gmail.com")</f>
        <v>andresalmonacideu@gmail.com</v>
      </c>
      <c r="AV673" s="6" t="str">
        <f>IFERROR(__xludf.DUMMYFUNCTION("""COMPUTED_VALUE"""),"Arquitecto")</f>
        <v>Arquitecto</v>
      </c>
      <c r="AW673" s="6" t="str">
        <f>IFERROR(__xludf.DUMMYFUNCTION("""COMPUTED_VALUE"""),"Andres Almonacid EU")</f>
        <v>Andres Almonacid EU</v>
      </c>
      <c r="AX673" s="12" t="str">
        <f>IFERROR(__xludf.DUMMYFUNCTION("""COMPUTED_VALUE"""),"89001631")</f>
        <v>89001631</v>
      </c>
      <c r="AY673" s="12" t="str">
        <f>IFERROR(__xludf.DUMMYFUNCTION("""COMPUTED_VALUE"""),"3164224379")</f>
        <v>3164224379</v>
      </c>
      <c r="AZ673" s="6" t="str">
        <f>IFERROR(__xludf.DUMMYFUNCTION("""COMPUTED_VALUE"""),"Padre")</f>
        <v>Padre</v>
      </c>
      <c r="BA673" s="6"/>
      <c r="BB673" s="6"/>
      <c r="BC673" s="6"/>
      <c r="BD673" s="12" t="str">
        <f>IFERROR(__xludf.DUMMYFUNCTION("""COMPUTED_VALUE"""),"alm0002")</f>
        <v>alm0002</v>
      </c>
      <c r="BE673" s="6"/>
      <c r="BF673" s="6"/>
      <c r="BG673" s="6">
        <f>IFERROR(__xludf.DUMMYFUNCTION("""COMPUTED_VALUE"""),2029.0)</f>
        <v>2029</v>
      </c>
      <c r="BH673" s="16">
        <f>IFERROR(__xludf.DUMMYFUNCTION("""COMPUTED_VALUE"""),46213.44950231481)</f>
        <v>46213.4495</v>
      </c>
      <c r="BI673" s="6">
        <f>IFERROR(__xludf.DUMMYFUNCTION("""COMPUTED_VALUE"""),674.0)</f>
        <v>674</v>
      </c>
      <c r="BJ673" s="6"/>
      <c r="BK673" s="6"/>
      <c r="BL673" s="6" t="str">
        <f>IFERROR(__xludf.DUMMYFUNCTION("""COMPUTED_VALUE"""),"GISALM0002")</f>
        <v>GISALM0002</v>
      </c>
      <c r="BM673" s="6"/>
      <c r="BN673" s="6"/>
      <c r="BO673" s="6" t="str">
        <f>IFERROR(__xludf.DUMMYFUNCTION("""COMPUTED_VALUE"""),"XC_HS_Voleibol_F")</f>
        <v>XC_HS_Voleibol_F</v>
      </c>
      <c r="BP673" s="6"/>
      <c r="BQ673" s="6" t="str">
        <f>IFERROR(__xludf.DUMMYFUNCTION("""COMPUTED_VALUE"""),"XC_HS_Voleibol_F")</f>
        <v>XC_HS_Voleibol_F</v>
      </c>
      <c r="BR673" s="6" t="str">
        <f>IFERROR(__xludf.DUMMYFUNCTION("""COMPUTED_VALUE"""),"XC_HS_Voleibol_F")</f>
        <v>XC_HS_Voleibol_F</v>
      </c>
      <c r="BS673" s="6"/>
      <c r="BT673" s="6" t="str">
        <f>IFERROR(__xludf.DUMMYFUNCTION("""COMPUTED_VALUE"""),"XC_HS_Voleibol_F")</f>
        <v>XC_HS_Voleibol_F</v>
      </c>
      <c r="BU673" s="6" t="str">
        <f>IFERROR(__xludf.DUMMYFUNCTION("""COMPUTED_VALUE"""),"NO")</f>
        <v>NO</v>
      </c>
      <c r="BV673" s="6" t="str">
        <f>IFERROR(__xludf.DUMMYFUNCTION("""COMPUTED_VALUE"""),"paz.a2029")</f>
        <v>paz.a2029</v>
      </c>
      <c r="BW673" s="6"/>
      <c r="BX673" s="6"/>
      <c r="BY673" s="6"/>
      <c r="BZ673" s="6"/>
    </row>
    <row r="674">
      <c r="A674" s="12">
        <f>IFERROR(__xludf.DUMMYFUNCTION("""COMPUTED_VALUE"""),1.034301498E9)</f>
        <v>1034301498</v>
      </c>
      <c r="B674" s="6">
        <f>IFERROR(__xludf.DUMMYFUNCTION("""COMPUTED_VALUE"""),4.0)</f>
        <v>4</v>
      </c>
      <c r="C674" s="6" t="str">
        <f>IFERROR(__xludf.DUMMYFUNCTION("""COMPUTED_VALUE"""),"Simón")</f>
        <v>Simón</v>
      </c>
      <c r="D674" s="6"/>
      <c r="E674" s="6" t="str">
        <f>IFERROR(__xludf.DUMMYFUNCTION("""COMPUTED_VALUE"""),"Alzate Torres")</f>
        <v>Alzate Torres</v>
      </c>
      <c r="F674" s="6" t="str">
        <f>IFERROR(__xludf.DUMMYFUNCTION("""COMPUTED_VALUE"""),"Conjunto Residencial Pontevedra Casa 9 - Km 8 Vía El Caimo El Campestre Via Panamericana")</f>
        <v>Conjunto Residencial Pontevedra Casa 9 - Km 8 Vía El Caimo El Campestre Via Panamericana</v>
      </c>
      <c r="G674" s="12" t="str">
        <f>IFERROR(__xludf.DUMMYFUNCTION("""COMPUTED_VALUE"""),"2011")</f>
        <v>2011</v>
      </c>
      <c r="H674" s="6" t="str">
        <f>IFERROR(__xludf.DUMMYFUNCTION("""COMPUTED_VALUE"""),"Mayo")</f>
        <v>Mayo</v>
      </c>
      <c r="I674" s="12" t="str">
        <f>IFERROR(__xludf.DUMMYFUNCTION("""COMPUTED_VALUE"""),"11")</f>
        <v>11</v>
      </c>
      <c r="J674" s="6" t="str">
        <f>IFERROR(__xludf.DUMMYFUNCTION("""COMPUTED_VALUE"""),"Houston")</f>
        <v>Houston</v>
      </c>
      <c r="K674" s="6" t="str">
        <f>IFERROR(__xludf.DUMMYFUNCTION("""COMPUTED_VALUE"""),"simon.a2029@gi.edu.co")</f>
        <v>simon.a2029@gi.edu.co</v>
      </c>
      <c r="L674" s="6" t="str">
        <f>IFERROR(__xludf.DUMMYFUNCTION("""COMPUTED_VALUE"""),"TI")</f>
        <v>TI</v>
      </c>
      <c r="M674" s="6" t="str">
        <f>IFERROR(__xludf.DUMMYFUNCTION("""COMPUTED_VALUE"""),"Armenia")</f>
        <v>Armenia</v>
      </c>
      <c r="N674" s="6" t="str">
        <f>IFERROR(__xludf.DUMMYFUNCTION("""COMPUTED_VALUE"""),"M")</f>
        <v>M</v>
      </c>
      <c r="O674" s="6" t="str">
        <f>IFERROR(__xludf.DUMMYFUNCTION("""COMPUTED_VALUE"""),"ACTIVE")</f>
        <v>ACTIVE</v>
      </c>
      <c r="P674" s="6"/>
      <c r="Q674" s="6" t="str">
        <f>IFERROR(__xludf.DUMMYFUNCTION("""COMPUTED_VALUE"""),"Córdoba")</f>
        <v>Córdoba</v>
      </c>
      <c r="R674" s="6" t="str">
        <f>IFERROR(__xludf.DUMMYFUNCTION("""COMPUTED_VALUE"""),"Gimsdjf375*")</f>
        <v>Gimsdjf375*</v>
      </c>
      <c r="S674" s="6" t="str">
        <f>IFERROR(__xludf.DUMMYFUNCTION("""COMPUTED_VALUE"""),"Alzate Torres Simón ")</f>
        <v>Alzate Torres Simón </v>
      </c>
      <c r="T674" s="6" t="str">
        <f>IFERROR(__xludf.DUMMYFUNCTION("""COMPUTED_VALUE"""),"JULIO CESAR ALZATE JURADO")</f>
        <v>JULIO CESAR ALZATE JURADO</v>
      </c>
      <c r="U674" s="12" t="str">
        <f>IFERROR(__xludf.DUMMYFUNCTION("""COMPUTED_VALUE"""),"79582170")</f>
        <v>79582170</v>
      </c>
      <c r="V674" s="6">
        <f>IFERROR(__xludf.DUMMYFUNCTION("""COMPUTED_VALUE"""),3.104591664E9)</f>
        <v>3104591664</v>
      </c>
      <c r="W674" s="6" t="str">
        <f>IFERROR(__xludf.DUMMYFUNCTION("""COMPUTED_VALUE"""),"pilartorresrey@hotmail.com")</f>
        <v>pilartorresrey@hotmail.com</v>
      </c>
      <c r="X674" s="12" t="str">
        <f>IFERROR(__xludf.DUMMYFUNCTION("""COMPUTED_VALUE"""),"O+")</f>
        <v>O+</v>
      </c>
      <c r="Y674" s="12" t="str">
        <f>IFERROR(__xludf.DUMMYFUNCTION("""COMPUTED_VALUE"""),"10")</f>
        <v>10</v>
      </c>
      <c r="Z674" s="12">
        <f>IFERROR(__xludf.DUMMYFUNCTION("""COMPUTED_VALUE"""),103701.0)</f>
        <v>103701</v>
      </c>
      <c r="AA674" s="6" t="str">
        <f>IFERROR(__xludf.DUMMYFUNCTION("""COMPUTED_VALUE"""),"SURA")</f>
        <v>SURA</v>
      </c>
      <c r="AB674" s="6" t="str">
        <f>IFERROR(__xludf.DUMMYFUNCTION("""COMPUTED_VALUE"""),"Colmedica medicina pre pagada")</f>
        <v>Colmedica medicina pre pagada</v>
      </c>
      <c r="AC674" s="12" t="str">
        <f>IFERROR(__xludf.DUMMYFUNCTION("""COMPUTED_VALUE"""),"Picadura de insectos.")</f>
        <v>Picadura de insectos.</v>
      </c>
      <c r="AD674" s="12" t="str">
        <f>IFERROR(__xludf.DUMMYFUNCTION("""COMPUTED_VALUE"""),"10A")</f>
        <v>10A</v>
      </c>
      <c r="AE674" s="12">
        <f>IFERROR(__xludf.DUMMYFUNCTION("""COMPUTED_VALUE"""),1.345281839E9)</f>
        <v>1345281839</v>
      </c>
      <c r="AF674" s="12" t="str">
        <f>IFERROR(__xludf.DUMMYFUNCTION("""COMPUTED_VALUE"""),"0675207395")</f>
        <v>0675207395</v>
      </c>
      <c r="AG674" s="12" t="str">
        <f>IFERROR(__xludf.DUMMYFUNCTION("""COMPUTED_VALUE"""),"María")</f>
        <v>María</v>
      </c>
      <c r="AH674" s="12" t="str">
        <f>IFERROR(__xludf.DUMMYFUNCTION("""COMPUTED_VALUE"""),"Del Pilar")</f>
        <v>Del Pilar</v>
      </c>
      <c r="AI674" s="6" t="str">
        <f>IFERROR(__xludf.DUMMYFUNCTION("""COMPUTED_VALUE"""),"Torres Rey")</f>
        <v>Torres Rey</v>
      </c>
      <c r="AJ674" s="6" t="str">
        <f>IFERROR(__xludf.DUMMYFUNCTION("""COMPUTED_VALUE"""),"p.torresrey@gmail.com")</f>
        <v>p.torresrey@gmail.com</v>
      </c>
      <c r="AK674" s="6"/>
      <c r="AL674" s="6"/>
      <c r="AM674" s="12" t="str">
        <f>IFERROR(__xludf.DUMMYFUNCTION("""COMPUTED_VALUE"""),"52349265")</f>
        <v>52349265</v>
      </c>
      <c r="AN674" s="12" t="str">
        <f>IFERROR(__xludf.DUMMYFUNCTION("""COMPUTED_VALUE"""),"3213829815")</f>
        <v>3213829815</v>
      </c>
      <c r="AO674" s="6" t="str">
        <f>IFERROR(__xludf.DUMMYFUNCTION("""COMPUTED_VALUE"""),"Madre")</f>
        <v>Madre</v>
      </c>
      <c r="AP674" s="6" t="str">
        <f>IFERROR(__xludf.DUMMYFUNCTION("""COMPUTED_VALUE"""),"Estudiante(s): Alzate Torres")</f>
        <v>Estudiante(s): Alzate Torres</v>
      </c>
      <c r="AQ674" s="6" t="str">
        <f>IFERROR(__xludf.DUMMYFUNCTION("""COMPUTED_VALUE"""),"103701*Gi")</f>
        <v>103701*Gi</v>
      </c>
      <c r="AR674" s="6" t="str">
        <f>IFERROR(__xludf.DUMMYFUNCTION("""COMPUTED_VALUE"""),"Julio")</f>
        <v>Julio</v>
      </c>
      <c r="AS674" s="6" t="str">
        <f>IFERROR(__xludf.DUMMYFUNCTION("""COMPUTED_VALUE"""),"César")</f>
        <v>César</v>
      </c>
      <c r="AT674" s="6" t="str">
        <f>IFERROR(__xludf.DUMMYFUNCTION("""COMPUTED_VALUE"""),"Alzate Jurado")</f>
        <v>Alzate Jurado</v>
      </c>
      <c r="AU674" s="6" t="str">
        <f>IFERROR(__xludf.DUMMYFUNCTION("""COMPUTED_VALUE"""),"pilartorresrey@hotmail.com")</f>
        <v>pilartorresrey@hotmail.com</v>
      </c>
      <c r="AV674" s="6" t="str">
        <f>IFERROR(__xludf.DUMMYFUNCTION("""COMPUTED_VALUE"""),"abogado")</f>
        <v>abogado</v>
      </c>
      <c r="AW674" s="6" t="str">
        <f>IFERROR(__xludf.DUMMYFUNCTION("""COMPUTED_VALUE"""),"privada")</f>
        <v>privada</v>
      </c>
      <c r="AX674" s="12" t="str">
        <f>IFERROR(__xludf.DUMMYFUNCTION("""COMPUTED_VALUE"""),"79582170")</f>
        <v>79582170</v>
      </c>
      <c r="AY674" s="12" t="str">
        <f>IFERROR(__xludf.DUMMYFUNCTION("""COMPUTED_VALUE"""),"3104591664")</f>
        <v>3104591664</v>
      </c>
      <c r="AZ674" s="6" t="str">
        <f>IFERROR(__xludf.DUMMYFUNCTION("""COMPUTED_VALUE"""),"Padre")</f>
        <v>Padre</v>
      </c>
      <c r="BA674" s="6"/>
      <c r="BB674" s="6"/>
      <c r="BC674" s="6"/>
      <c r="BD674" s="12" t="str">
        <f>IFERROR(__xludf.DUMMYFUNCTION("""COMPUTED_VALUE"""),"alz0002")</f>
        <v>alz0002</v>
      </c>
      <c r="BE674" s="6"/>
      <c r="BF674" s="12" t="str">
        <f>IFERROR(__xludf.DUMMYFUNCTION("""COMPUTED_VALUE"""),"PROMOVIDO")</f>
        <v>PROMOVIDO</v>
      </c>
      <c r="BG674" s="6">
        <f>IFERROR(__xludf.DUMMYFUNCTION("""COMPUTED_VALUE"""),2029.0)</f>
        <v>2029</v>
      </c>
      <c r="BH674" s="15">
        <f>IFERROR(__xludf.DUMMYFUNCTION("""COMPUTED_VALUE"""),46212.534907407404)</f>
        <v>46212.53491</v>
      </c>
      <c r="BI674" s="6">
        <f>IFERROR(__xludf.DUMMYFUNCTION("""COMPUTED_VALUE"""),675.0)</f>
        <v>675</v>
      </c>
      <c r="BJ674" s="6"/>
      <c r="BK674" s="6"/>
      <c r="BL674" s="6" t="str">
        <f>IFERROR(__xludf.DUMMYFUNCTION("""COMPUTED_VALUE"""),"GISALZ0002")</f>
        <v>GISALZ0002</v>
      </c>
      <c r="BM674" s="6"/>
      <c r="BN674" s="6"/>
      <c r="BO674" s="6"/>
      <c r="BP674" s="6"/>
      <c r="BQ674" s="6"/>
      <c r="BR674" s="6"/>
      <c r="BS674" s="6"/>
      <c r="BT674" s="6"/>
      <c r="BU674" s="6" t="str">
        <f>IFERROR(__xludf.DUMMYFUNCTION("""COMPUTED_VALUE"""),"SI")</f>
        <v>SI</v>
      </c>
      <c r="BV674" s="6" t="str">
        <f>IFERROR(__xludf.DUMMYFUNCTION("""COMPUTED_VALUE"""),"simon.a2029")</f>
        <v>simon.a2029</v>
      </c>
      <c r="BW674" s="6"/>
      <c r="BX674" s="6"/>
      <c r="BY674" s="6"/>
      <c r="BZ674" s="6"/>
    </row>
    <row r="675">
      <c r="A675" s="12">
        <f>IFERROR(__xludf.DUMMYFUNCTION("""COMPUTED_VALUE"""),1.092855489E9)</f>
        <v>1092855489</v>
      </c>
      <c r="B675" s="6">
        <f>IFERROR(__xludf.DUMMYFUNCTION("""COMPUTED_VALUE"""),5.0)</f>
        <v>5</v>
      </c>
      <c r="C675" s="6" t="str">
        <f>IFERROR(__xludf.DUMMYFUNCTION("""COMPUTED_VALUE"""),"Sara")</f>
        <v>Sara</v>
      </c>
      <c r="D675" s="6"/>
      <c r="E675" s="6" t="str">
        <f>IFERROR(__xludf.DUMMYFUNCTION("""COMPUTED_VALUE"""),"Ángel Gómez")</f>
        <v>Ángel Gómez</v>
      </c>
      <c r="F675" s="6" t="str">
        <f>IFERROR(__xludf.DUMMYFUNCTION("""COMPUTED_VALUE"""),"Condominio el Tesoro Campestre Casa 46 - Altos del Rio Km 1 Via Armenia Calarca")</f>
        <v>Condominio el Tesoro Campestre Casa 46 - Altos del Rio Km 1 Via Armenia Calarca</v>
      </c>
      <c r="G675" s="12" t="str">
        <f>IFERROR(__xludf.DUMMYFUNCTION("""COMPUTED_VALUE"""),"2011")</f>
        <v>2011</v>
      </c>
      <c r="H675" s="6" t="str">
        <f>IFERROR(__xludf.DUMMYFUNCTION("""COMPUTED_VALUE"""),"Agosto")</f>
        <v>Agosto</v>
      </c>
      <c r="I675" s="12" t="str">
        <f>IFERROR(__xludf.DUMMYFUNCTION("""COMPUTED_VALUE"""),"6")</f>
        <v>6</v>
      </c>
      <c r="J675" s="6" t="str">
        <f>IFERROR(__xludf.DUMMYFUNCTION("""COMPUTED_VALUE"""),"Armenia")</f>
        <v>Armenia</v>
      </c>
      <c r="K675" s="6" t="str">
        <f>IFERROR(__xludf.DUMMYFUNCTION("""COMPUTED_VALUE"""),"sara.a2029@gi.edu.co")</f>
        <v>sara.a2029@gi.edu.co</v>
      </c>
      <c r="L675" s="6" t="str">
        <f>IFERROR(__xludf.DUMMYFUNCTION("""COMPUTED_VALUE"""),"TI")</f>
        <v>TI</v>
      </c>
      <c r="M675" s="6" t="str">
        <f>IFERROR(__xludf.DUMMYFUNCTION("""COMPUTED_VALUE"""),"Armenia")</f>
        <v>Armenia</v>
      </c>
      <c r="N675" s="6" t="str">
        <f>IFERROR(__xludf.DUMMYFUNCTION("""COMPUTED_VALUE"""),"F")</f>
        <v>F</v>
      </c>
      <c r="O675" s="6" t="str">
        <f>IFERROR(__xludf.DUMMYFUNCTION("""COMPUTED_VALUE"""),"ACTIVE")</f>
        <v>ACTIVE</v>
      </c>
      <c r="P675" s="6"/>
      <c r="Q675" s="6" t="str">
        <f>IFERROR(__xludf.DUMMYFUNCTION("""COMPUTED_VALUE"""),"Calarcá")</f>
        <v>Calarcá</v>
      </c>
      <c r="R675" s="12" t="str">
        <f>IFERROR(__xludf.DUMMYFUNCTION("""COMPUTED_VALUE"""),"Gihfg35467*")</f>
        <v>Gihfg35467*</v>
      </c>
      <c r="S675" s="6" t="str">
        <f>IFERROR(__xludf.DUMMYFUNCTION("""COMPUTED_VALUE"""),"Ángel Gómez Sara ")</f>
        <v>Ángel Gómez Sara </v>
      </c>
      <c r="T675" s="6" t="str">
        <f>IFERROR(__xludf.DUMMYFUNCTION("""COMPUTED_VALUE"""),"FERNANDO ARTURO ANGEL PELAEZ")</f>
        <v>FERNANDO ARTURO ANGEL PELAEZ</v>
      </c>
      <c r="U675" s="12" t="str">
        <f>IFERROR(__xludf.DUMMYFUNCTION("""COMPUTED_VALUE"""),"18391737")</f>
        <v>18391737</v>
      </c>
      <c r="V675" s="6">
        <f>IFERROR(__xludf.DUMMYFUNCTION("""COMPUTED_VALUE"""),3.104031309E9)</f>
        <v>3104031309</v>
      </c>
      <c r="W675" s="6" t="str">
        <f>IFERROR(__xludf.DUMMYFUNCTION("""COMPUTED_VALUE"""),"fernandoaangel@hotmail.com")</f>
        <v>fernandoaangel@hotmail.com</v>
      </c>
      <c r="X675" s="12" t="str">
        <f>IFERROR(__xludf.DUMMYFUNCTION("""COMPUTED_VALUE"""),"O+")</f>
        <v>O+</v>
      </c>
      <c r="Y675" s="12" t="str">
        <f>IFERROR(__xludf.DUMMYFUNCTION("""COMPUTED_VALUE"""),"10")</f>
        <v>10</v>
      </c>
      <c r="Z675" s="12">
        <f>IFERROR(__xludf.DUMMYFUNCTION("""COMPUTED_VALUE"""),103229.0)</f>
        <v>103229</v>
      </c>
      <c r="AA675" s="6" t="str">
        <f>IFERROR(__xludf.DUMMYFUNCTION("""COMPUTED_VALUE"""),"SURA")</f>
        <v>SURA</v>
      </c>
      <c r="AB675" s="6" t="str">
        <f>IFERROR(__xludf.DUMMYFUNCTION("""COMPUTED_VALUE"""),"EMI")</f>
        <v>EMI</v>
      </c>
      <c r="AC675" s="6"/>
      <c r="AD675" s="12" t="str">
        <f>IFERROR(__xludf.DUMMYFUNCTION("""COMPUTED_VALUE"""),"10A")</f>
        <v>10A</v>
      </c>
      <c r="AE675" s="12">
        <f>IFERROR(__xludf.DUMMYFUNCTION("""COMPUTED_VALUE"""),1.345281583E9)</f>
        <v>1345281583</v>
      </c>
      <c r="AF675" s="12" t="str">
        <f>IFERROR(__xludf.DUMMYFUNCTION("""COMPUTED_VALUE"""),"0690374787")</f>
        <v>0690374787</v>
      </c>
      <c r="AG675" s="12" t="str">
        <f>IFERROR(__xludf.DUMMYFUNCTION("""COMPUTED_VALUE"""),"Ingri")</f>
        <v>Ingri</v>
      </c>
      <c r="AH675" s="12" t="str">
        <f>IFERROR(__xludf.DUMMYFUNCTION("""COMPUTED_VALUE"""),"Carolina")</f>
        <v>Carolina</v>
      </c>
      <c r="AI675" s="6" t="str">
        <f>IFERROR(__xludf.DUMMYFUNCTION("""COMPUTED_VALUE"""),"Gómez")</f>
        <v>Gómez</v>
      </c>
      <c r="AJ675" s="6" t="str">
        <f>IFERROR(__xludf.DUMMYFUNCTION("""COMPUTED_VALUE"""),"carogomez229@hotmail.com")</f>
        <v>carogomez229@hotmail.com</v>
      </c>
      <c r="AK675" s="6" t="str">
        <f>IFERROR(__xludf.DUMMYFUNCTION("""COMPUTED_VALUE"""),"FINANZAS")</f>
        <v>FINANZAS</v>
      </c>
      <c r="AL675" s="6" t="str">
        <f>IFERROR(__xludf.DUMMYFUNCTION("""COMPUTED_VALUE"""),"INDEPENDIENTE")</f>
        <v>INDEPENDIENTE</v>
      </c>
      <c r="AM675" s="12" t="str">
        <f>IFERROR(__xludf.DUMMYFUNCTION("""COMPUTED_VALUE"""),"38665194")</f>
        <v>38665194</v>
      </c>
      <c r="AN675" s="12" t="str">
        <f>IFERROR(__xludf.DUMMYFUNCTION("""COMPUTED_VALUE"""),"3108300269")</f>
        <v>3108300269</v>
      </c>
      <c r="AO675" s="6" t="str">
        <f>IFERROR(__xludf.DUMMYFUNCTION("""COMPUTED_VALUE"""),"Madre")</f>
        <v>Madre</v>
      </c>
      <c r="AP675" s="6" t="str">
        <f>IFERROR(__xludf.DUMMYFUNCTION("""COMPUTED_VALUE"""),"Estudiante(s): Ángel Gómez")</f>
        <v>Estudiante(s): Ángel Gómez</v>
      </c>
      <c r="AQ675" s="6" t="str">
        <f>IFERROR(__xludf.DUMMYFUNCTION("""COMPUTED_VALUE"""),"102097*Gi")</f>
        <v>102097*Gi</v>
      </c>
      <c r="AR675" s="6" t="str">
        <f>IFERROR(__xludf.DUMMYFUNCTION("""COMPUTED_VALUE"""),"Fernando")</f>
        <v>Fernando</v>
      </c>
      <c r="AS675" s="6" t="str">
        <f>IFERROR(__xludf.DUMMYFUNCTION("""COMPUTED_VALUE"""),"Arturo")</f>
        <v>Arturo</v>
      </c>
      <c r="AT675" s="6" t="str">
        <f>IFERROR(__xludf.DUMMYFUNCTION("""COMPUTED_VALUE"""),"Ángel Peláez")</f>
        <v>Ángel Peláez</v>
      </c>
      <c r="AU675" s="6" t="str">
        <f>IFERROR(__xludf.DUMMYFUNCTION("""COMPUTED_VALUE"""),"fernandoaangel@hotmail.com")</f>
        <v>fernandoaangel@hotmail.com</v>
      </c>
      <c r="AV675" s="6" t="str">
        <f>IFERROR(__xludf.DUMMYFUNCTION("""COMPUTED_VALUE"""),"Ingeniero Civil")</f>
        <v>Ingeniero Civil</v>
      </c>
      <c r="AW675" s="6"/>
      <c r="AX675" s="12" t="str">
        <f>IFERROR(__xludf.DUMMYFUNCTION("""COMPUTED_VALUE"""),"18391737")</f>
        <v>18391737</v>
      </c>
      <c r="AY675" s="12" t="str">
        <f>IFERROR(__xludf.DUMMYFUNCTION("""COMPUTED_VALUE"""),"3104031309")</f>
        <v>3104031309</v>
      </c>
      <c r="AZ675" s="6" t="str">
        <f>IFERROR(__xludf.DUMMYFUNCTION("""COMPUTED_VALUE"""),"Padre")</f>
        <v>Padre</v>
      </c>
      <c r="BA675" s="6"/>
      <c r="BB675" s="6"/>
      <c r="BC675" s="6"/>
      <c r="BD675" s="12" t="str">
        <f>IFERROR(__xludf.DUMMYFUNCTION("""COMPUTED_VALUE"""),"nge0003")</f>
        <v>nge0003</v>
      </c>
      <c r="BE675" s="6"/>
      <c r="BF675" s="6"/>
      <c r="BG675" s="6">
        <f>IFERROR(__xludf.DUMMYFUNCTION("""COMPUTED_VALUE"""),2029.0)</f>
        <v>2029</v>
      </c>
      <c r="BH675" s="15">
        <f>IFERROR(__xludf.DUMMYFUNCTION("""COMPUTED_VALUE"""),46209.45815972222)</f>
        <v>46209.45816</v>
      </c>
      <c r="BI675" s="6">
        <f>IFERROR(__xludf.DUMMYFUNCTION("""COMPUTED_VALUE"""),676.0)</f>
        <v>676</v>
      </c>
      <c r="BJ675" s="6"/>
      <c r="BK675" s="6"/>
      <c r="BL675" s="6" t="str">
        <f>IFERROR(__xludf.DUMMYFUNCTION("""COMPUTED_VALUE"""),"GISNGE0003")</f>
        <v>GISNGE0003</v>
      </c>
      <c r="BM675" s="6"/>
      <c r="BN675" s="6"/>
      <c r="BO675" s="6"/>
      <c r="BP675" s="6"/>
      <c r="BQ675" s="6"/>
      <c r="BR675" s="6"/>
      <c r="BS675" s="6"/>
      <c r="BT675" s="6"/>
      <c r="BU675" s="6" t="str">
        <f>IFERROR(__xludf.DUMMYFUNCTION("""COMPUTED_VALUE"""),"SI")</f>
        <v>SI</v>
      </c>
      <c r="BV675" s="6" t="str">
        <f>IFERROR(__xludf.DUMMYFUNCTION("""COMPUTED_VALUE"""),"sara.a2029")</f>
        <v>sara.a2029</v>
      </c>
      <c r="BW675" s="6"/>
      <c r="BX675" s="6"/>
      <c r="BY675" s="6"/>
      <c r="BZ675" s="6"/>
    </row>
    <row r="676">
      <c r="A676" s="12">
        <f>IFERROR(__xludf.DUMMYFUNCTION("""COMPUTED_VALUE"""),1.094936784E9)</f>
        <v>1094936784</v>
      </c>
      <c r="B676" s="6">
        <f>IFERROR(__xludf.DUMMYFUNCTION("""COMPUTED_VALUE"""),6.0)</f>
        <v>6</v>
      </c>
      <c r="C676" s="6" t="str">
        <f>IFERROR(__xludf.DUMMYFUNCTION("""COMPUTED_VALUE"""),"Santiago")</f>
        <v>Santiago</v>
      </c>
      <c r="D676" s="6"/>
      <c r="E676" s="6" t="str">
        <f>IFERROR(__xludf.DUMMYFUNCTION("""COMPUTED_VALUE"""),"Arias Tenorio")</f>
        <v>Arias Tenorio</v>
      </c>
      <c r="F676" s="6" t="str">
        <f>IFERROR(__xludf.DUMMYFUNCTION("""COMPUTED_VALUE"""),"Cra 10 No 15Nte - 09 - La Castellana")</f>
        <v>Cra 10 No 15Nte - 09 - La Castellana</v>
      </c>
      <c r="G676" s="12" t="str">
        <f>IFERROR(__xludf.DUMMYFUNCTION("""COMPUTED_VALUE"""),"2011")</f>
        <v>2011</v>
      </c>
      <c r="H676" s="6" t="str">
        <f>IFERROR(__xludf.DUMMYFUNCTION("""COMPUTED_VALUE"""),"Agosto")</f>
        <v>Agosto</v>
      </c>
      <c r="I676" s="12" t="str">
        <f>IFERROR(__xludf.DUMMYFUNCTION("""COMPUTED_VALUE"""),"20")</f>
        <v>20</v>
      </c>
      <c r="J676" s="6" t="str">
        <f>IFERROR(__xludf.DUMMYFUNCTION("""COMPUTED_VALUE"""),"Armenia")</f>
        <v>Armenia</v>
      </c>
      <c r="K676" s="6" t="str">
        <f>IFERROR(__xludf.DUMMYFUNCTION("""COMPUTED_VALUE"""),"santiago.a2029@gi.edu.co")</f>
        <v>santiago.a2029@gi.edu.co</v>
      </c>
      <c r="L676" s="6" t="str">
        <f>IFERROR(__xludf.DUMMYFUNCTION("""COMPUTED_VALUE"""),"TI")</f>
        <v>TI</v>
      </c>
      <c r="M676" s="6" t="str">
        <f>IFERROR(__xludf.DUMMYFUNCTION("""COMPUTED_VALUE"""),"Armenia")</f>
        <v>Armenia</v>
      </c>
      <c r="N676" s="6" t="str">
        <f>IFERROR(__xludf.DUMMYFUNCTION("""COMPUTED_VALUE"""),"M")</f>
        <v>M</v>
      </c>
      <c r="O676" s="6" t="str">
        <f>IFERROR(__xludf.DUMMYFUNCTION("""COMPUTED_VALUE"""),"INACTIVE")</f>
        <v>INACTIVE</v>
      </c>
      <c r="P676" s="6"/>
      <c r="Q676" s="6" t="str">
        <f>IFERROR(__xludf.DUMMYFUNCTION("""COMPUTED_VALUE"""),"Armenia")</f>
        <v>Armenia</v>
      </c>
      <c r="R676" s="12" t="str">
        <f>IFERROR(__xludf.DUMMYFUNCTION("""COMPUTED_VALUE"""),"Giscdre425*")</f>
        <v>Giscdre425*</v>
      </c>
      <c r="S676" s="6" t="str">
        <f>IFERROR(__xludf.DUMMYFUNCTION("""COMPUTED_VALUE"""),"Arias Tenorio Santiago ")</f>
        <v>Arias Tenorio Santiago </v>
      </c>
      <c r="T676" s="6" t="str">
        <f>IFERROR(__xludf.DUMMYFUNCTION("""COMPUTED_VALUE"""),"MAURICIO ENRIQUE ARIAS BEDOYA")</f>
        <v>MAURICIO ENRIQUE ARIAS BEDOYA</v>
      </c>
      <c r="U676" s="12" t="str">
        <f>IFERROR(__xludf.DUMMYFUNCTION("""COMPUTED_VALUE"""),"7561870")</f>
        <v>7561870</v>
      </c>
      <c r="V676" s="6">
        <f>IFERROR(__xludf.DUMMYFUNCTION("""COMPUTED_VALUE"""),3.137477188E9)</f>
        <v>3137477188</v>
      </c>
      <c r="W676" s="6" t="str">
        <f>IFERROR(__xludf.DUMMYFUNCTION("""COMPUTED_VALUE"""),"mauricioarias98@yahoo.com")</f>
        <v>mauricioarias98@yahoo.com</v>
      </c>
      <c r="X676" s="12" t="str">
        <f>IFERROR(__xludf.DUMMYFUNCTION("""COMPUTED_VALUE"""),"A+")</f>
        <v>A+</v>
      </c>
      <c r="Y676" s="12" t="str">
        <f>IFERROR(__xludf.DUMMYFUNCTION("""COMPUTED_VALUE"""),"10")</f>
        <v>10</v>
      </c>
      <c r="Z676" s="12">
        <f>IFERROR(__xludf.DUMMYFUNCTION("""COMPUTED_VALUE"""),103176.0)</f>
        <v>103176</v>
      </c>
      <c r="AA676" s="6" t="str">
        <f>IFERROR(__xludf.DUMMYFUNCTION("""COMPUTED_VALUE"""),"SANITAS")</f>
        <v>SANITAS</v>
      </c>
      <c r="AB676" s="6" t="str">
        <f>IFERROR(__xludf.DUMMYFUNCTION("""COMPUTED_VALUE"""),"SEGUROS BOLIVAR")</f>
        <v>SEGUROS BOLIVAR</v>
      </c>
      <c r="AC676" s="6"/>
      <c r="AD676" s="12" t="str">
        <f>IFERROR(__xludf.DUMMYFUNCTION("""COMPUTED_VALUE"""),"10A")</f>
        <v>10A</v>
      </c>
      <c r="AE676" s="12">
        <f>IFERROR(__xludf.DUMMYFUNCTION("""COMPUTED_VALUE"""),1.345281563E9)</f>
        <v>1345281563</v>
      </c>
      <c r="AF676" s="12" t="str">
        <f>IFERROR(__xludf.DUMMYFUNCTION("""COMPUTED_VALUE"""),"0699072627")</f>
        <v>0699072627</v>
      </c>
      <c r="AG676" s="12" t="str">
        <f>IFERROR(__xludf.DUMMYFUNCTION("""COMPUTED_VALUE"""),"Sandra")</f>
        <v>Sandra</v>
      </c>
      <c r="AH676" s="12" t="str">
        <f>IFERROR(__xludf.DUMMYFUNCTION("""COMPUTED_VALUE"""),"Milena")</f>
        <v>Milena</v>
      </c>
      <c r="AI676" s="6" t="str">
        <f>IFERROR(__xludf.DUMMYFUNCTION("""COMPUTED_VALUE"""),"Tenorio Basto")</f>
        <v>Tenorio Basto</v>
      </c>
      <c r="AJ676" s="6" t="str">
        <f>IFERROR(__xludf.DUMMYFUNCTION("""COMPUTED_VALUE"""),"smtenorio@davivienda.com")</f>
        <v>smtenorio@davivienda.com</v>
      </c>
      <c r="AK676" s="6" t="str">
        <f>IFERROR(__xludf.DUMMYFUNCTION("""COMPUTED_VALUE"""),"ing industrial")</f>
        <v>ing industrial</v>
      </c>
      <c r="AL676" s="6" t="str">
        <f>IFERROR(__xludf.DUMMYFUNCTION("""COMPUTED_VALUE"""),"Banco DAvivienda")</f>
        <v>Banco DAvivienda</v>
      </c>
      <c r="AM676" s="12" t="str">
        <f>IFERROR(__xludf.DUMMYFUNCTION("""COMPUTED_VALUE"""),"41933559")</f>
        <v>41933559</v>
      </c>
      <c r="AN676" s="12" t="str">
        <f>IFERROR(__xludf.DUMMYFUNCTION("""COMPUTED_VALUE"""),"3148944865")</f>
        <v>3148944865</v>
      </c>
      <c r="AO676" s="6" t="str">
        <f>IFERROR(__xludf.DUMMYFUNCTION("""COMPUTED_VALUE"""),"Madre")</f>
        <v>Madre</v>
      </c>
      <c r="AP676" s="6" t="str">
        <f>IFERROR(__xludf.DUMMYFUNCTION("""COMPUTED_VALUE"""),"Estudiante(s): Arias Tenorio")</f>
        <v>Estudiante(s): Arias Tenorio</v>
      </c>
      <c r="AQ676" s="6" t="str">
        <f>IFERROR(__xludf.DUMMYFUNCTION("""COMPUTED_VALUE"""),"102252*Gi")</f>
        <v>102252*Gi</v>
      </c>
      <c r="AR676" s="6" t="str">
        <f>IFERROR(__xludf.DUMMYFUNCTION("""COMPUTED_VALUE"""),"Mauricio")</f>
        <v>Mauricio</v>
      </c>
      <c r="AS676" s="6" t="str">
        <f>IFERROR(__xludf.DUMMYFUNCTION("""COMPUTED_VALUE"""),"Enrique")</f>
        <v>Enrique</v>
      </c>
      <c r="AT676" s="6" t="str">
        <f>IFERROR(__xludf.DUMMYFUNCTION("""COMPUTED_VALUE"""),"Arias Bedoya")</f>
        <v>Arias Bedoya</v>
      </c>
      <c r="AU676" s="6" t="str">
        <f>IFERROR(__xludf.DUMMYFUNCTION("""COMPUTED_VALUE"""),"mauricioarias98@yahoo.com")</f>
        <v>mauricioarias98@yahoo.com</v>
      </c>
      <c r="AV676" s="6" t="str">
        <f>IFERROR(__xludf.DUMMYFUNCTION("""COMPUTED_VALUE"""),"economista")</f>
        <v>economista</v>
      </c>
      <c r="AW676" s="6" t="str">
        <f>IFERROR(__xludf.DUMMYFUNCTION("""COMPUTED_VALUE"""),"ARIAS Y CIA SAS")</f>
        <v>ARIAS Y CIA SAS</v>
      </c>
      <c r="AX676" s="12" t="str">
        <f>IFERROR(__xludf.DUMMYFUNCTION("""COMPUTED_VALUE"""),"7561870")</f>
        <v>7561870</v>
      </c>
      <c r="AY676" s="12" t="str">
        <f>IFERROR(__xludf.DUMMYFUNCTION("""COMPUTED_VALUE"""),"3137477188")</f>
        <v>3137477188</v>
      </c>
      <c r="AZ676" s="6" t="str">
        <f>IFERROR(__xludf.DUMMYFUNCTION("""COMPUTED_VALUE"""),"Padre")</f>
        <v>Padre</v>
      </c>
      <c r="BA676" s="6"/>
      <c r="BB676" s="6"/>
      <c r="BC676" s="6"/>
      <c r="BD676" s="12" t="str">
        <f>IFERROR(__xludf.DUMMYFUNCTION("""COMPUTED_VALUE"""),"ari0004")</f>
        <v>ari0004</v>
      </c>
      <c r="BE676" s="6" t="str">
        <f>IFERROR(__xludf.DUMMYFUNCTION("""COMPUTED_VALUE"""),"FALTAN FIRMAS")</f>
        <v>FALTAN FIRMAS</v>
      </c>
      <c r="BF676" s="6"/>
      <c r="BG676" s="6">
        <f>IFERROR(__xludf.DUMMYFUNCTION("""COMPUTED_VALUE"""),2029.0)</f>
        <v>2029</v>
      </c>
      <c r="BH676" s="15">
        <f>IFERROR(__xludf.DUMMYFUNCTION("""COMPUTED_VALUE"""),46209.331782407404)</f>
        <v>46209.33178</v>
      </c>
      <c r="BI676" s="6">
        <f>IFERROR(__xludf.DUMMYFUNCTION("""COMPUTED_VALUE"""),677.0)</f>
        <v>677</v>
      </c>
      <c r="BJ676" s="6"/>
      <c r="BK676" s="6"/>
      <c r="BL676" s="6" t="str">
        <f>IFERROR(__xludf.DUMMYFUNCTION("""COMPUTED_VALUE"""),"GISARI0004")</f>
        <v>GISARI0004</v>
      </c>
      <c r="BM676" s="6"/>
      <c r="BN676" s="6"/>
      <c r="BO676" s="6" t="str">
        <f>IFERROR(__xludf.DUMMYFUNCTION("""COMPUTED_VALUE"""),"XC_HS_Futbol_M")</f>
        <v>XC_HS_Futbol_M</v>
      </c>
      <c r="BP676" s="6"/>
      <c r="BQ676" s="6" t="str">
        <f>IFERROR(__xludf.DUMMYFUNCTION("""COMPUTED_VALUE"""),"XC_HS_Futbol_M")</f>
        <v>XC_HS_Futbol_M</v>
      </c>
      <c r="BR676" s="6" t="str">
        <f>IFERROR(__xludf.DUMMYFUNCTION("""COMPUTED_VALUE"""),"XC_HS_Futbol_M")</f>
        <v>XC_HS_Futbol_M</v>
      </c>
      <c r="BS676" s="6"/>
      <c r="BT676" s="6" t="str">
        <f>IFERROR(__xludf.DUMMYFUNCTION("""COMPUTED_VALUE"""),"XC_HS_Futbol_M")</f>
        <v>XC_HS_Futbol_M</v>
      </c>
      <c r="BU676" s="6" t="str">
        <f>IFERROR(__xludf.DUMMYFUNCTION("""COMPUTED_VALUE"""),"SI")</f>
        <v>SI</v>
      </c>
      <c r="BV676" s="6" t="str">
        <f>IFERROR(__xludf.DUMMYFUNCTION("""COMPUTED_VALUE"""),"santiago.a2029")</f>
        <v>santiago.a2029</v>
      </c>
      <c r="BW676" s="6"/>
      <c r="BX676" s="6"/>
      <c r="BY676" s="6"/>
      <c r="BZ676" s="6"/>
    </row>
    <row r="677">
      <c r="A677" s="12">
        <f>IFERROR(__xludf.DUMMYFUNCTION("""COMPUTED_VALUE"""),1.127248592E9)</f>
        <v>1127248592</v>
      </c>
      <c r="B677" s="6">
        <f>IFERROR(__xludf.DUMMYFUNCTION("""COMPUTED_VALUE"""),7.0)</f>
        <v>7</v>
      </c>
      <c r="C677" s="6" t="str">
        <f>IFERROR(__xludf.DUMMYFUNCTION("""COMPUTED_VALUE"""),"Miguel")</f>
        <v>Miguel</v>
      </c>
      <c r="D677" s="6"/>
      <c r="E677" s="6" t="str">
        <f>IFERROR(__xludf.DUMMYFUNCTION("""COMPUTED_VALUE"""),"Botero Páez")</f>
        <v>Botero Páez</v>
      </c>
      <c r="F677" s="6" t="str">
        <f>IFERROR(__xludf.DUMMYFUNCTION("""COMPUTED_VALUE"""),"Calle 13Nte No13 - 54 - Barrio La Castellana")</f>
        <v>Calle 13Nte No13 - 54 - Barrio La Castellana</v>
      </c>
      <c r="G677" s="12" t="str">
        <f>IFERROR(__xludf.DUMMYFUNCTION("""COMPUTED_VALUE"""),"2011")</f>
        <v>2011</v>
      </c>
      <c r="H677" s="6" t="str">
        <f>IFERROR(__xludf.DUMMYFUNCTION("""COMPUTED_VALUE"""),"Marzo")</f>
        <v>Marzo</v>
      </c>
      <c r="I677" s="12" t="str">
        <f>IFERROR(__xludf.DUMMYFUNCTION("""COMPUTED_VALUE"""),"28")</f>
        <v>28</v>
      </c>
      <c r="J677" s="6" t="str">
        <f>IFERROR(__xludf.DUMMYFUNCTION("""COMPUTED_VALUE"""),"Miami")</f>
        <v>Miami</v>
      </c>
      <c r="K677" s="6" t="str">
        <f>IFERROR(__xludf.DUMMYFUNCTION("""COMPUTED_VALUE"""),"miguel.b2029@gi.edu.co")</f>
        <v>miguel.b2029@gi.edu.co</v>
      </c>
      <c r="L677" s="6" t="str">
        <f>IFERROR(__xludf.DUMMYFUNCTION("""COMPUTED_VALUE"""),"RC")</f>
        <v>RC</v>
      </c>
      <c r="M677" s="6" t="str">
        <f>IFERROR(__xludf.DUMMYFUNCTION("""COMPUTED_VALUE"""),"Miami")</f>
        <v>Miami</v>
      </c>
      <c r="N677" s="6" t="str">
        <f>IFERROR(__xludf.DUMMYFUNCTION("""COMPUTED_VALUE"""),"M")</f>
        <v>M</v>
      </c>
      <c r="O677" s="6" t="str">
        <f>IFERROR(__xludf.DUMMYFUNCTION("""COMPUTED_VALUE"""),"ACTIVE")</f>
        <v>ACTIVE</v>
      </c>
      <c r="P677" s="6"/>
      <c r="Q677" s="6" t="str">
        <f>IFERROR(__xludf.DUMMYFUNCTION("""COMPUTED_VALUE"""),"Armenia")</f>
        <v>Armenia</v>
      </c>
      <c r="R677" s="12" t="str">
        <f>IFERROR(__xludf.DUMMYFUNCTION("""COMPUTED_VALUE"""),"Gi3452af12*")</f>
        <v>Gi3452af12*</v>
      </c>
      <c r="S677" s="6" t="str">
        <f>IFERROR(__xludf.DUMMYFUNCTION("""COMPUTED_VALUE"""),"Botero Páez Miguel ")</f>
        <v>Botero Páez Miguel </v>
      </c>
      <c r="T677" s="6" t="str">
        <f>IFERROR(__xludf.DUMMYFUNCTION("""COMPUTED_VALUE"""),"CAROLINA BOTERO PÁEZ")</f>
        <v>CAROLINA BOTERO PÁEZ</v>
      </c>
      <c r="U677" s="12" t="str">
        <f>IFERROR(__xludf.DUMMYFUNCTION("""COMPUTED_VALUE"""),"41935355")</f>
        <v>41935355</v>
      </c>
      <c r="V677" s="6">
        <f>IFERROR(__xludf.DUMMYFUNCTION("""COMPUTED_VALUE"""),3.136703092E9)</f>
        <v>3136703092</v>
      </c>
      <c r="W677" s="6" t="str">
        <f>IFERROR(__xludf.DUMMYFUNCTION("""COMPUTED_VALUE"""),"caroboterop@hotmail.com")</f>
        <v>caroboterop@hotmail.com</v>
      </c>
      <c r="X677" s="12" t="str">
        <f>IFERROR(__xludf.DUMMYFUNCTION("""COMPUTED_VALUE"""),"O+")</f>
        <v>O+</v>
      </c>
      <c r="Y677" s="12" t="str">
        <f>IFERROR(__xludf.DUMMYFUNCTION("""COMPUTED_VALUE"""),"10")</f>
        <v>10</v>
      </c>
      <c r="Z677" s="12">
        <f>IFERROR(__xludf.DUMMYFUNCTION("""COMPUTED_VALUE"""),103285.0)</f>
        <v>103285</v>
      </c>
      <c r="AA677" s="6" t="str">
        <f>IFERROR(__xludf.DUMMYFUNCTION("""COMPUTED_VALUE"""),"NUEVA EPS")</f>
        <v>NUEVA EPS</v>
      </c>
      <c r="AB677" s="6" t="str">
        <f>IFERROR(__xludf.DUMMYFUNCTION("""COMPUTED_VALUE"""),"Allianz")</f>
        <v>Allianz</v>
      </c>
      <c r="AC677" s="12" t="str">
        <f>IFERROR(__xludf.DUMMYFUNCTION("""COMPUTED_VALUE"""),"Arena, temperas, dermatitis de contacto")</f>
        <v>Arena, temperas, dermatitis de contacto</v>
      </c>
      <c r="AD677" s="12" t="str">
        <f>IFERROR(__xludf.DUMMYFUNCTION("""COMPUTED_VALUE"""),"10B")</f>
        <v>10B</v>
      </c>
      <c r="AE677" s="12">
        <f>IFERROR(__xludf.DUMMYFUNCTION("""COMPUTED_VALUE"""),1.345281607E9)</f>
        <v>1345281607</v>
      </c>
      <c r="AF677" s="12" t="str">
        <f>IFERROR(__xludf.DUMMYFUNCTION("""COMPUTED_VALUE"""),"0689857043")</f>
        <v>0689857043</v>
      </c>
      <c r="AG677" s="12" t="str">
        <f>IFERROR(__xludf.DUMMYFUNCTION("""COMPUTED_VALUE"""),"Carolina")</f>
        <v>Carolina</v>
      </c>
      <c r="AH677" s="6"/>
      <c r="AI677" s="6" t="str">
        <f>IFERROR(__xludf.DUMMYFUNCTION("""COMPUTED_VALUE"""),"Botero Páez")</f>
        <v>Botero Páez</v>
      </c>
      <c r="AJ677" s="6" t="str">
        <f>IFERROR(__xludf.DUMMYFUNCTION("""COMPUTED_VALUE"""),"caroboterop@hotmail.com")</f>
        <v>caroboterop@hotmail.com</v>
      </c>
      <c r="AK677" s="6" t="str">
        <f>IFERROR(__xludf.DUMMYFUNCTION("""COMPUTED_VALUE"""),"Fisioterapeuta")</f>
        <v>Fisioterapeuta</v>
      </c>
      <c r="AL677" s="6" t="str">
        <f>IFERROR(__xludf.DUMMYFUNCTION("""COMPUTED_VALUE"""),"Independiente")</f>
        <v>Independiente</v>
      </c>
      <c r="AM677" s="12" t="str">
        <f>IFERROR(__xludf.DUMMYFUNCTION("""COMPUTED_VALUE"""),"41935355")</f>
        <v>41935355</v>
      </c>
      <c r="AN677" s="12" t="str">
        <f>IFERROR(__xludf.DUMMYFUNCTION("""COMPUTED_VALUE"""),"3136703092")</f>
        <v>3136703092</v>
      </c>
      <c r="AO677" s="6" t="str">
        <f>IFERROR(__xludf.DUMMYFUNCTION("""COMPUTED_VALUE"""),"Madre")</f>
        <v>Madre</v>
      </c>
      <c r="AP677" s="6" t="str">
        <f>IFERROR(__xludf.DUMMYFUNCTION("""COMPUTED_VALUE"""),"Estudiante(s): Botero Páez")</f>
        <v>Estudiante(s): Botero Páez</v>
      </c>
      <c r="AQ677" s="6" t="str">
        <f>IFERROR(__xludf.DUMMYFUNCTION("""COMPUTED_VALUE"""),"103285*Gi")</f>
        <v>103285*Gi</v>
      </c>
      <c r="AR677" s="6"/>
      <c r="AS677" s="6"/>
      <c r="AT677" s="6"/>
      <c r="AU677" s="6"/>
      <c r="AV677" s="6"/>
      <c r="AW677" s="6"/>
      <c r="AX677" s="6"/>
      <c r="AY677" s="6"/>
      <c r="AZ677" s="6" t="str">
        <f>IFERROR(__xludf.DUMMYFUNCTION("""COMPUTED_VALUE"""),"Padre")</f>
        <v>Padre</v>
      </c>
      <c r="BA677" s="6"/>
      <c r="BB677" s="6"/>
      <c r="BC677" s="6"/>
      <c r="BD677" s="12" t="str">
        <f>IFERROR(__xludf.DUMMYFUNCTION("""COMPUTED_VALUE"""),"bot0013")</f>
        <v>bot0013</v>
      </c>
      <c r="BE677" s="6"/>
      <c r="BF677" s="6"/>
      <c r="BG677" s="6">
        <f>IFERROR(__xludf.DUMMYFUNCTION("""COMPUTED_VALUE"""),2029.0)</f>
        <v>2029</v>
      </c>
      <c r="BH677" s="15">
        <f>IFERROR(__xludf.DUMMYFUNCTION("""COMPUTED_VALUE"""),46209.47934027778)</f>
        <v>46209.47934</v>
      </c>
      <c r="BI677" s="6">
        <f>IFERROR(__xludf.DUMMYFUNCTION("""COMPUTED_VALUE"""),678.0)</f>
        <v>678</v>
      </c>
      <c r="BJ677" s="6"/>
      <c r="BK677" s="6"/>
      <c r="BL677" s="6" t="str">
        <f>IFERROR(__xludf.DUMMYFUNCTION("""COMPUTED_VALUE"""),"GISBOT0013")</f>
        <v>GISBOT0013</v>
      </c>
      <c r="BM677" s="6"/>
      <c r="BN677" s="6"/>
      <c r="BO677" s="6"/>
      <c r="BP677" s="6"/>
      <c r="BQ677" s="6"/>
      <c r="BR677" s="6"/>
      <c r="BS677" s="6"/>
      <c r="BT677" s="6"/>
      <c r="BU677" s="6" t="str">
        <f>IFERROR(__xludf.DUMMYFUNCTION("""COMPUTED_VALUE"""),"SI")</f>
        <v>SI</v>
      </c>
      <c r="BV677" s="6" t="str">
        <f>IFERROR(__xludf.DUMMYFUNCTION("""COMPUTED_VALUE"""),"miguel.b2029")</f>
        <v>miguel.b2029</v>
      </c>
      <c r="BW677" s="6"/>
      <c r="BX677" s="6"/>
      <c r="BY677" s="6"/>
      <c r="BZ677" s="6"/>
    </row>
    <row r="678">
      <c r="A678" s="12">
        <f>IFERROR(__xludf.DUMMYFUNCTION("""COMPUTED_VALUE"""),1.092855145E9)</f>
        <v>1092855145</v>
      </c>
      <c r="B678" s="6">
        <f>IFERROR(__xludf.DUMMYFUNCTION("""COMPUTED_VALUE"""),8.0)</f>
        <v>8</v>
      </c>
      <c r="C678" s="6" t="str">
        <f>IFERROR(__xludf.DUMMYFUNCTION("""COMPUTED_VALUE"""),"Amelia")</f>
        <v>Amelia</v>
      </c>
      <c r="D678" s="6"/>
      <c r="E678" s="6" t="str">
        <f>IFERROR(__xludf.DUMMYFUNCTION("""COMPUTED_VALUE"""),"Cardona Castaño")</f>
        <v>Cardona Castaño</v>
      </c>
      <c r="F678" s="6" t="str">
        <f>IFERROR(__xludf.DUMMYFUNCTION("""COMPUTED_VALUE"""),"Urbanizacion Colina de la Castellana Casa 19 - Calle 11Nte No9 - 55 La Castellana")</f>
        <v>Urbanizacion Colina de la Castellana Casa 19 - Calle 11Nte No9 - 55 La Castellana</v>
      </c>
      <c r="G678" s="12" t="str">
        <f>IFERROR(__xludf.DUMMYFUNCTION("""COMPUTED_VALUE"""),"2011")</f>
        <v>2011</v>
      </c>
      <c r="H678" s="6" t="str">
        <f>IFERROR(__xludf.DUMMYFUNCTION("""COMPUTED_VALUE"""),"Enero")</f>
        <v>Enero</v>
      </c>
      <c r="I678" s="12" t="str">
        <f>IFERROR(__xludf.DUMMYFUNCTION("""COMPUTED_VALUE"""),"30")</f>
        <v>30</v>
      </c>
      <c r="J678" s="6" t="str">
        <f>IFERROR(__xludf.DUMMYFUNCTION("""COMPUTED_VALUE"""),"Armenia")</f>
        <v>Armenia</v>
      </c>
      <c r="K678" s="6" t="str">
        <f>IFERROR(__xludf.DUMMYFUNCTION("""COMPUTED_VALUE"""),"amelia.c2029@gi.edu.co")</f>
        <v>amelia.c2029@gi.edu.co</v>
      </c>
      <c r="L678" s="6" t="str">
        <f>IFERROR(__xludf.DUMMYFUNCTION("""COMPUTED_VALUE"""),"TI")</f>
        <v>TI</v>
      </c>
      <c r="M678" s="6" t="str">
        <f>IFERROR(__xludf.DUMMYFUNCTION("""COMPUTED_VALUE"""),"Armenia")</f>
        <v>Armenia</v>
      </c>
      <c r="N678" s="6" t="str">
        <f>IFERROR(__xludf.DUMMYFUNCTION("""COMPUTED_VALUE"""),"F")</f>
        <v>F</v>
      </c>
      <c r="O678" s="6" t="str">
        <f>IFERROR(__xludf.DUMMYFUNCTION("""COMPUTED_VALUE"""),"ACTIVE")</f>
        <v>ACTIVE</v>
      </c>
      <c r="P678" s="6"/>
      <c r="Q678" s="6" t="str">
        <f>IFERROR(__xludf.DUMMYFUNCTION("""COMPUTED_VALUE"""),"Armenia")</f>
        <v>Armenia</v>
      </c>
      <c r="R678" s="12" t="str">
        <f>IFERROR(__xludf.DUMMYFUNCTION("""COMPUTED_VALUE"""),"Gigfrt4536*")</f>
        <v>Gigfrt4536*</v>
      </c>
      <c r="S678" s="6" t="str">
        <f>IFERROR(__xludf.DUMMYFUNCTION("""COMPUTED_VALUE"""),"Cardona Castaño Amelia ")</f>
        <v>Cardona Castaño Amelia </v>
      </c>
      <c r="T678" s="6" t="str">
        <f>IFERROR(__xludf.DUMMYFUNCTION("""COMPUTED_VALUE"""),"DUVAN GUILLERMO CARDONA LOPEZ")</f>
        <v>DUVAN GUILLERMO CARDONA LOPEZ</v>
      </c>
      <c r="U678" s="12" t="str">
        <f>IFERROR(__xludf.DUMMYFUNCTION("""COMPUTED_VALUE"""),"71655120")</f>
        <v>71655120</v>
      </c>
      <c r="V678" s="6">
        <f>IFERROR(__xludf.DUMMYFUNCTION("""COMPUTED_VALUE"""),3.14814449E9)</f>
        <v>3148144490</v>
      </c>
      <c r="W678" s="6" t="str">
        <f>IFERROR(__xludf.DUMMYFUNCTION("""COMPUTED_VALUE"""),"latraviesasas@hotmail.com")</f>
        <v>latraviesasas@hotmail.com</v>
      </c>
      <c r="X678" s="12" t="str">
        <f>IFERROR(__xludf.DUMMYFUNCTION("""COMPUTED_VALUE"""),"O+")</f>
        <v>O+</v>
      </c>
      <c r="Y678" s="12" t="str">
        <f>IFERROR(__xludf.DUMMYFUNCTION("""COMPUTED_VALUE"""),"10")</f>
        <v>10</v>
      </c>
      <c r="Z678" s="12">
        <f>IFERROR(__xludf.DUMMYFUNCTION("""COMPUTED_VALUE"""),103235.0)</f>
        <v>103235</v>
      </c>
      <c r="AA678" s="6" t="str">
        <f>IFERROR(__xludf.DUMMYFUNCTION("""COMPUTED_VALUE"""),"SURA")</f>
        <v>SURA</v>
      </c>
      <c r="AB678" s="6" t="str">
        <f>IFERROR(__xludf.DUMMYFUNCTION("""COMPUTED_VALUE"""),"EMI")</f>
        <v>EMI</v>
      </c>
      <c r="AC678" s="6"/>
      <c r="AD678" s="12" t="str">
        <f>IFERROR(__xludf.DUMMYFUNCTION("""COMPUTED_VALUE"""),"10A")</f>
        <v>10A</v>
      </c>
      <c r="AE678" s="12">
        <f>IFERROR(__xludf.DUMMYFUNCTION("""COMPUTED_VALUE"""),1.34528159E9)</f>
        <v>1345281590</v>
      </c>
      <c r="AF678" s="12" t="str">
        <f>IFERROR(__xludf.DUMMYFUNCTION("""COMPUTED_VALUE"""),"0674156339")</f>
        <v>0674156339</v>
      </c>
      <c r="AG678" s="12" t="str">
        <f>IFERROR(__xludf.DUMMYFUNCTION("""COMPUTED_VALUE"""),"Paula")</f>
        <v>Paula</v>
      </c>
      <c r="AH678" s="12" t="str">
        <f>IFERROR(__xludf.DUMMYFUNCTION("""COMPUTED_VALUE"""),"María")</f>
        <v>María</v>
      </c>
      <c r="AI678" s="6" t="str">
        <f>IFERROR(__xludf.DUMMYFUNCTION("""COMPUTED_VALUE"""),"Castaño González")</f>
        <v>Castaño González</v>
      </c>
      <c r="AJ678" s="6" t="str">
        <f>IFERROR(__xludf.DUMMYFUNCTION("""COMPUTED_VALUE"""),"pcastano.co@hotmail.com")</f>
        <v>pcastano.co@hotmail.com</v>
      </c>
      <c r="AK678" s="6" t="str">
        <f>IFERROR(__xludf.DUMMYFUNCTION("""COMPUTED_VALUE"""),"Admon Empresas")</f>
        <v>Admon Empresas</v>
      </c>
      <c r="AL678" s="6" t="str">
        <f>IFERROR(__xludf.DUMMYFUNCTION("""COMPUTED_VALUE"""),"LA TRAVIESA SAS")</f>
        <v>LA TRAVIESA SAS</v>
      </c>
      <c r="AM678" s="12" t="str">
        <f>IFERROR(__xludf.DUMMYFUNCTION("""COMPUTED_VALUE"""),"41944267")</f>
        <v>41944267</v>
      </c>
      <c r="AN678" s="12" t="str">
        <f>IFERROR(__xludf.DUMMYFUNCTION("""COMPUTED_VALUE"""),"3148144494")</f>
        <v>3148144494</v>
      </c>
      <c r="AO678" s="6" t="str">
        <f>IFERROR(__xludf.DUMMYFUNCTION("""COMPUTED_VALUE"""),"Madre")</f>
        <v>Madre</v>
      </c>
      <c r="AP678" s="6" t="str">
        <f>IFERROR(__xludf.DUMMYFUNCTION("""COMPUTED_VALUE"""),"Estudiante(s): Cardona Castaño")</f>
        <v>Estudiante(s): Cardona Castaño</v>
      </c>
      <c r="AQ678" s="6" t="str">
        <f>IFERROR(__xludf.DUMMYFUNCTION("""COMPUTED_VALUE"""),"102068*Gi")</f>
        <v>102068*Gi</v>
      </c>
      <c r="AR678" s="6" t="str">
        <f>IFERROR(__xludf.DUMMYFUNCTION("""COMPUTED_VALUE"""),"Duván")</f>
        <v>Duván</v>
      </c>
      <c r="AS678" s="6" t="str">
        <f>IFERROR(__xludf.DUMMYFUNCTION("""COMPUTED_VALUE"""),"Guillermo")</f>
        <v>Guillermo</v>
      </c>
      <c r="AT678" s="6" t="str">
        <f>IFERROR(__xludf.DUMMYFUNCTION("""COMPUTED_VALUE"""),"Cardona López")</f>
        <v>Cardona López</v>
      </c>
      <c r="AU678" s="6" t="str">
        <f>IFERROR(__xludf.DUMMYFUNCTION("""COMPUTED_VALUE"""),"latraviesasas@hotmail.com")</f>
        <v>latraviesasas@hotmail.com</v>
      </c>
      <c r="AV678" s="6" t="str">
        <f>IFERROR(__xludf.DUMMYFUNCTION("""COMPUTED_VALUE"""),"Ing Industrial")</f>
        <v>Ing Industrial</v>
      </c>
      <c r="AW678" s="6" t="str">
        <f>IFERROR(__xludf.DUMMYFUNCTION("""COMPUTED_VALUE"""),"LA TRAVIESA SAS")</f>
        <v>LA TRAVIESA SAS</v>
      </c>
      <c r="AX678" s="12" t="str">
        <f>IFERROR(__xludf.DUMMYFUNCTION("""COMPUTED_VALUE"""),"71655120")</f>
        <v>71655120</v>
      </c>
      <c r="AY678" s="12" t="str">
        <f>IFERROR(__xludf.DUMMYFUNCTION("""COMPUTED_VALUE"""),"3148144490")</f>
        <v>3148144490</v>
      </c>
      <c r="AZ678" s="6" t="str">
        <f>IFERROR(__xludf.DUMMYFUNCTION("""COMPUTED_VALUE"""),"Padre")</f>
        <v>Padre</v>
      </c>
      <c r="BA678" s="6"/>
      <c r="BB678" s="6"/>
      <c r="BC678" s="6"/>
      <c r="BD678" s="12" t="str">
        <f>IFERROR(__xludf.DUMMYFUNCTION("""COMPUTED_VALUE"""),"car0001")</f>
        <v>car0001</v>
      </c>
      <c r="BE678" s="6"/>
      <c r="BF678" s="6"/>
      <c r="BG678" s="6">
        <f>IFERROR(__xludf.DUMMYFUNCTION("""COMPUTED_VALUE"""),2029.0)</f>
        <v>2029</v>
      </c>
      <c r="BH678" s="15">
        <f>IFERROR(__xludf.DUMMYFUNCTION("""COMPUTED_VALUE"""),46206.3155787037)</f>
        <v>46206.31558</v>
      </c>
      <c r="BI678" s="6">
        <f>IFERROR(__xludf.DUMMYFUNCTION("""COMPUTED_VALUE"""),679.0)</f>
        <v>679</v>
      </c>
      <c r="BJ678" s="6"/>
      <c r="BK678" s="6"/>
      <c r="BL678" s="6" t="str">
        <f>IFERROR(__xludf.DUMMYFUNCTION("""COMPUTED_VALUE"""),"GISCAR0001")</f>
        <v>GISCAR0001</v>
      </c>
      <c r="BM678" s="6"/>
      <c r="BN678" s="6"/>
      <c r="BO678" s="6"/>
      <c r="BP678" s="6"/>
      <c r="BQ678" s="6"/>
      <c r="BR678" s="6"/>
      <c r="BS678" s="6"/>
      <c r="BT678" s="6"/>
      <c r="BU678" s="6" t="str">
        <f>IFERROR(__xludf.DUMMYFUNCTION("""COMPUTED_VALUE"""),"SI")</f>
        <v>SI</v>
      </c>
      <c r="BV678" s="6" t="str">
        <f>IFERROR(__xludf.DUMMYFUNCTION("""COMPUTED_VALUE"""),"amelia.c2029")</f>
        <v>amelia.c2029</v>
      </c>
      <c r="BW678" s="6"/>
      <c r="BX678" s="6"/>
      <c r="BY678" s="6"/>
      <c r="BZ678" s="6"/>
    </row>
    <row r="679">
      <c r="A679" s="12">
        <f>IFERROR(__xludf.DUMMYFUNCTION("""COMPUTED_VALUE"""),1.092855038E9)</f>
        <v>1092855038</v>
      </c>
      <c r="B679" s="6">
        <f>IFERROR(__xludf.DUMMYFUNCTION("""COMPUTED_VALUE"""),9.0)</f>
        <v>9</v>
      </c>
      <c r="C679" s="6" t="str">
        <f>IFERROR(__xludf.DUMMYFUNCTION("""COMPUTED_VALUE"""),"Manuela")</f>
        <v>Manuela</v>
      </c>
      <c r="D679" s="6"/>
      <c r="E679" s="6" t="str">
        <f>IFERROR(__xludf.DUMMYFUNCTION("""COMPUTED_VALUE"""),"Cardona Cifuentes")</f>
        <v>Cardona Cifuentes</v>
      </c>
      <c r="F679" s="6" t="str">
        <f>IFERROR(__xludf.DUMMYFUNCTION("""COMPUTED_VALUE"""),"Portal de Alameda Casa D18 - Cra 19 No36Nte - 30")</f>
        <v>Portal de Alameda Casa D18 - Cra 19 No36Nte - 30</v>
      </c>
      <c r="G679" s="12" t="str">
        <f>IFERROR(__xludf.DUMMYFUNCTION("""COMPUTED_VALUE"""),"2010")</f>
        <v>2010</v>
      </c>
      <c r="H679" s="6" t="str">
        <f>IFERROR(__xludf.DUMMYFUNCTION("""COMPUTED_VALUE"""),"Diciembre")</f>
        <v>Diciembre</v>
      </c>
      <c r="I679" s="12" t="str">
        <f>IFERROR(__xludf.DUMMYFUNCTION("""COMPUTED_VALUE"""),"8")</f>
        <v>8</v>
      </c>
      <c r="J679" s="6" t="str">
        <f>IFERROR(__xludf.DUMMYFUNCTION("""COMPUTED_VALUE"""),"Armenia")</f>
        <v>Armenia</v>
      </c>
      <c r="K679" s="6" t="str">
        <f>IFERROR(__xludf.DUMMYFUNCTION("""COMPUTED_VALUE"""),"manuela.c2029@gi.edu.co")</f>
        <v>manuela.c2029@gi.edu.co</v>
      </c>
      <c r="L679" s="6" t="str">
        <f>IFERROR(__xludf.DUMMYFUNCTION("""COMPUTED_VALUE"""),"TI")</f>
        <v>TI</v>
      </c>
      <c r="M679" s="6" t="str">
        <f>IFERROR(__xludf.DUMMYFUNCTION("""COMPUTED_VALUE"""),"Armenia")</f>
        <v>Armenia</v>
      </c>
      <c r="N679" s="6" t="str">
        <f>IFERROR(__xludf.DUMMYFUNCTION("""COMPUTED_VALUE"""),"F")</f>
        <v>F</v>
      </c>
      <c r="O679" s="6" t="str">
        <f>IFERROR(__xludf.DUMMYFUNCTION("""COMPUTED_VALUE"""),"ACTIVE")</f>
        <v>ACTIVE</v>
      </c>
      <c r="P679" s="6"/>
      <c r="Q679" s="6" t="str">
        <f>IFERROR(__xludf.DUMMYFUNCTION("""COMPUTED_VALUE"""),"Armenia")</f>
        <v>Armenia</v>
      </c>
      <c r="R679" s="12" t="str">
        <f>IFERROR(__xludf.DUMMYFUNCTION("""COMPUTED_VALUE"""),"Gisa81ks92*")</f>
        <v>Gisa81ks92*</v>
      </c>
      <c r="S679" s="6" t="str">
        <f>IFERROR(__xludf.DUMMYFUNCTION("""COMPUTED_VALUE"""),"Cardona Cifuentes Manuela ")</f>
        <v>Cardona Cifuentes Manuela </v>
      </c>
      <c r="T679" s="6" t="str">
        <f>IFERROR(__xludf.DUMMYFUNCTION("""COMPUTED_VALUE"""),"PAOLA CIFUENTES ANGARITA")</f>
        <v>PAOLA CIFUENTES ANGARITA</v>
      </c>
      <c r="U679" s="12" t="str">
        <f>IFERROR(__xludf.DUMMYFUNCTION("""COMPUTED_VALUE"""),"41934468")</f>
        <v>41934468</v>
      </c>
      <c r="V679" s="6">
        <f>IFERROR(__xludf.DUMMYFUNCTION("""COMPUTED_VALUE"""),3.148909703E9)</f>
        <v>3148909703</v>
      </c>
      <c r="W679" s="6" t="str">
        <f>IFERROR(__xludf.DUMMYFUNCTION("""COMPUTED_VALUE"""),"paopitas@hotmail.com")</f>
        <v>paopitas@hotmail.com</v>
      </c>
      <c r="X679" s="12" t="str">
        <f>IFERROR(__xludf.DUMMYFUNCTION("""COMPUTED_VALUE"""),"B+")</f>
        <v>B+</v>
      </c>
      <c r="Y679" s="12" t="str">
        <f>IFERROR(__xludf.DUMMYFUNCTION("""COMPUTED_VALUE"""),"10")</f>
        <v>10</v>
      </c>
      <c r="Z679" s="12">
        <f>IFERROR(__xludf.DUMMYFUNCTION("""COMPUTED_VALUE"""),103489.0)</f>
        <v>103489</v>
      </c>
      <c r="AA679" s="6" t="str">
        <f>IFERROR(__xludf.DUMMYFUNCTION("""COMPUTED_VALUE"""),"SURA")</f>
        <v>SURA</v>
      </c>
      <c r="AB679" s="6" t="str">
        <f>IFERROR(__xludf.DUMMYFUNCTION("""COMPUTED_VALUE"""),"Emi - Medicina Prepagada Allianz")</f>
        <v>Emi - Medicina Prepagada Allianz</v>
      </c>
      <c r="AC679" s="12" t="str">
        <f>IFERROR(__xludf.DUMMYFUNCTION("""COMPUTED_VALUE"""),"Ocasionalmente al Pasto")</f>
        <v>Ocasionalmente al Pasto</v>
      </c>
      <c r="AD679" s="12" t="str">
        <f>IFERROR(__xludf.DUMMYFUNCTION("""COMPUTED_VALUE"""),"10B")</f>
        <v>10B</v>
      </c>
      <c r="AE679" s="12">
        <f>IFERROR(__xludf.DUMMYFUNCTION("""COMPUTED_VALUE"""),1.345281715E9)</f>
        <v>1345281715</v>
      </c>
      <c r="AF679" s="12" t="str">
        <f>IFERROR(__xludf.DUMMYFUNCTION("""COMPUTED_VALUE"""),"0688645667")</f>
        <v>0688645667</v>
      </c>
      <c r="AG679" s="12" t="str">
        <f>IFERROR(__xludf.DUMMYFUNCTION("""COMPUTED_VALUE"""),"Paola")</f>
        <v>Paola</v>
      </c>
      <c r="AH679" s="6"/>
      <c r="AI679" s="6" t="str">
        <f>IFERROR(__xludf.DUMMYFUNCTION("""COMPUTED_VALUE"""),"Cifuentes Angarita")</f>
        <v>Cifuentes Angarita</v>
      </c>
      <c r="AJ679" s="6" t="str">
        <f>IFERROR(__xludf.DUMMYFUNCTION("""COMPUTED_VALUE"""),"paopitas@hotmail.com")</f>
        <v>paopitas@hotmail.com</v>
      </c>
      <c r="AK679" s="6" t="str">
        <f>IFERROR(__xludf.DUMMYFUNCTION("""COMPUTED_VALUE"""),"Contador Público")</f>
        <v>Contador Público</v>
      </c>
      <c r="AL679" s="6" t="str">
        <f>IFERROR(__xludf.DUMMYFUNCTION("""COMPUTED_VALUE"""),"Banco Itaú")</f>
        <v>Banco Itaú</v>
      </c>
      <c r="AM679" s="12" t="str">
        <f>IFERROR(__xludf.DUMMYFUNCTION("""COMPUTED_VALUE"""),"41934468")</f>
        <v>41934468</v>
      </c>
      <c r="AN679" s="12" t="str">
        <f>IFERROR(__xludf.DUMMYFUNCTION("""COMPUTED_VALUE"""),"3148909703")</f>
        <v>3148909703</v>
      </c>
      <c r="AO679" s="6" t="str">
        <f>IFERROR(__xludf.DUMMYFUNCTION("""COMPUTED_VALUE"""),"Madre")</f>
        <v>Madre</v>
      </c>
      <c r="AP679" s="6" t="str">
        <f>IFERROR(__xludf.DUMMYFUNCTION("""COMPUTED_VALUE"""),"Estudiante(s): Cardona Cifuentes")</f>
        <v>Estudiante(s): Cardona Cifuentes</v>
      </c>
      <c r="AQ679" s="6" t="str">
        <f>IFERROR(__xludf.DUMMYFUNCTION("""COMPUTED_VALUE"""),"103489*Gi")</f>
        <v>103489*Gi</v>
      </c>
      <c r="AR679" s="6" t="str">
        <f>IFERROR(__xludf.DUMMYFUNCTION("""COMPUTED_VALUE"""),"Luis")</f>
        <v>Luis</v>
      </c>
      <c r="AS679" s="6" t="str">
        <f>IFERROR(__xludf.DUMMYFUNCTION("""COMPUTED_VALUE"""),"Enrique")</f>
        <v>Enrique</v>
      </c>
      <c r="AT679" s="6" t="str">
        <f>IFERROR(__xludf.DUMMYFUNCTION("""COMPUTED_VALUE"""),"Cardona Barreto")</f>
        <v>Cardona Barreto</v>
      </c>
      <c r="AU679" s="6" t="str">
        <f>IFERROR(__xludf.DUMMYFUNCTION("""COMPUTED_VALUE"""),"kikecardonaw@yahoo.es")</f>
        <v>kikecardonaw@yahoo.es</v>
      </c>
      <c r="AV679" s="6"/>
      <c r="AW679" s="6"/>
      <c r="AX679" s="12" t="str">
        <f>IFERROR(__xludf.DUMMYFUNCTION("""COMPUTED_VALUE"""),"89004071")</f>
        <v>89004071</v>
      </c>
      <c r="AY679" s="12" t="str">
        <f>IFERROR(__xludf.DUMMYFUNCTION("""COMPUTED_VALUE"""),"3117647428")</f>
        <v>3117647428</v>
      </c>
      <c r="AZ679" s="6" t="str">
        <f>IFERROR(__xludf.DUMMYFUNCTION("""COMPUTED_VALUE"""),"Padre")</f>
        <v>Padre</v>
      </c>
      <c r="BA679" s="6"/>
      <c r="BB679" s="6"/>
      <c r="BC679" s="6"/>
      <c r="BD679" s="12" t="str">
        <f>IFERROR(__xludf.DUMMYFUNCTION("""COMPUTED_VALUE"""),"car0014")</f>
        <v>car0014</v>
      </c>
      <c r="BE679" s="6"/>
      <c r="BF679" s="6"/>
      <c r="BG679" s="6">
        <f>IFERROR(__xludf.DUMMYFUNCTION("""COMPUTED_VALUE"""),2029.0)</f>
        <v>2029</v>
      </c>
      <c r="BH679" s="15">
        <f>IFERROR(__xludf.DUMMYFUNCTION("""COMPUTED_VALUE"""),46203.63395833333)</f>
        <v>46203.63396</v>
      </c>
      <c r="BI679" s="6">
        <f>IFERROR(__xludf.DUMMYFUNCTION("""COMPUTED_VALUE"""),680.0)</f>
        <v>680</v>
      </c>
      <c r="BJ679" s="6"/>
      <c r="BK679" s="6"/>
      <c r="BL679" s="6" t="str">
        <f>IFERROR(__xludf.DUMMYFUNCTION("""COMPUTED_VALUE"""),"GISCAR0014")</f>
        <v>GISCAR0014</v>
      </c>
      <c r="BM679" s="6"/>
      <c r="BN679" s="6"/>
      <c r="BO679" s="6" t="str">
        <f>IFERROR(__xludf.DUMMYFUNCTION("""COMPUTED_VALUE"""),"XC_HS_Voleibol_F")</f>
        <v>XC_HS_Voleibol_F</v>
      </c>
      <c r="BP679" s="6"/>
      <c r="BQ679" s="6" t="str">
        <f>IFERROR(__xludf.DUMMYFUNCTION("""COMPUTED_VALUE"""),"XC_HS_Voleibol_F")</f>
        <v>XC_HS_Voleibol_F</v>
      </c>
      <c r="BR679" s="6" t="str">
        <f>IFERROR(__xludf.DUMMYFUNCTION("""COMPUTED_VALUE"""),"XC_HS_Voleibol_F")</f>
        <v>XC_HS_Voleibol_F</v>
      </c>
      <c r="BS679" s="6"/>
      <c r="BT679" s="6" t="str">
        <f>IFERROR(__xludf.DUMMYFUNCTION("""COMPUTED_VALUE"""),"XC_HS_Voleibol_F")</f>
        <v>XC_HS_Voleibol_F</v>
      </c>
      <c r="BU679" s="6" t="str">
        <f>IFERROR(__xludf.DUMMYFUNCTION("""COMPUTED_VALUE"""),"SI")</f>
        <v>SI</v>
      </c>
      <c r="BV679" s="6" t="str">
        <f>IFERROR(__xludf.DUMMYFUNCTION("""COMPUTED_VALUE"""),"manuela.c2029")</f>
        <v>manuela.c2029</v>
      </c>
      <c r="BW679" s="6"/>
      <c r="BX679" s="6"/>
      <c r="BY679" s="6"/>
      <c r="BZ679" s="6"/>
    </row>
    <row r="680">
      <c r="A680" s="12">
        <f>IFERROR(__xludf.DUMMYFUNCTION("""COMPUTED_VALUE"""),1.092461717E9)</f>
        <v>1092461717</v>
      </c>
      <c r="B680" s="6">
        <f>IFERROR(__xludf.DUMMYFUNCTION("""COMPUTED_VALUE"""),10.0)</f>
        <v>10</v>
      </c>
      <c r="C680" s="6" t="str">
        <f>IFERROR(__xludf.DUMMYFUNCTION("""COMPUTED_VALUE"""),"Samuel")</f>
        <v>Samuel</v>
      </c>
      <c r="D680" s="6"/>
      <c r="E680" s="6" t="str">
        <f>IFERROR(__xludf.DUMMYFUNCTION("""COMPUTED_VALUE"""),"Cobaleda Rincón")</f>
        <v>Cobaleda Rincón</v>
      </c>
      <c r="F680" s="6" t="str">
        <f>IFERROR(__xludf.DUMMYFUNCTION("""COMPUTED_VALUE"""),"Urbanización El Bosque Casa 32 - Corregimiento El Caimo")</f>
        <v>Urbanización El Bosque Casa 32 - Corregimiento El Caimo</v>
      </c>
      <c r="G680" s="12" t="str">
        <f>IFERROR(__xludf.DUMMYFUNCTION("""COMPUTED_VALUE"""),"2011")</f>
        <v>2011</v>
      </c>
      <c r="H680" s="6" t="str">
        <f>IFERROR(__xludf.DUMMYFUNCTION("""COMPUTED_VALUE"""),"Abril")</f>
        <v>Abril</v>
      </c>
      <c r="I680" s="12" t="str">
        <f>IFERROR(__xludf.DUMMYFUNCTION("""COMPUTED_VALUE"""),"5")</f>
        <v>5</v>
      </c>
      <c r="J680" s="6" t="str">
        <f>IFERROR(__xludf.DUMMYFUNCTION("""COMPUTED_VALUE"""),"Armenia")</f>
        <v>Armenia</v>
      </c>
      <c r="K680" s="6" t="str">
        <f>IFERROR(__xludf.DUMMYFUNCTION("""COMPUTED_VALUE"""),"samuel.c2029@gi.edu.co")</f>
        <v>samuel.c2029@gi.edu.co</v>
      </c>
      <c r="L680" s="6" t="str">
        <f>IFERROR(__xludf.DUMMYFUNCTION("""COMPUTED_VALUE"""),"RC")</f>
        <v>RC</v>
      </c>
      <c r="M680" s="6" t="str">
        <f>IFERROR(__xludf.DUMMYFUNCTION("""COMPUTED_VALUE"""),"Armenia")</f>
        <v>Armenia</v>
      </c>
      <c r="N680" s="6" t="str">
        <f>IFERROR(__xludf.DUMMYFUNCTION("""COMPUTED_VALUE"""),"M")</f>
        <v>M</v>
      </c>
      <c r="O680" s="6" t="str">
        <f>IFERROR(__xludf.DUMMYFUNCTION("""COMPUTED_VALUE"""),"INACTIVE")</f>
        <v>INACTIVE</v>
      </c>
      <c r="P680" s="6"/>
      <c r="Q680" s="6" t="str">
        <f>IFERROR(__xludf.DUMMYFUNCTION("""COMPUTED_VALUE"""),"Armenia")</f>
        <v>Armenia</v>
      </c>
      <c r="R680" s="12" t="str">
        <f>IFERROR(__xludf.DUMMYFUNCTION("""COMPUTED_VALUE"""),"Gihygtrf45*")</f>
        <v>Gihygtrf45*</v>
      </c>
      <c r="S680" s="6" t="str">
        <f>IFERROR(__xludf.DUMMYFUNCTION("""COMPUTED_VALUE"""),"Cobaleda Rincón Samuel ")</f>
        <v>Cobaleda Rincón Samuel </v>
      </c>
      <c r="T680" s="6" t="str">
        <f>IFERROR(__xludf.DUMMYFUNCTION("""COMPUTED_VALUE"""),"MAGDA LORENA RINCÓN VELANDIA")</f>
        <v>MAGDA LORENA RINCÓN VELANDIA</v>
      </c>
      <c r="U680" s="12" t="str">
        <f>IFERROR(__xludf.DUMMYFUNCTION("""COMPUTED_VALUE"""),"33816837")</f>
        <v>33816837</v>
      </c>
      <c r="V680" s="6">
        <f>IFERROR(__xludf.DUMMYFUNCTION("""COMPUTED_VALUE"""),3.164498902E9)</f>
        <v>3164498902</v>
      </c>
      <c r="W680" s="6" t="str">
        <f>IFERROR(__xludf.DUMMYFUNCTION("""COMPUTED_VALUE"""),"lorenarinconv@hotmail.com")</f>
        <v>lorenarinconv@hotmail.com</v>
      </c>
      <c r="X680" s="12" t="str">
        <f>IFERROR(__xludf.DUMMYFUNCTION("""COMPUTED_VALUE"""),"O+")</f>
        <v>O+</v>
      </c>
      <c r="Y680" s="12" t="str">
        <f>IFERROR(__xludf.DUMMYFUNCTION("""COMPUTED_VALUE"""),"10")</f>
        <v>10</v>
      </c>
      <c r="Z680" s="12">
        <f>IFERROR(__xludf.DUMMYFUNCTION("""COMPUTED_VALUE"""),103059.0)</f>
        <v>103059</v>
      </c>
      <c r="AA680" s="6" t="str">
        <f>IFERROR(__xludf.DUMMYFUNCTION("""COMPUTED_VALUE"""),"SURA")</f>
        <v>SURA</v>
      </c>
      <c r="AB680" s="6" t="str">
        <f>IFERROR(__xludf.DUMMYFUNCTION("""COMPUTED_VALUE"""),"ANDIASISTENCIA")</f>
        <v>ANDIASISTENCIA</v>
      </c>
      <c r="AC680" s="6"/>
      <c r="AD680" s="12" t="str">
        <f>IFERROR(__xludf.DUMMYFUNCTION("""COMPUTED_VALUE"""),"10A")</f>
        <v>10A</v>
      </c>
      <c r="AE680" s="12">
        <f>IFERROR(__xludf.DUMMYFUNCTION("""COMPUTED_VALUE"""),1.345281482E9)</f>
        <v>1345281482</v>
      </c>
      <c r="AF680" s="12" t="str">
        <f>IFERROR(__xludf.DUMMYFUNCTION("""COMPUTED_VALUE"""),"0696870915")</f>
        <v>0696870915</v>
      </c>
      <c r="AG680" s="12" t="str">
        <f>IFERROR(__xludf.DUMMYFUNCTION("""COMPUTED_VALUE"""),"Magda")</f>
        <v>Magda</v>
      </c>
      <c r="AH680" s="12" t="str">
        <f>IFERROR(__xludf.DUMMYFUNCTION("""COMPUTED_VALUE"""),"Lorena")</f>
        <v>Lorena</v>
      </c>
      <c r="AI680" s="6" t="str">
        <f>IFERROR(__xludf.DUMMYFUNCTION("""COMPUTED_VALUE"""),"Rincón Velandia")</f>
        <v>Rincón Velandia</v>
      </c>
      <c r="AJ680" s="6" t="str">
        <f>IFERROR(__xludf.DUMMYFUNCTION("""COMPUTED_VALUE"""),"lorenarinconv@hotmail.com")</f>
        <v>lorenarinconv@hotmail.com</v>
      </c>
      <c r="AK680" s="6" t="str">
        <f>IFERROR(__xludf.DUMMYFUNCTION("""COMPUTED_VALUE"""),"Contadora")</f>
        <v>Contadora</v>
      </c>
      <c r="AL680" s="6" t="str">
        <f>IFERROR(__xludf.DUMMYFUNCTION("""COMPUTED_VALUE"""),"BBVA COLOMBIA")</f>
        <v>BBVA COLOMBIA</v>
      </c>
      <c r="AM680" s="12" t="str">
        <f>IFERROR(__xludf.DUMMYFUNCTION("""COMPUTED_VALUE"""),"33816837")</f>
        <v>33816837</v>
      </c>
      <c r="AN680" s="12" t="str">
        <f>IFERROR(__xludf.DUMMYFUNCTION("""COMPUTED_VALUE"""),"3164498902")</f>
        <v>3164498902</v>
      </c>
      <c r="AO680" s="6" t="str">
        <f>IFERROR(__xludf.DUMMYFUNCTION("""COMPUTED_VALUE"""),"Madre")</f>
        <v>Madre</v>
      </c>
      <c r="AP680" s="6" t="str">
        <f>IFERROR(__xludf.DUMMYFUNCTION("""COMPUTED_VALUE"""),"Estudiante(s): Cobaleda Rincón")</f>
        <v>Estudiante(s): Cobaleda Rincón</v>
      </c>
      <c r="AQ680" s="6" t="str">
        <f>IFERROR(__xludf.DUMMYFUNCTION("""COMPUTED_VALUE"""),"103059*Gi")</f>
        <v>103059*Gi</v>
      </c>
      <c r="AR680" s="6" t="str">
        <f>IFERROR(__xludf.DUMMYFUNCTION("""COMPUTED_VALUE"""),"Jorge")</f>
        <v>Jorge</v>
      </c>
      <c r="AS680" s="6" t="str">
        <f>IFERROR(__xludf.DUMMYFUNCTION("""COMPUTED_VALUE"""),"Iván")</f>
        <v>Iván</v>
      </c>
      <c r="AT680" s="6" t="str">
        <f>IFERROR(__xludf.DUMMYFUNCTION("""COMPUTED_VALUE"""),"Cobaleda Rueda")</f>
        <v>Cobaleda Rueda</v>
      </c>
      <c r="AU680" s="6" t="str">
        <f>IFERROR(__xludf.DUMMYFUNCTION("""COMPUTED_VALUE"""),"jorgeivancobaleda@gmail.com")</f>
        <v>jorgeivancobaleda@gmail.com</v>
      </c>
      <c r="AV680" s="6" t="str">
        <f>IFERROR(__xludf.DUMMYFUNCTION("""COMPUTED_VALUE"""),"Abogado")</f>
        <v>Abogado</v>
      </c>
      <c r="AW680" s="6" t="str">
        <f>IFERROR(__xludf.DUMMYFUNCTION("""COMPUTED_VALUE"""),"G8 Ospedale")</f>
        <v>G8 Ospedale</v>
      </c>
      <c r="AX680" s="12" t="str">
        <f>IFERROR(__xludf.DUMMYFUNCTION("""COMPUTED_VALUE"""),"7563714")</f>
        <v>7563714</v>
      </c>
      <c r="AY680" s="12" t="str">
        <f>IFERROR(__xludf.DUMMYFUNCTION("""COMPUTED_VALUE"""),"3128393206")</f>
        <v>3128393206</v>
      </c>
      <c r="AZ680" s="6" t="str">
        <f>IFERROR(__xludf.DUMMYFUNCTION("""COMPUTED_VALUE"""),"Padre")</f>
        <v>Padre</v>
      </c>
      <c r="BA680" s="6"/>
      <c r="BB680" s="6"/>
      <c r="BC680" s="6"/>
      <c r="BD680" s="12" t="str">
        <f>IFERROR(__xludf.DUMMYFUNCTION("""COMPUTED_VALUE"""),"cob0001")</f>
        <v>cob0001</v>
      </c>
      <c r="BE680" s="6" t="str">
        <f>IFERROR(__xludf.DUMMYFUNCTION("""COMPUTED_VALUE"""),"FALTAN FIRMAS")</f>
        <v>FALTAN FIRMAS</v>
      </c>
      <c r="BF680" s="6"/>
      <c r="BG680" s="6">
        <f>IFERROR(__xludf.DUMMYFUNCTION("""COMPUTED_VALUE"""),2029.0)</f>
        <v>2029</v>
      </c>
      <c r="BH680" s="15">
        <f>IFERROR(__xludf.DUMMYFUNCTION("""COMPUTED_VALUE"""),46212.60054398148)</f>
        <v>46212.60054</v>
      </c>
      <c r="BI680" s="6">
        <f>IFERROR(__xludf.DUMMYFUNCTION("""COMPUTED_VALUE"""),681.0)</f>
        <v>681</v>
      </c>
      <c r="BJ680" s="6"/>
      <c r="BK680" s="6"/>
      <c r="BL680" s="6" t="str">
        <f>IFERROR(__xludf.DUMMYFUNCTION("""COMPUTED_VALUE"""),"GISCOB0001")</f>
        <v>GISCOB0001</v>
      </c>
      <c r="BM680" s="6"/>
      <c r="BN680" s="6"/>
      <c r="BO680" s="6"/>
      <c r="BP680" s="6"/>
      <c r="BQ680" s="6"/>
      <c r="BR680" s="6"/>
      <c r="BS680" s="6"/>
      <c r="BT680" s="6"/>
      <c r="BU680" s="6" t="str">
        <f>IFERROR(__xludf.DUMMYFUNCTION("""COMPUTED_VALUE"""),"SI")</f>
        <v>SI</v>
      </c>
      <c r="BV680" s="6" t="str">
        <f>IFERROR(__xludf.DUMMYFUNCTION("""COMPUTED_VALUE"""),"samuel.c2029")</f>
        <v>samuel.c2029</v>
      </c>
      <c r="BW680" s="6"/>
      <c r="BX680" s="6"/>
      <c r="BY680" s="6"/>
      <c r="BZ680" s="6"/>
    </row>
    <row r="681">
      <c r="A681" s="12">
        <f>IFERROR(__xludf.DUMMYFUNCTION("""COMPUTED_VALUE"""),1.092855238E9)</f>
        <v>1092855238</v>
      </c>
      <c r="B681" s="6">
        <f>IFERROR(__xludf.DUMMYFUNCTION("""COMPUTED_VALUE"""),11.0)</f>
        <v>11</v>
      </c>
      <c r="C681" s="6" t="str">
        <f>IFERROR(__xludf.DUMMYFUNCTION("""COMPUTED_VALUE"""),"Catalina")</f>
        <v>Catalina</v>
      </c>
      <c r="D681" s="6"/>
      <c r="E681" s="6" t="str">
        <f>IFERROR(__xludf.DUMMYFUNCTION("""COMPUTED_VALUE"""),"Contreras Uchamocha")</f>
        <v>Contreras Uchamocha</v>
      </c>
      <c r="F681" s="6" t="str">
        <f>IFERROR(__xludf.DUMMYFUNCTION("""COMPUTED_VALUE"""),"Condominio Casas de Campo Casa 15 - Calle 23ANte No19 - 47")</f>
        <v>Condominio Casas de Campo Casa 15 - Calle 23ANte No19 - 47</v>
      </c>
      <c r="G681" s="12" t="str">
        <f>IFERROR(__xludf.DUMMYFUNCTION("""COMPUTED_VALUE"""),"2011")</f>
        <v>2011</v>
      </c>
      <c r="H681" s="6" t="str">
        <f>IFERROR(__xludf.DUMMYFUNCTION("""COMPUTED_VALUE"""),"Marzo")</f>
        <v>Marzo</v>
      </c>
      <c r="I681" s="12" t="str">
        <f>IFERROR(__xludf.DUMMYFUNCTION("""COMPUTED_VALUE"""),"26")</f>
        <v>26</v>
      </c>
      <c r="J681" s="6" t="str">
        <f>IFERROR(__xludf.DUMMYFUNCTION("""COMPUTED_VALUE"""),"Armenia")</f>
        <v>Armenia</v>
      </c>
      <c r="K681" s="6" t="str">
        <f>IFERROR(__xludf.DUMMYFUNCTION("""COMPUTED_VALUE"""),"catalina.u2029@gi.edu.co")</f>
        <v>catalina.u2029@gi.edu.co</v>
      </c>
      <c r="L681" s="6" t="str">
        <f>IFERROR(__xludf.DUMMYFUNCTION("""COMPUTED_VALUE"""),"TI")</f>
        <v>TI</v>
      </c>
      <c r="M681" s="6" t="str">
        <f>IFERROR(__xludf.DUMMYFUNCTION("""COMPUTED_VALUE"""),"Armenia")</f>
        <v>Armenia</v>
      </c>
      <c r="N681" s="6" t="str">
        <f>IFERROR(__xludf.DUMMYFUNCTION("""COMPUTED_VALUE"""),"F")</f>
        <v>F</v>
      </c>
      <c r="O681" s="6" t="str">
        <f>IFERROR(__xludf.DUMMYFUNCTION("""COMPUTED_VALUE"""),"ACTIVE")</f>
        <v>ACTIVE</v>
      </c>
      <c r="P681" s="6"/>
      <c r="Q681" s="6" t="str">
        <f>IFERROR(__xludf.DUMMYFUNCTION("""COMPUTED_VALUE"""),"Armenia")</f>
        <v>Armenia</v>
      </c>
      <c r="R681" s="12" t="str">
        <f>IFERROR(__xludf.DUMMYFUNCTION("""COMPUTED_VALUE"""),"Gibhj786mj*")</f>
        <v>Gibhj786mj*</v>
      </c>
      <c r="S681" s="6" t="str">
        <f>IFERROR(__xludf.DUMMYFUNCTION("""COMPUTED_VALUE"""),"Contreras Uchamocha Catalina ")</f>
        <v>Contreras Uchamocha Catalina </v>
      </c>
      <c r="T681" s="6" t="str">
        <f>IFERROR(__xludf.DUMMYFUNCTION("""COMPUTED_VALUE"""),"GERMAN ENRIQUE CONTRERAS VARGAS")</f>
        <v>GERMAN ENRIQUE CONTRERAS VARGAS</v>
      </c>
      <c r="U681" s="12" t="str">
        <f>IFERROR(__xludf.DUMMYFUNCTION("""COMPUTED_VALUE"""),"88220047")</f>
        <v>88220047</v>
      </c>
      <c r="V681" s="6">
        <f>IFERROR(__xludf.DUMMYFUNCTION("""COMPUTED_VALUE"""),3.103725329E9)</f>
        <v>3103725329</v>
      </c>
      <c r="W681" s="6" t="str">
        <f>IFERROR(__xludf.DUMMYFUNCTION("""COMPUTED_VALUE"""),"geencov@gmail.com")</f>
        <v>geencov@gmail.com</v>
      </c>
      <c r="X681" s="12" t="str">
        <f>IFERROR(__xludf.DUMMYFUNCTION("""COMPUTED_VALUE"""),"A+")</f>
        <v>A+</v>
      </c>
      <c r="Y681" s="12" t="str">
        <f>IFERROR(__xludf.DUMMYFUNCTION("""COMPUTED_VALUE"""),"10")</f>
        <v>10</v>
      </c>
      <c r="Z681" s="12">
        <f>IFERROR(__xludf.DUMMYFUNCTION("""COMPUTED_VALUE"""),102983.0)</f>
        <v>102983</v>
      </c>
      <c r="AA681" s="6" t="str">
        <f>IFERROR(__xludf.DUMMYFUNCTION("""COMPUTED_VALUE"""),"SURA")</f>
        <v>SURA</v>
      </c>
      <c r="AB681" s="6" t="str">
        <f>IFERROR(__xludf.DUMMYFUNCTION("""COMPUTED_VALUE"""),"MedPlus Cafesalud Medicina Prepagada")</f>
        <v>MedPlus Cafesalud Medicina Prepagada</v>
      </c>
      <c r="AC681" s="6"/>
      <c r="AD681" s="12" t="str">
        <f>IFERROR(__xludf.DUMMYFUNCTION("""COMPUTED_VALUE"""),"10B")</f>
        <v>10B</v>
      </c>
      <c r="AE681" s="12">
        <f>IFERROR(__xludf.DUMMYFUNCTION("""COMPUTED_VALUE"""),1.345281447E9)</f>
        <v>1345281447</v>
      </c>
      <c r="AF681" s="12" t="str">
        <f>IFERROR(__xludf.DUMMYFUNCTION("""COMPUTED_VALUE"""),"0706743603")</f>
        <v>0706743603</v>
      </c>
      <c r="AG681" s="12" t="str">
        <f>IFERROR(__xludf.DUMMYFUNCTION("""COMPUTED_VALUE"""),"Yorlady")</f>
        <v>Yorlady</v>
      </c>
      <c r="AH681" s="6"/>
      <c r="AI681" s="6" t="str">
        <f>IFERROR(__xludf.DUMMYFUNCTION("""COMPUTED_VALUE"""),"Uchamocha Pérez")</f>
        <v>Uchamocha Pérez</v>
      </c>
      <c r="AJ681" s="6" t="str">
        <f>IFERROR(__xludf.DUMMYFUNCTION("""COMPUTED_VALUE"""),"yorup_211@yahoo.es")</f>
        <v>yorup_211@yahoo.es</v>
      </c>
      <c r="AK681" s="6" t="str">
        <f>IFERROR(__xludf.DUMMYFUNCTION("""COMPUTED_VALUE"""),"MEDICO ESPECIALISTA")</f>
        <v>MEDICO ESPECIALISTA</v>
      </c>
      <c r="AL681" s="6" t="str">
        <f>IFERROR(__xludf.DUMMYFUNCTION("""COMPUTED_VALUE"""),"HOSPITAL UNIVERSITARIO SAN JUAN DE DIOS")</f>
        <v>HOSPITAL UNIVERSITARIO SAN JUAN DE DIOS</v>
      </c>
      <c r="AM681" s="12" t="str">
        <f>IFERROR(__xludf.DUMMYFUNCTION("""COMPUTED_VALUE"""),"52364091")</f>
        <v>52364091</v>
      </c>
      <c r="AN681" s="12" t="str">
        <f>IFERROR(__xludf.DUMMYFUNCTION("""COMPUTED_VALUE"""),"3108810648")</f>
        <v>3108810648</v>
      </c>
      <c r="AO681" s="6" t="str">
        <f>IFERROR(__xludf.DUMMYFUNCTION("""COMPUTED_VALUE"""),"Madre")</f>
        <v>Madre</v>
      </c>
      <c r="AP681" s="6" t="str">
        <f>IFERROR(__xludf.DUMMYFUNCTION("""COMPUTED_VALUE"""),"Estudiante(s): Contreras Uchamocha")</f>
        <v>Estudiante(s): Contreras Uchamocha</v>
      </c>
      <c r="AQ681" s="6" t="str">
        <f>IFERROR(__xludf.DUMMYFUNCTION("""COMPUTED_VALUE"""),"102053*Gi")</f>
        <v>102053*Gi</v>
      </c>
      <c r="AR681" s="6" t="str">
        <f>IFERROR(__xludf.DUMMYFUNCTION("""COMPUTED_VALUE"""),"Germán")</f>
        <v>Germán</v>
      </c>
      <c r="AS681" s="6" t="str">
        <f>IFERROR(__xludf.DUMMYFUNCTION("""COMPUTED_VALUE"""),"Enrique")</f>
        <v>Enrique</v>
      </c>
      <c r="AT681" s="6" t="str">
        <f>IFERROR(__xludf.DUMMYFUNCTION("""COMPUTED_VALUE"""),"Contreras Vargas")</f>
        <v>Contreras Vargas</v>
      </c>
      <c r="AU681" s="6" t="str">
        <f>IFERROR(__xludf.DUMMYFUNCTION("""COMPUTED_VALUE"""),"geencov@gmail.com")</f>
        <v>geencov@gmail.com</v>
      </c>
      <c r="AV681" s="6" t="str">
        <f>IFERROR(__xludf.DUMMYFUNCTION("""COMPUTED_VALUE"""),"MEDICO ESPECIALISTA")</f>
        <v>MEDICO ESPECIALISTA</v>
      </c>
      <c r="AW681" s="6" t="str">
        <f>IFERROR(__xludf.DUMMYFUNCTION("""COMPUTED_VALUE"""),"GERMAN E CONTRERAS")</f>
        <v>GERMAN E CONTRERAS</v>
      </c>
      <c r="AX681" s="12" t="str">
        <f>IFERROR(__xludf.DUMMYFUNCTION("""COMPUTED_VALUE"""),"88220047")</f>
        <v>88220047</v>
      </c>
      <c r="AY681" s="12" t="str">
        <f>IFERROR(__xludf.DUMMYFUNCTION("""COMPUTED_VALUE"""),"3103725329")</f>
        <v>3103725329</v>
      </c>
      <c r="AZ681" s="6" t="str">
        <f>IFERROR(__xludf.DUMMYFUNCTION("""COMPUTED_VALUE"""),"Padre")</f>
        <v>Padre</v>
      </c>
      <c r="BA681" s="6"/>
      <c r="BB681" s="6"/>
      <c r="BC681" s="6"/>
      <c r="BD681" s="12" t="str">
        <f>IFERROR(__xludf.DUMMYFUNCTION("""COMPUTED_VALUE"""),"con0001")</f>
        <v>con0001</v>
      </c>
      <c r="BE681" s="6"/>
      <c r="BF681" s="6"/>
      <c r="BG681" s="6">
        <f>IFERROR(__xludf.DUMMYFUNCTION("""COMPUTED_VALUE"""),2029.0)</f>
        <v>2029</v>
      </c>
      <c r="BH681" s="15">
        <f>IFERROR(__xludf.DUMMYFUNCTION("""COMPUTED_VALUE"""),46211.94211805556)</f>
        <v>46211.94212</v>
      </c>
      <c r="BI681" s="6">
        <f>IFERROR(__xludf.DUMMYFUNCTION("""COMPUTED_VALUE"""),682.0)</f>
        <v>682</v>
      </c>
      <c r="BJ681" s="6"/>
      <c r="BK681" s="6"/>
      <c r="BL681" s="6" t="str">
        <f>IFERROR(__xludf.DUMMYFUNCTION("""COMPUTED_VALUE"""),"GISCON0001")</f>
        <v>GISCON0001</v>
      </c>
      <c r="BM681" s="6"/>
      <c r="BN681" s="6"/>
      <c r="BO681" s="6"/>
      <c r="BP681" s="6"/>
      <c r="BQ681" s="6"/>
      <c r="BR681" s="6"/>
      <c r="BS681" s="6"/>
      <c r="BT681" s="6"/>
      <c r="BU681" s="6" t="str">
        <f>IFERROR(__xludf.DUMMYFUNCTION("""COMPUTED_VALUE"""),"SI")</f>
        <v>SI</v>
      </c>
      <c r="BV681" s="6" t="str">
        <f>IFERROR(__xludf.DUMMYFUNCTION("""COMPUTED_VALUE"""),"catalina.u2029")</f>
        <v>catalina.u2029</v>
      </c>
      <c r="BW681" s="6"/>
      <c r="BX681" s="6"/>
      <c r="BY681" s="6"/>
      <c r="BZ681" s="6"/>
    </row>
    <row r="682">
      <c r="A682" s="12">
        <f>IFERROR(__xludf.DUMMYFUNCTION("""COMPUTED_VALUE"""),1.091205535E9)</f>
        <v>1091205535</v>
      </c>
      <c r="B682" s="6">
        <f>IFERROR(__xludf.DUMMYFUNCTION("""COMPUTED_VALUE"""),12.0)</f>
        <v>12</v>
      </c>
      <c r="C682" s="6" t="str">
        <f>IFERROR(__xludf.DUMMYFUNCTION("""COMPUTED_VALUE"""),"Emilia")</f>
        <v>Emilia</v>
      </c>
      <c r="D682" s="6"/>
      <c r="E682" s="6" t="str">
        <f>IFERROR(__xludf.DUMMYFUNCTION("""COMPUTED_VALUE"""),"Correa López")</f>
        <v>Correa López</v>
      </c>
      <c r="F682" s="6" t="str">
        <f>IFERROR(__xludf.DUMMYFUNCTION("""COMPUTED_VALUE"""),"Parque Residencial Los Cedros Torre 2 Apto 101 - Calle 50Nte No15 - 1")</f>
        <v>Parque Residencial Los Cedros Torre 2 Apto 101 - Calle 50Nte No15 - 1</v>
      </c>
      <c r="G682" s="12" t="str">
        <f>IFERROR(__xludf.DUMMYFUNCTION("""COMPUTED_VALUE"""),"2011")</f>
        <v>2011</v>
      </c>
      <c r="H682" s="6" t="str">
        <f>IFERROR(__xludf.DUMMYFUNCTION("""COMPUTED_VALUE"""),"Octubre")</f>
        <v>Octubre</v>
      </c>
      <c r="I682" s="12" t="str">
        <f>IFERROR(__xludf.DUMMYFUNCTION("""COMPUTED_VALUE"""),"9")</f>
        <v>9</v>
      </c>
      <c r="J682" s="6" t="str">
        <f>IFERROR(__xludf.DUMMYFUNCTION("""COMPUTED_VALUE"""),"Armenia")</f>
        <v>Armenia</v>
      </c>
      <c r="K682" s="6" t="str">
        <f>IFERROR(__xludf.DUMMYFUNCTION("""COMPUTED_VALUE"""),"emilia.c2029@gi.edu.co")</f>
        <v>emilia.c2029@gi.edu.co</v>
      </c>
      <c r="L682" s="6" t="str">
        <f>IFERROR(__xludf.DUMMYFUNCTION("""COMPUTED_VALUE"""),"TI")</f>
        <v>TI</v>
      </c>
      <c r="M682" s="6" t="str">
        <f>IFERROR(__xludf.DUMMYFUNCTION("""COMPUTED_VALUE"""),"Armenia")</f>
        <v>Armenia</v>
      </c>
      <c r="N682" s="6" t="str">
        <f>IFERROR(__xludf.DUMMYFUNCTION("""COMPUTED_VALUE"""),"F")</f>
        <v>F</v>
      </c>
      <c r="O682" s="6" t="str">
        <f>IFERROR(__xludf.DUMMYFUNCTION("""COMPUTED_VALUE"""),"ACTIVE")</f>
        <v>ACTIVE</v>
      </c>
      <c r="P682" s="6"/>
      <c r="Q682" s="6" t="str">
        <f>IFERROR(__xludf.DUMMYFUNCTION("""COMPUTED_VALUE"""),"Armenia")</f>
        <v>Armenia</v>
      </c>
      <c r="R682" s="12" t="str">
        <f>IFERROR(__xludf.DUMMYFUNCTION("""COMPUTED_VALUE"""),"Gi8n7b6v5c*")</f>
        <v>Gi8n7b6v5c*</v>
      </c>
      <c r="S682" s="6" t="str">
        <f>IFERROR(__xludf.DUMMYFUNCTION("""COMPUTED_VALUE"""),"Correa López Emilia ")</f>
        <v>Correa López Emilia </v>
      </c>
      <c r="T682" s="6" t="str">
        <f>IFERROR(__xludf.DUMMYFUNCTION("""COMPUTED_VALUE"""),"CATALINA LÓPEZ TOBON")</f>
        <v>CATALINA LÓPEZ TOBON</v>
      </c>
      <c r="U682" s="12" t="str">
        <f>IFERROR(__xludf.DUMMYFUNCTION("""COMPUTED_VALUE"""),"41956345")</f>
        <v>41956345</v>
      </c>
      <c r="V682" s="6">
        <f>IFERROR(__xludf.DUMMYFUNCTION("""COMPUTED_VALUE"""),3.165202452E9)</f>
        <v>3165202452</v>
      </c>
      <c r="W682" s="6" t="str">
        <f>IFERROR(__xludf.DUMMYFUNCTION("""COMPUTED_VALUE"""),"clopeztobon@gmail.com")</f>
        <v>clopeztobon@gmail.com</v>
      </c>
      <c r="X682" s="12" t="str">
        <f>IFERROR(__xludf.DUMMYFUNCTION("""COMPUTED_VALUE"""),"O+")</f>
        <v>O+</v>
      </c>
      <c r="Y682" s="12" t="str">
        <f>IFERROR(__xludf.DUMMYFUNCTION("""COMPUTED_VALUE"""),"10")</f>
        <v>10</v>
      </c>
      <c r="Z682" s="12">
        <f>IFERROR(__xludf.DUMMYFUNCTION("""COMPUTED_VALUE"""),103560.0)</f>
        <v>103560</v>
      </c>
      <c r="AA682" s="6" t="str">
        <f>IFERROR(__xludf.DUMMYFUNCTION("""COMPUTED_VALUE"""),"SALUD TOTAL")</f>
        <v>SALUD TOTAL</v>
      </c>
      <c r="AB682" s="6" t="str">
        <f>IFERROR(__xludf.DUMMYFUNCTION("""COMPUTED_VALUE"""),"EMI")</f>
        <v>EMI</v>
      </c>
      <c r="AC682" s="6"/>
      <c r="AD682" s="12" t="str">
        <f>IFERROR(__xludf.DUMMYFUNCTION("""COMPUTED_VALUE"""),"10A")</f>
        <v>10A</v>
      </c>
      <c r="AE682" s="12">
        <f>IFERROR(__xludf.DUMMYFUNCTION("""COMPUTED_VALUE"""),1.345281753E9)</f>
        <v>1345281753</v>
      </c>
      <c r="AF682" s="12" t="str">
        <f>IFERROR(__xludf.DUMMYFUNCTION("""COMPUTED_VALUE"""),"0652308915")</f>
        <v>0652308915</v>
      </c>
      <c r="AG682" s="12" t="str">
        <f>IFERROR(__xludf.DUMMYFUNCTION("""COMPUTED_VALUE"""),"Catalina")</f>
        <v>Catalina</v>
      </c>
      <c r="AH682" s="6"/>
      <c r="AI682" s="6" t="str">
        <f>IFERROR(__xludf.DUMMYFUNCTION("""COMPUTED_VALUE"""),"López Tobón")</f>
        <v>López Tobón</v>
      </c>
      <c r="AJ682" s="6" t="str">
        <f>IFERROR(__xludf.DUMMYFUNCTION("""COMPUTED_VALUE"""),"clopeztobon@gmail.com")</f>
        <v>clopeztobon@gmail.com</v>
      </c>
      <c r="AK682" s="6" t="str">
        <f>IFERROR(__xludf.DUMMYFUNCTION("""COMPUTED_VALUE"""),"comunicadora social")</f>
        <v>comunicadora social</v>
      </c>
      <c r="AL682" s="6" t="str">
        <f>IFERROR(__xludf.DUMMYFUNCTION("""COMPUTED_VALUE"""),"HLincober sas")</f>
        <v>HLincober sas</v>
      </c>
      <c r="AM682" s="12" t="str">
        <f>IFERROR(__xludf.DUMMYFUNCTION("""COMPUTED_VALUE"""),"41956345")</f>
        <v>41956345</v>
      </c>
      <c r="AN682" s="12" t="str">
        <f>IFERROR(__xludf.DUMMYFUNCTION("""COMPUTED_VALUE"""),"3165202452")</f>
        <v>3165202452</v>
      </c>
      <c r="AO682" s="6" t="str">
        <f>IFERROR(__xludf.DUMMYFUNCTION("""COMPUTED_VALUE"""),"Madre")</f>
        <v>Madre</v>
      </c>
      <c r="AP682" s="6" t="str">
        <f>IFERROR(__xludf.DUMMYFUNCTION("""COMPUTED_VALUE"""),"Estudiante(s): Vicente Ramírez López &amp; Emilia Correa López")</f>
        <v>Estudiante(s): Vicente Ramírez López &amp; Emilia Correa López</v>
      </c>
      <c r="AQ682" s="6" t="str">
        <f>IFERROR(__xludf.DUMMYFUNCTION("""COMPUTED_VALUE"""),"103560*Gi")</f>
        <v>103560*Gi</v>
      </c>
      <c r="AR682" s="6" t="str">
        <f>IFERROR(__xludf.DUMMYFUNCTION("""COMPUTED_VALUE"""),"Jhon")</f>
        <v>Jhon</v>
      </c>
      <c r="AS682" s="6" t="str">
        <f>IFERROR(__xludf.DUMMYFUNCTION("""COMPUTED_VALUE"""),"Freddy")</f>
        <v>Freddy</v>
      </c>
      <c r="AT682" s="6" t="str">
        <f>IFERROR(__xludf.DUMMYFUNCTION("""COMPUTED_VALUE"""),"Correa Carvajal")</f>
        <v>Correa Carvajal</v>
      </c>
      <c r="AU682" s="6" t="str">
        <f>IFERROR(__xludf.DUMMYFUNCTION("""COMPUTED_VALUE"""),"jfcc10@hotmail.com")</f>
        <v>jfcc10@hotmail.com</v>
      </c>
      <c r="AV682" s="6" t="str">
        <f>IFERROR(__xludf.DUMMYFUNCTION("""COMPUTED_VALUE"""),"economista")</f>
        <v>economista</v>
      </c>
      <c r="AW682" s="6" t="str">
        <f>IFERROR(__xludf.DUMMYFUNCTION("""COMPUTED_VALUE"""),"Transportes Oro")</f>
        <v>Transportes Oro</v>
      </c>
      <c r="AX682" s="12" t="str">
        <f>IFERROR(__xludf.DUMMYFUNCTION("""COMPUTED_VALUE"""),"94377419")</f>
        <v>94377419</v>
      </c>
      <c r="AY682" s="12" t="str">
        <f>IFERROR(__xludf.DUMMYFUNCTION("""COMPUTED_VALUE"""),"3204404103")</f>
        <v>3204404103</v>
      </c>
      <c r="AZ682" s="6" t="str">
        <f>IFERROR(__xludf.DUMMYFUNCTION("""COMPUTED_VALUE"""),"Padre")</f>
        <v>Padre</v>
      </c>
      <c r="BA682" s="6"/>
      <c r="BB682" s="6"/>
      <c r="BC682" s="6"/>
      <c r="BD682" s="12" t="str">
        <f>IFERROR(__xludf.DUMMYFUNCTION("""COMPUTED_VALUE"""),"cor0010")</f>
        <v>cor0010</v>
      </c>
      <c r="BE682" s="6"/>
      <c r="BF682" s="6"/>
      <c r="BG682" s="6">
        <f>IFERROR(__xludf.DUMMYFUNCTION("""COMPUTED_VALUE"""),2029.0)</f>
        <v>2029</v>
      </c>
      <c r="BH682" s="15">
        <f>IFERROR(__xludf.DUMMYFUNCTION("""COMPUTED_VALUE"""),46217.61707175926)</f>
        <v>46217.61707</v>
      </c>
      <c r="BI682" s="6">
        <f>IFERROR(__xludf.DUMMYFUNCTION("""COMPUTED_VALUE"""),683.0)</f>
        <v>683</v>
      </c>
      <c r="BJ682" s="6"/>
      <c r="BK682" s="6"/>
      <c r="BL682" s="6" t="str">
        <f>IFERROR(__xludf.DUMMYFUNCTION("""COMPUTED_VALUE"""),"GISCOR0010")</f>
        <v>GISCOR0010</v>
      </c>
      <c r="BM682" s="6"/>
      <c r="BN682" s="6"/>
      <c r="BO682" s="6" t="str">
        <f>IFERROR(__xludf.DUMMYFUNCTION("""COMPUTED_VALUE"""),"XC_HS_Voleibol_F")</f>
        <v>XC_HS_Voleibol_F</v>
      </c>
      <c r="BP682" s="6"/>
      <c r="BQ682" s="6" t="str">
        <f>IFERROR(__xludf.DUMMYFUNCTION("""COMPUTED_VALUE"""),"XC_HS_Voleibol_F")</f>
        <v>XC_HS_Voleibol_F</v>
      </c>
      <c r="BR682" s="6" t="str">
        <f>IFERROR(__xludf.DUMMYFUNCTION("""COMPUTED_VALUE"""),"XC_HS_Voleibol_F")</f>
        <v>XC_HS_Voleibol_F</v>
      </c>
      <c r="BS682" s="6"/>
      <c r="BT682" s="6" t="str">
        <f>IFERROR(__xludf.DUMMYFUNCTION("""COMPUTED_VALUE"""),"XC_HS_Voleibol_F")</f>
        <v>XC_HS_Voleibol_F</v>
      </c>
      <c r="BU682" s="6" t="str">
        <f>IFERROR(__xludf.DUMMYFUNCTION("""COMPUTED_VALUE"""),"SI")</f>
        <v>SI</v>
      </c>
      <c r="BV682" s="6" t="str">
        <f>IFERROR(__xludf.DUMMYFUNCTION("""COMPUTED_VALUE"""),"emilia.c2029")</f>
        <v>emilia.c2029</v>
      </c>
      <c r="BW682" s="6"/>
      <c r="BX682" s="6"/>
      <c r="BY682" s="6"/>
      <c r="BZ682" s="6"/>
    </row>
    <row r="683">
      <c r="A683" s="12">
        <f>IFERROR(__xludf.DUMMYFUNCTION("""COMPUTED_VALUE"""),1.014880054E9)</f>
        <v>1014880054</v>
      </c>
      <c r="B683" s="6">
        <f>IFERROR(__xludf.DUMMYFUNCTION("""COMPUTED_VALUE"""),13.0)</f>
        <v>13</v>
      </c>
      <c r="C683" s="6" t="str">
        <f>IFERROR(__xludf.DUMMYFUNCTION("""COMPUTED_VALUE"""),"Valeria")</f>
        <v>Valeria</v>
      </c>
      <c r="D683" s="6"/>
      <c r="E683" s="6" t="str">
        <f>IFERROR(__xludf.DUMMYFUNCTION("""COMPUTED_VALUE"""),"Cuéllar González")</f>
        <v>Cuéllar González</v>
      </c>
      <c r="F683" s="6" t="str">
        <f>IFERROR(__xludf.DUMMYFUNCTION("""COMPUTED_VALUE"""),"Quintas de San Julian Casa16 - Cra 11 No22Nte - 80 COINCA")</f>
        <v>Quintas de San Julian Casa16 - Cra 11 No22Nte - 80 COINCA</v>
      </c>
      <c r="G683" s="12" t="str">
        <f>IFERROR(__xludf.DUMMYFUNCTION("""COMPUTED_VALUE"""),"2011")</f>
        <v>2011</v>
      </c>
      <c r="H683" s="6" t="str">
        <f>IFERROR(__xludf.DUMMYFUNCTION("""COMPUTED_VALUE"""),"Agosto")</f>
        <v>Agosto</v>
      </c>
      <c r="I683" s="12" t="str">
        <f>IFERROR(__xludf.DUMMYFUNCTION("""COMPUTED_VALUE"""),"28")</f>
        <v>28</v>
      </c>
      <c r="J683" s="6" t="str">
        <f>IFERROR(__xludf.DUMMYFUNCTION("""COMPUTED_VALUE"""),"Bogotá D.C.")</f>
        <v>Bogotá D.C.</v>
      </c>
      <c r="K683" s="6" t="str">
        <f>IFERROR(__xludf.DUMMYFUNCTION("""COMPUTED_VALUE"""),"valeria.c2029@gi.edu.co")</f>
        <v>valeria.c2029@gi.edu.co</v>
      </c>
      <c r="L683" s="6" t="str">
        <f>IFERROR(__xludf.DUMMYFUNCTION("""COMPUTED_VALUE"""),"TI")</f>
        <v>TI</v>
      </c>
      <c r="M683" s="6" t="str">
        <f>IFERROR(__xludf.DUMMYFUNCTION("""COMPUTED_VALUE"""),"Armenia")</f>
        <v>Armenia</v>
      </c>
      <c r="N683" s="6" t="str">
        <f>IFERROR(__xludf.DUMMYFUNCTION("""COMPUTED_VALUE"""),"F")</f>
        <v>F</v>
      </c>
      <c r="O683" s="6" t="str">
        <f>IFERROR(__xludf.DUMMYFUNCTION("""COMPUTED_VALUE"""),"ACTIVE")</f>
        <v>ACTIVE</v>
      </c>
      <c r="P683" s="6"/>
      <c r="Q683" s="6" t="str">
        <f>IFERROR(__xludf.DUMMYFUNCTION("""COMPUTED_VALUE"""),"Armenia")</f>
        <v>Armenia</v>
      </c>
      <c r="R683" s="12" t="str">
        <f>IFERROR(__xludf.DUMMYFUNCTION("""COMPUTED_VALUE"""),"Gi7idn86jk*")</f>
        <v>Gi7idn86jk*</v>
      </c>
      <c r="S683" s="6" t="str">
        <f>IFERROR(__xludf.DUMMYFUNCTION("""COMPUTED_VALUE"""),"Cuéllar González Valeria ")</f>
        <v>Cuéllar González Valeria </v>
      </c>
      <c r="T683" s="6" t="str">
        <f>IFERROR(__xludf.DUMMYFUNCTION("""COMPUTED_VALUE"""),"ISABEL CRISTINA GONZÁLEZ TORRES")</f>
        <v>ISABEL CRISTINA GONZÁLEZ TORRES</v>
      </c>
      <c r="U683" s="12" t="str">
        <f>IFERROR(__xludf.DUMMYFUNCTION("""COMPUTED_VALUE"""),"41937919")</f>
        <v>41937919</v>
      </c>
      <c r="V683" s="6">
        <f>IFERROR(__xludf.DUMMYFUNCTION("""COMPUTED_VALUE"""),3.124004055E9)</f>
        <v>3124004055</v>
      </c>
      <c r="W683" s="6" t="str">
        <f>IFERROR(__xludf.DUMMYFUNCTION("""COMPUTED_VALUE"""),"isacristinagt@gmail.com")</f>
        <v>isacristinagt@gmail.com</v>
      </c>
      <c r="X683" s="12" t="str">
        <f>IFERROR(__xludf.DUMMYFUNCTION("""COMPUTED_VALUE"""),"O+")</f>
        <v>O+</v>
      </c>
      <c r="Y683" s="12" t="str">
        <f>IFERROR(__xludf.DUMMYFUNCTION("""COMPUTED_VALUE"""),"10")</f>
        <v>10</v>
      </c>
      <c r="Z683" s="12">
        <f>IFERROR(__xludf.DUMMYFUNCTION("""COMPUTED_VALUE"""),103316.0)</f>
        <v>103316</v>
      </c>
      <c r="AA683" s="6" t="str">
        <f>IFERROR(__xludf.DUMMYFUNCTION("""COMPUTED_VALUE"""),"SURA")</f>
        <v>SURA</v>
      </c>
      <c r="AB683" s="6" t="str">
        <f>IFERROR(__xludf.DUMMYFUNCTION("""COMPUTED_VALUE"""),"Medicina Prepagada SURA")</f>
        <v>Medicina Prepagada SURA</v>
      </c>
      <c r="AC683" s="6"/>
      <c r="AD683" s="12" t="str">
        <f>IFERROR(__xludf.DUMMYFUNCTION("""COMPUTED_VALUE"""),"10A")</f>
        <v>10A</v>
      </c>
      <c r="AE683" s="12">
        <f>IFERROR(__xludf.DUMMYFUNCTION("""COMPUTED_VALUE"""),1.345281628E9)</f>
        <v>1345281628</v>
      </c>
      <c r="AF683" s="12" t="str">
        <f>IFERROR(__xludf.DUMMYFUNCTION("""COMPUTED_VALUE"""),"0770739603")</f>
        <v>0770739603</v>
      </c>
      <c r="AG683" s="12" t="str">
        <f>IFERROR(__xludf.DUMMYFUNCTION("""COMPUTED_VALUE"""),"Isabel")</f>
        <v>Isabel</v>
      </c>
      <c r="AH683" s="12" t="str">
        <f>IFERROR(__xludf.DUMMYFUNCTION("""COMPUTED_VALUE"""),"Cristina")</f>
        <v>Cristina</v>
      </c>
      <c r="AI683" s="6" t="str">
        <f>IFERROR(__xludf.DUMMYFUNCTION("""COMPUTED_VALUE"""),"González Torres")</f>
        <v>González Torres</v>
      </c>
      <c r="AJ683" s="6" t="str">
        <f>IFERROR(__xludf.DUMMYFUNCTION("""COMPUTED_VALUE"""),"isacristinagt@gmail.com")</f>
        <v>isacristinagt@gmail.com</v>
      </c>
      <c r="AK683" s="6" t="str">
        <f>IFERROR(__xludf.DUMMYFUNCTION("""COMPUTED_VALUE"""),"Pediatra")</f>
        <v>Pediatra</v>
      </c>
      <c r="AL683" s="6" t="str">
        <f>IFERROR(__xludf.DUMMYFUNCTION("""COMPUTED_VALUE"""),"HOSPITAL SAN JUAN DE DIOS")</f>
        <v>HOSPITAL SAN JUAN DE DIOS</v>
      </c>
      <c r="AM683" s="12" t="str">
        <f>IFERROR(__xludf.DUMMYFUNCTION("""COMPUTED_VALUE"""),"41937919")</f>
        <v>41937919</v>
      </c>
      <c r="AN683" s="12" t="str">
        <f>IFERROR(__xludf.DUMMYFUNCTION("""COMPUTED_VALUE"""),"3124004055")</f>
        <v>3124004055</v>
      </c>
      <c r="AO683" s="6" t="str">
        <f>IFERROR(__xludf.DUMMYFUNCTION("""COMPUTED_VALUE"""),"Madre")</f>
        <v>Madre</v>
      </c>
      <c r="AP683" s="6" t="str">
        <f>IFERROR(__xludf.DUMMYFUNCTION("""COMPUTED_VALUE"""),"Estudiante(s): Cuéllar González")</f>
        <v>Estudiante(s): Cuéllar González</v>
      </c>
      <c r="AQ683" s="6" t="str">
        <f>IFERROR(__xludf.DUMMYFUNCTION("""COMPUTED_VALUE"""),"103316*Gi")</f>
        <v>103316*Gi</v>
      </c>
      <c r="AR683" s="6" t="str">
        <f>IFERROR(__xludf.DUMMYFUNCTION("""COMPUTED_VALUE"""),"Álvaro")</f>
        <v>Álvaro</v>
      </c>
      <c r="AS683" s="6"/>
      <c r="AT683" s="6" t="str">
        <f>IFERROR(__xludf.DUMMYFUNCTION("""COMPUTED_VALUE"""),"Cuéllar Torres")</f>
        <v>Cuéllar Torres</v>
      </c>
      <c r="AU683" s="6" t="str">
        <f>IFERROR(__xludf.DUMMYFUNCTION("""COMPUTED_VALUE"""),"alcuto74@hotmail.com")</f>
        <v>alcuto74@hotmail.com</v>
      </c>
      <c r="AV683" s="6" t="str">
        <f>IFERROR(__xludf.DUMMYFUNCTION("""COMPUTED_VALUE"""),"Urólogo oncologo")</f>
        <v>Urólogo oncologo</v>
      </c>
      <c r="AW683" s="6" t="str">
        <f>IFERROR(__xludf.DUMMYFUNCTION("""COMPUTED_VALUE"""),"Oncólogos del occidente")</f>
        <v>Oncólogos del occidente</v>
      </c>
      <c r="AX683" s="12" t="str">
        <f>IFERROR(__xludf.DUMMYFUNCTION("""COMPUTED_VALUE"""),"80037460")</f>
        <v>80037460</v>
      </c>
      <c r="AY683" s="12" t="str">
        <f>IFERROR(__xludf.DUMMYFUNCTION("""COMPUTED_VALUE"""),"3103228542")</f>
        <v>3103228542</v>
      </c>
      <c r="AZ683" s="6" t="str">
        <f>IFERROR(__xludf.DUMMYFUNCTION("""COMPUTED_VALUE"""),"Padre")</f>
        <v>Padre</v>
      </c>
      <c r="BA683" s="6" t="str">
        <f>IFERROR(__xludf.DUMMYFUNCTION("""COMPUTED_VALUE"""),"HENRY GONZALEZ GUTIERREZ")</f>
        <v>HENRY GONZALEZ GUTIERREZ</v>
      </c>
      <c r="BB683" s="6">
        <f>IFERROR(__xludf.DUMMYFUNCTION("""COMPUTED_VALUE"""),3.162502035E9)</f>
        <v>3162502035</v>
      </c>
      <c r="BC683" s="6" t="str">
        <f>IFERROR(__xludf.DUMMYFUNCTION("""COMPUTED_VALUE"""),"Abuelo(a)")</f>
        <v>Abuelo(a)</v>
      </c>
      <c r="BD683" s="12" t="str">
        <f>IFERROR(__xludf.DUMMYFUNCTION("""COMPUTED_VALUE"""),"cue0002")</f>
        <v>cue0002</v>
      </c>
      <c r="BE683" s="6"/>
      <c r="BF683" s="6"/>
      <c r="BG683" s="6">
        <f>IFERROR(__xludf.DUMMYFUNCTION("""COMPUTED_VALUE"""),2029.0)</f>
        <v>2029</v>
      </c>
      <c r="BH683" s="15">
        <f>IFERROR(__xludf.DUMMYFUNCTION("""COMPUTED_VALUE"""),46212.45607638889)</f>
        <v>46212.45608</v>
      </c>
      <c r="BI683" s="6">
        <f>IFERROR(__xludf.DUMMYFUNCTION("""COMPUTED_VALUE"""),684.0)</f>
        <v>684</v>
      </c>
      <c r="BJ683" s="6"/>
      <c r="BK683" s="6"/>
      <c r="BL683" s="6" t="str">
        <f>IFERROR(__xludf.DUMMYFUNCTION("""COMPUTED_VALUE"""),"GISCUE0002")</f>
        <v>GISCUE0002</v>
      </c>
      <c r="BM683" s="6"/>
      <c r="BN683" s="6"/>
      <c r="BO683" s="6"/>
      <c r="BP683" s="6"/>
      <c r="BQ683" s="6"/>
      <c r="BR683" s="6"/>
      <c r="BS683" s="6"/>
      <c r="BT683" s="6"/>
      <c r="BU683" s="6" t="str">
        <f>IFERROR(__xludf.DUMMYFUNCTION("""COMPUTED_VALUE"""),"SI")</f>
        <v>SI</v>
      </c>
      <c r="BV683" s="6" t="str">
        <f>IFERROR(__xludf.DUMMYFUNCTION("""COMPUTED_VALUE"""),"valeria.c2029")</f>
        <v>valeria.c2029</v>
      </c>
      <c r="BW683" s="6"/>
      <c r="BX683" s="6"/>
      <c r="BY683" s="6"/>
      <c r="BZ683" s="6"/>
    </row>
    <row r="684">
      <c r="A684" s="12">
        <f>IFERROR(__xludf.DUMMYFUNCTION("""COMPUTED_VALUE"""),1.126808098E9)</f>
        <v>1126808098</v>
      </c>
      <c r="B684" s="6">
        <f>IFERROR(__xludf.DUMMYFUNCTION("""COMPUTED_VALUE"""),14.0)</f>
        <v>14</v>
      </c>
      <c r="C684" s="6" t="str">
        <f>IFERROR(__xludf.DUMMYFUNCTION("""COMPUTED_VALUE"""),"Maximiliano")</f>
        <v>Maximiliano</v>
      </c>
      <c r="D684" s="6"/>
      <c r="E684" s="6" t="str">
        <f>IFERROR(__xludf.DUMMYFUNCTION("""COMPUTED_VALUE"""),"Espitia Mejía")</f>
        <v>Espitia Mejía</v>
      </c>
      <c r="F684" s="6" t="str">
        <f>IFERROR(__xludf.DUMMYFUNCTION("""COMPUTED_VALUE"""),"Quintas de la Castellana Mz A Casa 13 - Cra 6 No16Nte - 61")</f>
        <v>Quintas de la Castellana Mz A Casa 13 - Cra 6 No16Nte - 61</v>
      </c>
      <c r="G684" s="12" t="str">
        <f>IFERROR(__xludf.DUMMYFUNCTION("""COMPUTED_VALUE"""),"2011")</f>
        <v>2011</v>
      </c>
      <c r="H684" s="6" t="str">
        <f>IFERROR(__xludf.DUMMYFUNCTION("""COMPUTED_VALUE"""),"Agosto")</f>
        <v>Agosto</v>
      </c>
      <c r="I684" s="12" t="str">
        <f>IFERROR(__xludf.DUMMYFUNCTION("""COMPUTED_VALUE"""),"29")</f>
        <v>29</v>
      </c>
      <c r="J684" s="6" t="str">
        <f>IFERROR(__xludf.DUMMYFUNCTION("""COMPUTED_VALUE"""),"Arlington")</f>
        <v>Arlington</v>
      </c>
      <c r="K684" s="6" t="str">
        <f>IFERROR(__xludf.DUMMYFUNCTION("""COMPUTED_VALUE"""),"maximiliano.e2029@gi.edu.co")</f>
        <v>maximiliano.e2029@gi.edu.co</v>
      </c>
      <c r="L684" s="6" t="str">
        <f>IFERROR(__xludf.DUMMYFUNCTION("""COMPUTED_VALUE"""),"RC")</f>
        <v>RC</v>
      </c>
      <c r="M684" s="6" t="str">
        <f>IFERROR(__xludf.DUMMYFUNCTION("""COMPUTED_VALUE"""),"Houston")</f>
        <v>Houston</v>
      </c>
      <c r="N684" s="6" t="str">
        <f>IFERROR(__xludf.DUMMYFUNCTION("""COMPUTED_VALUE"""),"M")</f>
        <v>M</v>
      </c>
      <c r="O684" s="6" t="str">
        <f>IFERROR(__xludf.DUMMYFUNCTION("""COMPUTED_VALUE"""),"ACTIVE")</f>
        <v>ACTIVE</v>
      </c>
      <c r="P684" s="6"/>
      <c r="Q684" s="6" t="str">
        <f>IFERROR(__xludf.DUMMYFUNCTION("""COMPUTED_VALUE"""),"Armenia")</f>
        <v>Armenia</v>
      </c>
      <c r="R684" s="12" t="str">
        <f>IFERROR(__xludf.DUMMYFUNCTION("""COMPUTED_VALUE"""),"Gibm39g*")</f>
        <v>Gibm39g*</v>
      </c>
      <c r="S684" s="6" t="str">
        <f>IFERROR(__xludf.DUMMYFUNCTION("""COMPUTED_VALUE"""),"Espitia Mejía Maximiliano ")</f>
        <v>Espitia Mejía Maximiliano </v>
      </c>
      <c r="T684" s="6" t="str">
        <f>IFERROR(__xludf.DUMMYFUNCTION("""COMPUTED_VALUE"""),"WILLIAM ARIEL ESPITIA GUIO")</f>
        <v>WILLIAM ARIEL ESPITIA GUIO</v>
      </c>
      <c r="U684" s="12" t="str">
        <f>IFERROR(__xludf.DUMMYFUNCTION("""COMPUTED_VALUE"""),"79052137")</f>
        <v>79052137</v>
      </c>
      <c r="V684" s="6">
        <f>IFERROR(__xludf.DUMMYFUNCTION("""COMPUTED_VALUE"""),3.103648932E9)</f>
        <v>3103648932</v>
      </c>
      <c r="W684" s="6" t="str">
        <f>IFERROR(__xludf.DUMMYFUNCTION("""COMPUTED_VALUE"""),"espitiacleaning@yahoo.com")</f>
        <v>espitiacleaning@yahoo.com</v>
      </c>
      <c r="X684" s="12" t="str">
        <f>IFERROR(__xludf.DUMMYFUNCTION("""COMPUTED_VALUE"""),"O+")</f>
        <v>O+</v>
      </c>
      <c r="Y684" s="12" t="str">
        <f>IFERROR(__xludf.DUMMYFUNCTION("""COMPUTED_VALUE"""),"10")</f>
        <v>10</v>
      </c>
      <c r="Z684" s="12">
        <f>IFERROR(__xludf.DUMMYFUNCTION("""COMPUTED_VALUE"""),120315.0)</f>
        <v>120315</v>
      </c>
      <c r="AA684" s="6" t="str">
        <f>IFERROR(__xludf.DUMMYFUNCTION("""COMPUTED_VALUE"""),"SURA")</f>
        <v>SURA</v>
      </c>
      <c r="AB684" s="6"/>
      <c r="AC684" s="6"/>
      <c r="AD684" s="12" t="str">
        <f>IFERROR(__xludf.DUMMYFUNCTION("""COMPUTED_VALUE"""),"10A")</f>
        <v>10A</v>
      </c>
      <c r="AE684" s="12" t="str">
        <f>IFERROR(__xludf.DUMMYFUNCTION("""COMPUTED_VALUE"""),"1345282311")</f>
        <v>1345282311</v>
      </c>
      <c r="AF684" s="12" t="str">
        <f>IFERROR(__xludf.DUMMYFUNCTION("""COMPUTED_VALUE"""),"0741917955")</f>
        <v>0741917955</v>
      </c>
      <c r="AG684" s="12" t="str">
        <f>IFERROR(__xludf.DUMMYFUNCTION("""COMPUTED_VALUE"""),"Diana")</f>
        <v>Diana</v>
      </c>
      <c r="AH684" s="12" t="str">
        <f>IFERROR(__xludf.DUMMYFUNCTION("""COMPUTED_VALUE"""),"Catalina")</f>
        <v>Catalina</v>
      </c>
      <c r="AI684" s="6" t="str">
        <f>IFERROR(__xludf.DUMMYFUNCTION("""COMPUTED_VALUE"""),"Mejía Rojas")</f>
        <v>Mejía Rojas</v>
      </c>
      <c r="AJ684" s="6" t="str">
        <f>IFERROR(__xludf.DUMMYFUNCTION("""COMPUTED_VALUE"""),"dianacmr22@hotmail.com")</f>
        <v>dianacmr22@hotmail.com</v>
      </c>
      <c r="AK684" s="6" t="str">
        <f>IFERROR(__xludf.DUMMYFUNCTION("""COMPUTED_VALUE"""),"Publicista")</f>
        <v>Publicista</v>
      </c>
      <c r="AL684" s="6"/>
      <c r="AM684" s="12" t="str">
        <f>IFERROR(__xludf.DUMMYFUNCTION("""COMPUTED_VALUE"""),"43208608")</f>
        <v>43208608</v>
      </c>
      <c r="AN684" s="12" t="str">
        <f>IFERROR(__xludf.DUMMYFUNCTION("""COMPUTED_VALUE"""),"3001625057")</f>
        <v>3001625057</v>
      </c>
      <c r="AO684" s="6" t="str">
        <f>IFERROR(__xludf.DUMMYFUNCTION("""COMPUTED_VALUE"""),"Madre")</f>
        <v>Madre</v>
      </c>
      <c r="AP684" s="6" t="str">
        <f>IFERROR(__xludf.DUMMYFUNCTION("""COMPUTED_VALUE"""),"Estudiante(s): Espitia Mejía")</f>
        <v>Estudiante(s): Espitia Mejía</v>
      </c>
      <c r="AQ684" s="6" t="str">
        <f>IFERROR(__xludf.DUMMYFUNCTION("""COMPUTED_VALUE"""),"120315*Gi")</f>
        <v>120315*Gi</v>
      </c>
      <c r="AR684" s="6" t="str">
        <f>IFERROR(__xludf.DUMMYFUNCTION("""COMPUTED_VALUE"""),"William")</f>
        <v>William</v>
      </c>
      <c r="AS684" s="6" t="str">
        <f>IFERROR(__xludf.DUMMYFUNCTION("""COMPUTED_VALUE"""),"Ariel")</f>
        <v>Ariel</v>
      </c>
      <c r="AT684" s="6" t="str">
        <f>IFERROR(__xludf.DUMMYFUNCTION("""COMPUTED_VALUE"""),"Espitia Guio")</f>
        <v>Espitia Guio</v>
      </c>
      <c r="AU684" s="6" t="str">
        <f>IFERROR(__xludf.DUMMYFUNCTION("""COMPUTED_VALUE"""),"espitiacleaning@yahoo.com")</f>
        <v>espitiacleaning@yahoo.com</v>
      </c>
      <c r="AV684" s="6" t="str">
        <f>IFERROR(__xludf.DUMMYFUNCTION("""COMPUTED_VALUE"""),"Empresario")</f>
        <v>Empresario</v>
      </c>
      <c r="AW684" s="6" t="str">
        <f>IFERROR(__xludf.DUMMYFUNCTION("""COMPUTED_VALUE"""),"espitias cleaning service inc.")</f>
        <v>espitias cleaning service inc.</v>
      </c>
      <c r="AX684" s="12" t="str">
        <f>IFERROR(__xludf.DUMMYFUNCTION("""COMPUTED_VALUE"""),"79052137")</f>
        <v>79052137</v>
      </c>
      <c r="AY684" s="12" t="str">
        <f>IFERROR(__xludf.DUMMYFUNCTION("""COMPUTED_VALUE"""),"3103648932")</f>
        <v>3103648932</v>
      </c>
      <c r="AZ684" s="6" t="str">
        <f>IFERROR(__xludf.DUMMYFUNCTION("""COMPUTED_VALUE"""),"Padre")</f>
        <v>Padre</v>
      </c>
      <c r="BA684" s="6"/>
      <c r="BB684" s="6"/>
      <c r="BC684" s="6"/>
      <c r="BD684" s="12" t="str">
        <f>IFERROR(__xludf.DUMMYFUNCTION("""COMPUTED_VALUE"""),"esp0001")</f>
        <v>esp0001</v>
      </c>
      <c r="BE684" s="6"/>
      <c r="BF684" s="6"/>
      <c r="BG684" s="6">
        <f>IFERROR(__xludf.DUMMYFUNCTION("""COMPUTED_VALUE"""),2029.0)</f>
        <v>2029</v>
      </c>
      <c r="BH684" s="15">
        <f>IFERROR(__xludf.DUMMYFUNCTION("""COMPUTED_VALUE"""),46230.69856481482)</f>
        <v>46230.69856</v>
      </c>
      <c r="BI684" s="6">
        <f>IFERROR(__xludf.DUMMYFUNCTION("""COMPUTED_VALUE"""),685.0)</f>
        <v>685</v>
      </c>
      <c r="BJ684" s="6"/>
      <c r="BK684" s="6"/>
      <c r="BL684" s="6" t="str">
        <f>IFERROR(__xludf.DUMMYFUNCTION("""COMPUTED_VALUE"""),"GISESP0001")</f>
        <v>GISESP0001</v>
      </c>
      <c r="BM684" s="6"/>
      <c r="BN684" s="6"/>
      <c r="BO684" s="6" t="str">
        <f>IFERROR(__xludf.DUMMYFUNCTION("""COMPUTED_VALUE"""),"XC_HS_Futbol_M")</f>
        <v>XC_HS_Futbol_M</v>
      </c>
      <c r="BP684" s="6"/>
      <c r="BQ684" s="6" t="str">
        <f>IFERROR(__xludf.DUMMYFUNCTION("""COMPUTED_VALUE"""),"XC_HS_Futbol_M")</f>
        <v>XC_HS_Futbol_M</v>
      </c>
      <c r="BR684" s="6" t="str">
        <f>IFERROR(__xludf.DUMMYFUNCTION("""COMPUTED_VALUE"""),"XC_HS_Futbol_M")</f>
        <v>XC_HS_Futbol_M</v>
      </c>
      <c r="BS684" s="6"/>
      <c r="BT684" s="6" t="str">
        <f>IFERROR(__xludf.DUMMYFUNCTION("""COMPUTED_VALUE"""),"XC_HS_Futbol_M")</f>
        <v>XC_HS_Futbol_M</v>
      </c>
      <c r="BU684" s="6" t="str">
        <f>IFERROR(__xludf.DUMMYFUNCTION("""COMPUTED_VALUE"""),"SI")</f>
        <v>SI</v>
      </c>
      <c r="BV684" s="6" t="str">
        <f>IFERROR(__xludf.DUMMYFUNCTION("""COMPUTED_VALUE"""),"maximiliano.e2029")</f>
        <v>maximiliano.e2029</v>
      </c>
      <c r="BW684" s="6"/>
      <c r="BX684" s="6"/>
      <c r="BY684" s="6"/>
      <c r="BZ684" s="6"/>
    </row>
    <row r="685">
      <c r="A685" s="12">
        <f>IFERROR(__xludf.DUMMYFUNCTION("""COMPUTED_VALUE"""),1.092855656E9)</f>
        <v>1092855656</v>
      </c>
      <c r="B685" s="6">
        <f>IFERROR(__xludf.DUMMYFUNCTION("""COMPUTED_VALUE"""),15.0)</f>
        <v>15</v>
      </c>
      <c r="C685" s="6" t="str">
        <f>IFERROR(__xludf.DUMMYFUNCTION("""COMPUTED_VALUE"""),"Martina")</f>
        <v>Martina</v>
      </c>
      <c r="D685" s="6"/>
      <c r="E685" s="6" t="str">
        <f>IFERROR(__xludf.DUMMYFUNCTION("""COMPUTED_VALUE"""),"Fajardo Jaramillo")</f>
        <v>Fajardo Jaramillo</v>
      </c>
      <c r="F685" s="6" t="str">
        <f>IFERROR(__xludf.DUMMYFUNCTION("""COMPUTED_VALUE"""),"Finca Montecarlo - Vereda Murillo")</f>
        <v>Finca Montecarlo - Vereda Murillo</v>
      </c>
      <c r="G685" s="12" t="str">
        <f>IFERROR(__xludf.DUMMYFUNCTION("""COMPUTED_VALUE"""),"2011")</f>
        <v>2011</v>
      </c>
      <c r="H685" s="6" t="str">
        <f>IFERROR(__xludf.DUMMYFUNCTION("""COMPUTED_VALUE"""),"Octubre")</f>
        <v>Octubre</v>
      </c>
      <c r="I685" s="12" t="str">
        <f>IFERROR(__xludf.DUMMYFUNCTION("""COMPUTED_VALUE"""),"13")</f>
        <v>13</v>
      </c>
      <c r="J685" s="6" t="str">
        <f>IFERROR(__xludf.DUMMYFUNCTION("""COMPUTED_VALUE"""),"La Tebaida")</f>
        <v>La Tebaida</v>
      </c>
      <c r="K685" s="6" t="str">
        <f>IFERROR(__xludf.DUMMYFUNCTION("""COMPUTED_VALUE"""),"martina.f2029@gi.edu.co")</f>
        <v>martina.f2029@gi.edu.co</v>
      </c>
      <c r="L685" s="6" t="str">
        <f>IFERROR(__xludf.DUMMYFUNCTION("""COMPUTED_VALUE"""),"RC")</f>
        <v>RC</v>
      </c>
      <c r="M685" s="6" t="str">
        <f>IFERROR(__xludf.DUMMYFUNCTION("""COMPUTED_VALUE"""),"Armenia")</f>
        <v>Armenia</v>
      </c>
      <c r="N685" s="6" t="str">
        <f>IFERROR(__xludf.DUMMYFUNCTION("""COMPUTED_VALUE"""),"F")</f>
        <v>F</v>
      </c>
      <c r="O685" s="6" t="str">
        <f>IFERROR(__xludf.DUMMYFUNCTION("""COMPUTED_VALUE"""),"INACTIVE")</f>
        <v>INACTIVE</v>
      </c>
      <c r="P685" s="6"/>
      <c r="Q685" s="6" t="str">
        <f>IFERROR(__xludf.DUMMYFUNCTION("""COMPUTED_VALUE"""),"La Tebaida")</f>
        <v>La Tebaida</v>
      </c>
      <c r="R685" s="12" t="str">
        <f>IFERROR(__xludf.DUMMYFUNCTION("""COMPUTED_VALUE"""),"Gi8976ad89*")</f>
        <v>Gi8976ad89*</v>
      </c>
      <c r="S685" s="6" t="str">
        <f>IFERROR(__xludf.DUMMYFUNCTION("""COMPUTED_VALUE"""),"Fajardo Jaramillo Martina ")</f>
        <v>Fajardo Jaramillo Martina </v>
      </c>
      <c r="T685" s="6" t="str">
        <f>IFERROR(__xludf.DUMMYFUNCTION("""COMPUTED_VALUE"""),"ÁNGELA JARAMILLO BOTERO")</f>
        <v>ÁNGELA JARAMILLO BOTERO</v>
      </c>
      <c r="U685" s="12" t="str">
        <f>IFERROR(__xludf.DUMMYFUNCTION("""COMPUTED_VALUE"""),"41922956")</f>
        <v>41922956</v>
      </c>
      <c r="V685" s="6">
        <f>IFERROR(__xludf.DUMMYFUNCTION("""COMPUTED_VALUE"""),3.176677537E9)</f>
        <v>3176677537</v>
      </c>
      <c r="W685" s="6" t="str">
        <f>IFERROR(__xludf.DUMMYFUNCTION("""COMPUTED_VALUE"""),"angelajaramillobotero@hotmail.com")</f>
        <v>angelajaramillobotero@hotmail.com</v>
      </c>
      <c r="X685" s="12" t="str">
        <f>IFERROR(__xludf.DUMMYFUNCTION("""COMPUTED_VALUE"""),"O+")</f>
        <v>O+</v>
      </c>
      <c r="Y685" s="12" t="str">
        <f>IFERROR(__xludf.DUMMYFUNCTION("""COMPUTED_VALUE"""),"10")</f>
        <v>10</v>
      </c>
      <c r="Z685" s="12">
        <f>IFERROR(__xludf.DUMMYFUNCTION("""COMPUTED_VALUE"""),103112.0)</f>
        <v>103112</v>
      </c>
      <c r="AA685" s="6" t="str">
        <f>IFERROR(__xludf.DUMMYFUNCTION("""COMPUTED_VALUE"""),"SURA")</f>
        <v>SURA</v>
      </c>
      <c r="AB685" s="6" t="str">
        <f>IFERROR(__xludf.DUMMYFUNCTION("""COMPUTED_VALUE"""),"Salud Global")</f>
        <v>Salud Global</v>
      </c>
      <c r="AC685" s="6"/>
      <c r="AD685" s="12" t="str">
        <f>IFERROR(__xludf.DUMMYFUNCTION("""COMPUTED_VALUE"""),"10A")</f>
        <v>10A</v>
      </c>
      <c r="AE685" s="12">
        <f>IFERROR(__xludf.DUMMYFUNCTION("""COMPUTED_VALUE"""),1.345281485E9)</f>
        <v>1345281485</v>
      </c>
      <c r="AF685" s="12" t="str">
        <f>IFERROR(__xludf.DUMMYFUNCTION("""COMPUTED_VALUE"""),"0666187635")</f>
        <v>0666187635</v>
      </c>
      <c r="AG685" s="12" t="str">
        <f>IFERROR(__xludf.DUMMYFUNCTION("""COMPUTED_VALUE"""),"Ángela")</f>
        <v>Ángela</v>
      </c>
      <c r="AH685" s="6"/>
      <c r="AI685" s="6" t="str">
        <f>IFERROR(__xludf.DUMMYFUNCTION("""COMPUTED_VALUE"""),"Jaramillo Botero")</f>
        <v>Jaramillo Botero</v>
      </c>
      <c r="AJ685" s="6" t="str">
        <f>IFERROR(__xludf.DUMMYFUNCTION("""COMPUTED_VALUE"""),"angelajaramillobotero@hotmail.com")</f>
        <v>angelajaramillobotero@hotmail.com</v>
      </c>
      <c r="AK685" s="6" t="str">
        <f>IFERROR(__xludf.DUMMYFUNCTION("""COMPUTED_VALUE"""),"administradora de empresas")</f>
        <v>administradora de empresas</v>
      </c>
      <c r="AL685" s="6" t="str">
        <f>IFERROR(__xludf.DUMMYFUNCTION("""COMPUTED_VALUE"""),"BANAPLAST SAS")</f>
        <v>BANAPLAST SAS</v>
      </c>
      <c r="AM685" s="12" t="str">
        <f>IFERROR(__xludf.DUMMYFUNCTION("""COMPUTED_VALUE"""),"41922956")</f>
        <v>41922956</v>
      </c>
      <c r="AN685" s="12" t="str">
        <f>IFERROR(__xludf.DUMMYFUNCTION("""COMPUTED_VALUE"""),"3176677537")</f>
        <v>3176677537</v>
      </c>
      <c r="AO685" s="6" t="str">
        <f>IFERROR(__xludf.DUMMYFUNCTION("""COMPUTED_VALUE"""),"Madre")</f>
        <v>Madre</v>
      </c>
      <c r="AP685" s="6" t="str">
        <f>IFERROR(__xludf.DUMMYFUNCTION("""COMPUTED_VALUE"""),"Estudiante(s): Fajardo Jaramillo")</f>
        <v>Estudiante(s): Fajardo Jaramillo</v>
      </c>
      <c r="AQ685" s="6" t="str">
        <f>IFERROR(__xludf.DUMMYFUNCTION("""COMPUTED_VALUE"""),"102384*Gi")</f>
        <v>102384*Gi</v>
      </c>
      <c r="AR685" s="6" t="str">
        <f>IFERROR(__xludf.DUMMYFUNCTION("""COMPUTED_VALUE"""),"Juan")</f>
        <v>Juan</v>
      </c>
      <c r="AS685" s="6" t="str">
        <f>IFERROR(__xludf.DUMMYFUNCTION("""COMPUTED_VALUE"""),"Carlos")</f>
        <v>Carlos</v>
      </c>
      <c r="AT685" s="6" t="str">
        <f>IFERROR(__xludf.DUMMYFUNCTION("""COMPUTED_VALUE"""),"Fajardo Pulido")</f>
        <v>Fajardo Pulido</v>
      </c>
      <c r="AU685" s="6" t="str">
        <f>IFERROR(__xludf.DUMMYFUNCTION("""COMPUTED_VALUE"""),"jcfajardo17@hotmail.com")</f>
        <v>jcfajardo17@hotmail.com</v>
      </c>
      <c r="AV685" s="6"/>
      <c r="AW685" s="6"/>
      <c r="AX685" s="12" t="str">
        <f>IFERROR(__xludf.DUMMYFUNCTION("""COMPUTED_VALUE"""),"7544721")</f>
        <v>7544721</v>
      </c>
      <c r="AY685" s="12" t="str">
        <f>IFERROR(__xludf.DUMMYFUNCTION("""COMPUTED_VALUE"""),"3218307155")</f>
        <v>3218307155</v>
      </c>
      <c r="AZ685" s="6" t="str">
        <f>IFERROR(__xludf.DUMMYFUNCTION("""COMPUTED_VALUE"""),"Padre")</f>
        <v>Padre</v>
      </c>
      <c r="BA685" s="6"/>
      <c r="BB685" s="6"/>
      <c r="BC685" s="6"/>
      <c r="BD685" s="12" t="str">
        <f>IFERROR(__xludf.DUMMYFUNCTION("""COMPUTED_VALUE"""),"faj0002")</f>
        <v>faj0002</v>
      </c>
      <c r="BE685" s="6" t="str">
        <f>IFERROR(__xludf.DUMMYFUNCTION("""COMPUTED_VALUE"""),"FALTAN FIRMAS")</f>
        <v>FALTAN FIRMAS</v>
      </c>
      <c r="BF685" s="6"/>
      <c r="BG685" s="6">
        <f>IFERROR(__xludf.DUMMYFUNCTION("""COMPUTED_VALUE"""),2029.0)</f>
        <v>2029</v>
      </c>
      <c r="BH685" s="15">
        <f>IFERROR(__xludf.DUMMYFUNCTION("""COMPUTED_VALUE"""),46206.42853009259)</f>
        <v>46206.42853</v>
      </c>
      <c r="BI685" s="6">
        <f>IFERROR(__xludf.DUMMYFUNCTION("""COMPUTED_VALUE"""),686.0)</f>
        <v>686</v>
      </c>
      <c r="BJ685" s="6"/>
      <c r="BK685" s="6"/>
      <c r="BL685" s="6" t="str">
        <f>IFERROR(__xludf.DUMMYFUNCTION("""COMPUTED_VALUE"""),"GISFAJ0002")</f>
        <v>GISFAJ0002</v>
      </c>
      <c r="BM685" s="6"/>
      <c r="BN685" s="6"/>
      <c r="BO685" s="6"/>
      <c r="BP685" s="6"/>
      <c r="BQ685" s="6"/>
      <c r="BR685" s="6"/>
      <c r="BS685" s="6"/>
      <c r="BT685" s="6"/>
      <c r="BU685" s="6" t="str">
        <f>IFERROR(__xludf.DUMMYFUNCTION("""COMPUTED_VALUE"""),"SI")</f>
        <v>SI</v>
      </c>
      <c r="BV685" s="6" t="str">
        <f>IFERROR(__xludf.DUMMYFUNCTION("""COMPUTED_VALUE"""),"martina.f2029")</f>
        <v>martina.f2029</v>
      </c>
      <c r="BW685" s="6"/>
      <c r="BX685" s="6"/>
      <c r="BY685" s="6"/>
      <c r="BZ685" s="6"/>
    </row>
    <row r="686">
      <c r="A686" s="12">
        <f>IFERROR(__xludf.DUMMYFUNCTION("""COMPUTED_VALUE"""),1.07723502E9)</f>
        <v>1077235020</v>
      </c>
      <c r="B686" s="6">
        <f>IFERROR(__xludf.DUMMYFUNCTION("""COMPUTED_VALUE"""),16.0)</f>
        <v>16</v>
      </c>
      <c r="C686" s="6" t="str">
        <f>IFERROR(__xludf.DUMMYFUNCTION("""COMPUTED_VALUE"""),"Juan")</f>
        <v>Juan</v>
      </c>
      <c r="D686" s="6" t="str">
        <f>IFERROR(__xludf.DUMMYFUNCTION("""COMPUTED_VALUE"""),"Andrés")</f>
        <v>Andrés</v>
      </c>
      <c r="E686" s="6" t="str">
        <f>IFERROR(__xludf.DUMMYFUNCTION("""COMPUTED_VALUE"""),"Falla Jaramillo")</f>
        <v>Falla Jaramillo</v>
      </c>
      <c r="F686" s="6" t="str">
        <f>IFERROR(__xludf.DUMMYFUNCTION("""COMPUTED_VALUE"""),"Colinas de la Castellana Casa 14  - Calle 11Nte No 9 - 55")</f>
        <v>Colinas de la Castellana Casa 14  - Calle 11Nte No 9 - 55</v>
      </c>
      <c r="G686" s="12" t="str">
        <f>IFERROR(__xludf.DUMMYFUNCTION("""COMPUTED_VALUE"""),"2011")</f>
        <v>2011</v>
      </c>
      <c r="H686" s="6" t="str">
        <f>IFERROR(__xludf.DUMMYFUNCTION("""COMPUTED_VALUE"""),"Abril")</f>
        <v>Abril</v>
      </c>
      <c r="I686" s="12" t="str">
        <f>IFERROR(__xludf.DUMMYFUNCTION("""COMPUTED_VALUE"""),"8")</f>
        <v>8</v>
      </c>
      <c r="J686" s="6" t="str">
        <f>IFERROR(__xludf.DUMMYFUNCTION("""COMPUTED_VALUE"""),"Neiva")</f>
        <v>Neiva</v>
      </c>
      <c r="K686" s="6" t="str">
        <f>IFERROR(__xludf.DUMMYFUNCTION("""COMPUTED_VALUE"""),"juan.f2029@gi.edu.co")</f>
        <v>juan.f2029@gi.edu.co</v>
      </c>
      <c r="L686" s="6" t="str">
        <f>IFERROR(__xludf.DUMMYFUNCTION("""COMPUTED_VALUE"""),"TI")</f>
        <v>TI</v>
      </c>
      <c r="M686" s="6" t="str">
        <f>IFERROR(__xludf.DUMMYFUNCTION("""COMPUTED_VALUE"""),"Armenia")</f>
        <v>Armenia</v>
      </c>
      <c r="N686" s="6" t="str">
        <f>IFERROR(__xludf.DUMMYFUNCTION("""COMPUTED_VALUE"""),"M")</f>
        <v>M</v>
      </c>
      <c r="O686" s="6" t="str">
        <f>IFERROR(__xludf.DUMMYFUNCTION("""COMPUTED_VALUE"""),"ACTIVE")</f>
        <v>ACTIVE</v>
      </c>
      <c r="P686" s="6"/>
      <c r="Q686" s="6" t="str">
        <f>IFERROR(__xludf.DUMMYFUNCTION("""COMPUTED_VALUE"""),"Armenia")</f>
        <v>Armenia</v>
      </c>
      <c r="R686" s="6" t="str">
        <f>IFERROR(__xludf.DUMMYFUNCTION("""COMPUTED_VALUE"""),"Gihq876s34*")</f>
        <v>Gihq876s34*</v>
      </c>
      <c r="S686" s="6" t="str">
        <f>IFERROR(__xludf.DUMMYFUNCTION("""COMPUTED_VALUE"""),"Falla Jaramillo Juan Andrés")</f>
        <v>Falla Jaramillo Juan Andrés</v>
      </c>
      <c r="T686" s="6" t="str">
        <f>IFERROR(__xludf.DUMMYFUNCTION("""COMPUTED_VALUE"""),"JUANITA MARÍA JARAMILLO PÉREZ")</f>
        <v>JUANITA MARÍA JARAMILLO PÉREZ</v>
      </c>
      <c r="U686" s="12" t="str">
        <f>IFERROR(__xludf.DUMMYFUNCTION("""COMPUTED_VALUE"""),"41947317")</f>
        <v>41947317</v>
      </c>
      <c r="V686" s="6">
        <f>IFERROR(__xludf.DUMMYFUNCTION("""COMPUTED_VALUE"""),3.10454746E9)</f>
        <v>3104547460</v>
      </c>
      <c r="W686" s="6" t="str">
        <f>IFERROR(__xludf.DUMMYFUNCTION("""COMPUTED_VALUE"""),"asistencia@superpataconquindiano.com")</f>
        <v>asistencia@superpataconquindiano.com</v>
      </c>
      <c r="X686" s="12" t="str">
        <f>IFERROR(__xludf.DUMMYFUNCTION("""COMPUTED_VALUE"""),"O+")</f>
        <v>O+</v>
      </c>
      <c r="Y686" s="12" t="str">
        <f>IFERROR(__xludf.DUMMYFUNCTION("""COMPUTED_VALUE"""),"10")</f>
        <v>10</v>
      </c>
      <c r="Z686" s="12">
        <f>IFERROR(__xludf.DUMMYFUNCTION("""COMPUTED_VALUE"""),103520.0)</f>
        <v>103520</v>
      </c>
      <c r="AA686" s="6" t="str">
        <f>IFERROR(__xludf.DUMMYFUNCTION("""COMPUTED_VALUE"""),"SANITAS")</f>
        <v>SANITAS</v>
      </c>
      <c r="AB686" s="6" t="str">
        <f>IFERROR(__xludf.DUMMYFUNCTION("""COMPUTED_VALUE"""),"Medicina Prepagada Colsanitas")</f>
        <v>Medicina Prepagada Colsanitas</v>
      </c>
      <c r="AC686" s="6"/>
      <c r="AD686" s="12" t="str">
        <f>IFERROR(__xludf.DUMMYFUNCTION("""COMPUTED_VALUE"""),"10B")</f>
        <v>10B</v>
      </c>
      <c r="AE686" s="12">
        <f>IFERROR(__xludf.DUMMYFUNCTION("""COMPUTED_VALUE"""),1.345281698E9)</f>
        <v>1345281698</v>
      </c>
      <c r="AF686" s="12" t="str">
        <f>IFERROR(__xludf.DUMMYFUNCTION("""COMPUTED_VALUE"""),"0650557731")</f>
        <v>0650557731</v>
      </c>
      <c r="AG686" s="12" t="str">
        <f>IFERROR(__xludf.DUMMYFUNCTION("""COMPUTED_VALUE"""),"Juanita")</f>
        <v>Juanita</v>
      </c>
      <c r="AH686" s="12" t="str">
        <f>IFERROR(__xludf.DUMMYFUNCTION("""COMPUTED_VALUE"""),"María")</f>
        <v>María</v>
      </c>
      <c r="AI686" s="6" t="str">
        <f>IFERROR(__xludf.DUMMYFUNCTION("""COMPUTED_VALUE"""),"Jaramillo Pérez")</f>
        <v>Jaramillo Pérez</v>
      </c>
      <c r="AJ686" s="6" t="str">
        <f>IFERROR(__xludf.DUMMYFUNCTION("""COMPUTED_VALUE"""),"dondejuanbcocora@gmail.com")</f>
        <v>dondejuanbcocora@gmail.com</v>
      </c>
      <c r="AK686" s="6" t="str">
        <f>IFERROR(__xludf.DUMMYFUNCTION("""COMPUTED_VALUE"""),"COMUNICADORA SOCIAL")</f>
        <v>COMUNICADORA SOCIAL</v>
      </c>
      <c r="AL686" s="6" t="str">
        <f>IFERROR(__xludf.DUMMYFUNCTION("""COMPUTED_VALUE"""),"BOSQUES DE COCORA DONDE JUANB")</f>
        <v>BOSQUES DE COCORA DONDE JUANB</v>
      </c>
      <c r="AM686" s="12" t="str">
        <f>IFERROR(__xludf.DUMMYFUNCTION("""COMPUTED_VALUE"""),"41947317")</f>
        <v>41947317</v>
      </c>
      <c r="AN686" s="12" t="str">
        <f>IFERROR(__xludf.DUMMYFUNCTION("""COMPUTED_VALUE"""),"3104547460")</f>
        <v>3104547460</v>
      </c>
      <c r="AO686" s="6" t="str">
        <f>IFERROR(__xludf.DUMMYFUNCTION("""COMPUTED_VALUE"""),"Madre")</f>
        <v>Madre</v>
      </c>
      <c r="AP686" s="6" t="str">
        <f>IFERROR(__xludf.DUMMYFUNCTION("""COMPUTED_VALUE"""),"Estudiante(s): Falla Jaramillo")</f>
        <v>Estudiante(s): Falla Jaramillo</v>
      </c>
      <c r="AQ686" s="6" t="str">
        <f>IFERROR(__xludf.DUMMYFUNCTION("""COMPUTED_VALUE"""),"103520*Gi")</f>
        <v>103520*Gi</v>
      </c>
      <c r="AR686" s="6" t="str">
        <f>IFERROR(__xludf.DUMMYFUNCTION("""COMPUTED_VALUE"""),"Andrés")</f>
        <v>Andrés</v>
      </c>
      <c r="AS686" s="6"/>
      <c r="AT686" s="6" t="str">
        <f>IFERROR(__xludf.DUMMYFUNCTION("""COMPUTED_VALUE"""),"Falla Velásquez")</f>
        <v>Falla Velásquez</v>
      </c>
      <c r="AU686" s="6" t="str">
        <f>IFERROR(__xludf.DUMMYFUNCTION("""COMPUTED_VALUE"""),"fallecido@gi.edu.co")</f>
        <v>fallecido@gi.edu.co</v>
      </c>
      <c r="AV686" s="6" t="str">
        <f>IFERROR(__xludf.DUMMYFUNCTION("""COMPUTED_VALUE"""),"Abogado")</f>
        <v>Abogado</v>
      </c>
      <c r="AW686" s="6"/>
      <c r="AX686" s="12" t="str">
        <f>IFERROR(__xludf.DUMMYFUNCTION("""COMPUTED_VALUE"""),"7710368")</f>
        <v>7710368</v>
      </c>
      <c r="AY686" s="12" t="str">
        <f>IFERROR(__xludf.DUMMYFUNCTION("""COMPUTED_VALUE"""),"000")</f>
        <v>000</v>
      </c>
      <c r="AZ686" s="6" t="str">
        <f>IFERROR(__xludf.DUMMYFUNCTION("""COMPUTED_VALUE"""),"Padre")</f>
        <v>Padre</v>
      </c>
      <c r="BA686" s="6"/>
      <c r="BB686" s="6"/>
      <c r="BC686" s="6"/>
      <c r="BD686" s="12" t="str">
        <f>IFERROR(__xludf.DUMMYFUNCTION("""COMPUTED_VALUE"""),"fal0001")</f>
        <v>fal0001</v>
      </c>
      <c r="BE686" s="6"/>
      <c r="BF686" s="12" t="str">
        <f>IFERROR(__xludf.DUMMYFUNCTION("""COMPUTED_VALUE"""),"PROMOVIDO")</f>
        <v>PROMOVIDO</v>
      </c>
      <c r="BG686" s="6">
        <f>IFERROR(__xludf.DUMMYFUNCTION("""COMPUTED_VALUE"""),2029.0)</f>
        <v>2029</v>
      </c>
      <c r="BH686" s="15">
        <f>IFERROR(__xludf.DUMMYFUNCTION("""COMPUTED_VALUE"""),46217.41434027778)</f>
        <v>46217.41434</v>
      </c>
      <c r="BI686" s="6">
        <f>IFERROR(__xludf.DUMMYFUNCTION("""COMPUTED_VALUE"""),687.0)</f>
        <v>687</v>
      </c>
      <c r="BJ686" s="6" t="str">
        <f>IFERROR(__xludf.DUMMYFUNCTION("""COMPUTED_VALUE"""),"SIMAT: trastorno por déficit de atención con o sin hiperactividad (Nov 13 2024)")</f>
        <v>SIMAT: trastorno por déficit de atención con o sin hiperactividad (Nov 13 2024)</v>
      </c>
      <c r="BK686" s="6"/>
      <c r="BL686" s="6" t="str">
        <f>IFERROR(__xludf.DUMMYFUNCTION("""COMPUTED_VALUE"""),"GISFAL0001")</f>
        <v>GISFAL0001</v>
      </c>
      <c r="BM686" s="6"/>
      <c r="BN686" s="6"/>
      <c r="BO686" s="6"/>
      <c r="BP686" s="6"/>
      <c r="BQ686" s="6"/>
      <c r="BR686" s="6"/>
      <c r="BS686" s="6"/>
      <c r="BT686" s="6"/>
      <c r="BU686" s="6" t="str">
        <f>IFERROR(__xludf.DUMMYFUNCTION("""COMPUTED_VALUE"""),"SI")</f>
        <v>SI</v>
      </c>
      <c r="BV686" s="6" t="str">
        <f>IFERROR(__xludf.DUMMYFUNCTION("""COMPUTED_VALUE"""),"juan.f2029")</f>
        <v>juan.f2029</v>
      </c>
      <c r="BW686" s="6"/>
      <c r="BX686" s="6"/>
      <c r="BY686" s="6"/>
      <c r="BZ686" s="6"/>
    </row>
    <row r="687">
      <c r="A687" s="12">
        <f>IFERROR(__xludf.DUMMYFUNCTION("""COMPUTED_VALUE"""),1.092855001E9)</f>
        <v>1092855001</v>
      </c>
      <c r="B687" s="6">
        <f>IFERROR(__xludf.DUMMYFUNCTION("""COMPUTED_VALUE"""),17.0)</f>
        <v>17</v>
      </c>
      <c r="C687" s="6" t="str">
        <f>IFERROR(__xludf.DUMMYFUNCTION("""COMPUTED_VALUE"""),"Sara")</f>
        <v>Sara</v>
      </c>
      <c r="D687" s="6"/>
      <c r="E687" s="6" t="str">
        <f>IFERROR(__xludf.DUMMYFUNCTION("""COMPUTED_VALUE"""),"Gaspar Giraldo")</f>
        <v>Gaspar Giraldo</v>
      </c>
      <c r="F687" s="6" t="str">
        <f>IFERROR(__xludf.DUMMYFUNCTION("""COMPUTED_VALUE"""),"Calle 5 Nte No20 - 29")</f>
        <v>Calle 5 Nte No20 - 29</v>
      </c>
      <c r="G687" s="12" t="str">
        <f>IFERROR(__xludf.DUMMYFUNCTION("""COMPUTED_VALUE"""),"2010")</f>
        <v>2010</v>
      </c>
      <c r="H687" s="6" t="str">
        <f>IFERROR(__xludf.DUMMYFUNCTION("""COMPUTED_VALUE"""),"Noviembre")</f>
        <v>Noviembre</v>
      </c>
      <c r="I687" s="12" t="str">
        <f>IFERROR(__xludf.DUMMYFUNCTION("""COMPUTED_VALUE"""),"16")</f>
        <v>16</v>
      </c>
      <c r="J687" s="6" t="str">
        <f>IFERROR(__xludf.DUMMYFUNCTION("""COMPUTED_VALUE"""),"Armenia")</f>
        <v>Armenia</v>
      </c>
      <c r="K687" s="6" t="str">
        <f>IFERROR(__xludf.DUMMYFUNCTION("""COMPUTED_VALUE"""),"sarag.g2029@gi.edu.co")</f>
        <v>sarag.g2029@gi.edu.co</v>
      </c>
      <c r="L687" s="6" t="str">
        <f>IFERROR(__xludf.DUMMYFUNCTION("""COMPUTED_VALUE"""),"RC")</f>
        <v>RC</v>
      </c>
      <c r="M687" s="6" t="str">
        <f>IFERROR(__xludf.DUMMYFUNCTION("""COMPUTED_VALUE"""),"Armenia")</f>
        <v>Armenia</v>
      </c>
      <c r="N687" s="6" t="str">
        <f>IFERROR(__xludf.DUMMYFUNCTION("""COMPUTED_VALUE"""),"F")</f>
        <v>F</v>
      </c>
      <c r="O687" s="6" t="str">
        <f>IFERROR(__xludf.DUMMYFUNCTION("""COMPUTED_VALUE"""),"INACTIVE")</f>
        <v>INACTIVE</v>
      </c>
      <c r="P687" s="6"/>
      <c r="Q687" s="6" t="str">
        <f>IFERROR(__xludf.DUMMYFUNCTION("""COMPUTED_VALUE"""),"Armenia")</f>
        <v>Armenia</v>
      </c>
      <c r="R687" s="12" t="str">
        <f>IFERROR(__xludf.DUMMYFUNCTION("""COMPUTED_VALUE"""),"Giskaj8abd*")</f>
        <v>Giskaj8abd*</v>
      </c>
      <c r="S687" s="6" t="str">
        <f>IFERROR(__xludf.DUMMYFUNCTION("""COMPUTED_VALUE"""),"Gaspar Giraldo Sara ")</f>
        <v>Gaspar Giraldo Sara </v>
      </c>
      <c r="T687" s="6" t="str">
        <f>IFERROR(__xludf.DUMMYFUNCTION("""COMPUTED_VALUE"""),"EDUARDO GASPAR IJAJI")</f>
        <v>EDUARDO GASPAR IJAJI</v>
      </c>
      <c r="U687" s="12" t="str">
        <f>IFERROR(__xludf.DUMMYFUNCTION("""COMPUTED_VALUE"""),"89007238")</f>
        <v>89007238</v>
      </c>
      <c r="V687" s="6">
        <f>IFERROR(__xludf.DUMMYFUNCTION("""COMPUTED_VALUE"""),3.113897324E9)</f>
        <v>3113897324</v>
      </c>
      <c r="W687" s="6" t="str">
        <f>IFERROR(__xludf.DUMMYFUNCTION("""COMPUTED_VALUE"""),"eduardogaspar976@gmail.com")</f>
        <v>eduardogaspar976@gmail.com</v>
      </c>
      <c r="X687" s="12" t="str">
        <f>IFERROR(__xludf.DUMMYFUNCTION("""COMPUTED_VALUE"""),"O+")</f>
        <v>O+</v>
      </c>
      <c r="Y687" s="12" t="str">
        <f>IFERROR(__xludf.DUMMYFUNCTION("""COMPUTED_VALUE"""),"10")</f>
        <v>10</v>
      </c>
      <c r="Z687" s="12">
        <f>IFERROR(__xludf.DUMMYFUNCTION("""COMPUTED_VALUE"""),103308.0)</f>
        <v>103308</v>
      </c>
      <c r="AA687" s="6" t="str">
        <f>IFERROR(__xludf.DUMMYFUNCTION("""COMPUTED_VALUE"""),"SANITAS")</f>
        <v>SANITAS</v>
      </c>
      <c r="AB687" s="6" t="str">
        <f>IFERROR(__xludf.DUMMYFUNCTION("""COMPUTED_VALUE"""),"Clínica Sagrada Familia")</f>
        <v>Clínica Sagrada Familia</v>
      </c>
      <c r="AC687" s="6"/>
      <c r="AD687" s="12" t="str">
        <f>IFERROR(__xludf.DUMMYFUNCTION("""COMPUTED_VALUE"""),"10A")</f>
        <v>10A</v>
      </c>
      <c r="AE687" s="12">
        <f>IFERROR(__xludf.DUMMYFUNCTION("""COMPUTED_VALUE"""),1.345281624E9)</f>
        <v>1345281624</v>
      </c>
      <c r="AF687" s="12" t="str">
        <f>IFERROR(__xludf.DUMMYFUNCTION("""COMPUTED_VALUE"""),"0667035347")</f>
        <v>0667035347</v>
      </c>
      <c r="AG687" s="12" t="str">
        <f>IFERROR(__xludf.DUMMYFUNCTION("""COMPUTED_VALUE"""),"Paula")</f>
        <v>Paula</v>
      </c>
      <c r="AH687" s="12" t="str">
        <f>IFERROR(__xludf.DUMMYFUNCTION("""COMPUTED_VALUE"""),"Andrea")</f>
        <v>Andrea</v>
      </c>
      <c r="AI687" s="6" t="str">
        <f>IFERROR(__xludf.DUMMYFUNCTION("""COMPUTED_VALUE"""),"Giraldo Vásquez")</f>
        <v>Giraldo Vásquez</v>
      </c>
      <c r="AJ687" s="6" t="str">
        <f>IFERROR(__xludf.DUMMYFUNCTION("""COMPUTED_VALUE"""),"paulaandreag019@gmail.com")</f>
        <v>paulaandreag019@gmail.com</v>
      </c>
      <c r="AK687" s="6" t="str">
        <f>IFERROR(__xludf.DUMMYFUNCTION("""COMPUTED_VALUE"""),"Administradora de Empresa")</f>
        <v>Administradora de Empresa</v>
      </c>
      <c r="AL687" s="6" t="str">
        <f>IFERROR(__xludf.DUMMYFUNCTION("""COMPUTED_VALUE"""),"Tienda Cache")</f>
        <v>Tienda Cache</v>
      </c>
      <c r="AM687" s="12" t="str">
        <f>IFERROR(__xludf.DUMMYFUNCTION("""COMPUTED_VALUE"""),"41939796")</f>
        <v>41939796</v>
      </c>
      <c r="AN687" s="12" t="str">
        <f>IFERROR(__xludf.DUMMYFUNCTION("""COMPUTED_VALUE"""),"3155793824")</f>
        <v>3155793824</v>
      </c>
      <c r="AO687" s="6" t="str">
        <f>IFERROR(__xludf.DUMMYFUNCTION("""COMPUTED_VALUE"""),"Madre")</f>
        <v>Madre</v>
      </c>
      <c r="AP687" s="6" t="str">
        <f>IFERROR(__xludf.DUMMYFUNCTION("""COMPUTED_VALUE"""),"Estudiante(s): Gaspar Giraldo")</f>
        <v>Estudiante(s): Gaspar Giraldo</v>
      </c>
      <c r="AQ687" s="6" t="str">
        <f>IFERROR(__xludf.DUMMYFUNCTION("""COMPUTED_VALUE"""),"103308*Gi")</f>
        <v>103308*Gi</v>
      </c>
      <c r="AR687" s="6" t="str">
        <f>IFERROR(__xludf.DUMMYFUNCTION("""COMPUTED_VALUE"""),"Eduardo")</f>
        <v>Eduardo</v>
      </c>
      <c r="AS687" s="6"/>
      <c r="AT687" s="6" t="str">
        <f>IFERROR(__xludf.DUMMYFUNCTION("""COMPUTED_VALUE"""),"Gaspar Ijaji")</f>
        <v>Gaspar Ijaji</v>
      </c>
      <c r="AU687" s="6" t="str">
        <f>IFERROR(__xludf.DUMMYFUNCTION("""COMPUTED_VALUE"""),"eduardogaspar976@gmail.com")</f>
        <v>eduardogaspar976@gmail.com</v>
      </c>
      <c r="AV687" s="6" t="str">
        <f>IFERROR(__xludf.DUMMYFUNCTION("""COMPUTED_VALUE"""),"Administracion de Empresa")</f>
        <v>Administracion de Empresa</v>
      </c>
      <c r="AW687" s="6"/>
      <c r="AX687" s="12" t="str">
        <f>IFERROR(__xludf.DUMMYFUNCTION("""COMPUTED_VALUE"""),"89007238")</f>
        <v>89007238</v>
      </c>
      <c r="AY687" s="12" t="str">
        <f>IFERROR(__xludf.DUMMYFUNCTION("""COMPUTED_VALUE"""),"3113897324")</f>
        <v>3113897324</v>
      </c>
      <c r="AZ687" s="6" t="str">
        <f>IFERROR(__xludf.DUMMYFUNCTION("""COMPUTED_VALUE"""),"Padre")</f>
        <v>Padre</v>
      </c>
      <c r="BA687" s="6"/>
      <c r="BB687" s="6"/>
      <c r="BC687" s="6"/>
      <c r="BD687" s="12" t="str">
        <f>IFERROR(__xludf.DUMMYFUNCTION("""COMPUTED_VALUE"""),"gas0001")</f>
        <v>gas0001</v>
      </c>
      <c r="BE687" s="6" t="str">
        <f>IFERROR(__xludf.DUMMYFUNCTION("""COMPUTED_VALUE"""),"FALTAN FIRMAS")</f>
        <v>FALTAN FIRMAS</v>
      </c>
      <c r="BF687" s="6"/>
      <c r="BG687" s="6">
        <f>IFERROR(__xludf.DUMMYFUNCTION("""COMPUTED_VALUE"""),2029.0)</f>
        <v>2029</v>
      </c>
      <c r="BH687" s="15">
        <f>IFERROR(__xludf.DUMMYFUNCTION("""COMPUTED_VALUE"""),46238.75201388889)</f>
        <v>46238.75201</v>
      </c>
      <c r="BI687" s="6">
        <f>IFERROR(__xludf.DUMMYFUNCTION("""COMPUTED_VALUE"""),688.0)</f>
        <v>688</v>
      </c>
      <c r="BJ687" s="6"/>
      <c r="BK687" s="6"/>
      <c r="BL687" s="6" t="str">
        <f>IFERROR(__xludf.DUMMYFUNCTION("""COMPUTED_VALUE"""),"GISGAS0001")</f>
        <v>GISGAS0001</v>
      </c>
      <c r="BM687" s="6"/>
      <c r="BN687" s="6"/>
      <c r="BO687" s="6"/>
      <c r="BP687" s="6"/>
      <c r="BQ687" s="6"/>
      <c r="BR687" s="6"/>
      <c r="BS687" s="6"/>
      <c r="BT687" s="6"/>
      <c r="BU687" s="6" t="str">
        <f>IFERROR(__xludf.DUMMYFUNCTION("""COMPUTED_VALUE"""),"SI")</f>
        <v>SI</v>
      </c>
      <c r="BV687" s="6" t="str">
        <f>IFERROR(__xludf.DUMMYFUNCTION("""COMPUTED_VALUE"""),"sarag.g2029")</f>
        <v>sarag.g2029</v>
      </c>
      <c r="BW687" s="6"/>
      <c r="BX687" s="6"/>
      <c r="BY687" s="6"/>
      <c r="BZ687" s="6"/>
    </row>
    <row r="688">
      <c r="A688" s="12">
        <f>IFERROR(__xludf.DUMMYFUNCTION("""COMPUTED_VALUE"""),1.014879912E9)</f>
        <v>1014879912</v>
      </c>
      <c r="B688" s="6">
        <f>IFERROR(__xludf.DUMMYFUNCTION("""COMPUTED_VALUE"""),18.0)</f>
        <v>18</v>
      </c>
      <c r="C688" s="6" t="str">
        <f>IFERROR(__xludf.DUMMYFUNCTION("""COMPUTED_VALUE"""),"Nicolás")</f>
        <v>Nicolás</v>
      </c>
      <c r="D688" s="6"/>
      <c r="E688" s="6" t="str">
        <f>IFERROR(__xludf.DUMMYFUNCTION("""COMPUTED_VALUE"""),"Gil Botero")</f>
        <v>Gil Botero</v>
      </c>
      <c r="F688" s="6" t="str">
        <f>IFERROR(__xludf.DUMMYFUNCTION("""COMPUTED_VALUE"""),"Conjunto Hacienda El Cabrero - Km 9 Via Armenia-La Tebaida")</f>
        <v>Conjunto Hacienda El Cabrero - Km 9 Via Armenia-La Tebaida</v>
      </c>
      <c r="G688" s="12" t="str">
        <f>IFERROR(__xludf.DUMMYFUNCTION("""COMPUTED_VALUE"""),"2011")</f>
        <v>2011</v>
      </c>
      <c r="H688" s="6" t="str">
        <f>IFERROR(__xludf.DUMMYFUNCTION("""COMPUTED_VALUE"""),"Agosto")</f>
        <v>Agosto</v>
      </c>
      <c r="I688" s="12" t="str">
        <f>IFERROR(__xludf.DUMMYFUNCTION("""COMPUTED_VALUE"""),"12")</f>
        <v>12</v>
      </c>
      <c r="J688" s="6" t="str">
        <f>IFERROR(__xludf.DUMMYFUNCTION("""COMPUTED_VALUE"""),"Bogotá D.C.")</f>
        <v>Bogotá D.C.</v>
      </c>
      <c r="K688" s="6" t="str">
        <f>IFERROR(__xludf.DUMMYFUNCTION("""COMPUTED_VALUE"""),"nicolas.g2029@gi.edu.co")</f>
        <v>nicolas.g2029@gi.edu.co</v>
      </c>
      <c r="L688" s="6" t="str">
        <f>IFERROR(__xludf.DUMMYFUNCTION("""COMPUTED_VALUE"""),"TI")</f>
        <v>TI</v>
      </c>
      <c r="M688" s="6" t="str">
        <f>IFERROR(__xludf.DUMMYFUNCTION("""COMPUTED_VALUE"""),"Armenia")</f>
        <v>Armenia</v>
      </c>
      <c r="N688" s="6" t="str">
        <f>IFERROR(__xludf.DUMMYFUNCTION("""COMPUTED_VALUE"""),"M")</f>
        <v>M</v>
      </c>
      <c r="O688" s="6" t="str">
        <f>IFERROR(__xludf.DUMMYFUNCTION("""COMPUTED_VALUE"""),"ACTIVE")</f>
        <v>ACTIVE</v>
      </c>
      <c r="P688" s="6"/>
      <c r="Q688" s="6" t="str">
        <f>IFERROR(__xludf.DUMMYFUNCTION("""COMPUTED_VALUE"""),"Armenia")</f>
        <v>Armenia</v>
      </c>
      <c r="R688" s="12" t="str">
        <f>IFERROR(__xludf.DUMMYFUNCTION("""COMPUTED_VALUE"""),"Gi76rt45ee*")</f>
        <v>Gi76rt45ee*</v>
      </c>
      <c r="S688" s="6" t="str">
        <f>IFERROR(__xludf.DUMMYFUNCTION("""COMPUTED_VALUE"""),"Gil Botero Nicolás ")</f>
        <v>Gil Botero Nicolás </v>
      </c>
      <c r="T688" s="6" t="str">
        <f>IFERROR(__xludf.DUMMYFUNCTION("""COMPUTED_VALUE"""),"STEFANÍA BOTERO MEJÍA")</f>
        <v>STEFANÍA BOTERO MEJÍA</v>
      </c>
      <c r="U688" s="12" t="str">
        <f>IFERROR(__xludf.DUMMYFUNCTION("""COMPUTED_VALUE"""),"41948164")</f>
        <v>41948164</v>
      </c>
      <c r="V688" s="6">
        <f>IFERROR(__xludf.DUMMYFUNCTION("""COMPUTED_VALUE"""),3.163432326E9)</f>
        <v>3163432326</v>
      </c>
      <c r="W688" s="6" t="str">
        <f>IFERROR(__xludf.DUMMYFUNCTION("""COMPUTED_VALUE"""),"stefania_ibg@hotmail.com")</f>
        <v>stefania_ibg@hotmail.com</v>
      </c>
      <c r="X688" s="12" t="str">
        <f>IFERROR(__xludf.DUMMYFUNCTION("""COMPUTED_VALUE"""),"O+")</f>
        <v>O+</v>
      </c>
      <c r="Y688" s="12" t="str">
        <f>IFERROR(__xludf.DUMMYFUNCTION("""COMPUTED_VALUE"""),"10")</f>
        <v>10</v>
      </c>
      <c r="Z688" s="12">
        <f>IFERROR(__xludf.DUMMYFUNCTION("""COMPUTED_VALUE"""),103275.0)</f>
        <v>103275</v>
      </c>
      <c r="AA688" s="6" t="str">
        <f>IFERROR(__xludf.DUMMYFUNCTION("""COMPUTED_VALUE"""),"SANITAS")</f>
        <v>SANITAS</v>
      </c>
      <c r="AB688" s="6" t="str">
        <f>IFERROR(__xludf.DUMMYFUNCTION("""COMPUTED_VALUE"""),"EMI")</f>
        <v>EMI</v>
      </c>
      <c r="AC688" s="6"/>
      <c r="AD688" s="12" t="str">
        <f>IFERROR(__xludf.DUMMYFUNCTION("""COMPUTED_VALUE"""),"10B")</f>
        <v>10B</v>
      </c>
      <c r="AE688" s="12">
        <f>IFERROR(__xludf.DUMMYFUNCTION("""COMPUTED_VALUE"""),1.345281604E9)</f>
        <v>1345281604</v>
      </c>
      <c r="AF688" s="12" t="str">
        <f>IFERROR(__xludf.DUMMYFUNCTION("""COMPUTED_VALUE"""),"0692823955")</f>
        <v>0692823955</v>
      </c>
      <c r="AG688" s="12" t="str">
        <f>IFERROR(__xludf.DUMMYFUNCTION("""COMPUTED_VALUE"""),"Stefanía")</f>
        <v>Stefanía</v>
      </c>
      <c r="AH688" s="6"/>
      <c r="AI688" s="6" t="str">
        <f>IFERROR(__xludf.DUMMYFUNCTION("""COMPUTED_VALUE"""),"Botero Mejía")</f>
        <v>Botero Mejía</v>
      </c>
      <c r="AJ688" s="6" t="str">
        <f>IFERROR(__xludf.DUMMYFUNCTION("""COMPUTED_VALUE"""),"boterostefania@gmail.com")</f>
        <v>boterostefania@gmail.com</v>
      </c>
      <c r="AK688" s="6" t="str">
        <f>IFERROR(__xludf.DUMMYFUNCTION("""COMPUTED_VALUE"""),"Abogada")</f>
        <v>Abogada</v>
      </c>
      <c r="AL688" s="6" t="str">
        <f>IFERROR(__xludf.DUMMYFUNCTION("""COMPUTED_VALUE"""),"Ibg")</f>
        <v>Ibg</v>
      </c>
      <c r="AM688" s="12">
        <f>IFERROR(__xludf.DUMMYFUNCTION("""COMPUTED_VALUE"""),4.1948164E7)</f>
        <v>41948164</v>
      </c>
      <c r="AN688" s="12" t="str">
        <f>IFERROR(__xludf.DUMMYFUNCTION("""COMPUTED_VALUE"""),"3163432326")</f>
        <v>3163432326</v>
      </c>
      <c r="AO688" s="6" t="str">
        <f>IFERROR(__xludf.DUMMYFUNCTION("""COMPUTED_VALUE"""),"Madre")</f>
        <v>Madre</v>
      </c>
      <c r="AP688" s="6" t="str">
        <f>IFERROR(__xludf.DUMMYFUNCTION("""COMPUTED_VALUE"""),"Estudiante(s): Gil Botero")</f>
        <v>Estudiante(s): Gil Botero</v>
      </c>
      <c r="AQ688" s="6" t="str">
        <f>IFERROR(__xludf.DUMMYFUNCTION("""COMPUTED_VALUE"""),"103275*Gi")</f>
        <v>103275*Gi</v>
      </c>
      <c r="AR688" s="6" t="str">
        <f>IFERROR(__xludf.DUMMYFUNCTION("""COMPUTED_VALUE"""),"Juan")</f>
        <v>Juan</v>
      </c>
      <c r="AS688" s="6" t="str">
        <f>IFERROR(__xludf.DUMMYFUNCTION("""COMPUTED_VALUE"""),"Carlos")</f>
        <v>Carlos</v>
      </c>
      <c r="AT688" s="6" t="str">
        <f>IFERROR(__xludf.DUMMYFUNCTION("""COMPUTED_VALUE"""),"Gil Quintero")</f>
        <v>Gil Quintero</v>
      </c>
      <c r="AU688" s="6" t="str">
        <f>IFERROR(__xludf.DUMMYFUNCTION("""COMPUTED_VALUE"""),"juangil888@hotmail.com")</f>
        <v>juangil888@hotmail.com</v>
      </c>
      <c r="AV688" s="6"/>
      <c r="AW688" s="6"/>
      <c r="AX688" s="12">
        <f>IFERROR(__xludf.DUMMYFUNCTION("""COMPUTED_VALUE"""),7553324.0)</f>
        <v>7553324</v>
      </c>
      <c r="AY688" s="12" t="str">
        <f>IFERROR(__xludf.DUMMYFUNCTION("""COMPUTED_VALUE"""),"3154853047")</f>
        <v>3154853047</v>
      </c>
      <c r="AZ688" s="6" t="str">
        <f>IFERROR(__xludf.DUMMYFUNCTION("""COMPUTED_VALUE"""),"Padre")</f>
        <v>Padre</v>
      </c>
      <c r="BA688" s="6"/>
      <c r="BB688" s="6"/>
      <c r="BC688" s="6"/>
      <c r="BD688" s="12" t="str">
        <f>IFERROR(__xludf.DUMMYFUNCTION("""COMPUTED_VALUE"""),"gil0002")</f>
        <v>gil0002</v>
      </c>
      <c r="BE688" s="6"/>
      <c r="BF688" s="6"/>
      <c r="BG688" s="6">
        <f>IFERROR(__xludf.DUMMYFUNCTION("""COMPUTED_VALUE"""),2029.0)</f>
        <v>2029</v>
      </c>
      <c r="BH688" s="15">
        <f>IFERROR(__xludf.DUMMYFUNCTION("""COMPUTED_VALUE"""),46209.48743055556)</f>
        <v>46209.48743</v>
      </c>
      <c r="BI688" s="6">
        <f>IFERROR(__xludf.DUMMYFUNCTION("""COMPUTED_VALUE"""),689.0)</f>
        <v>689</v>
      </c>
      <c r="BJ688" s="6"/>
      <c r="BK688" s="6"/>
      <c r="BL688" s="6" t="str">
        <f>IFERROR(__xludf.DUMMYFUNCTION("""COMPUTED_VALUE"""),"GISGIL0002")</f>
        <v>GISGIL0002</v>
      </c>
      <c r="BM688" s="6"/>
      <c r="BN688" s="6"/>
      <c r="BO688" s="6"/>
      <c r="BP688" s="6"/>
      <c r="BQ688" s="6"/>
      <c r="BR688" s="6"/>
      <c r="BS688" s="6"/>
      <c r="BT688" s="6"/>
      <c r="BU688" s="6" t="str">
        <f>IFERROR(__xludf.DUMMYFUNCTION("""COMPUTED_VALUE"""),"SI")</f>
        <v>SI</v>
      </c>
      <c r="BV688" s="6" t="str">
        <f>IFERROR(__xludf.DUMMYFUNCTION("""COMPUTED_VALUE"""),"nicolas.g2029")</f>
        <v>nicolas.g2029</v>
      </c>
      <c r="BW688" s="6"/>
      <c r="BX688" s="6"/>
      <c r="BY688" s="6"/>
      <c r="BZ688" s="6"/>
    </row>
    <row r="689">
      <c r="A689" s="12">
        <f>IFERROR(__xludf.DUMMYFUNCTION("""COMPUTED_VALUE"""),1.030100479E9)</f>
        <v>1030100479</v>
      </c>
      <c r="B689" s="6">
        <f>IFERROR(__xludf.DUMMYFUNCTION("""COMPUTED_VALUE"""),19.0)</f>
        <v>19</v>
      </c>
      <c r="C689" s="6" t="str">
        <f>IFERROR(__xludf.DUMMYFUNCTION("""COMPUTED_VALUE"""),"Tomás")</f>
        <v>Tomás</v>
      </c>
      <c r="D689" s="6"/>
      <c r="E689" s="6" t="str">
        <f>IFERROR(__xludf.DUMMYFUNCTION("""COMPUTED_VALUE"""),"Giraldo Cortés")</f>
        <v>Giraldo Cortés</v>
      </c>
      <c r="F689" s="6" t="str">
        <f>IFERROR(__xludf.DUMMYFUNCTION("""COMPUTED_VALUE"""),"Condominio Reserva de la Sabana Casa 50 - Calle 24Nte No5 - 07 Av Centenario")</f>
        <v>Condominio Reserva de la Sabana Casa 50 - Calle 24Nte No5 - 07 Av Centenario</v>
      </c>
      <c r="G689" s="12" t="str">
        <f>IFERROR(__xludf.DUMMYFUNCTION("""COMPUTED_VALUE"""),"2010")</f>
        <v>2010</v>
      </c>
      <c r="H689" s="6" t="str">
        <f>IFERROR(__xludf.DUMMYFUNCTION("""COMPUTED_VALUE"""),"Mayo")</f>
        <v>Mayo</v>
      </c>
      <c r="I689" s="12" t="str">
        <f>IFERROR(__xludf.DUMMYFUNCTION("""COMPUTED_VALUE"""),"18")</f>
        <v>18</v>
      </c>
      <c r="J689" s="6" t="str">
        <f>IFERROR(__xludf.DUMMYFUNCTION("""COMPUTED_VALUE"""),"Armenia")</f>
        <v>Armenia</v>
      </c>
      <c r="K689" s="6" t="str">
        <f>IFERROR(__xludf.DUMMYFUNCTION("""COMPUTED_VALUE"""),"tomas.g2029@gi.edu.co")</f>
        <v>tomas.g2029@gi.edu.co</v>
      </c>
      <c r="L689" s="6" t="str">
        <f>IFERROR(__xludf.DUMMYFUNCTION("""COMPUTED_VALUE"""),"TI")</f>
        <v>TI</v>
      </c>
      <c r="M689" s="6" t="str">
        <f>IFERROR(__xludf.DUMMYFUNCTION("""COMPUTED_VALUE"""),"Armenia")</f>
        <v>Armenia</v>
      </c>
      <c r="N689" s="6" t="str">
        <f>IFERROR(__xludf.DUMMYFUNCTION("""COMPUTED_VALUE"""),"M")</f>
        <v>M</v>
      </c>
      <c r="O689" s="6" t="str">
        <f>IFERROR(__xludf.DUMMYFUNCTION("""COMPUTED_VALUE"""),"ACTIVE")</f>
        <v>ACTIVE</v>
      </c>
      <c r="P689" s="6"/>
      <c r="Q689" s="6" t="str">
        <f>IFERROR(__xludf.DUMMYFUNCTION("""COMPUTED_VALUE"""),"Armenia")</f>
        <v>Armenia</v>
      </c>
      <c r="R689" s="12" t="str">
        <f>IFERROR(__xludf.DUMMYFUNCTION("""COMPUTED_VALUE"""),"Gijkfsdk81*")</f>
        <v>Gijkfsdk81*</v>
      </c>
      <c r="S689" s="6" t="str">
        <f>IFERROR(__xludf.DUMMYFUNCTION("""COMPUTED_VALUE"""),"Giraldo Cortés Tomás ")</f>
        <v>Giraldo Cortés Tomás </v>
      </c>
      <c r="T689" s="6" t="str">
        <f>IFERROR(__xludf.DUMMYFUNCTION("""COMPUTED_VALUE"""),"ANDRES JIOVANNY GIRALDO VARGAS")</f>
        <v>ANDRES JIOVANNY GIRALDO VARGAS</v>
      </c>
      <c r="U689" s="12" t="str">
        <f>IFERROR(__xludf.DUMMYFUNCTION("""COMPUTED_VALUE"""),"89000859")</f>
        <v>89000859</v>
      </c>
      <c r="V689" s="6">
        <f>IFERROR(__xludf.DUMMYFUNCTION("""COMPUTED_VALUE"""),3.187068773E9)</f>
        <v>3187068773</v>
      </c>
      <c r="W689" s="6" t="str">
        <f>IFERROR(__xludf.DUMMYFUNCTION("""COMPUTED_VALUE"""),"gerenciasupertintas@gmail.com")</f>
        <v>gerenciasupertintas@gmail.com</v>
      </c>
      <c r="X689" s="12" t="str">
        <f>IFERROR(__xludf.DUMMYFUNCTION("""COMPUTED_VALUE"""),"O+")</f>
        <v>O+</v>
      </c>
      <c r="Y689" s="12" t="str">
        <f>IFERROR(__xludf.DUMMYFUNCTION("""COMPUTED_VALUE"""),"10")</f>
        <v>10</v>
      </c>
      <c r="Z689" s="12">
        <f>IFERROR(__xludf.DUMMYFUNCTION("""COMPUTED_VALUE"""),103739.0)</f>
        <v>103739</v>
      </c>
      <c r="AA689" s="6" t="str">
        <f>IFERROR(__xludf.DUMMYFUNCTION("""COMPUTED_VALUE"""),"SURA")</f>
        <v>SURA</v>
      </c>
      <c r="AB689" s="6" t="str">
        <f>IFERROR(__xludf.DUMMYFUNCTION("""COMPUTED_VALUE"""),"EMI")</f>
        <v>EMI</v>
      </c>
      <c r="AC689" s="6"/>
      <c r="AD689" s="12" t="str">
        <f>IFERROR(__xludf.DUMMYFUNCTION("""COMPUTED_VALUE"""),"10B")</f>
        <v>10B</v>
      </c>
      <c r="AE689" s="12">
        <f>IFERROR(__xludf.DUMMYFUNCTION("""COMPUTED_VALUE"""),1.345281861E9)</f>
        <v>1345281861</v>
      </c>
      <c r="AF689" s="12" t="str">
        <f>IFERROR(__xludf.DUMMYFUNCTION("""COMPUTED_VALUE"""),"0694489027")</f>
        <v>0694489027</v>
      </c>
      <c r="AG689" s="12" t="str">
        <f>IFERROR(__xludf.DUMMYFUNCTION("""COMPUTED_VALUE"""),"Carolina")</f>
        <v>Carolina</v>
      </c>
      <c r="AH689" s="6"/>
      <c r="AI689" s="6" t="str">
        <f>IFERROR(__xludf.DUMMYFUNCTION("""COMPUTED_VALUE"""),"Cortés Hoyos")</f>
        <v>Cortés Hoyos</v>
      </c>
      <c r="AJ689" s="6" t="str">
        <f>IFERROR(__xludf.DUMMYFUNCTION("""COMPUTED_VALUE"""),"gerenciatecnoenter@gmail.com")</f>
        <v>gerenciatecnoenter@gmail.com</v>
      </c>
      <c r="AK689" s="6" t="str">
        <f>IFERROR(__xludf.DUMMYFUNCTION("""COMPUTED_VALUE"""),"Ingeniera Industrial")</f>
        <v>Ingeniera Industrial</v>
      </c>
      <c r="AL689" s="6" t="str">
        <f>IFERROR(__xludf.DUMMYFUNCTION("""COMPUTED_VALUE"""),"SUPERTINTAS Y SUMINISTROS SAS")</f>
        <v>SUPERTINTAS Y SUMINISTROS SAS</v>
      </c>
      <c r="AM689" s="12" t="str">
        <f>IFERROR(__xludf.DUMMYFUNCTION("""COMPUTED_VALUE"""),"41946688")</f>
        <v>41946688</v>
      </c>
      <c r="AN689" s="12" t="str">
        <f>IFERROR(__xludf.DUMMYFUNCTION("""COMPUTED_VALUE"""),"3176684037")</f>
        <v>3176684037</v>
      </c>
      <c r="AO689" s="6" t="str">
        <f>IFERROR(__xludf.DUMMYFUNCTION("""COMPUTED_VALUE"""),"Madre")</f>
        <v>Madre</v>
      </c>
      <c r="AP689" s="6" t="str">
        <f>IFERROR(__xludf.DUMMYFUNCTION("""COMPUTED_VALUE"""),"Estudiante(s): Giraldo Cortés")</f>
        <v>Estudiante(s): Giraldo Cortés</v>
      </c>
      <c r="AQ689" s="6" t="str">
        <f>IFERROR(__xludf.DUMMYFUNCTION("""COMPUTED_VALUE"""),"103739*Gi")</f>
        <v>103739*Gi</v>
      </c>
      <c r="AR689" s="6" t="str">
        <f>IFERROR(__xludf.DUMMYFUNCTION("""COMPUTED_VALUE"""),"Andrés")</f>
        <v>Andrés</v>
      </c>
      <c r="AS689" s="6" t="str">
        <f>IFERROR(__xludf.DUMMYFUNCTION("""COMPUTED_VALUE"""),"Jiovanny")</f>
        <v>Jiovanny</v>
      </c>
      <c r="AT689" s="6" t="str">
        <f>IFERROR(__xludf.DUMMYFUNCTION("""COMPUTED_VALUE"""),"Giraldo Vargas")</f>
        <v>Giraldo Vargas</v>
      </c>
      <c r="AU689" s="6" t="str">
        <f>IFERROR(__xludf.DUMMYFUNCTION("""COMPUTED_VALUE"""),"gerenciatecnoenter@gmail.com")</f>
        <v>gerenciatecnoenter@gmail.com</v>
      </c>
      <c r="AV689" s="6" t="str">
        <f>IFERROR(__xludf.DUMMYFUNCTION("""COMPUTED_VALUE"""),"Ingeniero Sistemas")</f>
        <v>Ingeniero Sistemas</v>
      </c>
      <c r="AW689" s="6" t="str">
        <f>IFERROR(__xludf.DUMMYFUNCTION("""COMPUTED_VALUE"""),"SEVEN S.A.S.")</f>
        <v>SEVEN S.A.S.</v>
      </c>
      <c r="AX689" s="12" t="str">
        <f>IFERROR(__xludf.DUMMYFUNCTION("""COMPUTED_VALUE"""),"89000859")</f>
        <v>89000859</v>
      </c>
      <c r="AY689" s="12" t="str">
        <f>IFERROR(__xludf.DUMMYFUNCTION("""COMPUTED_VALUE"""),"3187068773")</f>
        <v>3187068773</v>
      </c>
      <c r="AZ689" s="6" t="str">
        <f>IFERROR(__xludf.DUMMYFUNCTION("""COMPUTED_VALUE"""),"Padre")</f>
        <v>Padre</v>
      </c>
      <c r="BA689" s="6"/>
      <c r="BB689" s="6"/>
      <c r="BC689" s="6"/>
      <c r="BD689" s="12" t="str">
        <f>IFERROR(__xludf.DUMMYFUNCTION("""COMPUTED_VALUE"""),"gir0011")</f>
        <v>gir0011</v>
      </c>
      <c r="BE689" s="6"/>
      <c r="BF689" s="6"/>
      <c r="BG689" s="6">
        <f>IFERROR(__xludf.DUMMYFUNCTION("""COMPUTED_VALUE"""),2029.0)</f>
        <v>2029</v>
      </c>
      <c r="BH689" s="15">
        <f>IFERROR(__xludf.DUMMYFUNCTION("""COMPUTED_VALUE"""),46211.952060185184)</f>
        <v>46211.95206</v>
      </c>
      <c r="BI689" s="6">
        <f>IFERROR(__xludf.DUMMYFUNCTION("""COMPUTED_VALUE"""),690.0)</f>
        <v>690</v>
      </c>
      <c r="BJ689" s="6"/>
      <c r="BK689" s="6"/>
      <c r="BL689" s="6" t="str">
        <f>IFERROR(__xludf.DUMMYFUNCTION("""COMPUTED_VALUE"""),"GISGIR0011")</f>
        <v>GISGIR0011</v>
      </c>
      <c r="BM689" s="6"/>
      <c r="BN689" s="6"/>
      <c r="BO689" s="6"/>
      <c r="BP689" s="6"/>
      <c r="BQ689" s="6"/>
      <c r="BR689" s="6"/>
      <c r="BS689" s="6"/>
      <c r="BT689" s="6"/>
      <c r="BU689" s="6" t="str">
        <f>IFERROR(__xludf.DUMMYFUNCTION("""COMPUTED_VALUE"""),"SI")</f>
        <v>SI</v>
      </c>
      <c r="BV689" s="6" t="str">
        <f>IFERROR(__xludf.DUMMYFUNCTION("""COMPUTED_VALUE"""),"tomas.g2029")</f>
        <v>tomas.g2029</v>
      </c>
      <c r="BW689" s="6"/>
      <c r="BX689" s="6"/>
      <c r="BY689" s="6"/>
      <c r="BZ689" s="6"/>
    </row>
    <row r="690">
      <c r="A690" s="12">
        <f>IFERROR(__xludf.DUMMYFUNCTION("""COMPUTED_VALUE"""),1.105380413E9)</f>
        <v>1105380413</v>
      </c>
      <c r="B690" s="6">
        <f>IFERROR(__xludf.DUMMYFUNCTION("""COMPUTED_VALUE"""),20.0)</f>
        <v>20</v>
      </c>
      <c r="C690" s="6" t="str">
        <f>IFERROR(__xludf.DUMMYFUNCTION("""COMPUTED_VALUE"""),"Sara")</f>
        <v>Sara</v>
      </c>
      <c r="D690" s="6"/>
      <c r="E690" s="6" t="str">
        <f>IFERROR(__xludf.DUMMYFUNCTION("""COMPUTED_VALUE"""),"Gómez Gómez")</f>
        <v>Gómez Gómez</v>
      </c>
      <c r="F690" s="6" t="str">
        <f>IFERROR(__xludf.DUMMYFUNCTION("""COMPUTED_VALUE"""),"Condominio Casas de Campo Casa 26 - Calle 23ANte No19 - 47")</f>
        <v>Condominio Casas de Campo Casa 26 - Calle 23ANte No19 - 47</v>
      </c>
      <c r="G690" s="12" t="str">
        <f>IFERROR(__xludf.DUMMYFUNCTION("""COMPUTED_VALUE"""),"2011")</f>
        <v>2011</v>
      </c>
      <c r="H690" s="6" t="str">
        <f>IFERROR(__xludf.DUMMYFUNCTION("""COMPUTED_VALUE"""),"Julio")</f>
        <v>Julio</v>
      </c>
      <c r="I690" s="12" t="str">
        <f>IFERROR(__xludf.DUMMYFUNCTION("""COMPUTED_VALUE"""),"11")</f>
        <v>11</v>
      </c>
      <c r="J690" s="6" t="str">
        <f>IFERROR(__xludf.DUMMYFUNCTION("""COMPUTED_VALUE"""),"Cali")</f>
        <v>Cali</v>
      </c>
      <c r="K690" s="6" t="str">
        <f>IFERROR(__xludf.DUMMYFUNCTION("""COMPUTED_VALUE"""),"sara.g2029@gi.edu.co")</f>
        <v>sara.g2029@gi.edu.co</v>
      </c>
      <c r="L690" s="6" t="str">
        <f>IFERROR(__xludf.DUMMYFUNCTION("""COMPUTED_VALUE"""),"TI")</f>
        <v>TI</v>
      </c>
      <c r="M690" s="6" t="str">
        <f>IFERROR(__xludf.DUMMYFUNCTION("""COMPUTED_VALUE"""),"Armenia")</f>
        <v>Armenia</v>
      </c>
      <c r="N690" s="6" t="str">
        <f>IFERROR(__xludf.DUMMYFUNCTION("""COMPUTED_VALUE"""),"F")</f>
        <v>F</v>
      </c>
      <c r="O690" s="6" t="str">
        <f>IFERROR(__xludf.DUMMYFUNCTION("""COMPUTED_VALUE"""),"ACTIVE")</f>
        <v>ACTIVE</v>
      </c>
      <c r="P690" s="6"/>
      <c r="Q690" s="6" t="str">
        <f>IFERROR(__xludf.DUMMYFUNCTION("""COMPUTED_VALUE"""),"Armenia")</f>
        <v>Armenia</v>
      </c>
      <c r="R690" s="12" t="str">
        <f>IFERROR(__xludf.DUMMYFUNCTION("""COMPUTED_VALUE"""),"Gi9876ytur*")</f>
        <v>Gi9876ytur*</v>
      </c>
      <c r="S690" s="6" t="str">
        <f>IFERROR(__xludf.DUMMYFUNCTION("""COMPUTED_VALUE"""),"Gómez Gómez Sara ")</f>
        <v>Gómez Gómez Sara </v>
      </c>
      <c r="T690" s="6" t="str">
        <f>IFERROR(__xludf.DUMMYFUNCTION("""COMPUTED_VALUE"""),"NELSON ALEXANDER GOMEZ VILLEGAS")</f>
        <v>NELSON ALEXANDER GOMEZ VILLEGAS</v>
      </c>
      <c r="U690" s="12" t="str">
        <f>IFERROR(__xludf.DUMMYFUNCTION("""COMPUTED_VALUE"""),"71784701")</f>
        <v>71784701</v>
      </c>
      <c r="V690" s="6">
        <f>IFERROR(__xludf.DUMMYFUNCTION("""COMPUTED_VALUE"""),3.206935933E9)</f>
        <v>3206935933</v>
      </c>
      <c r="W690" s="6" t="str">
        <f>IFERROR(__xludf.DUMMYFUNCTION("""COMPUTED_VALUE"""),"nelson.gomez@gomvi.com")</f>
        <v>nelson.gomez@gomvi.com</v>
      </c>
      <c r="X690" s="12" t="str">
        <f>IFERROR(__xludf.DUMMYFUNCTION("""COMPUTED_VALUE"""),"A+")</f>
        <v>A+</v>
      </c>
      <c r="Y690" s="12" t="str">
        <f>IFERROR(__xludf.DUMMYFUNCTION("""COMPUTED_VALUE"""),"10")</f>
        <v>10</v>
      </c>
      <c r="Z690" s="12">
        <f>IFERROR(__xludf.DUMMYFUNCTION("""COMPUTED_VALUE"""),103013.0)</f>
        <v>103013</v>
      </c>
      <c r="AA690" s="6" t="str">
        <f>IFERROR(__xludf.DUMMYFUNCTION("""COMPUTED_VALUE"""),"SURA")</f>
        <v>SURA</v>
      </c>
      <c r="AB690" s="6" t="str">
        <f>IFERROR(__xludf.DUMMYFUNCTION("""COMPUTED_VALUE"""),"suramericana")</f>
        <v>suramericana</v>
      </c>
      <c r="AC690" s="12" t="str">
        <f>IFERROR(__xludf.DUMMYFUNCTION("""COMPUTED_VALUE"""),"Polvo - A la yema del huevo blandito")</f>
        <v>Polvo - A la yema del huevo blandito</v>
      </c>
      <c r="AD690" s="12" t="str">
        <f>IFERROR(__xludf.DUMMYFUNCTION("""COMPUTED_VALUE"""),"10A")</f>
        <v>10A</v>
      </c>
      <c r="AE690" s="12">
        <f>IFERROR(__xludf.DUMMYFUNCTION("""COMPUTED_VALUE"""),1.34528146E9)</f>
        <v>1345281460</v>
      </c>
      <c r="AF690" s="12" t="str">
        <f>IFERROR(__xludf.DUMMYFUNCTION("""COMPUTED_VALUE"""),"0673332211")</f>
        <v>0673332211</v>
      </c>
      <c r="AG690" s="12" t="str">
        <f>IFERROR(__xludf.DUMMYFUNCTION("""COMPUTED_VALUE"""),"Angélica")</f>
        <v>Angélica</v>
      </c>
      <c r="AH690" s="12" t="str">
        <f>IFERROR(__xludf.DUMMYFUNCTION("""COMPUTED_VALUE"""),"María")</f>
        <v>María</v>
      </c>
      <c r="AI690" s="6" t="str">
        <f>IFERROR(__xludf.DUMMYFUNCTION("""COMPUTED_VALUE"""),"Gómez Leal")</f>
        <v>Gómez Leal</v>
      </c>
      <c r="AJ690" s="6" t="str">
        <f>IFERROR(__xludf.DUMMYFUNCTION("""COMPUTED_VALUE"""),"angelica.gomvi@gmail.com")</f>
        <v>angelica.gomvi@gmail.com</v>
      </c>
      <c r="AK690" s="6" t="str">
        <f>IFERROR(__xludf.DUMMYFUNCTION("""COMPUTED_VALUE"""),"Comerciante")</f>
        <v>Comerciante</v>
      </c>
      <c r="AL690" s="6" t="str">
        <f>IFERROR(__xludf.DUMMYFUNCTION("""COMPUTED_VALUE"""),"Gomvi Fashion")</f>
        <v>Gomvi Fashion</v>
      </c>
      <c r="AM690" s="12" t="str">
        <f>IFERROR(__xludf.DUMMYFUNCTION("""COMPUTED_VALUE"""),"38793176")</f>
        <v>38793176</v>
      </c>
      <c r="AN690" s="12" t="str">
        <f>IFERROR(__xludf.DUMMYFUNCTION("""COMPUTED_VALUE"""),"3137166445")</f>
        <v>3137166445</v>
      </c>
      <c r="AO690" s="6" t="str">
        <f>IFERROR(__xludf.DUMMYFUNCTION("""COMPUTED_VALUE"""),"Madre")</f>
        <v>Madre</v>
      </c>
      <c r="AP690" s="6" t="str">
        <f>IFERROR(__xludf.DUMMYFUNCTION("""COMPUTED_VALUE"""),"Estudiante(s): Gómez Gómez")</f>
        <v>Estudiante(s): Gómez Gómez</v>
      </c>
      <c r="AQ690" s="6" t="str">
        <f>IFERROR(__xludf.DUMMYFUNCTION("""COMPUTED_VALUE"""),"103013*Gi")</f>
        <v>103013*Gi</v>
      </c>
      <c r="AR690" s="6" t="str">
        <f>IFERROR(__xludf.DUMMYFUNCTION("""COMPUTED_VALUE"""),"Nelson")</f>
        <v>Nelson</v>
      </c>
      <c r="AS690" s="6" t="str">
        <f>IFERROR(__xludf.DUMMYFUNCTION("""COMPUTED_VALUE"""),"Alexander")</f>
        <v>Alexander</v>
      </c>
      <c r="AT690" s="6" t="str">
        <f>IFERROR(__xludf.DUMMYFUNCTION("""COMPUTED_VALUE"""),"Gómez Villegas")</f>
        <v>Gómez Villegas</v>
      </c>
      <c r="AU690" s="6" t="str">
        <f>IFERROR(__xludf.DUMMYFUNCTION("""COMPUTED_VALUE"""),"nelson.gomez@gomvi.com")</f>
        <v>nelson.gomez@gomvi.com</v>
      </c>
      <c r="AV690" s="6" t="str">
        <f>IFERROR(__xludf.DUMMYFUNCTION("""COMPUTED_VALUE"""),"Comerciante")</f>
        <v>Comerciante</v>
      </c>
      <c r="AW690" s="6" t="str">
        <f>IFERROR(__xludf.DUMMYFUNCTION("""COMPUTED_VALUE"""),"Gomvi Company Sas")</f>
        <v>Gomvi Company Sas</v>
      </c>
      <c r="AX690" s="12" t="str">
        <f>IFERROR(__xludf.DUMMYFUNCTION("""COMPUTED_VALUE"""),"71784701")</f>
        <v>71784701</v>
      </c>
      <c r="AY690" s="12" t="str">
        <f>IFERROR(__xludf.DUMMYFUNCTION("""COMPUTED_VALUE"""),"3206935933")</f>
        <v>3206935933</v>
      </c>
      <c r="AZ690" s="6" t="str">
        <f>IFERROR(__xludf.DUMMYFUNCTION("""COMPUTED_VALUE"""),"Padre")</f>
        <v>Padre</v>
      </c>
      <c r="BA690" s="6"/>
      <c r="BB690" s="6"/>
      <c r="BC690" s="6"/>
      <c r="BD690" s="12" t="str">
        <f>IFERROR(__xludf.DUMMYFUNCTION("""COMPUTED_VALUE"""),"gme0015")</f>
        <v>gme0015</v>
      </c>
      <c r="BE690" s="6"/>
      <c r="BF690" s="6"/>
      <c r="BG690" s="6">
        <f>IFERROR(__xludf.DUMMYFUNCTION("""COMPUTED_VALUE"""),2029.0)</f>
        <v>2029</v>
      </c>
      <c r="BH690" s="15">
        <f>IFERROR(__xludf.DUMMYFUNCTION("""COMPUTED_VALUE"""),46209.31768518518)</f>
        <v>46209.31769</v>
      </c>
      <c r="BI690" s="6">
        <f>IFERROR(__xludf.DUMMYFUNCTION("""COMPUTED_VALUE"""),691.0)</f>
        <v>691</v>
      </c>
      <c r="BJ690" s="6"/>
      <c r="BK690" s="6"/>
      <c r="BL690" s="6" t="str">
        <f>IFERROR(__xludf.DUMMYFUNCTION("""COMPUTED_VALUE"""),"GISGME0015")</f>
        <v>GISGME0015</v>
      </c>
      <c r="BM690" s="6"/>
      <c r="BN690" s="6"/>
      <c r="BO690" s="6"/>
      <c r="BP690" s="6"/>
      <c r="BQ690" s="6"/>
      <c r="BR690" s="6"/>
      <c r="BS690" s="6"/>
      <c r="BT690" s="6"/>
      <c r="BU690" s="6" t="str">
        <f>IFERROR(__xludf.DUMMYFUNCTION("""COMPUTED_VALUE"""),"SI")</f>
        <v>SI</v>
      </c>
      <c r="BV690" s="6" t="str">
        <f>IFERROR(__xludf.DUMMYFUNCTION("""COMPUTED_VALUE"""),"sara.g2029")</f>
        <v>sara.g2029</v>
      </c>
      <c r="BW690" s="6"/>
      <c r="BX690" s="6"/>
      <c r="BY690" s="6"/>
      <c r="BZ690" s="6"/>
    </row>
    <row r="691">
      <c r="A691" s="12">
        <f>IFERROR(__xludf.DUMMYFUNCTION("""COMPUTED_VALUE"""),1.123439997E9)</f>
        <v>1123439997</v>
      </c>
      <c r="B691" s="6">
        <f>IFERROR(__xludf.DUMMYFUNCTION("""COMPUTED_VALUE"""),21.0)</f>
        <v>21</v>
      </c>
      <c r="C691" s="6" t="str">
        <f>IFERROR(__xludf.DUMMYFUNCTION("""COMPUTED_VALUE"""),"Salomé")</f>
        <v>Salomé</v>
      </c>
      <c r="D691" s="6"/>
      <c r="E691" s="6" t="str">
        <f>IFERROR(__xludf.DUMMYFUNCTION("""COMPUTED_VALUE"""),"González Álvarez")</f>
        <v>González Álvarez</v>
      </c>
      <c r="F691" s="6" t="str">
        <f>IFERROR(__xludf.DUMMYFUNCTION("""COMPUTED_VALUE"""),"Condominio Casa de Campo Casa 29 - Calle 23ANte No19 - 47")</f>
        <v>Condominio Casa de Campo Casa 29 - Calle 23ANte No19 - 47</v>
      </c>
      <c r="G691" s="6" t="str">
        <f>IFERROR(__xludf.DUMMYFUNCTION("""COMPUTED_VALUE"""),"2010")</f>
        <v>2010</v>
      </c>
      <c r="H691" s="6" t="str">
        <f>IFERROR(__xludf.DUMMYFUNCTION("""COMPUTED_VALUE"""),"Junio")</f>
        <v>Junio</v>
      </c>
      <c r="I691" s="6" t="str">
        <f>IFERROR(__xludf.DUMMYFUNCTION("""COMPUTED_VALUE"""),"16")</f>
        <v>16</v>
      </c>
      <c r="J691" s="6" t="str">
        <f>IFERROR(__xludf.DUMMYFUNCTION("""COMPUTED_VALUE"""),"Villavicencio")</f>
        <v>Villavicencio</v>
      </c>
      <c r="K691" s="6" t="str">
        <f>IFERROR(__xludf.DUMMYFUNCTION("""COMPUTED_VALUE"""),"salome.g2029@gi.edu.co")</f>
        <v>salome.g2029@gi.edu.co</v>
      </c>
      <c r="L691" s="6" t="str">
        <f>IFERROR(__xludf.DUMMYFUNCTION("""COMPUTED_VALUE"""),"TI")</f>
        <v>TI</v>
      </c>
      <c r="M691" s="6" t="str">
        <f>IFERROR(__xludf.DUMMYFUNCTION("""COMPUTED_VALUE"""),"Armenia")</f>
        <v>Armenia</v>
      </c>
      <c r="N691" s="6" t="str">
        <f>IFERROR(__xludf.DUMMYFUNCTION("""COMPUTED_VALUE"""),"F")</f>
        <v>F</v>
      </c>
      <c r="O691" s="6" t="str">
        <f>IFERROR(__xludf.DUMMYFUNCTION("""COMPUTED_VALUE"""),"ACTIVE")</f>
        <v>ACTIVE</v>
      </c>
      <c r="P691" s="6"/>
      <c r="Q691" s="6" t="str">
        <f>IFERROR(__xludf.DUMMYFUNCTION("""COMPUTED_VALUE"""),"Armenia")</f>
        <v>Armenia</v>
      </c>
      <c r="R691" s="12" t="str">
        <f>IFERROR(__xludf.DUMMYFUNCTION("""COMPUTED_VALUE"""),"Gis2029ga*")</f>
        <v>Gis2029ga*</v>
      </c>
      <c r="S691" s="6" t="str">
        <f>IFERROR(__xludf.DUMMYFUNCTION("""COMPUTED_VALUE"""),"González Álvarez Salomé ")</f>
        <v>González Álvarez Salomé </v>
      </c>
      <c r="T691" s="6" t="str">
        <f>IFERROR(__xludf.DUMMYFUNCTION("""COMPUTED_VALUE"""),"JAIME CESAR GONZALEZ PULIDO")</f>
        <v>JAIME CESAR GONZALEZ PULIDO</v>
      </c>
      <c r="U691" s="12" t="str">
        <f>IFERROR(__xludf.DUMMYFUNCTION("""COMPUTED_VALUE"""),"86058376")</f>
        <v>86058376</v>
      </c>
      <c r="V691" s="6">
        <f>IFERROR(__xludf.DUMMYFUNCTION("""COMPUTED_VALUE"""),3.157613907E9)</f>
        <v>3157613907</v>
      </c>
      <c r="W691" s="6" t="str">
        <f>IFERROR(__xludf.DUMMYFUNCTION("""COMPUTED_VALUE"""),"jaimecgp@hotmail.com")</f>
        <v>jaimecgp@hotmail.com</v>
      </c>
      <c r="X691" s="12" t="str">
        <f>IFERROR(__xludf.DUMMYFUNCTION("""COMPUTED_VALUE"""),"A+")</f>
        <v>A+</v>
      </c>
      <c r="Y691" s="12" t="str">
        <f>IFERROR(__xludf.DUMMYFUNCTION("""COMPUTED_VALUE"""),"10")</f>
        <v>10</v>
      </c>
      <c r="Z691" s="12">
        <f>IFERROR(__xludf.DUMMYFUNCTION("""COMPUTED_VALUE"""),103880.0)</f>
        <v>103880</v>
      </c>
      <c r="AA691" s="6" t="str">
        <f>IFERROR(__xludf.DUMMYFUNCTION("""COMPUTED_VALUE"""),"OTRA")</f>
        <v>OTRA</v>
      </c>
      <c r="AB691" s="6"/>
      <c r="AC691" s="6"/>
      <c r="AD691" s="12" t="str">
        <f>IFERROR(__xludf.DUMMYFUNCTION("""COMPUTED_VALUE"""),"10B")</f>
        <v>10B</v>
      </c>
      <c r="AE691" s="12">
        <f>IFERROR(__xludf.DUMMYFUNCTION("""COMPUTED_VALUE"""),1.345281949E9)</f>
        <v>1345281949</v>
      </c>
      <c r="AF691" s="12" t="str">
        <f>IFERROR(__xludf.DUMMYFUNCTION("""COMPUTED_VALUE"""),"0269448083")</f>
        <v>0269448083</v>
      </c>
      <c r="AG691" s="12" t="str">
        <f>IFERROR(__xludf.DUMMYFUNCTION("""COMPUTED_VALUE"""),"Esmeralda")</f>
        <v>Esmeralda</v>
      </c>
      <c r="AH691" s="6"/>
      <c r="AI691" s="6" t="str">
        <f>IFERROR(__xludf.DUMMYFUNCTION("""COMPUTED_VALUE"""),"Álvarez Castro")</f>
        <v>Álvarez Castro</v>
      </c>
      <c r="AJ691" s="6" t="str">
        <f>IFERROR(__xludf.DUMMYFUNCTION("""COMPUTED_VALUE"""),"esmeralvarez@hotmail.com")</f>
        <v>esmeralvarez@hotmail.com</v>
      </c>
      <c r="AK691" s="6" t="str">
        <f>IFERROR(__xludf.DUMMYFUNCTION("""COMPUTED_VALUE"""),"Abogada")</f>
        <v>Abogada</v>
      </c>
      <c r="AL691" s="6" t="str">
        <f>IFERROR(__xludf.DUMMYFUNCTION("""COMPUTED_VALUE"""),"Independiente")</f>
        <v>Independiente</v>
      </c>
      <c r="AM691" s="12" t="str">
        <f>IFERROR(__xludf.DUMMYFUNCTION("""COMPUTED_VALUE"""),"40440701")</f>
        <v>40440701</v>
      </c>
      <c r="AN691" s="12" t="str">
        <f>IFERROR(__xludf.DUMMYFUNCTION("""COMPUTED_VALUE"""),"3143346125")</f>
        <v>3143346125</v>
      </c>
      <c r="AO691" s="6" t="str">
        <f>IFERROR(__xludf.DUMMYFUNCTION("""COMPUTED_VALUE"""),"Madre")</f>
        <v>Madre</v>
      </c>
      <c r="AP691" s="6" t="str">
        <f>IFERROR(__xludf.DUMMYFUNCTION("""COMPUTED_VALUE"""),"Estudiante(s): González Álvarez")</f>
        <v>Estudiante(s): González Álvarez</v>
      </c>
      <c r="AQ691" s="6" t="str">
        <f>IFERROR(__xludf.DUMMYFUNCTION("""COMPUTED_VALUE"""),"103879*Gi")</f>
        <v>103879*Gi</v>
      </c>
      <c r="AR691" s="6" t="str">
        <f>IFERROR(__xludf.DUMMYFUNCTION("""COMPUTED_VALUE"""),"Jaime")</f>
        <v>Jaime</v>
      </c>
      <c r="AS691" s="6" t="str">
        <f>IFERROR(__xludf.DUMMYFUNCTION("""COMPUTED_VALUE"""),"César")</f>
        <v>César</v>
      </c>
      <c r="AT691" s="6" t="str">
        <f>IFERROR(__xludf.DUMMYFUNCTION("""COMPUTED_VALUE"""),"González Pulido")</f>
        <v>González Pulido</v>
      </c>
      <c r="AU691" s="6" t="str">
        <f>IFERROR(__xludf.DUMMYFUNCTION("""COMPUTED_VALUE"""),"jaimecgp@hotmail.com")</f>
        <v>jaimecgp@hotmail.com</v>
      </c>
      <c r="AV691" s="6" t="str">
        <f>IFERROR(__xludf.DUMMYFUNCTION("""COMPUTED_VALUE"""),"Ingeniero Civil")</f>
        <v>Ingeniero Civil</v>
      </c>
      <c r="AW691" s="6" t="str">
        <f>IFERROR(__xludf.DUMMYFUNCTION("""COMPUTED_VALUE"""),"S&amp;M BLESSED")</f>
        <v>S&amp;M BLESSED</v>
      </c>
      <c r="AX691" s="12" t="str">
        <f>IFERROR(__xludf.DUMMYFUNCTION("""COMPUTED_VALUE"""),"86058376")</f>
        <v>86058376</v>
      </c>
      <c r="AY691" s="12" t="str">
        <f>IFERROR(__xludf.DUMMYFUNCTION("""COMPUTED_VALUE"""),"3157613907")</f>
        <v>3157613907</v>
      </c>
      <c r="AZ691" s="6" t="str">
        <f>IFERROR(__xludf.DUMMYFUNCTION("""COMPUTED_VALUE"""),"Padre")</f>
        <v>Padre</v>
      </c>
      <c r="BA691" s="6"/>
      <c r="BB691" s="6"/>
      <c r="BC691" s="6"/>
      <c r="BD691" s="12" t="str">
        <f>IFERROR(__xludf.DUMMYFUNCTION("""COMPUTED_VALUE"""),"gon0016")</f>
        <v>gon0016</v>
      </c>
      <c r="BE691" s="6" t="str">
        <f>IFERROR(__xludf.DUMMYFUNCTION("""COMPUTED_VALUE"""),"INTERCAMBIO")</f>
        <v>INTERCAMBIO</v>
      </c>
      <c r="BF691" s="12" t="str">
        <f>IFERROR(__xludf.DUMMYFUNCTION("""COMPUTED_VALUE"""),"INTERCAMBIO")</f>
        <v>INTERCAMBIO</v>
      </c>
      <c r="BG691" s="6">
        <f>IFERROR(__xludf.DUMMYFUNCTION("""COMPUTED_VALUE"""),2029.0)</f>
        <v>2029</v>
      </c>
      <c r="BH691" s="15">
        <f>IFERROR(__xludf.DUMMYFUNCTION("""COMPUTED_VALUE"""),46213.57131944445)</f>
        <v>46213.57132</v>
      </c>
      <c r="BI691" s="6">
        <f>IFERROR(__xludf.DUMMYFUNCTION("""COMPUTED_VALUE"""),692.0)</f>
        <v>692</v>
      </c>
      <c r="BJ691" s="6" t="str">
        <f>IFERROR(__xludf.DUMMYFUNCTION("""COMPUTED_VALUE"""),"DANE: Trastorno específico del aprendizaje
SIMAT: Trastorno de aprendizaje escolar")</f>
        <v>DANE: Trastorno específico del aprendizaje
SIMAT: Trastorno de aprendizaje escolar</v>
      </c>
      <c r="BK691" s="6"/>
      <c r="BL691" s="6" t="str">
        <f>IFERROR(__xludf.DUMMYFUNCTION("""COMPUTED_VALUE"""),"GISGON0016")</f>
        <v>GISGON0016</v>
      </c>
      <c r="BM691" s="6"/>
      <c r="BN691" s="6"/>
      <c r="BO691" s="6"/>
      <c r="BP691" s="6"/>
      <c r="BQ691" s="6"/>
      <c r="BR691" s="6"/>
      <c r="BS691" s="6"/>
      <c r="BT691" s="6"/>
      <c r="BU691" s="6" t="str">
        <f>IFERROR(__xludf.DUMMYFUNCTION("""COMPUTED_VALUE"""),"SI")</f>
        <v>SI</v>
      </c>
      <c r="BV691" s="6" t="str">
        <f>IFERROR(__xludf.DUMMYFUNCTION("""COMPUTED_VALUE"""),"salome.g2029")</f>
        <v>salome.g2029</v>
      </c>
      <c r="BW691" s="6"/>
      <c r="BX691" s="6"/>
      <c r="BY691" s="6"/>
      <c r="BZ691" s="6"/>
    </row>
    <row r="692">
      <c r="A692" s="12">
        <f>IFERROR(__xludf.DUMMYFUNCTION("""COMPUTED_VALUE"""),1.091205236E9)</f>
        <v>1091205236</v>
      </c>
      <c r="B692" s="6">
        <f>IFERROR(__xludf.DUMMYFUNCTION("""COMPUTED_VALUE"""),22.0)</f>
        <v>22</v>
      </c>
      <c r="C692" s="6" t="str">
        <f>IFERROR(__xludf.DUMMYFUNCTION("""COMPUTED_VALUE"""),"Antonia")</f>
        <v>Antonia</v>
      </c>
      <c r="D692" s="6"/>
      <c r="E692" s="6" t="str">
        <f>IFERROR(__xludf.DUMMYFUNCTION("""COMPUTED_VALUE"""),"Jaramillo Velilla")</f>
        <v>Jaramillo Velilla</v>
      </c>
      <c r="F692" s="6" t="str">
        <f>IFERROR(__xludf.DUMMYFUNCTION("""COMPUTED_VALUE"""),"Edificio La Castellana Apto 202 Calle 14Nte No10 - 49 - La Castellana")</f>
        <v>Edificio La Castellana Apto 202 Calle 14Nte No10 - 49 - La Castellana</v>
      </c>
      <c r="G692" s="12" t="str">
        <f>IFERROR(__xludf.DUMMYFUNCTION("""COMPUTED_VALUE"""),"2010")</f>
        <v>2010</v>
      </c>
      <c r="H692" s="6" t="str">
        <f>IFERROR(__xludf.DUMMYFUNCTION("""COMPUTED_VALUE"""),"Diciembre")</f>
        <v>Diciembre</v>
      </c>
      <c r="I692" s="12" t="str">
        <f>IFERROR(__xludf.DUMMYFUNCTION("""COMPUTED_VALUE"""),"7")</f>
        <v>7</v>
      </c>
      <c r="J692" s="6" t="str">
        <f>IFERROR(__xludf.DUMMYFUNCTION("""COMPUTED_VALUE"""),"Armenia")</f>
        <v>Armenia</v>
      </c>
      <c r="K692" s="6" t="str">
        <f>IFERROR(__xludf.DUMMYFUNCTION("""COMPUTED_VALUE"""),"antonia.j2029@gi.edu.co")</f>
        <v>antonia.j2029@gi.edu.co</v>
      </c>
      <c r="L692" s="6" t="str">
        <f>IFERROR(__xludf.DUMMYFUNCTION("""COMPUTED_VALUE"""),"TI")</f>
        <v>TI</v>
      </c>
      <c r="M692" s="6" t="str">
        <f>IFERROR(__xludf.DUMMYFUNCTION("""COMPUTED_VALUE"""),"Armenia")</f>
        <v>Armenia</v>
      </c>
      <c r="N692" s="6" t="str">
        <f>IFERROR(__xludf.DUMMYFUNCTION("""COMPUTED_VALUE"""),"F")</f>
        <v>F</v>
      </c>
      <c r="O692" s="6" t="str">
        <f>IFERROR(__xludf.DUMMYFUNCTION("""COMPUTED_VALUE"""),"INACTIVE")</f>
        <v>INACTIVE</v>
      </c>
      <c r="P692" s="6"/>
      <c r="Q692" s="6" t="str">
        <f>IFERROR(__xludf.DUMMYFUNCTION("""COMPUTED_VALUE"""),"Armenia")</f>
        <v>Armenia</v>
      </c>
      <c r="R692" s="12" t="str">
        <f>IFERROR(__xludf.DUMMYFUNCTION("""COMPUTED_VALUE"""),"Gi9HDT6H7S*")</f>
        <v>Gi9HDT6H7S*</v>
      </c>
      <c r="S692" s="6" t="str">
        <f>IFERROR(__xludf.DUMMYFUNCTION("""COMPUTED_VALUE"""),"Jaramillo Velilla Antonia ")</f>
        <v>Jaramillo Velilla Antonia </v>
      </c>
      <c r="T692" s="6" t="str">
        <f>IFERROR(__xludf.DUMMYFUNCTION("""COMPUTED_VALUE"""),"JUAN JOSÉ JARAMILLO JARAMILLO")</f>
        <v>JUAN JOSÉ JARAMILLO JARAMILLO</v>
      </c>
      <c r="U692" s="12" t="str">
        <f>IFERROR(__xludf.DUMMYFUNCTION("""COMPUTED_VALUE"""),"18495305")</f>
        <v>18495305</v>
      </c>
      <c r="V692" s="6">
        <f>IFERROR(__xludf.DUMMYFUNCTION("""COMPUTED_VALUE"""),3.216463985E9)</f>
        <v>3216463985</v>
      </c>
      <c r="W692" s="6" t="str">
        <f>IFERROR(__xludf.DUMMYFUNCTION("""COMPUTED_VALUE"""),"marisolvelilla@hotmail.com")</f>
        <v>marisolvelilla@hotmail.com</v>
      </c>
      <c r="X692" s="12" t="str">
        <f>IFERROR(__xludf.DUMMYFUNCTION("""COMPUTED_VALUE"""),"O+")</f>
        <v>O+</v>
      </c>
      <c r="Y692" s="12" t="str">
        <f>IFERROR(__xludf.DUMMYFUNCTION("""COMPUTED_VALUE"""),"10")</f>
        <v>10</v>
      </c>
      <c r="Z692" s="12">
        <f>IFERROR(__xludf.DUMMYFUNCTION("""COMPUTED_VALUE"""),103290.0)</f>
        <v>103290</v>
      </c>
      <c r="AA692" s="6" t="str">
        <f>IFERROR(__xludf.DUMMYFUNCTION("""COMPUTED_VALUE"""),"SURA")</f>
        <v>SURA</v>
      </c>
      <c r="AB692" s="6" t="str">
        <f>IFERROR(__xludf.DUMMYFUNCTION("""COMPUTED_VALUE"""),"Póliza SURA salud")</f>
        <v>Póliza SURA salud</v>
      </c>
      <c r="AC692" s="6"/>
      <c r="AD692" s="12" t="str">
        <f>IFERROR(__xludf.DUMMYFUNCTION("""COMPUTED_VALUE"""),"10B")</f>
        <v>10B</v>
      </c>
      <c r="AE692" s="12">
        <f>IFERROR(__xludf.DUMMYFUNCTION("""COMPUTED_VALUE"""),1.345281618E9)</f>
        <v>1345281618</v>
      </c>
      <c r="AF692" s="12" t="str">
        <f>IFERROR(__xludf.DUMMYFUNCTION("""COMPUTED_VALUE"""),"0699856467")</f>
        <v>0699856467</v>
      </c>
      <c r="AG692" s="12" t="str">
        <f>IFERROR(__xludf.DUMMYFUNCTION("""COMPUTED_VALUE"""),"Marysol")</f>
        <v>Marysol</v>
      </c>
      <c r="AH692" s="6"/>
      <c r="AI692" s="6" t="str">
        <f>IFERROR(__xludf.DUMMYFUNCTION("""COMPUTED_VALUE"""),"Velilla Martínez")</f>
        <v>Velilla Martínez</v>
      </c>
      <c r="AJ692" s="6" t="str">
        <f>IFERROR(__xludf.DUMMYFUNCTION("""COMPUTED_VALUE"""),"marisolvelilla@hotmail.com")</f>
        <v>marisolvelilla@hotmail.com</v>
      </c>
      <c r="AK692" s="6"/>
      <c r="AL692" s="6"/>
      <c r="AM692" s="12" t="str">
        <f>IFERROR(__xludf.DUMMYFUNCTION("""COMPUTED_VALUE"""),"43867109")</f>
        <v>43867109</v>
      </c>
      <c r="AN692" s="12" t="str">
        <f>IFERROR(__xludf.DUMMYFUNCTION("""COMPUTED_VALUE"""),"3136181249")</f>
        <v>3136181249</v>
      </c>
      <c r="AO692" s="6" t="str">
        <f>IFERROR(__xludf.DUMMYFUNCTION("""COMPUTED_VALUE"""),"Madre")</f>
        <v>Madre</v>
      </c>
      <c r="AP692" s="6" t="str">
        <f>IFERROR(__xludf.DUMMYFUNCTION("""COMPUTED_VALUE"""),"Estudiante(s): Jaramillo Velilla")</f>
        <v>Estudiante(s): Jaramillo Velilla</v>
      </c>
      <c r="AQ692" s="6" t="str">
        <f>IFERROR(__xludf.DUMMYFUNCTION("""COMPUTED_VALUE"""),"103290*Gi")</f>
        <v>103290*Gi</v>
      </c>
      <c r="AR692" s="6" t="str">
        <f>IFERROR(__xludf.DUMMYFUNCTION("""COMPUTED_VALUE"""),"Juan")</f>
        <v>Juan</v>
      </c>
      <c r="AS692" s="6" t="str">
        <f>IFERROR(__xludf.DUMMYFUNCTION("""COMPUTED_VALUE"""),"José")</f>
        <v>José</v>
      </c>
      <c r="AT692" s="6" t="str">
        <f>IFERROR(__xludf.DUMMYFUNCTION("""COMPUTED_VALUE"""),"Jaramillo Jaramillo")</f>
        <v>Jaramillo Jaramillo</v>
      </c>
      <c r="AU692" s="6" t="str">
        <f>IFERROR(__xludf.DUMMYFUNCTION("""COMPUTED_VALUE"""),"planetterra@hotmail.com")</f>
        <v>planetterra@hotmail.com</v>
      </c>
      <c r="AV692" s="6" t="str">
        <f>IFERROR(__xludf.DUMMYFUNCTION("""COMPUTED_VALUE"""),"odontologo")</f>
        <v>odontologo</v>
      </c>
      <c r="AW692" s="6" t="str">
        <f>IFERROR(__xludf.DUMMYFUNCTION("""COMPUTED_VALUE"""),"Centro Implantologíco")</f>
        <v>Centro Implantologíco</v>
      </c>
      <c r="AX692" s="12" t="str">
        <f>IFERROR(__xludf.DUMMYFUNCTION("""COMPUTED_VALUE"""),"18495305")</f>
        <v>18495305</v>
      </c>
      <c r="AY692" s="12" t="str">
        <f>IFERROR(__xludf.DUMMYFUNCTION("""COMPUTED_VALUE"""),"3216463985")</f>
        <v>3216463985</v>
      </c>
      <c r="AZ692" s="6" t="str">
        <f>IFERROR(__xludf.DUMMYFUNCTION("""COMPUTED_VALUE"""),"Padre")</f>
        <v>Padre</v>
      </c>
      <c r="BA692" s="6"/>
      <c r="BB692" s="6"/>
      <c r="BC692" s="6"/>
      <c r="BD692" s="12" t="str">
        <f>IFERROR(__xludf.DUMMYFUNCTION("""COMPUTED_VALUE"""),"jar0018")</f>
        <v>jar0018</v>
      </c>
      <c r="BE692" s="6" t="str">
        <f>IFERROR(__xludf.DUMMYFUNCTION("""COMPUTED_VALUE"""),"FALTAN FIRMAS")</f>
        <v>FALTAN FIRMAS</v>
      </c>
      <c r="BF692" s="6"/>
      <c r="BG692" s="6">
        <f>IFERROR(__xludf.DUMMYFUNCTION("""COMPUTED_VALUE"""),2029.0)</f>
        <v>2029</v>
      </c>
      <c r="BH692" s="15">
        <f>IFERROR(__xludf.DUMMYFUNCTION("""COMPUTED_VALUE"""),46211.60634259259)</f>
        <v>46211.60634</v>
      </c>
      <c r="BI692" s="6">
        <f>IFERROR(__xludf.DUMMYFUNCTION("""COMPUTED_VALUE"""),693.0)</f>
        <v>693</v>
      </c>
      <c r="BJ692" s="6"/>
      <c r="BK692" s="6"/>
      <c r="BL692" s="6" t="str">
        <f>IFERROR(__xludf.DUMMYFUNCTION("""COMPUTED_VALUE"""),"GISJAR0018")</f>
        <v>GISJAR0018</v>
      </c>
      <c r="BM692" s="6"/>
      <c r="BN692" s="6"/>
      <c r="BO692" s="6"/>
      <c r="BP692" s="6"/>
      <c r="BQ692" s="6"/>
      <c r="BR692" s="6" t="str">
        <f>IFERROR(__xludf.DUMMYFUNCTION("""COMPUTED_VALUE"""),"XC_SEC_ArtesPlasticas")</f>
        <v>XC_SEC_ArtesPlasticas</v>
      </c>
      <c r="BS692" s="6"/>
      <c r="BT692" s="6"/>
      <c r="BU692" s="6" t="str">
        <f>IFERROR(__xludf.DUMMYFUNCTION("""COMPUTED_VALUE"""),"SI")</f>
        <v>SI</v>
      </c>
      <c r="BV692" s="6" t="str">
        <f>IFERROR(__xludf.DUMMYFUNCTION("""COMPUTED_VALUE"""),"antonia.j2029")</f>
        <v>antonia.j2029</v>
      </c>
      <c r="BW692" s="6"/>
      <c r="BX692" s="6"/>
      <c r="BY692" s="6"/>
      <c r="BZ692" s="6"/>
    </row>
    <row r="693">
      <c r="A693" s="12">
        <f>IFERROR(__xludf.DUMMYFUNCTION("""COMPUTED_VALUE"""),1.013012747E9)</f>
        <v>1013012747</v>
      </c>
      <c r="B693" s="6">
        <f>IFERROR(__xludf.DUMMYFUNCTION("""COMPUTED_VALUE"""),23.0)</f>
        <v>23</v>
      </c>
      <c r="C693" s="6" t="str">
        <f>IFERROR(__xludf.DUMMYFUNCTION("""COMPUTED_VALUE"""),"Danna")</f>
        <v>Danna</v>
      </c>
      <c r="D693" s="6" t="str">
        <f>IFERROR(__xludf.DUMMYFUNCTION("""COMPUTED_VALUE"""),"Valentina")</f>
        <v>Valentina</v>
      </c>
      <c r="E693" s="6" t="str">
        <f>IFERROR(__xludf.DUMMYFUNCTION("""COMPUTED_VALUE"""),"Llanos Huertas")</f>
        <v>Llanos Huertas</v>
      </c>
      <c r="F693" s="6" t="str">
        <f>IFERROR(__xludf.DUMMYFUNCTION("""COMPUTED_VALUE"""),"Quintas de la Pastorita Casa 19 - Calle 25Nte No19 - 90
")</f>
        <v>Quintas de la Pastorita Casa 19 - Calle 25Nte No19 - 90
</v>
      </c>
      <c r="G693" s="12" t="str">
        <f>IFERROR(__xludf.DUMMYFUNCTION("""COMPUTED_VALUE"""),"2011")</f>
        <v>2011</v>
      </c>
      <c r="H693" s="6" t="str">
        <f>IFERROR(__xludf.DUMMYFUNCTION("""COMPUTED_VALUE"""),"Septiembre")</f>
        <v>Septiembre</v>
      </c>
      <c r="I693" s="12" t="str">
        <f>IFERROR(__xludf.DUMMYFUNCTION("""COMPUTED_VALUE"""),"7")</f>
        <v>7</v>
      </c>
      <c r="J693" s="6" t="str">
        <f>IFERROR(__xludf.DUMMYFUNCTION("""COMPUTED_VALUE"""),"Bogotá D.C.")</f>
        <v>Bogotá D.C.</v>
      </c>
      <c r="K693" s="6" t="str">
        <f>IFERROR(__xludf.DUMMYFUNCTION("""COMPUTED_VALUE"""),"danna.ll2029@gi.edu.co")</f>
        <v>danna.ll2029@gi.edu.co</v>
      </c>
      <c r="L693" s="6" t="str">
        <f>IFERROR(__xludf.DUMMYFUNCTION("""COMPUTED_VALUE"""),"TI")</f>
        <v>TI</v>
      </c>
      <c r="M693" s="6" t="str">
        <f>IFERROR(__xludf.DUMMYFUNCTION("""COMPUTED_VALUE"""),"Bogotá D.C.")</f>
        <v>Bogotá D.C.</v>
      </c>
      <c r="N693" s="6" t="str">
        <f>IFERROR(__xludf.DUMMYFUNCTION("""COMPUTED_VALUE"""),"F")</f>
        <v>F</v>
      </c>
      <c r="O693" s="6" t="str">
        <f>IFERROR(__xludf.DUMMYFUNCTION("""COMPUTED_VALUE"""),"ACTIVE")</f>
        <v>ACTIVE</v>
      </c>
      <c r="P693" s="6"/>
      <c r="Q693" s="6" t="str">
        <f>IFERROR(__xludf.DUMMYFUNCTION("""COMPUTED_VALUE"""),"Armenia")</f>
        <v>Armenia</v>
      </c>
      <c r="R693" s="12" t="str">
        <f>IFERROR(__xludf.DUMMYFUNCTION("""COMPUTED_VALUE"""),"Gimj75fc*")</f>
        <v>Gimj75fc*</v>
      </c>
      <c r="S693" s="6" t="str">
        <f>IFERROR(__xludf.DUMMYFUNCTION("""COMPUTED_VALUE"""),"Llanos Huertas Danna Valentina")</f>
        <v>Llanos Huertas Danna Valentina</v>
      </c>
      <c r="T693" s="6" t="str">
        <f>IFERROR(__xludf.DUMMYFUNCTION("""COMPUTED_VALUE"""),"YOHANA ISABEL HUERTAS MORA")</f>
        <v>YOHANA ISABEL HUERTAS MORA</v>
      </c>
      <c r="U693" s="12" t="str">
        <f>IFERROR(__xludf.DUMMYFUNCTION("""COMPUTED_VALUE"""),"1048846728")</f>
        <v>1048846728</v>
      </c>
      <c r="V693" s="6">
        <f>IFERROR(__xludf.DUMMYFUNCTION("""COMPUTED_VALUE"""),3.112239694E9)</f>
        <v>3112239694</v>
      </c>
      <c r="W693" s="6" t="str">
        <f>IFERROR(__xludf.DUMMYFUNCTION("""COMPUTED_VALUE"""),"isabel2326@gmail.com")</f>
        <v>isabel2326@gmail.com</v>
      </c>
      <c r="X693" s="12" t="str">
        <f>IFERROR(__xludf.DUMMYFUNCTION("""COMPUTED_VALUE"""),"O+")</f>
        <v>O+</v>
      </c>
      <c r="Y693" s="12" t="str">
        <f>IFERROR(__xludf.DUMMYFUNCTION("""COMPUTED_VALUE"""),"10")</f>
        <v>10</v>
      </c>
      <c r="Z693" s="12">
        <f>IFERROR(__xludf.DUMMYFUNCTION("""COMPUTED_VALUE"""),120235.0)</f>
        <v>120235</v>
      </c>
      <c r="AA693" s="6" t="str">
        <f>IFERROR(__xludf.DUMMYFUNCTION("""COMPUTED_VALUE"""),"SANITAS")</f>
        <v>SANITAS</v>
      </c>
      <c r="AB693" s="6"/>
      <c r="AC693" s="6"/>
      <c r="AD693" s="12" t="str">
        <f>IFERROR(__xludf.DUMMYFUNCTION("""COMPUTED_VALUE"""),"10B")</f>
        <v>10B</v>
      </c>
      <c r="AE693" s="12">
        <f>IFERROR(__xludf.DUMMYFUNCTION("""COMPUTED_VALUE"""),1.345282228E9)</f>
        <v>1345282228</v>
      </c>
      <c r="AF693" s="12" t="str">
        <f>IFERROR(__xludf.DUMMYFUNCTION("""COMPUTED_VALUE"""),"0695748835")</f>
        <v>0695748835</v>
      </c>
      <c r="AG693" s="12" t="str">
        <f>IFERROR(__xludf.DUMMYFUNCTION("""COMPUTED_VALUE"""),"Yohana")</f>
        <v>Yohana</v>
      </c>
      <c r="AH693" s="12" t="str">
        <f>IFERROR(__xludf.DUMMYFUNCTION("""COMPUTED_VALUE"""),"Isabel")</f>
        <v>Isabel</v>
      </c>
      <c r="AI693" s="6" t="str">
        <f>IFERROR(__xludf.DUMMYFUNCTION("""COMPUTED_VALUE"""),"Huertas Mora")</f>
        <v>Huertas Mora</v>
      </c>
      <c r="AJ693" s="6" t="str">
        <f>IFERROR(__xludf.DUMMYFUNCTION("""COMPUTED_VALUE"""),"isabel2326@gmail.com")</f>
        <v>isabel2326@gmail.com</v>
      </c>
      <c r="AK693" s="6" t="str">
        <f>IFERROR(__xludf.DUMMYFUNCTION("""COMPUTED_VALUE"""),"Psicóloga")</f>
        <v>Psicóloga</v>
      </c>
      <c r="AL693" s="6" t="str">
        <f>IFERROR(__xludf.DUMMYFUNCTION("""COMPUTED_VALUE"""),"Gi School")</f>
        <v>Gi School</v>
      </c>
      <c r="AM693" s="12" t="str">
        <f>IFERROR(__xludf.DUMMYFUNCTION("""COMPUTED_VALUE"""),"1048846728")</f>
        <v>1048846728</v>
      </c>
      <c r="AN693" s="12" t="str">
        <f>IFERROR(__xludf.DUMMYFUNCTION("""COMPUTED_VALUE"""),"3112239694")</f>
        <v>3112239694</v>
      </c>
      <c r="AO693" s="6" t="str">
        <f>IFERROR(__xludf.DUMMYFUNCTION("""COMPUTED_VALUE"""),"Madre")</f>
        <v>Madre</v>
      </c>
      <c r="AP693" s="6" t="str">
        <f>IFERROR(__xludf.DUMMYFUNCTION("""COMPUTED_VALUE"""),"Estudiante(s): Llanos Huertas")</f>
        <v>Estudiante(s): Llanos Huertas</v>
      </c>
      <c r="AQ693" s="6" t="str">
        <f>IFERROR(__xludf.DUMMYFUNCTION("""COMPUTED_VALUE"""),"120235*Gi")</f>
        <v>120235*Gi</v>
      </c>
      <c r="AR693" s="6" t="str">
        <f>IFERROR(__xludf.DUMMYFUNCTION("""COMPUTED_VALUE"""),"Darío")</f>
        <v>Darío</v>
      </c>
      <c r="AS693" s="6" t="str">
        <f>IFERROR(__xludf.DUMMYFUNCTION("""COMPUTED_VALUE"""),"Hernando")</f>
        <v>Hernando</v>
      </c>
      <c r="AT693" s="6" t="str">
        <f>IFERROR(__xludf.DUMMYFUNCTION("""COMPUTED_VALUE"""),"Llanos Dimas")</f>
        <v>Llanos Dimas</v>
      </c>
      <c r="AU693" s="6" t="str">
        <f>IFERROR(__xludf.DUMMYFUNCTION("""COMPUTED_VALUE"""),"dhllanos@hotmail.com")</f>
        <v>dhllanos@hotmail.com</v>
      </c>
      <c r="AV693" s="6" t="str">
        <f>IFERROR(__xludf.DUMMYFUNCTION("""COMPUTED_VALUE"""),"Geólogo")</f>
        <v>Geólogo</v>
      </c>
      <c r="AW693" s="6" t="str">
        <f>IFERROR(__xludf.DUMMYFUNCTION("""COMPUTED_VALUE"""),"Schlumberger")</f>
        <v>Schlumberger</v>
      </c>
      <c r="AX693" s="12" t="str">
        <f>IFERROR(__xludf.DUMMYFUNCTION("""COMPUTED_VALUE"""),"79684637")</f>
        <v>79684637</v>
      </c>
      <c r="AY693" s="12" t="str">
        <f>IFERROR(__xludf.DUMMYFUNCTION("""COMPUTED_VALUE"""),"3002645768")</f>
        <v>3002645768</v>
      </c>
      <c r="AZ693" s="6" t="str">
        <f>IFERROR(__xludf.DUMMYFUNCTION("""COMPUTED_VALUE"""),"Padre")</f>
        <v>Padre</v>
      </c>
      <c r="BA693" s="6"/>
      <c r="BB693" s="6"/>
      <c r="BC693" s="6"/>
      <c r="BD693" s="12" t="str">
        <f>IFERROR(__xludf.DUMMYFUNCTION("""COMPUTED_VALUE"""),"lla0001")</f>
        <v>lla0001</v>
      </c>
      <c r="BE693" s="6"/>
      <c r="BF693" s="6"/>
      <c r="BG693" s="6">
        <f>IFERROR(__xludf.DUMMYFUNCTION("""COMPUTED_VALUE"""),2029.0)</f>
        <v>2029</v>
      </c>
      <c r="BH693" s="15">
        <f>IFERROR(__xludf.DUMMYFUNCTION("""COMPUTED_VALUE"""),46212.4737962963)</f>
        <v>46212.4738</v>
      </c>
      <c r="BI693" s="6">
        <f>IFERROR(__xludf.DUMMYFUNCTION("""COMPUTED_VALUE"""),694.0)</f>
        <v>694</v>
      </c>
      <c r="BJ693" s="6"/>
      <c r="BK693" s="6"/>
      <c r="BL693" s="6" t="str">
        <f>IFERROR(__xludf.DUMMYFUNCTION("""COMPUTED_VALUE"""),"GISLLA0001")</f>
        <v>GISLLA0001</v>
      </c>
      <c r="BM693" s="6"/>
      <c r="BN693" s="6"/>
      <c r="BO693" s="6"/>
      <c r="BP693" s="6"/>
      <c r="BQ693" s="6"/>
      <c r="BR693" s="6"/>
      <c r="BS693" s="6"/>
      <c r="BT693" s="6"/>
      <c r="BU693" s="6" t="str">
        <f>IFERROR(__xludf.DUMMYFUNCTION("""COMPUTED_VALUE"""),"SI")</f>
        <v>SI</v>
      </c>
      <c r="BV693" s="6" t="str">
        <f>IFERROR(__xludf.DUMMYFUNCTION("""COMPUTED_VALUE"""),"danna.ll2029")</f>
        <v>danna.ll2029</v>
      </c>
      <c r="BW693" s="6"/>
      <c r="BX693" s="6"/>
      <c r="BY693" s="6"/>
      <c r="BZ693" s="6"/>
    </row>
    <row r="694">
      <c r="A694" s="12">
        <f>IFERROR(__xludf.DUMMYFUNCTION("""COMPUTED_VALUE"""),1.013039062E9)</f>
        <v>1013039062</v>
      </c>
      <c r="B694" s="6">
        <f>IFERROR(__xludf.DUMMYFUNCTION("""COMPUTED_VALUE"""),24.0)</f>
        <v>24</v>
      </c>
      <c r="C694" s="6" t="str">
        <f>IFERROR(__xludf.DUMMYFUNCTION("""COMPUTED_VALUE"""),"Francisco")</f>
        <v>Francisco</v>
      </c>
      <c r="D694" s="6" t="str">
        <f>IFERROR(__xludf.DUMMYFUNCTION("""COMPUTED_VALUE"""),"José")</f>
        <v>José</v>
      </c>
      <c r="E694" s="6" t="str">
        <f>IFERROR(__xludf.DUMMYFUNCTION("""COMPUTED_VALUE"""),"Manotas Ramírez")</f>
        <v>Manotas Ramírez</v>
      </c>
      <c r="F694" s="6" t="str">
        <f>IFERROR(__xludf.DUMMYFUNCTION("""COMPUTED_VALUE"""),"Condominio Jordan Campestre Casa 34 - Cra 6 13Nte - 30 Av Centenario")</f>
        <v>Condominio Jordan Campestre Casa 34 - Cra 6 13Nte - 30 Av Centenario</v>
      </c>
      <c r="G694" s="12" t="str">
        <f>IFERROR(__xludf.DUMMYFUNCTION("""COMPUTED_VALUE"""),"2011")</f>
        <v>2011</v>
      </c>
      <c r="H694" s="6" t="str">
        <f>IFERROR(__xludf.DUMMYFUNCTION("""COMPUTED_VALUE"""),"Febrero")</f>
        <v>Febrero</v>
      </c>
      <c r="I694" s="12" t="str">
        <f>IFERROR(__xludf.DUMMYFUNCTION("""COMPUTED_VALUE"""),"23")</f>
        <v>23</v>
      </c>
      <c r="J694" s="6" t="str">
        <f>IFERROR(__xludf.DUMMYFUNCTION("""COMPUTED_VALUE"""),"Bogotá D.C.")</f>
        <v>Bogotá D.C.</v>
      </c>
      <c r="K694" s="6" t="str">
        <f>IFERROR(__xludf.DUMMYFUNCTION("""COMPUTED_VALUE"""),"francisco.m2029@gi.edu.co")</f>
        <v>francisco.m2029@gi.edu.co</v>
      </c>
      <c r="L694" s="6" t="str">
        <f>IFERROR(__xludf.DUMMYFUNCTION("""COMPUTED_VALUE"""),"TI")</f>
        <v>TI</v>
      </c>
      <c r="M694" s="6" t="str">
        <f>IFERROR(__xludf.DUMMYFUNCTION("""COMPUTED_VALUE"""),"Bogotá D.C.")</f>
        <v>Bogotá D.C.</v>
      </c>
      <c r="N694" s="6" t="str">
        <f>IFERROR(__xludf.DUMMYFUNCTION("""COMPUTED_VALUE"""),"M")</f>
        <v>M</v>
      </c>
      <c r="O694" s="6" t="str">
        <f>IFERROR(__xludf.DUMMYFUNCTION("""COMPUTED_VALUE"""),"ACTIVE")</f>
        <v>ACTIVE</v>
      </c>
      <c r="P694" s="6"/>
      <c r="Q694" s="6"/>
      <c r="R694" s="12" t="str">
        <f>IFERROR(__xludf.DUMMYFUNCTION("""COMPUTED_VALUE"""),"Giz2z3x4c*")</f>
        <v>Giz2z3x4c*</v>
      </c>
      <c r="S694" s="6" t="str">
        <f>IFERROR(__xludf.DUMMYFUNCTION("""COMPUTED_VALUE"""),"Manotas Ramírez Francisco José")</f>
        <v>Manotas Ramírez Francisco José</v>
      </c>
      <c r="T694" s="6" t="str">
        <f>IFERROR(__xludf.DUMMYFUNCTION("""COMPUTED_VALUE"""),"FRANCY EDITH RAMÍREZ ARROYAVE")</f>
        <v>FRANCY EDITH RAMÍREZ ARROYAVE</v>
      </c>
      <c r="U694" s="12" t="str">
        <f>IFERROR(__xludf.DUMMYFUNCTION("""COMPUTED_VALUE"""),"29330480")</f>
        <v>29330480</v>
      </c>
      <c r="V694" s="6">
        <f>IFERROR(__xludf.DUMMYFUNCTION("""COMPUTED_VALUE"""),3.203336746E9)</f>
        <v>3203336746</v>
      </c>
      <c r="W694" s="6" t="str">
        <f>IFERROR(__xludf.DUMMYFUNCTION("""COMPUTED_VALUE"""),"francyramirez.2023@gmail.com")</f>
        <v>francyramirez.2023@gmail.com</v>
      </c>
      <c r="X694" s="12" t="str">
        <f>IFERROR(__xludf.DUMMYFUNCTION("""COMPUTED_VALUE"""),"A+")</f>
        <v>A+</v>
      </c>
      <c r="Y694" s="12" t="str">
        <f>IFERROR(__xludf.DUMMYFUNCTION("""COMPUTED_VALUE"""),"10")</f>
        <v>10</v>
      </c>
      <c r="Z694" s="12">
        <f>IFERROR(__xludf.DUMMYFUNCTION("""COMPUTED_VALUE"""),120524.0)</f>
        <v>120524</v>
      </c>
      <c r="AA694" s="6"/>
      <c r="AB694" s="6"/>
      <c r="AC694" s="6"/>
      <c r="AD694" s="12" t="str">
        <f>IFERROR(__xludf.DUMMYFUNCTION("""COMPUTED_VALUE"""),"10B")</f>
        <v>10B</v>
      </c>
      <c r="AE694" s="12" t="str">
        <f>IFERROR(__xludf.DUMMYFUNCTION("""COMPUTED_VALUE"""),"1345282523")</f>
        <v>1345282523</v>
      </c>
      <c r="AF694" s="6"/>
      <c r="AG694" s="12" t="str">
        <f>IFERROR(__xludf.DUMMYFUNCTION("""COMPUTED_VALUE"""),"Francy")</f>
        <v>Francy</v>
      </c>
      <c r="AH694" s="12" t="str">
        <f>IFERROR(__xludf.DUMMYFUNCTION("""COMPUTED_VALUE"""),"Edith")</f>
        <v>Edith</v>
      </c>
      <c r="AI694" s="6" t="str">
        <f>IFERROR(__xludf.DUMMYFUNCTION("""COMPUTED_VALUE"""),"Ramírez Arroyave")</f>
        <v>Ramírez Arroyave</v>
      </c>
      <c r="AJ694" s="6" t="str">
        <f>IFERROR(__xludf.DUMMYFUNCTION("""COMPUTED_VALUE"""),"francyramirez.2023@gmail.com")</f>
        <v>francyramirez.2023@gmail.com</v>
      </c>
      <c r="AK694" s="6" t="str">
        <f>IFERROR(__xludf.DUMMYFUNCTION("""COMPUTED_VALUE"""),"Ingeniero de Petróleos")</f>
        <v>Ingeniero de Petróleos</v>
      </c>
      <c r="AL694" s="6" t="str">
        <f>IFERROR(__xludf.DUMMYFUNCTION("""COMPUTED_VALUE"""),"Bogotá")</f>
        <v>Bogotá</v>
      </c>
      <c r="AM694" s="12" t="str">
        <f>IFERROR(__xludf.DUMMYFUNCTION("""COMPUTED_VALUE"""),"29330480")</f>
        <v>29330480</v>
      </c>
      <c r="AN694" s="12" t="str">
        <f>IFERROR(__xludf.DUMMYFUNCTION("""COMPUTED_VALUE"""),"3203336746")</f>
        <v>3203336746</v>
      </c>
      <c r="AO694" s="6" t="str">
        <f>IFERROR(__xludf.DUMMYFUNCTION("""COMPUTED_VALUE"""),"Madre")</f>
        <v>Madre</v>
      </c>
      <c r="AP694" s="6" t="str">
        <f>IFERROR(__xludf.DUMMYFUNCTION("""COMPUTED_VALUE"""),"Estudiante(s): Manotas Ramírez")</f>
        <v>Estudiante(s): Manotas Ramírez</v>
      </c>
      <c r="AQ694" s="6" t="str">
        <f>IFERROR(__xludf.DUMMYFUNCTION("""COMPUTED_VALUE"""),"120524*Gi")</f>
        <v>120524*Gi</v>
      </c>
      <c r="AR694" s="6" t="str">
        <f>IFERROR(__xludf.DUMMYFUNCTION("""COMPUTED_VALUE"""),"Francisco")</f>
        <v>Francisco</v>
      </c>
      <c r="AS694" s="6" t="str">
        <f>IFERROR(__xludf.DUMMYFUNCTION("""COMPUTED_VALUE"""),"Nicanor")</f>
        <v>Nicanor</v>
      </c>
      <c r="AT694" s="6" t="str">
        <f>IFERROR(__xludf.DUMMYFUNCTION("""COMPUTED_VALUE"""),"Manotas Buelvas")</f>
        <v>Manotas Buelvas</v>
      </c>
      <c r="AU694" s="6" t="str">
        <f>IFERROR(__xludf.DUMMYFUNCTION("""COMPUTED_VALUE"""),"francisco.manotas@eor.com.co")</f>
        <v>francisco.manotas@eor.com.co</v>
      </c>
      <c r="AV694" s="6" t="str">
        <f>IFERROR(__xludf.DUMMYFUNCTION("""COMPUTED_VALUE"""),"Ingeniero Mecánico")</f>
        <v>Ingeniero Mecánico</v>
      </c>
      <c r="AW694" s="6" t="str">
        <f>IFERROR(__xludf.DUMMYFUNCTION("""COMPUTED_VALUE"""),"EOR Colombia SAS")</f>
        <v>EOR Colombia SAS</v>
      </c>
      <c r="AX694" s="12" t="str">
        <f>IFERROR(__xludf.DUMMYFUNCTION("""COMPUTED_VALUE"""),"92518918")</f>
        <v>92518918</v>
      </c>
      <c r="AY694" s="12" t="str">
        <f>IFERROR(__xludf.DUMMYFUNCTION("""COMPUTED_VALUE"""),"3102579628")</f>
        <v>3102579628</v>
      </c>
      <c r="AZ694" s="6" t="str">
        <f>IFERROR(__xludf.DUMMYFUNCTION("""COMPUTED_VALUE"""),"Padre")</f>
        <v>Padre</v>
      </c>
      <c r="BA694" s="6"/>
      <c r="BB694" s="6"/>
      <c r="BC694" s="6"/>
      <c r="BD694" s="12" t="str">
        <f>IFERROR(__xludf.DUMMYFUNCTION("""COMPUTED_VALUE"""),"man0005")</f>
        <v>man0005</v>
      </c>
      <c r="BE694" s="6"/>
      <c r="BF694" s="6"/>
      <c r="BG694" s="6">
        <f>IFERROR(__xludf.DUMMYFUNCTION("""COMPUTED_VALUE"""),2029.0)</f>
        <v>2029</v>
      </c>
      <c r="BH694" s="15">
        <f>IFERROR(__xludf.DUMMYFUNCTION("""COMPUTED_VALUE"""),46204.93409722222)</f>
        <v>46204.9341</v>
      </c>
      <c r="BI694" s="6">
        <f>IFERROR(__xludf.DUMMYFUNCTION("""COMPUTED_VALUE"""),695.0)</f>
        <v>695</v>
      </c>
      <c r="BJ694" s="6"/>
      <c r="BK694" s="6"/>
      <c r="BL694" s="6" t="str">
        <f>IFERROR(__xludf.DUMMYFUNCTION("""COMPUTED_VALUE"""),"GISMAN0005")</f>
        <v>GISMAN0005</v>
      </c>
      <c r="BM694" s="6"/>
      <c r="BN694" s="6"/>
      <c r="BO694" s="6"/>
      <c r="BP694" s="6"/>
      <c r="BQ694" s="6"/>
      <c r="BR694" s="6"/>
      <c r="BS694" s="6"/>
      <c r="BT694" s="6"/>
      <c r="BU694" s="6" t="str">
        <f>IFERROR(__xludf.DUMMYFUNCTION("""COMPUTED_VALUE"""),"SI")</f>
        <v>SI</v>
      </c>
      <c r="BV694" s="6" t="str">
        <f>IFERROR(__xludf.DUMMYFUNCTION("""COMPUTED_VALUE"""),"francisco.m2029")</f>
        <v>francisco.m2029</v>
      </c>
      <c r="BW694" s="6"/>
      <c r="BX694" s="6"/>
      <c r="BY694" s="6"/>
      <c r="BZ694" s="6"/>
    </row>
    <row r="695">
      <c r="A695" s="12">
        <f>IFERROR(__xludf.DUMMYFUNCTION("""COMPUTED_VALUE"""),1.09740012E9)</f>
        <v>1097400120</v>
      </c>
      <c r="B695" s="6">
        <f>IFERROR(__xludf.DUMMYFUNCTION("""COMPUTED_VALUE"""),25.0)</f>
        <v>25</v>
      </c>
      <c r="C695" s="6" t="str">
        <f>IFERROR(__xludf.DUMMYFUNCTION("""COMPUTED_VALUE"""),"Hanna")</f>
        <v>Hanna</v>
      </c>
      <c r="D695" s="6"/>
      <c r="E695" s="6" t="str">
        <f>IFERROR(__xludf.DUMMYFUNCTION("""COMPUTED_VALUE"""),"Marmolejo Muñoz")</f>
        <v>Marmolejo Muñoz</v>
      </c>
      <c r="F695" s="6" t="str">
        <f>IFERROR(__xludf.DUMMYFUNCTION("""COMPUTED_VALUE"""),"Parcelacion Campestre La Micaela Casa 25 - K4 Via al Valle Calarcá-Barcelona Vereda La Bella")</f>
        <v>Parcelacion Campestre La Micaela Casa 25 - K4 Via al Valle Calarcá-Barcelona Vereda La Bella</v>
      </c>
      <c r="G695" s="12" t="str">
        <f>IFERROR(__xludf.DUMMYFUNCTION("""COMPUTED_VALUE"""),"2011")</f>
        <v>2011</v>
      </c>
      <c r="H695" s="6" t="str">
        <f>IFERROR(__xludf.DUMMYFUNCTION("""COMPUTED_VALUE"""),"Junio")</f>
        <v>Junio</v>
      </c>
      <c r="I695" s="12" t="str">
        <f>IFERROR(__xludf.DUMMYFUNCTION("""COMPUTED_VALUE"""),"16")</f>
        <v>16</v>
      </c>
      <c r="J695" s="6" t="str">
        <f>IFERROR(__xludf.DUMMYFUNCTION("""COMPUTED_VALUE"""),"Armenia")</f>
        <v>Armenia</v>
      </c>
      <c r="K695" s="6" t="str">
        <f>IFERROR(__xludf.DUMMYFUNCTION("""COMPUTED_VALUE"""),"hanna.m2029@gi.edu.co")</f>
        <v>hanna.m2029@gi.edu.co</v>
      </c>
      <c r="L695" s="6" t="str">
        <f>IFERROR(__xludf.DUMMYFUNCTION("""COMPUTED_VALUE"""),"TI")</f>
        <v>TI</v>
      </c>
      <c r="M695" s="6" t="str">
        <f>IFERROR(__xludf.DUMMYFUNCTION("""COMPUTED_VALUE"""),"Calarcá")</f>
        <v>Calarcá</v>
      </c>
      <c r="N695" s="6" t="str">
        <f>IFERROR(__xludf.DUMMYFUNCTION("""COMPUTED_VALUE"""),"F")</f>
        <v>F</v>
      </c>
      <c r="O695" s="6" t="str">
        <f>IFERROR(__xludf.DUMMYFUNCTION("""COMPUTED_VALUE"""),"ACTIVE")</f>
        <v>ACTIVE</v>
      </c>
      <c r="P695" s="6"/>
      <c r="Q695" s="6" t="str">
        <f>IFERROR(__xludf.DUMMYFUNCTION("""COMPUTED_VALUE"""),"Calarcá")</f>
        <v>Calarcá</v>
      </c>
      <c r="R695" s="12" t="str">
        <f>IFERROR(__xludf.DUMMYFUNCTION("""COMPUTED_VALUE"""),"Gidf3752*")</f>
        <v>Gidf3752*</v>
      </c>
      <c r="S695" s="6" t="str">
        <f>IFERROR(__xludf.DUMMYFUNCTION("""COMPUTED_VALUE"""),"Marmolejo Muñoz Hanna ")</f>
        <v>Marmolejo Muñoz Hanna </v>
      </c>
      <c r="T695" s="6" t="str">
        <f>IFERROR(__xludf.DUMMYFUNCTION("""COMPUTED_VALUE"""),"ANGELA MARÍA MUÑOZ LORZA")</f>
        <v>ANGELA MARÍA MUÑOZ LORZA</v>
      </c>
      <c r="U695" s="12" t="str">
        <f>IFERROR(__xludf.DUMMYFUNCTION("""COMPUTED_VALUE"""),"66656091")</f>
        <v>66656091</v>
      </c>
      <c r="V695" s="6">
        <f>IFERROR(__xludf.DUMMYFUNCTION("""COMPUTED_VALUE"""),3.147760066E9)</f>
        <v>3147760066</v>
      </c>
      <c r="W695" s="6" t="str">
        <f>IFERROR(__xludf.DUMMYFUNCTION("""COMPUTED_VALUE"""),"angelalorza@yahoo.com.mx")</f>
        <v>angelalorza@yahoo.com.mx</v>
      </c>
      <c r="X695" s="12" t="str">
        <f>IFERROR(__xludf.DUMMYFUNCTION("""COMPUTED_VALUE"""),"B+")</f>
        <v>B+</v>
      </c>
      <c r="Y695" s="12" t="str">
        <f>IFERROR(__xludf.DUMMYFUNCTION("""COMPUTED_VALUE"""),"10")</f>
        <v>10</v>
      </c>
      <c r="Z695" s="12">
        <f>IFERROR(__xludf.DUMMYFUNCTION("""COMPUTED_VALUE"""),103752.0)</f>
        <v>103752</v>
      </c>
      <c r="AA695" s="6" t="str">
        <f>IFERROR(__xludf.DUMMYFUNCTION("""COMPUTED_VALUE"""),"SANITAS")</f>
        <v>SANITAS</v>
      </c>
      <c r="AB695" s="6"/>
      <c r="AC695" s="12" t="str">
        <f>IFERROR(__xludf.DUMMYFUNCTION("""COMPUTED_VALUE"""),"acaros, cambios de temperatura, polvo")</f>
        <v>acaros, cambios de temperatura, polvo</v>
      </c>
      <c r="AD695" s="12" t="str">
        <f>IFERROR(__xludf.DUMMYFUNCTION("""COMPUTED_VALUE"""),"10A")</f>
        <v>10A</v>
      </c>
      <c r="AE695" s="12">
        <f>IFERROR(__xludf.DUMMYFUNCTION("""COMPUTED_VALUE"""),1.345281871E9)</f>
        <v>1345281871</v>
      </c>
      <c r="AF695" s="12" t="str">
        <f>IFERROR(__xludf.DUMMYFUNCTION("""COMPUTED_VALUE"""),"0676037299")</f>
        <v>0676037299</v>
      </c>
      <c r="AG695" s="12" t="str">
        <f>IFERROR(__xludf.DUMMYFUNCTION("""COMPUTED_VALUE"""),"Angela")</f>
        <v>Angela</v>
      </c>
      <c r="AH695" s="12" t="str">
        <f>IFERROR(__xludf.DUMMYFUNCTION("""COMPUTED_VALUE"""),"Maria")</f>
        <v>Maria</v>
      </c>
      <c r="AI695" s="6" t="str">
        <f>IFERROR(__xludf.DUMMYFUNCTION("""COMPUTED_VALUE"""),"Muñoz Lorza")</f>
        <v>Muñoz Lorza</v>
      </c>
      <c r="AJ695" s="6" t="str">
        <f>IFERROR(__xludf.DUMMYFUNCTION("""COMPUTED_VALUE"""),"angelalorza@yahoo.com.mx")</f>
        <v>angelalorza@yahoo.com.mx</v>
      </c>
      <c r="AK695" s="6" t="str">
        <f>IFERROR(__xludf.DUMMYFUNCTION("""COMPUTED_VALUE"""),"Fonoaudióloga")</f>
        <v>Fonoaudióloga</v>
      </c>
      <c r="AL695" s="6" t="str">
        <f>IFERROR(__xludf.DUMMYFUNCTION("""COMPUTED_VALUE"""),"GI School")</f>
        <v>GI School</v>
      </c>
      <c r="AM695" s="12" t="str">
        <f>IFERROR(__xludf.DUMMYFUNCTION("""COMPUTED_VALUE"""),"66656091")</f>
        <v>66656091</v>
      </c>
      <c r="AN695" s="12" t="str">
        <f>IFERROR(__xludf.DUMMYFUNCTION("""COMPUTED_VALUE"""),"3147760066")</f>
        <v>3147760066</v>
      </c>
      <c r="AO695" s="6" t="str">
        <f>IFERROR(__xludf.DUMMYFUNCTION("""COMPUTED_VALUE"""),"Madre")</f>
        <v>Madre</v>
      </c>
      <c r="AP695" s="6" t="str">
        <f>IFERROR(__xludf.DUMMYFUNCTION("""COMPUTED_VALUE"""),"Estudiante(s): Marmolejo Muñoz")</f>
        <v>Estudiante(s): Marmolejo Muñoz</v>
      </c>
      <c r="AQ695" s="6" t="str">
        <f>IFERROR(__xludf.DUMMYFUNCTION("""COMPUTED_VALUE"""),"103752*Gi")</f>
        <v>103752*Gi</v>
      </c>
      <c r="AR695" s="6" t="str">
        <f>IFERROR(__xludf.DUMMYFUNCTION("""COMPUTED_VALUE"""),"Mauricio")</f>
        <v>Mauricio</v>
      </c>
      <c r="AS695" s="6"/>
      <c r="AT695" s="6" t="str">
        <f>IFERROR(__xludf.DUMMYFUNCTION("""COMPUTED_VALUE"""),"Marmolejo Bueno")</f>
        <v>Marmolejo Bueno</v>
      </c>
      <c r="AU695" s="6" t="str">
        <f>IFERROR(__xludf.DUMMYFUNCTION("""COMPUTED_VALUE"""),"mauromarmo@yahoo.es")</f>
        <v>mauromarmo@yahoo.es</v>
      </c>
      <c r="AV695" s="6" t="str">
        <f>IFERROR(__xludf.DUMMYFUNCTION("""COMPUTED_VALUE"""),"Médico Veterinario")</f>
        <v>Médico Veterinario</v>
      </c>
      <c r="AW695" s="6" t="str">
        <f>IFERROR(__xludf.DUMMYFUNCTION("""COMPUTED_VALUE"""),"Almacén Contegral")</f>
        <v>Almacén Contegral</v>
      </c>
      <c r="AX695" s="12" t="str">
        <f>IFERROR(__xludf.DUMMYFUNCTION("""COMPUTED_VALUE"""),"16802352")</f>
        <v>16802352</v>
      </c>
      <c r="AY695" s="12" t="str">
        <f>IFERROR(__xludf.DUMMYFUNCTION("""COMPUTED_VALUE"""),"3116418011")</f>
        <v>3116418011</v>
      </c>
      <c r="AZ695" s="6" t="str">
        <f>IFERROR(__xludf.DUMMYFUNCTION("""COMPUTED_VALUE"""),"Padre")</f>
        <v>Padre</v>
      </c>
      <c r="BA695" s="6"/>
      <c r="BB695" s="6"/>
      <c r="BC695" s="6"/>
      <c r="BD695" s="12" t="str">
        <f>IFERROR(__xludf.DUMMYFUNCTION("""COMPUTED_VALUE"""),"mar0014")</f>
        <v>mar0014</v>
      </c>
      <c r="BE695" s="6"/>
      <c r="BF695" s="6"/>
      <c r="BG695" s="6">
        <f>IFERROR(__xludf.DUMMYFUNCTION("""COMPUTED_VALUE"""),2029.0)</f>
        <v>2029</v>
      </c>
      <c r="BH695" s="15">
        <f>IFERROR(__xludf.DUMMYFUNCTION("""COMPUTED_VALUE"""),46185.550625)</f>
        <v>46185.55063</v>
      </c>
      <c r="BI695" s="6">
        <f>IFERROR(__xludf.DUMMYFUNCTION("""COMPUTED_VALUE"""),696.0)</f>
        <v>696</v>
      </c>
      <c r="BJ695" s="6"/>
      <c r="BK695" s="6"/>
      <c r="BL695" s="6" t="str">
        <f>IFERROR(__xludf.DUMMYFUNCTION("""COMPUTED_VALUE"""),"GISMAR0014")</f>
        <v>GISMAR0014</v>
      </c>
      <c r="BM695" s="6"/>
      <c r="BN695" s="6"/>
      <c r="BO695" s="6"/>
      <c r="BP695" s="6"/>
      <c r="BQ695" s="6"/>
      <c r="BR695" s="6"/>
      <c r="BS695" s="6"/>
      <c r="BT695" s="6"/>
      <c r="BU695" s="6" t="str">
        <f>IFERROR(__xludf.DUMMYFUNCTION("""COMPUTED_VALUE"""),"NO")</f>
        <v>NO</v>
      </c>
      <c r="BV695" s="6" t="str">
        <f>IFERROR(__xludf.DUMMYFUNCTION("""COMPUTED_VALUE"""),"hanna.m2029")</f>
        <v>hanna.m2029</v>
      </c>
      <c r="BW695" s="6"/>
      <c r="BX695" s="6"/>
      <c r="BY695" s="6"/>
      <c r="BZ695" s="6"/>
    </row>
    <row r="696">
      <c r="A696" s="12">
        <f>IFERROR(__xludf.DUMMYFUNCTION("""COMPUTED_VALUE"""),1.013483881E9)</f>
        <v>1013483881</v>
      </c>
      <c r="B696" s="6">
        <f>IFERROR(__xludf.DUMMYFUNCTION("""COMPUTED_VALUE"""),26.0)</f>
        <v>26</v>
      </c>
      <c r="C696" s="6" t="str">
        <f>IFERROR(__xludf.DUMMYFUNCTION("""COMPUTED_VALUE"""),"Amelia")</f>
        <v>Amelia</v>
      </c>
      <c r="D696" s="6"/>
      <c r="E696" s="6" t="str">
        <f>IFERROR(__xludf.DUMMYFUNCTION("""COMPUTED_VALUE"""),"Méndez Arango")</f>
        <v>Méndez Arango</v>
      </c>
      <c r="F696" s="6" t="str">
        <f>IFERROR(__xludf.DUMMYFUNCTION("""COMPUTED_VALUE"""),"Condominio Entre Maderos Casa 3 - Vereda El Congal Km 1.2 Via Circasia - Armenia")</f>
        <v>Condominio Entre Maderos Casa 3 - Vereda El Congal Km 1.2 Via Circasia - Armenia</v>
      </c>
      <c r="G696" s="12" t="str">
        <f>IFERROR(__xludf.DUMMYFUNCTION("""COMPUTED_VALUE"""),"2011")</f>
        <v>2011</v>
      </c>
      <c r="H696" s="6" t="str">
        <f>IFERROR(__xludf.DUMMYFUNCTION("""COMPUTED_VALUE"""),"Julio")</f>
        <v>Julio</v>
      </c>
      <c r="I696" s="12" t="str">
        <f>IFERROR(__xludf.DUMMYFUNCTION("""COMPUTED_VALUE"""),"11")</f>
        <v>11</v>
      </c>
      <c r="J696" s="6" t="str">
        <f>IFERROR(__xludf.DUMMYFUNCTION("""COMPUTED_VALUE"""),"Medellín")</f>
        <v>Medellín</v>
      </c>
      <c r="K696" s="6" t="str">
        <f>IFERROR(__xludf.DUMMYFUNCTION("""COMPUTED_VALUE"""),"amelia.m2029@gi.edu.co")</f>
        <v>amelia.m2029@gi.edu.co</v>
      </c>
      <c r="L696" s="6" t="str">
        <f>IFERROR(__xludf.DUMMYFUNCTION("""COMPUTED_VALUE"""),"TI")</f>
        <v>TI</v>
      </c>
      <c r="M696" s="6" t="str">
        <f>IFERROR(__xludf.DUMMYFUNCTION("""COMPUTED_VALUE"""),"Medellín")</f>
        <v>Medellín</v>
      </c>
      <c r="N696" s="6" t="str">
        <f>IFERROR(__xludf.DUMMYFUNCTION("""COMPUTED_VALUE"""),"F")</f>
        <v>F</v>
      </c>
      <c r="O696" s="6" t="str">
        <f>IFERROR(__xludf.DUMMYFUNCTION("""COMPUTED_VALUE"""),"ACTIVE")</f>
        <v>ACTIVE</v>
      </c>
      <c r="P696" s="6"/>
      <c r="Q696" s="6" t="str">
        <f>IFERROR(__xludf.DUMMYFUNCTION("""COMPUTED_VALUE"""),"Armenia")</f>
        <v>Armenia</v>
      </c>
      <c r="R696" s="12" t="str">
        <f>IFERROR(__xludf.DUMMYFUNCTION("""COMPUTED_VALUE"""),"Gi8n9mc5x4*")</f>
        <v>Gi8n9mc5x4*</v>
      </c>
      <c r="S696" s="6" t="str">
        <f>IFERROR(__xludf.DUMMYFUNCTION("""COMPUTED_VALUE"""),"Méndez Arango Amelia ")</f>
        <v>Méndez Arango Amelia </v>
      </c>
      <c r="T696" s="6" t="str">
        <f>IFERROR(__xludf.DUMMYFUNCTION("""COMPUTED_VALUE"""),"MARÍA ANDREA ARANGO ECHEVERRI")</f>
        <v>MARÍA ANDREA ARANGO ECHEVERRI</v>
      </c>
      <c r="U696" s="12" t="str">
        <f>IFERROR(__xludf.DUMMYFUNCTION("""COMPUTED_VALUE"""),"43839746")</f>
        <v>43839746</v>
      </c>
      <c r="V696" s="6">
        <f>IFERROR(__xludf.DUMMYFUNCTION("""COMPUTED_VALUE"""),3.206220681E9)</f>
        <v>3206220681</v>
      </c>
      <c r="W696" s="6" t="str">
        <f>IFERROR(__xludf.DUMMYFUNCTION("""COMPUTED_VALUE"""),"mariaandrea00@hotmail.com")</f>
        <v>mariaandrea00@hotmail.com</v>
      </c>
      <c r="X696" s="12" t="str">
        <f>IFERROR(__xludf.DUMMYFUNCTION("""COMPUTED_VALUE"""),"O+")</f>
        <v>O+</v>
      </c>
      <c r="Y696" s="12" t="str">
        <f>IFERROR(__xludf.DUMMYFUNCTION("""COMPUTED_VALUE"""),"10")</f>
        <v>10</v>
      </c>
      <c r="Z696" s="12">
        <f>IFERROR(__xludf.DUMMYFUNCTION("""COMPUTED_VALUE"""),103559.0)</f>
        <v>103559</v>
      </c>
      <c r="AA696" s="6" t="str">
        <f>IFERROR(__xludf.DUMMYFUNCTION("""COMPUTED_VALUE"""),"SURA")</f>
        <v>SURA</v>
      </c>
      <c r="AB696" s="6" t="str">
        <f>IFERROR(__xludf.DUMMYFUNCTION("""COMPUTED_VALUE"""),"EMI")</f>
        <v>EMI</v>
      </c>
      <c r="AC696" s="6"/>
      <c r="AD696" s="12" t="str">
        <f>IFERROR(__xludf.DUMMYFUNCTION("""COMPUTED_VALUE"""),"10A")</f>
        <v>10A</v>
      </c>
      <c r="AE696" s="12">
        <f>IFERROR(__xludf.DUMMYFUNCTION("""COMPUTED_VALUE"""),1.345281752E9)</f>
        <v>1345281752</v>
      </c>
      <c r="AF696" s="12" t="str">
        <f>IFERROR(__xludf.DUMMYFUNCTION("""COMPUTED_VALUE"""),"0671999155")</f>
        <v>0671999155</v>
      </c>
      <c r="AG696" s="12" t="str">
        <f>IFERROR(__xludf.DUMMYFUNCTION("""COMPUTED_VALUE"""),"María")</f>
        <v>María</v>
      </c>
      <c r="AH696" s="12" t="str">
        <f>IFERROR(__xludf.DUMMYFUNCTION("""COMPUTED_VALUE"""),"Andrea")</f>
        <v>Andrea</v>
      </c>
      <c r="AI696" s="6" t="str">
        <f>IFERROR(__xludf.DUMMYFUNCTION("""COMPUTED_VALUE"""),"Arango Echeverri")</f>
        <v>Arango Echeverri</v>
      </c>
      <c r="AJ696" s="6" t="str">
        <f>IFERROR(__xludf.DUMMYFUNCTION("""COMPUTED_VALUE"""),"mariaandrea00@hotmail.com")</f>
        <v>mariaandrea00@hotmail.com</v>
      </c>
      <c r="AK696" s="6" t="str">
        <f>IFERROR(__xludf.DUMMYFUNCTION("""COMPUTED_VALUE"""),"ABOGADA")</f>
        <v>ABOGADA</v>
      </c>
      <c r="AL696" s="6" t="str">
        <f>IFERROR(__xludf.DUMMYFUNCTION("""COMPUTED_VALUE"""),"RAMA JUDICIAL")</f>
        <v>RAMA JUDICIAL</v>
      </c>
      <c r="AM696" s="12" t="str">
        <f>IFERROR(__xludf.DUMMYFUNCTION("""COMPUTED_VALUE"""),"43839746")</f>
        <v>43839746</v>
      </c>
      <c r="AN696" s="12" t="str">
        <f>IFERROR(__xludf.DUMMYFUNCTION("""COMPUTED_VALUE"""),"3206220681")</f>
        <v>3206220681</v>
      </c>
      <c r="AO696" s="6" t="str">
        <f>IFERROR(__xludf.DUMMYFUNCTION("""COMPUTED_VALUE"""),"Madre")</f>
        <v>Madre</v>
      </c>
      <c r="AP696" s="6" t="str">
        <f>IFERROR(__xludf.DUMMYFUNCTION("""COMPUTED_VALUE"""),"Estudiante(s): Méndez Arango")</f>
        <v>Estudiante(s): Méndez Arango</v>
      </c>
      <c r="AQ696" s="6" t="str">
        <f>IFERROR(__xludf.DUMMYFUNCTION("""COMPUTED_VALUE"""),"103559*Gi")</f>
        <v>103559*Gi</v>
      </c>
      <c r="AR696" s="6" t="str">
        <f>IFERROR(__xludf.DUMMYFUNCTION("""COMPUTED_VALUE"""),"Luis")</f>
        <v>Luis</v>
      </c>
      <c r="AS696" s="6" t="str">
        <f>IFERROR(__xludf.DUMMYFUNCTION("""COMPUTED_VALUE"""),"Enrique")</f>
        <v>Enrique</v>
      </c>
      <c r="AT696" s="6" t="str">
        <f>IFERROR(__xludf.DUMMYFUNCTION("""COMPUTED_VALUE"""),"Méndez Vargas")</f>
        <v>Méndez Vargas</v>
      </c>
      <c r="AU696" s="6" t="str">
        <f>IFERROR(__xludf.DUMMYFUNCTION("""COMPUTED_VALUE"""),"enriquemvargas@gmail.com")</f>
        <v>enriquemvargas@gmail.com</v>
      </c>
      <c r="AV696" s="6"/>
      <c r="AW696" s="6"/>
      <c r="AX696" s="12" t="str">
        <f>IFERROR(__xludf.DUMMYFUNCTION("""COMPUTED_VALUE"""),"12197746")</f>
        <v>12197746</v>
      </c>
      <c r="AY696" s="12" t="str">
        <f>IFERROR(__xludf.DUMMYFUNCTION("""COMPUTED_VALUE"""),"3052233330")</f>
        <v>3052233330</v>
      </c>
      <c r="AZ696" s="6" t="str">
        <f>IFERROR(__xludf.DUMMYFUNCTION("""COMPUTED_VALUE"""),"Padre")</f>
        <v>Padre</v>
      </c>
      <c r="BA696" s="6"/>
      <c r="BB696" s="6"/>
      <c r="BC696" s="6"/>
      <c r="BD696" s="12" t="str">
        <f>IFERROR(__xludf.DUMMYFUNCTION("""COMPUTED_VALUE"""),"mnd0003")</f>
        <v>mnd0003</v>
      </c>
      <c r="BE696" s="6"/>
      <c r="BF696" s="6"/>
      <c r="BG696" s="6">
        <f>IFERROR(__xludf.DUMMYFUNCTION("""COMPUTED_VALUE"""),2029.0)</f>
        <v>2029</v>
      </c>
      <c r="BH696" s="15">
        <f>IFERROR(__xludf.DUMMYFUNCTION("""COMPUTED_VALUE"""),46211.22662037037)</f>
        <v>46211.22662</v>
      </c>
      <c r="BI696" s="6">
        <f>IFERROR(__xludf.DUMMYFUNCTION("""COMPUTED_VALUE"""),697.0)</f>
        <v>697</v>
      </c>
      <c r="BJ696" s="6"/>
      <c r="BK696" s="6"/>
      <c r="BL696" s="6" t="str">
        <f>IFERROR(__xludf.DUMMYFUNCTION("""COMPUTED_VALUE"""),"GISMND0003")</f>
        <v>GISMND0003</v>
      </c>
      <c r="BM696" s="6"/>
      <c r="BN696" s="6"/>
      <c r="BO696" s="6"/>
      <c r="BP696" s="6"/>
      <c r="BQ696" s="6"/>
      <c r="BR696" s="6"/>
      <c r="BS696" s="6"/>
      <c r="BT696" s="6"/>
      <c r="BU696" s="6" t="str">
        <f>IFERROR(__xludf.DUMMYFUNCTION("""COMPUTED_VALUE"""),"SI")</f>
        <v>SI</v>
      </c>
      <c r="BV696" s="6" t="str">
        <f>IFERROR(__xludf.DUMMYFUNCTION("""COMPUTED_VALUE"""),"amelia.m2029")</f>
        <v>amelia.m2029</v>
      </c>
      <c r="BW696" s="6"/>
      <c r="BX696" s="6"/>
      <c r="BY696" s="6"/>
      <c r="BZ696" s="6"/>
    </row>
    <row r="697">
      <c r="A697" s="12">
        <f>IFERROR(__xludf.DUMMYFUNCTION("""COMPUTED_VALUE"""),1.094934274E9)</f>
        <v>1094934274</v>
      </c>
      <c r="B697" s="6">
        <f>IFERROR(__xludf.DUMMYFUNCTION("""COMPUTED_VALUE"""),27.0)</f>
        <v>27</v>
      </c>
      <c r="C697" s="6" t="str">
        <f>IFERROR(__xludf.DUMMYFUNCTION("""COMPUTED_VALUE"""),"Jerónimo")</f>
        <v>Jerónimo</v>
      </c>
      <c r="D697" s="6"/>
      <c r="E697" s="6" t="str">
        <f>IFERROR(__xludf.DUMMYFUNCTION("""COMPUTED_VALUE"""),"Merchán Vega")</f>
        <v>Merchán Vega</v>
      </c>
      <c r="F697" s="6" t="str">
        <f>IFERROR(__xludf.DUMMYFUNCTION("""COMPUTED_VALUE"""),"Palmas de Corintia Casa 30 - Cra 19 No33Nte - 31")</f>
        <v>Palmas de Corintia Casa 30 - Cra 19 No33Nte - 31</v>
      </c>
      <c r="G697" s="12" t="str">
        <f>IFERROR(__xludf.DUMMYFUNCTION("""COMPUTED_VALUE"""),"2011")</f>
        <v>2011</v>
      </c>
      <c r="H697" s="6" t="str">
        <f>IFERROR(__xludf.DUMMYFUNCTION("""COMPUTED_VALUE"""),"Marzo")</f>
        <v>Marzo</v>
      </c>
      <c r="I697" s="12" t="str">
        <f>IFERROR(__xludf.DUMMYFUNCTION("""COMPUTED_VALUE"""),"31")</f>
        <v>31</v>
      </c>
      <c r="J697" s="6" t="str">
        <f>IFERROR(__xludf.DUMMYFUNCTION("""COMPUTED_VALUE"""),"Armenia")</f>
        <v>Armenia</v>
      </c>
      <c r="K697" s="6" t="str">
        <f>IFERROR(__xludf.DUMMYFUNCTION("""COMPUTED_VALUE"""),"jeronimo.m2029@gi.edu.co")</f>
        <v>jeronimo.m2029@gi.edu.co</v>
      </c>
      <c r="L697" s="6" t="str">
        <f>IFERROR(__xludf.DUMMYFUNCTION("""COMPUTED_VALUE"""),"TI")</f>
        <v>TI</v>
      </c>
      <c r="M697" s="6" t="str">
        <f>IFERROR(__xludf.DUMMYFUNCTION("""COMPUTED_VALUE"""),"Armenia")</f>
        <v>Armenia</v>
      </c>
      <c r="N697" s="6" t="str">
        <f>IFERROR(__xludf.DUMMYFUNCTION("""COMPUTED_VALUE"""),"M")</f>
        <v>M</v>
      </c>
      <c r="O697" s="6" t="str">
        <f>IFERROR(__xludf.DUMMYFUNCTION("""COMPUTED_VALUE"""),"ACTIVE")</f>
        <v>ACTIVE</v>
      </c>
      <c r="P697" s="6"/>
      <c r="Q697" s="6" t="str">
        <f>IFERROR(__xludf.DUMMYFUNCTION("""COMPUTED_VALUE"""),"Armenia")</f>
        <v>Armenia</v>
      </c>
      <c r="R697" s="12" t="str">
        <f>IFERROR(__xludf.DUMMYFUNCTION("""COMPUTED_VALUE"""),"Gihjb49by5*")</f>
        <v>Gihjb49by5*</v>
      </c>
      <c r="S697" s="6" t="str">
        <f>IFERROR(__xludf.DUMMYFUNCTION("""COMPUTED_VALUE"""),"Merchán Vega Jerónimo ")</f>
        <v>Merchán Vega Jerónimo </v>
      </c>
      <c r="T697" s="6" t="str">
        <f>IFERROR(__xludf.DUMMYFUNCTION("""COMPUTED_VALUE"""),"LUZ MARINA ESCOBAR ÁVILA")</f>
        <v>LUZ MARINA ESCOBAR ÁVILA</v>
      </c>
      <c r="U697" s="12" t="str">
        <f>IFERROR(__xludf.DUMMYFUNCTION("""COMPUTED_VALUE"""),"39948022")</f>
        <v>39948022</v>
      </c>
      <c r="V697" s="6">
        <f>IFERROR(__xludf.DUMMYFUNCTION("""COMPUTED_VALUE"""),3.103237305E9)</f>
        <v>3103237305</v>
      </c>
      <c r="W697" s="6" t="str">
        <f>IFERROR(__xludf.DUMMYFUNCTION("""COMPUTED_VALUE"""),"luzmarinaescobaravila@gmail.com")</f>
        <v>luzmarinaescobaravila@gmail.com</v>
      </c>
      <c r="X697" s="12" t="str">
        <f>IFERROR(__xludf.DUMMYFUNCTION("""COMPUTED_VALUE"""),"A+")</f>
        <v>A+</v>
      </c>
      <c r="Y697" s="12" t="str">
        <f>IFERROR(__xludf.DUMMYFUNCTION("""COMPUTED_VALUE"""),"10")</f>
        <v>10</v>
      </c>
      <c r="Z697" s="12">
        <f>IFERROR(__xludf.DUMMYFUNCTION("""COMPUTED_VALUE"""),103282.0)</f>
        <v>103282</v>
      </c>
      <c r="AA697" s="6" t="str">
        <f>IFERROR(__xludf.DUMMYFUNCTION("""COMPUTED_VALUE"""),"SURA")</f>
        <v>SURA</v>
      </c>
      <c r="AB697" s="6" t="str">
        <f>IFERROR(__xludf.DUMMYFUNCTION("""COMPUTED_VALUE"""),"MEDIMAS")</f>
        <v>MEDIMAS</v>
      </c>
      <c r="AC697" s="6"/>
      <c r="AD697" s="12" t="str">
        <f>IFERROR(__xludf.DUMMYFUNCTION("""COMPUTED_VALUE"""),"10B")</f>
        <v>10B</v>
      </c>
      <c r="AE697" s="12">
        <f>IFERROR(__xludf.DUMMYFUNCTION("""COMPUTED_VALUE"""),1.345281605E9)</f>
        <v>1345281605</v>
      </c>
      <c r="AF697" s="12" t="str">
        <f>IFERROR(__xludf.DUMMYFUNCTION("""COMPUTED_VALUE"""),"0699389379")</f>
        <v>0699389379</v>
      </c>
      <c r="AG697" s="12" t="str">
        <f>IFERROR(__xludf.DUMMYFUNCTION("""COMPUTED_VALUE"""),"Luz")</f>
        <v>Luz</v>
      </c>
      <c r="AH697" s="12" t="str">
        <f>IFERROR(__xludf.DUMMYFUNCTION("""COMPUTED_VALUE"""),"Marina")</f>
        <v>Marina</v>
      </c>
      <c r="AI697" s="6" t="str">
        <f>IFERROR(__xludf.DUMMYFUNCTION("""COMPUTED_VALUE"""),"Escobar Ávila")</f>
        <v>Escobar Ávila</v>
      </c>
      <c r="AJ697" s="6" t="str">
        <f>IFERROR(__xludf.DUMMYFUNCTION("""COMPUTED_VALUE"""),"luzmarinaescobaravila@gmail.com")</f>
        <v>luzmarinaescobaravila@gmail.com</v>
      </c>
      <c r="AK697" s="6"/>
      <c r="AL697" s="6"/>
      <c r="AM697" s="12" t="str">
        <f>IFERROR(__xludf.DUMMYFUNCTION("""COMPUTED_VALUE"""),"39948022")</f>
        <v>39948022</v>
      </c>
      <c r="AN697" s="12" t="str">
        <f>IFERROR(__xludf.DUMMYFUNCTION("""COMPUTED_VALUE"""),"3103237305")</f>
        <v>3103237305</v>
      </c>
      <c r="AO697" s="6" t="str">
        <f>IFERROR(__xludf.DUMMYFUNCTION("""COMPUTED_VALUE"""),"Madre")</f>
        <v>Madre</v>
      </c>
      <c r="AP697" s="6" t="str">
        <f>IFERROR(__xludf.DUMMYFUNCTION("""COMPUTED_VALUE"""),"Estudiante(s): Merchán Vega")</f>
        <v>Estudiante(s): Merchán Vega</v>
      </c>
      <c r="AQ697" s="6" t="str">
        <f>IFERROR(__xludf.DUMMYFUNCTION("""COMPUTED_VALUE"""),"103282*Gi")</f>
        <v>103282*Gi</v>
      </c>
      <c r="AR697" s="6" t="str">
        <f>IFERROR(__xludf.DUMMYFUNCTION("""COMPUTED_VALUE"""),"Luis")</f>
        <v>Luis</v>
      </c>
      <c r="AS697" s="6" t="str">
        <f>IFERROR(__xludf.DUMMYFUNCTION("""COMPUTED_VALUE"""),"Emilio")</f>
        <v>Emilio</v>
      </c>
      <c r="AT697" s="6" t="str">
        <f>IFERROR(__xludf.DUMMYFUNCTION("""COMPUTED_VALUE"""),"Vega Villamil")</f>
        <v>Vega Villamil</v>
      </c>
      <c r="AU697" s="6" t="str">
        <f>IFERROR(__xludf.DUMMYFUNCTION("""COMPUTED_VALUE"""),"luemvevi790@gmail.com")</f>
        <v>luemvevi790@gmail.com</v>
      </c>
      <c r="AV697" s="6"/>
      <c r="AW697" s="6"/>
      <c r="AX697" s="12" t="str">
        <f>IFERROR(__xludf.DUMMYFUNCTION("""COMPUTED_VALUE"""),"6008790")</f>
        <v>6008790</v>
      </c>
      <c r="AY697" s="12" t="str">
        <f>IFERROR(__xludf.DUMMYFUNCTION("""COMPUTED_VALUE"""),"3104920674")</f>
        <v>3104920674</v>
      </c>
      <c r="AZ697" s="6" t="str">
        <f>IFERROR(__xludf.DUMMYFUNCTION("""COMPUTED_VALUE"""),"Padre")</f>
        <v>Padre</v>
      </c>
      <c r="BA697" s="6"/>
      <c r="BB697" s="6"/>
      <c r="BC697" s="6"/>
      <c r="BD697" s="12" t="str">
        <f>IFERROR(__xludf.DUMMYFUNCTION("""COMPUTED_VALUE"""),"mer0002")</f>
        <v>mer0002</v>
      </c>
      <c r="BE697" s="6"/>
      <c r="BF697" s="6"/>
      <c r="BG697" s="6">
        <f>IFERROR(__xludf.DUMMYFUNCTION("""COMPUTED_VALUE"""),2029.0)</f>
        <v>2029</v>
      </c>
      <c r="BH697" s="15">
        <f>IFERROR(__xludf.DUMMYFUNCTION("""COMPUTED_VALUE"""),46211.906539351854)</f>
        <v>46211.90654</v>
      </c>
      <c r="BI697" s="6">
        <f>IFERROR(__xludf.DUMMYFUNCTION("""COMPUTED_VALUE"""),698.0)</f>
        <v>698</v>
      </c>
      <c r="BJ697" s="6"/>
      <c r="BK697" s="6"/>
      <c r="BL697" s="6" t="str">
        <f>IFERROR(__xludf.DUMMYFUNCTION("""COMPUTED_VALUE"""),"GISMER0002")</f>
        <v>GISMER0002</v>
      </c>
      <c r="BM697" s="6"/>
      <c r="BN697" s="6"/>
      <c r="BO697" s="6"/>
      <c r="BP697" s="6"/>
      <c r="BQ697" s="6"/>
      <c r="BR697" s="6"/>
      <c r="BS697" s="6"/>
      <c r="BT697" s="6"/>
      <c r="BU697" s="6" t="str">
        <f>IFERROR(__xludf.DUMMYFUNCTION("""COMPUTED_VALUE"""),"SI")</f>
        <v>SI</v>
      </c>
      <c r="BV697" s="6" t="str">
        <f>IFERROR(__xludf.DUMMYFUNCTION("""COMPUTED_VALUE"""),"jeronimo.m2029")</f>
        <v>jeronimo.m2029</v>
      </c>
      <c r="BW697" s="6"/>
      <c r="BX697" s="6"/>
      <c r="BY697" s="6"/>
      <c r="BZ697" s="6"/>
    </row>
    <row r="698">
      <c r="A698" s="12">
        <f>IFERROR(__xludf.DUMMYFUNCTION("""COMPUTED_VALUE"""),1.091204665E9)</f>
        <v>1091204665</v>
      </c>
      <c r="B698" s="6">
        <f>IFERROR(__xludf.DUMMYFUNCTION("""COMPUTED_VALUE"""),28.0)</f>
        <v>28</v>
      </c>
      <c r="C698" s="6" t="str">
        <f>IFERROR(__xludf.DUMMYFUNCTION("""COMPUTED_VALUE"""),"Samuel")</f>
        <v>Samuel</v>
      </c>
      <c r="D698" s="6"/>
      <c r="E698" s="6" t="str">
        <f>IFERROR(__xludf.DUMMYFUNCTION("""COMPUTED_VALUE"""),"Mesa Arias")</f>
        <v>Mesa Arias</v>
      </c>
      <c r="F698" s="6" t="str">
        <f>IFERROR(__xludf.DUMMYFUNCTION("""COMPUTED_VALUE"""),"Rancho la Soledad Casa 14 Etapa 2 - Km 1 Via Montenegro Armenia")</f>
        <v>Rancho la Soledad Casa 14 Etapa 2 - Km 1 Via Montenegro Armenia</v>
      </c>
      <c r="G698" s="12">
        <f>IFERROR(__xludf.DUMMYFUNCTION("""COMPUTED_VALUE"""),2009.0)</f>
        <v>2009</v>
      </c>
      <c r="H698" s="6" t="str">
        <f>IFERROR(__xludf.DUMMYFUNCTION("""COMPUTED_VALUE"""),"Agosto")</f>
        <v>Agosto</v>
      </c>
      <c r="I698" s="12">
        <f>IFERROR(__xludf.DUMMYFUNCTION("""COMPUTED_VALUE"""),25.0)</f>
        <v>25</v>
      </c>
      <c r="J698" s="6" t="str">
        <f>IFERROR(__xludf.DUMMYFUNCTION("""COMPUTED_VALUE"""),"Armenia")</f>
        <v>Armenia</v>
      </c>
      <c r="K698" s="6" t="str">
        <f>IFERROR(__xludf.DUMMYFUNCTION("""COMPUTED_VALUE"""),"samuel.m2028@gi.edu.co")</f>
        <v>samuel.m2028@gi.edu.co</v>
      </c>
      <c r="L698" s="6" t="str">
        <f>IFERROR(__xludf.DUMMYFUNCTION("""COMPUTED_VALUE"""),"TI")</f>
        <v>TI</v>
      </c>
      <c r="M698" s="6" t="str">
        <f>IFERROR(__xludf.DUMMYFUNCTION("""COMPUTED_VALUE"""),"Armenia")</f>
        <v>Armenia</v>
      </c>
      <c r="N698" s="6" t="str">
        <f>IFERROR(__xludf.DUMMYFUNCTION("""COMPUTED_VALUE"""),"M")</f>
        <v>M</v>
      </c>
      <c r="O698" s="6" t="str">
        <f>IFERROR(__xludf.DUMMYFUNCTION("""COMPUTED_VALUE"""),"ACTIVE")</f>
        <v>ACTIVE</v>
      </c>
      <c r="P698" s="6"/>
      <c r="Q698" s="6" t="str">
        <f>IFERROR(__xludf.DUMMYFUNCTION("""COMPUTED_VALUE"""),"Montenegro")</f>
        <v>Montenegro</v>
      </c>
      <c r="R698" s="12" t="str">
        <f>IFERROR(__xludf.DUMMYFUNCTION("""COMPUTED_VALUE"""),"Giihe745j7*")</f>
        <v>Giihe745j7*</v>
      </c>
      <c r="S698" s="6" t="str">
        <f>IFERROR(__xludf.DUMMYFUNCTION("""COMPUTED_VALUE"""),"Mesa Arias Samuel ")</f>
        <v>Mesa Arias Samuel </v>
      </c>
      <c r="T698" s="6" t="str">
        <f>IFERROR(__xludf.DUMMYFUNCTION("""COMPUTED_VALUE"""),"JUAN CAMILO MESA VELASQUEZ")</f>
        <v>JUAN CAMILO MESA VELASQUEZ</v>
      </c>
      <c r="U698" s="12" t="str">
        <f>IFERROR(__xludf.DUMMYFUNCTION("""COMPUTED_VALUE"""),"9731559")</f>
        <v>9731559</v>
      </c>
      <c r="V698" s="6">
        <f>IFERROR(__xludf.DUMMYFUNCTION("""COMPUTED_VALUE"""),3.128620831E9)</f>
        <v>3128620831</v>
      </c>
      <c r="W698" s="6" t="str">
        <f>IFERROR(__xludf.DUMMYFUNCTION("""COMPUTED_VALUE"""),"jcmv777999@gmail.com")</f>
        <v>jcmv777999@gmail.com</v>
      </c>
      <c r="X698" s="12" t="str">
        <f>IFERROR(__xludf.DUMMYFUNCTION("""COMPUTED_VALUE"""),"O+")</f>
        <v>O+</v>
      </c>
      <c r="Y698" s="12">
        <f>IFERROR(__xludf.DUMMYFUNCTION("""COMPUTED_VALUE"""),10.0)</f>
        <v>10</v>
      </c>
      <c r="Z698" s="12">
        <f>IFERROR(__xludf.DUMMYFUNCTION("""COMPUTED_VALUE"""),102996.0)</f>
        <v>102996</v>
      </c>
      <c r="AA698" s="6" t="str">
        <f>IFERROR(__xludf.DUMMYFUNCTION("""COMPUTED_VALUE"""),"SURA")</f>
        <v>SURA</v>
      </c>
      <c r="AB698" s="6"/>
      <c r="AC698" s="6"/>
      <c r="AD698" s="12" t="str">
        <f>IFERROR(__xludf.DUMMYFUNCTION("""COMPUTED_VALUE"""),"10A")</f>
        <v>10A</v>
      </c>
      <c r="AE698" s="12" t="str">
        <f>IFERROR(__xludf.DUMMYFUNCTION("""COMPUTED_VALUE"""),"1345281438")</f>
        <v>1345281438</v>
      </c>
      <c r="AF698" s="6"/>
      <c r="AG698" s="12" t="str">
        <f>IFERROR(__xludf.DUMMYFUNCTION("""COMPUTED_VALUE"""),"Ángela")</f>
        <v>Ángela</v>
      </c>
      <c r="AH698" s="12" t="str">
        <f>IFERROR(__xludf.DUMMYFUNCTION("""COMPUTED_VALUE"""),"María")</f>
        <v>María</v>
      </c>
      <c r="AI698" s="6" t="str">
        <f>IFERROR(__xludf.DUMMYFUNCTION("""COMPUTED_VALUE"""),"Arias Urueña")</f>
        <v>Arias Urueña</v>
      </c>
      <c r="AJ698" s="6" t="str">
        <f>IFERROR(__xludf.DUMMYFUNCTION("""COMPUTED_VALUE"""),"amau22488@hotmail.com")</f>
        <v>amau22488@hotmail.com</v>
      </c>
      <c r="AK698" s="6" t="str">
        <f>IFERROR(__xludf.DUMMYFUNCTION("""COMPUTED_VALUE"""),"abogada")</f>
        <v>abogada</v>
      </c>
      <c r="AL698" s="6" t="str">
        <f>IFERROR(__xludf.DUMMYFUNCTION("""COMPUTED_VALUE"""),"RAMA JUDICIAL")</f>
        <v>RAMA JUDICIAL</v>
      </c>
      <c r="AM698" s="12" t="str">
        <f>IFERROR(__xludf.DUMMYFUNCTION("""COMPUTED_VALUE"""),"1094894959")</f>
        <v>1094894959</v>
      </c>
      <c r="AN698" s="12" t="str">
        <f>IFERROR(__xludf.DUMMYFUNCTION("""COMPUTED_VALUE"""),"3164417967")</f>
        <v>3164417967</v>
      </c>
      <c r="AO698" s="6" t="str">
        <f>IFERROR(__xludf.DUMMYFUNCTION("""COMPUTED_VALUE"""),"Madre")</f>
        <v>Madre</v>
      </c>
      <c r="AP698" s="6" t="str">
        <f>IFERROR(__xludf.DUMMYFUNCTION("""COMPUTED_VALUE"""),"Estudiante(s): Mesa Arias")</f>
        <v>Estudiante(s): Mesa Arias</v>
      </c>
      <c r="AQ698" s="6" t="str">
        <f>IFERROR(__xludf.DUMMYFUNCTION("""COMPUTED_VALUE"""),"102996*Gi")</f>
        <v>102996*Gi</v>
      </c>
      <c r="AR698" s="6" t="str">
        <f>IFERROR(__xludf.DUMMYFUNCTION("""COMPUTED_VALUE"""),"Juan")</f>
        <v>Juan</v>
      </c>
      <c r="AS698" s="6" t="str">
        <f>IFERROR(__xludf.DUMMYFUNCTION("""COMPUTED_VALUE"""),"Camilo")</f>
        <v>Camilo</v>
      </c>
      <c r="AT698" s="6" t="str">
        <f>IFERROR(__xludf.DUMMYFUNCTION("""COMPUTED_VALUE"""),"Mesa Velásquez")</f>
        <v>Mesa Velásquez</v>
      </c>
      <c r="AU698" s="6" t="str">
        <f>IFERROR(__xludf.DUMMYFUNCTION("""COMPUTED_VALUE"""),"jcmv777999@gmail.com")</f>
        <v>jcmv777999@gmail.com</v>
      </c>
      <c r="AV698" s="6" t="str">
        <f>IFERROR(__xludf.DUMMYFUNCTION("""COMPUTED_VALUE"""),"ABOGADO")</f>
        <v>ABOGADO</v>
      </c>
      <c r="AW698" s="6" t="str">
        <f>IFERROR(__xludf.DUMMYFUNCTION("""COMPUTED_VALUE"""),"FISCALIA GENERAL DE LA NACION")</f>
        <v>FISCALIA GENERAL DE LA NACION</v>
      </c>
      <c r="AX698" s="12" t="str">
        <f>IFERROR(__xludf.DUMMYFUNCTION("""COMPUTED_VALUE"""),"9731559")</f>
        <v>9731559</v>
      </c>
      <c r="AY698" s="12" t="str">
        <f>IFERROR(__xludf.DUMMYFUNCTION("""COMPUTED_VALUE"""),"3128620831")</f>
        <v>3128620831</v>
      </c>
      <c r="AZ698" s="6" t="str">
        <f>IFERROR(__xludf.DUMMYFUNCTION("""COMPUTED_VALUE"""),"Padre")</f>
        <v>Padre</v>
      </c>
      <c r="BA698" s="6"/>
      <c r="BB698" s="6"/>
      <c r="BC698" s="6"/>
      <c r="BD698" s="12" t="str">
        <f>IFERROR(__xludf.DUMMYFUNCTION("""COMPUTED_VALUE"""),"mes0004")</f>
        <v>mes0004</v>
      </c>
      <c r="BE698" s="12" t="str">
        <f>IFERROR(__xludf.DUMMYFUNCTION("""COMPUTED_VALUE"""),"REPITENTE")</f>
        <v>REPITENTE</v>
      </c>
      <c r="BF698" s="12" t="str">
        <f>IFERROR(__xludf.DUMMYFUNCTION("""COMPUTED_VALUE"""),"REPITENTE")</f>
        <v>REPITENTE</v>
      </c>
      <c r="BG698" s="6">
        <f>IFERROR(__xludf.DUMMYFUNCTION("""COMPUTED_VALUE"""),2029.0)</f>
        <v>2029</v>
      </c>
      <c r="BH698" s="15">
        <f>IFERROR(__xludf.DUMMYFUNCTION("""COMPUTED_VALUE"""),46203.66012731481)</f>
        <v>46203.66013</v>
      </c>
      <c r="BI698" s="6">
        <f>IFERROR(__xludf.DUMMYFUNCTION("""COMPUTED_VALUE"""),699.0)</f>
        <v>699</v>
      </c>
      <c r="BJ698" s="6"/>
      <c r="BK698" s="6"/>
      <c r="BL698" s="6" t="str">
        <f>IFERROR(__xludf.DUMMYFUNCTION("""COMPUTED_VALUE"""),"GISMES0004")</f>
        <v>GISMES0004</v>
      </c>
      <c r="BM698" s="6"/>
      <c r="BN698" s="6"/>
      <c r="BO698" s="6"/>
      <c r="BP698" s="6"/>
      <c r="BQ698" s="6"/>
      <c r="BR698" s="6"/>
      <c r="BS698" s="6"/>
      <c r="BT698" s="6"/>
      <c r="BU698" s="6" t="str">
        <f>IFERROR(__xludf.DUMMYFUNCTION("""COMPUTED_VALUE"""),"SI")</f>
        <v>SI</v>
      </c>
      <c r="BV698" s="6" t="str">
        <f>IFERROR(__xludf.DUMMYFUNCTION("""COMPUTED_VALUE"""),"samuel.m2028")</f>
        <v>samuel.m2028</v>
      </c>
      <c r="BW698" s="6"/>
      <c r="BX698" s="6"/>
      <c r="BY698" s="6"/>
      <c r="BZ698" s="6"/>
    </row>
    <row r="699">
      <c r="A699" s="12">
        <f>IFERROR(__xludf.DUMMYFUNCTION("""COMPUTED_VALUE"""),1.089610418E9)</f>
        <v>1089610418</v>
      </c>
      <c r="B699" s="6">
        <f>IFERROR(__xludf.DUMMYFUNCTION("""COMPUTED_VALUE"""),29.0)</f>
        <v>29</v>
      </c>
      <c r="C699" s="6" t="str">
        <f>IFERROR(__xludf.DUMMYFUNCTION("""COMPUTED_VALUE"""),"Salomé")</f>
        <v>Salomé</v>
      </c>
      <c r="D699" s="6"/>
      <c r="E699" s="6" t="str">
        <f>IFERROR(__xludf.DUMMYFUNCTION("""COMPUTED_VALUE"""),"Mosquera Ramírez")</f>
        <v>Mosquera Ramírez</v>
      </c>
      <c r="F699" s="6" t="str">
        <f>IFERROR(__xludf.DUMMYFUNCTION("""COMPUTED_VALUE"""),"Edificio Cana Apto 503 - Calle 19Nte No19 - 54")</f>
        <v>Edificio Cana Apto 503 - Calle 19Nte No19 - 54</v>
      </c>
      <c r="G699" s="12" t="str">
        <f>IFERROR(__xludf.DUMMYFUNCTION("""COMPUTED_VALUE"""),"2010")</f>
        <v>2010</v>
      </c>
      <c r="H699" s="6" t="str">
        <f>IFERROR(__xludf.DUMMYFUNCTION("""COMPUTED_VALUE"""),"Diciembre")</f>
        <v>Diciembre</v>
      </c>
      <c r="I699" s="12" t="str">
        <f>IFERROR(__xludf.DUMMYFUNCTION("""COMPUTED_VALUE"""),"1")</f>
        <v>1</v>
      </c>
      <c r="J699" s="6" t="str">
        <f>IFERROR(__xludf.DUMMYFUNCTION("""COMPUTED_VALUE"""),"Pereira")</f>
        <v>Pereira</v>
      </c>
      <c r="K699" s="6" t="str">
        <f>IFERROR(__xludf.DUMMYFUNCTION("""COMPUTED_VALUE"""),"salome.m2029@gi.edu.co")</f>
        <v>salome.m2029@gi.edu.co</v>
      </c>
      <c r="L699" s="6" t="str">
        <f>IFERROR(__xludf.DUMMYFUNCTION("""COMPUTED_VALUE"""),"RC")</f>
        <v>RC</v>
      </c>
      <c r="M699" s="6" t="str">
        <f>IFERROR(__xludf.DUMMYFUNCTION("""COMPUTED_VALUE"""),"Pereira")</f>
        <v>Pereira</v>
      </c>
      <c r="N699" s="6" t="str">
        <f>IFERROR(__xludf.DUMMYFUNCTION("""COMPUTED_VALUE"""),"F")</f>
        <v>F</v>
      </c>
      <c r="O699" s="6" t="str">
        <f>IFERROR(__xludf.DUMMYFUNCTION("""COMPUTED_VALUE"""),"ACTIVE")</f>
        <v>ACTIVE</v>
      </c>
      <c r="P699" s="6"/>
      <c r="Q699" s="6" t="str">
        <f>IFERROR(__xludf.DUMMYFUNCTION("""COMPUTED_VALUE"""),"Armenia")</f>
        <v>Armenia</v>
      </c>
      <c r="R699" s="12" t="str">
        <f>IFERROR(__xludf.DUMMYFUNCTION("""COMPUTED_VALUE"""),"Gi769bg86g*")</f>
        <v>Gi769bg86g*</v>
      </c>
      <c r="S699" s="6" t="str">
        <f>IFERROR(__xludf.DUMMYFUNCTION("""COMPUTED_VALUE"""),"Mosquera Ramírez Salomé ")</f>
        <v>Mosquera Ramírez Salomé </v>
      </c>
      <c r="T699" s="6" t="str">
        <f>IFERROR(__xludf.DUMMYFUNCTION("""COMPUTED_VALUE"""),"JORGE HUMBERTO MOSQUERA ALVAREZ")</f>
        <v>JORGE HUMBERTO MOSQUERA ALVAREZ</v>
      </c>
      <c r="U699" s="12" t="str">
        <f>IFERROR(__xludf.DUMMYFUNCTION("""COMPUTED_VALUE"""),"79934886")</f>
        <v>79934886</v>
      </c>
      <c r="V699" s="6">
        <f>IFERROR(__xludf.DUMMYFUNCTION("""COMPUTED_VALUE"""),3.148881876E9)</f>
        <v>3148881876</v>
      </c>
      <c r="W699" s="6" t="str">
        <f>IFERROR(__xludf.DUMMYFUNCTION("""COMPUTED_VALUE"""),"mosquera79@yahoo.es")</f>
        <v>mosquera79@yahoo.es</v>
      </c>
      <c r="X699" s="12" t="str">
        <f>IFERROR(__xludf.DUMMYFUNCTION("""COMPUTED_VALUE"""),"O+")</f>
        <v>O+</v>
      </c>
      <c r="Y699" s="12" t="str">
        <f>IFERROR(__xludf.DUMMYFUNCTION("""COMPUTED_VALUE"""),"10")</f>
        <v>10</v>
      </c>
      <c r="Z699" s="12">
        <f>IFERROR(__xludf.DUMMYFUNCTION("""COMPUTED_VALUE"""),103592.0)</f>
        <v>103592</v>
      </c>
      <c r="AA699" s="6" t="str">
        <f>IFERROR(__xludf.DUMMYFUNCTION("""COMPUTED_VALUE"""),"SURA")</f>
        <v>SURA</v>
      </c>
      <c r="AB699" s="6" t="str">
        <f>IFERROR(__xludf.DUMMYFUNCTION("""COMPUTED_VALUE"""),"EMI")</f>
        <v>EMI</v>
      </c>
      <c r="AC699" s="6"/>
      <c r="AD699" s="12" t="str">
        <f>IFERROR(__xludf.DUMMYFUNCTION("""COMPUTED_VALUE"""),"10B")</f>
        <v>10B</v>
      </c>
      <c r="AE699" s="12">
        <f>IFERROR(__xludf.DUMMYFUNCTION("""COMPUTED_VALUE"""),1.345281789E9)</f>
        <v>1345281789</v>
      </c>
      <c r="AF699" s="12" t="str">
        <f>IFERROR(__xludf.DUMMYFUNCTION("""COMPUTED_VALUE"""),"0143956992")</f>
        <v>0143956992</v>
      </c>
      <c r="AG699" s="12" t="str">
        <f>IFERROR(__xludf.DUMMYFUNCTION("""COMPUTED_VALUE"""),"Alejandra")</f>
        <v>Alejandra</v>
      </c>
      <c r="AH699" s="6"/>
      <c r="AI699" s="6" t="str">
        <f>IFERROR(__xludf.DUMMYFUNCTION("""COMPUTED_VALUE"""),"Ramírez Rojas")</f>
        <v>Ramírez Rojas</v>
      </c>
      <c r="AJ699" s="6" t="str">
        <f>IFERROR(__xludf.DUMMYFUNCTION("""COMPUTED_VALUE"""),"ramirezraleja@gmail.com")</f>
        <v>ramirezraleja@gmail.com</v>
      </c>
      <c r="AK699" s="6"/>
      <c r="AL699" s="6"/>
      <c r="AM699" s="12" t="str">
        <f>IFERROR(__xludf.DUMMYFUNCTION("""COMPUTED_VALUE"""),"41945660")</f>
        <v>41945660</v>
      </c>
      <c r="AN699" s="12" t="str">
        <f>IFERROR(__xludf.DUMMYFUNCTION("""COMPUTED_VALUE"""),"3137665181")</f>
        <v>3137665181</v>
      </c>
      <c r="AO699" s="6" t="str">
        <f>IFERROR(__xludf.DUMMYFUNCTION("""COMPUTED_VALUE"""),"Madre")</f>
        <v>Madre</v>
      </c>
      <c r="AP699" s="6" t="str">
        <f>IFERROR(__xludf.DUMMYFUNCTION("""COMPUTED_VALUE"""),"Estudiante(s): Mosquera Ramírez")</f>
        <v>Estudiante(s): Mosquera Ramírez</v>
      </c>
      <c r="AQ699" s="6" t="str">
        <f>IFERROR(__xludf.DUMMYFUNCTION("""COMPUTED_VALUE"""),"103592*Gi")</f>
        <v>103592*Gi</v>
      </c>
      <c r="AR699" s="6" t="str">
        <f>IFERROR(__xludf.DUMMYFUNCTION("""COMPUTED_VALUE"""),"Jorge")</f>
        <v>Jorge</v>
      </c>
      <c r="AS699" s="6" t="str">
        <f>IFERROR(__xludf.DUMMYFUNCTION("""COMPUTED_VALUE"""),"Humberto")</f>
        <v>Humberto</v>
      </c>
      <c r="AT699" s="6" t="str">
        <f>IFERROR(__xludf.DUMMYFUNCTION("""COMPUTED_VALUE"""),"Mosquera Álvarez")</f>
        <v>Mosquera Álvarez</v>
      </c>
      <c r="AU699" s="6" t="str">
        <f>IFERROR(__xludf.DUMMYFUNCTION("""COMPUTED_VALUE"""),"mosquera79@yahoo.es")</f>
        <v>mosquera79@yahoo.es</v>
      </c>
      <c r="AV699" s="6" t="str">
        <f>IFERROR(__xludf.DUMMYFUNCTION("""COMPUTED_VALUE"""),"Ingeniero Agroindustrial")</f>
        <v>Ingeniero Agroindustrial</v>
      </c>
      <c r="AW699" s="6" t="str">
        <f>IFERROR(__xludf.DUMMYFUNCTION("""COMPUTED_VALUE"""),"Salud Seguridad Y Ambiente")</f>
        <v>Salud Seguridad Y Ambiente</v>
      </c>
      <c r="AX699" s="12" t="str">
        <f>IFERROR(__xludf.DUMMYFUNCTION("""COMPUTED_VALUE"""),"79934886")</f>
        <v>79934886</v>
      </c>
      <c r="AY699" s="12" t="str">
        <f>IFERROR(__xludf.DUMMYFUNCTION("""COMPUTED_VALUE"""),"3148881876")</f>
        <v>3148881876</v>
      </c>
      <c r="AZ699" s="6" t="str">
        <f>IFERROR(__xludf.DUMMYFUNCTION("""COMPUTED_VALUE"""),"Padre")</f>
        <v>Padre</v>
      </c>
      <c r="BA699" s="6"/>
      <c r="BB699" s="6"/>
      <c r="BC699" s="6"/>
      <c r="BD699" s="12" t="str">
        <f>IFERROR(__xludf.DUMMYFUNCTION("""COMPUTED_VALUE"""),"mos0003")</f>
        <v>mos0003</v>
      </c>
      <c r="BE699" s="6"/>
      <c r="BF699" s="6"/>
      <c r="BG699" s="6">
        <f>IFERROR(__xludf.DUMMYFUNCTION("""COMPUTED_VALUE"""),2029.0)</f>
        <v>2029</v>
      </c>
      <c r="BH699" s="15">
        <f>IFERROR(__xludf.DUMMYFUNCTION("""COMPUTED_VALUE"""),46210.307280092595)</f>
        <v>46210.30728</v>
      </c>
      <c r="BI699" s="6">
        <f>IFERROR(__xludf.DUMMYFUNCTION("""COMPUTED_VALUE"""),700.0)</f>
        <v>700</v>
      </c>
      <c r="BJ699" s="6"/>
      <c r="BK699" s="6"/>
      <c r="BL699" s="6" t="str">
        <f>IFERROR(__xludf.DUMMYFUNCTION("""COMPUTED_VALUE"""),"GISMOS0003")</f>
        <v>GISMOS0003</v>
      </c>
      <c r="BM699" s="6"/>
      <c r="BN699" s="6"/>
      <c r="BO699" s="6"/>
      <c r="BP699" s="6"/>
      <c r="BQ699" s="6"/>
      <c r="BR699" s="6"/>
      <c r="BS699" s="6"/>
      <c r="BT699" s="6"/>
      <c r="BU699" s="6" t="str">
        <f>IFERROR(__xludf.DUMMYFUNCTION("""COMPUTED_VALUE"""),"NO")</f>
        <v>NO</v>
      </c>
      <c r="BV699" s="6" t="str">
        <f>IFERROR(__xludf.DUMMYFUNCTION("""COMPUTED_VALUE"""),"salome.m2029")</f>
        <v>salome.m2029</v>
      </c>
      <c r="BW699" s="6"/>
      <c r="BX699" s="6"/>
      <c r="BY699" s="6"/>
      <c r="BZ699" s="6"/>
    </row>
    <row r="700">
      <c r="A700" s="12">
        <f>IFERROR(__xludf.DUMMYFUNCTION("""COMPUTED_VALUE"""),1.091886654E9)</f>
        <v>1091886654</v>
      </c>
      <c r="B700" s="6">
        <f>IFERROR(__xludf.DUMMYFUNCTION("""COMPUTED_VALUE"""),30.0)</f>
        <v>30</v>
      </c>
      <c r="C700" s="6" t="str">
        <f>IFERROR(__xludf.DUMMYFUNCTION("""COMPUTED_VALUE"""),"Mateo")</f>
        <v>Mateo</v>
      </c>
      <c r="D700" s="6"/>
      <c r="E700" s="6" t="str">
        <f>IFERROR(__xludf.DUMMYFUNCTION("""COMPUTED_VALUE"""),"Muñoz Cuartas")</f>
        <v>Muñoz Cuartas</v>
      </c>
      <c r="F700" s="6" t="str">
        <f>IFERROR(__xludf.DUMMYFUNCTION("""COMPUTED_VALUE"""),"Condominio Reserva de la Sabana Casa 52 - Calle 24Nte No5 - 07 Av Centenario")</f>
        <v>Condominio Reserva de la Sabana Casa 52 - Calle 24Nte No5 - 07 Av Centenario</v>
      </c>
      <c r="G700" s="12" t="str">
        <f>IFERROR(__xludf.DUMMYFUNCTION("""COMPUTED_VALUE"""),"2011")</f>
        <v>2011</v>
      </c>
      <c r="H700" s="6" t="str">
        <f>IFERROR(__xludf.DUMMYFUNCTION("""COMPUTED_VALUE"""),"Enero")</f>
        <v>Enero</v>
      </c>
      <c r="I700" s="12" t="str">
        <f>IFERROR(__xludf.DUMMYFUNCTION("""COMPUTED_VALUE"""),"14")</f>
        <v>14</v>
      </c>
      <c r="J700" s="6" t="str">
        <f>IFERROR(__xludf.DUMMYFUNCTION("""COMPUTED_VALUE"""),"Armenia")</f>
        <v>Armenia</v>
      </c>
      <c r="K700" s="6" t="str">
        <f>IFERROR(__xludf.DUMMYFUNCTION("""COMPUTED_VALUE"""),"mateo.m2028@gi.edu.co")</f>
        <v>mateo.m2028@gi.edu.co</v>
      </c>
      <c r="L700" s="6" t="str">
        <f>IFERROR(__xludf.DUMMYFUNCTION("""COMPUTED_VALUE"""),"TI")</f>
        <v>TI</v>
      </c>
      <c r="M700" s="6" t="str">
        <f>IFERROR(__xludf.DUMMYFUNCTION("""COMPUTED_VALUE"""),"Filandia")</f>
        <v>Filandia</v>
      </c>
      <c r="N700" s="6" t="str">
        <f>IFERROR(__xludf.DUMMYFUNCTION("""COMPUTED_VALUE"""),"M")</f>
        <v>M</v>
      </c>
      <c r="O700" s="6" t="str">
        <f>IFERROR(__xludf.DUMMYFUNCTION("""COMPUTED_VALUE"""),"ACTIVE")</f>
        <v>ACTIVE</v>
      </c>
      <c r="P700" s="6"/>
      <c r="Q700" s="6" t="str">
        <f>IFERROR(__xludf.DUMMYFUNCTION("""COMPUTED_VALUE"""),"Armenia")</f>
        <v>Armenia</v>
      </c>
      <c r="R700" s="12" t="str">
        <f>IFERROR(__xludf.DUMMYFUNCTION("""COMPUTED_VALUE"""),"Gi9r854149*")</f>
        <v>Gi9r854149*</v>
      </c>
      <c r="S700" s="6" t="str">
        <f>IFERROR(__xludf.DUMMYFUNCTION("""COMPUTED_VALUE"""),"Muñoz Cuartas Mateo ")</f>
        <v>Muñoz Cuartas Mateo </v>
      </c>
      <c r="T700" s="6" t="str">
        <f>IFERROR(__xludf.DUMMYFUNCTION("""COMPUTED_VALUE"""),"NIDIA JOHANA CUARTAS ALVAREZ")</f>
        <v>NIDIA JOHANA CUARTAS ALVAREZ</v>
      </c>
      <c r="U700" s="12" t="str">
        <f>IFERROR(__xludf.DUMMYFUNCTION("""COMPUTED_VALUE"""),"41946578")</f>
        <v>41946578</v>
      </c>
      <c r="V700" s="6">
        <f>IFERROR(__xludf.DUMMYFUNCTION("""COMPUTED_VALUE"""),3.206989917E9)</f>
        <v>3206989917</v>
      </c>
      <c r="W700" s="6" t="str">
        <f>IFERROR(__xludf.DUMMYFUNCTION("""COMPUTED_VALUE"""),"niyotis@hotmail.com")</f>
        <v>niyotis@hotmail.com</v>
      </c>
      <c r="X700" s="12" t="str">
        <f>IFERROR(__xludf.DUMMYFUNCTION("""COMPUTED_VALUE"""),"O-")</f>
        <v>O-</v>
      </c>
      <c r="Y700" s="12" t="str">
        <f>IFERROR(__xludf.DUMMYFUNCTION("""COMPUTED_VALUE"""),"10")</f>
        <v>10</v>
      </c>
      <c r="Z700" s="12">
        <f>IFERROR(__xludf.DUMMYFUNCTION("""COMPUTED_VALUE"""),102839.0)</f>
        <v>102839</v>
      </c>
      <c r="AA700" s="6" t="str">
        <f>IFERROR(__xludf.DUMMYFUNCTION("""COMPUTED_VALUE"""),"NUEVA EPS")</f>
        <v>NUEVA EPS</v>
      </c>
      <c r="AB700" s="6"/>
      <c r="AC700" s="12" t="str">
        <f>IFERROR(__xludf.DUMMYFUNCTION("""COMPUTED_VALUE"""),"Acaros")</f>
        <v>Acaros</v>
      </c>
      <c r="AD700" s="12" t="str">
        <f>IFERROR(__xludf.DUMMYFUNCTION("""COMPUTED_VALUE"""),"10B")</f>
        <v>10B</v>
      </c>
      <c r="AE700" s="12">
        <f>IFERROR(__xludf.DUMMYFUNCTION("""COMPUTED_VALUE"""),1.345281384E9)</f>
        <v>1345281384</v>
      </c>
      <c r="AF700" s="12" t="str">
        <f>IFERROR(__xludf.DUMMYFUNCTION("""COMPUTED_VALUE"""),"0673697619")</f>
        <v>0673697619</v>
      </c>
      <c r="AG700" s="12" t="str">
        <f>IFERROR(__xludf.DUMMYFUNCTION("""COMPUTED_VALUE"""),"Nidia")</f>
        <v>Nidia</v>
      </c>
      <c r="AH700" s="12" t="str">
        <f>IFERROR(__xludf.DUMMYFUNCTION("""COMPUTED_VALUE"""),"Johana")</f>
        <v>Johana</v>
      </c>
      <c r="AI700" s="6" t="str">
        <f>IFERROR(__xludf.DUMMYFUNCTION("""COMPUTED_VALUE"""),"Cuartas Álvarez")</f>
        <v>Cuartas Álvarez</v>
      </c>
      <c r="AJ700" s="6" t="str">
        <f>IFERROR(__xludf.DUMMYFUNCTION("""COMPUTED_VALUE"""),"niyotis@hotmail.com")</f>
        <v>niyotis@hotmail.com</v>
      </c>
      <c r="AK700" s="6" t="str">
        <f>IFERROR(__xludf.DUMMYFUNCTION("""COMPUTED_VALUE"""),"Odontóloga-ortodoncista")</f>
        <v>Odontóloga-ortodoncista</v>
      </c>
      <c r="AL700" s="6" t="str">
        <f>IFERROR(__xludf.DUMMYFUNCTION("""COMPUTED_VALUE"""),"Consultorio Odontológico Dra Nidia Johana Cuartas")</f>
        <v>Consultorio Odontológico Dra Nidia Johana Cuartas</v>
      </c>
      <c r="AM700" s="12" t="str">
        <f>IFERROR(__xludf.DUMMYFUNCTION("""COMPUTED_VALUE"""),"41946578")</f>
        <v>41946578</v>
      </c>
      <c r="AN700" s="12" t="str">
        <f>IFERROR(__xludf.DUMMYFUNCTION("""COMPUTED_VALUE"""),"3206989917")</f>
        <v>3206989917</v>
      </c>
      <c r="AO700" s="6" t="str">
        <f>IFERROR(__xludf.DUMMYFUNCTION("""COMPUTED_VALUE"""),"Madre")</f>
        <v>Madre</v>
      </c>
      <c r="AP700" s="6" t="str">
        <f>IFERROR(__xludf.DUMMYFUNCTION("""COMPUTED_VALUE"""),"Estudiante(s): Muñoz Cuartas")</f>
        <v>Estudiante(s): Muñoz Cuartas</v>
      </c>
      <c r="AQ700" s="6" t="str">
        <f>IFERROR(__xludf.DUMMYFUNCTION("""COMPUTED_VALUE"""),"102839*Gi")</f>
        <v>102839*Gi</v>
      </c>
      <c r="AR700" s="6" t="str">
        <f>IFERROR(__xludf.DUMMYFUNCTION("""COMPUTED_VALUE"""),"Mauricio")</f>
        <v>Mauricio</v>
      </c>
      <c r="AS700" s="6"/>
      <c r="AT700" s="6" t="str">
        <f>IFERROR(__xludf.DUMMYFUNCTION("""COMPUTED_VALUE"""),"Muñoz Giraldo")</f>
        <v>Muñoz Giraldo</v>
      </c>
      <c r="AU700" s="6" t="str">
        <f>IFERROR(__xludf.DUMMYFUNCTION("""COMPUTED_VALUE"""),"mauriciomunozgiraldo@hotmail.com")</f>
        <v>mauriciomunozgiraldo@hotmail.com</v>
      </c>
      <c r="AV700" s="6"/>
      <c r="AW700" s="6"/>
      <c r="AX700" s="12" t="str">
        <f>IFERROR(__xludf.DUMMYFUNCTION("""COMPUTED_VALUE"""),"9732025")</f>
        <v>9732025</v>
      </c>
      <c r="AY700" s="12" t="str">
        <f>IFERROR(__xludf.DUMMYFUNCTION("""COMPUTED_VALUE"""),"3136465226")</f>
        <v>3136465226</v>
      </c>
      <c r="AZ700" s="6" t="str">
        <f>IFERROR(__xludf.DUMMYFUNCTION("""COMPUTED_VALUE"""),"Padre")</f>
        <v>Padre</v>
      </c>
      <c r="BA700" s="6"/>
      <c r="BB700" s="6"/>
      <c r="BC700" s="6"/>
      <c r="BD700" s="12" t="str">
        <f>IFERROR(__xludf.DUMMYFUNCTION("""COMPUTED_VALUE"""),"muo0003")</f>
        <v>muo0003</v>
      </c>
      <c r="BE700" s="6"/>
      <c r="BF700" s="6"/>
      <c r="BG700" s="6">
        <f>IFERROR(__xludf.DUMMYFUNCTION("""COMPUTED_VALUE"""),2029.0)</f>
        <v>2029</v>
      </c>
      <c r="BH700" s="15">
        <f>IFERROR(__xludf.DUMMYFUNCTION("""COMPUTED_VALUE"""),46211.62185185185)</f>
        <v>46211.62185</v>
      </c>
      <c r="BI700" s="6">
        <f>IFERROR(__xludf.DUMMYFUNCTION("""COMPUTED_VALUE"""),701.0)</f>
        <v>701</v>
      </c>
      <c r="BJ700" s="6"/>
      <c r="BK700" s="6"/>
      <c r="BL700" s="6" t="str">
        <f>IFERROR(__xludf.DUMMYFUNCTION("""COMPUTED_VALUE"""),"GISMUO0003")</f>
        <v>GISMUO0003</v>
      </c>
      <c r="BM700" s="6"/>
      <c r="BN700" s="6"/>
      <c r="BO700" s="6"/>
      <c r="BP700" s="6"/>
      <c r="BQ700" s="6"/>
      <c r="BR700" s="6"/>
      <c r="BS700" s="6"/>
      <c r="BT700" s="6"/>
      <c r="BU700" s="6" t="str">
        <f>IFERROR(__xludf.DUMMYFUNCTION("""COMPUTED_VALUE"""),"SI")</f>
        <v>SI</v>
      </c>
      <c r="BV700" s="6" t="str">
        <f>IFERROR(__xludf.DUMMYFUNCTION("""COMPUTED_VALUE"""),"mateo.m2028")</f>
        <v>mateo.m2028</v>
      </c>
      <c r="BW700" s="6"/>
      <c r="BX700" s="6"/>
      <c r="BY700" s="6"/>
      <c r="BZ700" s="6"/>
    </row>
    <row r="701">
      <c r="A701" s="12">
        <f>IFERROR(__xludf.DUMMYFUNCTION("""COMPUTED_VALUE"""),1.091886732E9)</f>
        <v>1091886732</v>
      </c>
      <c r="B701" s="6">
        <f>IFERROR(__xludf.DUMMYFUNCTION("""COMPUTED_VALUE"""),31.0)</f>
        <v>31</v>
      </c>
      <c r="C701" s="6" t="str">
        <f>IFERROR(__xludf.DUMMYFUNCTION("""COMPUTED_VALUE"""),"Jerónimo")</f>
        <v>Jerónimo</v>
      </c>
      <c r="D701" s="6"/>
      <c r="E701" s="6" t="str">
        <f>IFERROR(__xludf.DUMMYFUNCTION("""COMPUTED_VALUE"""),"Rengifo Cuervo")</f>
        <v>Rengifo Cuervo</v>
      </c>
      <c r="F701" s="6" t="str">
        <f>IFERROR(__xludf.DUMMYFUNCTION("""COMPUTED_VALUE"""),"Condominio el Tesoro Campestre - Altos del Rio Km 1 Via Armenia Calarca")</f>
        <v>Condominio el Tesoro Campestre - Altos del Rio Km 1 Via Armenia Calarca</v>
      </c>
      <c r="G701" s="12" t="str">
        <f>IFERROR(__xludf.DUMMYFUNCTION("""COMPUTED_VALUE"""),"2011")</f>
        <v>2011</v>
      </c>
      <c r="H701" s="6" t="str">
        <f>IFERROR(__xludf.DUMMYFUNCTION("""COMPUTED_VALUE"""),"Abril")</f>
        <v>Abril</v>
      </c>
      <c r="I701" s="12" t="str">
        <f>IFERROR(__xludf.DUMMYFUNCTION("""COMPUTED_VALUE"""),"13")</f>
        <v>13</v>
      </c>
      <c r="J701" s="6" t="str">
        <f>IFERROR(__xludf.DUMMYFUNCTION("""COMPUTED_VALUE"""),"Armenia")</f>
        <v>Armenia</v>
      </c>
      <c r="K701" s="6" t="str">
        <f>IFERROR(__xludf.DUMMYFUNCTION("""COMPUTED_VALUE"""),"jeronimo.r2029@gi.edu.co")</f>
        <v>jeronimo.r2029@gi.edu.co</v>
      </c>
      <c r="L701" s="6" t="str">
        <f>IFERROR(__xludf.DUMMYFUNCTION("""COMPUTED_VALUE"""),"TI")</f>
        <v>TI</v>
      </c>
      <c r="M701" s="6" t="str">
        <f>IFERROR(__xludf.DUMMYFUNCTION("""COMPUTED_VALUE"""),"Armenia")</f>
        <v>Armenia</v>
      </c>
      <c r="N701" s="6" t="str">
        <f>IFERROR(__xludf.DUMMYFUNCTION("""COMPUTED_VALUE"""),"M")</f>
        <v>M</v>
      </c>
      <c r="O701" s="6" t="str">
        <f>IFERROR(__xludf.DUMMYFUNCTION("""COMPUTED_VALUE"""),"ACTIVE")</f>
        <v>ACTIVE</v>
      </c>
      <c r="P701" s="6"/>
      <c r="Q701" s="6" t="str">
        <f>IFERROR(__xludf.DUMMYFUNCTION("""COMPUTED_VALUE"""),"Armenia")</f>
        <v>Armenia</v>
      </c>
      <c r="R701" s="12" t="str">
        <f>IFERROR(__xludf.DUMMYFUNCTION("""COMPUTED_VALUE"""),"Gi4cln82sd*")</f>
        <v>Gi4cln82sd*</v>
      </c>
      <c r="S701" s="6" t="str">
        <f>IFERROR(__xludf.DUMMYFUNCTION("""COMPUTED_VALUE"""),"Rengifo Cuervo Jerónimo ")</f>
        <v>Rengifo Cuervo Jerónimo </v>
      </c>
      <c r="T701" s="6" t="str">
        <f>IFERROR(__xludf.DUMMYFUNCTION("""COMPUTED_VALUE"""),"CARLOS ARTURO RENGIFO VALENCIA")</f>
        <v>CARLOS ARTURO RENGIFO VALENCIA</v>
      </c>
      <c r="U701" s="12" t="str">
        <f>IFERROR(__xludf.DUMMYFUNCTION("""COMPUTED_VALUE"""),"94319539")</f>
        <v>94319539</v>
      </c>
      <c r="V701" s="6">
        <f>IFERROR(__xludf.DUMMYFUNCTION("""COMPUTED_VALUE"""),3.147995788E9)</f>
        <v>3147995788</v>
      </c>
      <c r="W701" s="6" t="str">
        <f>IFERROR(__xludf.DUMMYFUNCTION("""COMPUTED_VALUE"""),"karlosren32@hotmail.com")</f>
        <v>karlosren32@hotmail.com</v>
      </c>
      <c r="X701" s="12" t="str">
        <f>IFERROR(__xludf.DUMMYFUNCTION("""COMPUTED_VALUE"""),"A+")</f>
        <v>A+</v>
      </c>
      <c r="Y701" s="12" t="str">
        <f>IFERROR(__xludf.DUMMYFUNCTION("""COMPUTED_VALUE"""),"10")</f>
        <v>10</v>
      </c>
      <c r="Z701" s="12">
        <f>IFERROR(__xludf.DUMMYFUNCTION("""COMPUTED_VALUE"""),103424.0)</f>
        <v>103424</v>
      </c>
      <c r="AA701" s="6" t="str">
        <f>IFERROR(__xludf.DUMMYFUNCTION("""COMPUTED_VALUE"""),"OTRA")</f>
        <v>OTRA</v>
      </c>
      <c r="AB701" s="6"/>
      <c r="AC701" s="12" t="str">
        <f>IFERROR(__xludf.DUMMYFUNCTION("""COMPUTED_VALUE"""),"gluten ibuprofeno, acetaminofen")</f>
        <v>gluten ibuprofeno, acetaminofen</v>
      </c>
      <c r="AD701" s="12" t="str">
        <f>IFERROR(__xludf.DUMMYFUNCTION("""COMPUTED_VALUE"""),"10B")</f>
        <v>10B</v>
      </c>
      <c r="AE701" s="12">
        <f>IFERROR(__xludf.DUMMYFUNCTION("""COMPUTED_VALUE"""),1.345281686E9)</f>
        <v>1345281686</v>
      </c>
      <c r="AF701" s="12" t="str">
        <f>IFERROR(__xludf.DUMMYFUNCTION("""COMPUTED_VALUE"""),"0660888739")</f>
        <v>0660888739</v>
      </c>
      <c r="AG701" s="12" t="str">
        <f>IFERROR(__xludf.DUMMYFUNCTION("""COMPUTED_VALUE"""),"María")</f>
        <v>María</v>
      </c>
      <c r="AH701" s="12" t="str">
        <f>IFERROR(__xludf.DUMMYFUNCTION("""COMPUTED_VALUE"""),"Estella")</f>
        <v>Estella</v>
      </c>
      <c r="AI701" s="6" t="str">
        <f>IFERROR(__xludf.DUMMYFUNCTION("""COMPUTED_VALUE"""),"Cuervo Acevedo")</f>
        <v>Cuervo Acevedo</v>
      </c>
      <c r="AJ701" s="6" t="str">
        <f>IFERROR(__xludf.DUMMYFUNCTION("""COMPUTED_VALUE"""),"estellacuervo@hotmail.es")</f>
        <v>estellacuervo@hotmail.es</v>
      </c>
      <c r="AK701" s="6" t="str">
        <f>IFERROR(__xludf.DUMMYFUNCTION("""COMPUTED_VALUE"""),"ADMON FINANCIERO")</f>
        <v>ADMON FINANCIERO</v>
      </c>
      <c r="AL701" s="6" t="str">
        <f>IFERROR(__xludf.DUMMYFUNCTION("""COMPUTED_VALUE"""),"Central Mayorista de Armenia MERCAR")</f>
        <v>Central Mayorista de Armenia MERCAR</v>
      </c>
      <c r="AM701" s="12" t="str">
        <f>IFERROR(__xludf.DUMMYFUNCTION("""COMPUTED_VALUE"""),"41933527")</f>
        <v>41933527</v>
      </c>
      <c r="AN701" s="12" t="str">
        <f>IFERROR(__xludf.DUMMYFUNCTION("""COMPUTED_VALUE"""),"3113398498")</f>
        <v>3113398498</v>
      </c>
      <c r="AO701" s="6" t="str">
        <f>IFERROR(__xludf.DUMMYFUNCTION("""COMPUTED_VALUE"""),"Madre")</f>
        <v>Madre</v>
      </c>
      <c r="AP701" s="6" t="str">
        <f>IFERROR(__xludf.DUMMYFUNCTION("""COMPUTED_VALUE"""),"Estudiante(s): Rengifo Cuervo")</f>
        <v>Estudiante(s): Rengifo Cuervo</v>
      </c>
      <c r="AQ701" s="6" t="str">
        <f>IFERROR(__xludf.DUMMYFUNCTION("""COMPUTED_VALUE"""),"102192*Gi")</f>
        <v>102192*Gi</v>
      </c>
      <c r="AR701" s="6" t="str">
        <f>IFERROR(__xludf.DUMMYFUNCTION("""COMPUTED_VALUE"""),"Carlos")</f>
        <v>Carlos</v>
      </c>
      <c r="AS701" s="6" t="str">
        <f>IFERROR(__xludf.DUMMYFUNCTION("""COMPUTED_VALUE"""),"Arturo")</f>
        <v>Arturo</v>
      </c>
      <c r="AT701" s="6" t="str">
        <f>IFERROR(__xludf.DUMMYFUNCTION("""COMPUTED_VALUE"""),"Rengifo Valencia")</f>
        <v>Rengifo Valencia</v>
      </c>
      <c r="AU701" s="6" t="str">
        <f>IFERROR(__xludf.DUMMYFUNCTION("""COMPUTED_VALUE"""),"karlosren32@hotmail.com")</f>
        <v>karlosren32@hotmail.com</v>
      </c>
      <c r="AV701" s="6" t="str">
        <f>IFERROR(__xludf.DUMMYFUNCTION("""COMPUTED_VALUE"""),"OFICIAL EJERCOL")</f>
        <v>OFICIAL EJERCOL</v>
      </c>
      <c r="AW701" s="6" t="str">
        <f>IFERROR(__xludf.DUMMYFUNCTION("""COMPUTED_VALUE"""),"EJERCOL")</f>
        <v>EJERCOL</v>
      </c>
      <c r="AX701" s="12" t="str">
        <f>IFERROR(__xludf.DUMMYFUNCTION("""COMPUTED_VALUE"""),"94319539")</f>
        <v>94319539</v>
      </c>
      <c r="AY701" s="12" t="str">
        <f>IFERROR(__xludf.DUMMYFUNCTION("""COMPUTED_VALUE"""),"3147995788")</f>
        <v>3147995788</v>
      </c>
      <c r="AZ701" s="6" t="str">
        <f>IFERROR(__xludf.DUMMYFUNCTION("""COMPUTED_VALUE"""),"Padre")</f>
        <v>Padre</v>
      </c>
      <c r="BA701" s="6"/>
      <c r="BB701" s="6"/>
      <c r="BC701" s="6"/>
      <c r="BD701" s="12" t="str">
        <f>IFERROR(__xludf.DUMMYFUNCTION("""COMPUTED_VALUE"""),"ren0001")</f>
        <v>ren0001</v>
      </c>
      <c r="BE701" s="6"/>
      <c r="BF701" s="6"/>
      <c r="BG701" s="6">
        <f>IFERROR(__xludf.DUMMYFUNCTION("""COMPUTED_VALUE"""),2029.0)</f>
        <v>2029</v>
      </c>
      <c r="BH701" s="15">
        <f>IFERROR(__xludf.DUMMYFUNCTION("""COMPUTED_VALUE"""),46204.503900462965)</f>
        <v>46204.5039</v>
      </c>
      <c r="BI701" s="6">
        <f>IFERROR(__xludf.DUMMYFUNCTION("""COMPUTED_VALUE"""),702.0)</f>
        <v>702</v>
      </c>
      <c r="BJ701" s="6" t="str">
        <f>IFERROR(__xludf.DUMMYFUNCTION("""COMPUTED_VALUE"""),"SIMAT: trastorno por déficit de atención con o sin hiperactividad (Nov 13 2024)")</f>
        <v>SIMAT: trastorno por déficit de atención con o sin hiperactividad (Nov 13 2024)</v>
      </c>
      <c r="BK701" s="6"/>
      <c r="BL701" s="6" t="str">
        <f>IFERROR(__xludf.DUMMYFUNCTION("""COMPUTED_VALUE"""),"GISREN0001")</f>
        <v>GISREN0001</v>
      </c>
      <c r="BM701" s="6"/>
      <c r="BN701" s="6"/>
      <c r="BO701" s="6"/>
      <c r="BP701" s="6"/>
      <c r="BQ701" s="6"/>
      <c r="BR701" s="6"/>
      <c r="BS701" s="6"/>
      <c r="BT701" s="6"/>
      <c r="BU701" s="6" t="str">
        <f>IFERROR(__xludf.DUMMYFUNCTION("""COMPUTED_VALUE"""),"SI")</f>
        <v>SI</v>
      </c>
      <c r="BV701" s="6" t="str">
        <f>IFERROR(__xludf.DUMMYFUNCTION("""COMPUTED_VALUE"""),"jeronimo.r2029")</f>
        <v>jeronimo.r2029</v>
      </c>
      <c r="BW701" s="6"/>
      <c r="BX701" s="6"/>
      <c r="BY701" s="6"/>
      <c r="BZ701" s="6"/>
    </row>
    <row r="702">
      <c r="A702" s="12">
        <f>IFERROR(__xludf.DUMMYFUNCTION("""COMPUTED_VALUE"""),1.014876985E9)</f>
        <v>1014876985</v>
      </c>
      <c r="B702" s="6">
        <f>IFERROR(__xludf.DUMMYFUNCTION("""COMPUTED_VALUE"""),32.0)</f>
        <v>32</v>
      </c>
      <c r="C702" s="6" t="str">
        <f>IFERROR(__xludf.DUMMYFUNCTION("""COMPUTED_VALUE"""),"María")</f>
        <v>María</v>
      </c>
      <c r="D702" s="6" t="str">
        <f>IFERROR(__xludf.DUMMYFUNCTION("""COMPUTED_VALUE"""),"Camila")</f>
        <v>Camila</v>
      </c>
      <c r="E702" s="6" t="str">
        <f>IFERROR(__xludf.DUMMYFUNCTION("""COMPUTED_VALUE"""),"Riveros Murillo")</f>
        <v>Riveros Murillo</v>
      </c>
      <c r="F702" s="6" t="str">
        <f>IFERROR(__xludf.DUMMYFUNCTION("""COMPUTED_VALUE"""),"Lagos de Iraka Casa 152 - Km 7 Via Armenia - El Caimo")</f>
        <v>Lagos de Iraka Casa 152 - Km 7 Via Armenia - El Caimo</v>
      </c>
      <c r="G702" s="12" t="str">
        <f>IFERROR(__xludf.DUMMYFUNCTION("""COMPUTED_VALUE"""),"2010")</f>
        <v>2010</v>
      </c>
      <c r="H702" s="6" t="str">
        <f>IFERROR(__xludf.DUMMYFUNCTION("""COMPUTED_VALUE"""),"Agosto")</f>
        <v>Agosto</v>
      </c>
      <c r="I702" s="12" t="str">
        <f>IFERROR(__xludf.DUMMYFUNCTION("""COMPUTED_VALUE"""),"3")</f>
        <v>3</v>
      </c>
      <c r="J702" s="6" t="str">
        <f>IFERROR(__xludf.DUMMYFUNCTION("""COMPUTED_VALUE"""),"Bogotá D.C.")</f>
        <v>Bogotá D.C.</v>
      </c>
      <c r="K702" s="6" t="str">
        <f>IFERROR(__xludf.DUMMYFUNCTION("""COMPUTED_VALUE"""),"mariac.r2029@gi.edu.co")</f>
        <v>mariac.r2029@gi.edu.co</v>
      </c>
      <c r="L702" s="6" t="str">
        <f>IFERROR(__xludf.DUMMYFUNCTION("""COMPUTED_VALUE"""),"TI")</f>
        <v>TI</v>
      </c>
      <c r="M702" s="6" t="str">
        <f>IFERROR(__xludf.DUMMYFUNCTION("""COMPUTED_VALUE"""),"Bogotá D.C.")</f>
        <v>Bogotá D.C.</v>
      </c>
      <c r="N702" s="6" t="str">
        <f>IFERROR(__xludf.DUMMYFUNCTION("""COMPUTED_VALUE"""),"F")</f>
        <v>F</v>
      </c>
      <c r="O702" s="6" t="str">
        <f>IFERROR(__xludf.DUMMYFUNCTION("""COMPUTED_VALUE"""),"ACTIVE")</f>
        <v>ACTIVE</v>
      </c>
      <c r="P702" s="6"/>
      <c r="Q702" s="6" t="str">
        <f>IFERROR(__xludf.DUMMYFUNCTION("""COMPUTED_VALUE"""),"Armenia")</f>
        <v>Armenia</v>
      </c>
      <c r="R702" s="12" t="str">
        <f>IFERROR(__xludf.DUMMYFUNCTION("""COMPUTED_VALUE"""),"Giziikr3*")</f>
        <v>Giziikr3*</v>
      </c>
      <c r="S702" s="6" t="str">
        <f>IFERROR(__xludf.DUMMYFUNCTION("""COMPUTED_VALUE"""),"Riveros Murillo María Camila")</f>
        <v>Riveros Murillo María Camila</v>
      </c>
      <c r="T702" s="6" t="str">
        <f>IFERROR(__xludf.DUMMYFUNCTION("""COMPUTED_VALUE"""),"HUGO RIVEROS TRIANA")</f>
        <v>HUGO RIVEROS TRIANA</v>
      </c>
      <c r="U702" s="12" t="str">
        <f>IFERROR(__xludf.DUMMYFUNCTION("""COMPUTED_VALUE"""),"79724488")</f>
        <v>79724488</v>
      </c>
      <c r="V702" s="6">
        <f>IFERROR(__xludf.DUMMYFUNCTION("""COMPUTED_VALUE"""),3.115165541E9)</f>
        <v>3115165541</v>
      </c>
      <c r="W702" s="6" t="str">
        <f>IFERROR(__xludf.DUMMYFUNCTION("""COMPUTED_VALUE"""),"hugoriveros@hotmail.com")</f>
        <v>hugoriveros@hotmail.com</v>
      </c>
      <c r="X702" s="12" t="str">
        <f>IFERROR(__xludf.DUMMYFUNCTION("""COMPUTED_VALUE"""),"O+")</f>
        <v>O+</v>
      </c>
      <c r="Y702" s="12" t="str">
        <f>IFERROR(__xludf.DUMMYFUNCTION("""COMPUTED_VALUE"""),"10")</f>
        <v>10</v>
      </c>
      <c r="Z702" s="12">
        <f>IFERROR(__xludf.DUMMYFUNCTION("""COMPUTED_VALUE"""),120559.0)</f>
        <v>120559</v>
      </c>
      <c r="AA702" s="6" t="str">
        <f>IFERROR(__xludf.DUMMYFUNCTION("""COMPUTED_VALUE"""),"SANITAS")</f>
        <v>SANITAS</v>
      </c>
      <c r="AB702" s="6" t="str">
        <f>IFERROR(__xludf.DUMMYFUNCTION("""COMPUTED_VALUE"""),"MEDICINA PREPAGADA COLSANITAS- SANITAS")</f>
        <v>MEDICINA PREPAGADA COLSANITAS- SANITAS</v>
      </c>
      <c r="AC702" s="6"/>
      <c r="AD702" s="12" t="str">
        <f>IFERROR(__xludf.DUMMYFUNCTION("""COMPUTED_VALUE"""),"10B")</f>
        <v>10B</v>
      </c>
      <c r="AE702" s="12">
        <f>IFERROR(__xludf.DUMMYFUNCTION("""COMPUTED_VALUE"""),1.345282556E9)</f>
        <v>1345282556</v>
      </c>
      <c r="AF702" s="6"/>
      <c r="AG702" s="12" t="str">
        <f>IFERROR(__xludf.DUMMYFUNCTION("""COMPUTED_VALUE"""),"Clara")</f>
        <v>Clara</v>
      </c>
      <c r="AH702" s="12" t="str">
        <f>IFERROR(__xludf.DUMMYFUNCTION("""COMPUTED_VALUE"""),"Isabel")</f>
        <v>Isabel</v>
      </c>
      <c r="AI702" s="6" t="str">
        <f>IFERROR(__xludf.DUMMYFUNCTION("""COMPUTED_VALUE"""),"Murillo Torres")</f>
        <v>Murillo Torres</v>
      </c>
      <c r="AJ702" s="6" t="str">
        <f>IFERROR(__xludf.DUMMYFUNCTION("""COMPUTED_VALUE"""),"claramurillo15@hotmail.com")</f>
        <v>claramurillo15@hotmail.com</v>
      </c>
      <c r="AK702" s="6" t="str">
        <f>IFERROR(__xludf.DUMMYFUNCTION("""COMPUTED_VALUE"""),"Administradora de sistemas e informática")</f>
        <v>Administradora de sistemas e informática</v>
      </c>
      <c r="AL702" s="6" t="str">
        <f>IFERROR(__xludf.DUMMYFUNCTION("""COMPUTED_VALUE"""),"Administración inmobiliarias")</f>
        <v>Administración inmobiliarias</v>
      </c>
      <c r="AM702" s="12" t="str">
        <f>IFERROR(__xludf.DUMMYFUNCTION("""COMPUTED_VALUE"""),"52194301")</f>
        <v>52194301</v>
      </c>
      <c r="AN702" s="12" t="str">
        <f>IFERROR(__xludf.DUMMYFUNCTION("""COMPUTED_VALUE"""),"3115165541")</f>
        <v>3115165541</v>
      </c>
      <c r="AO702" s="6" t="str">
        <f>IFERROR(__xludf.DUMMYFUNCTION("""COMPUTED_VALUE"""),"Madre")</f>
        <v>Madre</v>
      </c>
      <c r="AP702" s="6" t="str">
        <f>IFERROR(__xludf.DUMMYFUNCTION("""COMPUTED_VALUE"""),"Estudiante(s): Riveros Murillo")</f>
        <v>Estudiante(s): Riveros Murillo</v>
      </c>
      <c r="AQ702" s="6" t="str">
        <f>IFERROR(__xludf.DUMMYFUNCTION("""COMPUTED_VALUE"""),"120559*Gi")</f>
        <v>120559*Gi</v>
      </c>
      <c r="AR702" s="6" t="str">
        <f>IFERROR(__xludf.DUMMYFUNCTION("""COMPUTED_VALUE"""),"Hugo")</f>
        <v>Hugo</v>
      </c>
      <c r="AS702" s="6"/>
      <c r="AT702" s="6" t="str">
        <f>IFERROR(__xludf.DUMMYFUNCTION("""COMPUTED_VALUE"""),"Riveros Triana")</f>
        <v>Riveros Triana</v>
      </c>
      <c r="AU702" s="6" t="str">
        <f>IFERROR(__xludf.DUMMYFUNCTION("""COMPUTED_VALUE"""),"hugoriveros@hotmail.com")</f>
        <v>hugoriveros@hotmail.com</v>
      </c>
      <c r="AV702" s="6" t="str">
        <f>IFERROR(__xludf.DUMMYFUNCTION("""COMPUTED_VALUE"""),"Ingeniero de Telecomunicaciones")</f>
        <v>Ingeniero de Telecomunicaciones</v>
      </c>
      <c r="AW702" s="6" t="str">
        <f>IFERROR(__xludf.DUMMYFUNCTION("""COMPUTED_VALUE"""),"Netskope")</f>
        <v>Netskope</v>
      </c>
      <c r="AX702" s="12" t="str">
        <f>IFERROR(__xludf.DUMMYFUNCTION("""COMPUTED_VALUE"""),"79724488")</f>
        <v>79724488</v>
      </c>
      <c r="AY702" s="12" t="str">
        <f>IFERROR(__xludf.DUMMYFUNCTION("""COMPUTED_VALUE"""),"3134693779")</f>
        <v>3134693779</v>
      </c>
      <c r="AZ702" s="6" t="str">
        <f>IFERROR(__xludf.DUMMYFUNCTION("""COMPUTED_VALUE"""),"Padre")</f>
        <v>Padre</v>
      </c>
      <c r="BA702" s="6"/>
      <c r="BB702" s="6"/>
      <c r="BC702" s="6"/>
      <c r="BD702" s="12" t="str">
        <f>IFERROR(__xludf.DUMMYFUNCTION("""COMPUTED_VALUE"""),"riv0007")</f>
        <v>riv0007</v>
      </c>
      <c r="BE702" s="6"/>
      <c r="BF702" s="6"/>
      <c r="BG702" s="6">
        <f>IFERROR(__xludf.DUMMYFUNCTION("""COMPUTED_VALUE"""),2029.0)</f>
        <v>2029</v>
      </c>
      <c r="BH702" s="15">
        <f>IFERROR(__xludf.DUMMYFUNCTION("""COMPUTED_VALUE"""),46205.78435185185)</f>
        <v>46205.78435</v>
      </c>
      <c r="BI702" s="6">
        <f>IFERROR(__xludf.DUMMYFUNCTION("""COMPUTED_VALUE"""),703.0)</f>
        <v>703</v>
      </c>
      <c r="BJ702" s="6"/>
      <c r="BK702" s="6"/>
      <c r="BL702" s="6" t="str">
        <f>IFERROR(__xludf.DUMMYFUNCTION("""COMPUTED_VALUE"""),"GISRIV0007")</f>
        <v>GISRIV0007</v>
      </c>
      <c r="BM702" s="6"/>
      <c r="BN702" s="6"/>
      <c r="BO702" s="6"/>
      <c r="BP702" s="6"/>
      <c r="BQ702" s="6"/>
      <c r="BR702" s="6"/>
      <c r="BS702" s="6"/>
      <c r="BT702" s="6"/>
      <c r="BU702" s="6" t="str">
        <f>IFERROR(__xludf.DUMMYFUNCTION("""COMPUTED_VALUE"""),"SI")</f>
        <v>SI</v>
      </c>
      <c r="BV702" s="6" t="str">
        <f>IFERROR(__xludf.DUMMYFUNCTION("""COMPUTED_VALUE"""),"mariac.r2029")</f>
        <v>mariac.r2029</v>
      </c>
      <c r="BW702" s="6"/>
      <c r="BX702" s="6"/>
      <c r="BY702" s="6"/>
      <c r="BZ702" s="6"/>
    </row>
    <row r="703">
      <c r="A703" s="12">
        <f>IFERROR(__xludf.DUMMYFUNCTION("""COMPUTED_VALUE"""),1.013009884E9)</f>
        <v>1013009884</v>
      </c>
      <c r="B703" s="6">
        <f>IFERROR(__xludf.DUMMYFUNCTION("""COMPUTED_VALUE"""),33.0)</f>
        <v>33</v>
      </c>
      <c r="C703" s="6" t="str">
        <f>IFERROR(__xludf.DUMMYFUNCTION("""COMPUTED_VALUE"""),"María")</f>
        <v>María</v>
      </c>
      <c r="D703" s="6" t="str">
        <f>IFERROR(__xludf.DUMMYFUNCTION("""COMPUTED_VALUE"""),"Camila")</f>
        <v>Camila</v>
      </c>
      <c r="E703" s="6" t="str">
        <f>IFERROR(__xludf.DUMMYFUNCTION("""COMPUTED_VALUE"""),"Silva López")</f>
        <v>Silva López</v>
      </c>
      <c r="F703" s="6" t="str">
        <f>IFERROR(__xludf.DUMMYFUNCTION("""COMPUTED_VALUE"""),"Portal de Alameda Torre B Apto 1003 - Cra 19 No36Nte - 30")</f>
        <v>Portal de Alameda Torre B Apto 1003 - Cra 19 No36Nte - 30</v>
      </c>
      <c r="G703" s="12" t="str">
        <f>IFERROR(__xludf.DUMMYFUNCTION("""COMPUTED_VALUE"""),"2010")</f>
        <v>2010</v>
      </c>
      <c r="H703" s="6" t="str">
        <f>IFERROR(__xludf.DUMMYFUNCTION("""COMPUTED_VALUE"""),"Diciembre")</f>
        <v>Diciembre</v>
      </c>
      <c r="I703" s="12" t="str">
        <f>IFERROR(__xludf.DUMMYFUNCTION("""COMPUTED_VALUE"""),"29")</f>
        <v>29</v>
      </c>
      <c r="J703" s="6" t="str">
        <f>IFERROR(__xludf.DUMMYFUNCTION("""COMPUTED_VALUE"""),"Bogotá D.C.")</f>
        <v>Bogotá D.C.</v>
      </c>
      <c r="K703" s="6" t="str">
        <f>IFERROR(__xludf.DUMMYFUNCTION("""COMPUTED_VALUE"""),"mariacamila.s2029@gi.edu.co")</f>
        <v>mariacamila.s2029@gi.edu.co</v>
      </c>
      <c r="L703" s="6" t="str">
        <f>IFERROR(__xludf.DUMMYFUNCTION("""COMPUTED_VALUE"""),"TI")</f>
        <v>TI</v>
      </c>
      <c r="M703" s="6" t="str">
        <f>IFERROR(__xludf.DUMMYFUNCTION("""COMPUTED_VALUE"""),"Armenia")</f>
        <v>Armenia</v>
      </c>
      <c r="N703" s="6" t="str">
        <f>IFERROR(__xludf.DUMMYFUNCTION("""COMPUTED_VALUE"""),"F")</f>
        <v>F</v>
      </c>
      <c r="O703" s="6" t="str">
        <f>IFERROR(__xludf.DUMMYFUNCTION("""COMPUTED_VALUE"""),"ACTIVE")</f>
        <v>ACTIVE</v>
      </c>
      <c r="P703" s="6"/>
      <c r="Q703" s="6" t="str">
        <f>IFERROR(__xludf.DUMMYFUNCTION("""COMPUTED_VALUE"""),"Armenia")</f>
        <v>Armenia</v>
      </c>
      <c r="R703" s="12" t="str">
        <f>IFERROR(__xludf.DUMMYFUNCTION("""COMPUTED_VALUE"""),"Gi7391qazs*")</f>
        <v>Gi7391qazs*</v>
      </c>
      <c r="S703" s="6" t="str">
        <f>IFERROR(__xludf.DUMMYFUNCTION("""COMPUTED_VALUE"""),"Silva López María Camila")</f>
        <v>Silva López María Camila</v>
      </c>
      <c r="T703" s="6" t="str">
        <f>IFERROR(__xludf.DUMMYFUNCTION("""COMPUTED_VALUE"""),"MARÍA CLARA LÓPEZ GARCIA")</f>
        <v>MARÍA CLARA LÓPEZ GARCIA</v>
      </c>
      <c r="U703" s="12" t="str">
        <f>IFERROR(__xludf.DUMMYFUNCTION("""COMPUTED_VALUE"""),"52532136")</f>
        <v>52532136</v>
      </c>
      <c r="V703" s="6">
        <f>IFERROR(__xludf.DUMMYFUNCTION("""COMPUTED_VALUE"""),3.204635812E9)</f>
        <v>3204635812</v>
      </c>
      <c r="W703" s="6" t="str">
        <f>IFERROR(__xludf.DUMMYFUNCTION("""COMPUTED_VALUE"""),"mariaclaralopezg@yahoo.com")</f>
        <v>mariaclaralopezg@yahoo.com</v>
      </c>
      <c r="X703" s="12" t="str">
        <f>IFERROR(__xludf.DUMMYFUNCTION("""COMPUTED_VALUE"""),"O+")</f>
        <v>O+</v>
      </c>
      <c r="Y703" s="12" t="str">
        <f>IFERROR(__xludf.DUMMYFUNCTION("""COMPUTED_VALUE"""),"10")</f>
        <v>10</v>
      </c>
      <c r="Z703" s="12">
        <f>IFERROR(__xludf.DUMMYFUNCTION("""COMPUTED_VALUE"""),103447.0)</f>
        <v>103447</v>
      </c>
      <c r="AA703" s="6" t="str">
        <f>IFERROR(__xludf.DUMMYFUNCTION("""COMPUTED_VALUE"""),"SANITAS")</f>
        <v>SANITAS</v>
      </c>
      <c r="AB703" s="6" t="str">
        <f>IFERROR(__xludf.DUMMYFUNCTION("""COMPUTED_VALUE"""),"Colmedica Medicina Prepagada")</f>
        <v>Colmedica Medicina Prepagada</v>
      </c>
      <c r="AC703" s="6"/>
      <c r="AD703" s="12" t="str">
        <f>IFERROR(__xludf.DUMMYFUNCTION("""COMPUTED_VALUE"""),"10A")</f>
        <v>10A</v>
      </c>
      <c r="AE703" s="12">
        <f>IFERROR(__xludf.DUMMYFUNCTION("""COMPUTED_VALUE"""),1.345281694E9)</f>
        <v>1345281694</v>
      </c>
      <c r="AF703" s="12" t="str">
        <f>IFERROR(__xludf.DUMMYFUNCTION("""COMPUTED_VALUE"""),"0671747347")</f>
        <v>0671747347</v>
      </c>
      <c r="AG703" s="12" t="str">
        <f>IFERROR(__xludf.DUMMYFUNCTION("""COMPUTED_VALUE"""),"María")</f>
        <v>María</v>
      </c>
      <c r="AH703" s="12" t="str">
        <f>IFERROR(__xludf.DUMMYFUNCTION("""COMPUTED_VALUE"""),"Clara")</f>
        <v>Clara</v>
      </c>
      <c r="AI703" s="6" t="str">
        <f>IFERROR(__xludf.DUMMYFUNCTION("""COMPUTED_VALUE"""),"López García")</f>
        <v>López García</v>
      </c>
      <c r="AJ703" s="6" t="str">
        <f>IFERROR(__xludf.DUMMYFUNCTION("""COMPUTED_VALUE"""),"mariaclaralopezg@yahoo.com")</f>
        <v>mariaclaralopezg@yahoo.com</v>
      </c>
      <c r="AK703" s="6" t="str">
        <f>IFERROR(__xludf.DUMMYFUNCTION("""COMPUTED_VALUE"""),"POLITOLOGA")</f>
        <v>POLITOLOGA</v>
      </c>
      <c r="AL703" s="6" t="str">
        <f>IFERROR(__xludf.DUMMYFUNCTION("""COMPUTED_VALUE"""),"OHSB ABOGADOS")</f>
        <v>OHSB ABOGADOS</v>
      </c>
      <c r="AM703" s="12" t="str">
        <f>IFERROR(__xludf.DUMMYFUNCTION("""COMPUTED_VALUE"""),"52532136")</f>
        <v>52532136</v>
      </c>
      <c r="AN703" s="12" t="str">
        <f>IFERROR(__xludf.DUMMYFUNCTION("""COMPUTED_VALUE"""),"3204635812")</f>
        <v>3204635812</v>
      </c>
      <c r="AO703" s="6" t="str">
        <f>IFERROR(__xludf.DUMMYFUNCTION("""COMPUTED_VALUE"""),"Madre")</f>
        <v>Madre</v>
      </c>
      <c r="AP703" s="6" t="str">
        <f>IFERROR(__xludf.DUMMYFUNCTION("""COMPUTED_VALUE"""),"Estudiante(s): Silva López")</f>
        <v>Estudiante(s): Silva López</v>
      </c>
      <c r="AQ703" s="6" t="str">
        <f>IFERROR(__xludf.DUMMYFUNCTION("""COMPUTED_VALUE"""),"103447*Gi")</f>
        <v>103447*Gi</v>
      </c>
      <c r="AR703" s="6" t="str">
        <f>IFERROR(__xludf.DUMMYFUNCTION("""COMPUTED_VALUE"""),"Oscar")</f>
        <v>Oscar</v>
      </c>
      <c r="AS703" s="6" t="str">
        <f>IFERROR(__xludf.DUMMYFUNCTION("""COMPUTED_VALUE"""),"Hernando")</f>
        <v>Hernando</v>
      </c>
      <c r="AT703" s="6" t="str">
        <f>IFERROR(__xludf.DUMMYFUNCTION("""COMPUTED_VALUE"""),"Silva Barreto")</f>
        <v>Silva Barreto</v>
      </c>
      <c r="AU703" s="6" t="str">
        <f>IFERROR(__xludf.DUMMYFUNCTION("""COMPUTED_VALUE"""),"ohsbabogados@gmail.com")</f>
        <v>ohsbabogados@gmail.com</v>
      </c>
      <c r="AV703" s="6" t="str">
        <f>IFERROR(__xludf.DUMMYFUNCTION("""COMPUTED_VALUE"""),"Abogado")</f>
        <v>Abogado</v>
      </c>
      <c r="AW703" s="6" t="str">
        <f>IFERROR(__xludf.DUMMYFUNCTION("""COMPUTED_VALUE"""),"OHSB Abogados SAS")</f>
        <v>OHSB Abogados SAS</v>
      </c>
      <c r="AX703" s="12" t="str">
        <f>IFERROR(__xludf.DUMMYFUNCTION("""COMPUTED_VALUE"""),"79981945")</f>
        <v>79981945</v>
      </c>
      <c r="AY703" s="12" t="str">
        <f>IFERROR(__xludf.DUMMYFUNCTION("""COMPUTED_VALUE"""),"3106887629")</f>
        <v>3106887629</v>
      </c>
      <c r="AZ703" s="6" t="str">
        <f>IFERROR(__xludf.DUMMYFUNCTION("""COMPUTED_VALUE"""),"Padre")</f>
        <v>Padre</v>
      </c>
      <c r="BA703" s="6"/>
      <c r="BB703" s="6"/>
      <c r="BC703" s="6"/>
      <c r="BD703" s="12" t="str">
        <f>IFERROR(__xludf.DUMMYFUNCTION("""COMPUTED_VALUE"""),"sil0003")</f>
        <v>sil0003</v>
      </c>
      <c r="BE703" s="6"/>
      <c r="BF703" s="6"/>
      <c r="BG703" s="6">
        <f>IFERROR(__xludf.DUMMYFUNCTION("""COMPUTED_VALUE"""),2029.0)</f>
        <v>2029</v>
      </c>
      <c r="BH703" s="15">
        <f>IFERROR(__xludf.DUMMYFUNCTION("""COMPUTED_VALUE"""),46211.71435185185)</f>
        <v>46211.71435</v>
      </c>
      <c r="BI703" s="6">
        <f>IFERROR(__xludf.DUMMYFUNCTION("""COMPUTED_VALUE"""),704.0)</f>
        <v>704</v>
      </c>
      <c r="BJ703" s="6"/>
      <c r="BK703" s="6"/>
      <c r="BL703" s="6" t="str">
        <f>IFERROR(__xludf.DUMMYFUNCTION("""COMPUTED_VALUE"""),"GISSIL0003")</f>
        <v>GISSIL0003</v>
      </c>
      <c r="BM703" s="6"/>
      <c r="BN703" s="6"/>
      <c r="BO703" s="6"/>
      <c r="BP703" s="6"/>
      <c r="BQ703" s="6"/>
      <c r="BR703" s="6"/>
      <c r="BS703" s="6"/>
      <c r="BT703" s="6"/>
      <c r="BU703" s="6" t="str">
        <f>IFERROR(__xludf.DUMMYFUNCTION("""COMPUTED_VALUE"""),"NO")</f>
        <v>NO</v>
      </c>
      <c r="BV703" s="6" t="str">
        <f>IFERROR(__xludf.DUMMYFUNCTION("""COMPUTED_VALUE"""),"mariacamila.s2029")</f>
        <v>mariacamila.s2029</v>
      </c>
      <c r="BW703" s="6"/>
      <c r="BX703" s="6"/>
      <c r="BY703" s="6"/>
      <c r="BZ703" s="6"/>
    </row>
    <row r="704">
      <c r="A704" s="12">
        <f>IFERROR(__xludf.DUMMYFUNCTION("""COMPUTED_VALUE"""),1.090277121E9)</f>
        <v>1090277121</v>
      </c>
      <c r="B704" s="6">
        <f>IFERROR(__xludf.DUMMYFUNCTION("""COMPUTED_VALUE"""),34.0)</f>
        <v>34</v>
      </c>
      <c r="C704" s="6" t="str">
        <f>IFERROR(__xludf.DUMMYFUNCTION("""COMPUTED_VALUE"""),"Julio")</f>
        <v>Julio</v>
      </c>
      <c r="D704" s="6" t="str">
        <f>IFERROR(__xludf.DUMMYFUNCTION("""COMPUTED_VALUE"""),"César")</f>
        <v>César</v>
      </c>
      <c r="E704" s="6" t="str">
        <f>IFERROR(__xludf.DUMMYFUNCTION("""COMPUTED_VALUE"""),"Tamayo Arias")</f>
        <v>Tamayo Arias</v>
      </c>
      <c r="F704" s="6" t="str">
        <f>IFERROR(__xludf.DUMMYFUNCTION("""COMPUTED_VALUE"""),"Condominio Campestre La Reserva Casa 5 - Cra 5 No10Nte - 25 Av Centenario")</f>
        <v>Condominio Campestre La Reserva Casa 5 - Cra 5 No10Nte - 25 Av Centenario</v>
      </c>
      <c r="G704" s="12" t="str">
        <f>IFERROR(__xludf.DUMMYFUNCTION("""COMPUTED_VALUE"""),"2011")</f>
        <v>2011</v>
      </c>
      <c r="H704" s="6" t="str">
        <f>IFERROR(__xludf.DUMMYFUNCTION("""COMPUTED_VALUE"""),"Marzo")</f>
        <v>Marzo</v>
      </c>
      <c r="I704" s="12" t="str">
        <f>IFERROR(__xludf.DUMMYFUNCTION("""COMPUTED_VALUE"""),"21")</f>
        <v>21</v>
      </c>
      <c r="J704" s="6" t="str">
        <f>IFERROR(__xludf.DUMMYFUNCTION("""COMPUTED_VALUE"""),"Armenia")</f>
        <v>Armenia</v>
      </c>
      <c r="K704" s="6" t="str">
        <f>IFERROR(__xludf.DUMMYFUNCTION("""COMPUTED_VALUE"""),"julio.t2029@gi.edu.co")</f>
        <v>julio.t2029@gi.edu.co</v>
      </c>
      <c r="L704" s="6" t="str">
        <f>IFERROR(__xludf.DUMMYFUNCTION("""COMPUTED_VALUE"""),"TI")</f>
        <v>TI</v>
      </c>
      <c r="M704" s="6" t="str">
        <f>IFERROR(__xludf.DUMMYFUNCTION("""COMPUTED_VALUE"""),"Armenia")</f>
        <v>Armenia</v>
      </c>
      <c r="N704" s="6" t="str">
        <f>IFERROR(__xludf.DUMMYFUNCTION("""COMPUTED_VALUE"""),"M")</f>
        <v>M</v>
      </c>
      <c r="O704" s="6" t="str">
        <f>IFERROR(__xludf.DUMMYFUNCTION("""COMPUTED_VALUE"""),"ACTIVE")</f>
        <v>ACTIVE</v>
      </c>
      <c r="P704" s="6"/>
      <c r="Q704" s="6" t="str">
        <f>IFERROR(__xludf.DUMMYFUNCTION("""COMPUTED_VALUE"""),"Armenia")</f>
        <v>Armenia</v>
      </c>
      <c r="R704" s="12" t="str">
        <f>IFERROR(__xludf.DUMMYFUNCTION("""COMPUTED_VALUE"""),"Gibgju7m8i*")</f>
        <v>Gibgju7m8i*</v>
      </c>
      <c r="S704" s="6" t="str">
        <f>IFERROR(__xludf.DUMMYFUNCTION("""COMPUTED_VALUE"""),"Tamayo Arias Julio César")</f>
        <v>Tamayo Arias Julio César</v>
      </c>
      <c r="T704" s="6" t="str">
        <f>IFERROR(__xludf.DUMMYFUNCTION("""COMPUTED_VALUE"""),"JOHANNA ARIAS CEBALLOS")</f>
        <v>JOHANNA ARIAS CEBALLOS</v>
      </c>
      <c r="U704" s="12" t="str">
        <f>IFERROR(__xludf.DUMMYFUNCTION("""COMPUTED_VALUE"""),"41947571")</f>
        <v>41947571</v>
      </c>
      <c r="V704" s="6">
        <f>IFERROR(__xludf.DUMMYFUNCTION("""COMPUTED_VALUE"""),3.137918358E9)</f>
        <v>3137918358</v>
      </c>
      <c r="W704" s="6" t="str">
        <f>IFERROR(__xludf.DUMMYFUNCTION("""COMPUTED_VALUE"""),"johanna0607@hotmail.com")</f>
        <v>johanna0607@hotmail.com</v>
      </c>
      <c r="X704" s="12" t="str">
        <f>IFERROR(__xludf.DUMMYFUNCTION("""COMPUTED_VALUE"""),"O+")</f>
        <v>O+</v>
      </c>
      <c r="Y704" s="12" t="str">
        <f>IFERROR(__xludf.DUMMYFUNCTION("""COMPUTED_VALUE"""),"10")</f>
        <v>10</v>
      </c>
      <c r="Z704" s="12">
        <f>IFERROR(__xludf.DUMMYFUNCTION("""COMPUTED_VALUE"""),102948.0)</f>
        <v>102948</v>
      </c>
      <c r="AA704" s="6" t="str">
        <f>IFERROR(__xludf.DUMMYFUNCTION("""COMPUTED_VALUE"""),"ALIANSALUD")</f>
        <v>ALIANSALUD</v>
      </c>
      <c r="AB704" s="6" t="str">
        <f>IFERROR(__xludf.DUMMYFUNCTION("""COMPUTED_VALUE"""),"Allianz poliza gold y emi")</f>
        <v>Allianz poliza gold y emi</v>
      </c>
      <c r="AC704" s="6"/>
      <c r="AD704" s="12" t="str">
        <f>IFERROR(__xludf.DUMMYFUNCTION("""COMPUTED_VALUE"""),"10A")</f>
        <v>10A</v>
      </c>
      <c r="AE704" s="12">
        <f>IFERROR(__xludf.DUMMYFUNCTION("""COMPUTED_VALUE"""),1.345281428E9)</f>
        <v>1345281428</v>
      </c>
      <c r="AF704" s="12" t="str">
        <f>IFERROR(__xludf.DUMMYFUNCTION("""COMPUTED_VALUE"""),"0689355283")</f>
        <v>0689355283</v>
      </c>
      <c r="AG704" s="12" t="str">
        <f>IFERROR(__xludf.DUMMYFUNCTION("""COMPUTED_VALUE"""),"Johanna")</f>
        <v>Johanna</v>
      </c>
      <c r="AH704" s="6"/>
      <c r="AI704" s="6" t="str">
        <f>IFERROR(__xludf.DUMMYFUNCTION("""COMPUTED_VALUE"""),"Arias Ceballos")</f>
        <v>Arias Ceballos</v>
      </c>
      <c r="AJ704" s="6" t="str">
        <f>IFERROR(__xludf.DUMMYFUNCTION("""COMPUTED_VALUE"""),"johanna0607@hotmail.com")</f>
        <v>johanna0607@hotmail.com</v>
      </c>
      <c r="AK704" s="6" t="str">
        <f>IFERROR(__xludf.DUMMYFUNCTION("""COMPUTED_VALUE"""),"Diseñadora industrial")</f>
        <v>Diseñadora industrial</v>
      </c>
      <c r="AL704" s="6"/>
      <c r="AM704" s="12" t="str">
        <f>IFERROR(__xludf.DUMMYFUNCTION("""COMPUTED_VALUE"""),"41947571")</f>
        <v>41947571</v>
      </c>
      <c r="AN704" s="12" t="str">
        <f>IFERROR(__xludf.DUMMYFUNCTION("""COMPUTED_VALUE"""),"3137918358")</f>
        <v>3137918358</v>
      </c>
      <c r="AO704" s="6" t="str">
        <f>IFERROR(__xludf.DUMMYFUNCTION("""COMPUTED_VALUE"""),"Madre")</f>
        <v>Madre</v>
      </c>
      <c r="AP704" s="6" t="str">
        <f>IFERROR(__xludf.DUMMYFUNCTION("""COMPUTED_VALUE"""),"Estudiante(s): Tamayo Arias")</f>
        <v>Estudiante(s): Tamayo Arias</v>
      </c>
      <c r="AQ704" s="6" t="str">
        <f>IFERROR(__xludf.DUMMYFUNCTION("""COMPUTED_VALUE"""),"102948*Gi")</f>
        <v>102948*Gi</v>
      </c>
      <c r="AR704" s="6" t="str">
        <f>IFERROR(__xludf.DUMMYFUNCTION("""COMPUTED_VALUE"""),"Julio")</f>
        <v>Julio</v>
      </c>
      <c r="AS704" s="6" t="str">
        <f>IFERROR(__xludf.DUMMYFUNCTION("""COMPUTED_VALUE"""),"Cesar")</f>
        <v>Cesar</v>
      </c>
      <c r="AT704" s="6" t="str">
        <f>IFERROR(__xludf.DUMMYFUNCTION("""COMPUTED_VALUE"""),"Tamayo Restrepo")</f>
        <v>Tamayo Restrepo</v>
      </c>
      <c r="AU704" s="6" t="str">
        <f>IFERROR(__xludf.DUMMYFUNCTION("""COMPUTED_VALUE"""),"tamayo0127@gmail.com")</f>
        <v>tamayo0127@gmail.com</v>
      </c>
      <c r="AV704" s="6" t="str">
        <f>IFERROR(__xludf.DUMMYFUNCTION("""COMPUTED_VALUE"""),"Administrador de Negocios")</f>
        <v>Administrador de Negocios</v>
      </c>
      <c r="AW704" s="6" t="str">
        <f>IFERROR(__xludf.DUMMYFUNCTION("""COMPUTED_VALUE"""),"Independiente")</f>
        <v>Independiente</v>
      </c>
      <c r="AX704" s="12" t="str">
        <f>IFERROR(__xludf.DUMMYFUNCTION("""COMPUTED_VALUE"""),"9734813")</f>
        <v>9734813</v>
      </c>
      <c r="AY704" s="12" t="str">
        <f>IFERROR(__xludf.DUMMYFUNCTION("""COMPUTED_VALUE"""),"3104638487")</f>
        <v>3104638487</v>
      </c>
      <c r="AZ704" s="6" t="str">
        <f>IFERROR(__xludf.DUMMYFUNCTION("""COMPUTED_VALUE"""),"Padre")</f>
        <v>Padre</v>
      </c>
      <c r="BA704" s="6"/>
      <c r="BB704" s="6"/>
      <c r="BC704" s="6"/>
      <c r="BD704" s="12" t="str">
        <f>IFERROR(__xludf.DUMMYFUNCTION("""COMPUTED_VALUE"""),"jul0001")</f>
        <v>jul0001</v>
      </c>
      <c r="BE704" s="6"/>
      <c r="BF704" s="6"/>
      <c r="BG704" s="6">
        <f>IFERROR(__xludf.DUMMYFUNCTION("""COMPUTED_VALUE"""),2029.0)</f>
        <v>2029</v>
      </c>
      <c r="BH704" s="15">
        <f>IFERROR(__xludf.DUMMYFUNCTION("""COMPUTED_VALUE"""),46209.43232638889)</f>
        <v>46209.43233</v>
      </c>
      <c r="BI704" s="6">
        <f>IFERROR(__xludf.DUMMYFUNCTION("""COMPUTED_VALUE"""),705.0)</f>
        <v>705</v>
      </c>
      <c r="BJ704" s="6"/>
      <c r="BK704" s="6"/>
      <c r="BL704" s="6" t="str">
        <f>IFERROR(__xludf.DUMMYFUNCTION("""COMPUTED_VALUE"""),"GISJUL0001")</f>
        <v>GISJUL0001</v>
      </c>
      <c r="BM704" s="6"/>
      <c r="BN704" s="6"/>
      <c r="BO704" s="6"/>
      <c r="BP704" s="6"/>
      <c r="BQ704" s="6"/>
      <c r="BR704" s="6"/>
      <c r="BS704" s="6"/>
      <c r="BT704" s="6"/>
      <c r="BU704" s="6" t="str">
        <f>IFERROR(__xludf.DUMMYFUNCTION("""COMPUTED_VALUE"""),"SI")</f>
        <v>SI</v>
      </c>
      <c r="BV704" s="6" t="str">
        <f>IFERROR(__xludf.DUMMYFUNCTION("""COMPUTED_VALUE"""),"julio.t2029")</f>
        <v>julio.t2029</v>
      </c>
      <c r="BW704" s="6"/>
      <c r="BX704" s="6"/>
      <c r="BY704" s="6"/>
      <c r="BZ704" s="6"/>
    </row>
    <row r="705">
      <c r="A705" s="12">
        <f>IFERROR(__xludf.DUMMYFUNCTION("""COMPUTED_VALUE"""),1.019904619E9)</f>
        <v>1019904619</v>
      </c>
      <c r="B705" s="6">
        <f>IFERROR(__xludf.DUMMYFUNCTION("""COMPUTED_VALUE"""),35.0)</f>
        <v>35</v>
      </c>
      <c r="C705" s="6" t="str">
        <f>IFERROR(__xludf.DUMMYFUNCTION("""COMPUTED_VALUE"""),"Juan")</f>
        <v>Juan</v>
      </c>
      <c r="D705" s="6" t="str">
        <f>IFERROR(__xludf.DUMMYFUNCTION("""COMPUTED_VALUE"""),"José")</f>
        <v>José</v>
      </c>
      <c r="E705" s="6" t="str">
        <f>IFERROR(__xludf.DUMMYFUNCTION("""COMPUTED_VALUE"""),"Torres Giraldo")</f>
        <v>Torres Giraldo</v>
      </c>
      <c r="F705" s="6" t="str">
        <f>IFERROR(__xludf.DUMMYFUNCTION("""COMPUTED_VALUE"""),"Condominio Cedro Negro Casa 40 - Km 6 Via Circasia Vereda El Congal")</f>
        <v>Condominio Cedro Negro Casa 40 - Km 6 Via Circasia Vereda El Congal</v>
      </c>
      <c r="G705" s="12" t="str">
        <f>IFERROR(__xludf.DUMMYFUNCTION("""COMPUTED_VALUE"""),"2010")</f>
        <v>2010</v>
      </c>
      <c r="H705" s="6" t="str">
        <f>IFERROR(__xludf.DUMMYFUNCTION("""COMPUTED_VALUE"""),"Noviembre")</f>
        <v>Noviembre</v>
      </c>
      <c r="I705" s="12" t="str">
        <f>IFERROR(__xludf.DUMMYFUNCTION("""COMPUTED_VALUE"""),"13")</f>
        <v>13</v>
      </c>
      <c r="J705" s="6" t="str">
        <f>IFERROR(__xludf.DUMMYFUNCTION("""COMPUTED_VALUE"""),"Bogotá D.C.")</f>
        <v>Bogotá D.C.</v>
      </c>
      <c r="K705" s="6" t="str">
        <f>IFERROR(__xludf.DUMMYFUNCTION("""COMPUTED_VALUE"""),"juanj.t2029@gi.edu.co")</f>
        <v>juanj.t2029@gi.edu.co</v>
      </c>
      <c r="L705" s="6" t="str">
        <f>IFERROR(__xludf.DUMMYFUNCTION("""COMPUTED_VALUE"""),"TI")</f>
        <v>TI</v>
      </c>
      <c r="M705" s="6" t="str">
        <f>IFERROR(__xludf.DUMMYFUNCTION("""COMPUTED_VALUE"""),"Bogotá D.C.")</f>
        <v>Bogotá D.C.</v>
      </c>
      <c r="N705" s="6" t="str">
        <f>IFERROR(__xludf.DUMMYFUNCTION("""COMPUTED_VALUE"""),"M")</f>
        <v>M</v>
      </c>
      <c r="O705" s="6" t="str">
        <f>IFERROR(__xludf.DUMMYFUNCTION("""COMPUTED_VALUE"""),"INACTIVE")</f>
        <v>INACTIVE</v>
      </c>
      <c r="P705" s="6"/>
      <c r="Q705" s="6" t="str">
        <f>IFERROR(__xludf.DUMMYFUNCTION("""COMPUTED_VALUE"""),"Circasia")</f>
        <v>Circasia</v>
      </c>
      <c r="R705" s="12" t="str">
        <f>IFERROR(__xludf.DUMMYFUNCTION("""COMPUTED_VALUE"""),"Giju5jew73*")</f>
        <v>Giju5jew73*</v>
      </c>
      <c r="S705" s="6" t="str">
        <f>IFERROR(__xludf.DUMMYFUNCTION("""COMPUTED_VALUE"""),"Torres Giraldo Juan José")</f>
        <v>Torres Giraldo Juan José</v>
      </c>
      <c r="T705" s="6" t="str">
        <f>IFERROR(__xludf.DUMMYFUNCTION("""COMPUTED_VALUE"""),"PAOLA ANDREA GIRALDO ZULUAGA")</f>
        <v>PAOLA ANDREA GIRALDO ZULUAGA</v>
      </c>
      <c r="U705" s="12" t="str">
        <f>IFERROR(__xludf.DUMMYFUNCTION("""COMPUTED_VALUE"""),"52695938")</f>
        <v>52695938</v>
      </c>
      <c r="V705" s="6">
        <f>IFERROR(__xludf.DUMMYFUNCTION("""COMPUTED_VALUE"""),3.106803157E9)</f>
        <v>3106803157</v>
      </c>
      <c r="W705" s="6" t="str">
        <f>IFERROR(__xludf.DUMMYFUNCTION("""COMPUTED_VALUE"""),"giraldo_paola@hotmail.com")</f>
        <v>giraldo_paola@hotmail.com</v>
      </c>
      <c r="X705" s="12" t="str">
        <f>IFERROR(__xludf.DUMMYFUNCTION("""COMPUTED_VALUE"""),"B+")</f>
        <v>B+</v>
      </c>
      <c r="Y705" s="12" t="str">
        <f>IFERROR(__xludf.DUMMYFUNCTION("""COMPUTED_VALUE"""),"10")</f>
        <v>10</v>
      </c>
      <c r="Z705" s="12">
        <f>IFERROR(__xludf.DUMMYFUNCTION("""COMPUTED_VALUE"""),103387.0)</f>
        <v>103387</v>
      </c>
      <c r="AA705" s="6" t="str">
        <f>IFERROR(__xludf.DUMMYFUNCTION("""COMPUTED_VALUE"""),"SALUD TOTAL")</f>
        <v>SALUD TOTAL</v>
      </c>
      <c r="AB705" s="6" t="str">
        <f>IFERROR(__xludf.DUMMYFUNCTION("""COMPUTED_VALUE"""),"EMI / MEDPLUS")</f>
        <v>EMI / MEDPLUS</v>
      </c>
      <c r="AC705" s="12" t="str">
        <f>IFERROR(__xludf.DUMMYFUNCTION("""COMPUTED_VALUE"""),"Polvo, frio.")</f>
        <v>Polvo, frio.</v>
      </c>
      <c r="AD705" s="12" t="str">
        <f>IFERROR(__xludf.DUMMYFUNCTION("""COMPUTED_VALUE"""),"10B")</f>
        <v>10B</v>
      </c>
      <c r="AE705" s="12">
        <f>IFERROR(__xludf.DUMMYFUNCTION("""COMPUTED_VALUE"""),1.345281656E9)</f>
        <v>1345281656</v>
      </c>
      <c r="AF705" s="12" t="str">
        <f>IFERROR(__xludf.DUMMYFUNCTION("""COMPUTED_VALUE"""),"0674119571")</f>
        <v>0674119571</v>
      </c>
      <c r="AG705" s="12" t="str">
        <f>IFERROR(__xludf.DUMMYFUNCTION("""COMPUTED_VALUE"""),"Paola")</f>
        <v>Paola</v>
      </c>
      <c r="AH705" s="12" t="str">
        <f>IFERROR(__xludf.DUMMYFUNCTION("""COMPUTED_VALUE"""),"Andrea")</f>
        <v>Andrea</v>
      </c>
      <c r="AI705" s="6" t="str">
        <f>IFERROR(__xludf.DUMMYFUNCTION("""COMPUTED_VALUE"""),"Giraldo Zuluaga")</f>
        <v>Giraldo Zuluaga</v>
      </c>
      <c r="AJ705" s="6" t="str">
        <f>IFERROR(__xludf.DUMMYFUNCTION("""COMPUTED_VALUE"""),"giraldo_paola@hotmail.com")</f>
        <v>giraldo_paola@hotmail.com</v>
      </c>
      <c r="AK705" s="6" t="str">
        <f>IFERROR(__xludf.DUMMYFUNCTION("""COMPUTED_VALUE"""),"PROFESIONAL EN FINANZAS Y COMERCIO EXTERIOR")</f>
        <v>PROFESIONAL EN FINANZAS Y COMERCIO EXTERIOR</v>
      </c>
      <c r="AL705" s="6" t="str">
        <f>IFERROR(__xludf.DUMMYFUNCTION("""COMPUTED_VALUE"""),"PROCOLOMBIA")</f>
        <v>PROCOLOMBIA</v>
      </c>
      <c r="AM705" s="12" t="str">
        <f>IFERROR(__xludf.DUMMYFUNCTION("""COMPUTED_VALUE"""),"52695938")</f>
        <v>52695938</v>
      </c>
      <c r="AN705" s="12" t="str">
        <f>IFERROR(__xludf.DUMMYFUNCTION("""COMPUTED_VALUE"""),"3106803157")</f>
        <v>3106803157</v>
      </c>
      <c r="AO705" s="6" t="str">
        <f>IFERROR(__xludf.DUMMYFUNCTION("""COMPUTED_VALUE"""),"Madre")</f>
        <v>Madre</v>
      </c>
      <c r="AP705" s="6" t="str">
        <f>IFERROR(__xludf.DUMMYFUNCTION("""COMPUTED_VALUE"""),"Estudiante(s): Torres Giraldo")</f>
        <v>Estudiante(s): Torres Giraldo</v>
      </c>
      <c r="AQ705" s="6" t="str">
        <f>IFERROR(__xludf.DUMMYFUNCTION("""COMPUTED_VALUE"""),"103387*Gi")</f>
        <v>103387*Gi</v>
      </c>
      <c r="AR705" s="6" t="str">
        <f>IFERROR(__xludf.DUMMYFUNCTION("""COMPUTED_VALUE"""),"Marcel")</f>
        <v>Marcel</v>
      </c>
      <c r="AS705" s="6" t="str">
        <f>IFERROR(__xludf.DUMMYFUNCTION("""COMPUTED_VALUE"""),"Andrés")</f>
        <v>Andrés</v>
      </c>
      <c r="AT705" s="6" t="str">
        <f>IFERROR(__xludf.DUMMYFUNCTION("""COMPUTED_VALUE"""),"Torres Sanmiguel")</f>
        <v>Torres Sanmiguel</v>
      </c>
      <c r="AU705" s="6" t="str">
        <f>IFERROR(__xludf.DUMMYFUNCTION("""COMPUTED_VALUE"""),"totalmedic@netscape.net")</f>
        <v>totalmedic@netscape.net</v>
      </c>
      <c r="AV705" s="6" t="str">
        <f>IFERROR(__xludf.DUMMYFUNCTION("""COMPUTED_VALUE"""),"INTERNACIONALISTA")</f>
        <v>INTERNACIONALISTA</v>
      </c>
      <c r="AW705" s="6" t="str">
        <f>IFERROR(__xludf.DUMMYFUNCTION("""COMPUTED_VALUE"""),"TOTAL MEDICAL ASSISTANCE S.A")</f>
        <v>TOTAL MEDICAL ASSISTANCE S.A</v>
      </c>
      <c r="AX705" s="12" t="str">
        <f>IFERROR(__xludf.DUMMYFUNCTION("""COMPUTED_VALUE"""),"79946976")</f>
        <v>79946976</v>
      </c>
      <c r="AY705" s="12" t="str">
        <f>IFERROR(__xludf.DUMMYFUNCTION("""COMPUTED_VALUE"""),"3102477932")</f>
        <v>3102477932</v>
      </c>
      <c r="AZ705" s="6" t="str">
        <f>IFERROR(__xludf.DUMMYFUNCTION("""COMPUTED_VALUE"""),"Padre")</f>
        <v>Padre</v>
      </c>
      <c r="BA705" s="6" t="str">
        <f>IFERROR(__xludf.DUMMYFUNCTION("""COMPUTED_VALUE"""),"CAMILO GIRALDO ARCILA")</f>
        <v>CAMILO GIRALDO ARCILA</v>
      </c>
      <c r="BB705" s="6">
        <f>IFERROR(__xludf.DUMMYFUNCTION("""COMPUTED_VALUE"""),3.106802081E9)</f>
        <v>3106802081</v>
      </c>
      <c r="BC705" s="6" t="str">
        <f>IFERROR(__xludf.DUMMYFUNCTION("""COMPUTED_VALUE"""),"Abuelo(a)")</f>
        <v>Abuelo(a)</v>
      </c>
      <c r="BD705" s="12" t="str">
        <f>IFERROR(__xludf.DUMMYFUNCTION("""COMPUTED_VALUE"""),"tor0008")</f>
        <v>tor0008</v>
      </c>
      <c r="BE705" s="6" t="str">
        <f>IFERROR(__xludf.DUMMYFUNCTION("""COMPUTED_VALUE"""),"FALTAN FIRMAS")</f>
        <v>FALTAN FIRMAS</v>
      </c>
      <c r="BF705" s="6"/>
      <c r="BG705" s="6">
        <f>IFERROR(__xludf.DUMMYFUNCTION("""COMPUTED_VALUE"""),2029.0)</f>
        <v>2029</v>
      </c>
      <c r="BH705" s="15">
        <f>IFERROR(__xludf.DUMMYFUNCTION("""COMPUTED_VALUE"""),46256.896145833336)</f>
        <v>46256.89615</v>
      </c>
      <c r="BI705" s="6">
        <f>IFERROR(__xludf.DUMMYFUNCTION("""COMPUTED_VALUE"""),706.0)</f>
        <v>706</v>
      </c>
      <c r="BJ705" s="6"/>
      <c r="BK705" s="6"/>
      <c r="BL705" s="6" t="str">
        <f>IFERROR(__xludf.DUMMYFUNCTION("""COMPUTED_VALUE"""),"GISTOR0008")</f>
        <v>GISTOR0008</v>
      </c>
      <c r="BM705" s="6"/>
      <c r="BN705" s="6"/>
      <c r="BO705" s="6"/>
      <c r="BP705" s="6"/>
      <c r="BQ705" s="6"/>
      <c r="BR705" s="6"/>
      <c r="BS705" s="6"/>
      <c r="BT705" s="6"/>
      <c r="BU705" s="6" t="str">
        <f>IFERROR(__xludf.DUMMYFUNCTION("""COMPUTED_VALUE"""),"SI")</f>
        <v>SI</v>
      </c>
      <c r="BV705" s="6" t="str">
        <f>IFERROR(__xludf.DUMMYFUNCTION("""COMPUTED_VALUE"""),"juanj.t2029")</f>
        <v>juanj.t2029</v>
      </c>
      <c r="BW705" s="6"/>
      <c r="BX705" s="6"/>
      <c r="BY705" s="6"/>
      <c r="BZ705" s="6"/>
    </row>
    <row r="706">
      <c r="A706" s="12">
        <f>IFERROR(__xludf.DUMMYFUNCTION("""COMPUTED_VALUE"""),1.092855113E9)</f>
        <v>1092855113</v>
      </c>
      <c r="B706" s="6">
        <f>IFERROR(__xludf.DUMMYFUNCTION("""COMPUTED_VALUE"""),36.0)</f>
        <v>36</v>
      </c>
      <c r="C706" s="6" t="str">
        <f>IFERROR(__xludf.DUMMYFUNCTION("""COMPUTED_VALUE"""),"Isabella")</f>
        <v>Isabella</v>
      </c>
      <c r="D706" s="6"/>
      <c r="E706" s="6" t="str">
        <f>IFERROR(__xludf.DUMMYFUNCTION("""COMPUTED_VALUE"""),"Urdinola Escobar")</f>
        <v>Urdinola Escobar</v>
      </c>
      <c r="F706" s="6" t="str">
        <f>IFERROR(__xludf.DUMMYFUNCTION("""COMPUTED_VALUE"""),"Edificio Puerta de Agua Apto 406 - Calle 19Nte No15 - 86")</f>
        <v>Edificio Puerta de Agua Apto 406 - Calle 19Nte No15 - 86</v>
      </c>
      <c r="G706" s="12" t="str">
        <f>IFERROR(__xludf.DUMMYFUNCTION("""COMPUTED_VALUE"""),"2011")</f>
        <v>2011</v>
      </c>
      <c r="H706" s="6" t="str">
        <f>IFERROR(__xludf.DUMMYFUNCTION("""COMPUTED_VALUE"""),"Enero")</f>
        <v>Enero</v>
      </c>
      <c r="I706" s="12" t="str">
        <f>IFERROR(__xludf.DUMMYFUNCTION("""COMPUTED_VALUE"""),"14")</f>
        <v>14</v>
      </c>
      <c r="J706" s="6" t="str">
        <f>IFERROR(__xludf.DUMMYFUNCTION("""COMPUTED_VALUE"""),"Armenia")</f>
        <v>Armenia</v>
      </c>
      <c r="K706" s="6" t="str">
        <f>IFERROR(__xludf.DUMMYFUNCTION("""COMPUTED_VALUE"""),"isabella.u2029@gi.edu.co")</f>
        <v>isabella.u2029@gi.edu.co</v>
      </c>
      <c r="L706" s="6" t="str">
        <f>IFERROR(__xludf.DUMMYFUNCTION("""COMPUTED_VALUE"""),"TI")</f>
        <v>TI</v>
      </c>
      <c r="M706" s="6" t="str">
        <f>IFERROR(__xludf.DUMMYFUNCTION("""COMPUTED_VALUE"""),"Armenia")</f>
        <v>Armenia</v>
      </c>
      <c r="N706" s="6" t="str">
        <f>IFERROR(__xludf.DUMMYFUNCTION("""COMPUTED_VALUE"""),"F")</f>
        <v>F</v>
      </c>
      <c r="O706" s="6" t="str">
        <f>IFERROR(__xludf.DUMMYFUNCTION("""COMPUTED_VALUE"""),"ACTIVE")</f>
        <v>ACTIVE</v>
      </c>
      <c r="P706" s="6"/>
      <c r="Q706" s="6" t="str">
        <f>IFERROR(__xludf.DUMMYFUNCTION("""COMPUTED_VALUE"""),"Armenia")</f>
        <v>Armenia</v>
      </c>
      <c r="R706" s="12" t="str">
        <f>IFERROR(__xludf.DUMMYFUNCTION("""COMPUTED_VALUE"""),"Giaskjl528*")</f>
        <v>Giaskjl528*</v>
      </c>
      <c r="S706" s="6" t="str">
        <f>IFERROR(__xludf.DUMMYFUNCTION("""COMPUTED_VALUE"""),"Urdinola Escobar Isabella ")</f>
        <v>Urdinola Escobar Isabella </v>
      </c>
      <c r="T706" s="6" t="str">
        <f>IFERROR(__xludf.DUMMYFUNCTION("""COMPUTED_VALUE"""),"MARIA ISABEL ESCOBAR VÉLEZ")</f>
        <v>MARIA ISABEL ESCOBAR VÉLEZ</v>
      </c>
      <c r="U706" s="12" t="str">
        <f>IFERROR(__xludf.DUMMYFUNCTION("""COMPUTED_VALUE"""),"41938770")</f>
        <v>41938770</v>
      </c>
      <c r="V706" s="6">
        <f>IFERROR(__xludf.DUMMYFUNCTION("""COMPUTED_VALUE"""),3.205610994E9)</f>
        <v>3205610994</v>
      </c>
      <c r="W706" s="6" t="str">
        <f>IFERROR(__xludf.DUMMYFUNCTION("""COMPUTED_VALUE"""),"maruchita77104@hotmail.com")</f>
        <v>maruchita77104@hotmail.com</v>
      </c>
      <c r="X706" s="12" t="str">
        <f>IFERROR(__xludf.DUMMYFUNCTION("""COMPUTED_VALUE"""),"O+")</f>
        <v>O+</v>
      </c>
      <c r="Y706" s="12" t="str">
        <f>IFERROR(__xludf.DUMMYFUNCTION("""COMPUTED_VALUE"""),"10")</f>
        <v>10</v>
      </c>
      <c r="Z706" s="12">
        <f>IFERROR(__xludf.DUMMYFUNCTION("""COMPUTED_VALUE"""),103410.0)</f>
        <v>103410</v>
      </c>
      <c r="AA706" s="6" t="str">
        <f>IFERROR(__xludf.DUMMYFUNCTION("""COMPUTED_VALUE"""),"SANITAS")</f>
        <v>SANITAS</v>
      </c>
      <c r="AB706" s="6" t="str">
        <f>IFERROR(__xludf.DUMMYFUNCTION("""COMPUTED_VALUE"""),"COLSANITAS")</f>
        <v>COLSANITAS</v>
      </c>
      <c r="AC706" s="6"/>
      <c r="AD706" s="12" t="str">
        <f>IFERROR(__xludf.DUMMYFUNCTION("""COMPUTED_VALUE"""),"10B")</f>
        <v>10B</v>
      </c>
      <c r="AE706" s="12">
        <f>IFERROR(__xludf.DUMMYFUNCTION("""COMPUTED_VALUE"""),1.34528167E9)</f>
        <v>1345281670</v>
      </c>
      <c r="AF706" s="12" t="str">
        <f>IFERROR(__xludf.DUMMYFUNCTION("""COMPUTED_VALUE"""),"0691450499")</f>
        <v>0691450499</v>
      </c>
      <c r="AG706" s="12" t="str">
        <f>IFERROR(__xludf.DUMMYFUNCTION("""COMPUTED_VALUE"""),"Maria")</f>
        <v>Maria</v>
      </c>
      <c r="AH706" s="12" t="str">
        <f>IFERROR(__xludf.DUMMYFUNCTION("""COMPUTED_VALUE"""),"Isabel")</f>
        <v>Isabel</v>
      </c>
      <c r="AI706" s="6" t="str">
        <f>IFERROR(__xludf.DUMMYFUNCTION("""COMPUTED_VALUE"""),"Escobar Vélez")</f>
        <v>Escobar Vélez</v>
      </c>
      <c r="AJ706" s="6" t="str">
        <f>IFERROR(__xludf.DUMMYFUNCTION("""COMPUTED_VALUE"""),"maruchita77104@hotmail.com")</f>
        <v>maruchita77104@hotmail.com</v>
      </c>
      <c r="AK706" s="6" t="str">
        <f>IFERROR(__xludf.DUMMYFUNCTION("""COMPUTED_VALUE"""),"administrador de Empresas")</f>
        <v>administrador de Empresas</v>
      </c>
      <c r="AL706" s="6" t="str">
        <f>IFERROR(__xludf.DUMMYFUNCTION("""COMPUTED_VALUE"""),"belleza spa")</f>
        <v>belleza spa</v>
      </c>
      <c r="AM706" s="12" t="str">
        <f>IFERROR(__xludf.DUMMYFUNCTION("""COMPUTED_VALUE"""),"41938770")</f>
        <v>41938770</v>
      </c>
      <c r="AN706" s="12" t="str">
        <f>IFERROR(__xludf.DUMMYFUNCTION("""COMPUTED_VALUE"""),"3205610994")</f>
        <v>3205610994</v>
      </c>
      <c r="AO706" s="6" t="str">
        <f>IFERROR(__xludf.DUMMYFUNCTION("""COMPUTED_VALUE"""),"Madre")</f>
        <v>Madre</v>
      </c>
      <c r="AP706" s="6" t="str">
        <f>IFERROR(__xludf.DUMMYFUNCTION("""COMPUTED_VALUE"""),"Estudiante(s): Urdinola Escobar")</f>
        <v>Estudiante(s): Urdinola Escobar</v>
      </c>
      <c r="AQ706" s="6" t="str">
        <f>IFERROR(__xludf.DUMMYFUNCTION("""COMPUTED_VALUE"""),"103410*Gi")</f>
        <v>103410*Gi</v>
      </c>
      <c r="AR706" s="6" t="str">
        <f>IFERROR(__xludf.DUMMYFUNCTION("""COMPUTED_VALUE"""),"Julián")</f>
        <v>Julián</v>
      </c>
      <c r="AS706" s="6" t="str">
        <f>IFERROR(__xludf.DUMMYFUNCTION("""COMPUTED_VALUE"""),"Alberto")</f>
        <v>Alberto</v>
      </c>
      <c r="AT706" s="6" t="str">
        <f>IFERROR(__xludf.DUMMYFUNCTION("""COMPUTED_VALUE"""),"Urdinola Serna")</f>
        <v>Urdinola Serna</v>
      </c>
      <c r="AU706" s="6" t="str">
        <f>IFERROR(__xludf.DUMMYFUNCTION("""COMPUTED_VALUE"""),"maruchita77104@hotmail.com")</f>
        <v>maruchita77104@hotmail.com</v>
      </c>
      <c r="AV706" s="6"/>
      <c r="AW706" s="6"/>
      <c r="AX706" s="12" t="str">
        <f>IFERROR(__xludf.DUMMYFUNCTION("""COMPUTED_VALUE"""),"16837016")</f>
        <v>16837016</v>
      </c>
      <c r="AY706" s="12" t="str">
        <f>IFERROR(__xludf.DUMMYFUNCTION("""COMPUTED_VALUE"""),"3222186672")</f>
        <v>3222186672</v>
      </c>
      <c r="AZ706" s="6" t="str">
        <f>IFERROR(__xludf.DUMMYFUNCTION("""COMPUTED_VALUE"""),"Padre")</f>
        <v>Padre</v>
      </c>
      <c r="BA706" s="6"/>
      <c r="BB706" s="6"/>
      <c r="BC706" s="6"/>
      <c r="BD706" s="12" t="str">
        <f>IFERROR(__xludf.DUMMYFUNCTION("""COMPUTED_VALUE"""),"urd0001")</f>
        <v>urd0001</v>
      </c>
      <c r="BE706" s="6"/>
      <c r="BF706" s="6"/>
      <c r="BG706" s="6">
        <f>IFERROR(__xludf.DUMMYFUNCTION("""COMPUTED_VALUE"""),2029.0)</f>
        <v>2029</v>
      </c>
      <c r="BH706" s="15">
        <f>IFERROR(__xludf.DUMMYFUNCTION("""COMPUTED_VALUE"""),46206.59001157407)</f>
        <v>46206.59001</v>
      </c>
      <c r="BI706" s="6">
        <f>IFERROR(__xludf.DUMMYFUNCTION("""COMPUTED_VALUE"""),707.0)</f>
        <v>707</v>
      </c>
      <c r="BJ706" s="6"/>
      <c r="BK706" s="6"/>
      <c r="BL706" s="6" t="str">
        <f>IFERROR(__xludf.DUMMYFUNCTION("""COMPUTED_VALUE"""),"GISURD0001")</f>
        <v>GISURD0001</v>
      </c>
      <c r="BM706" s="6"/>
      <c r="BN706" s="6"/>
      <c r="BO706" s="6"/>
      <c r="BP706" s="6"/>
      <c r="BQ706" s="6"/>
      <c r="BR706" s="6"/>
      <c r="BS706" s="6"/>
      <c r="BT706" s="6"/>
      <c r="BU706" s="6" t="str">
        <f>IFERROR(__xludf.DUMMYFUNCTION("""COMPUTED_VALUE"""),"SI")</f>
        <v>SI</v>
      </c>
      <c r="BV706" s="6" t="str">
        <f>IFERROR(__xludf.DUMMYFUNCTION("""COMPUTED_VALUE"""),"isabella.u2029")</f>
        <v>isabella.u2029</v>
      </c>
      <c r="BW706" s="6"/>
      <c r="BX706" s="6"/>
      <c r="BY706" s="6"/>
      <c r="BZ706" s="6"/>
    </row>
    <row r="707">
      <c r="A707" s="12">
        <f>IFERROR(__xludf.DUMMYFUNCTION("""COMPUTED_VALUE"""),1.092854812E9)</f>
        <v>1092854812</v>
      </c>
      <c r="B707" s="6">
        <f>IFERROR(__xludf.DUMMYFUNCTION("""COMPUTED_VALUE"""),37.0)</f>
        <v>37</v>
      </c>
      <c r="C707" s="6" t="str">
        <f>IFERROR(__xludf.DUMMYFUNCTION("""COMPUTED_VALUE"""),"Jacobo")</f>
        <v>Jacobo</v>
      </c>
      <c r="D707" s="6"/>
      <c r="E707" s="6" t="str">
        <f>IFERROR(__xludf.DUMMYFUNCTION("""COMPUTED_VALUE"""),"Vélez Tafur")</f>
        <v>Vélez Tafur</v>
      </c>
      <c r="F707" s="6" t="str">
        <f>IFERROR(__xludf.DUMMYFUNCTION("""COMPUTED_VALUE"""),"Condominio Jordan Campestre Casa 17 - Cra 6 13Nte - 30 Av Centenario")</f>
        <v>Condominio Jordan Campestre Casa 17 - Cra 6 13Nte - 30 Av Centenario</v>
      </c>
      <c r="G707" s="12" t="str">
        <f>IFERROR(__xludf.DUMMYFUNCTION("""COMPUTED_VALUE"""),"2010")</f>
        <v>2010</v>
      </c>
      <c r="H707" s="6" t="str">
        <f>IFERROR(__xludf.DUMMYFUNCTION("""COMPUTED_VALUE"""),"Julio")</f>
        <v>Julio</v>
      </c>
      <c r="I707" s="12" t="str">
        <f>IFERROR(__xludf.DUMMYFUNCTION("""COMPUTED_VALUE"""),"2")</f>
        <v>2</v>
      </c>
      <c r="J707" s="6" t="str">
        <f>IFERROR(__xludf.DUMMYFUNCTION("""COMPUTED_VALUE"""),"Armenia")</f>
        <v>Armenia</v>
      </c>
      <c r="K707" s="6" t="str">
        <f>IFERROR(__xludf.DUMMYFUNCTION("""COMPUTED_VALUE"""),"jacobo.v2029@gi.edu.co")</f>
        <v>jacobo.v2029@gi.edu.co</v>
      </c>
      <c r="L707" s="6" t="str">
        <f>IFERROR(__xludf.DUMMYFUNCTION("""COMPUTED_VALUE"""),"TI")</f>
        <v>TI</v>
      </c>
      <c r="M707" s="6" t="str">
        <f>IFERROR(__xludf.DUMMYFUNCTION("""COMPUTED_VALUE"""),"Armenia")</f>
        <v>Armenia</v>
      </c>
      <c r="N707" s="6" t="str">
        <f>IFERROR(__xludf.DUMMYFUNCTION("""COMPUTED_VALUE"""),"M")</f>
        <v>M</v>
      </c>
      <c r="O707" s="6" t="str">
        <f>IFERROR(__xludf.DUMMYFUNCTION("""COMPUTED_VALUE"""),"ACTIVE")</f>
        <v>ACTIVE</v>
      </c>
      <c r="P707" s="6"/>
      <c r="Q707" s="6" t="str">
        <f>IFERROR(__xludf.DUMMYFUNCTION("""COMPUTED_VALUE"""),"Armenia")</f>
        <v>Armenia</v>
      </c>
      <c r="R707" s="12" t="str">
        <f>IFERROR(__xludf.DUMMYFUNCTION("""COMPUTED_VALUE"""),"Gi7n8b5m9c*")</f>
        <v>Gi7n8b5m9c*</v>
      </c>
      <c r="S707" s="6" t="str">
        <f>IFERROR(__xludf.DUMMYFUNCTION("""COMPUTED_VALUE"""),"Vélez Tafur Jacobo ")</f>
        <v>Vélez Tafur Jacobo </v>
      </c>
      <c r="T707" s="6" t="str">
        <f>IFERROR(__xludf.DUMMYFUNCTION("""COMPUTED_VALUE"""),"LINA MARIA TAFUR ALZATE")</f>
        <v>LINA MARIA TAFUR ALZATE</v>
      </c>
      <c r="U707" s="12" t="str">
        <f>IFERROR(__xludf.DUMMYFUNCTION("""COMPUTED_VALUE"""),"41944841")</f>
        <v>41944841</v>
      </c>
      <c r="V707" s="6">
        <f>IFERROR(__xludf.DUMMYFUNCTION("""COMPUTED_VALUE"""),3.117644554E9)</f>
        <v>3117644554</v>
      </c>
      <c r="W707" s="6" t="str">
        <f>IFERROR(__xludf.DUMMYFUNCTION("""COMPUTED_VALUE"""),"linatafur@hotmail.com")</f>
        <v>linatafur@hotmail.com</v>
      </c>
      <c r="X707" s="12" t="str">
        <f>IFERROR(__xludf.DUMMYFUNCTION("""COMPUTED_VALUE"""),"O+")</f>
        <v>O+</v>
      </c>
      <c r="Y707" s="12" t="str">
        <f>IFERROR(__xludf.DUMMYFUNCTION("""COMPUTED_VALUE"""),"10")</f>
        <v>10</v>
      </c>
      <c r="Z707" s="12">
        <f>IFERROR(__xludf.DUMMYFUNCTION("""COMPUTED_VALUE"""),103529.0)</f>
        <v>103529</v>
      </c>
      <c r="AA707" s="6" t="str">
        <f>IFERROR(__xludf.DUMMYFUNCTION("""COMPUTED_VALUE"""),"SURA")</f>
        <v>SURA</v>
      </c>
      <c r="AB707" s="6" t="str">
        <f>IFERROR(__xludf.DUMMYFUNCTION("""COMPUTED_VALUE"""),"EMI")</f>
        <v>EMI</v>
      </c>
      <c r="AC707" s="12" t="str">
        <f>IFERROR(__xludf.DUMMYFUNCTION("""COMPUTED_VALUE"""),"ACAROS, PELO GATO, PELO DE PERRO")</f>
        <v>ACAROS, PELO GATO, PELO DE PERRO</v>
      </c>
      <c r="AD707" s="12" t="str">
        <f>IFERROR(__xludf.DUMMYFUNCTION("""COMPUTED_VALUE"""),"10A")</f>
        <v>10A</v>
      </c>
      <c r="AE707" s="12">
        <f>IFERROR(__xludf.DUMMYFUNCTION("""COMPUTED_VALUE"""),1.345281737E9)</f>
        <v>1345281737</v>
      </c>
      <c r="AF707" s="12" t="str">
        <f>IFERROR(__xludf.DUMMYFUNCTION("""COMPUTED_VALUE"""),"0688196979")</f>
        <v>0688196979</v>
      </c>
      <c r="AG707" s="12" t="str">
        <f>IFERROR(__xludf.DUMMYFUNCTION("""COMPUTED_VALUE"""),"Lina")</f>
        <v>Lina</v>
      </c>
      <c r="AH707" s="12" t="str">
        <f>IFERROR(__xludf.DUMMYFUNCTION("""COMPUTED_VALUE"""),"María")</f>
        <v>María</v>
      </c>
      <c r="AI707" s="6" t="str">
        <f>IFERROR(__xludf.DUMMYFUNCTION("""COMPUTED_VALUE"""),"Tafur Alzate")</f>
        <v>Tafur Alzate</v>
      </c>
      <c r="AJ707" s="6" t="str">
        <f>IFERROR(__xludf.DUMMYFUNCTION("""COMPUTED_VALUE"""),"linatafur@hotmail.com")</f>
        <v>linatafur@hotmail.com</v>
      </c>
      <c r="AK707" s="6" t="str">
        <f>IFERROR(__xludf.DUMMYFUNCTION("""COMPUTED_VALUE"""),"Administradora de empresas")</f>
        <v>Administradora de empresas</v>
      </c>
      <c r="AL707" s="6" t="str">
        <f>IFERROR(__xludf.DUMMYFUNCTION("""COMPUTED_VALUE"""),"Supermercado Laureles Mall paraiso")</f>
        <v>Supermercado Laureles Mall paraiso</v>
      </c>
      <c r="AM707" s="12" t="str">
        <f>IFERROR(__xludf.DUMMYFUNCTION("""COMPUTED_VALUE"""),"41944841")</f>
        <v>41944841</v>
      </c>
      <c r="AN707" s="12" t="str">
        <f>IFERROR(__xludf.DUMMYFUNCTION("""COMPUTED_VALUE"""),"3117644554")</f>
        <v>3117644554</v>
      </c>
      <c r="AO707" s="6" t="str">
        <f>IFERROR(__xludf.DUMMYFUNCTION("""COMPUTED_VALUE"""),"Madre")</f>
        <v>Madre</v>
      </c>
      <c r="AP707" s="6" t="str">
        <f>IFERROR(__xludf.DUMMYFUNCTION("""COMPUTED_VALUE"""),"Estudiante(s): Vélez Tafur")</f>
        <v>Estudiante(s): Vélez Tafur</v>
      </c>
      <c r="AQ707" s="6" t="str">
        <f>IFERROR(__xludf.DUMMYFUNCTION("""COMPUTED_VALUE"""),"103528*Gi")</f>
        <v>103528*Gi</v>
      </c>
      <c r="AR707" s="6" t="str">
        <f>IFERROR(__xludf.DUMMYFUNCTION("""COMPUTED_VALUE"""),"Paulo")</f>
        <v>Paulo</v>
      </c>
      <c r="AS707" s="6" t="str">
        <f>IFERROR(__xludf.DUMMYFUNCTION("""COMPUTED_VALUE"""),"César")</f>
        <v>César</v>
      </c>
      <c r="AT707" s="6" t="str">
        <f>IFERROR(__xludf.DUMMYFUNCTION("""COMPUTED_VALUE"""),"Vélez López")</f>
        <v>Vélez López</v>
      </c>
      <c r="AU707" s="6" t="str">
        <f>IFERROR(__xludf.DUMMYFUNCTION("""COMPUTED_VALUE"""),"gatofelix79@hotmail.com")</f>
        <v>gatofelix79@hotmail.com</v>
      </c>
      <c r="AV707" s="6" t="str">
        <f>IFERROR(__xludf.DUMMYFUNCTION("""COMPUTED_VALUE"""),"COMERCIANTE")</f>
        <v>COMERCIANTE</v>
      </c>
      <c r="AW707" s="6" t="str">
        <f>IFERROR(__xludf.DUMMYFUNCTION("""COMPUTED_VALUE"""),"TOTAL ASEO")</f>
        <v>TOTAL ASEO</v>
      </c>
      <c r="AX707" s="12" t="str">
        <f>IFERROR(__xludf.DUMMYFUNCTION("""COMPUTED_VALUE"""),"89006033")</f>
        <v>89006033</v>
      </c>
      <c r="AY707" s="12" t="str">
        <f>IFERROR(__xludf.DUMMYFUNCTION("""COMPUTED_VALUE"""),"3006547581")</f>
        <v>3006547581</v>
      </c>
      <c r="AZ707" s="6" t="str">
        <f>IFERROR(__xludf.DUMMYFUNCTION("""COMPUTED_VALUE"""),"Padre")</f>
        <v>Padre</v>
      </c>
      <c r="BA707" s="6"/>
      <c r="BB707" s="6"/>
      <c r="BC707" s="6"/>
      <c r="BD707" s="12" t="str">
        <f>IFERROR(__xludf.DUMMYFUNCTION("""COMPUTED_VALUE"""),"vle0004")</f>
        <v>vle0004</v>
      </c>
      <c r="BE707" s="6"/>
      <c r="BF707" s="6"/>
      <c r="BG707" s="6">
        <f>IFERROR(__xludf.DUMMYFUNCTION("""COMPUTED_VALUE"""),2029.0)</f>
        <v>2029</v>
      </c>
      <c r="BH707" s="15">
        <f>IFERROR(__xludf.DUMMYFUNCTION("""COMPUTED_VALUE"""),46211.60050925926)</f>
        <v>46211.60051</v>
      </c>
      <c r="BI707" s="6">
        <f>IFERROR(__xludf.DUMMYFUNCTION("""COMPUTED_VALUE"""),708.0)</f>
        <v>708</v>
      </c>
      <c r="BJ707" s="6"/>
      <c r="BK707" s="6"/>
      <c r="BL707" s="6" t="str">
        <f>IFERROR(__xludf.DUMMYFUNCTION("""COMPUTED_VALUE"""),"GISVLE0004")</f>
        <v>GISVLE0004</v>
      </c>
      <c r="BM707" s="6"/>
      <c r="BN707" s="6"/>
      <c r="BO707" s="6" t="str">
        <f>IFERROR(__xludf.DUMMYFUNCTION("""COMPUTED_VALUE"""),"XC_SEC_Basquetbol")</f>
        <v>XC_SEC_Basquetbol</v>
      </c>
      <c r="BP707" s="6"/>
      <c r="BQ707" s="6" t="str">
        <f>IFERROR(__xludf.DUMMYFUNCTION("""COMPUTED_VALUE"""),"XC_SEC_Basquetbol")</f>
        <v>XC_SEC_Basquetbol</v>
      </c>
      <c r="BR707" s="6" t="str">
        <f>IFERROR(__xludf.DUMMYFUNCTION("""COMPUTED_VALUE"""),"XC_SEC_Basquetbol")</f>
        <v>XC_SEC_Basquetbol</v>
      </c>
      <c r="BS707" s="6"/>
      <c r="BT707" s="6" t="str">
        <f>IFERROR(__xludf.DUMMYFUNCTION("""COMPUTED_VALUE"""),"XC_SEC_Basquetbol")</f>
        <v>XC_SEC_Basquetbol</v>
      </c>
      <c r="BU707" s="6" t="str">
        <f>IFERROR(__xludf.DUMMYFUNCTION("""COMPUTED_VALUE"""),"SI")</f>
        <v>SI</v>
      </c>
      <c r="BV707" s="6" t="str">
        <f>IFERROR(__xludf.DUMMYFUNCTION("""COMPUTED_VALUE"""),"jacobo.v2029")</f>
        <v>jacobo.v2029</v>
      </c>
      <c r="BW707" s="6"/>
      <c r="BX707" s="6"/>
      <c r="BY707" s="6"/>
      <c r="BZ707" s="6"/>
    </row>
    <row r="708">
      <c r="A708" s="12">
        <f>IFERROR(__xludf.DUMMYFUNCTION("""COMPUTED_VALUE"""),1.028440558E9)</f>
        <v>1028440558</v>
      </c>
      <c r="B708" s="6">
        <f>IFERROR(__xludf.DUMMYFUNCTION("""COMPUTED_VALUE"""),38.0)</f>
        <v>38</v>
      </c>
      <c r="C708" s="6" t="str">
        <f>IFERROR(__xludf.DUMMYFUNCTION("""COMPUTED_VALUE"""),"Gabriel")</f>
        <v>Gabriel</v>
      </c>
      <c r="D708" s="6"/>
      <c r="E708" s="6" t="str">
        <f>IFERROR(__xludf.DUMMYFUNCTION("""COMPUTED_VALUE"""),"Villamizar Giraldo")</f>
        <v>Villamizar Giraldo</v>
      </c>
      <c r="F708" s="6" t="str">
        <f>IFERROR(__xludf.DUMMYFUNCTION("""COMPUTED_VALUE"""),"Lagos de Iraka Casa 84 - Km 7 Via Armenia - El Caimo")</f>
        <v>Lagos de Iraka Casa 84 - Km 7 Via Armenia - El Caimo</v>
      </c>
      <c r="G708" s="12" t="str">
        <f>IFERROR(__xludf.DUMMYFUNCTION("""COMPUTED_VALUE"""),"2010")</f>
        <v>2010</v>
      </c>
      <c r="H708" s="6" t="str">
        <f>IFERROR(__xludf.DUMMYFUNCTION("""COMPUTED_VALUE"""),"Mayo")</f>
        <v>Mayo</v>
      </c>
      <c r="I708" s="12" t="str">
        <f>IFERROR(__xludf.DUMMYFUNCTION("""COMPUTED_VALUE"""),"10")</f>
        <v>10</v>
      </c>
      <c r="J708" s="6" t="str">
        <f>IFERROR(__xludf.DUMMYFUNCTION("""COMPUTED_VALUE"""),"Bogotá D.C.")</f>
        <v>Bogotá D.C.</v>
      </c>
      <c r="K708" s="6" t="str">
        <f>IFERROR(__xludf.DUMMYFUNCTION("""COMPUTED_VALUE"""),"gabriel.v2029@gi.edu.co")</f>
        <v>gabriel.v2029@gi.edu.co</v>
      </c>
      <c r="L708" s="6" t="str">
        <f>IFERROR(__xludf.DUMMYFUNCTION("""COMPUTED_VALUE"""),"TI")</f>
        <v>TI</v>
      </c>
      <c r="M708" s="6" t="str">
        <f>IFERROR(__xludf.DUMMYFUNCTION("""COMPUTED_VALUE"""),"Cajicá")</f>
        <v>Cajicá</v>
      </c>
      <c r="N708" s="6" t="str">
        <f>IFERROR(__xludf.DUMMYFUNCTION("""COMPUTED_VALUE"""),"M")</f>
        <v>M</v>
      </c>
      <c r="O708" s="6" t="str">
        <f>IFERROR(__xludf.DUMMYFUNCTION("""COMPUTED_VALUE"""),"ACTIVE")</f>
        <v>ACTIVE</v>
      </c>
      <c r="P708" s="6"/>
      <c r="Q708" s="6" t="str">
        <f>IFERROR(__xludf.DUMMYFUNCTION("""COMPUTED_VALUE"""),"Armenia")</f>
        <v>Armenia</v>
      </c>
      <c r="R708" s="12" t="str">
        <f>IFERROR(__xludf.DUMMYFUNCTION("""COMPUTED_VALUE"""),"Gi9jh7k4f*")</f>
        <v>Gi9jh7k4f*</v>
      </c>
      <c r="S708" s="6" t="str">
        <f>IFERROR(__xludf.DUMMYFUNCTION("""COMPUTED_VALUE"""),"Villamizar Giraldo Gabriel ")</f>
        <v>Villamizar Giraldo Gabriel </v>
      </c>
      <c r="T708" s="6" t="str">
        <f>IFERROR(__xludf.DUMMYFUNCTION("""COMPUTED_VALUE"""),"LINA MARIA GIRALDO ARANGO")</f>
        <v>LINA MARIA GIRALDO ARANGO</v>
      </c>
      <c r="U708" s="12" t="str">
        <f>IFERROR(__xludf.DUMMYFUNCTION("""COMPUTED_VALUE"""),"52151548")</f>
        <v>52151548</v>
      </c>
      <c r="V708" s="6">
        <f>IFERROR(__xludf.DUMMYFUNCTION("""COMPUTED_VALUE"""),3.106979717E9)</f>
        <v>3106979717</v>
      </c>
      <c r="W708" s="6" t="str">
        <f>IFERROR(__xludf.DUMMYFUNCTION("""COMPUTED_VALUE"""),"limagiar20@gmail.com")</f>
        <v>limagiar20@gmail.com</v>
      </c>
      <c r="X708" s="12" t="str">
        <f>IFERROR(__xludf.DUMMYFUNCTION("""COMPUTED_VALUE"""),"AB+")</f>
        <v>AB+</v>
      </c>
      <c r="Y708" s="12" t="str">
        <f>IFERROR(__xludf.DUMMYFUNCTION("""COMPUTED_VALUE"""),"10")</f>
        <v>10</v>
      </c>
      <c r="Z708" s="12">
        <f>IFERROR(__xludf.DUMMYFUNCTION("""COMPUTED_VALUE"""),103967.0)</f>
        <v>103967</v>
      </c>
      <c r="AA708" s="6" t="str">
        <f>IFERROR(__xludf.DUMMYFUNCTION("""COMPUTED_VALUE"""),"OTRA")</f>
        <v>OTRA</v>
      </c>
      <c r="AB708" s="6" t="str">
        <f>IFERROR(__xludf.DUMMYFUNCTION("""COMPUTED_VALUE"""),"Colsanitas")</f>
        <v>Colsanitas</v>
      </c>
      <c r="AC708" s="6"/>
      <c r="AD708" s="12" t="str">
        <f>IFERROR(__xludf.DUMMYFUNCTION("""COMPUTED_VALUE"""),"10A")</f>
        <v>10A</v>
      </c>
      <c r="AE708" s="12" t="str">
        <f>IFERROR(__xludf.DUMMYFUNCTION("""COMPUTED_VALUE"""),"1345281996")</f>
        <v>1345281996</v>
      </c>
      <c r="AF708" s="12" t="str">
        <f>IFERROR(__xludf.DUMMYFUNCTION("""COMPUTED_VALUE"""),"0696288275")</f>
        <v>0696288275</v>
      </c>
      <c r="AG708" s="12" t="str">
        <f>IFERROR(__xludf.DUMMYFUNCTION("""COMPUTED_VALUE"""),"Lina")</f>
        <v>Lina</v>
      </c>
      <c r="AH708" s="12" t="str">
        <f>IFERROR(__xludf.DUMMYFUNCTION("""COMPUTED_VALUE"""),"María")</f>
        <v>María</v>
      </c>
      <c r="AI708" s="6" t="str">
        <f>IFERROR(__xludf.DUMMYFUNCTION("""COMPUTED_VALUE"""),"Giraldo Arango")</f>
        <v>Giraldo Arango</v>
      </c>
      <c r="AJ708" s="6" t="str">
        <f>IFERROR(__xludf.DUMMYFUNCTION("""COMPUTED_VALUE"""),"limagiar20@gmail.com")</f>
        <v>limagiar20@gmail.com</v>
      </c>
      <c r="AK708" s="6" t="str">
        <f>IFERROR(__xludf.DUMMYFUNCTION("""COMPUTED_VALUE"""),"Mercadeo")</f>
        <v>Mercadeo</v>
      </c>
      <c r="AL708" s="6" t="str">
        <f>IFERROR(__xludf.DUMMYFUNCTION("""COMPUTED_VALUE"""),"Independiente")</f>
        <v>Independiente</v>
      </c>
      <c r="AM708" s="12" t="str">
        <f>IFERROR(__xludf.DUMMYFUNCTION("""COMPUTED_VALUE"""),"52151548")</f>
        <v>52151548</v>
      </c>
      <c r="AN708" s="12" t="str">
        <f>IFERROR(__xludf.DUMMYFUNCTION("""COMPUTED_VALUE"""),"3106979717")</f>
        <v>3106979717</v>
      </c>
      <c r="AO708" s="6" t="str">
        <f>IFERROR(__xludf.DUMMYFUNCTION("""COMPUTED_VALUE"""),"Madre")</f>
        <v>Madre</v>
      </c>
      <c r="AP708" s="6" t="str">
        <f>IFERROR(__xludf.DUMMYFUNCTION("""COMPUTED_VALUE"""),"Estudiante(s): Villamizar Giraldo")</f>
        <v>Estudiante(s): Villamizar Giraldo</v>
      </c>
      <c r="AQ708" s="6" t="str">
        <f>IFERROR(__xludf.DUMMYFUNCTION("""COMPUTED_VALUE"""),"103967*Gi")</f>
        <v>103967*Gi</v>
      </c>
      <c r="AR708" s="6" t="str">
        <f>IFERROR(__xludf.DUMMYFUNCTION("""COMPUTED_VALUE"""),"Carlos")</f>
        <v>Carlos</v>
      </c>
      <c r="AS708" s="6" t="str">
        <f>IFERROR(__xludf.DUMMYFUNCTION("""COMPUTED_VALUE"""),"Enrique")</f>
        <v>Enrique</v>
      </c>
      <c r="AT708" s="6" t="str">
        <f>IFERROR(__xludf.DUMMYFUNCTION("""COMPUTED_VALUE"""),"Villamizar Lopez")</f>
        <v>Villamizar Lopez</v>
      </c>
      <c r="AU708" s="6" t="str">
        <f>IFERROR(__xludf.DUMMYFUNCTION("""COMPUTED_VALUE"""),"superbrujo@gmail.com")</f>
        <v>superbrujo@gmail.com</v>
      </c>
      <c r="AV708" s="6" t="str">
        <f>IFERROR(__xludf.DUMMYFUNCTION("""COMPUTED_VALUE"""),"Administrador aeronautico")</f>
        <v>Administrador aeronautico</v>
      </c>
      <c r="AW708" s="6" t="str">
        <f>IFERROR(__xludf.DUMMYFUNCTION("""COMPUTED_VALUE"""),"FAC")</f>
        <v>FAC</v>
      </c>
      <c r="AX708" s="12" t="str">
        <f>IFERROR(__xludf.DUMMYFUNCTION("""COMPUTED_VALUE"""),"19478124")</f>
        <v>19478124</v>
      </c>
      <c r="AY708" s="12" t="str">
        <f>IFERROR(__xludf.DUMMYFUNCTION("""COMPUTED_VALUE"""),"3225286563")</f>
        <v>3225286563</v>
      </c>
      <c r="AZ708" s="6" t="str">
        <f>IFERROR(__xludf.DUMMYFUNCTION("""COMPUTED_VALUE"""),"Padre")</f>
        <v>Padre</v>
      </c>
      <c r="BA708" s="6"/>
      <c r="BB708" s="6"/>
      <c r="BC708" s="6"/>
      <c r="BD708" s="12" t="str">
        <f>IFERROR(__xludf.DUMMYFUNCTION("""COMPUTED_VALUE"""),"vil0010")</f>
        <v>vil0010</v>
      </c>
      <c r="BE708" s="6"/>
      <c r="BF708" s="6"/>
      <c r="BG708" s="6">
        <f>IFERROR(__xludf.DUMMYFUNCTION("""COMPUTED_VALUE"""),2029.0)</f>
        <v>2029</v>
      </c>
      <c r="BH708" s="15">
        <f>IFERROR(__xludf.DUMMYFUNCTION("""COMPUTED_VALUE"""),46211.60376157407)</f>
        <v>46211.60376</v>
      </c>
      <c r="BI708" s="6">
        <f>IFERROR(__xludf.DUMMYFUNCTION("""COMPUTED_VALUE"""),709.0)</f>
        <v>709</v>
      </c>
      <c r="BJ708" s="6"/>
      <c r="BK708" s="6"/>
      <c r="BL708" s="6" t="str">
        <f>IFERROR(__xludf.DUMMYFUNCTION("""COMPUTED_VALUE"""),"GISVIL0010")</f>
        <v>GISVIL0010</v>
      </c>
      <c r="BM708" s="6"/>
      <c r="BN708" s="6"/>
      <c r="BO708" s="6"/>
      <c r="BP708" s="6"/>
      <c r="BQ708" s="6"/>
      <c r="BR708" s="6"/>
      <c r="BS708" s="6"/>
      <c r="BT708" s="6"/>
      <c r="BU708" s="6" t="str">
        <f>IFERROR(__xludf.DUMMYFUNCTION("""COMPUTED_VALUE"""),"SI")</f>
        <v>SI</v>
      </c>
      <c r="BV708" s="6" t="str">
        <f>IFERROR(__xludf.DUMMYFUNCTION("""COMPUTED_VALUE"""),"gabriel.v2029")</f>
        <v>gabriel.v2029</v>
      </c>
      <c r="BW708" s="6"/>
      <c r="BX708" s="6"/>
      <c r="BY708" s="6"/>
      <c r="BZ708" s="6"/>
    </row>
    <row r="709">
      <c r="A709" s="12">
        <f>IFERROR(__xludf.DUMMYFUNCTION("""COMPUTED_VALUE"""),1.092855188E9)</f>
        <v>1092855188</v>
      </c>
      <c r="B709" s="6">
        <f>IFERROR(__xludf.DUMMYFUNCTION("""COMPUTED_VALUE"""),39.0)</f>
        <v>39</v>
      </c>
      <c r="C709" s="6" t="str">
        <f>IFERROR(__xludf.DUMMYFUNCTION("""COMPUTED_VALUE"""),"Valeria")</f>
        <v>Valeria</v>
      </c>
      <c r="D709" s="6"/>
      <c r="E709" s="6" t="str">
        <f>IFERROR(__xludf.DUMMYFUNCTION("""COMPUTED_VALUE"""),"Zabala Restrepo")</f>
        <v>Zabala Restrepo</v>
      </c>
      <c r="F709" s="6" t="str">
        <f>IFERROR(__xludf.DUMMYFUNCTION("""COMPUTED_VALUE"""),"Sauzalito Campestre Casa 33 - Km 7 Via Armenia después de la bomba del EXITO Vereda Los Pinos")</f>
        <v>Sauzalito Campestre Casa 33 - Km 7 Via Armenia después de la bomba del EXITO Vereda Los Pinos</v>
      </c>
      <c r="G709" s="12" t="str">
        <f>IFERROR(__xludf.DUMMYFUNCTION("""COMPUTED_VALUE"""),"2011")</f>
        <v>2011</v>
      </c>
      <c r="H709" s="6" t="str">
        <f>IFERROR(__xludf.DUMMYFUNCTION("""COMPUTED_VALUE"""),"Febrero")</f>
        <v>Febrero</v>
      </c>
      <c r="I709" s="12" t="str">
        <f>IFERROR(__xludf.DUMMYFUNCTION("""COMPUTED_VALUE"""),"21")</f>
        <v>21</v>
      </c>
      <c r="J709" s="6" t="str">
        <f>IFERROR(__xludf.DUMMYFUNCTION("""COMPUTED_VALUE"""),"Armenia")</f>
        <v>Armenia</v>
      </c>
      <c r="K709" s="6" t="str">
        <f>IFERROR(__xludf.DUMMYFUNCTION("""COMPUTED_VALUE"""),"valeria.z2029@gi.edu.co")</f>
        <v>valeria.z2029@gi.edu.co</v>
      </c>
      <c r="L709" s="6" t="str">
        <f>IFERROR(__xludf.DUMMYFUNCTION("""COMPUTED_VALUE"""),"TI")</f>
        <v>TI</v>
      </c>
      <c r="M709" s="6" t="str">
        <f>IFERROR(__xludf.DUMMYFUNCTION("""COMPUTED_VALUE"""),"Armenia")</f>
        <v>Armenia</v>
      </c>
      <c r="N709" s="6" t="str">
        <f>IFERROR(__xludf.DUMMYFUNCTION("""COMPUTED_VALUE"""),"F")</f>
        <v>F</v>
      </c>
      <c r="O709" s="6" t="str">
        <f>IFERROR(__xludf.DUMMYFUNCTION("""COMPUTED_VALUE"""),"ACTIVE")</f>
        <v>ACTIVE</v>
      </c>
      <c r="P709" s="6"/>
      <c r="Q709" s="6" t="str">
        <f>IFERROR(__xludf.DUMMYFUNCTION("""COMPUTED_VALUE"""),"Salento")</f>
        <v>Salento</v>
      </c>
      <c r="R709" s="12" t="str">
        <f>IFERROR(__xludf.DUMMYFUNCTION("""COMPUTED_VALUE"""),"Gi4erdf567*")</f>
        <v>Gi4erdf567*</v>
      </c>
      <c r="S709" s="6" t="str">
        <f>IFERROR(__xludf.DUMMYFUNCTION("""COMPUTED_VALUE"""),"Zabala Restrepo Valeria ")</f>
        <v>Zabala Restrepo Valeria </v>
      </c>
      <c r="T709" s="6" t="str">
        <f>IFERROR(__xludf.DUMMYFUNCTION("""COMPUTED_VALUE"""),"MÓNICA MARÍA RESTREPO PÉREZ")</f>
        <v>MÓNICA MARÍA RESTREPO PÉREZ</v>
      </c>
      <c r="U709" s="12" t="str">
        <f>IFERROR(__xludf.DUMMYFUNCTION("""COMPUTED_VALUE"""),"52251600")</f>
        <v>52251600</v>
      </c>
      <c r="V709" s="6">
        <f>IFERROR(__xludf.DUMMYFUNCTION("""COMPUTED_VALUE"""),3.104873638E9)</f>
        <v>3104873638</v>
      </c>
      <c r="W709" s="6" t="str">
        <f>IFERROR(__xludf.DUMMYFUNCTION("""COMPUTED_VALUE"""),"mmrpso@hotmail.com")</f>
        <v>mmrpso@hotmail.com</v>
      </c>
      <c r="X709" s="12" t="str">
        <f>IFERROR(__xludf.DUMMYFUNCTION("""COMPUTED_VALUE"""),"O+")</f>
        <v>O+</v>
      </c>
      <c r="Y709" s="12" t="str">
        <f>IFERROR(__xludf.DUMMYFUNCTION("""COMPUTED_VALUE"""),"10")</f>
        <v>10</v>
      </c>
      <c r="Z709" s="12">
        <f>IFERROR(__xludf.DUMMYFUNCTION("""COMPUTED_VALUE"""),103038.0)</f>
        <v>103038</v>
      </c>
      <c r="AA709" s="6" t="str">
        <f>IFERROR(__xludf.DUMMYFUNCTION("""COMPUTED_VALUE"""),"SURA")</f>
        <v>SURA</v>
      </c>
      <c r="AB709" s="6"/>
      <c r="AC709" s="6"/>
      <c r="AD709" s="12" t="str">
        <f>IFERROR(__xludf.DUMMYFUNCTION("""COMPUTED_VALUE"""),"10A")</f>
        <v>10A</v>
      </c>
      <c r="AE709" s="12">
        <f>IFERROR(__xludf.DUMMYFUNCTION("""COMPUTED_VALUE"""),1.345281468E9)</f>
        <v>1345281468</v>
      </c>
      <c r="AF709" s="12" t="str">
        <f>IFERROR(__xludf.DUMMYFUNCTION("""COMPUTED_VALUE"""),"0687262899")</f>
        <v>0687262899</v>
      </c>
      <c r="AG709" s="12" t="str">
        <f>IFERROR(__xludf.DUMMYFUNCTION("""COMPUTED_VALUE"""),"Mónica")</f>
        <v>Mónica</v>
      </c>
      <c r="AH709" s="12" t="str">
        <f>IFERROR(__xludf.DUMMYFUNCTION("""COMPUTED_VALUE"""),"María")</f>
        <v>María</v>
      </c>
      <c r="AI709" s="6" t="str">
        <f>IFERROR(__xludf.DUMMYFUNCTION("""COMPUTED_VALUE"""),"Restrepo Pérez")</f>
        <v>Restrepo Pérez</v>
      </c>
      <c r="AJ709" s="6" t="str">
        <f>IFERROR(__xludf.DUMMYFUNCTION("""COMPUTED_VALUE"""),"mmrpso@hotmail.com")</f>
        <v>mmrpso@hotmail.com</v>
      </c>
      <c r="AK709" s="6" t="str">
        <f>IFERROR(__xludf.DUMMYFUNCTION("""COMPUTED_VALUE"""),"cirujano maxilofacial")</f>
        <v>cirujano maxilofacial</v>
      </c>
      <c r="AL709" s="6" t="str">
        <f>IFERROR(__xludf.DUMMYFUNCTION("""COMPUTED_VALUE"""),"Oralmaxi")</f>
        <v>Oralmaxi</v>
      </c>
      <c r="AM709" s="12" t="str">
        <f>IFERROR(__xludf.DUMMYFUNCTION("""COMPUTED_VALUE"""),"52251600")</f>
        <v>52251600</v>
      </c>
      <c r="AN709" s="12" t="str">
        <f>IFERROR(__xludf.DUMMYFUNCTION("""COMPUTED_VALUE"""),"3104873638")</f>
        <v>3104873638</v>
      </c>
      <c r="AO709" s="6" t="str">
        <f>IFERROR(__xludf.DUMMYFUNCTION("""COMPUTED_VALUE"""),"Madre")</f>
        <v>Madre</v>
      </c>
      <c r="AP709" s="6" t="str">
        <f>IFERROR(__xludf.DUMMYFUNCTION("""COMPUTED_VALUE"""),"Estudiante(s): Zabala Restrepo")</f>
        <v>Estudiante(s): Zabala Restrepo</v>
      </c>
      <c r="AQ709" s="6" t="str">
        <f>IFERROR(__xludf.DUMMYFUNCTION("""COMPUTED_VALUE"""),"103038*Gi")</f>
        <v>103038*Gi</v>
      </c>
      <c r="AR709" s="6" t="str">
        <f>IFERROR(__xludf.DUMMYFUNCTION("""COMPUTED_VALUE"""),"Alexander")</f>
        <v>Alexander</v>
      </c>
      <c r="AS709" s="6"/>
      <c r="AT709" s="6" t="str">
        <f>IFERROR(__xludf.DUMMYFUNCTION("""COMPUTED_VALUE"""),"Zabala Castaño")</f>
        <v>Zabala Castaño</v>
      </c>
      <c r="AU709" s="6" t="str">
        <f>IFERROR(__xludf.DUMMYFUNCTION("""COMPUTED_VALUE"""),"oralmaxi75@gmail.com")</f>
        <v>oralmaxi75@gmail.com</v>
      </c>
      <c r="AV709" s="6"/>
      <c r="AW709" s="6"/>
      <c r="AX709" s="12" t="str">
        <f>IFERROR(__xludf.DUMMYFUNCTION("""COMPUTED_VALUE"""),"89008033")</f>
        <v>89008033</v>
      </c>
      <c r="AY709" s="12" t="str">
        <f>IFERROR(__xludf.DUMMYFUNCTION("""COMPUTED_VALUE"""),"3206765886")</f>
        <v>3206765886</v>
      </c>
      <c r="AZ709" s="6" t="str">
        <f>IFERROR(__xludf.DUMMYFUNCTION("""COMPUTED_VALUE"""),"Padre")</f>
        <v>Padre</v>
      </c>
      <c r="BA709" s="6"/>
      <c r="BB709" s="6"/>
      <c r="BC709" s="6"/>
      <c r="BD709" s="12" t="str">
        <f>IFERROR(__xludf.DUMMYFUNCTION("""COMPUTED_VALUE"""),"zab0001")</f>
        <v>zab0001</v>
      </c>
      <c r="BE709" s="6"/>
      <c r="BF709" s="6"/>
      <c r="BG709" s="6">
        <f>IFERROR(__xludf.DUMMYFUNCTION("""COMPUTED_VALUE"""),2029.0)</f>
        <v>2029</v>
      </c>
      <c r="BH709" s="15">
        <f>IFERROR(__xludf.DUMMYFUNCTION("""COMPUTED_VALUE"""),46211.31219907408)</f>
        <v>46211.3122</v>
      </c>
      <c r="BI709" s="6">
        <f>IFERROR(__xludf.DUMMYFUNCTION("""COMPUTED_VALUE"""),710.0)</f>
        <v>710</v>
      </c>
      <c r="BJ709" s="6"/>
      <c r="BK709" s="6"/>
      <c r="BL709" s="6" t="str">
        <f>IFERROR(__xludf.DUMMYFUNCTION("""COMPUTED_VALUE"""),"GISZAB0001")</f>
        <v>GISZAB0001</v>
      </c>
      <c r="BM709" s="6"/>
      <c r="BN709" s="6"/>
      <c r="BO709" s="6"/>
      <c r="BP709" s="6"/>
      <c r="BQ709" s="6"/>
      <c r="BR709" s="6"/>
      <c r="BS709" s="6"/>
      <c r="BT709" s="6"/>
      <c r="BU709" s="6" t="str">
        <f>IFERROR(__xludf.DUMMYFUNCTION("""COMPUTED_VALUE"""),"SI")</f>
        <v>SI</v>
      </c>
      <c r="BV709" s="6" t="str">
        <f>IFERROR(__xludf.DUMMYFUNCTION("""COMPUTED_VALUE"""),"valeria.z2029")</f>
        <v>valeria.z2029</v>
      </c>
      <c r="BW709" s="6"/>
      <c r="BX709" s="6"/>
      <c r="BY709" s="6"/>
      <c r="B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 t="str">
        <f>IFERROR(__xludf.DUMMYFUNCTION("""COMPUTED_VALUE"""),"Madre")</f>
        <v>Madre</v>
      </c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 t="str">
        <f>IFERROR(__xludf.DUMMYFUNCTION("""COMPUTED_VALUE"""),"Padre")</f>
        <v>Padre</v>
      </c>
      <c r="BA710" s="6"/>
      <c r="BB710" s="6"/>
      <c r="BC710" s="6"/>
      <c r="BD710" s="6"/>
      <c r="BE710" s="6"/>
      <c r="BF710" s="6"/>
      <c r="BG710" s="6"/>
      <c r="BH710" s="6"/>
      <c r="BI710" s="6">
        <f>IFERROR(__xludf.DUMMYFUNCTION("""COMPUTED_VALUE"""),711.0)</f>
        <v>711</v>
      </c>
      <c r="BJ710" s="6"/>
      <c r="BK710" s="6"/>
      <c r="BL710" s="6"/>
      <c r="BM710" s="6"/>
      <c r="BN710" s="6"/>
      <c r="BO710" s="6"/>
      <c r="BP710" s="6"/>
      <c r="BQ710" s="6"/>
      <c r="BR710" s="6"/>
      <c r="BS710" s="6"/>
      <c r="BT710" s="6"/>
      <c r="BU710" s="6"/>
      <c r="BV710" s="6"/>
      <c r="BW710" s="6"/>
      <c r="BX710" s="6"/>
      <c r="BY710" s="6"/>
      <c r="BZ710" s="6"/>
    </row>
    <row r="711">
      <c r="A711" s="12">
        <f>IFERROR(__xludf.DUMMYFUNCTION("""COMPUTED_VALUE"""),1.013008433E9)</f>
        <v>1013008433</v>
      </c>
      <c r="B711" s="6">
        <f>IFERROR(__xludf.DUMMYFUNCTION("""COMPUTED_VALUE"""),1.0)</f>
        <v>1</v>
      </c>
      <c r="C711" s="6" t="str">
        <f>IFERROR(__xludf.DUMMYFUNCTION("""COMPUTED_VALUE"""),"Esteban")</f>
        <v>Esteban</v>
      </c>
      <c r="D711" s="6"/>
      <c r="E711" s="6" t="str">
        <f>IFERROR(__xludf.DUMMYFUNCTION("""COMPUTED_VALUE"""),"Acosta Alzate")</f>
        <v>Acosta Alzate</v>
      </c>
      <c r="F711" s="6" t="str">
        <f>IFERROR(__xludf.DUMMYFUNCTION("""COMPUTED_VALUE"""),"Condominio Los Almendros Casa 16 - Km 4 Vía Pereira")</f>
        <v>Condominio Los Almendros Casa 16 - Km 4 Vía Pereira</v>
      </c>
      <c r="G711" s="12" t="str">
        <f>IFERROR(__xludf.DUMMYFUNCTION("""COMPUTED_VALUE"""),"2010")</f>
        <v>2010</v>
      </c>
      <c r="H711" s="6" t="str">
        <f>IFERROR(__xludf.DUMMYFUNCTION("""COMPUTED_VALUE"""),"Agosto")</f>
        <v>Agosto</v>
      </c>
      <c r="I711" s="12" t="str">
        <f>IFERROR(__xludf.DUMMYFUNCTION("""COMPUTED_VALUE"""),"21")</f>
        <v>21</v>
      </c>
      <c r="J711" s="6" t="str">
        <f>IFERROR(__xludf.DUMMYFUNCTION("""COMPUTED_VALUE"""),"Bogotá D.C.")</f>
        <v>Bogotá D.C.</v>
      </c>
      <c r="K711" s="6" t="str">
        <f>IFERROR(__xludf.DUMMYFUNCTION("""COMPUTED_VALUE"""),"esteban.a2028@gi.edu.co")</f>
        <v>esteban.a2028@gi.edu.co</v>
      </c>
      <c r="L711" s="6" t="str">
        <f>IFERROR(__xludf.DUMMYFUNCTION("""COMPUTED_VALUE"""),"TI")</f>
        <v>TI</v>
      </c>
      <c r="M711" s="6" t="str">
        <f>IFERROR(__xludf.DUMMYFUNCTION("""COMPUTED_VALUE"""),"Armenia")</f>
        <v>Armenia</v>
      </c>
      <c r="N711" s="6" t="str">
        <f>IFERROR(__xludf.DUMMYFUNCTION("""COMPUTED_VALUE"""),"M")</f>
        <v>M</v>
      </c>
      <c r="O711" s="6" t="str">
        <f>IFERROR(__xludf.DUMMYFUNCTION("""COMPUTED_VALUE"""),"ACTIVE")</f>
        <v>ACTIVE</v>
      </c>
      <c r="P711" s="6"/>
      <c r="Q711" s="6" t="str">
        <f>IFERROR(__xludf.DUMMYFUNCTION("""COMPUTED_VALUE"""),"Circasia")</f>
        <v>Circasia</v>
      </c>
      <c r="R711" s="12" t="str">
        <f>IFERROR(__xludf.DUMMYFUNCTION("""COMPUTED_VALUE"""),"Gi89niutww*")</f>
        <v>Gi89niutww*</v>
      </c>
      <c r="S711" s="6" t="str">
        <f>IFERROR(__xludf.DUMMYFUNCTION("""COMPUTED_VALUE"""),"Acosta Alzate Esteban ")</f>
        <v>Acosta Alzate Esteban </v>
      </c>
      <c r="T711" s="6" t="str">
        <f>IFERROR(__xludf.DUMMYFUNCTION("""COMPUTED_VALUE"""),"CARLOS ALBERTO ACOSTA LARA")</f>
        <v>CARLOS ALBERTO ACOSTA LARA</v>
      </c>
      <c r="U711" s="12" t="str">
        <f>IFERROR(__xludf.DUMMYFUNCTION("""COMPUTED_VALUE"""),"93405068")</f>
        <v>93405068</v>
      </c>
      <c r="V711" s="6">
        <f>IFERROR(__xludf.DUMMYFUNCTION("""COMPUTED_VALUE"""),3.186601954E9)</f>
        <v>3186601954</v>
      </c>
      <c r="W711" s="6" t="str">
        <f>IFERROR(__xludf.DUMMYFUNCTION("""COMPUTED_VALUE"""),"carlos.acosta.lara@gmail.com")</f>
        <v>carlos.acosta.lara@gmail.com</v>
      </c>
      <c r="X711" s="12" t="str">
        <f>IFERROR(__xludf.DUMMYFUNCTION("""COMPUTED_VALUE"""),"O+")</f>
        <v>O+</v>
      </c>
      <c r="Y711" s="12" t="str">
        <f>IFERROR(__xludf.DUMMYFUNCTION("""COMPUTED_VALUE"""),"11")</f>
        <v>11</v>
      </c>
      <c r="Z711" s="12">
        <f>IFERROR(__xludf.DUMMYFUNCTION("""COMPUTED_VALUE"""),102918.0)</f>
        <v>102918</v>
      </c>
      <c r="AA711" s="6" t="str">
        <f>IFERROR(__xludf.DUMMYFUNCTION("""COMPUTED_VALUE"""),"SURA")</f>
        <v>SURA</v>
      </c>
      <c r="AB711" s="6" t="str">
        <f>IFERROR(__xludf.DUMMYFUNCTION("""COMPUTED_VALUE"""),"EMI-SURA PREPAGADA")</f>
        <v>EMI-SURA PREPAGADA</v>
      </c>
      <c r="AC711" s="6"/>
      <c r="AD711" s="12" t="str">
        <f>IFERROR(__xludf.DUMMYFUNCTION("""COMPUTED_VALUE"""),"11")</f>
        <v>11</v>
      </c>
      <c r="AE711" s="12">
        <f>IFERROR(__xludf.DUMMYFUNCTION("""COMPUTED_VALUE"""),1.345281419E9)</f>
        <v>1345281419</v>
      </c>
      <c r="AF711" s="12" t="str">
        <f>IFERROR(__xludf.DUMMYFUNCTION("""COMPUTED_VALUE"""),"0682673315")</f>
        <v>0682673315</v>
      </c>
      <c r="AG711" s="12" t="str">
        <f>IFERROR(__xludf.DUMMYFUNCTION("""COMPUTED_VALUE"""),"Indira")</f>
        <v>Indira</v>
      </c>
      <c r="AH711" s="12" t="str">
        <f>IFERROR(__xludf.DUMMYFUNCTION("""COMPUTED_VALUE"""),"Adriana")</f>
        <v>Adriana</v>
      </c>
      <c r="AI711" s="6" t="str">
        <f>IFERROR(__xludf.DUMMYFUNCTION("""COMPUTED_VALUE"""),"Alzate Acosta")</f>
        <v>Alzate Acosta</v>
      </c>
      <c r="AJ711" s="6" t="str">
        <f>IFERROR(__xludf.DUMMYFUNCTION("""COMPUTED_VALUE"""),"indiraalzate@yahoo.es")</f>
        <v>indiraalzate@yahoo.es</v>
      </c>
      <c r="AK711" s="6" t="str">
        <f>IFERROR(__xludf.DUMMYFUNCTION("""COMPUTED_VALUE"""),"INGENIERA AGRONOMA SP MARKETING")</f>
        <v>INGENIERA AGRONOMA SP MARKETING</v>
      </c>
      <c r="AL711" s="6" t="str">
        <f>IFERROR(__xludf.DUMMYFUNCTION("""COMPUTED_VALUE"""),"ISAGRO")</f>
        <v>ISAGRO</v>
      </c>
      <c r="AM711" s="12" t="str">
        <f>IFERROR(__xludf.DUMMYFUNCTION("""COMPUTED_VALUE"""),"30335153")</f>
        <v>30335153</v>
      </c>
      <c r="AN711" s="12" t="str">
        <f>IFERROR(__xludf.DUMMYFUNCTION("""COMPUTED_VALUE"""),"3184021977")</f>
        <v>3184021977</v>
      </c>
      <c r="AO711" s="6" t="str">
        <f>IFERROR(__xludf.DUMMYFUNCTION("""COMPUTED_VALUE"""),"Madre")</f>
        <v>Madre</v>
      </c>
      <c r="AP711" s="6" t="str">
        <f>IFERROR(__xludf.DUMMYFUNCTION("""COMPUTED_VALUE"""),"Estudiante(s): Acosta Alzate")</f>
        <v>Estudiante(s): Acosta Alzate</v>
      </c>
      <c r="AQ711" s="6" t="str">
        <f>IFERROR(__xludf.DUMMYFUNCTION("""COMPUTED_VALUE"""),"102065*Gi")</f>
        <v>102065*Gi</v>
      </c>
      <c r="AR711" s="6" t="str">
        <f>IFERROR(__xludf.DUMMYFUNCTION("""COMPUTED_VALUE"""),"Carlos")</f>
        <v>Carlos</v>
      </c>
      <c r="AS711" s="6" t="str">
        <f>IFERROR(__xludf.DUMMYFUNCTION("""COMPUTED_VALUE"""),"Alberto")</f>
        <v>Alberto</v>
      </c>
      <c r="AT711" s="6" t="str">
        <f>IFERROR(__xludf.DUMMYFUNCTION("""COMPUTED_VALUE"""),"Acosta Lara")</f>
        <v>Acosta Lara</v>
      </c>
      <c r="AU711" s="6" t="str">
        <f>IFERROR(__xludf.DUMMYFUNCTION("""COMPUTED_VALUE"""),"carlos.acosta.lara@gmail.com")</f>
        <v>carlos.acosta.lara@gmail.com</v>
      </c>
      <c r="AV711" s="6" t="str">
        <f>IFERROR(__xludf.DUMMYFUNCTION("""COMPUTED_VALUE"""),"INGENIERO")</f>
        <v>INGENIERO</v>
      </c>
      <c r="AW711" s="6" t="str">
        <f>IFERROR(__xludf.DUMMYFUNCTION("""COMPUTED_VALUE"""),"PRICESMART")</f>
        <v>PRICESMART</v>
      </c>
      <c r="AX711" s="12" t="str">
        <f>IFERROR(__xludf.DUMMYFUNCTION("""COMPUTED_VALUE"""),"93405068")</f>
        <v>93405068</v>
      </c>
      <c r="AY711" s="12" t="str">
        <f>IFERROR(__xludf.DUMMYFUNCTION("""COMPUTED_VALUE"""),"3186601954")</f>
        <v>3186601954</v>
      </c>
      <c r="AZ711" s="6" t="str">
        <f>IFERROR(__xludf.DUMMYFUNCTION("""COMPUTED_VALUE"""),"Padre")</f>
        <v>Padre</v>
      </c>
      <c r="BA711" s="6"/>
      <c r="BB711" s="6"/>
      <c r="BC711" s="6"/>
      <c r="BD711" s="12" t="str">
        <f>IFERROR(__xludf.DUMMYFUNCTION("""COMPUTED_VALUE"""),"aco0001")</f>
        <v>aco0001</v>
      </c>
      <c r="BE711" s="6"/>
      <c r="BF711" s="6"/>
      <c r="BG711" s="6">
        <f>IFERROR(__xludf.DUMMYFUNCTION("""COMPUTED_VALUE"""),2028.0)</f>
        <v>2028</v>
      </c>
      <c r="BH711" s="15">
        <f>IFERROR(__xludf.DUMMYFUNCTION("""COMPUTED_VALUE"""),46210.86732638889)</f>
        <v>46210.86733</v>
      </c>
      <c r="BI711" s="6">
        <f>IFERROR(__xludf.DUMMYFUNCTION("""COMPUTED_VALUE"""),712.0)</f>
        <v>712</v>
      </c>
      <c r="BJ711" s="6"/>
      <c r="BK711" s="6"/>
      <c r="BL711" s="6" t="str">
        <f>IFERROR(__xludf.DUMMYFUNCTION("""COMPUTED_VALUE"""),"GISACO0001")</f>
        <v>GISACO0001</v>
      </c>
      <c r="BM711" s="6"/>
      <c r="BN711" s="6"/>
      <c r="BO711" s="6" t="str">
        <f>IFERROR(__xludf.DUMMYFUNCTION("""COMPUTED_VALUE"""),"XC_SEC_Basquetbol")</f>
        <v>XC_SEC_Basquetbol</v>
      </c>
      <c r="BP711" s="6"/>
      <c r="BQ711" s="6" t="str">
        <f>IFERROR(__xludf.DUMMYFUNCTION("""COMPUTED_VALUE"""),"XC_SEC_Basquetbol")</f>
        <v>XC_SEC_Basquetbol</v>
      </c>
      <c r="BR711" s="6" t="str">
        <f>IFERROR(__xludf.DUMMYFUNCTION("""COMPUTED_VALUE"""),"XC_SEC_Basquetbol")</f>
        <v>XC_SEC_Basquetbol</v>
      </c>
      <c r="BS711" s="6"/>
      <c r="BT711" s="6" t="str">
        <f>IFERROR(__xludf.DUMMYFUNCTION("""COMPUTED_VALUE"""),"XC_SEC_Basquetbol")</f>
        <v>XC_SEC_Basquetbol</v>
      </c>
      <c r="BU711" s="6" t="str">
        <f>IFERROR(__xludf.DUMMYFUNCTION("""COMPUTED_VALUE"""),"SI")</f>
        <v>SI</v>
      </c>
      <c r="BV711" s="6" t="str">
        <f>IFERROR(__xludf.DUMMYFUNCTION("""COMPUTED_VALUE"""),"esteban.a2028")</f>
        <v>esteban.a2028</v>
      </c>
      <c r="BW711" s="6"/>
      <c r="BX711" s="6"/>
      <c r="BY711" s="6"/>
      <c r="BZ711" s="6"/>
    </row>
    <row r="712">
      <c r="A712" s="12">
        <f>IFERROR(__xludf.DUMMYFUNCTION("""COMPUTED_VALUE"""),1.127024465E9)</f>
        <v>1127024465</v>
      </c>
      <c r="B712" s="6">
        <f>IFERROR(__xludf.DUMMYFUNCTION("""COMPUTED_VALUE"""),2.0)</f>
        <v>2</v>
      </c>
      <c r="C712" s="6" t="str">
        <f>IFERROR(__xludf.DUMMYFUNCTION("""COMPUTED_VALUE"""),"Alejandra")</f>
        <v>Alejandra</v>
      </c>
      <c r="D712" s="6" t="str">
        <f>IFERROR(__xludf.DUMMYFUNCTION("""COMPUTED_VALUE"""),"María")</f>
        <v>María</v>
      </c>
      <c r="E712" s="6" t="str">
        <f>IFERROR(__xludf.DUMMYFUNCTION("""COMPUTED_VALUE"""),"Ángel Osorio")</f>
        <v>Ángel Osorio</v>
      </c>
      <c r="F712" s="6" t="str">
        <f>IFERROR(__xludf.DUMMYFUNCTION("""COMPUTED_VALUE"""),"Via Armenia - La Tebaida Km10 Casa 10 - Guaduales Del Edén / Correspondencia: Cra 6 No2 - 56 Oficina 301 Centro Medico Empresarial")</f>
        <v>Via Armenia - La Tebaida Km10 Casa 10 - Guaduales Del Edén / Correspondencia: Cra 6 No2 - 56 Oficina 301 Centro Medico Empresarial</v>
      </c>
      <c r="G712" s="12" t="str">
        <f>IFERROR(__xludf.DUMMYFUNCTION("""COMPUTED_VALUE"""),"2009")</f>
        <v>2009</v>
      </c>
      <c r="H712" s="6" t="str">
        <f>IFERROR(__xludf.DUMMYFUNCTION("""COMPUTED_VALUE"""),"Octubre")</f>
        <v>Octubre</v>
      </c>
      <c r="I712" s="12" t="str">
        <f>IFERROR(__xludf.DUMMYFUNCTION("""COMPUTED_VALUE"""),"24")</f>
        <v>24</v>
      </c>
      <c r="J712" s="6" t="str">
        <f>IFERROR(__xludf.DUMMYFUNCTION("""COMPUTED_VALUE"""),"Santo Domingo")</f>
        <v>Santo Domingo</v>
      </c>
      <c r="K712" s="6" t="str">
        <f>IFERROR(__xludf.DUMMYFUNCTION("""COMPUTED_VALUE"""),"alejandra.a2028@gi.edu.co")</f>
        <v>alejandra.a2028@gi.edu.co</v>
      </c>
      <c r="L712" s="6" t="str">
        <f>IFERROR(__xludf.DUMMYFUNCTION("""COMPUTED_VALUE"""),"TI")</f>
        <v>TI</v>
      </c>
      <c r="M712" s="6" t="str">
        <f>IFERROR(__xludf.DUMMYFUNCTION("""COMPUTED_VALUE"""),"Armenia")</f>
        <v>Armenia</v>
      </c>
      <c r="N712" s="6" t="str">
        <f>IFERROR(__xludf.DUMMYFUNCTION("""COMPUTED_VALUE"""),"F")</f>
        <v>F</v>
      </c>
      <c r="O712" s="6" t="str">
        <f>IFERROR(__xludf.DUMMYFUNCTION("""COMPUTED_VALUE"""),"INACTIVE")</f>
        <v>INACTIVE</v>
      </c>
      <c r="P712" s="6"/>
      <c r="Q712" s="6" t="str">
        <f>IFERROR(__xludf.DUMMYFUNCTION("""COMPUTED_VALUE"""),"Armenia")</f>
        <v>Armenia</v>
      </c>
      <c r="R712" s="12" t="str">
        <f>IFERROR(__xludf.DUMMYFUNCTION("""COMPUTED_VALUE"""),"Gifhgu57ty*")</f>
        <v>Gifhgu57ty*</v>
      </c>
      <c r="S712" s="6" t="str">
        <f>IFERROR(__xludf.DUMMYFUNCTION("""COMPUTED_VALUE"""),"Ángel Osorio Alejandra María")</f>
        <v>Ángel Osorio Alejandra María</v>
      </c>
      <c r="T712" s="6" t="str">
        <f>IFERROR(__xludf.DUMMYFUNCTION("""COMPUTED_VALUE"""),"CESAR ALFREDO ANGEL ISAZA")</f>
        <v>CESAR ALFREDO ANGEL ISAZA</v>
      </c>
      <c r="U712" s="12" t="str">
        <f>IFERROR(__xludf.DUMMYFUNCTION("""COMPUTED_VALUE"""),"7518047")</f>
        <v>7518047</v>
      </c>
      <c r="V712" s="6">
        <f>IFERROR(__xludf.DUMMYFUNCTION("""COMPUTED_VALUE"""),3.117513805E9)</f>
        <v>3117513805</v>
      </c>
      <c r="W712" s="6" t="str">
        <f>IFERROR(__xludf.DUMMYFUNCTION("""COMPUTED_VALUE"""),"cesangel666@hotmail.com")</f>
        <v>cesangel666@hotmail.com</v>
      </c>
      <c r="X712" s="12" t="str">
        <f>IFERROR(__xludf.DUMMYFUNCTION("""COMPUTED_VALUE"""),"A+")</f>
        <v>A+</v>
      </c>
      <c r="Y712" s="12" t="str">
        <f>IFERROR(__xludf.DUMMYFUNCTION("""COMPUTED_VALUE"""),"11")</f>
        <v>11</v>
      </c>
      <c r="Z712" s="12">
        <f>IFERROR(__xludf.DUMMYFUNCTION("""COMPUTED_VALUE"""),102990.0)</f>
        <v>102990</v>
      </c>
      <c r="AA712" s="6" t="str">
        <f>IFERROR(__xludf.DUMMYFUNCTION("""COMPUTED_VALUE"""),"SURA")</f>
        <v>SURA</v>
      </c>
      <c r="AB712" s="6"/>
      <c r="AC712" s="12" t="str">
        <f>IFERROR(__xludf.DUMMYFUNCTION("""COMPUTED_VALUE"""),"Polen")</f>
        <v>Polen</v>
      </c>
      <c r="AD712" s="12" t="str">
        <f>IFERROR(__xludf.DUMMYFUNCTION("""COMPUTED_VALUE"""),"11")</f>
        <v>11</v>
      </c>
      <c r="AE712" s="12">
        <f>IFERROR(__xludf.DUMMYFUNCTION("""COMPUTED_VALUE"""),1.345281455E9)</f>
        <v>1345281455</v>
      </c>
      <c r="AF712" s="12" t="str">
        <f>IFERROR(__xludf.DUMMYFUNCTION("""COMPUTED_VALUE"""),"0686622675")</f>
        <v>0686622675</v>
      </c>
      <c r="AG712" s="12" t="str">
        <f>IFERROR(__xludf.DUMMYFUNCTION("""COMPUTED_VALUE"""),"Ana")</f>
        <v>Ana</v>
      </c>
      <c r="AH712" s="12" t="str">
        <f>IFERROR(__xludf.DUMMYFUNCTION("""COMPUTED_VALUE"""),"Milena")</f>
        <v>Milena</v>
      </c>
      <c r="AI712" s="6" t="str">
        <f>IFERROR(__xludf.DUMMYFUNCTION("""COMPUTED_VALUE"""),"Osorio Martínez")</f>
        <v>Osorio Martínez</v>
      </c>
      <c r="AJ712" s="6" t="str">
        <f>IFERROR(__xludf.DUMMYFUNCTION("""COMPUTED_VALUE"""),"anaosorioconsultoria@gmail.com")</f>
        <v>anaosorioconsultoria@gmail.com</v>
      </c>
      <c r="AK712" s="6" t="str">
        <f>IFERROR(__xludf.DUMMYFUNCTION("""COMPUTED_VALUE"""),"Ingeniera civil")</f>
        <v>Ingeniera civil</v>
      </c>
      <c r="AL712" s="6" t="str">
        <f>IFERROR(__xludf.DUMMYFUNCTION("""COMPUTED_VALUE"""),"ARKTEC CONSTRUCTORA SAS")</f>
        <v>ARKTEC CONSTRUCTORA SAS</v>
      </c>
      <c r="AM712" s="12" t="str">
        <f>IFERROR(__xludf.DUMMYFUNCTION("""COMPUTED_VALUE"""),"41935412")</f>
        <v>41935412</v>
      </c>
      <c r="AN712" s="12" t="str">
        <f>IFERROR(__xludf.DUMMYFUNCTION("""COMPUTED_VALUE"""),"3155050915")</f>
        <v>3155050915</v>
      </c>
      <c r="AO712" s="6" t="str">
        <f>IFERROR(__xludf.DUMMYFUNCTION("""COMPUTED_VALUE"""),"Madre")</f>
        <v>Madre</v>
      </c>
      <c r="AP712" s="6" t="str">
        <f>IFERROR(__xludf.DUMMYFUNCTION("""COMPUTED_VALUE"""),"Estudiante(s): Ángel Osorio")</f>
        <v>Estudiante(s): Ángel Osorio</v>
      </c>
      <c r="AQ712" s="6" t="str">
        <f>IFERROR(__xludf.DUMMYFUNCTION("""COMPUTED_VALUE"""),"102990*Gi")</f>
        <v>102990*Gi</v>
      </c>
      <c r="AR712" s="6" t="str">
        <f>IFERROR(__xludf.DUMMYFUNCTION("""COMPUTED_VALUE"""),"Cesár")</f>
        <v>Cesár</v>
      </c>
      <c r="AS712" s="6" t="str">
        <f>IFERROR(__xludf.DUMMYFUNCTION("""COMPUTED_VALUE"""),"Alfredo")</f>
        <v>Alfredo</v>
      </c>
      <c r="AT712" s="6" t="str">
        <f>IFERROR(__xludf.DUMMYFUNCTION("""COMPUTED_VALUE"""),"Ángel Isaza")</f>
        <v>Ángel Isaza</v>
      </c>
      <c r="AU712" s="6" t="str">
        <f>IFERROR(__xludf.DUMMYFUNCTION("""COMPUTED_VALUE"""),"cesarangel666@gmail.com")</f>
        <v>cesarangel666@gmail.com</v>
      </c>
      <c r="AV712" s="6" t="str">
        <f>IFERROR(__xludf.DUMMYFUNCTION("""COMPUTED_VALUE"""),"Ingeniero civil")</f>
        <v>Ingeniero civil</v>
      </c>
      <c r="AW712" s="6" t="str">
        <f>IFERROR(__xludf.DUMMYFUNCTION("""COMPUTED_VALUE"""),"César angel Isaza")</f>
        <v>César angel Isaza</v>
      </c>
      <c r="AX712" s="12" t="str">
        <f>IFERROR(__xludf.DUMMYFUNCTION("""COMPUTED_VALUE"""),"7518047")</f>
        <v>7518047</v>
      </c>
      <c r="AY712" s="12" t="str">
        <f>IFERROR(__xludf.DUMMYFUNCTION("""COMPUTED_VALUE"""),"3117513805")</f>
        <v>3117513805</v>
      </c>
      <c r="AZ712" s="6" t="str">
        <f>IFERROR(__xludf.DUMMYFUNCTION("""COMPUTED_VALUE"""),"Padre")</f>
        <v>Padre</v>
      </c>
      <c r="BA712" s="6"/>
      <c r="BB712" s="6"/>
      <c r="BC712" s="6"/>
      <c r="BD712" s="12" t="str">
        <f>IFERROR(__xludf.DUMMYFUNCTION("""COMPUTED_VALUE"""),"ang0002")</f>
        <v>ang0002</v>
      </c>
      <c r="BE712" s="6" t="str">
        <f>IFERROR(__xludf.DUMMYFUNCTION("""COMPUTED_VALUE"""),"FALTAN FIRMAS")</f>
        <v>FALTAN FIRMAS</v>
      </c>
      <c r="BF712" s="6"/>
      <c r="BG712" s="6">
        <f>IFERROR(__xludf.DUMMYFUNCTION("""COMPUTED_VALUE"""),2028.0)</f>
        <v>2028</v>
      </c>
      <c r="BH712" s="15">
        <f>IFERROR(__xludf.DUMMYFUNCTION("""COMPUTED_VALUE"""),46255.32236111111)</f>
        <v>46255.32236</v>
      </c>
      <c r="BI712" s="6">
        <f>IFERROR(__xludf.DUMMYFUNCTION("""COMPUTED_VALUE"""),713.0)</f>
        <v>713</v>
      </c>
      <c r="BJ712" s="6" t="str">
        <f>IFERROR(__xludf.DUMMYFUNCTION("""COMPUTED_VALUE"""),"SIMAT: Discapacidad Psicosocial Mental (Enero 24/2025)")</f>
        <v>SIMAT: Discapacidad Psicosocial Mental (Enero 24/2025)</v>
      </c>
      <c r="BK712" s="6"/>
      <c r="BL712" s="6" t="str">
        <f>IFERROR(__xludf.DUMMYFUNCTION("""COMPUTED_VALUE"""),"GISANG0002")</f>
        <v>GISANG0002</v>
      </c>
      <c r="BM712" s="6"/>
      <c r="BN712" s="6"/>
      <c r="BO712" s="6" t="str">
        <f>IFERROR(__xludf.DUMMYFUNCTION("""COMPUTED_VALUE"""),"XC_SEC_ProgRobot")</f>
        <v>XC_SEC_ProgRobot</v>
      </c>
      <c r="BP712" s="6"/>
      <c r="BQ712" s="6"/>
      <c r="BR712" s="6"/>
      <c r="BS712" s="6"/>
      <c r="BT712" s="6"/>
      <c r="BU712" s="6" t="str">
        <f>IFERROR(__xludf.DUMMYFUNCTION("""COMPUTED_VALUE"""),"SI")</f>
        <v>SI</v>
      </c>
      <c r="BV712" s="6" t="str">
        <f>IFERROR(__xludf.DUMMYFUNCTION("""COMPUTED_VALUE"""),"alejandra.a2028")</f>
        <v>alejandra.a2028</v>
      </c>
      <c r="BW712" s="6"/>
      <c r="BX712" s="6"/>
      <c r="BY712" s="6"/>
      <c r="BZ712" s="6"/>
    </row>
    <row r="713">
      <c r="A713" s="12">
        <f>IFERROR(__xludf.DUMMYFUNCTION("""COMPUTED_VALUE"""),1.030100547E9)</f>
        <v>1030100547</v>
      </c>
      <c r="B713" s="6">
        <f>IFERROR(__xludf.DUMMYFUNCTION("""COMPUTED_VALUE"""),3.0)</f>
        <v>3</v>
      </c>
      <c r="C713" s="6" t="str">
        <f>IFERROR(__xludf.DUMMYFUNCTION("""COMPUTED_VALUE"""),"Ana")</f>
        <v>Ana</v>
      </c>
      <c r="D713" s="6" t="str">
        <f>IFERROR(__xludf.DUMMYFUNCTION("""COMPUTED_VALUE"""),"Sofía")</f>
        <v>Sofía</v>
      </c>
      <c r="E713" s="6" t="str">
        <f>IFERROR(__xludf.DUMMYFUNCTION("""COMPUTED_VALUE"""),"Arango Quintero")</f>
        <v>Arango Quintero</v>
      </c>
      <c r="F713" s="6" t="str">
        <f>IFERROR(__xludf.DUMMYFUNCTION("""COMPUTED_VALUE"""),"Condominio Alcala Casa 29 - Calle 24ANte No 18 - 20")</f>
        <v>Condominio Alcala Casa 29 - Calle 24ANte No 18 - 20</v>
      </c>
      <c r="G713" s="12" t="str">
        <f>IFERROR(__xludf.DUMMYFUNCTION("""COMPUTED_VALUE"""),"2010")</f>
        <v>2010</v>
      </c>
      <c r="H713" s="6" t="str">
        <f>IFERROR(__xludf.DUMMYFUNCTION("""COMPUTED_VALUE"""),"Julio")</f>
        <v>Julio</v>
      </c>
      <c r="I713" s="12" t="str">
        <f>IFERROR(__xludf.DUMMYFUNCTION("""COMPUTED_VALUE"""),"15")</f>
        <v>15</v>
      </c>
      <c r="J713" s="6" t="str">
        <f>IFERROR(__xludf.DUMMYFUNCTION("""COMPUTED_VALUE"""),"Armenia")</f>
        <v>Armenia</v>
      </c>
      <c r="K713" s="6" t="str">
        <f>IFERROR(__xludf.DUMMYFUNCTION("""COMPUTED_VALUE"""),"anas.a2028@gi.edu.co")</f>
        <v>anas.a2028@gi.edu.co</v>
      </c>
      <c r="L713" s="6" t="str">
        <f>IFERROR(__xludf.DUMMYFUNCTION("""COMPUTED_VALUE"""),"TI")</f>
        <v>TI</v>
      </c>
      <c r="M713" s="6" t="str">
        <f>IFERROR(__xludf.DUMMYFUNCTION("""COMPUTED_VALUE"""),"Armenia")</f>
        <v>Armenia</v>
      </c>
      <c r="N713" s="6" t="str">
        <f>IFERROR(__xludf.DUMMYFUNCTION("""COMPUTED_VALUE"""),"F")</f>
        <v>F</v>
      </c>
      <c r="O713" s="6" t="str">
        <f>IFERROR(__xludf.DUMMYFUNCTION("""COMPUTED_VALUE"""),"ACTIVE")</f>
        <v>ACTIVE</v>
      </c>
      <c r="P713" s="6"/>
      <c r="Q713" s="6" t="str">
        <f>IFERROR(__xludf.DUMMYFUNCTION("""COMPUTED_VALUE"""),"Armenia")</f>
        <v>Armenia</v>
      </c>
      <c r="R713" s="12" t="str">
        <f>IFERROR(__xludf.DUMMYFUNCTION("""COMPUTED_VALUE"""),"Gi6655gfdd*")</f>
        <v>Gi6655gfdd*</v>
      </c>
      <c r="S713" s="6" t="str">
        <f>IFERROR(__xludf.DUMMYFUNCTION("""COMPUTED_VALUE"""),"Arango Quintero Ana Sofía")</f>
        <v>Arango Quintero Ana Sofía</v>
      </c>
      <c r="T713" s="6" t="str">
        <f>IFERROR(__xludf.DUMMYFUNCTION("""COMPUTED_VALUE"""),"SANDRA YULIETH QUINTERO GIRALDO")</f>
        <v>SANDRA YULIETH QUINTERO GIRALDO</v>
      </c>
      <c r="U713" s="12" t="str">
        <f>IFERROR(__xludf.DUMMYFUNCTION("""COMPUTED_VALUE"""),"41938136")</f>
        <v>41938136</v>
      </c>
      <c r="V713" s="6">
        <f>IFERROR(__xludf.DUMMYFUNCTION("""COMPUTED_VALUE"""),3.206326625E9)</f>
        <v>3206326625</v>
      </c>
      <c r="W713" s="6" t="str">
        <f>IFERROR(__xludf.DUMMYFUNCTION("""COMPUTED_VALUE"""),"yulinet1@yahoo.es")</f>
        <v>yulinet1@yahoo.es</v>
      </c>
      <c r="X713" s="12" t="str">
        <f>IFERROR(__xludf.DUMMYFUNCTION("""COMPUTED_VALUE"""),"O+")</f>
        <v>O+</v>
      </c>
      <c r="Y713" s="12" t="str">
        <f>IFERROR(__xludf.DUMMYFUNCTION("""COMPUTED_VALUE"""),"11")</f>
        <v>11</v>
      </c>
      <c r="Z713" s="12">
        <f>IFERROR(__xludf.DUMMYFUNCTION("""COMPUTED_VALUE"""),103140.0)</f>
        <v>103140</v>
      </c>
      <c r="AA713" s="6" t="str">
        <f>IFERROR(__xludf.DUMMYFUNCTION("""COMPUTED_VALUE"""),"SURA")</f>
        <v>SURA</v>
      </c>
      <c r="AB713" s="6" t="str">
        <f>IFERROR(__xludf.DUMMYFUNCTION("""COMPUTED_VALUE"""),"EMI")</f>
        <v>EMI</v>
      </c>
      <c r="AC713" s="6"/>
      <c r="AD713" s="12" t="str">
        <f>IFERROR(__xludf.DUMMYFUNCTION("""COMPUTED_VALUE"""),"11")</f>
        <v>11</v>
      </c>
      <c r="AE713" s="12">
        <f>IFERROR(__xludf.DUMMYFUNCTION("""COMPUTED_VALUE"""),1.345281545E9)</f>
        <v>1345281545</v>
      </c>
      <c r="AF713" s="12" t="str">
        <f>IFERROR(__xludf.DUMMYFUNCTION("""COMPUTED_VALUE"""),"0693535667")</f>
        <v>0693535667</v>
      </c>
      <c r="AG713" s="12" t="str">
        <f>IFERROR(__xludf.DUMMYFUNCTION("""COMPUTED_VALUE"""),"Sandra")</f>
        <v>Sandra</v>
      </c>
      <c r="AH713" s="12" t="str">
        <f>IFERROR(__xludf.DUMMYFUNCTION("""COMPUTED_VALUE"""),"Yulieth")</f>
        <v>Yulieth</v>
      </c>
      <c r="AI713" s="6" t="str">
        <f>IFERROR(__xludf.DUMMYFUNCTION("""COMPUTED_VALUE"""),"Quintero Giraldo")</f>
        <v>Quintero Giraldo</v>
      </c>
      <c r="AJ713" s="6" t="str">
        <f>IFERROR(__xludf.DUMMYFUNCTION("""COMPUTED_VALUE"""),"yulinet1@yahoo.es")</f>
        <v>yulinet1@yahoo.es</v>
      </c>
      <c r="AK713" s="6" t="str">
        <f>IFERROR(__xludf.DUMMYFUNCTION("""COMPUTED_VALUE"""),"Abogada")</f>
        <v>Abogada</v>
      </c>
      <c r="AL713" s="6" t="str">
        <f>IFERROR(__xludf.DUMMYFUNCTION("""COMPUTED_VALUE"""),"Alcaldia de Armenia")</f>
        <v>Alcaldia de Armenia</v>
      </c>
      <c r="AM713" s="12" t="str">
        <f>IFERROR(__xludf.DUMMYFUNCTION("""COMPUTED_VALUE"""),"41938136")</f>
        <v>41938136</v>
      </c>
      <c r="AN713" s="12" t="str">
        <f>IFERROR(__xludf.DUMMYFUNCTION("""COMPUTED_VALUE"""),"3206326625")</f>
        <v>3206326625</v>
      </c>
      <c r="AO713" s="6" t="str">
        <f>IFERROR(__xludf.DUMMYFUNCTION("""COMPUTED_VALUE"""),"Madre")</f>
        <v>Madre</v>
      </c>
      <c r="AP713" s="6" t="str">
        <f>IFERROR(__xludf.DUMMYFUNCTION("""COMPUTED_VALUE"""),"Estudiante(s): Arango Quintero")</f>
        <v>Estudiante(s): Arango Quintero</v>
      </c>
      <c r="AQ713" s="6" t="str">
        <f>IFERROR(__xludf.DUMMYFUNCTION("""COMPUTED_VALUE"""),"103140*Gi")</f>
        <v>103140*Gi</v>
      </c>
      <c r="AR713" s="6" t="str">
        <f>IFERROR(__xludf.DUMMYFUNCTION("""COMPUTED_VALUE"""),"Samuel")</f>
        <v>Samuel</v>
      </c>
      <c r="AS713" s="6" t="str">
        <f>IFERROR(__xludf.DUMMYFUNCTION("""COMPUTED_VALUE"""),"Giovanny")</f>
        <v>Giovanny</v>
      </c>
      <c r="AT713" s="6" t="str">
        <f>IFERROR(__xludf.DUMMYFUNCTION("""COMPUTED_VALUE"""),"Arango Arango")</f>
        <v>Arango Arango</v>
      </c>
      <c r="AU713" s="6" t="str">
        <f>IFERROR(__xludf.DUMMYFUNCTION("""COMPUTED_VALUE"""),"fallecido@gi.edu.co")</f>
        <v>fallecido@gi.edu.co</v>
      </c>
      <c r="AV713" s="6"/>
      <c r="AW713" s="6"/>
      <c r="AX713" s="12" t="str">
        <f>IFERROR(__xludf.DUMMYFUNCTION("""COMPUTED_VALUE"""),"18496795")</f>
        <v>18496795</v>
      </c>
      <c r="AY713" s="12" t="str">
        <f>IFERROR(__xludf.DUMMYFUNCTION("""COMPUTED_VALUE"""),"0")</f>
        <v>0</v>
      </c>
      <c r="AZ713" s="6" t="str">
        <f>IFERROR(__xludf.DUMMYFUNCTION("""COMPUTED_VALUE"""),"Padre")</f>
        <v>Padre</v>
      </c>
      <c r="BA713" s="6"/>
      <c r="BB713" s="6"/>
      <c r="BC713" s="6"/>
      <c r="BD713" s="12" t="str">
        <f>IFERROR(__xludf.DUMMYFUNCTION("""COMPUTED_VALUE"""),"ara0009")</f>
        <v>ara0009</v>
      </c>
      <c r="BE713" s="6"/>
      <c r="BF713" s="6"/>
      <c r="BG713" s="6">
        <f>IFERROR(__xludf.DUMMYFUNCTION("""COMPUTED_VALUE"""),2028.0)</f>
        <v>2028</v>
      </c>
      <c r="BH713" s="15">
        <f>IFERROR(__xludf.DUMMYFUNCTION("""COMPUTED_VALUE"""),46210.41407407408)</f>
        <v>46210.41407</v>
      </c>
      <c r="BI713" s="6">
        <f>IFERROR(__xludf.DUMMYFUNCTION("""COMPUTED_VALUE"""),714.0)</f>
        <v>714</v>
      </c>
      <c r="BJ713" s="6"/>
      <c r="BK713" s="6"/>
      <c r="BL713" s="6" t="str">
        <f>IFERROR(__xludf.DUMMYFUNCTION("""COMPUTED_VALUE"""),"GISARA0009")</f>
        <v>GISARA0009</v>
      </c>
      <c r="BM713" s="6"/>
      <c r="BN713" s="6"/>
      <c r="BO713" s="6"/>
      <c r="BP713" s="6"/>
      <c r="BQ713" s="6"/>
      <c r="BR713" s="6"/>
      <c r="BS713" s="6"/>
      <c r="BT713" s="6"/>
      <c r="BU713" s="6" t="str">
        <f>IFERROR(__xludf.DUMMYFUNCTION("""COMPUTED_VALUE"""),"SI")</f>
        <v>SI</v>
      </c>
      <c r="BV713" s="6" t="str">
        <f>IFERROR(__xludf.DUMMYFUNCTION("""COMPUTED_VALUE"""),"anas.a2028")</f>
        <v>anas.a2028</v>
      </c>
      <c r="BW713" s="6"/>
      <c r="BX713" s="6"/>
      <c r="BY713" s="6"/>
      <c r="BZ713" s="6"/>
    </row>
    <row r="714">
      <c r="A714" s="12">
        <f>IFERROR(__xludf.DUMMYFUNCTION("""COMPUTED_VALUE"""),1.092854867E9)</f>
        <v>1092854867</v>
      </c>
      <c r="B714" s="6">
        <f>IFERROR(__xludf.DUMMYFUNCTION("""COMPUTED_VALUE"""),4.0)</f>
        <v>4</v>
      </c>
      <c r="C714" s="6" t="str">
        <f>IFERROR(__xludf.DUMMYFUNCTION("""COMPUTED_VALUE"""),"Eva")</f>
        <v>Eva</v>
      </c>
      <c r="D714" s="6"/>
      <c r="E714" s="6" t="str">
        <f>IFERROR(__xludf.DUMMYFUNCTION("""COMPUTED_VALUE"""),"Arias Londoño")</f>
        <v>Arias Londoño</v>
      </c>
      <c r="F714" s="6" t="str">
        <f>IFERROR(__xludf.DUMMYFUNCTION("""COMPUTED_VALUE"""),"Condominio Campestre La Reserva Torre Malaga Apto 1402 - Cra 5 No10Nte - 25 Av Centenario")</f>
        <v>Condominio Campestre La Reserva Torre Malaga Apto 1402 - Cra 5 No10Nte - 25 Av Centenario</v>
      </c>
      <c r="G714" s="12" t="str">
        <f>IFERROR(__xludf.DUMMYFUNCTION("""COMPUTED_VALUE"""),"2010")</f>
        <v>2010</v>
      </c>
      <c r="H714" s="6" t="str">
        <f>IFERROR(__xludf.DUMMYFUNCTION("""COMPUTED_VALUE"""),"Agosto")</f>
        <v>Agosto</v>
      </c>
      <c r="I714" s="12" t="str">
        <f>IFERROR(__xludf.DUMMYFUNCTION("""COMPUTED_VALUE"""),"5")</f>
        <v>5</v>
      </c>
      <c r="J714" s="6" t="str">
        <f>IFERROR(__xludf.DUMMYFUNCTION("""COMPUTED_VALUE"""),"Armenia")</f>
        <v>Armenia</v>
      </c>
      <c r="K714" s="6" t="str">
        <f>IFERROR(__xludf.DUMMYFUNCTION("""COMPUTED_VALUE"""),"eva.a2028@gi.edu.co")</f>
        <v>eva.a2028@gi.edu.co</v>
      </c>
      <c r="L714" s="6" t="str">
        <f>IFERROR(__xludf.DUMMYFUNCTION("""COMPUTED_VALUE"""),"TI")</f>
        <v>TI</v>
      </c>
      <c r="M714" s="6" t="str">
        <f>IFERROR(__xludf.DUMMYFUNCTION("""COMPUTED_VALUE"""),"Armenia")</f>
        <v>Armenia</v>
      </c>
      <c r="N714" s="6" t="str">
        <f>IFERROR(__xludf.DUMMYFUNCTION("""COMPUTED_VALUE"""),"F")</f>
        <v>F</v>
      </c>
      <c r="O714" s="6" t="str">
        <f>IFERROR(__xludf.DUMMYFUNCTION("""COMPUTED_VALUE"""),"ACTIVE")</f>
        <v>ACTIVE</v>
      </c>
      <c r="P714" s="6"/>
      <c r="Q714" s="6" t="str">
        <f>IFERROR(__xludf.DUMMYFUNCTION("""COMPUTED_VALUE"""),"Armenia")</f>
        <v>Armenia</v>
      </c>
      <c r="R714" s="12" t="str">
        <f>IFERROR(__xludf.DUMMYFUNCTION("""COMPUTED_VALUE"""),"Gillmmn432*")</f>
        <v>Gillmmn432*</v>
      </c>
      <c r="S714" s="6" t="str">
        <f>IFERROR(__xludf.DUMMYFUNCTION("""COMPUTED_VALUE"""),"Arias Londoño Eva ")</f>
        <v>Arias Londoño Eva </v>
      </c>
      <c r="T714" s="6" t="str">
        <f>IFERROR(__xludf.DUMMYFUNCTION("""COMPUTED_VALUE"""),"SANTIAGO ARIAS BOTERO")</f>
        <v>SANTIAGO ARIAS BOTERO</v>
      </c>
      <c r="U714" s="12" t="str">
        <f>IFERROR(__xludf.DUMMYFUNCTION("""COMPUTED_VALUE"""),"9734993")</f>
        <v>9734993</v>
      </c>
      <c r="V714" s="6">
        <f>IFERROR(__xludf.DUMMYFUNCTION("""COMPUTED_VALUE"""),3.148905254E9)</f>
        <v>3148905254</v>
      </c>
      <c r="W714" s="6" t="str">
        <f>IFERROR(__xludf.DUMMYFUNCTION("""COMPUTED_VALUE"""),"santiago35@gmail.com")</f>
        <v>santiago35@gmail.com</v>
      </c>
      <c r="X714" s="12" t="str">
        <f>IFERROR(__xludf.DUMMYFUNCTION("""COMPUTED_VALUE"""),"A+")</f>
        <v>A+</v>
      </c>
      <c r="Y714" s="12" t="str">
        <f>IFERROR(__xludf.DUMMYFUNCTION("""COMPUTED_VALUE"""),"11")</f>
        <v>11</v>
      </c>
      <c r="Z714" s="12">
        <f>IFERROR(__xludf.DUMMYFUNCTION("""COMPUTED_VALUE"""),103215.0)</f>
        <v>103215</v>
      </c>
      <c r="AA714" s="6" t="str">
        <f>IFERROR(__xludf.DUMMYFUNCTION("""COMPUTED_VALUE"""),"SANITAS")</f>
        <v>SANITAS</v>
      </c>
      <c r="AB714" s="6"/>
      <c r="AC714" s="6"/>
      <c r="AD714" s="12" t="str">
        <f>IFERROR(__xludf.DUMMYFUNCTION("""COMPUTED_VALUE"""),"11")</f>
        <v>11</v>
      </c>
      <c r="AE714" s="12">
        <f>IFERROR(__xludf.DUMMYFUNCTION("""COMPUTED_VALUE"""),1.345281574E9)</f>
        <v>1345281574</v>
      </c>
      <c r="AF714" s="12" t="str">
        <f>IFERROR(__xludf.DUMMYFUNCTION("""COMPUTED_VALUE"""),"0691007987")</f>
        <v>0691007987</v>
      </c>
      <c r="AG714" s="12" t="str">
        <f>IFERROR(__xludf.DUMMYFUNCTION("""COMPUTED_VALUE"""),"María")</f>
        <v>María</v>
      </c>
      <c r="AH714" s="12" t="str">
        <f>IFERROR(__xludf.DUMMYFUNCTION("""COMPUTED_VALUE"""),"Paula")</f>
        <v>Paula</v>
      </c>
      <c r="AI714" s="6" t="str">
        <f>IFERROR(__xludf.DUMMYFUNCTION("""COMPUTED_VALUE"""),"Londoño Baena")</f>
        <v>Londoño Baena</v>
      </c>
      <c r="AJ714" s="6" t="str">
        <f>IFERROR(__xludf.DUMMYFUNCTION("""COMPUTED_VALUE"""),"mariapaula79@gmail.com")</f>
        <v>mariapaula79@gmail.com</v>
      </c>
      <c r="AK714" s="6" t="str">
        <f>IFERROR(__xludf.DUMMYFUNCTION("""COMPUTED_VALUE"""),"ING.AGROINDUSTRIAL")</f>
        <v>ING.AGROINDUSTRIAL</v>
      </c>
      <c r="AL714" s="6" t="str">
        <f>IFERROR(__xludf.DUMMYFUNCTION("""COMPUTED_VALUE"""),"FRUTEK SAS")</f>
        <v>FRUTEK SAS</v>
      </c>
      <c r="AM714" s="12" t="str">
        <f>IFERROR(__xludf.DUMMYFUNCTION("""COMPUTED_VALUE"""),"41944662")</f>
        <v>41944662</v>
      </c>
      <c r="AN714" s="12" t="str">
        <f>IFERROR(__xludf.DUMMYFUNCTION("""COMPUTED_VALUE"""),"3148901959")</f>
        <v>3148901959</v>
      </c>
      <c r="AO714" s="6" t="str">
        <f>IFERROR(__xludf.DUMMYFUNCTION("""COMPUTED_VALUE"""),"Madre")</f>
        <v>Madre</v>
      </c>
      <c r="AP714" s="6" t="str">
        <f>IFERROR(__xludf.DUMMYFUNCTION("""COMPUTED_VALUE"""),"Estudiante(s): Pablo Osorio Londoño &amp; Eva Arias Londoño")</f>
        <v>Estudiante(s): Pablo Osorio Londoño &amp; Eva Arias Londoño</v>
      </c>
      <c r="AQ714" s="6" t="str">
        <f>IFERROR(__xludf.DUMMYFUNCTION("""COMPUTED_VALUE"""),"120062*Gi")</f>
        <v>120062*Gi</v>
      </c>
      <c r="AR714" s="6" t="str">
        <f>IFERROR(__xludf.DUMMYFUNCTION("""COMPUTED_VALUE"""),"Santiago")</f>
        <v>Santiago</v>
      </c>
      <c r="AS714" s="6"/>
      <c r="AT714" s="6" t="str">
        <f>IFERROR(__xludf.DUMMYFUNCTION("""COMPUTED_VALUE"""),"Arias Botero")</f>
        <v>Arias Botero</v>
      </c>
      <c r="AU714" s="6" t="str">
        <f>IFERROR(__xludf.DUMMYFUNCTION("""COMPUTED_VALUE"""),"santiago35@gmail.com")</f>
        <v>santiago35@gmail.com</v>
      </c>
      <c r="AV714" s="6" t="str">
        <f>IFERROR(__xludf.DUMMYFUNCTION("""COMPUTED_VALUE"""),"ADMINISTRADOR EMPRESAS")</f>
        <v>ADMINISTRADOR EMPRESAS</v>
      </c>
      <c r="AW714" s="6" t="str">
        <f>IFERROR(__xludf.DUMMYFUNCTION("""COMPUTED_VALUE"""),"QUINDICOLOR")</f>
        <v>QUINDICOLOR</v>
      </c>
      <c r="AX714" s="12" t="str">
        <f>IFERROR(__xludf.DUMMYFUNCTION("""COMPUTED_VALUE"""),"9734993")</f>
        <v>9734993</v>
      </c>
      <c r="AY714" s="12" t="str">
        <f>IFERROR(__xludf.DUMMYFUNCTION("""COMPUTED_VALUE"""),"3148905254")</f>
        <v>3148905254</v>
      </c>
      <c r="AZ714" s="6" t="str">
        <f>IFERROR(__xludf.DUMMYFUNCTION("""COMPUTED_VALUE"""),"Padre")</f>
        <v>Padre</v>
      </c>
      <c r="BA714" s="6"/>
      <c r="BB714" s="6"/>
      <c r="BC714" s="6"/>
      <c r="BD714" s="12" t="str">
        <f>IFERROR(__xludf.DUMMYFUNCTION("""COMPUTED_VALUE"""),"ari0026")</f>
        <v>ari0026</v>
      </c>
      <c r="BE714" s="6"/>
      <c r="BF714" s="6"/>
      <c r="BG714" s="6">
        <f>IFERROR(__xludf.DUMMYFUNCTION("""COMPUTED_VALUE"""),2028.0)</f>
        <v>2028</v>
      </c>
      <c r="BH714" s="15">
        <f>IFERROR(__xludf.DUMMYFUNCTION("""COMPUTED_VALUE"""),46211.36096064815)</f>
        <v>46211.36096</v>
      </c>
      <c r="BI714" s="6">
        <f>IFERROR(__xludf.DUMMYFUNCTION("""COMPUTED_VALUE"""),715.0)</f>
        <v>715</v>
      </c>
      <c r="BJ714" s="6"/>
      <c r="BK714" s="6"/>
      <c r="BL714" s="6" t="str">
        <f>IFERROR(__xludf.DUMMYFUNCTION("""COMPUTED_VALUE"""),"GISARI0026")</f>
        <v>GISARI0026</v>
      </c>
      <c r="BM714" s="6"/>
      <c r="BN714" s="6"/>
      <c r="BO714" s="6"/>
      <c r="BP714" s="6"/>
      <c r="BQ714" s="6"/>
      <c r="BR714" s="6"/>
      <c r="BS714" s="6"/>
      <c r="BT714" s="6"/>
      <c r="BU714" s="6" t="str">
        <f>IFERROR(__xludf.DUMMYFUNCTION("""COMPUTED_VALUE"""),"SI")</f>
        <v>SI</v>
      </c>
      <c r="BV714" s="6" t="str">
        <f>IFERROR(__xludf.DUMMYFUNCTION("""COMPUTED_VALUE"""),"eva.a2028")</f>
        <v>eva.a2028</v>
      </c>
      <c r="BW714" s="6"/>
      <c r="BX714" s="6"/>
      <c r="BY714" s="6"/>
      <c r="BZ714" s="6"/>
    </row>
    <row r="715">
      <c r="A715" s="12">
        <f>IFERROR(__xludf.DUMMYFUNCTION("""COMPUTED_VALUE"""),1.013007047E9)</f>
        <v>1013007047</v>
      </c>
      <c r="B715" s="6">
        <f>IFERROR(__xludf.DUMMYFUNCTION("""COMPUTED_VALUE"""),5.0)</f>
        <v>5</v>
      </c>
      <c r="C715" s="6" t="str">
        <f>IFERROR(__xludf.DUMMYFUNCTION("""COMPUTED_VALUE"""),"Antonia")</f>
        <v>Antonia</v>
      </c>
      <c r="D715" s="6"/>
      <c r="E715" s="6" t="str">
        <f>IFERROR(__xludf.DUMMYFUNCTION("""COMPUTED_VALUE"""),"Arias Sánchez")</f>
        <v>Arias Sánchez</v>
      </c>
      <c r="F715" s="6" t="str">
        <f>IFERROR(__xludf.DUMMYFUNCTION("""COMPUTED_VALUE"""),"Condominio Pradera Boreal Casa 63 - Km. 5 Via Armenia Pereira")</f>
        <v>Condominio Pradera Boreal Casa 63 - Km. 5 Via Armenia Pereira</v>
      </c>
      <c r="G715" s="12" t="str">
        <f>IFERROR(__xludf.DUMMYFUNCTION("""COMPUTED_VALUE"""),"2010")</f>
        <v>2010</v>
      </c>
      <c r="H715" s="6" t="str">
        <f>IFERROR(__xludf.DUMMYFUNCTION("""COMPUTED_VALUE"""),"Mayo")</f>
        <v>Mayo</v>
      </c>
      <c r="I715" s="12" t="str">
        <f>IFERROR(__xludf.DUMMYFUNCTION("""COMPUTED_VALUE"""),"8")</f>
        <v>8</v>
      </c>
      <c r="J715" s="6" t="str">
        <f>IFERROR(__xludf.DUMMYFUNCTION("""COMPUTED_VALUE"""),"Bogotá D.C.")</f>
        <v>Bogotá D.C.</v>
      </c>
      <c r="K715" s="6" t="str">
        <f>IFERROR(__xludf.DUMMYFUNCTION("""COMPUTED_VALUE"""),"antonia.a2028@gi.edu.co")</f>
        <v>antonia.a2028@gi.edu.co</v>
      </c>
      <c r="L715" s="6" t="str">
        <f>IFERROR(__xludf.DUMMYFUNCTION("""COMPUTED_VALUE"""),"TI")</f>
        <v>TI</v>
      </c>
      <c r="M715" s="6" t="str">
        <f>IFERROR(__xludf.DUMMYFUNCTION("""COMPUTED_VALUE"""),"Armenia")</f>
        <v>Armenia</v>
      </c>
      <c r="N715" s="6" t="str">
        <f>IFERROR(__xludf.DUMMYFUNCTION("""COMPUTED_VALUE"""),"F")</f>
        <v>F</v>
      </c>
      <c r="O715" s="6" t="str">
        <f>IFERROR(__xludf.DUMMYFUNCTION("""COMPUTED_VALUE"""),"ACTIVE")</f>
        <v>ACTIVE</v>
      </c>
      <c r="P715" s="6"/>
      <c r="Q715" s="6" t="str">
        <f>IFERROR(__xludf.DUMMYFUNCTION("""COMPUTED_VALUE"""),"Circasia")</f>
        <v>Circasia</v>
      </c>
      <c r="R715" s="12" t="str">
        <f>IFERROR(__xludf.DUMMYFUNCTION("""COMPUTED_VALUE"""),"Gi5674yrht*")</f>
        <v>Gi5674yrht*</v>
      </c>
      <c r="S715" s="6" t="str">
        <f>IFERROR(__xludf.DUMMYFUNCTION("""COMPUTED_VALUE"""),"Arias Sánchez Antonia ")</f>
        <v>Arias Sánchez Antonia </v>
      </c>
      <c r="T715" s="6" t="str">
        <f>IFERROR(__xludf.DUMMYFUNCTION("""COMPUTED_VALUE"""),"CESAR ALBERTO ARIAS PEREZ")</f>
        <v>CESAR ALBERTO ARIAS PEREZ</v>
      </c>
      <c r="U715" s="12" t="str">
        <f>IFERROR(__xludf.DUMMYFUNCTION("""COMPUTED_VALUE"""),"79364005")</f>
        <v>79364005</v>
      </c>
      <c r="V715" s="6">
        <f>IFERROR(__xludf.DUMMYFUNCTION("""COMPUTED_VALUE"""),3.007333511E9)</f>
        <v>3007333511</v>
      </c>
      <c r="W715" s="6" t="str">
        <f>IFERROR(__xludf.DUMMYFUNCTION("""COMPUTED_VALUE"""),"cesar_arias@hotmail.com")</f>
        <v>cesar_arias@hotmail.com</v>
      </c>
      <c r="X715" s="12" t="str">
        <f>IFERROR(__xludf.DUMMYFUNCTION("""COMPUTED_VALUE"""),"B+")</f>
        <v>B+</v>
      </c>
      <c r="Y715" s="12" t="str">
        <f>IFERROR(__xludf.DUMMYFUNCTION("""COMPUTED_VALUE"""),"11")</f>
        <v>11</v>
      </c>
      <c r="Z715" s="12">
        <f>IFERROR(__xludf.DUMMYFUNCTION("""COMPUTED_VALUE"""),103060.0)</f>
        <v>103060</v>
      </c>
      <c r="AA715" s="6" t="str">
        <f>IFERROR(__xludf.DUMMYFUNCTION("""COMPUTED_VALUE"""),"SURA")</f>
        <v>SURA</v>
      </c>
      <c r="AB715" s="6"/>
      <c r="AC715" s="6"/>
      <c r="AD715" s="12" t="str">
        <f>IFERROR(__xludf.DUMMYFUNCTION("""COMPUTED_VALUE"""),"11")</f>
        <v>11</v>
      </c>
      <c r="AE715" s="12">
        <f>IFERROR(__xludf.DUMMYFUNCTION("""COMPUTED_VALUE"""),1.345281483E9)</f>
        <v>1345281483</v>
      </c>
      <c r="AF715" s="12" t="str">
        <f>IFERROR(__xludf.DUMMYFUNCTION("""COMPUTED_VALUE"""),"0727754755")</f>
        <v>0727754755</v>
      </c>
      <c r="AG715" s="12" t="str">
        <f>IFERROR(__xludf.DUMMYFUNCTION("""COMPUTED_VALUE"""),"Diana")</f>
        <v>Diana</v>
      </c>
      <c r="AH715" s="12" t="str">
        <f>IFERROR(__xludf.DUMMYFUNCTION("""COMPUTED_VALUE"""),"Carola")</f>
        <v>Carola</v>
      </c>
      <c r="AI715" s="6" t="str">
        <f>IFERROR(__xludf.DUMMYFUNCTION("""COMPUTED_VALUE"""),"Sánchez Arroyave")</f>
        <v>Sánchez Arroyave</v>
      </c>
      <c r="AJ715" s="6" t="str">
        <f>IFERROR(__xludf.DUMMYFUNCTION("""COMPUTED_VALUE"""),"drcarola@gmail.com")</f>
        <v>drcarola@gmail.com</v>
      </c>
      <c r="AK715" s="6" t="str">
        <f>IFERROR(__xludf.DUMMYFUNCTION("""COMPUTED_VALUE"""),"Medico Alternativo")</f>
        <v>Medico Alternativo</v>
      </c>
      <c r="AL715" s="6"/>
      <c r="AM715" s="12" t="str">
        <f>IFERROR(__xludf.DUMMYFUNCTION("""COMPUTED_VALUE"""),"29831613")</f>
        <v>29831613</v>
      </c>
      <c r="AN715" s="12" t="str">
        <f>IFERROR(__xludf.DUMMYFUNCTION("""COMPUTED_VALUE"""),"3124014374")</f>
        <v>3124014374</v>
      </c>
      <c r="AO715" s="6" t="str">
        <f>IFERROR(__xludf.DUMMYFUNCTION("""COMPUTED_VALUE"""),"Madre")</f>
        <v>Madre</v>
      </c>
      <c r="AP715" s="6" t="str">
        <f>IFERROR(__xludf.DUMMYFUNCTION("""COMPUTED_VALUE"""),"Estudiante(s): Arias Sánchez")</f>
        <v>Estudiante(s): Arias Sánchez</v>
      </c>
      <c r="AQ715" s="6" t="str">
        <f>IFERROR(__xludf.DUMMYFUNCTION("""COMPUTED_VALUE"""),"103060*Gi")</f>
        <v>103060*Gi</v>
      </c>
      <c r="AR715" s="6" t="str">
        <f>IFERROR(__xludf.DUMMYFUNCTION("""COMPUTED_VALUE"""),"César")</f>
        <v>César</v>
      </c>
      <c r="AS715" s="6" t="str">
        <f>IFERROR(__xludf.DUMMYFUNCTION("""COMPUTED_VALUE"""),"Alberto")</f>
        <v>Alberto</v>
      </c>
      <c r="AT715" s="6" t="str">
        <f>IFERROR(__xludf.DUMMYFUNCTION("""COMPUTED_VALUE"""),"Arias Pérez")</f>
        <v>Arias Pérez</v>
      </c>
      <c r="AU715" s="6" t="str">
        <f>IFERROR(__xludf.DUMMYFUNCTION("""COMPUTED_VALUE"""),"cesar_arias@hotmail.com")</f>
        <v>cesar_arias@hotmail.com</v>
      </c>
      <c r="AV715" s="6" t="str">
        <f>IFERROR(__xludf.DUMMYFUNCTION("""COMPUTED_VALUE"""),"Ingeniero de sistemas")</f>
        <v>Ingeniero de sistemas</v>
      </c>
      <c r="AW715" s="6" t="str">
        <f>IFERROR(__xludf.DUMMYFUNCTION("""COMPUTED_VALUE"""),"Redcom")</f>
        <v>Redcom</v>
      </c>
      <c r="AX715" s="12" t="str">
        <f>IFERROR(__xludf.DUMMYFUNCTION("""COMPUTED_VALUE"""),"79364005")</f>
        <v>79364005</v>
      </c>
      <c r="AY715" s="12" t="str">
        <f>IFERROR(__xludf.DUMMYFUNCTION("""COMPUTED_VALUE"""),"3007333511")</f>
        <v>3007333511</v>
      </c>
      <c r="AZ715" s="6" t="str">
        <f>IFERROR(__xludf.DUMMYFUNCTION("""COMPUTED_VALUE"""),"Padre")</f>
        <v>Padre</v>
      </c>
      <c r="BA715" s="6"/>
      <c r="BB715" s="6"/>
      <c r="BC715" s="6"/>
      <c r="BD715" s="12" t="str">
        <f>IFERROR(__xludf.DUMMYFUNCTION("""COMPUTED_VALUE"""),"ari0023")</f>
        <v>ari0023</v>
      </c>
      <c r="BE715" s="6"/>
      <c r="BF715" s="6"/>
      <c r="BG715" s="6">
        <f>IFERROR(__xludf.DUMMYFUNCTION("""COMPUTED_VALUE"""),2028.0)</f>
        <v>2028</v>
      </c>
      <c r="BH715" s="15">
        <f>IFERROR(__xludf.DUMMYFUNCTION("""COMPUTED_VALUE"""),46211.89525462963)</f>
        <v>46211.89525</v>
      </c>
      <c r="BI715" s="6">
        <f>IFERROR(__xludf.DUMMYFUNCTION("""COMPUTED_VALUE"""),716.0)</f>
        <v>716</v>
      </c>
      <c r="BJ715" s="6"/>
      <c r="BK715" s="6"/>
      <c r="BL715" s="6" t="str">
        <f>IFERROR(__xludf.DUMMYFUNCTION("""COMPUTED_VALUE"""),"GISARI0023")</f>
        <v>GISARI0023</v>
      </c>
      <c r="BM715" s="6"/>
      <c r="BN715" s="6"/>
      <c r="BO715" s="6" t="str">
        <f>IFERROR(__xludf.DUMMYFUNCTION("""COMPUTED_VALUE"""),"XC_SEC_Futbol_F")</f>
        <v>XC_SEC_Futbol_F</v>
      </c>
      <c r="BP715" s="6"/>
      <c r="BQ715" s="6" t="str">
        <f>IFERROR(__xludf.DUMMYFUNCTION("""COMPUTED_VALUE"""),"XC_SEC_Futbol_F")</f>
        <v>XC_SEC_Futbol_F</v>
      </c>
      <c r="BR715" s="6" t="str">
        <f>IFERROR(__xludf.DUMMYFUNCTION("""COMPUTED_VALUE"""),"XC_SEC_Futbol_F")</f>
        <v>XC_SEC_Futbol_F</v>
      </c>
      <c r="BS715" s="6"/>
      <c r="BT715" s="6" t="str">
        <f>IFERROR(__xludf.DUMMYFUNCTION("""COMPUTED_VALUE"""),"XC_SEC_Futbol_F")</f>
        <v>XC_SEC_Futbol_F</v>
      </c>
      <c r="BU715" s="6" t="str">
        <f>IFERROR(__xludf.DUMMYFUNCTION("""COMPUTED_VALUE"""),"NO")</f>
        <v>NO</v>
      </c>
      <c r="BV715" s="6" t="str">
        <f>IFERROR(__xludf.DUMMYFUNCTION("""COMPUTED_VALUE"""),"antonia.a2028")</f>
        <v>antonia.a2028</v>
      </c>
      <c r="BW715" s="6"/>
      <c r="BX715" s="6"/>
      <c r="BY715" s="6"/>
      <c r="BZ715" s="6"/>
    </row>
    <row r="716">
      <c r="A716" s="12">
        <f>IFERROR(__xludf.DUMMYFUNCTION("""COMPUTED_VALUE"""),1.030100433E9)</f>
        <v>1030100433</v>
      </c>
      <c r="B716" s="6">
        <f>IFERROR(__xludf.DUMMYFUNCTION("""COMPUTED_VALUE"""),6.0)</f>
        <v>6</v>
      </c>
      <c r="C716" s="6" t="str">
        <f>IFERROR(__xludf.DUMMYFUNCTION("""COMPUTED_VALUE"""),"Maria")</f>
        <v>Maria</v>
      </c>
      <c r="D716" s="6" t="str">
        <f>IFERROR(__xludf.DUMMYFUNCTION("""COMPUTED_VALUE"""),"José")</f>
        <v>José</v>
      </c>
      <c r="E716" s="6" t="str">
        <f>IFERROR(__xludf.DUMMYFUNCTION("""COMPUTED_VALUE"""),"Aristizábal Mesa")</f>
        <v>Aristizábal Mesa</v>
      </c>
      <c r="F716" s="6" t="str">
        <f>IFERROR(__xludf.DUMMYFUNCTION("""COMPUTED_VALUE"""),"Condominio Campestre Reserva del Bosque Casa 20 - Km 1 Via Armenia - Circasia")</f>
        <v>Condominio Campestre Reserva del Bosque Casa 20 - Km 1 Via Armenia - Circasia</v>
      </c>
      <c r="G716" s="12" t="str">
        <f>IFERROR(__xludf.DUMMYFUNCTION("""COMPUTED_VALUE"""),"2010")</f>
        <v>2010</v>
      </c>
      <c r="H716" s="6" t="str">
        <f>IFERROR(__xludf.DUMMYFUNCTION("""COMPUTED_VALUE"""),"Abril")</f>
        <v>Abril</v>
      </c>
      <c r="I716" s="12" t="str">
        <f>IFERROR(__xludf.DUMMYFUNCTION("""COMPUTED_VALUE"""),"5")</f>
        <v>5</v>
      </c>
      <c r="J716" s="6" t="str">
        <f>IFERROR(__xludf.DUMMYFUNCTION("""COMPUTED_VALUE"""),"Armenia")</f>
        <v>Armenia</v>
      </c>
      <c r="K716" s="6" t="str">
        <f>IFERROR(__xludf.DUMMYFUNCTION("""COMPUTED_VALUE"""),"mariaj.a2028@gi.edu.co")</f>
        <v>mariaj.a2028@gi.edu.co</v>
      </c>
      <c r="L716" s="6" t="str">
        <f>IFERROR(__xludf.DUMMYFUNCTION("""COMPUTED_VALUE"""),"TI")</f>
        <v>TI</v>
      </c>
      <c r="M716" s="6" t="str">
        <f>IFERROR(__xludf.DUMMYFUNCTION("""COMPUTED_VALUE"""),"Armenia")</f>
        <v>Armenia</v>
      </c>
      <c r="N716" s="6" t="str">
        <f>IFERROR(__xludf.DUMMYFUNCTION("""COMPUTED_VALUE"""),"F")</f>
        <v>F</v>
      </c>
      <c r="O716" s="6" t="str">
        <f>IFERROR(__xludf.DUMMYFUNCTION("""COMPUTED_VALUE"""),"ACTIVE")</f>
        <v>ACTIVE</v>
      </c>
      <c r="P716" s="6"/>
      <c r="Q716" s="6" t="str">
        <f>IFERROR(__xludf.DUMMYFUNCTION("""COMPUTED_VALUE"""),"Armenia")</f>
        <v>Armenia</v>
      </c>
      <c r="R716" s="12" t="str">
        <f>IFERROR(__xludf.DUMMYFUNCTION("""COMPUTED_VALUE"""),"Gi234erdfg*")</f>
        <v>Gi234erdfg*</v>
      </c>
      <c r="S716" s="6" t="str">
        <f>IFERROR(__xludf.DUMMYFUNCTION("""COMPUTED_VALUE"""),"Aristizábal Mesa Maria José")</f>
        <v>Aristizábal Mesa Maria José</v>
      </c>
      <c r="T716" s="6" t="str">
        <f>IFERROR(__xludf.DUMMYFUNCTION("""COMPUTED_VALUE"""),"ADRIANA MILENA MESA MARTINEZ")</f>
        <v>ADRIANA MILENA MESA MARTINEZ</v>
      </c>
      <c r="U716" s="12" t="str">
        <f>IFERROR(__xludf.DUMMYFUNCTION("""COMPUTED_VALUE"""),"41936005")</f>
        <v>41936005</v>
      </c>
      <c r="V716" s="6">
        <f>IFERROR(__xludf.DUMMYFUNCTION("""COMPUTED_VALUE"""),3.184666129E9)</f>
        <v>3184666129</v>
      </c>
      <c r="W716" s="6" t="str">
        <f>IFERROR(__xludf.DUMMYFUNCTION("""COMPUTED_VALUE"""),"adrianamil@hotmail.com")</f>
        <v>adrianamil@hotmail.com</v>
      </c>
      <c r="X716" s="12" t="str">
        <f>IFERROR(__xludf.DUMMYFUNCTION("""COMPUTED_VALUE"""),"A+")</f>
        <v>A+</v>
      </c>
      <c r="Y716" s="12" t="str">
        <f>IFERROR(__xludf.DUMMYFUNCTION("""COMPUTED_VALUE"""),"11")</f>
        <v>11</v>
      </c>
      <c r="Z716" s="12">
        <f>IFERROR(__xludf.DUMMYFUNCTION("""COMPUTED_VALUE"""),103080.0)</f>
        <v>103080</v>
      </c>
      <c r="AA716" s="6" t="str">
        <f>IFERROR(__xludf.DUMMYFUNCTION("""COMPUTED_VALUE"""),"SANITAS")</f>
        <v>SANITAS</v>
      </c>
      <c r="AB716" s="6" t="str">
        <f>IFERROR(__xludf.DUMMYFUNCTION("""COMPUTED_VALUE"""),"Colsanitas medicina Prepagada")</f>
        <v>Colsanitas medicina Prepagada</v>
      </c>
      <c r="AC716" s="12" t="str">
        <f>IFERROR(__xludf.DUMMYFUNCTION("""COMPUTED_VALUE"""),"Rinitis alergica al polvo, animales, polen")</f>
        <v>Rinitis alergica al polvo, animales, polen</v>
      </c>
      <c r="AD716" s="12" t="str">
        <f>IFERROR(__xludf.DUMMYFUNCTION("""COMPUTED_VALUE"""),"11")</f>
        <v>11</v>
      </c>
      <c r="AE716" s="12">
        <f>IFERROR(__xludf.DUMMYFUNCTION("""COMPUTED_VALUE"""),1.345281498E9)</f>
        <v>1345281498</v>
      </c>
      <c r="AF716" s="12" t="str">
        <f>IFERROR(__xludf.DUMMYFUNCTION("""COMPUTED_VALUE"""),"0692245411")</f>
        <v>0692245411</v>
      </c>
      <c r="AG716" s="12" t="str">
        <f>IFERROR(__xludf.DUMMYFUNCTION("""COMPUTED_VALUE"""),"Adriana")</f>
        <v>Adriana</v>
      </c>
      <c r="AH716" s="12" t="str">
        <f>IFERROR(__xludf.DUMMYFUNCTION("""COMPUTED_VALUE"""),"Milena")</f>
        <v>Milena</v>
      </c>
      <c r="AI716" s="6" t="str">
        <f>IFERROR(__xludf.DUMMYFUNCTION("""COMPUTED_VALUE"""),"Mesa Martínez")</f>
        <v>Mesa Martínez</v>
      </c>
      <c r="AJ716" s="6" t="str">
        <f>IFERROR(__xludf.DUMMYFUNCTION("""COMPUTED_VALUE"""),"adrianamil1976@gmail.com")</f>
        <v>adrianamil1976@gmail.com</v>
      </c>
      <c r="AK716" s="6" t="str">
        <f>IFERROR(__xludf.DUMMYFUNCTION("""COMPUTED_VALUE"""),"Finanzas y Negocios Internacionales")</f>
        <v>Finanzas y Negocios Internacionales</v>
      </c>
      <c r="AL716" s="6" t="str">
        <f>IFERROR(__xludf.DUMMYFUNCTION("""COMPUTED_VALUE"""),"Reserva del Bosque casa 20 KM 1 via Armenia Circasia")</f>
        <v>Reserva del Bosque casa 20 KM 1 via Armenia Circasia</v>
      </c>
      <c r="AM716" s="12" t="str">
        <f>IFERROR(__xludf.DUMMYFUNCTION("""COMPUTED_VALUE"""),"41936005")</f>
        <v>41936005</v>
      </c>
      <c r="AN716" s="12" t="str">
        <f>IFERROR(__xludf.DUMMYFUNCTION("""COMPUTED_VALUE"""),"3184666129")</f>
        <v>3184666129</v>
      </c>
      <c r="AO716" s="6" t="str">
        <f>IFERROR(__xludf.DUMMYFUNCTION("""COMPUTED_VALUE"""),"Madre")</f>
        <v>Madre</v>
      </c>
      <c r="AP716" s="6" t="str">
        <f>IFERROR(__xludf.DUMMYFUNCTION("""COMPUTED_VALUE"""),"Estudiante(s): Aristizábal Mesa")</f>
        <v>Estudiante(s): Aristizábal Mesa</v>
      </c>
      <c r="AQ716" s="6" t="str">
        <f>IFERROR(__xludf.DUMMYFUNCTION("""COMPUTED_VALUE"""),"103080*Gi")</f>
        <v>103080*Gi</v>
      </c>
      <c r="AR716" s="6" t="str">
        <f>IFERROR(__xludf.DUMMYFUNCTION("""COMPUTED_VALUE"""),"Faber")</f>
        <v>Faber</v>
      </c>
      <c r="AS716" s="6" t="str">
        <f>IFERROR(__xludf.DUMMYFUNCTION("""COMPUTED_VALUE"""),"Hernán")</f>
        <v>Hernán</v>
      </c>
      <c r="AT716" s="6" t="str">
        <f>IFERROR(__xludf.DUMMYFUNCTION("""COMPUTED_VALUE"""),"Aristizábal Gómez")</f>
        <v>Aristizábal Gómez</v>
      </c>
      <c r="AU716" s="6" t="str">
        <f>IFERROR(__xludf.DUMMYFUNCTION("""COMPUTED_VALUE"""),"f-aristi@sumset.com")</f>
        <v>f-aristi@sumset.com</v>
      </c>
      <c r="AV716" s="6" t="str">
        <f>IFERROR(__xludf.DUMMYFUNCTION("""COMPUTED_VALUE"""),"INGENIERO DE SISTEMAS")</f>
        <v>INGENIERO DE SISTEMAS</v>
      </c>
      <c r="AW716" s="6" t="str">
        <f>IFERROR(__xludf.DUMMYFUNCTION("""COMPUTED_VALUE"""),"PARQUESOFT QUINDIO")</f>
        <v>PARQUESOFT QUINDIO</v>
      </c>
      <c r="AX716" s="12" t="str">
        <f>IFERROR(__xludf.DUMMYFUNCTION("""COMPUTED_VALUE"""),"89009201")</f>
        <v>89009201</v>
      </c>
      <c r="AY716" s="12" t="str">
        <f>IFERROR(__xludf.DUMMYFUNCTION("""COMPUTED_VALUE"""),"3174041011")</f>
        <v>3174041011</v>
      </c>
      <c r="AZ716" s="6" t="str">
        <f>IFERROR(__xludf.DUMMYFUNCTION("""COMPUTED_VALUE"""),"Padre")</f>
        <v>Padre</v>
      </c>
      <c r="BA716" s="6" t="str">
        <f>IFERROR(__xludf.DUMMYFUNCTION("""COMPUTED_VALUE"""),"AMPARO GOMEZ SERNA")</f>
        <v>AMPARO GOMEZ SERNA</v>
      </c>
      <c r="BB716" s="6">
        <f>IFERROR(__xludf.DUMMYFUNCTION("""COMPUTED_VALUE"""),3.005690916E9)</f>
        <v>3005690916</v>
      </c>
      <c r="BC716" s="6" t="str">
        <f>IFERROR(__xludf.DUMMYFUNCTION("""COMPUTED_VALUE"""),"Abuelo(a)")</f>
        <v>Abuelo(a)</v>
      </c>
      <c r="BD716" s="12" t="str">
        <f>IFERROR(__xludf.DUMMYFUNCTION("""COMPUTED_VALUE"""),"ari0024")</f>
        <v>ari0024</v>
      </c>
      <c r="BE716" s="6"/>
      <c r="BF716" s="6"/>
      <c r="BG716" s="6">
        <f>IFERROR(__xludf.DUMMYFUNCTION("""COMPUTED_VALUE"""),2028.0)</f>
        <v>2028</v>
      </c>
      <c r="BH716" s="15">
        <f>IFERROR(__xludf.DUMMYFUNCTION("""COMPUTED_VALUE"""),46211.63584490741)</f>
        <v>46211.63584</v>
      </c>
      <c r="BI716" s="6">
        <f>IFERROR(__xludf.DUMMYFUNCTION("""COMPUTED_VALUE"""),717.0)</f>
        <v>717</v>
      </c>
      <c r="BJ716" s="6"/>
      <c r="BK716" s="6"/>
      <c r="BL716" s="6" t="str">
        <f>IFERROR(__xludf.DUMMYFUNCTION("""COMPUTED_VALUE"""),"GISARI0024")</f>
        <v>GISARI0024</v>
      </c>
      <c r="BM716" s="6"/>
      <c r="BN716" s="6"/>
      <c r="BO716" s="6" t="str">
        <f>IFERROR(__xludf.DUMMYFUNCTION("""COMPUTED_VALUE"""),"XC_SEC_Futbol_F")</f>
        <v>XC_SEC_Futbol_F</v>
      </c>
      <c r="BP716" s="6"/>
      <c r="BQ716" s="6" t="str">
        <f>IFERROR(__xludf.DUMMYFUNCTION("""COMPUTED_VALUE"""),"XC_SEC_Futbol_F")</f>
        <v>XC_SEC_Futbol_F</v>
      </c>
      <c r="BR716" s="6" t="str">
        <f>IFERROR(__xludf.DUMMYFUNCTION("""COMPUTED_VALUE"""),"XC_SEC_Futbol_F")</f>
        <v>XC_SEC_Futbol_F</v>
      </c>
      <c r="BS716" s="6"/>
      <c r="BT716" s="6" t="str">
        <f>IFERROR(__xludf.DUMMYFUNCTION("""COMPUTED_VALUE"""),"XC_SEC_Futbol_F")</f>
        <v>XC_SEC_Futbol_F</v>
      </c>
      <c r="BU716" s="6" t="str">
        <f>IFERROR(__xludf.DUMMYFUNCTION("""COMPUTED_VALUE"""),"SI")</f>
        <v>SI</v>
      </c>
      <c r="BV716" s="6" t="str">
        <f>IFERROR(__xludf.DUMMYFUNCTION("""COMPUTED_VALUE"""),"mariaj.a2028")</f>
        <v>mariaj.a2028</v>
      </c>
      <c r="BW716" s="6"/>
      <c r="BX716" s="6"/>
      <c r="BY716" s="6"/>
      <c r="BZ716" s="6"/>
    </row>
    <row r="717">
      <c r="A717" s="12">
        <f>IFERROR(__xludf.DUMMYFUNCTION("""COMPUTED_VALUE"""),1.092854905E9)</f>
        <v>1092854905</v>
      </c>
      <c r="B717" s="6">
        <f>IFERROR(__xludf.DUMMYFUNCTION("""COMPUTED_VALUE"""),7.0)</f>
        <v>7</v>
      </c>
      <c r="C717" s="6" t="str">
        <f>IFERROR(__xludf.DUMMYFUNCTION("""COMPUTED_VALUE"""),"Juanita")</f>
        <v>Juanita</v>
      </c>
      <c r="D717" s="6"/>
      <c r="E717" s="6" t="str">
        <f>IFERROR(__xludf.DUMMYFUNCTION("""COMPUTED_VALUE"""),"Barrios Fernández")</f>
        <v>Barrios Fernández</v>
      </c>
      <c r="F717" s="6" t="str">
        <f>IFERROR(__xludf.DUMMYFUNCTION("""COMPUTED_VALUE"""),"Portal de Alameda Torre B Apto 403 - Cra 19 No36Nte - 30")</f>
        <v>Portal de Alameda Torre B Apto 403 - Cra 19 No36Nte - 30</v>
      </c>
      <c r="G717" s="12" t="str">
        <f>IFERROR(__xludf.DUMMYFUNCTION("""COMPUTED_VALUE"""),"2010")</f>
        <v>2010</v>
      </c>
      <c r="H717" s="6" t="str">
        <f>IFERROR(__xludf.DUMMYFUNCTION("""COMPUTED_VALUE"""),"Septiembre")</f>
        <v>Septiembre</v>
      </c>
      <c r="I717" s="12" t="str">
        <f>IFERROR(__xludf.DUMMYFUNCTION("""COMPUTED_VALUE"""),"9")</f>
        <v>9</v>
      </c>
      <c r="J717" s="6" t="str">
        <f>IFERROR(__xludf.DUMMYFUNCTION("""COMPUTED_VALUE"""),"Armenia")</f>
        <v>Armenia</v>
      </c>
      <c r="K717" s="6" t="str">
        <f>IFERROR(__xludf.DUMMYFUNCTION("""COMPUTED_VALUE"""),"juanita.b2028@gi.edu.co")</f>
        <v>juanita.b2028@gi.edu.co</v>
      </c>
      <c r="L717" s="6" t="str">
        <f>IFERROR(__xludf.DUMMYFUNCTION("""COMPUTED_VALUE"""),"TI")</f>
        <v>TI</v>
      </c>
      <c r="M717" s="6" t="str">
        <f>IFERROR(__xludf.DUMMYFUNCTION("""COMPUTED_VALUE"""),"Armenia")</f>
        <v>Armenia</v>
      </c>
      <c r="N717" s="6" t="str">
        <f>IFERROR(__xludf.DUMMYFUNCTION("""COMPUTED_VALUE"""),"F")</f>
        <v>F</v>
      </c>
      <c r="O717" s="6" t="str">
        <f>IFERROR(__xludf.DUMMYFUNCTION("""COMPUTED_VALUE"""),"ACTIVE")</f>
        <v>ACTIVE</v>
      </c>
      <c r="P717" s="6"/>
      <c r="Q717" s="6" t="str">
        <f>IFERROR(__xludf.DUMMYFUNCTION("""COMPUTED_VALUE"""),"Armenia")</f>
        <v>Armenia</v>
      </c>
      <c r="R717" s="12" t="str">
        <f>IFERROR(__xludf.DUMMYFUNCTION("""COMPUTED_VALUE"""),"Gi987ygtr4*")</f>
        <v>Gi987ygtr4*</v>
      </c>
      <c r="S717" s="6" t="str">
        <f>IFERROR(__xludf.DUMMYFUNCTION("""COMPUTED_VALUE"""),"Barrios Fernández Juanita ")</f>
        <v>Barrios Fernández Juanita </v>
      </c>
      <c r="T717" s="6" t="str">
        <f>IFERROR(__xludf.DUMMYFUNCTION("""COMPUTED_VALUE"""),"OLGA LUCIA FERNÁNDEZ CARDENAS")</f>
        <v>OLGA LUCIA FERNÁNDEZ CARDENAS</v>
      </c>
      <c r="U717" s="12" t="str">
        <f>IFERROR(__xludf.DUMMYFUNCTION("""COMPUTED_VALUE"""),"41936607")</f>
        <v>41936607</v>
      </c>
      <c r="V717" s="6">
        <f>IFERROR(__xludf.DUMMYFUNCTION("""COMPUTED_VALUE"""),3.103820218E9)</f>
        <v>3103820218</v>
      </c>
      <c r="W717" s="6" t="str">
        <f>IFERROR(__xludf.DUMMYFUNCTION("""COMPUTED_VALUE"""),"chiaquindio@gmail.com")</f>
        <v>chiaquindio@gmail.com</v>
      </c>
      <c r="X717" s="12" t="str">
        <f>IFERROR(__xludf.DUMMYFUNCTION("""COMPUTED_VALUE"""),"O+")</f>
        <v>O+</v>
      </c>
      <c r="Y717" s="12" t="str">
        <f>IFERROR(__xludf.DUMMYFUNCTION("""COMPUTED_VALUE"""),"11")</f>
        <v>11</v>
      </c>
      <c r="Z717" s="12">
        <f>IFERROR(__xludf.DUMMYFUNCTION("""COMPUTED_VALUE"""),103050.0)</f>
        <v>103050</v>
      </c>
      <c r="AA717" s="6" t="str">
        <f>IFERROR(__xludf.DUMMYFUNCTION("""COMPUTED_VALUE"""),"NUEVA EPS")</f>
        <v>NUEVA EPS</v>
      </c>
      <c r="AB717" s="6" t="str">
        <f>IFERROR(__xludf.DUMMYFUNCTION("""COMPUTED_VALUE"""),"PREVISER")</f>
        <v>PREVISER</v>
      </c>
      <c r="AC717" s="12" t="str">
        <f>IFERROR(__xludf.DUMMYFUNCTION("""COMPUTED_VALUE"""),"a los caballos, y a los cerdos")</f>
        <v>a los caballos, y a los cerdos</v>
      </c>
      <c r="AD717" s="12" t="str">
        <f>IFERROR(__xludf.DUMMYFUNCTION("""COMPUTED_VALUE"""),"11")</f>
        <v>11</v>
      </c>
      <c r="AE717" s="12">
        <f>IFERROR(__xludf.DUMMYFUNCTION("""COMPUTED_VALUE"""),1.345281478E9)</f>
        <v>1345281478</v>
      </c>
      <c r="AF717" s="12" t="str">
        <f>IFERROR(__xludf.DUMMYFUNCTION("""COMPUTED_VALUE"""),"0686633363")</f>
        <v>0686633363</v>
      </c>
      <c r="AG717" s="12" t="str">
        <f>IFERROR(__xludf.DUMMYFUNCTION("""COMPUTED_VALUE"""),"Olga")</f>
        <v>Olga</v>
      </c>
      <c r="AH717" s="12" t="str">
        <f>IFERROR(__xludf.DUMMYFUNCTION("""COMPUTED_VALUE"""),"Lucía")</f>
        <v>Lucía</v>
      </c>
      <c r="AI717" s="6" t="str">
        <f>IFERROR(__xludf.DUMMYFUNCTION("""COMPUTED_VALUE"""),"Fernández Cárdenas")</f>
        <v>Fernández Cárdenas</v>
      </c>
      <c r="AJ717" s="6" t="str">
        <f>IFERROR(__xludf.DUMMYFUNCTION("""COMPUTED_VALUE"""),"chiaquindio@gmail.com")</f>
        <v>chiaquindio@gmail.com</v>
      </c>
      <c r="AK717" s="6" t="str">
        <f>IFERROR(__xludf.DUMMYFUNCTION("""COMPUTED_VALUE"""),"Contador publico")</f>
        <v>Contador publico</v>
      </c>
      <c r="AL717" s="6" t="str">
        <f>IFERROR(__xludf.DUMMYFUNCTION("""COMPUTED_VALUE"""),"inversiones Barrios Fernandez")</f>
        <v>inversiones Barrios Fernandez</v>
      </c>
      <c r="AM717" s="12" t="str">
        <f>IFERROR(__xludf.DUMMYFUNCTION("""COMPUTED_VALUE"""),"41936607")</f>
        <v>41936607</v>
      </c>
      <c r="AN717" s="12" t="str">
        <f>IFERROR(__xludf.DUMMYFUNCTION("""COMPUTED_VALUE"""),"3103820218")</f>
        <v>3103820218</v>
      </c>
      <c r="AO717" s="6" t="str">
        <f>IFERROR(__xludf.DUMMYFUNCTION("""COMPUTED_VALUE"""),"Madre")</f>
        <v>Madre</v>
      </c>
      <c r="AP717" s="6" t="str">
        <f>IFERROR(__xludf.DUMMYFUNCTION("""COMPUTED_VALUE"""),"Estudiante(s): Barrios Fernández")</f>
        <v>Estudiante(s): Barrios Fernández</v>
      </c>
      <c r="AQ717" s="6" t="str">
        <f>IFERROR(__xludf.DUMMYFUNCTION("""COMPUTED_VALUE"""),"103050*Gi")</f>
        <v>103050*Gi</v>
      </c>
      <c r="AR717" s="6" t="str">
        <f>IFERROR(__xludf.DUMMYFUNCTION("""COMPUTED_VALUE"""),"Paulo")</f>
        <v>Paulo</v>
      </c>
      <c r="AS717" s="6" t="str">
        <f>IFERROR(__xludf.DUMMYFUNCTION("""COMPUTED_VALUE"""),"César")</f>
        <v>César</v>
      </c>
      <c r="AT717" s="6" t="str">
        <f>IFERROR(__xludf.DUMMYFUNCTION("""COMPUTED_VALUE"""),"Barrios Jiménez")</f>
        <v>Barrios Jiménez</v>
      </c>
      <c r="AU717" s="6" t="str">
        <f>IFERROR(__xludf.DUMMYFUNCTION("""COMPUTED_VALUE"""),"paulobarriosj@hotmail.com")</f>
        <v>paulobarriosj@hotmail.com</v>
      </c>
      <c r="AV717" s="6" t="str">
        <f>IFERROR(__xludf.DUMMYFUNCTION("""COMPUTED_VALUE"""),"ingeniero civil")</f>
        <v>ingeniero civil</v>
      </c>
      <c r="AW717" s="6" t="str">
        <f>IFERROR(__xludf.DUMMYFUNCTION("""COMPUTED_VALUE"""),"independiente")</f>
        <v>independiente</v>
      </c>
      <c r="AX717" s="12" t="str">
        <f>IFERROR(__xludf.DUMMYFUNCTION("""COMPUTED_VALUE"""),"89001205")</f>
        <v>89001205</v>
      </c>
      <c r="AY717" s="12" t="str">
        <f>IFERROR(__xludf.DUMMYFUNCTION("""COMPUTED_VALUE"""),"3108411322")</f>
        <v>3108411322</v>
      </c>
      <c r="AZ717" s="6" t="str">
        <f>IFERROR(__xludf.DUMMYFUNCTION("""COMPUTED_VALUE"""),"Padre")</f>
        <v>Padre</v>
      </c>
      <c r="BA717" s="6"/>
      <c r="BB717" s="6"/>
      <c r="BC717" s="6"/>
      <c r="BD717" s="12" t="str">
        <f>IFERROR(__xludf.DUMMYFUNCTION("""COMPUTED_VALUE"""),"bar0006")</f>
        <v>bar0006</v>
      </c>
      <c r="BE717" s="6"/>
      <c r="BF717" s="6"/>
      <c r="BG717" s="6">
        <f>IFERROR(__xludf.DUMMYFUNCTION("""COMPUTED_VALUE"""),2028.0)</f>
        <v>2028</v>
      </c>
      <c r="BH717" s="15">
        <f>IFERROR(__xludf.DUMMYFUNCTION("""COMPUTED_VALUE"""),46191.34402777778)</f>
        <v>46191.34403</v>
      </c>
      <c r="BI717" s="6">
        <f>IFERROR(__xludf.DUMMYFUNCTION("""COMPUTED_VALUE"""),718.0)</f>
        <v>718</v>
      </c>
      <c r="BJ717" s="6"/>
      <c r="BK717" s="6"/>
      <c r="BL717" s="6" t="str">
        <f>IFERROR(__xludf.DUMMYFUNCTION("""COMPUTED_VALUE"""),"GISBAR0006")</f>
        <v>GISBAR0006</v>
      </c>
      <c r="BM717" s="6"/>
      <c r="BN717" s="6"/>
      <c r="BO717" s="6" t="str">
        <f>IFERROR(__xludf.DUMMYFUNCTION("""COMPUTED_VALUE"""),"XC_SEC_Futbol_F")</f>
        <v>XC_SEC_Futbol_F</v>
      </c>
      <c r="BP717" s="6"/>
      <c r="BQ717" s="6" t="str">
        <f>IFERROR(__xludf.DUMMYFUNCTION("""COMPUTED_VALUE"""),"XC_SEC_Futbol_F")</f>
        <v>XC_SEC_Futbol_F</v>
      </c>
      <c r="BR717" s="6" t="str">
        <f>IFERROR(__xludf.DUMMYFUNCTION("""COMPUTED_VALUE"""),"XC_SEC_Futbol_F")</f>
        <v>XC_SEC_Futbol_F</v>
      </c>
      <c r="BS717" s="6"/>
      <c r="BT717" s="6" t="str">
        <f>IFERROR(__xludf.DUMMYFUNCTION("""COMPUTED_VALUE"""),"XC_SEC_Futbol_F")</f>
        <v>XC_SEC_Futbol_F</v>
      </c>
      <c r="BU717" s="6" t="str">
        <f>IFERROR(__xludf.DUMMYFUNCTION("""COMPUTED_VALUE"""),"SI")</f>
        <v>SI</v>
      </c>
      <c r="BV717" s="6" t="str">
        <f>IFERROR(__xludf.DUMMYFUNCTION("""COMPUTED_VALUE"""),"juanita.b2028")</f>
        <v>juanita.b2028</v>
      </c>
      <c r="BW717" s="6"/>
      <c r="BX717" s="6"/>
      <c r="BY717" s="6"/>
      <c r="BZ717" s="6"/>
    </row>
    <row r="718">
      <c r="A718" s="12">
        <f>IFERROR(__xludf.DUMMYFUNCTION("""COMPUTED_VALUE"""),1.094987533E9)</f>
        <v>1094987533</v>
      </c>
      <c r="B718" s="6">
        <f>IFERROR(__xludf.DUMMYFUNCTION("""COMPUTED_VALUE"""),8.0)</f>
        <v>8</v>
      </c>
      <c r="C718" s="6" t="str">
        <f>IFERROR(__xludf.DUMMYFUNCTION("""COMPUTED_VALUE"""),"Lucía")</f>
        <v>Lucía</v>
      </c>
      <c r="D718" s="6"/>
      <c r="E718" s="6" t="str">
        <f>IFERROR(__xludf.DUMMYFUNCTION("""COMPUTED_VALUE"""),"Bautista Medina")</f>
        <v>Bautista Medina</v>
      </c>
      <c r="F718" s="6" t="str">
        <f>IFERROR(__xludf.DUMMYFUNCTION("""COMPUTED_VALUE"""),"Cra 1Nte -00 Las Lomas - Fundadores")</f>
        <v>Cra 1Nte -00 Las Lomas - Fundadores</v>
      </c>
      <c r="G718" s="12" t="str">
        <f>IFERROR(__xludf.DUMMYFUNCTION("""COMPUTED_VALUE"""),"2009")</f>
        <v>2009</v>
      </c>
      <c r="H718" s="6" t="str">
        <f>IFERROR(__xludf.DUMMYFUNCTION("""COMPUTED_VALUE"""),"Julio")</f>
        <v>Julio</v>
      </c>
      <c r="I718" s="12" t="str">
        <f>IFERROR(__xludf.DUMMYFUNCTION("""COMPUTED_VALUE"""),"28")</f>
        <v>28</v>
      </c>
      <c r="J718" s="6" t="str">
        <f>IFERROR(__xludf.DUMMYFUNCTION("""COMPUTED_VALUE"""),"Madrid")</f>
        <v>Madrid</v>
      </c>
      <c r="K718" s="6" t="str">
        <f>IFERROR(__xludf.DUMMYFUNCTION("""COMPUTED_VALUE"""),"lucia.b2028@gi.edu.co")</f>
        <v>lucia.b2028@gi.edu.co</v>
      </c>
      <c r="L718" s="6" t="str">
        <f>IFERROR(__xludf.DUMMYFUNCTION("""COMPUTED_VALUE"""),"TI")</f>
        <v>TI</v>
      </c>
      <c r="M718" s="6" t="str">
        <f>IFERROR(__xludf.DUMMYFUNCTION("""COMPUTED_VALUE"""),"Armenia")</f>
        <v>Armenia</v>
      </c>
      <c r="N718" s="6" t="str">
        <f>IFERROR(__xludf.DUMMYFUNCTION("""COMPUTED_VALUE"""),"F")</f>
        <v>F</v>
      </c>
      <c r="O718" s="6" t="str">
        <f>IFERROR(__xludf.DUMMYFUNCTION("""COMPUTED_VALUE"""),"INACTIVE")</f>
        <v>INACTIVE</v>
      </c>
      <c r="P718" s="6"/>
      <c r="Q718" s="6" t="str">
        <f>IFERROR(__xludf.DUMMYFUNCTION("""COMPUTED_VALUE"""),"Armenia")</f>
        <v>Armenia</v>
      </c>
      <c r="R718" s="12" t="str">
        <f>IFERROR(__xludf.DUMMYFUNCTION("""COMPUTED_VALUE"""),"Gix56m7j3*")</f>
        <v>Gix56m7j3*</v>
      </c>
      <c r="S718" s="6" t="str">
        <f>IFERROR(__xludf.DUMMYFUNCTION("""COMPUTED_VALUE"""),"Bautista Medina Lucía ")</f>
        <v>Bautista Medina Lucía </v>
      </c>
      <c r="T718" s="6" t="str">
        <f>IFERROR(__xludf.DUMMYFUNCTION("""COMPUTED_VALUE"""),"EDUARDO BAUTISTA MEJIA")</f>
        <v>EDUARDO BAUTISTA MEJIA</v>
      </c>
      <c r="U718" s="12" t="str">
        <f>IFERROR(__xludf.DUMMYFUNCTION("""COMPUTED_VALUE"""),"89008712")</f>
        <v>89008712</v>
      </c>
      <c r="V718" s="6" t="str">
        <f>IFERROR(__xludf.DUMMYFUNCTION("""COMPUTED_VALUE""")," +1 954 2267765")</f>
        <v> +1 954 2267765</v>
      </c>
      <c r="W718" s="6" t="str">
        <f>IFERROR(__xludf.DUMMYFUNCTION("""COMPUTED_VALUE"""),"poligon.usa@gmail.com")</f>
        <v>poligon.usa@gmail.com</v>
      </c>
      <c r="X718" s="12" t="str">
        <f>IFERROR(__xludf.DUMMYFUNCTION("""COMPUTED_VALUE"""),"O-")</f>
        <v>O-</v>
      </c>
      <c r="Y718" s="12" t="str">
        <f>IFERROR(__xludf.DUMMYFUNCTION("""COMPUTED_VALUE"""),"11")</f>
        <v>11</v>
      </c>
      <c r="Z718" s="12">
        <f>IFERROR(__xludf.DUMMYFUNCTION("""COMPUTED_VALUE"""),120513.0)</f>
        <v>120513</v>
      </c>
      <c r="AA718" s="6"/>
      <c r="AB718" s="6"/>
      <c r="AC718" s="6"/>
      <c r="AD718" s="12" t="str">
        <f>IFERROR(__xludf.DUMMYFUNCTION("""COMPUTED_VALUE"""),"11")</f>
        <v>11</v>
      </c>
      <c r="AE718" s="6" t="str">
        <f>IFERROR(__xludf.DUMMYFUNCTION("""COMPUTED_VALUE"""),"1345282512")</f>
        <v>1345282512</v>
      </c>
      <c r="AF718" s="6"/>
      <c r="AG718" s="12" t="str">
        <f>IFERROR(__xludf.DUMMYFUNCTION("""COMPUTED_VALUE"""),"Lina")</f>
        <v>Lina</v>
      </c>
      <c r="AH718" s="12" t="str">
        <f>IFERROR(__xludf.DUMMYFUNCTION("""COMPUTED_VALUE"""),"María")</f>
        <v>María</v>
      </c>
      <c r="AI718" s="6" t="str">
        <f>IFERROR(__xludf.DUMMYFUNCTION("""COMPUTED_VALUE"""),"Medina Jaramillo")</f>
        <v>Medina Jaramillo</v>
      </c>
      <c r="AJ718" s="6" t="str">
        <f>IFERROR(__xludf.DUMMYFUNCTION("""COMPUTED_VALUE"""),"linamariamedina78@gmail.com")</f>
        <v>linamariamedina78@gmail.com</v>
      </c>
      <c r="AK718" s="6" t="str">
        <f>IFERROR(__xludf.DUMMYFUNCTION("""COMPUTED_VALUE"""),"Enfermera")</f>
        <v>Enfermera</v>
      </c>
      <c r="AL718" s="6" t="str">
        <f>IFERROR(__xludf.DUMMYFUNCTION("""COMPUTED_VALUE"""),"Jackson Memorial Hospital")</f>
        <v>Jackson Memorial Hospital</v>
      </c>
      <c r="AM718" s="12" t="str">
        <f>IFERROR(__xludf.DUMMYFUNCTION("""COMPUTED_VALUE"""),"41941214")</f>
        <v>41941214</v>
      </c>
      <c r="AN718" s="12" t="str">
        <f>IFERROR(__xludf.DUMMYFUNCTION("""COMPUTED_VALUE"""),"1 (954) 237-9014")</f>
        <v>1 (954) 237-9014</v>
      </c>
      <c r="AO718" s="6" t="str">
        <f>IFERROR(__xludf.DUMMYFUNCTION("""COMPUTED_VALUE"""),"Madre")</f>
        <v>Madre</v>
      </c>
      <c r="AP718" s="6" t="str">
        <f>IFERROR(__xludf.DUMMYFUNCTION("""COMPUTED_VALUE"""),"Estudiante(s): Bautista Medina")</f>
        <v>Estudiante(s): Bautista Medina</v>
      </c>
      <c r="AQ718" s="6" t="str">
        <f>IFERROR(__xludf.DUMMYFUNCTION("""COMPUTED_VALUE"""),"120512*Gi")</f>
        <v>120512*Gi</v>
      </c>
      <c r="AR718" s="6" t="str">
        <f>IFERROR(__xludf.DUMMYFUNCTION("""COMPUTED_VALUE"""),"Eduardo")</f>
        <v>Eduardo</v>
      </c>
      <c r="AS718" s="6"/>
      <c r="AT718" s="6" t="str">
        <f>IFERROR(__xludf.DUMMYFUNCTION("""COMPUTED_VALUE"""),"Bautista Mejía")</f>
        <v>Bautista Mejía</v>
      </c>
      <c r="AU718" s="6" t="str">
        <f>IFERROR(__xludf.DUMMYFUNCTION("""COMPUTED_VALUE"""),"poligon.usa@gmail.com")</f>
        <v>poligon.usa@gmail.com</v>
      </c>
      <c r="AV718" s="6" t="str">
        <f>IFERROR(__xludf.DUMMYFUNCTION("""COMPUTED_VALUE"""),"Ingeniero")</f>
        <v>Ingeniero</v>
      </c>
      <c r="AW718" s="6" t="str">
        <f>IFERROR(__xludf.DUMMYFUNCTION("""COMPUTED_VALUE"""),"Broward Landscape and Design")</f>
        <v>Broward Landscape and Design</v>
      </c>
      <c r="AX718" s="12" t="str">
        <f>IFERROR(__xludf.DUMMYFUNCTION("""COMPUTED_VALUE"""),"89008712")</f>
        <v>89008712</v>
      </c>
      <c r="AY718" s="12" t="str">
        <f>IFERROR(__xludf.DUMMYFUNCTION("""COMPUTED_VALUE"""),"1 (954) 226-7765")</f>
        <v>1 (954) 226-7765</v>
      </c>
      <c r="AZ718" s="6" t="str">
        <f>IFERROR(__xludf.DUMMYFUNCTION("""COMPUTED_VALUE"""),"Padre")</f>
        <v>Padre</v>
      </c>
      <c r="BA718" s="6"/>
      <c r="BB718" s="6"/>
      <c r="BC718" s="6"/>
      <c r="BD718" s="12" t="str">
        <f>IFERROR(__xludf.DUMMYFUNCTION("""COMPUTED_VALUE"""),"bau0002")</f>
        <v>bau0002</v>
      </c>
      <c r="BE718" s="6" t="str">
        <f>IFERROR(__xludf.DUMMYFUNCTION("""COMPUTED_VALUE"""),"FALTAN FIRMAS")</f>
        <v>FALTAN FIRMAS</v>
      </c>
      <c r="BF718" s="6"/>
      <c r="BG718" s="6">
        <f>IFERROR(__xludf.DUMMYFUNCTION("""COMPUTED_VALUE"""),2028.0)</f>
        <v>2028</v>
      </c>
      <c r="BH718" s="15">
        <f>IFERROR(__xludf.DUMMYFUNCTION("""COMPUTED_VALUE"""),46244.409155092595)</f>
        <v>46244.40916</v>
      </c>
      <c r="BI718" s="6">
        <f>IFERROR(__xludf.DUMMYFUNCTION("""COMPUTED_VALUE"""),719.0)</f>
        <v>719</v>
      </c>
      <c r="BJ718" s="6"/>
      <c r="BK718" s="6"/>
      <c r="BL718" s="6" t="str">
        <f>IFERROR(__xludf.DUMMYFUNCTION("""COMPUTED_VALUE"""),"GISBAU0002")</f>
        <v>GISBAU0002</v>
      </c>
      <c r="BM718" s="6"/>
      <c r="BN718" s="6"/>
      <c r="BO718" s="6"/>
      <c r="BP718" s="6"/>
      <c r="BQ718" s="6"/>
      <c r="BR718" s="6"/>
      <c r="BS718" s="6"/>
      <c r="BT718" s="6"/>
      <c r="BU718" s="6" t="str">
        <f>IFERROR(__xludf.DUMMYFUNCTION("""COMPUTED_VALUE"""),"SI")</f>
        <v>SI</v>
      </c>
      <c r="BV718" s="6" t="str">
        <f>IFERROR(__xludf.DUMMYFUNCTION("""COMPUTED_VALUE"""),"lucia.b2028")</f>
        <v>lucia.b2028</v>
      </c>
      <c r="BW718" s="6"/>
      <c r="BX718" s="6"/>
      <c r="BY718" s="6"/>
      <c r="BZ718" s="6"/>
    </row>
    <row r="719">
      <c r="A719" s="12">
        <f>IFERROR(__xludf.DUMMYFUNCTION("""COMPUTED_VALUE"""),1.127245861E9)</f>
        <v>1127245861</v>
      </c>
      <c r="B719" s="6">
        <f>IFERROR(__xludf.DUMMYFUNCTION("""COMPUTED_VALUE"""),9.0)</f>
        <v>9</v>
      </c>
      <c r="C719" s="6" t="str">
        <f>IFERROR(__xludf.DUMMYFUNCTION("""COMPUTED_VALUE"""),"Samuel")</f>
        <v>Samuel</v>
      </c>
      <c r="D719" s="6"/>
      <c r="E719" s="6" t="str">
        <f>IFERROR(__xludf.DUMMYFUNCTION("""COMPUTED_VALUE"""),"Botero Rendón")</f>
        <v>Botero Rendón</v>
      </c>
      <c r="F719" s="6" t="str">
        <f>IFERROR(__xludf.DUMMYFUNCTION("""COMPUTED_VALUE"""),"Calle 11 Nte No9 - 55 Casa 16 Colina de la Castellana")</f>
        <v>Calle 11 Nte No9 - 55 Casa 16 Colina de la Castellana</v>
      </c>
      <c r="G719" s="12" t="str">
        <f>IFERROR(__xludf.DUMMYFUNCTION("""COMPUTED_VALUE"""),"2010")</f>
        <v>2010</v>
      </c>
      <c r="H719" s="6" t="str">
        <f>IFERROR(__xludf.DUMMYFUNCTION("""COMPUTED_VALUE"""),"Junio")</f>
        <v>Junio</v>
      </c>
      <c r="I719" s="12" t="str">
        <f>IFERROR(__xludf.DUMMYFUNCTION("""COMPUTED_VALUE"""),"29")</f>
        <v>29</v>
      </c>
      <c r="J719" s="6" t="str">
        <f>IFERROR(__xludf.DUMMYFUNCTION("""COMPUTED_VALUE"""),"Orlando")</f>
        <v>Orlando</v>
      </c>
      <c r="K719" s="6" t="str">
        <f>IFERROR(__xludf.DUMMYFUNCTION("""COMPUTED_VALUE"""),"samuel.b2028@gi.edu.co")</f>
        <v>samuel.b2028@gi.edu.co</v>
      </c>
      <c r="L719" s="6" t="str">
        <f>IFERROR(__xludf.DUMMYFUNCTION("""COMPUTED_VALUE"""),"TI")</f>
        <v>TI</v>
      </c>
      <c r="M719" s="6" t="str">
        <f>IFERROR(__xludf.DUMMYFUNCTION("""COMPUTED_VALUE"""),"Armenia")</f>
        <v>Armenia</v>
      </c>
      <c r="N719" s="6" t="str">
        <f>IFERROR(__xludf.DUMMYFUNCTION("""COMPUTED_VALUE"""),"M")</f>
        <v>M</v>
      </c>
      <c r="O719" s="6" t="str">
        <f>IFERROR(__xludf.DUMMYFUNCTION("""COMPUTED_VALUE"""),"ACTIVE")</f>
        <v>ACTIVE</v>
      </c>
      <c r="P719" s="6"/>
      <c r="Q719" s="6" t="str">
        <f>IFERROR(__xludf.DUMMYFUNCTION("""COMPUTED_VALUE"""),"Armenia")</f>
        <v>Armenia</v>
      </c>
      <c r="R719" s="12" t="str">
        <f>IFERROR(__xludf.DUMMYFUNCTION("""COMPUTED_VALUE"""),"Gi25891119*")</f>
        <v>Gi25891119*</v>
      </c>
      <c r="S719" s="6" t="str">
        <f>IFERROR(__xludf.DUMMYFUNCTION("""COMPUTED_VALUE"""),"Botero Rendón Samuel ")</f>
        <v>Botero Rendón Samuel </v>
      </c>
      <c r="T719" s="6" t="str">
        <f>IFERROR(__xludf.DUMMYFUNCTION("""COMPUTED_VALUE"""),"ÁNGELA PATRICIA RENDÓN RESTREPO")</f>
        <v>ÁNGELA PATRICIA RENDÓN RESTREPO</v>
      </c>
      <c r="U719" s="12" t="str">
        <f>IFERROR(__xludf.DUMMYFUNCTION("""COMPUTED_VALUE"""),"41930335")</f>
        <v>41930335</v>
      </c>
      <c r="V719" s="6">
        <f>IFERROR(__xludf.DUMMYFUNCTION("""COMPUTED_VALUE"""),3.166940519E9)</f>
        <v>3166940519</v>
      </c>
      <c r="W719" s="6" t="str">
        <f>IFERROR(__xludf.DUMMYFUNCTION("""COMPUTED_VALUE"""),"angelarenres@gmail.com")</f>
        <v>angelarenres@gmail.com</v>
      </c>
      <c r="X719" s="12" t="str">
        <f>IFERROR(__xludf.DUMMYFUNCTION("""COMPUTED_VALUE"""),"B+")</f>
        <v>B+</v>
      </c>
      <c r="Y719" s="12" t="str">
        <f>IFERROR(__xludf.DUMMYFUNCTION("""COMPUTED_VALUE"""),"11")</f>
        <v>11</v>
      </c>
      <c r="Z719" s="12">
        <f>IFERROR(__xludf.DUMMYFUNCTION("""COMPUTED_VALUE"""),102847.0)</f>
        <v>102847</v>
      </c>
      <c r="AA719" s="6" t="str">
        <f>IFERROR(__xludf.DUMMYFUNCTION("""COMPUTED_VALUE"""),"SURA")</f>
        <v>SURA</v>
      </c>
      <c r="AB719" s="6" t="str">
        <f>IFERROR(__xludf.DUMMYFUNCTION("""COMPUTED_VALUE"""),"EMI,Salud Global")</f>
        <v>EMI,Salud Global</v>
      </c>
      <c r="AC719" s="6"/>
      <c r="AD719" s="12" t="str">
        <f>IFERROR(__xludf.DUMMYFUNCTION("""COMPUTED_VALUE"""),"11")</f>
        <v>11</v>
      </c>
      <c r="AE719" s="12">
        <f>IFERROR(__xludf.DUMMYFUNCTION("""COMPUTED_VALUE"""),1.34528139E9)</f>
        <v>1345281390</v>
      </c>
      <c r="AF719" s="12" t="str">
        <f>IFERROR(__xludf.DUMMYFUNCTION("""COMPUTED_VALUE"""),"0666235075")</f>
        <v>0666235075</v>
      </c>
      <c r="AG719" s="12" t="str">
        <f>IFERROR(__xludf.DUMMYFUNCTION("""COMPUTED_VALUE"""),"Ángela")</f>
        <v>Ángela</v>
      </c>
      <c r="AH719" s="12" t="str">
        <f>IFERROR(__xludf.DUMMYFUNCTION("""COMPUTED_VALUE"""),"Patricia")</f>
        <v>Patricia</v>
      </c>
      <c r="AI719" s="6" t="str">
        <f>IFERROR(__xludf.DUMMYFUNCTION("""COMPUTED_VALUE"""),"Rendón Restrepo")</f>
        <v>Rendón Restrepo</v>
      </c>
      <c r="AJ719" s="6" t="str">
        <f>IFERROR(__xludf.DUMMYFUNCTION("""COMPUTED_VALUE"""),"angelarenres@gmail.com")</f>
        <v>angelarenres@gmail.com</v>
      </c>
      <c r="AK719" s="6" t="str">
        <f>IFERROR(__xludf.DUMMYFUNCTION("""COMPUTED_VALUE"""),"Publicista")</f>
        <v>Publicista</v>
      </c>
      <c r="AL719" s="6"/>
      <c r="AM719" s="12" t="str">
        <f>IFERROR(__xludf.DUMMYFUNCTION("""COMPUTED_VALUE"""),"41930335")</f>
        <v>41930335</v>
      </c>
      <c r="AN719" s="12" t="str">
        <f>IFERROR(__xludf.DUMMYFUNCTION("""COMPUTED_VALUE"""),"3166940519")</f>
        <v>3166940519</v>
      </c>
      <c r="AO719" s="6" t="str">
        <f>IFERROR(__xludf.DUMMYFUNCTION("""COMPUTED_VALUE"""),"Madre")</f>
        <v>Madre</v>
      </c>
      <c r="AP719" s="6" t="str">
        <f>IFERROR(__xludf.DUMMYFUNCTION("""COMPUTED_VALUE"""),"Estudiante(s): Botero Rendón")</f>
        <v>Estudiante(s): Botero Rendón</v>
      </c>
      <c r="AQ719" s="6" t="str">
        <f>IFERROR(__xludf.DUMMYFUNCTION("""COMPUTED_VALUE"""),"102067*Gi")</f>
        <v>102067*Gi</v>
      </c>
      <c r="AR719" s="6" t="str">
        <f>IFERROR(__xludf.DUMMYFUNCTION("""COMPUTED_VALUE"""),"Rubén")</f>
        <v>Rubén</v>
      </c>
      <c r="AS719" s="6"/>
      <c r="AT719" s="6" t="str">
        <f>IFERROR(__xludf.DUMMYFUNCTION("""COMPUTED_VALUE"""),"Botero Jaramillo")</f>
        <v>Botero Jaramillo</v>
      </c>
      <c r="AU719" s="6" t="str">
        <f>IFERROR(__xludf.DUMMYFUNCTION("""COMPUTED_VALUE"""),"rubenboteroj@gmail.com")</f>
        <v>rubenboteroj@gmail.com</v>
      </c>
      <c r="AV719" s="6" t="str">
        <f>IFERROR(__xludf.DUMMYFUNCTION("""COMPUTED_VALUE"""),"Agricultor")</f>
        <v>Agricultor</v>
      </c>
      <c r="AW719" s="6" t="str">
        <f>IFERROR(__xludf.DUMMYFUNCTION("""COMPUTED_VALUE"""),"Independiente")</f>
        <v>Independiente</v>
      </c>
      <c r="AX719" s="12" t="str">
        <f>IFERROR(__xludf.DUMMYFUNCTION("""COMPUTED_VALUE"""),"7558619")</f>
        <v>7558619</v>
      </c>
      <c r="AY719" s="12" t="str">
        <f>IFERROR(__xludf.DUMMYFUNCTION("""COMPUTED_VALUE"""),"3152680668")</f>
        <v>3152680668</v>
      </c>
      <c r="AZ719" s="6" t="str">
        <f>IFERROR(__xludf.DUMMYFUNCTION("""COMPUTED_VALUE"""),"Padre")</f>
        <v>Padre</v>
      </c>
      <c r="BA719" s="6"/>
      <c r="BB719" s="6"/>
      <c r="BC719" s="6"/>
      <c r="BD719" s="12" t="str">
        <f>IFERROR(__xludf.DUMMYFUNCTION("""COMPUTED_VALUE"""),"bot0009")</f>
        <v>bot0009</v>
      </c>
      <c r="BE719" s="6"/>
      <c r="BF719" s="6"/>
      <c r="BG719" s="6">
        <f>IFERROR(__xludf.DUMMYFUNCTION("""COMPUTED_VALUE"""),2028.0)</f>
        <v>2028</v>
      </c>
      <c r="BH719" s="15">
        <f>IFERROR(__xludf.DUMMYFUNCTION("""COMPUTED_VALUE"""),46221.52371527778)</f>
        <v>46221.52372</v>
      </c>
      <c r="BI719" s="6">
        <f>IFERROR(__xludf.DUMMYFUNCTION("""COMPUTED_VALUE"""),720.0)</f>
        <v>720</v>
      </c>
      <c r="BJ719" s="6" t="str">
        <f>IFERROR(__xludf.DUMMYFUNCTION("""COMPUTED_VALUE"""),"SIMAT: trastorno por déficit de atención con o sin hiperactividad (Nov 13 2024)")</f>
        <v>SIMAT: trastorno por déficit de atención con o sin hiperactividad (Nov 13 2024)</v>
      </c>
      <c r="BK719" s="6"/>
      <c r="BL719" s="6" t="str">
        <f>IFERROR(__xludf.DUMMYFUNCTION("""COMPUTED_VALUE"""),"GISBOT0009")</f>
        <v>GISBOT0009</v>
      </c>
      <c r="BM719" s="6"/>
      <c r="BN719" s="6"/>
      <c r="BO719" s="6" t="str">
        <f>IFERROR(__xludf.DUMMYFUNCTION("""COMPUTED_VALUE"""),"XC_HS_Futbol_M")</f>
        <v>XC_HS_Futbol_M</v>
      </c>
      <c r="BP719" s="6"/>
      <c r="BQ719" s="6" t="str">
        <f>IFERROR(__xludf.DUMMYFUNCTION("""COMPUTED_VALUE"""),"XC_HS_Futbol_M")</f>
        <v>XC_HS_Futbol_M</v>
      </c>
      <c r="BR719" s="6" t="str">
        <f>IFERROR(__xludf.DUMMYFUNCTION("""COMPUTED_VALUE"""),"XC_HS_Futbol_M")</f>
        <v>XC_HS_Futbol_M</v>
      </c>
      <c r="BS719" s="6"/>
      <c r="BT719" s="6" t="str">
        <f>IFERROR(__xludf.DUMMYFUNCTION("""COMPUTED_VALUE"""),"XC_HS_Futbol_M")</f>
        <v>XC_HS_Futbol_M</v>
      </c>
      <c r="BU719" s="6" t="str">
        <f>IFERROR(__xludf.DUMMYFUNCTION("""COMPUTED_VALUE"""),"SI")</f>
        <v>SI</v>
      </c>
      <c r="BV719" s="6" t="str">
        <f>IFERROR(__xludf.DUMMYFUNCTION("""COMPUTED_VALUE"""),"samuel.b2028")</f>
        <v>samuel.b2028</v>
      </c>
      <c r="BW719" s="6"/>
      <c r="BX719" s="6"/>
      <c r="BY719" s="6"/>
      <c r="BZ719" s="6"/>
    </row>
    <row r="720">
      <c r="A720" s="12">
        <f>IFERROR(__xludf.DUMMYFUNCTION("""COMPUTED_VALUE"""),1.094930785E9)</f>
        <v>1094930785</v>
      </c>
      <c r="B720" s="6">
        <f>IFERROR(__xludf.DUMMYFUNCTION("""COMPUTED_VALUE"""),10.0)</f>
        <v>10</v>
      </c>
      <c r="C720" s="6" t="str">
        <f>IFERROR(__xludf.DUMMYFUNCTION("""COMPUTED_VALUE"""),"Juliana")</f>
        <v>Juliana</v>
      </c>
      <c r="D720" s="6"/>
      <c r="E720" s="6" t="str">
        <f>IFERROR(__xludf.DUMMYFUNCTION("""COMPUTED_VALUE"""),"Burgos Valencia")</f>
        <v>Burgos Valencia</v>
      </c>
      <c r="F720" s="6" t="str">
        <f>IFERROR(__xludf.DUMMYFUNCTION("""COMPUTED_VALUE"""),"Condominio Reserva de la Pastorita Casa 23 - Av 19 No23ANte - 21")</f>
        <v>Condominio Reserva de la Pastorita Casa 23 - Av 19 No23ANte - 21</v>
      </c>
      <c r="G720" s="12" t="str">
        <f>IFERROR(__xludf.DUMMYFUNCTION("""COMPUTED_VALUE"""),"2010")</f>
        <v>2010</v>
      </c>
      <c r="H720" s="6" t="str">
        <f>IFERROR(__xludf.DUMMYFUNCTION("""COMPUTED_VALUE"""),"Octubre")</f>
        <v>Octubre</v>
      </c>
      <c r="I720" s="12" t="str">
        <f>IFERROR(__xludf.DUMMYFUNCTION("""COMPUTED_VALUE"""),"11")</f>
        <v>11</v>
      </c>
      <c r="J720" s="6" t="str">
        <f>IFERROR(__xludf.DUMMYFUNCTION("""COMPUTED_VALUE"""),"Armenia")</f>
        <v>Armenia</v>
      </c>
      <c r="K720" s="6" t="str">
        <f>IFERROR(__xludf.DUMMYFUNCTION("""COMPUTED_VALUE"""),"juliana.b2028@gi.edu.co")</f>
        <v>juliana.b2028@gi.edu.co</v>
      </c>
      <c r="L720" s="6" t="str">
        <f>IFERROR(__xludf.DUMMYFUNCTION("""COMPUTED_VALUE"""),"TI")</f>
        <v>TI</v>
      </c>
      <c r="M720" s="6" t="str">
        <f>IFERROR(__xludf.DUMMYFUNCTION("""COMPUTED_VALUE"""),"Armenia")</f>
        <v>Armenia</v>
      </c>
      <c r="N720" s="6" t="str">
        <f>IFERROR(__xludf.DUMMYFUNCTION("""COMPUTED_VALUE"""),"F")</f>
        <v>F</v>
      </c>
      <c r="O720" s="6" t="str">
        <f>IFERROR(__xludf.DUMMYFUNCTION("""COMPUTED_VALUE"""),"ACTIVE")</f>
        <v>ACTIVE</v>
      </c>
      <c r="P720" s="6"/>
      <c r="Q720" s="6" t="str">
        <f>IFERROR(__xludf.DUMMYFUNCTION("""COMPUTED_VALUE"""),"Armenia")</f>
        <v>Armenia</v>
      </c>
      <c r="R720" s="12" t="str">
        <f>IFERROR(__xludf.DUMMYFUNCTION("""COMPUTED_VALUE"""),"Gityvmn435*")</f>
        <v>Gityvmn435*</v>
      </c>
      <c r="S720" s="6" t="str">
        <f>IFERROR(__xludf.DUMMYFUNCTION("""COMPUTED_VALUE"""),"Burgos Valencia Juliana ")</f>
        <v>Burgos Valencia Juliana </v>
      </c>
      <c r="T720" s="6" t="str">
        <f>IFERROR(__xludf.DUMMYFUNCTION("""COMPUTED_VALUE"""),"JAIRO HERNAN BURGOS DUQUE")</f>
        <v>JAIRO HERNAN BURGOS DUQUE</v>
      </c>
      <c r="U720" s="12" t="str">
        <f>IFERROR(__xludf.DUMMYFUNCTION("""COMPUTED_VALUE"""),"76313027")</f>
        <v>76313027</v>
      </c>
      <c r="V720" s="6">
        <f>IFERROR(__xludf.DUMMYFUNCTION("""COMPUTED_VALUE"""),3.152244101E9)</f>
        <v>3152244101</v>
      </c>
      <c r="W720" s="6" t="str">
        <f>IFERROR(__xludf.DUMMYFUNCTION("""COMPUTED_VALUE"""),"jairoburgos_1@yahoo.com")</f>
        <v>jairoburgos_1@yahoo.com</v>
      </c>
      <c r="X720" s="12" t="str">
        <f>IFERROR(__xludf.DUMMYFUNCTION("""COMPUTED_VALUE"""),"O-")</f>
        <v>O-</v>
      </c>
      <c r="Y720" s="12" t="str">
        <f>IFERROR(__xludf.DUMMYFUNCTION("""COMPUTED_VALUE"""),"11")</f>
        <v>11</v>
      </c>
      <c r="Z720" s="12">
        <f>IFERROR(__xludf.DUMMYFUNCTION("""COMPUTED_VALUE"""),103219.0)</f>
        <v>103219</v>
      </c>
      <c r="AA720" s="6" t="str">
        <f>IFERROR(__xludf.DUMMYFUNCTION("""COMPUTED_VALUE"""),"SURA")</f>
        <v>SURA</v>
      </c>
      <c r="AB720" s="6"/>
      <c r="AC720" s="12" t="str">
        <f>IFERROR(__xludf.DUMMYFUNCTION("""COMPUTED_VALUE"""),"Mora")</f>
        <v>Mora</v>
      </c>
      <c r="AD720" s="12" t="str">
        <f>IFERROR(__xludf.DUMMYFUNCTION("""COMPUTED_VALUE"""),"11")</f>
        <v>11</v>
      </c>
      <c r="AE720" s="12">
        <f>IFERROR(__xludf.DUMMYFUNCTION("""COMPUTED_VALUE"""),1.345281578E9)</f>
        <v>1345281578</v>
      </c>
      <c r="AF720" s="12" t="str">
        <f>IFERROR(__xludf.DUMMYFUNCTION("""COMPUTED_VALUE"""),"0686956467")</f>
        <v>0686956467</v>
      </c>
      <c r="AG720" s="12" t="str">
        <f>IFERROR(__xludf.DUMMYFUNCTION("""COMPUTED_VALUE"""),"Paola")</f>
        <v>Paola</v>
      </c>
      <c r="AH720" s="12" t="str">
        <f>IFERROR(__xludf.DUMMYFUNCTION("""COMPUTED_VALUE"""),"Andrea")</f>
        <v>Andrea</v>
      </c>
      <c r="AI720" s="6" t="str">
        <f>IFERROR(__xludf.DUMMYFUNCTION("""COMPUTED_VALUE"""),"Valencia Orrego")</f>
        <v>Valencia Orrego</v>
      </c>
      <c r="AJ720" s="6" t="str">
        <f>IFERROR(__xludf.DUMMYFUNCTION("""COMPUTED_VALUE"""),"paovalecia13@hotmail.es")</f>
        <v>paovalecia13@hotmail.es</v>
      </c>
      <c r="AK720" s="6"/>
      <c r="AL720" s="6"/>
      <c r="AM720" s="12" t="str">
        <f>IFERROR(__xludf.DUMMYFUNCTION("""COMPUTED_VALUE"""),"1094901365")</f>
        <v>1094901365</v>
      </c>
      <c r="AN720" s="12" t="str">
        <f>IFERROR(__xludf.DUMMYFUNCTION("""COMPUTED_VALUE"""),"3136537363")</f>
        <v>3136537363</v>
      </c>
      <c r="AO720" s="6" t="str">
        <f>IFERROR(__xludf.DUMMYFUNCTION("""COMPUTED_VALUE"""),"Madre")</f>
        <v>Madre</v>
      </c>
      <c r="AP720" s="6" t="str">
        <f>IFERROR(__xludf.DUMMYFUNCTION("""COMPUTED_VALUE"""),"Estudiante(s): Burgos Valencia")</f>
        <v>Estudiante(s): Burgos Valencia</v>
      </c>
      <c r="AQ720" s="6" t="str">
        <f>IFERROR(__xludf.DUMMYFUNCTION("""COMPUTED_VALUE"""),"103219*Gi")</f>
        <v>103219*Gi</v>
      </c>
      <c r="AR720" s="6" t="str">
        <f>IFERROR(__xludf.DUMMYFUNCTION("""COMPUTED_VALUE"""),"Jairo")</f>
        <v>Jairo</v>
      </c>
      <c r="AS720" s="6" t="str">
        <f>IFERROR(__xludf.DUMMYFUNCTION("""COMPUTED_VALUE"""),"Hernán")</f>
        <v>Hernán</v>
      </c>
      <c r="AT720" s="6" t="str">
        <f>IFERROR(__xludf.DUMMYFUNCTION("""COMPUTED_VALUE"""),"Burgos Duque")</f>
        <v>Burgos Duque</v>
      </c>
      <c r="AU720" s="6" t="str">
        <f>IFERROR(__xludf.DUMMYFUNCTION("""COMPUTED_VALUE"""),"jairoburgos_1@yahoo.com")</f>
        <v>jairoburgos_1@yahoo.com</v>
      </c>
      <c r="AV720" s="6" t="str">
        <f>IFERROR(__xludf.DUMMYFUNCTION("""COMPUTED_VALUE"""),"Ingeniero Electronico")</f>
        <v>Ingeniero Electronico</v>
      </c>
      <c r="AW720" s="6"/>
      <c r="AX720" s="12" t="str">
        <f>IFERROR(__xludf.DUMMYFUNCTION("""COMPUTED_VALUE"""),"76313027")</f>
        <v>76313027</v>
      </c>
      <c r="AY720" s="12" t="str">
        <f>IFERROR(__xludf.DUMMYFUNCTION("""COMPUTED_VALUE"""),"3152244101")</f>
        <v>3152244101</v>
      </c>
      <c r="AZ720" s="6" t="str">
        <f>IFERROR(__xludf.DUMMYFUNCTION("""COMPUTED_VALUE"""),"Padre")</f>
        <v>Padre</v>
      </c>
      <c r="BA720" s="6"/>
      <c r="BB720" s="6"/>
      <c r="BC720" s="6"/>
      <c r="BD720" s="12" t="str">
        <f>IFERROR(__xludf.DUMMYFUNCTION("""COMPUTED_VALUE"""),"bur0001")</f>
        <v>bur0001</v>
      </c>
      <c r="BE720" s="6"/>
      <c r="BF720" s="6"/>
      <c r="BG720" s="6">
        <f>IFERROR(__xludf.DUMMYFUNCTION("""COMPUTED_VALUE"""),2028.0)</f>
        <v>2028</v>
      </c>
      <c r="BH720" s="15">
        <f>IFERROR(__xludf.DUMMYFUNCTION("""COMPUTED_VALUE"""),46206.40666666667)</f>
        <v>46206.40667</v>
      </c>
      <c r="BI720" s="6">
        <f>IFERROR(__xludf.DUMMYFUNCTION("""COMPUTED_VALUE"""),721.0)</f>
        <v>721</v>
      </c>
      <c r="BJ720" s="6"/>
      <c r="BK720" s="6"/>
      <c r="BL720" s="6" t="str">
        <f>IFERROR(__xludf.DUMMYFUNCTION("""COMPUTED_VALUE"""),"GISBUR0001")</f>
        <v>GISBUR0001</v>
      </c>
      <c r="BM720" s="6"/>
      <c r="BN720" s="6"/>
      <c r="BO720" s="6"/>
      <c r="BP720" s="6"/>
      <c r="BQ720" s="6"/>
      <c r="BR720" s="6"/>
      <c r="BS720" s="6"/>
      <c r="BT720" s="6"/>
      <c r="BU720" s="6" t="str">
        <f>IFERROR(__xludf.DUMMYFUNCTION("""COMPUTED_VALUE"""),"SI")</f>
        <v>SI</v>
      </c>
      <c r="BV720" s="6" t="str">
        <f>IFERROR(__xludf.DUMMYFUNCTION("""COMPUTED_VALUE"""),"juliana.b2028")</f>
        <v>juliana.b2028</v>
      </c>
      <c r="BW720" s="6"/>
      <c r="BX720" s="6"/>
      <c r="BY720" s="6"/>
      <c r="BZ720" s="6"/>
    </row>
    <row r="721">
      <c r="A721" s="12">
        <f>IFERROR(__xludf.DUMMYFUNCTION("""COMPUTED_VALUE"""),1.092855125E9)</f>
        <v>1092855125</v>
      </c>
      <c r="B721" s="6">
        <f>IFERROR(__xludf.DUMMYFUNCTION("""COMPUTED_VALUE"""),11.0)</f>
        <v>11</v>
      </c>
      <c r="C721" s="6" t="str">
        <f>IFERROR(__xludf.DUMMYFUNCTION("""COMPUTED_VALUE"""),"Juan")</f>
        <v>Juan</v>
      </c>
      <c r="D721" s="6" t="str">
        <f>IFERROR(__xludf.DUMMYFUNCTION("""COMPUTED_VALUE"""),"Jose")</f>
        <v>Jose</v>
      </c>
      <c r="E721" s="6" t="str">
        <f>IFERROR(__xludf.DUMMYFUNCTION("""COMPUTED_VALUE"""),"Cañas Monroy")</f>
        <v>Cañas Monroy</v>
      </c>
      <c r="F721" s="6" t="str">
        <f>IFERROR(__xludf.DUMMYFUNCTION("""COMPUTED_VALUE"""),"Calle 23A Nte No19 - 47 - Sector Cra 19")</f>
        <v>Calle 23A Nte No19 - 47 - Sector Cra 19</v>
      </c>
      <c r="G721" s="12" t="str">
        <f>IFERROR(__xludf.DUMMYFUNCTION("""COMPUTED_VALUE"""),"2011")</f>
        <v>2011</v>
      </c>
      <c r="H721" s="6" t="str">
        <f>IFERROR(__xludf.DUMMYFUNCTION("""COMPUTED_VALUE"""),"Enero")</f>
        <v>Enero</v>
      </c>
      <c r="I721" s="12" t="str">
        <f>IFERROR(__xludf.DUMMYFUNCTION("""COMPUTED_VALUE"""),"18")</f>
        <v>18</v>
      </c>
      <c r="J721" s="6" t="str">
        <f>IFERROR(__xludf.DUMMYFUNCTION("""COMPUTED_VALUE"""),"Armenia")</f>
        <v>Armenia</v>
      </c>
      <c r="K721" s="6" t="str">
        <f>IFERROR(__xludf.DUMMYFUNCTION("""COMPUTED_VALUE"""),"juanjose.c2028@gi.edu.co")</f>
        <v>juanjose.c2028@gi.edu.co</v>
      </c>
      <c r="L721" s="6" t="str">
        <f>IFERROR(__xludf.DUMMYFUNCTION("""COMPUTED_VALUE"""),"TI")</f>
        <v>TI</v>
      </c>
      <c r="M721" s="6" t="str">
        <f>IFERROR(__xludf.DUMMYFUNCTION("""COMPUTED_VALUE"""),"Armenia")</f>
        <v>Armenia</v>
      </c>
      <c r="N721" s="6" t="str">
        <f>IFERROR(__xludf.DUMMYFUNCTION("""COMPUTED_VALUE"""),"M")</f>
        <v>M</v>
      </c>
      <c r="O721" s="6" t="str">
        <f>IFERROR(__xludf.DUMMYFUNCTION("""COMPUTED_VALUE"""),"ACTIVE")</f>
        <v>ACTIVE</v>
      </c>
      <c r="P721" s="6"/>
      <c r="Q721" s="6" t="str">
        <f>IFERROR(__xludf.DUMMYFUNCTION("""COMPUTED_VALUE"""),"Armenia")</f>
        <v>Armenia</v>
      </c>
      <c r="R721" s="12" t="str">
        <f>IFERROR(__xludf.DUMMYFUNCTION("""COMPUTED_VALUE"""),"Gi37tnp2*")</f>
        <v>Gi37tnp2*</v>
      </c>
      <c r="S721" s="6" t="str">
        <f>IFERROR(__xludf.DUMMYFUNCTION("""COMPUTED_VALUE"""),"Cañas Monroy Juan Jose")</f>
        <v>Cañas Monroy Juan Jose</v>
      </c>
      <c r="T721" s="6" t="str">
        <f>IFERROR(__xludf.DUMMYFUNCTION("""COMPUTED_VALUE"""),"JUAN CARLOS CAÑAS GOMEZ")</f>
        <v>JUAN CARLOS CAÑAS GOMEZ</v>
      </c>
      <c r="U721" s="12" t="str">
        <f>IFERROR(__xludf.DUMMYFUNCTION("""COMPUTED_VALUE"""),"9730962")</f>
        <v>9730962</v>
      </c>
      <c r="V721" s="6">
        <f>IFERROR(__xludf.DUMMYFUNCTION("""COMPUTED_VALUE"""),3.176419899E9)</f>
        <v>3176419899</v>
      </c>
      <c r="W721" s="6" t="str">
        <f>IFERROR(__xludf.DUMMYFUNCTION("""COMPUTED_VALUE"""),"juancarloscanas01@gmail.com")</f>
        <v>juancarloscanas01@gmail.com</v>
      </c>
      <c r="X721" s="12" t="str">
        <f>IFERROR(__xludf.DUMMYFUNCTION("""COMPUTED_VALUE"""),"O-")</f>
        <v>O-</v>
      </c>
      <c r="Y721" s="12" t="str">
        <f>IFERROR(__xludf.DUMMYFUNCTION("""COMPUTED_VALUE"""),"11")</f>
        <v>11</v>
      </c>
      <c r="Z721" s="12">
        <f>IFERROR(__xludf.DUMMYFUNCTION("""COMPUTED_VALUE"""),103710.0)</f>
        <v>103710</v>
      </c>
      <c r="AA721" s="6" t="str">
        <f>IFERROR(__xludf.DUMMYFUNCTION("""COMPUTED_VALUE"""),"SANITAS")</f>
        <v>SANITAS</v>
      </c>
      <c r="AB721" s="6" t="str">
        <f>IFERROR(__xludf.DUMMYFUNCTION("""COMPUTED_VALUE"""),"Emi")</f>
        <v>Emi</v>
      </c>
      <c r="AC721" s="6"/>
      <c r="AD721" s="12" t="str">
        <f>IFERROR(__xludf.DUMMYFUNCTION("""COMPUTED_VALUE"""),"11")</f>
        <v>11</v>
      </c>
      <c r="AE721" s="12">
        <f>IFERROR(__xludf.DUMMYFUNCTION("""COMPUTED_VALUE"""),1.345281848E9)</f>
        <v>1345281848</v>
      </c>
      <c r="AF721" s="12" t="str">
        <f>IFERROR(__xludf.DUMMYFUNCTION("""COMPUTED_VALUE"""),"2890261347")</f>
        <v>2890261347</v>
      </c>
      <c r="AG721" s="12" t="str">
        <f>IFERROR(__xludf.DUMMYFUNCTION("""COMPUTED_VALUE"""),"Paola")</f>
        <v>Paola</v>
      </c>
      <c r="AH721" s="12" t="str">
        <f>IFERROR(__xludf.DUMMYFUNCTION("""COMPUTED_VALUE"""),"Carolina")</f>
        <v>Carolina</v>
      </c>
      <c r="AI721" s="6" t="str">
        <f>IFERROR(__xludf.DUMMYFUNCTION("""COMPUTED_VALUE"""),"Monroy Garzon")</f>
        <v>Monroy Garzon</v>
      </c>
      <c r="AJ721" s="6" t="str">
        <f>IFERROR(__xludf.DUMMYFUNCTION("""COMPUTED_VALUE"""),"pacam001@gmail.com")</f>
        <v>pacam001@gmail.com</v>
      </c>
      <c r="AK721" s="6"/>
      <c r="AL721" s="6"/>
      <c r="AM721" s="12" t="str">
        <f>IFERROR(__xludf.DUMMYFUNCTION("""COMPUTED_VALUE"""),"41947791")</f>
        <v>41947791</v>
      </c>
      <c r="AN721" s="12" t="str">
        <f>IFERROR(__xludf.DUMMYFUNCTION("""COMPUTED_VALUE"""),"3206321018")</f>
        <v>3206321018</v>
      </c>
      <c r="AO721" s="6" t="str">
        <f>IFERROR(__xludf.DUMMYFUNCTION("""COMPUTED_VALUE"""),"Madre")</f>
        <v>Madre</v>
      </c>
      <c r="AP721" s="6" t="str">
        <f>IFERROR(__xludf.DUMMYFUNCTION("""COMPUTED_VALUE"""),"Estudiante(s): Cañas Monroy")</f>
        <v>Estudiante(s): Cañas Monroy</v>
      </c>
      <c r="AQ721" s="6" t="str">
        <f>IFERROR(__xludf.DUMMYFUNCTION("""COMPUTED_VALUE"""),"103710*Gi")</f>
        <v>103710*Gi</v>
      </c>
      <c r="AR721" s="6" t="str">
        <f>IFERROR(__xludf.DUMMYFUNCTION("""COMPUTED_VALUE"""),"Juan")</f>
        <v>Juan</v>
      </c>
      <c r="AS721" s="6" t="str">
        <f>IFERROR(__xludf.DUMMYFUNCTION("""COMPUTED_VALUE"""),"Carlos")</f>
        <v>Carlos</v>
      </c>
      <c r="AT721" s="6" t="str">
        <f>IFERROR(__xludf.DUMMYFUNCTION("""COMPUTED_VALUE"""),"Cañas Gomez")</f>
        <v>Cañas Gomez</v>
      </c>
      <c r="AU721" s="6" t="str">
        <f>IFERROR(__xludf.DUMMYFUNCTION("""COMPUTED_VALUE"""),"juancarloscanas01@gmail.com")</f>
        <v>juancarloscanas01@gmail.com</v>
      </c>
      <c r="AV721" s="6" t="str">
        <f>IFERROR(__xludf.DUMMYFUNCTION("""COMPUTED_VALUE"""),"Ingeniero civil")</f>
        <v>Ingeniero civil</v>
      </c>
      <c r="AW721" s="6" t="str">
        <f>IFERROR(__xludf.DUMMYFUNCTION("""COMPUTED_VALUE"""),"INDACO SAS")</f>
        <v>INDACO SAS</v>
      </c>
      <c r="AX721" s="12" t="str">
        <f>IFERROR(__xludf.DUMMYFUNCTION("""COMPUTED_VALUE"""),"9730962")</f>
        <v>9730962</v>
      </c>
      <c r="AY721" s="12" t="str">
        <f>IFERROR(__xludf.DUMMYFUNCTION("""COMPUTED_VALUE"""),"3176419899")</f>
        <v>3176419899</v>
      </c>
      <c r="AZ721" s="6" t="str">
        <f>IFERROR(__xludf.DUMMYFUNCTION("""COMPUTED_VALUE"""),"Padre")</f>
        <v>Padre</v>
      </c>
      <c r="BA721" s="6"/>
      <c r="BB721" s="6"/>
      <c r="BC721" s="6"/>
      <c r="BD721" s="12" t="str">
        <f>IFERROR(__xludf.DUMMYFUNCTION("""COMPUTED_VALUE"""),"caa0002")</f>
        <v>caa0002</v>
      </c>
      <c r="BE721" s="6"/>
      <c r="BF721" s="6"/>
      <c r="BG721" s="6">
        <f>IFERROR(__xludf.DUMMYFUNCTION("""COMPUTED_VALUE"""),2028.0)</f>
        <v>2028</v>
      </c>
      <c r="BH721" s="15">
        <f>IFERROR(__xludf.DUMMYFUNCTION("""COMPUTED_VALUE"""),46247.60896990741)</f>
        <v>46247.60897</v>
      </c>
      <c r="BI721" s="6">
        <f>IFERROR(__xludf.DUMMYFUNCTION("""COMPUTED_VALUE"""),722.0)</f>
        <v>722</v>
      </c>
      <c r="BJ721" s="6"/>
      <c r="BK721" s="6"/>
      <c r="BL721" s="6" t="str">
        <f>IFERROR(__xludf.DUMMYFUNCTION("""COMPUTED_VALUE"""),"GISCAA0002")</f>
        <v>GISCAA0002</v>
      </c>
      <c r="BM721" s="6"/>
      <c r="BN721" s="6"/>
      <c r="BO721" s="6"/>
      <c r="BP721" s="6"/>
      <c r="BQ721" s="6"/>
      <c r="BR721" s="6"/>
      <c r="BS721" s="6" t="str">
        <f>IFERROR(__xludf.DUMMYFUNCTION("""COMPUTED_VALUE"""),"XC_HS_BandaInside")</f>
        <v>XC_HS_BandaInside</v>
      </c>
      <c r="BT721" s="6"/>
      <c r="BU721" s="6" t="str">
        <f>IFERROR(__xludf.DUMMYFUNCTION("""COMPUTED_VALUE"""),"SI")</f>
        <v>SI</v>
      </c>
      <c r="BV721" s="6" t="str">
        <f>IFERROR(__xludf.DUMMYFUNCTION("""COMPUTED_VALUE"""),"juanjose.c2028")</f>
        <v>juanjose.c2028</v>
      </c>
      <c r="BW721" s="6"/>
      <c r="BX721" s="6"/>
      <c r="BY721" s="6"/>
      <c r="BZ721" s="6"/>
    </row>
    <row r="722">
      <c r="A722" s="12">
        <f>IFERROR(__xludf.DUMMYFUNCTION("""COMPUTED_VALUE"""),1.030100552E9)</f>
        <v>1030100552</v>
      </c>
      <c r="B722" s="6">
        <f>IFERROR(__xludf.DUMMYFUNCTION("""COMPUTED_VALUE"""),12.0)</f>
        <v>12</v>
      </c>
      <c r="C722" s="6" t="str">
        <f>IFERROR(__xludf.DUMMYFUNCTION("""COMPUTED_VALUE"""),"Jaime")</f>
        <v>Jaime</v>
      </c>
      <c r="D722" s="6" t="str">
        <f>IFERROR(__xludf.DUMMYFUNCTION("""COMPUTED_VALUE"""),"Alejandro")</f>
        <v>Alejandro</v>
      </c>
      <c r="E722" s="6" t="str">
        <f>IFERROR(__xludf.DUMMYFUNCTION("""COMPUTED_VALUE"""),"Cardona González")</f>
        <v>Cardona González</v>
      </c>
      <c r="F722" s="6" t="str">
        <f>IFERROR(__xludf.DUMMYFUNCTION("""COMPUTED_VALUE"""),"Condominio Pradera Boreal Casa 18 - Km. 5 Via Armenia Pereira")</f>
        <v>Condominio Pradera Boreal Casa 18 - Km. 5 Via Armenia Pereira</v>
      </c>
      <c r="G722" s="12" t="str">
        <f>IFERROR(__xludf.DUMMYFUNCTION("""COMPUTED_VALUE"""),"2010")</f>
        <v>2010</v>
      </c>
      <c r="H722" s="6" t="str">
        <f>IFERROR(__xludf.DUMMYFUNCTION("""COMPUTED_VALUE"""),"Julio")</f>
        <v>Julio</v>
      </c>
      <c r="I722" s="12" t="str">
        <f>IFERROR(__xludf.DUMMYFUNCTION("""COMPUTED_VALUE"""),"9")</f>
        <v>9</v>
      </c>
      <c r="J722" s="6" t="str">
        <f>IFERROR(__xludf.DUMMYFUNCTION("""COMPUTED_VALUE"""),"Armenia")</f>
        <v>Armenia</v>
      </c>
      <c r="K722" s="6" t="str">
        <f>IFERROR(__xludf.DUMMYFUNCTION("""COMPUTED_VALUE"""),"jaime.c2028@gi.edu.co")</f>
        <v>jaime.c2028@gi.edu.co</v>
      </c>
      <c r="L722" s="6" t="str">
        <f>IFERROR(__xludf.DUMMYFUNCTION("""COMPUTED_VALUE"""),"TI")</f>
        <v>TI</v>
      </c>
      <c r="M722" s="6" t="str">
        <f>IFERROR(__xludf.DUMMYFUNCTION("""COMPUTED_VALUE"""),"Armenia")</f>
        <v>Armenia</v>
      </c>
      <c r="N722" s="6" t="str">
        <f>IFERROR(__xludf.DUMMYFUNCTION("""COMPUTED_VALUE"""),"M")</f>
        <v>M</v>
      </c>
      <c r="O722" s="6" t="str">
        <f>IFERROR(__xludf.DUMMYFUNCTION("""COMPUTED_VALUE"""),"ACTIVE")</f>
        <v>ACTIVE</v>
      </c>
      <c r="P722" s="6"/>
      <c r="Q722" s="6" t="str">
        <f>IFERROR(__xludf.DUMMYFUNCTION("""COMPUTED_VALUE"""),"Armenia")</f>
        <v>Armenia</v>
      </c>
      <c r="R722" s="12" t="str">
        <f>IFERROR(__xludf.DUMMYFUNCTION("""COMPUTED_VALUE"""),"Giqwcf43gb*")</f>
        <v>Giqwcf43gb*</v>
      </c>
      <c r="S722" s="6" t="str">
        <f>IFERROR(__xludf.DUMMYFUNCTION("""COMPUTED_VALUE"""),"Cardona González Jaime Alejandro")</f>
        <v>Cardona González Jaime Alejandro</v>
      </c>
      <c r="T722" s="6" t="str">
        <f>IFERROR(__xludf.DUMMYFUNCTION("""COMPUTED_VALUE"""),"CARMEN DEL PILAR GONZÁLEZ TABARES")</f>
        <v>CARMEN DEL PILAR GONZÁLEZ TABARES</v>
      </c>
      <c r="U722" s="12" t="str">
        <f>IFERROR(__xludf.DUMMYFUNCTION("""COMPUTED_VALUE"""),"42133098")</f>
        <v>42133098</v>
      </c>
      <c r="V722" s="6">
        <f>IFERROR(__xludf.DUMMYFUNCTION("""COMPUTED_VALUE"""),3.128719891E9)</f>
        <v>3128719891</v>
      </c>
      <c r="W722" s="6" t="str">
        <f>IFERROR(__xludf.DUMMYFUNCTION("""COMPUTED_VALUE"""),"decoratexltda2010@hotmail.com")</f>
        <v>decoratexltda2010@hotmail.com</v>
      </c>
      <c r="X722" s="12" t="str">
        <f>IFERROR(__xludf.DUMMYFUNCTION("""COMPUTED_VALUE"""),"O+")</f>
        <v>O+</v>
      </c>
      <c r="Y722" s="12" t="str">
        <f>IFERROR(__xludf.DUMMYFUNCTION("""COMPUTED_VALUE"""),"11")</f>
        <v>11</v>
      </c>
      <c r="Z722" s="12">
        <f>IFERROR(__xludf.DUMMYFUNCTION("""COMPUTED_VALUE"""),103094.0)</f>
        <v>103094</v>
      </c>
      <c r="AA722" s="6" t="str">
        <f>IFERROR(__xludf.DUMMYFUNCTION("""COMPUTED_VALUE"""),"SANITAS")</f>
        <v>SANITAS</v>
      </c>
      <c r="AB722" s="6" t="str">
        <f>IFERROR(__xludf.DUMMYFUNCTION("""COMPUTED_VALUE"""),"humanizar")</f>
        <v>humanizar</v>
      </c>
      <c r="AC722" s="6"/>
      <c r="AD722" s="12" t="str">
        <f>IFERROR(__xludf.DUMMYFUNCTION("""COMPUTED_VALUE"""),"11")</f>
        <v>11</v>
      </c>
      <c r="AE722" s="12">
        <f>IFERROR(__xludf.DUMMYFUNCTION("""COMPUTED_VALUE"""),1.345281508E9)</f>
        <v>1345281508</v>
      </c>
      <c r="AF722" s="12" t="str">
        <f>IFERROR(__xludf.DUMMYFUNCTION("""COMPUTED_VALUE"""),"0690503683")</f>
        <v>0690503683</v>
      </c>
      <c r="AG722" s="12" t="str">
        <f>IFERROR(__xludf.DUMMYFUNCTION("""COMPUTED_VALUE"""),"Carmen")</f>
        <v>Carmen</v>
      </c>
      <c r="AH722" s="12" t="str">
        <f>IFERROR(__xludf.DUMMYFUNCTION("""COMPUTED_VALUE"""),"Del Pilar")</f>
        <v>Del Pilar</v>
      </c>
      <c r="AI722" s="6" t="str">
        <f>IFERROR(__xludf.DUMMYFUNCTION("""COMPUTED_VALUE"""),"González Tabares")</f>
        <v>González Tabares</v>
      </c>
      <c r="AJ722" s="6" t="str">
        <f>IFERROR(__xludf.DUMMYFUNCTION("""COMPUTED_VALUE"""),"decoratexltda2010@hotmail.com")</f>
        <v>decoratexltda2010@hotmail.com</v>
      </c>
      <c r="AK722" s="6" t="str">
        <f>IFERROR(__xludf.DUMMYFUNCTION("""COMPUTED_VALUE"""),"ECONOMISTA")</f>
        <v>ECONOMISTA</v>
      </c>
      <c r="AL722" s="6" t="str">
        <f>IFERROR(__xludf.DUMMYFUNCTION("""COMPUTED_VALUE"""),"DECORATEX SAS")</f>
        <v>DECORATEX SAS</v>
      </c>
      <c r="AM722" s="12" t="str">
        <f>IFERROR(__xludf.DUMMYFUNCTION("""COMPUTED_VALUE"""),"42133098")</f>
        <v>42133098</v>
      </c>
      <c r="AN722" s="12" t="str">
        <f>IFERROR(__xludf.DUMMYFUNCTION("""COMPUTED_VALUE"""),"3128719891")</f>
        <v>3128719891</v>
      </c>
      <c r="AO722" s="6" t="str">
        <f>IFERROR(__xludf.DUMMYFUNCTION("""COMPUTED_VALUE"""),"Madre")</f>
        <v>Madre</v>
      </c>
      <c r="AP722" s="6" t="str">
        <f>IFERROR(__xludf.DUMMYFUNCTION("""COMPUTED_VALUE"""),"Estudiante(s): Cardona González")</f>
        <v>Estudiante(s): Cardona González</v>
      </c>
      <c r="AQ722" s="6" t="str">
        <f>IFERROR(__xludf.DUMMYFUNCTION("""COMPUTED_VALUE"""),"103094*Gi")</f>
        <v>103094*Gi</v>
      </c>
      <c r="AR722" s="6" t="str">
        <f>IFERROR(__xludf.DUMMYFUNCTION("""COMPUTED_VALUE"""),"Jaime")</f>
        <v>Jaime</v>
      </c>
      <c r="AS722" s="6" t="str">
        <f>IFERROR(__xludf.DUMMYFUNCTION("""COMPUTED_VALUE"""),"Antonio")</f>
        <v>Antonio</v>
      </c>
      <c r="AT722" s="6" t="str">
        <f>IFERROR(__xludf.DUMMYFUNCTION("""COMPUTED_VALUE"""),"Cardona Chacón")</f>
        <v>Cardona Chacón</v>
      </c>
      <c r="AU722" s="6" t="str">
        <f>IFERROR(__xludf.DUMMYFUNCTION("""COMPUTED_VALUE"""),"jaimeacch2004@yahoo.com")</f>
        <v>jaimeacch2004@yahoo.com</v>
      </c>
      <c r="AV722" s="6" t="str">
        <f>IFERROR(__xludf.DUMMYFUNCTION("""COMPUTED_VALUE"""),"ECONOMISTA")</f>
        <v>ECONOMISTA</v>
      </c>
      <c r="AW722" s="6" t="str">
        <f>IFERROR(__xludf.DUMMYFUNCTION("""COMPUTED_VALUE"""),"DECORATEX SAS")</f>
        <v>DECORATEX SAS</v>
      </c>
      <c r="AX722" s="12" t="str">
        <f>IFERROR(__xludf.DUMMYFUNCTION("""COMPUTED_VALUE"""),"89006227")</f>
        <v>89006227</v>
      </c>
      <c r="AY722" s="12" t="str">
        <f>IFERROR(__xludf.DUMMYFUNCTION("""COMPUTED_VALUE"""),"3165263144")</f>
        <v>3165263144</v>
      </c>
      <c r="AZ722" s="6" t="str">
        <f>IFERROR(__xludf.DUMMYFUNCTION("""COMPUTED_VALUE"""),"Padre")</f>
        <v>Padre</v>
      </c>
      <c r="BA722" s="6"/>
      <c r="BB722" s="6"/>
      <c r="BC722" s="6"/>
      <c r="BD722" s="12" t="str">
        <f>IFERROR(__xludf.DUMMYFUNCTION("""COMPUTED_VALUE"""),"car0012")</f>
        <v>car0012</v>
      </c>
      <c r="BE722" s="6"/>
      <c r="BF722" s="6"/>
      <c r="BG722" s="6">
        <f>IFERROR(__xludf.DUMMYFUNCTION("""COMPUTED_VALUE"""),2028.0)</f>
        <v>2028</v>
      </c>
      <c r="BH722" s="15">
        <f>IFERROR(__xludf.DUMMYFUNCTION("""COMPUTED_VALUE"""),46212.49178240741)</f>
        <v>46212.49178</v>
      </c>
      <c r="BI722" s="6">
        <f>IFERROR(__xludf.DUMMYFUNCTION("""COMPUTED_VALUE"""),723.0)</f>
        <v>723</v>
      </c>
      <c r="BJ722" s="6"/>
      <c r="BK722" s="6"/>
      <c r="BL722" s="6" t="str">
        <f>IFERROR(__xludf.DUMMYFUNCTION("""COMPUTED_VALUE"""),"GISCAR0012")</f>
        <v>GISCAR0012</v>
      </c>
      <c r="BM722" s="6"/>
      <c r="BN722" s="6"/>
      <c r="BO722" s="6"/>
      <c r="BP722" s="6"/>
      <c r="BQ722" s="6"/>
      <c r="BR722" s="6"/>
      <c r="BS722" s="6"/>
      <c r="BT722" s="6"/>
      <c r="BU722" s="6" t="str">
        <f>IFERROR(__xludf.DUMMYFUNCTION("""COMPUTED_VALUE"""),"SI")</f>
        <v>SI</v>
      </c>
      <c r="BV722" s="6" t="str">
        <f>IFERROR(__xludf.DUMMYFUNCTION("""COMPUTED_VALUE"""),"jaime.c2028")</f>
        <v>jaime.c2028</v>
      </c>
      <c r="BW722" s="6"/>
      <c r="BX722" s="6"/>
      <c r="BY722" s="6"/>
      <c r="BZ722" s="6"/>
    </row>
    <row r="723">
      <c r="A723" s="12">
        <f>IFERROR(__xludf.DUMMYFUNCTION("""COMPUTED_VALUE"""),1.034520858E9)</f>
        <v>1034520858</v>
      </c>
      <c r="B723" s="6">
        <f>IFERROR(__xludf.DUMMYFUNCTION("""COMPUTED_VALUE"""),13.0)</f>
        <v>13</v>
      </c>
      <c r="C723" s="6" t="str">
        <f>IFERROR(__xludf.DUMMYFUNCTION("""COMPUTED_VALUE"""),"Rafael")</f>
        <v>Rafael</v>
      </c>
      <c r="D723" s="6" t="str">
        <f>IFERROR(__xludf.DUMMYFUNCTION("""COMPUTED_VALUE"""),"Eduardo")</f>
        <v>Eduardo</v>
      </c>
      <c r="E723" s="6" t="str">
        <f>IFERROR(__xludf.DUMMYFUNCTION("""COMPUTED_VALUE"""),"Castillo Ceballos")</f>
        <v>Castillo Ceballos</v>
      </c>
      <c r="F723" s="6" t="str">
        <f>IFERROR(__xludf.DUMMYFUNCTION("""COMPUTED_VALUE"""),"Condominio Pradera Boreal Casa 68 - Km 5 Via Armenia Pereira")</f>
        <v>Condominio Pradera Boreal Casa 68 - Km 5 Via Armenia Pereira</v>
      </c>
      <c r="G723" s="12" t="str">
        <f>IFERROR(__xludf.DUMMYFUNCTION("""COMPUTED_VALUE"""),"2010")</f>
        <v>2010</v>
      </c>
      <c r="H723" s="6" t="str">
        <f>IFERROR(__xludf.DUMMYFUNCTION("""COMPUTED_VALUE"""),"Febrero")</f>
        <v>Febrero</v>
      </c>
      <c r="I723" s="12" t="str">
        <f>IFERROR(__xludf.DUMMYFUNCTION("""COMPUTED_VALUE"""),"3")</f>
        <v>3</v>
      </c>
      <c r="J723" s="6" t="str">
        <f>IFERROR(__xludf.DUMMYFUNCTION("""COMPUTED_VALUE"""),"Bogotá D.C.")</f>
        <v>Bogotá D.C.</v>
      </c>
      <c r="K723" s="6" t="str">
        <f>IFERROR(__xludf.DUMMYFUNCTION("""COMPUTED_VALUE"""),"rafael.c2028@gi.edu.co")</f>
        <v>rafael.c2028@gi.edu.co</v>
      </c>
      <c r="L723" s="6" t="str">
        <f>IFERROR(__xludf.DUMMYFUNCTION("""COMPUTED_VALUE"""),"TI")</f>
        <v>TI</v>
      </c>
      <c r="M723" s="6" t="str">
        <f>IFERROR(__xludf.DUMMYFUNCTION("""COMPUTED_VALUE"""),"Calarcá")</f>
        <v>Calarcá</v>
      </c>
      <c r="N723" s="6" t="str">
        <f>IFERROR(__xludf.DUMMYFUNCTION("""COMPUTED_VALUE"""),"M")</f>
        <v>M</v>
      </c>
      <c r="O723" s="6" t="str">
        <f>IFERROR(__xludf.DUMMYFUNCTION("""COMPUTED_VALUE"""),"ACTIVE")</f>
        <v>ACTIVE</v>
      </c>
      <c r="P723" s="6"/>
      <c r="Q723" s="6" t="str">
        <f>IFERROR(__xludf.DUMMYFUNCTION("""COMPUTED_VALUE"""),"Circasia")</f>
        <v>Circasia</v>
      </c>
      <c r="R723" s="12" t="str">
        <f>IFERROR(__xludf.DUMMYFUNCTION("""COMPUTED_VALUE"""),"Giec8nf152*")</f>
        <v>Giec8nf152*</v>
      </c>
      <c r="S723" s="6" t="str">
        <f>IFERROR(__xludf.DUMMYFUNCTION("""COMPUTED_VALUE"""),"Castillo Ceballos Rafael Eduardo")</f>
        <v>Castillo Ceballos Rafael Eduardo</v>
      </c>
      <c r="T723" s="6" t="str">
        <f>IFERROR(__xludf.DUMMYFUNCTION("""COMPUTED_VALUE"""),"MÓNICA VIVIANA CEBALLOS MEDINA")</f>
        <v>MÓNICA VIVIANA CEBALLOS MEDINA</v>
      </c>
      <c r="U723" s="12" t="str">
        <f>IFERROR(__xludf.DUMMYFUNCTION("""COMPUTED_VALUE"""),"33819301")</f>
        <v>33819301</v>
      </c>
      <c r="V723" s="6">
        <f>IFERROR(__xludf.DUMMYFUNCTION("""COMPUTED_VALUE"""),3.157340653E9)</f>
        <v>3157340653</v>
      </c>
      <c r="W723" s="6" t="str">
        <f>IFERROR(__xludf.DUMMYFUNCTION("""COMPUTED_VALUE"""),"mvceballos@hotmail.com")</f>
        <v>mvceballos@hotmail.com</v>
      </c>
      <c r="X723" s="12" t="str">
        <f>IFERROR(__xludf.DUMMYFUNCTION("""COMPUTED_VALUE"""),"O+")</f>
        <v>O+</v>
      </c>
      <c r="Y723" s="12" t="str">
        <f>IFERROR(__xludf.DUMMYFUNCTION("""COMPUTED_VALUE"""),"11")</f>
        <v>11</v>
      </c>
      <c r="Z723" s="12">
        <f>IFERROR(__xludf.DUMMYFUNCTION("""COMPUTED_VALUE"""),103441.0)</f>
        <v>103441</v>
      </c>
      <c r="AA723" s="6" t="str">
        <f>IFERROR(__xludf.DUMMYFUNCTION("""COMPUTED_VALUE"""),"SANITAS")</f>
        <v>SANITAS</v>
      </c>
      <c r="AB723" s="6" t="str">
        <f>IFERROR(__xludf.DUMMYFUNCTION("""COMPUTED_VALUE"""),"Colsanitas medicina prepagada")</f>
        <v>Colsanitas medicina prepagada</v>
      </c>
      <c r="AC723" s="12" t="str">
        <f>IFERROR(__xludf.DUMMYFUNCTION("""COMPUTED_VALUE"""),"Nuez")</f>
        <v>Nuez</v>
      </c>
      <c r="AD723" s="12" t="str">
        <f>IFERROR(__xludf.DUMMYFUNCTION("""COMPUTED_VALUE"""),"11")</f>
        <v>11</v>
      </c>
      <c r="AE723" s="12">
        <f>IFERROR(__xludf.DUMMYFUNCTION("""COMPUTED_VALUE"""),1.345281692E9)</f>
        <v>1345281692</v>
      </c>
      <c r="AF723" s="12" t="str">
        <f>IFERROR(__xludf.DUMMYFUNCTION("""COMPUTED_VALUE"""),"0698924579")</f>
        <v>0698924579</v>
      </c>
      <c r="AG723" s="12" t="str">
        <f>IFERROR(__xludf.DUMMYFUNCTION("""COMPUTED_VALUE"""),"Mónica")</f>
        <v>Mónica</v>
      </c>
      <c r="AH723" s="12" t="str">
        <f>IFERROR(__xludf.DUMMYFUNCTION("""COMPUTED_VALUE"""),"Viviana")</f>
        <v>Viviana</v>
      </c>
      <c r="AI723" s="6" t="str">
        <f>IFERROR(__xludf.DUMMYFUNCTION("""COMPUTED_VALUE"""),"Ceballos Medina")</f>
        <v>Ceballos Medina</v>
      </c>
      <c r="AJ723" s="6" t="str">
        <f>IFERROR(__xludf.DUMMYFUNCTION("""COMPUTED_VALUE"""),"mvceballos@hotmail.com")</f>
        <v>mvceballos@hotmail.com</v>
      </c>
      <c r="AK723" s="6" t="str">
        <f>IFERROR(__xludf.DUMMYFUNCTION("""COMPUTED_VALUE"""),"Psicologa")</f>
        <v>Psicologa</v>
      </c>
      <c r="AL723" s="6" t="str">
        <f>IFERROR(__xludf.DUMMYFUNCTION("""COMPUTED_VALUE"""),"Sapexps Consulting SAS")</f>
        <v>Sapexps Consulting SAS</v>
      </c>
      <c r="AM723" s="12" t="str">
        <f>IFERROR(__xludf.DUMMYFUNCTION("""COMPUTED_VALUE"""),"33819301")</f>
        <v>33819301</v>
      </c>
      <c r="AN723" s="12" t="str">
        <f>IFERROR(__xludf.DUMMYFUNCTION("""COMPUTED_VALUE"""),"3157340653")</f>
        <v>3157340653</v>
      </c>
      <c r="AO723" s="6" t="str">
        <f>IFERROR(__xludf.DUMMYFUNCTION("""COMPUTED_VALUE"""),"Madre")</f>
        <v>Madre</v>
      </c>
      <c r="AP723" s="6" t="str">
        <f>IFERROR(__xludf.DUMMYFUNCTION("""COMPUTED_VALUE"""),"Estudiante(s): Castillo Ceballos")</f>
        <v>Estudiante(s): Castillo Ceballos</v>
      </c>
      <c r="AQ723" s="6" t="str">
        <f>IFERROR(__xludf.DUMMYFUNCTION("""COMPUTED_VALUE"""),"103441*Gi")</f>
        <v>103441*Gi</v>
      </c>
      <c r="AR723" s="6" t="str">
        <f>IFERROR(__xludf.DUMMYFUNCTION("""COMPUTED_VALUE"""),"Rafael")</f>
        <v>Rafael</v>
      </c>
      <c r="AS723" s="6" t="str">
        <f>IFERROR(__xludf.DUMMYFUNCTION("""COMPUTED_VALUE"""),"Enrique")</f>
        <v>Enrique</v>
      </c>
      <c r="AT723" s="6" t="str">
        <f>IFERROR(__xludf.DUMMYFUNCTION("""COMPUTED_VALUE"""),"Castillo Mejía")</f>
        <v>Castillo Mejía</v>
      </c>
      <c r="AU723" s="6" t="str">
        <f>IFERROR(__xludf.DUMMYFUNCTION("""COMPUTED_VALUE"""),"rcastil01@hotmail.com")</f>
        <v>rcastil01@hotmail.com</v>
      </c>
      <c r="AV723" s="6"/>
      <c r="AW723" s="6" t="str">
        <f>IFERROR(__xludf.DUMMYFUNCTION("""COMPUTED_VALUE"""),"SAP.EXPERTS Consulting SAS")</f>
        <v>SAP.EXPERTS Consulting SAS</v>
      </c>
      <c r="AX723" s="12" t="str">
        <f>IFERROR(__xludf.DUMMYFUNCTION("""COMPUTED_VALUE"""),"79788369")</f>
        <v>79788369</v>
      </c>
      <c r="AY723" s="12" t="str">
        <f>IFERROR(__xludf.DUMMYFUNCTION("""COMPUTED_VALUE"""),"3164064643")</f>
        <v>3164064643</v>
      </c>
      <c r="AZ723" s="6" t="str">
        <f>IFERROR(__xludf.DUMMYFUNCTION("""COMPUTED_VALUE"""),"Padre")</f>
        <v>Padre</v>
      </c>
      <c r="BA723" s="6"/>
      <c r="BB723" s="6"/>
      <c r="BC723" s="6"/>
      <c r="BD723" s="12" t="str">
        <f>IFERROR(__xludf.DUMMYFUNCTION("""COMPUTED_VALUE"""),"cas0010")</f>
        <v>cas0010</v>
      </c>
      <c r="BE723" s="6"/>
      <c r="BF723" s="6"/>
      <c r="BG723" s="6">
        <f>IFERROR(__xludf.DUMMYFUNCTION("""COMPUTED_VALUE"""),2028.0)</f>
        <v>2028</v>
      </c>
      <c r="BH723" s="15">
        <f>IFERROR(__xludf.DUMMYFUNCTION("""COMPUTED_VALUE"""),46208.78189814815)</f>
        <v>46208.7819</v>
      </c>
      <c r="BI723" s="6">
        <f>IFERROR(__xludf.DUMMYFUNCTION("""COMPUTED_VALUE"""),724.0)</f>
        <v>724</v>
      </c>
      <c r="BJ723" s="6"/>
      <c r="BK723" s="6"/>
      <c r="BL723" s="6" t="str">
        <f>IFERROR(__xludf.DUMMYFUNCTION("""COMPUTED_VALUE"""),"GISCAS0010")</f>
        <v>GISCAS0010</v>
      </c>
      <c r="BM723" s="6"/>
      <c r="BN723" s="6"/>
      <c r="BO723" s="6" t="str">
        <f>IFERROR(__xludf.DUMMYFUNCTION("""COMPUTED_VALUE"""),"XC_HS_Futbol_M")</f>
        <v>XC_HS_Futbol_M</v>
      </c>
      <c r="BP723" s="6"/>
      <c r="BQ723" s="6" t="str">
        <f>IFERROR(__xludf.DUMMYFUNCTION("""COMPUTED_VALUE"""),"XC_HS_Futbol_M")</f>
        <v>XC_HS_Futbol_M</v>
      </c>
      <c r="BR723" s="6" t="str">
        <f>IFERROR(__xludf.DUMMYFUNCTION("""COMPUTED_VALUE"""),"XC_HS_Futbol_M")</f>
        <v>XC_HS_Futbol_M</v>
      </c>
      <c r="BS723" s="6"/>
      <c r="BT723" s="6" t="str">
        <f>IFERROR(__xludf.DUMMYFUNCTION("""COMPUTED_VALUE"""),"XC_HS_Futbol_M")</f>
        <v>XC_HS_Futbol_M</v>
      </c>
      <c r="BU723" s="6" t="str">
        <f>IFERROR(__xludf.DUMMYFUNCTION("""COMPUTED_VALUE"""),"SI")</f>
        <v>SI</v>
      </c>
      <c r="BV723" s="6" t="str">
        <f>IFERROR(__xludf.DUMMYFUNCTION("""COMPUTED_VALUE"""),"rafael.c2028")</f>
        <v>rafael.c2028</v>
      </c>
      <c r="BW723" s="6"/>
      <c r="BX723" s="6"/>
      <c r="BY723" s="6"/>
      <c r="BZ723" s="6"/>
    </row>
    <row r="724">
      <c r="A724" s="12">
        <f>IFERROR(__xludf.DUMMYFUNCTION("""COMPUTED_VALUE"""),1.092854672E9)</f>
        <v>1092854672</v>
      </c>
      <c r="B724" s="6">
        <f>IFERROR(__xludf.DUMMYFUNCTION("""COMPUTED_VALUE"""),14.0)</f>
        <v>14</v>
      </c>
      <c r="C724" s="6" t="str">
        <f>IFERROR(__xludf.DUMMYFUNCTION("""COMPUTED_VALUE"""),"Juan")</f>
        <v>Juan</v>
      </c>
      <c r="D724" s="6" t="str">
        <f>IFERROR(__xludf.DUMMYFUNCTION("""COMPUTED_VALUE"""),"Pablo")</f>
        <v>Pablo</v>
      </c>
      <c r="E724" s="6" t="str">
        <f>IFERROR(__xludf.DUMMYFUNCTION("""COMPUTED_VALUE"""),"Celades Silva")</f>
        <v>Celades Silva</v>
      </c>
      <c r="F724" s="6" t="str">
        <f>IFERROR(__xludf.DUMMYFUNCTION("""COMPUTED_VALUE"""),"Edificio Monticello Apto 202 - Cra 13 No15Nte - 43 El Nogal")</f>
        <v>Edificio Monticello Apto 202 - Cra 13 No15Nte - 43 El Nogal</v>
      </c>
      <c r="G724" s="12" t="str">
        <f>IFERROR(__xludf.DUMMYFUNCTION("""COMPUTED_VALUE"""),"2010")</f>
        <v>2010</v>
      </c>
      <c r="H724" s="6" t="str">
        <f>IFERROR(__xludf.DUMMYFUNCTION("""COMPUTED_VALUE"""),"Abril")</f>
        <v>Abril</v>
      </c>
      <c r="I724" s="12" t="str">
        <f>IFERROR(__xludf.DUMMYFUNCTION("""COMPUTED_VALUE"""),"2")</f>
        <v>2</v>
      </c>
      <c r="J724" s="6" t="str">
        <f>IFERROR(__xludf.DUMMYFUNCTION("""COMPUTED_VALUE"""),"Armenia")</f>
        <v>Armenia</v>
      </c>
      <c r="K724" s="6" t="str">
        <f>IFERROR(__xludf.DUMMYFUNCTION("""COMPUTED_VALUE"""),"juanpablo.c2028@gi.edu.co")</f>
        <v>juanpablo.c2028@gi.edu.co</v>
      </c>
      <c r="L724" s="6" t="str">
        <f>IFERROR(__xludf.DUMMYFUNCTION("""COMPUTED_VALUE"""),"TI")</f>
        <v>TI</v>
      </c>
      <c r="M724" s="6" t="str">
        <f>IFERROR(__xludf.DUMMYFUNCTION("""COMPUTED_VALUE"""),"Armenia")</f>
        <v>Armenia</v>
      </c>
      <c r="N724" s="6" t="str">
        <f>IFERROR(__xludf.DUMMYFUNCTION("""COMPUTED_VALUE"""),"M")</f>
        <v>M</v>
      </c>
      <c r="O724" s="6" t="str">
        <f>IFERROR(__xludf.DUMMYFUNCTION("""COMPUTED_VALUE"""),"ACTIVE")</f>
        <v>ACTIVE</v>
      </c>
      <c r="P724" s="6"/>
      <c r="Q724" s="6" t="str">
        <f>IFERROR(__xludf.DUMMYFUNCTION("""COMPUTED_VALUE"""),"Armenia")</f>
        <v>Armenia</v>
      </c>
      <c r="R724" s="12" t="str">
        <f>IFERROR(__xludf.DUMMYFUNCTION("""COMPUTED_VALUE"""),"Giyu9am234*")</f>
        <v>Giyu9am234*</v>
      </c>
      <c r="S724" s="6" t="str">
        <f>IFERROR(__xludf.DUMMYFUNCTION("""COMPUTED_VALUE"""),"Celades Silva Juan Pablo")</f>
        <v>Celades Silva Juan Pablo</v>
      </c>
      <c r="T724" s="6" t="str">
        <f>IFERROR(__xludf.DUMMYFUNCTION("""COMPUTED_VALUE"""),"PAULA ANDREA SILVA AMAYA")</f>
        <v>PAULA ANDREA SILVA AMAYA</v>
      </c>
      <c r="U724" s="12" t="str">
        <f>IFERROR(__xludf.DUMMYFUNCTION("""COMPUTED_VALUE"""),"41944222")</f>
        <v>41944222</v>
      </c>
      <c r="V724" s="6">
        <f>IFERROR(__xludf.DUMMYFUNCTION("""COMPUTED_VALUE"""),3.117463959E9)</f>
        <v>3117463959</v>
      </c>
      <c r="W724" s="6" t="str">
        <f>IFERROR(__xludf.DUMMYFUNCTION("""COMPUTED_VALUE"""),"gestionjuridica@hotmail.com")</f>
        <v>gestionjuridica@hotmail.com</v>
      </c>
      <c r="X724" s="12" t="str">
        <f>IFERROR(__xludf.DUMMYFUNCTION("""COMPUTED_VALUE"""),"A+")</f>
        <v>A+</v>
      </c>
      <c r="Y724" s="12" t="str">
        <f>IFERROR(__xludf.DUMMYFUNCTION("""COMPUTED_VALUE"""),"11")</f>
        <v>11</v>
      </c>
      <c r="Z724" s="12">
        <f>IFERROR(__xludf.DUMMYFUNCTION("""COMPUTED_VALUE"""),102940.0)</f>
        <v>102940</v>
      </c>
      <c r="AA724" s="6" t="str">
        <f>IFERROR(__xludf.DUMMYFUNCTION("""COMPUTED_VALUE"""),"SURA")</f>
        <v>SURA</v>
      </c>
      <c r="AB724" s="6" t="str">
        <f>IFERROR(__xludf.DUMMYFUNCTION("""COMPUTED_VALUE"""),"EMI (PLAN PREFERENCIAL EPS SURA)")</f>
        <v>EMI (PLAN PREFERENCIAL EPS SURA)</v>
      </c>
      <c r="AC724" s="6"/>
      <c r="AD724" s="12" t="str">
        <f>IFERROR(__xludf.DUMMYFUNCTION("""COMPUTED_VALUE"""),"11")</f>
        <v>11</v>
      </c>
      <c r="AE724" s="12">
        <f>IFERROR(__xludf.DUMMYFUNCTION("""COMPUTED_VALUE"""),1.345281421E9)</f>
        <v>1345281421</v>
      </c>
      <c r="AF724" s="12" t="str">
        <f>IFERROR(__xludf.DUMMYFUNCTION("""COMPUTED_VALUE"""),"0700251139")</f>
        <v>0700251139</v>
      </c>
      <c r="AG724" s="12" t="str">
        <f>IFERROR(__xludf.DUMMYFUNCTION("""COMPUTED_VALUE"""),"Paula")</f>
        <v>Paula</v>
      </c>
      <c r="AH724" s="12" t="str">
        <f>IFERROR(__xludf.DUMMYFUNCTION("""COMPUTED_VALUE"""),"Andrea")</f>
        <v>Andrea</v>
      </c>
      <c r="AI724" s="6" t="str">
        <f>IFERROR(__xludf.DUMMYFUNCTION("""COMPUTED_VALUE"""),"Silva Amaya")</f>
        <v>Silva Amaya</v>
      </c>
      <c r="AJ724" s="6" t="str">
        <f>IFERROR(__xludf.DUMMYFUNCTION("""COMPUTED_VALUE"""),"gestionjuridica@hotmail.com")</f>
        <v>gestionjuridica@hotmail.com</v>
      </c>
      <c r="AK724" s="6" t="str">
        <f>IFERROR(__xludf.DUMMYFUNCTION("""COMPUTED_VALUE"""),"Abogada")</f>
        <v>Abogada</v>
      </c>
      <c r="AL724" s="6" t="str">
        <f>IFERROR(__xludf.DUMMYFUNCTION("""COMPUTED_VALUE"""),"DIAN")</f>
        <v>DIAN</v>
      </c>
      <c r="AM724" s="12" t="str">
        <f>IFERROR(__xludf.DUMMYFUNCTION("""COMPUTED_VALUE"""),"41944222")</f>
        <v>41944222</v>
      </c>
      <c r="AN724" s="12" t="str">
        <f>IFERROR(__xludf.DUMMYFUNCTION("""COMPUTED_VALUE"""),"3117463959")</f>
        <v>3117463959</v>
      </c>
      <c r="AO724" s="6" t="str">
        <f>IFERROR(__xludf.DUMMYFUNCTION("""COMPUTED_VALUE"""),"Madre")</f>
        <v>Madre</v>
      </c>
      <c r="AP724" s="6" t="str">
        <f>IFERROR(__xludf.DUMMYFUNCTION("""COMPUTED_VALUE"""),"Estudiante(s): Celades Silva")</f>
        <v>Estudiante(s): Celades Silva</v>
      </c>
      <c r="AQ724" s="6" t="str">
        <f>IFERROR(__xludf.DUMMYFUNCTION("""COMPUTED_VALUE"""),"102940*Gi")</f>
        <v>102940*Gi</v>
      </c>
      <c r="AR724" s="6" t="str">
        <f>IFERROR(__xludf.DUMMYFUNCTION("""COMPUTED_VALUE"""),"José")</f>
        <v>José</v>
      </c>
      <c r="AS724" s="6" t="str">
        <f>IFERROR(__xludf.DUMMYFUNCTION("""COMPUTED_VALUE"""),"Fernando")</f>
        <v>Fernando</v>
      </c>
      <c r="AT724" s="6" t="str">
        <f>IFERROR(__xludf.DUMMYFUNCTION("""COMPUTED_VALUE"""),"Celades Hernández")</f>
        <v>Celades Hernández</v>
      </c>
      <c r="AU724" s="6" t="str">
        <f>IFERROR(__xludf.DUMMYFUNCTION("""COMPUTED_VALUE"""),"josefernandocelades@gmail.com")</f>
        <v>josefernandocelades@gmail.com</v>
      </c>
      <c r="AV724" s="6" t="str">
        <f>IFERROR(__xludf.DUMMYFUNCTION("""COMPUTED_VALUE"""),"MÉDICO - ABOGADO")</f>
        <v>MÉDICO - ABOGADO</v>
      </c>
      <c r="AW724" s="6" t="str">
        <f>IFERROR(__xludf.DUMMYFUNCTION("""COMPUTED_VALUE"""),"HOSPITAL SAN JUAN DE DIOS")</f>
        <v>HOSPITAL SAN JUAN DE DIOS</v>
      </c>
      <c r="AX724" s="12" t="str">
        <f>IFERROR(__xludf.DUMMYFUNCTION("""COMPUTED_VALUE"""),"10098597")</f>
        <v>10098597</v>
      </c>
      <c r="AY724" s="12" t="str">
        <f>IFERROR(__xludf.DUMMYFUNCTION("""COMPUTED_VALUE"""),"3117614743")</f>
        <v>3117614743</v>
      </c>
      <c r="AZ724" s="6" t="str">
        <f>IFERROR(__xludf.DUMMYFUNCTION("""COMPUTED_VALUE"""),"Padre")</f>
        <v>Padre</v>
      </c>
      <c r="BA724" s="6"/>
      <c r="BB724" s="6"/>
      <c r="BC724" s="6"/>
      <c r="BD724" s="12" t="str">
        <f>IFERROR(__xludf.DUMMYFUNCTION("""COMPUTED_VALUE"""),"cel0001")</f>
        <v>cel0001</v>
      </c>
      <c r="BE724" s="6"/>
      <c r="BF724" s="6"/>
      <c r="BG724" s="6">
        <f>IFERROR(__xludf.DUMMYFUNCTION("""COMPUTED_VALUE"""),2028.0)</f>
        <v>2028</v>
      </c>
      <c r="BH724" s="15">
        <f>IFERROR(__xludf.DUMMYFUNCTION("""COMPUTED_VALUE"""),46209.963229166664)</f>
        <v>46209.96323</v>
      </c>
      <c r="BI724" s="6">
        <f>IFERROR(__xludf.DUMMYFUNCTION("""COMPUTED_VALUE"""),725.0)</f>
        <v>725</v>
      </c>
      <c r="BJ724" s="6"/>
      <c r="BK724" s="6"/>
      <c r="BL724" s="6" t="str">
        <f>IFERROR(__xludf.DUMMYFUNCTION("""COMPUTED_VALUE"""),"GISCEL0001")</f>
        <v>GISCEL0001</v>
      </c>
      <c r="BM724" s="6"/>
      <c r="BN724" s="6"/>
      <c r="BO724" s="6" t="str">
        <f>IFERROR(__xludf.DUMMYFUNCTION("""COMPUTED_VALUE"""),"XC_SEC_ProgRobot")</f>
        <v>XC_SEC_ProgRobot</v>
      </c>
      <c r="BP724" s="6"/>
      <c r="BQ724" s="6"/>
      <c r="BR724" s="6"/>
      <c r="BS724" s="6"/>
      <c r="BT724" s="6"/>
      <c r="BU724" s="6" t="str">
        <f>IFERROR(__xludf.DUMMYFUNCTION("""COMPUTED_VALUE"""),"SI")</f>
        <v>SI</v>
      </c>
      <c r="BV724" s="6" t="str">
        <f>IFERROR(__xludf.DUMMYFUNCTION("""COMPUTED_VALUE"""),"juanpablo.c2028")</f>
        <v>juanpablo.c2028</v>
      </c>
      <c r="BW724" s="6"/>
      <c r="BX724" s="6"/>
      <c r="BY724" s="6"/>
      <c r="BZ724" s="6"/>
    </row>
    <row r="725">
      <c r="A725" s="12">
        <f>IFERROR(__xludf.DUMMYFUNCTION("""COMPUTED_VALUE"""),1.092460338E9)</f>
        <v>1092460338</v>
      </c>
      <c r="B725" s="6">
        <f>IFERROR(__xludf.DUMMYFUNCTION("""COMPUTED_VALUE"""),15.0)</f>
        <v>15</v>
      </c>
      <c r="C725" s="6" t="str">
        <f>IFERROR(__xludf.DUMMYFUNCTION("""COMPUTED_VALUE"""),"Jacobo")</f>
        <v>Jacobo</v>
      </c>
      <c r="D725" s="6"/>
      <c r="E725" s="6" t="str">
        <f>IFERROR(__xludf.DUMMYFUNCTION("""COMPUTED_VALUE"""),"Correa Echeverri")</f>
        <v>Correa Echeverri</v>
      </c>
      <c r="F725" s="6" t="str">
        <f>IFERROR(__xludf.DUMMYFUNCTION("""COMPUTED_VALUE"""),"Cra 10 No12Nte - 31 Apto 1301 - La Castellana")</f>
        <v>Cra 10 No12Nte - 31 Apto 1301 - La Castellana</v>
      </c>
      <c r="G725" s="6" t="str">
        <f>IFERROR(__xludf.DUMMYFUNCTION("""COMPUTED_VALUE"""),"2009")</f>
        <v>2009</v>
      </c>
      <c r="H725" s="6" t="str">
        <f>IFERROR(__xludf.DUMMYFUNCTION("""COMPUTED_VALUE"""),"Noviembre")</f>
        <v>Noviembre</v>
      </c>
      <c r="I725" s="6" t="str">
        <f>IFERROR(__xludf.DUMMYFUNCTION("""COMPUTED_VALUE"""),"9")</f>
        <v>9</v>
      </c>
      <c r="J725" s="6" t="str">
        <f>IFERROR(__xludf.DUMMYFUNCTION("""COMPUTED_VALUE"""),"Armenia")</f>
        <v>Armenia</v>
      </c>
      <c r="K725" s="6" t="str">
        <f>IFERROR(__xludf.DUMMYFUNCTION("""COMPUTED_VALUE"""),"jacobo.c2028@gi.edu.co")</f>
        <v>jacobo.c2028@gi.edu.co</v>
      </c>
      <c r="L725" s="6" t="str">
        <f>IFERROR(__xludf.DUMMYFUNCTION("""COMPUTED_VALUE"""),"TI")</f>
        <v>TI</v>
      </c>
      <c r="M725" s="6" t="str">
        <f>IFERROR(__xludf.DUMMYFUNCTION("""COMPUTED_VALUE"""),"Armenia")</f>
        <v>Armenia</v>
      </c>
      <c r="N725" s="6" t="str">
        <f>IFERROR(__xludf.DUMMYFUNCTION("""COMPUTED_VALUE"""),"M")</f>
        <v>M</v>
      </c>
      <c r="O725" s="6" t="str">
        <f>IFERROR(__xludf.DUMMYFUNCTION("""COMPUTED_VALUE"""),"INACTIVE")</f>
        <v>INACTIVE</v>
      </c>
      <c r="P725" s="6"/>
      <c r="Q725" s="6" t="str">
        <f>IFERROR(__xludf.DUMMYFUNCTION("""COMPUTED_VALUE"""),"Armenia")</f>
        <v>Armenia</v>
      </c>
      <c r="R725" s="12" t="str">
        <f>IFERROR(__xludf.DUMMYFUNCTION("""COMPUTED_VALUE"""),"Gi18981779*")</f>
        <v>Gi18981779*</v>
      </c>
      <c r="S725" s="6" t="str">
        <f>IFERROR(__xludf.DUMMYFUNCTION("""COMPUTED_VALUE"""),"Correa Echeverri Jacobo ")</f>
        <v>Correa Echeverri Jacobo </v>
      </c>
      <c r="T725" s="6" t="str">
        <f>IFERROR(__xludf.DUMMYFUNCTION("""COMPUTED_VALUE"""),"ANA MARÍA ECHEVERRI HERRÁN")</f>
        <v>ANA MARÍA ECHEVERRI HERRÁN</v>
      </c>
      <c r="U725" s="12" t="str">
        <f>IFERROR(__xludf.DUMMYFUNCTION("""COMPUTED_VALUE"""),"41935998")</f>
        <v>41935998</v>
      </c>
      <c r="V725" s="6">
        <f>IFERROR(__xludf.DUMMYFUNCTION("""COMPUTED_VALUE"""),3.105135948E9)</f>
        <v>3105135948</v>
      </c>
      <c r="W725" s="6" t="str">
        <f>IFERROR(__xludf.DUMMYFUNCTION("""COMPUTED_VALUE"""),"nanaeche@hotmail.com")</f>
        <v>nanaeche@hotmail.com</v>
      </c>
      <c r="X725" s="12" t="str">
        <f>IFERROR(__xludf.DUMMYFUNCTION("""COMPUTED_VALUE"""),"A+")</f>
        <v>A+</v>
      </c>
      <c r="Y725" s="12" t="str">
        <f>IFERROR(__xludf.DUMMYFUNCTION("""COMPUTED_VALUE"""),"11")</f>
        <v>11</v>
      </c>
      <c r="Z725" s="12">
        <f>IFERROR(__xludf.DUMMYFUNCTION("""COMPUTED_VALUE"""),102695.0)</f>
        <v>102695</v>
      </c>
      <c r="AA725" s="6" t="str">
        <f>IFERROR(__xludf.DUMMYFUNCTION("""COMPUTED_VALUE"""),"SURA")</f>
        <v>SURA</v>
      </c>
      <c r="AB725" s="6" t="str">
        <f>IFERROR(__xludf.DUMMYFUNCTION("""COMPUTED_VALUE"""),"EMI")</f>
        <v>EMI</v>
      </c>
      <c r="AC725" s="6"/>
      <c r="AD725" s="12" t="str">
        <f>IFERROR(__xludf.DUMMYFUNCTION("""COMPUTED_VALUE"""),"11")</f>
        <v>11</v>
      </c>
      <c r="AE725" s="12">
        <f>IFERROR(__xludf.DUMMYFUNCTION("""COMPUTED_VALUE"""),1.345281354E9)</f>
        <v>1345281354</v>
      </c>
      <c r="AF725" s="12" t="str">
        <f>IFERROR(__xludf.DUMMYFUNCTION("""COMPUTED_VALUE"""),"0687722227")</f>
        <v>0687722227</v>
      </c>
      <c r="AG725" s="12" t="str">
        <f>IFERROR(__xludf.DUMMYFUNCTION("""COMPUTED_VALUE"""),"Ana")</f>
        <v>Ana</v>
      </c>
      <c r="AH725" s="12" t="str">
        <f>IFERROR(__xludf.DUMMYFUNCTION("""COMPUTED_VALUE"""),"María")</f>
        <v>María</v>
      </c>
      <c r="AI725" s="6" t="str">
        <f>IFERROR(__xludf.DUMMYFUNCTION("""COMPUTED_VALUE"""),"Echeverri Herrán")</f>
        <v>Echeverri Herrán</v>
      </c>
      <c r="AJ725" s="6" t="str">
        <f>IFERROR(__xludf.DUMMYFUNCTION("""COMPUTED_VALUE"""),"nanaeche@hotmail.com")</f>
        <v>nanaeche@hotmail.com</v>
      </c>
      <c r="AK725" s="6" t="str">
        <f>IFERROR(__xludf.DUMMYFUNCTION("""COMPUTED_VALUE"""),"Administracion")</f>
        <v>Administracion</v>
      </c>
      <c r="AL725" s="6" t="str">
        <f>IFERROR(__xludf.DUMMYFUNCTION("""COMPUTED_VALUE"""),"Optimismo SAS")</f>
        <v>Optimismo SAS</v>
      </c>
      <c r="AM725" s="12" t="str">
        <f>IFERROR(__xludf.DUMMYFUNCTION("""COMPUTED_VALUE"""),"41935998")</f>
        <v>41935998</v>
      </c>
      <c r="AN725" s="12" t="str">
        <f>IFERROR(__xludf.DUMMYFUNCTION("""COMPUTED_VALUE"""),"3105135948")</f>
        <v>3105135948</v>
      </c>
      <c r="AO725" s="6" t="str">
        <f>IFERROR(__xludf.DUMMYFUNCTION("""COMPUTED_VALUE"""),"Madre")</f>
        <v>Madre</v>
      </c>
      <c r="AP725" s="6" t="str">
        <f>IFERROR(__xludf.DUMMYFUNCTION("""COMPUTED_VALUE"""),"Estudiante(s): Correa Echeverri")</f>
        <v>Estudiante(s): Correa Echeverri</v>
      </c>
      <c r="AQ725" s="6" t="str">
        <f>IFERROR(__xludf.DUMMYFUNCTION("""COMPUTED_VALUE"""),"102136*Gi")</f>
        <v>102136*Gi</v>
      </c>
      <c r="AR725" s="6" t="str">
        <f>IFERROR(__xludf.DUMMYFUNCTION("""COMPUTED_VALUE"""),"David")</f>
        <v>David</v>
      </c>
      <c r="AS725" s="6" t="str">
        <f>IFERROR(__xludf.DUMMYFUNCTION("""COMPUTED_VALUE"""),"Esteban")</f>
        <v>Esteban</v>
      </c>
      <c r="AT725" s="6" t="str">
        <f>IFERROR(__xludf.DUMMYFUNCTION("""COMPUTED_VALUE"""),"Correa Restrepo")</f>
        <v>Correa Restrepo</v>
      </c>
      <c r="AU725" s="6" t="str">
        <f>IFERROR(__xludf.DUMMYFUNCTION("""COMPUTED_VALUE"""),"davidcorrea@hotmail.com")</f>
        <v>davidcorrea@hotmail.com</v>
      </c>
      <c r="AV725" s="6" t="str">
        <f>IFERROR(__xludf.DUMMYFUNCTION("""COMPUTED_VALUE"""),"Administración")</f>
        <v>Administración</v>
      </c>
      <c r="AW725" s="6" t="str">
        <f>IFERROR(__xludf.DUMMYFUNCTION("""COMPUTED_VALUE"""),"CARBONIA SA")</f>
        <v>CARBONIA SA</v>
      </c>
      <c r="AX725" s="12" t="str">
        <f>IFERROR(__xludf.DUMMYFUNCTION("""COMPUTED_VALUE"""),"71786672")</f>
        <v>71786672</v>
      </c>
      <c r="AY725" s="12" t="str">
        <f>IFERROR(__xludf.DUMMYFUNCTION("""COMPUTED_VALUE"""),"3103895088")</f>
        <v>3103895088</v>
      </c>
      <c r="AZ725" s="6" t="str">
        <f>IFERROR(__xludf.DUMMYFUNCTION("""COMPUTED_VALUE"""),"Padre")</f>
        <v>Padre</v>
      </c>
      <c r="BA725" s="6"/>
      <c r="BB725" s="6"/>
      <c r="BC725" s="6"/>
      <c r="BD725" s="12" t="str">
        <f>IFERROR(__xludf.DUMMYFUNCTION("""COMPUTED_VALUE"""),"cor0002")</f>
        <v>cor0002</v>
      </c>
      <c r="BE725" s="6" t="str">
        <f>IFERROR(__xludf.DUMMYFUNCTION("""COMPUTED_VALUE"""),"FALTAN FIRMAS")</f>
        <v>FALTAN FIRMAS</v>
      </c>
      <c r="BF725" s="12" t="str">
        <f>IFERROR(__xludf.DUMMYFUNCTION("""COMPUTED_VALUE"""),"INTERCAMBIO")</f>
        <v>INTERCAMBIO</v>
      </c>
      <c r="BG725" s="6">
        <f>IFERROR(__xludf.DUMMYFUNCTION("""COMPUTED_VALUE"""),2028.0)</f>
        <v>2028</v>
      </c>
      <c r="BH725" s="15">
        <f>IFERROR(__xludf.DUMMYFUNCTION("""COMPUTED_VALUE"""),46219.5171412037)</f>
        <v>46219.51714</v>
      </c>
      <c r="BI725" s="6">
        <f>IFERROR(__xludf.DUMMYFUNCTION("""COMPUTED_VALUE"""),726.0)</f>
        <v>726</v>
      </c>
      <c r="BJ725" s="6"/>
      <c r="BK725" s="6"/>
      <c r="BL725" s="6" t="str">
        <f>IFERROR(__xludf.DUMMYFUNCTION("""COMPUTED_VALUE"""),"GISCOR0002")</f>
        <v>GISCOR0002</v>
      </c>
      <c r="BM725" s="6"/>
      <c r="BN725" s="6"/>
      <c r="BO725" s="6"/>
      <c r="BP725" s="6"/>
      <c r="BQ725" s="6"/>
      <c r="BR725" s="6"/>
      <c r="BS725" s="6"/>
      <c r="BT725" s="6"/>
      <c r="BU725" s="6" t="str">
        <f>IFERROR(__xludf.DUMMYFUNCTION("""COMPUTED_VALUE"""),"SI")</f>
        <v>SI</v>
      </c>
      <c r="BV725" s="6" t="str">
        <f>IFERROR(__xludf.DUMMYFUNCTION("""COMPUTED_VALUE"""),"jacobo.c2028")</f>
        <v>jacobo.c2028</v>
      </c>
      <c r="BW725" s="6"/>
      <c r="BX725" s="6"/>
      <c r="BY725" s="6"/>
      <c r="BZ725" s="6"/>
    </row>
    <row r="726">
      <c r="A726" s="12">
        <f>IFERROR(__xludf.DUMMYFUNCTION("""COMPUTED_VALUE"""),1.027283669E9)</f>
        <v>1027283669</v>
      </c>
      <c r="B726" s="6">
        <f>IFERROR(__xludf.DUMMYFUNCTION("""COMPUTED_VALUE"""),16.0)</f>
        <v>16</v>
      </c>
      <c r="C726" s="6" t="str">
        <f>IFERROR(__xludf.DUMMYFUNCTION("""COMPUTED_VALUE"""),"Manuela")</f>
        <v>Manuela</v>
      </c>
      <c r="D726" s="6"/>
      <c r="E726" s="6" t="str">
        <f>IFERROR(__xludf.DUMMYFUNCTION("""COMPUTED_VALUE"""),"Correal Varón")</f>
        <v>Correal Varón</v>
      </c>
      <c r="F726" s="6" t="str">
        <f>IFERROR(__xludf.DUMMYFUNCTION("""COMPUTED_VALUE"""),"Conjunto Cantabria Manzana Q Casa 08 - Calle 6 No18 - 22 Circasia")</f>
        <v>Conjunto Cantabria Manzana Q Casa 08 - Calle 6 No18 - 22 Circasia</v>
      </c>
      <c r="G726" s="12">
        <f>IFERROR(__xludf.DUMMYFUNCTION("""COMPUTED_VALUE"""),2009.0)</f>
        <v>2009</v>
      </c>
      <c r="H726" s="6" t="str">
        <f>IFERROR(__xludf.DUMMYFUNCTION("""COMPUTED_VALUE"""),"Agosto")</f>
        <v>Agosto</v>
      </c>
      <c r="I726" s="12">
        <f>IFERROR(__xludf.DUMMYFUNCTION("""COMPUTED_VALUE"""),17.0)</f>
        <v>17</v>
      </c>
      <c r="J726" s="6" t="str">
        <f>IFERROR(__xludf.DUMMYFUNCTION("""COMPUTED_VALUE"""),"Armenia")</f>
        <v>Armenia</v>
      </c>
      <c r="K726" s="6" t="str">
        <f>IFERROR(__xludf.DUMMYFUNCTION("""COMPUTED_VALUE"""),"manuela.c2028@gi.edu.co")</f>
        <v>manuela.c2028@gi.edu.co</v>
      </c>
      <c r="L726" s="6" t="str">
        <f>IFERROR(__xludf.DUMMYFUNCTION("""COMPUTED_VALUE"""),"TI")</f>
        <v>TI</v>
      </c>
      <c r="M726" s="6" t="str">
        <f>IFERROR(__xludf.DUMMYFUNCTION("""COMPUTED_VALUE"""),"Bogotá D.C.")</f>
        <v>Bogotá D.C.</v>
      </c>
      <c r="N726" s="6" t="str">
        <f>IFERROR(__xludf.DUMMYFUNCTION("""COMPUTED_VALUE"""),"F")</f>
        <v>F</v>
      </c>
      <c r="O726" s="6" t="str">
        <f>IFERROR(__xludf.DUMMYFUNCTION("""COMPUTED_VALUE"""),"ACTIVE")</f>
        <v>ACTIVE</v>
      </c>
      <c r="P726" s="6"/>
      <c r="Q726" s="6" t="str">
        <f>IFERROR(__xludf.DUMMYFUNCTION("""COMPUTED_VALUE"""),"Armenia")</f>
        <v>Armenia</v>
      </c>
      <c r="R726" s="12" t="str">
        <f>IFERROR(__xludf.DUMMYFUNCTION("""COMPUTED_VALUE"""),"Gi5hr8yu4*")</f>
        <v>Gi5hr8yu4*</v>
      </c>
      <c r="S726" s="6" t="str">
        <f>IFERROR(__xludf.DUMMYFUNCTION("""COMPUTED_VALUE"""),"Correal Varón Manuela ")</f>
        <v>Correal Varón Manuela </v>
      </c>
      <c r="T726" s="6" t="str">
        <f>IFERROR(__xludf.DUMMYFUNCTION("""COMPUTED_VALUE"""),"IVAN DARIO CORREAL GOMEZ")</f>
        <v>IVAN DARIO CORREAL GOMEZ</v>
      </c>
      <c r="U726" s="12" t="str">
        <f>IFERROR(__xludf.DUMMYFUNCTION("""COMPUTED_VALUE"""),"79783143")</f>
        <v>79783143</v>
      </c>
      <c r="V726" s="6">
        <f>IFERROR(__xludf.DUMMYFUNCTION("""COMPUTED_VALUE"""),3.143617654E9)</f>
        <v>3143617654</v>
      </c>
      <c r="W726" s="6" t="str">
        <f>IFERROR(__xludf.DUMMYFUNCTION("""COMPUTED_VALUE"""),"ivancorreal@yahoo.com")</f>
        <v>ivancorreal@yahoo.com</v>
      </c>
      <c r="X726" s="12" t="str">
        <f>IFERROR(__xludf.DUMMYFUNCTION("""COMPUTED_VALUE"""),"O+")</f>
        <v>O+</v>
      </c>
      <c r="Y726" s="12" t="str">
        <f>IFERROR(__xludf.DUMMYFUNCTION("""COMPUTED_VALUE"""),"11")</f>
        <v>11</v>
      </c>
      <c r="Z726" s="12">
        <f>IFERROR(__xludf.DUMMYFUNCTION("""COMPUTED_VALUE"""),120472.0)</f>
        <v>120472</v>
      </c>
      <c r="AA726" s="6" t="str">
        <f>IFERROR(__xludf.DUMMYFUNCTION("""COMPUTED_VALUE"""),"SANITAS")</f>
        <v>SANITAS</v>
      </c>
      <c r="AB726" s="6"/>
      <c r="AC726" s="12" t="str">
        <f>IFERROR(__xludf.DUMMYFUNCTION("""COMPUTED_VALUE"""),"Rinitis")</f>
        <v>Rinitis</v>
      </c>
      <c r="AD726" s="12" t="str">
        <f>IFERROR(__xludf.DUMMYFUNCTION("""COMPUTED_VALUE"""),"11")</f>
        <v>11</v>
      </c>
      <c r="AE726" s="12" t="str">
        <f>IFERROR(__xludf.DUMMYFUNCTION("""COMPUTED_VALUE"""),"1345282462")</f>
        <v>1345282462</v>
      </c>
      <c r="AF726" s="12" t="str">
        <f>IFERROR(__xludf.DUMMYFUNCTION("""COMPUTED_VALUE"""),"0270539315")</f>
        <v>0270539315</v>
      </c>
      <c r="AG726" s="12" t="str">
        <f>IFERROR(__xludf.DUMMYFUNCTION("""COMPUTED_VALUE"""),"María")</f>
        <v>María</v>
      </c>
      <c r="AH726" s="12" t="str">
        <f>IFERROR(__xludf.DUMMYFUNCTION("""COMPUTED_VALUE"""),"Fernanda")</f>
        <v>Fernanda</v>
      </c>
      <c r="AI726" s="6" t="str">
        <f>IFERROR(__xludf.DUMMYFUNCTION("""COMPUTED_VALUE"""),"Varón Laserna")</f>
        <v>Varón Laserna</v>
      </c>
      <c r="AJ726" s="6" t="str">
        <f>IFERROR(__xludf.DUMMYFUNCTION("""COMPUTED_VALUE"""),"maria.varon@gmail.com")</f>
        <v>maria.varon@gmail.com</v>
      </c>
      <c r="AK726" s="6" t="str">
        <f>IFERROR(__xludf.DUMMYFUNCTION("""COMPUTED_VALUE"""),"comunicadora social")</f>
        <v>comunicadora social</v>
      </c>
      <c r="AL726" s="6" t="str">
        <f>IFERROR(__xludf.DUMMYFUNCTION("""COMPUTED_VALUE"""),"MyBambu")</f>
        <v>MyBambu</v>
      </c>
      <c r="AM726" s="12" t="str">
        <f>IFERROR(__xludf.DUMMYFUNCTION("""COMPUTED_VALUE"""),"41940755")</f>
        <v>41940755</v>
      </c>
      <c r="AN726" s="12">
        <f>IFERROR(__xludf.DUMMYFUNCTION("""COMPUTED_VALUE"""),3.158670068E9)</f>
        <v>3158670068</v>
      </c>
      <c r="AO726" s="6" t="str">
        <f>IFERROR(__xludf.DUMMYFUNCTION("""COMPUTED_VALUE"""),"Madre")</f>
        <v>Madre</v>
      </c>
      <c r="AP726" s="6" t="str">
        <f>IFERROR(__xludf.DUMMYFUNCTION("""COMPUTED_VALUE"""),"Estudiante(s): Correal Varón")</f>
        <v>Estudiante(s): Correal Varón</v>
      </c>
      <c r="AQ726" s="6" t="str">
        <f>IFERROR(__xludf.DUMMYFUNCTION("""COMPUTED_VALUE"""),"120472*Gi")</f>
        <v>120472*Gi</v>
      </c>
      <c r="AR726" s="6" t="str">
        <f>IFERROR(__xludf.DUMMYFUNCTION("""COMPUTED_VALUE"""),"Iván")</f>
        <v>Iván</v>
      </c>
      <c r="AS726" s="6" t="str">
        <f>IFERROR(__xludf.DUMMYFUNCTION("""COMPUTED_VALUE"""),"Darío")</f>
        <v>Darío</v>
      </c>
      <c r="AT726" s="6" t="str">
        <f>IFERROR(__xludf.DUMMYFUNCTION("""COMPUTED_VALUE"""),"Correal Gómez")</f>
        <v>Correal Gómez</v>
      </c>
      <c r="AU726" s="6" t="str">
        <f>IFERROR(__xludf.DUMMYFUNCTION("""COMPUTED_VALUE"""),"ivancorreal@yahoo.com")</f>
        <v>ivancorreal@yahoo.com</v>
      </c>
      <c r="AV726" s="6" t="str">
        <f>IFERROR(__xludf.DUMMYFUNCTION("""COMPUTED_VALUE"""),"comunicador social")</f>
        <v>comunicador social</v>
      </c>
      <c r="AW726" s="6" t="str">
        <f>IFERROR(__xludf.DUMMYFUNCTION("""COMPUTED_VALUE"""),"RCN RADIO")</f>
        <v>RCN RADIO</v>
      </c>
      <c r="AX726" s="12" t="str">
        <f>IFERROR(__xludf.DUMMYFUNCTION("""COMPUTED_VALUE"""),"79783143")</f>
        <v>79783143</v>
      </c>
      <c r="AY726" s="12">
        <f>IFERROR(__xludf.DUMMYFUNCTION("""COMPUTED_VALUE"""),3.143617654E9)</f>
        <v>3143617654</v>
      </c>
      <c r="AZ726" s="6" t="str">
        <f>IFERROR(__xludf.DUMMYFUNCTION("""COMPUTED_VALUE"""),"Padre")</f>
        <v>Padre</v>
      </c>
      <c r="BA726" s="6"/>
      <c r="BB726" s="6"/>
      <c r="BC726" s="6"/>
      <c r="BD726" s="12" t="str">
        <f>IFERROR(__xludf.DUMMYFUNCTION("""COMPUTED_VALUE"""),"cor0016")</f>
        <v>cor0016</v>
      </c>
      <c r="BE726" s="6"/>
      <c r="BF726" s="6"/>
      <c r="BG726" s="6">
        <f>IFERROR(__xludf.DUMMYFUNCTION("""COMPUTED_VALUE"""),2028.0)</f>
        <v>2028</v>
      </c>
      <c r="BH726" s="15">
        <f>IFERROR(__xludf.DUMMYFUNCTION("""COMPUTED_VALUE"""),46216.86340277778)</f>
        <v>46216.8634</v>
      </c>
      <c r="BI726" s="6">
        <f>IFERROR(__xludf.DUMMYFUNCTION("""COMPUTED_VALUE"""),727.0)</f>
        <v>727</v>
      </c>
      <c r="BJ726" s="6"/>
      <c r="BK726" s="6"/>
      <c r="BL726" s="6" t="str">
        <f>IFERROR(__xludf.DUMMYFUNCTION("""COMPUTED_VALUE"""),"GISCOR0016")</f>
        <v>GISCOR0016</v>
      </c>
      <c r="BM726" s="6"/>
      <c r="BN726" s="6"/>
      <c r="BO726" s="6"/>
      <c r="BP726" s="6"/>
      <c r="BQ726" s="6"/>
      <c r="BR726" s="6"/>
      <c r="BS726" s="6"/>
      <c r="BT726" s="6"/>
      <c r="BU726" s="6" t="str">
        <f>IFERROR(__xludf.DUMMYFUNCTION("""COMPUTED_VALUE"""),"SI")</f>
        <v>SI</v>
      </c>
      <c r="BV726" s="6" t="str">
        <f>IFERROR(__xludf.DUMMYFUNCTION("""COMPUTED_VALUE"""),"manuela.c2028")</f>
        <v>manuela.c2028</v>
      </c>
      <c r="BW726" s="6"/>
      <c r="BX726" s="6"/>
      <c r="BY726" s="6"/>
      <c r="BZ726" s="6"/>
    </row>
    <row r="727">
      <c r="A727" s="12">
        <f>IFERROR(__xludf.DUMMYFUNCTION("""COMPUTED_VALUE"""),1.090276445E9)</f>
        <v>1090276445</v>
      </c>
      <c r="B727" s="6">
        <f>IFERROR(__xludf.DUMMYFUNCTION("""COMPUTED_VALUE"""),17.0)</f>
        <v>17</v>
      </c>
      <c r="C727" s="6" t="str">
        <f>IFERROR(__xludf.DUMMYFUNCTION("""COMPUTED_VALUE"""),"Jacobo")</f>
        <v>Jacobo</v>
      </c>
      <c r="D727" s="6"/>
      <c r="E727" s="6" t="str">
        <f>IFERROR(__xludf.DUMMYFUNCTION("""COMPUTED_VALUE"""),"Cuadrado Madrid")</f>
        <v>Cuadrado Madrid</v>
      </c>
      <c r="F727" s="6" t="str">
        <f>IFERROR(__xludf.DUMMYFUNCTION("""COMPUTED_VALUE"""),"Hacienda Cortijo Imperial Parque Residencial Los Cedros Torre 2 Apto 1405 - Calle 49Nte No14 - 09")</f>
        <v>Hacienda Cortijo Imperial Parque Residencial Los Cedros Torre 2 Apto 1405 - Calle 49Nte No14 - 09</v>
      </c>
      <c r="G727" s="12" t="str">
        <f>IFERROR(__xludf.DUMMYFUNCTION("""COMPUTED_VALUE"""),"2010")</f>
        <v>2010</v>
      </c>
      <c r="H727" s="6" t="str">
        <f>IFERROR(__xludf.DUMMYFUNCTION("""COMPUTED_VALUE"""),"Febrero")</f>
        <v>Febrero</v>
      </c>
      <c r="I727" s="12" t="str">
        <f>IFERROR(__xludf.DUMMYFUNCTION("""COMPUTED_VALUE"""),"23")</f>
        <v>23</v>
      </c>
      <c r="J727" s="6" t="str">
        <f>IFERROR(__xludf.DUMMYFUNCTION("""COMPUTED_VALUE"""),"Armenia")</f>
        <v>Armenia</v>
      </c>
      <c r="K727" s="6" t="str">
        <f>IFERROR(__xludf.DUMMYFUNCTION("""COMPUTED_VALUE"""),"jacobo.cm2028@gi.edu.co")</f>
        <v>jacobo.cm2028@gi.edu.co</v>
      </c>
      <c r="L727" s="6" t="str">
        <f>IFERROR(__xludf.DUMMYFUNCTION("""COMPUTED_VALUE"""),"TI")</f>
        <v>TI</v>
      </c>
      <c r="M727" s="6" t="str">
        <f>IFERROR(__xludf.DUMMYFUNCTION("""COMPUTED_VALUE"""),"Armenia")</f>
        <v>Armenia</v>
      </c>
      <c r="N727" s="6" t="str">
        <f>IFERROR(__xludf.DUMMYFUNCTION("""COMPUTED_VALUE"""),"M")</f>
        <v>M</v>
      </c>
      <c r="O727" s="6" t="str">
        <f>IFERROR(__xludf.DUMMYFUNCTION("""COMPUTED_VALUE"""),"ACTIVE")</f>
        <v>ACTIVE</v>
      </c>
      <c r="P727" s="6"/>
      <c r="Q727" s="6" t="str">
        <f>IFERROR(__xludf.DUMMYFUNCTION("""COMPUTED_VALUE"""),"Armenia")</f>
        <v>Armenia</v>
      </c>
      <c r="R727" s="6" t="str">
        <f>IFERROR(__xludf.DUMMYFUNCTION("""COMPUTED_VALUE"""),"Gi753r91r9*")</f>
        <v>Gi753r91r9*</v>
      </c>
      <c r="S727" s="6" t="str">
        <f>IFERROR(__xludf.DUMMYFUNCTION("""COMPUTED_VALUE"""),"Cuadrado Madrid Jacobo ")</f>
        <v>Cuadrado Madrid Jacobo </v>
      </c>
      <c r="T727" s="6" t="str">
        <f>IFERROR(__xludf.DUMMYFUNCTION("""COMPUTED_VALUE"""),"ÁNGELA PIEDAD MADRID CATAÑO")</f>
        <v>ÁNGELA PIEDAD MADRID CATAÑO</v>
      </c>
      <c r="U727" s="12" t="str">
        <f>IFERROR(__xludf.DUMMYFUNCTION("""COMPUTED_VALUE"""),"41925929")</f>
        <v>41925929</v>
      </c>
      <c r="V727" s="6">
        <f>IFERROR(__xludf.DUMMYFUNCTION("""COMPUTED_VALUE"""),3.006089533E9)</f>
        <v>3006089533</v>
      </c>
      <c r="W727" s="6" t="str">
        <f>IFERROR(__xludf.DUMMYFUNCTION("""COMPUTED_VALUE"""),"ampimaca@hotmail.com")</f>
        <v>ampimaca@hotmail.com</v>
      </c>
      <c r="X727" s="12" t="str">
        <f>IFERROR(__xludf.DUMMYFUNCTION("""COMPUTED_VALUE"""),"A+")</f>
        <v>A+</v>
      </c>
      <c r="Y727" s="12" t="str">
        <f>IFERROR(__xludf.DUMMYFUNCTION("""COMPUTED_VALUE"""),"11")</f>
        <v>11</v>
      </c>
      <c r="Z727" s="12">
        <f>IFERROR(__xludf.DUMMYFUNCTION("""COMPUTED_VALUE"""),102876.0)</f>
        <v>102876</v>
      </c>
      <c r="AA727" s="6" t="str">
        <f>IFERROR(__xludf.DUMMYFUNCTION("""COMPUTED_VALUE"""),"SANITAS")</f>
        <v>SANITAS</v>
      </c>
      <c r="AB727" s="6"/>
      <c r="AC727" s="12" t="str">
        <f>IFERROR(__xludf.DUMMYFUNCTION("""COMPUTED_VALUE"""),"polvo, ácaros, frío y caballos")</f>
        <v>polvo, ácaros, frío y caballos</v>
      </c>
      <c r="AD727" s="12" t="str">
        <f>IFERROR(__xludf.DUMMYFUNCTION("""COMPUTED_VALUE"""),"11")</f>
        <v>11</v>
      </c>
      <c r="AE727" s="12">
        <f>IFERROR(__xludf.DUMMYFUNCTION("""COMPUTED_VALUE"""),1.345281411E9)</f>
        <v>1345281411</v>
      </c>
      <c r="AF727" s="12" t="str">
        <f>IFERROR(__xludf.DUMMYFUNCTION("""COMPUTED_VALUE"""),"0689538931")</f>
        <v>0689538931</v>
      </c>
      <c r="AG727" s="12" t="str">
        <f>IFERROR(__xludf.DUMMYFUNCTION("""COMPUTED_VALUE"""),"Ángela")</f>
        <v>Ángela</v>
      </c>
      <c r="AH727" s="12" t="str">
        <f>IFERROR(__xludf.DUMMYFUNCTION("""COMPUTED_VALUE"""),"Piedad")</f>
        <v>Piedad</v>
      </c>
      <c r="AI727" s="6" t="str">
        <f>IFERROR(__xludf.DUMMYFUNCTION("""COMPUTED_VALUE"""),"Madrid Cataño")</f>
        <v>Madrid Cataño</v>
      </c>
      <c r="AJ727" s="6" t="str">
        <f>IFERROR(__xludf.DUMMYFUNCTION("""COMPUTED_VALUE"""),"ampimaca@hotmail.com")</f>
        <v>ampimaca@hotmail.com</v>
      </c>
      <c r="AK727" s="6" t="str">
        <f>IFERROR(__xludf.DUMMYFUNCTION("""COMPUTED_VALUE"""),"ABOGADA")</f>
        <v>ABOGADA</v>
      </c>
      <c r="AL727" s="6" t="str">
        <f>IFERROR(__xludf.DUMMYFUNCTION("""COMPUTED_VALUE"""),"FISCALIA GENERAL DE LA NACIÓN")</f>
        <v>FISCALIA GENERAL DE LA NACIÓN</v>
      </c>
      <c r="AM727" s="12" t="str">
        <f>IFERROR(__xludf.DUMMYFUNCTION("""COMPUTED_VALUE"""),"41925929")</f>
        <v>41925929</v>
      </c>
      <c r="AN727" s="12" t="str">
        <f>IFERROR(__xludf.DUMMYFUNCTION("""COMPUTED_VALUE"""),"3006089533")</f>
        <v>3006089533</v>
      </c>
      <c r="AO727" s="6" t="str">
        <f>IFERROR(__xludf.DUMMYFUNCTION("""COMPUTED_VALUE"""),"Madre")</f>
        <v>Madre</v>
      </c>
      <c r="AP727" s="6" t="str">
        <f>IFERROR(__xludf.DUMMYFUNCTION("""COMPUTED_VALUE"""),"Estudiante(s): Cuadrado Madrid")</f>
        <v>Estudiante(s): Cuadrado Madrid</v>
      </c>
      <c r="AQ727" s="6" t="str">
        <f>IFERROR(__xludf.DUMMYFUNCTION("""COMPUTED_VALUE"""),"102876*Gi")</f>
        <v>102876*Gi</v>
      </c>
      <c r="AR727" s="6" t="str">
        <f>IFERROR(__xludf.DUMMYFUNCTION("""COMPUTED_VALUE"""),"Leonardo")</f>
        <v>Leonardo</v>
      </c>
      <c r="AS727" s="6"/>
      <c r="AT727" s="6" t="str">
        <f>IFERROR(__xludf.DUMMYFUNCTION("""COMPUTED_VALUE"""),"Cuadrado Arévalo")</f>
        <v>Cuadrado Arévalo</v>
      </c>
      <c r="AU727" s="6" t="str">
        <f>IFERROR(__xludf.DUMMYFUNCTION("""COMPUTED_VALUE"""),"leocuadrado@hotmail.com")</f>
        <v>leocuadrado@hotmail.com</v>
      </c>
      <c r="AV727" s="6"/>
      <c r="AW727" s="6"/>
      <c r="AX727" s="12" t="str">
        <f>IFERROR(__xludf.DUMMYFUNCTION("""COMPUTED_VALUE"""),"7534557")</f>
        <v>7534557</v>
      </c>
      <c r="AY727" s="12" t="str">
        <f>IFERROR(__xludf.DUMMYFUNCTION("""COMPUTED_VALUE"""),"3117490579")</f>
        <v>3117490579</v>
      </c>
      <c r="AZ727" s="6" t="str">
        <f>IFERROR(__xludf.DUMMYFUNCTION("""COMPUTED_VALUE"""),"Padre")</f>
        <v>Padre</v>
      </c>
      <c r="BA727" s="6"/>
      <c r="BB727" s="6"/>
      <c r="BC727" s="6"/>
      <c r="BD727" s="12" t="str">
        <f>IFERROR(__xludf.DUMMYFUNCTION("""COMPUTED_VALUE"""),"cua0002")</f>
        <v>cua0002</v>
      </c>
      <c r="BE727" s="6"/>
      <c r="BF727" s="12" t="str">
        <f>IFERROR(__xludf.DUMMYFUNCTION("""COMPUTED_VALUE"""),"PROMOVIDO")</f>
        <v>PROMOVIDO</v>
      </c>
      <c r="BG727" s="6">
        <f>IFERROR(__xludf.DUMMYFUNCTION("""COMPUTED_VALUE"""),2028.0)</f>
        <v>2028</v>
      </c>
      <c r="BH727" s="15">
        <f>IFERROR(__xludf.DUMMYFUNCTION("""COMPUTED_VALUE"""),46212.37229166667)</f>
        <v>46212.37229</v>
      </c>
      <c r="BI727" s="6">
        <f>IFERROR(__xludf.DUMMYFUNCTION("""COMPUTED_VALUE"""),728.0)</f>
        <v>728</v>
      </c>
      <c r="BJ727" s="6"/>
      <c r="BK727" s="6"/>
      <c r="BL727" s="6" t="str">
        <f>IFERROR(__xludf.DUMMYFUNCTION("""COMPUTED_VALUE"""),"GISCUA0002")</f>
        <v>GISCUA0002</v>
      </c>
      <c r="BM727" s="6"/>
      <c r="BN727" s="6"/>
      <c r="BO727" s="6"/>
      <c r="BP727" s="6"/>
      <c r="BQ727" s="6"/>
      <c r="BR727" s="6"/>
      <c r="BS727" s="6"/>
      <c r="BT727" s="6"/>
      <c r="BU727" s="6" t="str">
        <f>IFERROR(__xludf.DUMMYFUNCTION("""COMPUTED_VALUE"""),"SI")</f>
        <v>SI</v>
      </c>
      <c r="BV727" s="6" t="str">
        <f>IFERROR(__xludf.DUMMYFUNCTION("""COMPUTED_VALUE"""),"jacobo.cm2028")</f>
        <v>jacobo.cm2028</v>
      </c>
      <c r="BW727" s="6"/>
      <c r="BX727" s="6"/>
      <c r="BY727" s="6"/>
      <c r="BZ727" s="6"/>
    </row>
    <row r="728">
      <c r="A728" s="12">
        <f>IFERROR(__xludf.DUMMYFUNCTION("""COMPUTED_VALUE"""),1.092460684E9)</f>
        <v>1092460684</v>
      </c>
      <c r="B728" s="6">
        <f>IFERROR(__xludf.DUMMYFUNCTION("""COMPUTED_VALUE"""),18.0)</f>
        <v>18</v>
      </c>
      <c r="C728" s="6" t="str">
        <f>IFERROR(__xludf.DUMMYFUNCTION("""COMPUTED_VALUE"""),"Sara")</f>
        <v>Sara</v>
      </c>
      <c r="D728" s="6"/>
      <c r="E728" s="6" t="str">
        <f>IFERROR(__xludf.DUMMYFUNCTION("""COMPUTED_VALUE"""),"Duque Alonso")</f>
        <v>Duque Alonso</v>
      </c>
      <c r="F728" s="6" t="str">
        <f>IFERROR(__xludf.DUMMYFUNCTION("""COMPUTED_VALUE"""),"Parque Residencial Los Cedros Mz 2 Casa 5 - Calle 50Nte No15 - 1")</f>
        <v>Parque Residencial Los Cedros Mz 2 Casa 5 - Calle 50Nte No15 - 1</v>
      </c>
      <c r="G728" s="12" t="str">
        <f>IFERROR(__xludf.DUMMYFUNCTION("""COMPUTED_VALUE"""),"2010")</f>
        <v>2010</v>
      </c>
      <c r="H728" s="6" t="str">
        <f>IFERROR(__xludf.DUMMYFUNCTION("""COMPUTED_VALUE"""),"Marzo")</f>
        <v>Marzo</v>
      </c>
      <c r="I728" s="12" t="str">
        <f>IFERROR(__xludf.DUMMYFUNCTION("""COMPUTED_VALUE"""),"17")</f>
        <v>17</v>
      </c>
      <c r="J728" s="6" t="str">
        <f>IFERROR(__xludf.DUMMYFUNCTION("""COMPUTED_VALUE"""),"Armenia")</f>
        <v>Armenia</v>
      </c>
      <c r="K728" s="6" t="str">
        <f>IFERROR(__xludf.DUMMYFUNCTION("""COMPUTED_VALUE"""),"sara.d2028@gi.edu.co")</f>
        <v>sara.d2028@gi.edu.co</v>
      </c>
      <c r="L728" s="6" t="str">
        <f>IFERROR(__xludf.DUMMYFUNCTION("""COMPUTED_VALUE"""),"TI")</f>
        <v>TI</v>
      </c>
      <c r="M728" s="6" t="str">
        <f>IFERROR(__xludf.DUMMYFUNCTION("""COMPUTED_VALUE"""),"Armenia")</f>
        <v>Armenia</v>
      </c>
      <c r="N728" s="6" t="str">
        <f>IFERROR(__xludf.DUMMYFUNCTION("""COMPUTED_VALUE"""),"F")</f>
        <v>F</v>
      </c>
      <c r="O728" s="6" t="str">
        <f>IFERROR(__xludf.DUMMYFUNCTION("""COMPUTED_VALUE"""),"INACTIVE")</f>
        <v>INACTIVE</v>
      </c>
      <c r="P728" s="6"/>
      <c r="Q728" s="6" t="str">
        <f>IFERROR(__xludf.DUMMYFUNCTION("""COMPUTED_VALUE"""),"Armenia")</f>
        <v>Armenia</v>
      </c>
      <c r="R728" s="12" t="str">
        <f>IFERROR(__xludf.DUMMYFUNCTION("""COMPUTED_VALUE"""),"Gi87gdr49m*")</f>
        <v>Gi87gdr49m*</v>
      </c>
      <c r="S728" s="6" t="str">
        <f>IFERROR(__xludf.DUMMYFUNCTION("""COMPUTED_VALUE"""),"Duque Alonso Sara ")</f>
        <v>Duque Alonso Sara </v>
      </c>
      <c r="T728" s="6" t="str">
        <f>IFERROR(__xludf.DUMMYFUNCTION("""COMPUTED_VALUE"""),"KRAIMER ANDRES DUQUE SEPULVEDA")</f>
        <v>KRAIMER ANDRES DUQUE SEPULVEDA</v>
      </c>
      <c r="U728" s="12" t="str">
        <f>IFERROR(__xludf.DUMMYFUNCTION("""COMPUTED_VALUE"""),"9725755")</f>
        <v>9725755</v>
      </c>
      <c r="V728" s="6">
        <f>IFERROR(__xludf.DUMMYFUNCTION("""COMPUTED_VALUE"""),3.216142379E9)</f>
        <v>3216142379</v>
      </c>
      <c r="W728" s="6" t="str">
        <f>IFERROR(__xludf.DUMMYFUNCTION("""COMPUTED_VALUE"""),"kramerandres7@gmail.com")</f>
        <v>kramerandres7@gmail.com</v>
      </c>
      <c r="X728" s="12" t="str">
        <f>IFERROR(__xludf.DUMMYFUNCTION("""COMPUTED_VALUE"""),"O+")</f>
        <v>O+</v>
      </c>
      <c r="Y728" s="12" t="str">
        <f>IFERROR(__xludf.DUMMYFUNCTION("""COMPUTED_VALUE"""),"11")</f>
        <v>11</v>
      </c>
      <c r="Z728" s="12">
        <f>IFERROR(__xludf.DUMMYFUNCTION("""COMPUTED_VALUE"""),103439.0)</f>
        <v>103439</v>
      </c>
      <c r="AA728" s="6" t="str">
        <f>IFERROR(__xludf.DUMMYFUNCTION("""COMPUTED_VALUE"""),"SURA")</f>
        <v>SURA</v>
      </c>
      <c r="AB728" s="6" t="str">
        <f>IFERROR(__xludf.DUMMYFUNCTION("""COMPUTED_VALUE"""),"EMI")</f>
        <v>EMI</v>
      </c>
      <c r="AC728" s="12" t="str">
        <f>IFERROR(__xludf.DUMMYFUNCTION("""COMPUTED_VALUE"""),"LIMON, TOMATE, VINAGRETA, SALSAS")</f>
        <v>LIMON, TOMATE, VINAGRETA, SALSAS</v>
      </c>
      <c r="AD728" s="12" t="str">
        <f>IFERROR(__xludf.DUMMYFUNCTION("""COMPUTED_VALUE"""),"11")</f>
        <v>11</v>
      </c>
      <c r="AE728" s="12">
        <f>IFERROR(__xludf.DUMMYFUNCTION("""COMPUTED_VALUE"""),1.34528169E9)</f>
        <v>1345281690</v>
      </c>
      <c r="AF728" s="12" t="str">
        <f>IFERROR(__xludf.DUMMYFUNCTION("""COMPUTED_VALUE"""),"0674017827")</f>
        <v>0674017827</v>
      </c>
      <c r="AG728" s="12" t="str">
        <f>IFERROR(__xludf.DUMMYFUNCTION("""COMPUTED_VALUE"""),"Mónica")</f>
        <v>Mónica</v>
      </c>
      <c r="AH728" s="12" t="str">
        <f>IFERROR(__xludf.DUMMYFUNCTION("""COMPUTED_VALUE"""),"Marcela")</f>
        <v>Marcela</v>
      </c>
      <c r="AI728" s="6" t="str">
        <f>IFERROR(__xludf.DUMMYFUNCTION("""COMPUTED_VALUE"""),"Alonso López")</f>
        <v>Alonso López</v>
      </c>
      <c r="AJ728" s="6" t="str">
        <f>IFERROR(__xludf.DUMMYFUNCTION("""COMPUTED_VALUE"""),"monicalonsol@hotmail.com")</f>
        <v>monicalonsol@hotmail.com</v>
      </c>
      <c r="AK728" s="6"/>
      <c r="AL728" s="6"/>
      <c r="AM728" s="12" t="str">
        <f>IFERROR(__xludf.DUMMYFUNCTION("""COMPUTED_VALUE"""),"41949203")</f>
        <v>41949203</v>
      </c>
      <c r="AN728" s="12" t="str">
        <f>IFERROR(__xludf.DUMMYFUNCTION("""COMPUTED_VALUE"""),"3136954900")</f>
        <v>3136954900</v>
      </c>
      <c r="AO728" s="6" t="str">
        <f>IFERROR(__xludf.DUMMYFUNCTION("""COMPUTED_VALUE"""),"Madre")</f>
        <v>Madre</v>
      </c>
      <c r="AP728" s="6" t="str">
        <f>IFERROR(__xludf.DUMMYFUNCTION("""COMPUTED_VALUE"""),"Estudiante(s): Duque Alonso")</f>
        <v>Estudiante(s): Duque Alonso</v>
      </c>
      <c r="AQ728" s="6" t="str">
        <f>IFERROR(__xludf.DUMMYFUNCTION("""COMPUTED_VALUE"""),"103439*Gi")</f>
        <v>103439*Gi</v>
      </c>
      <c r="AR728" s="6" t="str">
        <f>IFERROR(__xludf.DUMMYFUNCTION("""COMPUTED_VALUE"""),"Kraimer")</f>
        <v>Kraimer</v>
      </c>
      <c r="AS728" s="6" t="str">
        <f>IFERROR(__xludf.DUMMYFUNCTION("""COMPUTED_VALUE"""),"Andrés")</f>
        <v>Andrés</v>
      </c>
      <c r="AT728" s="6" t="str">
        <f>IFERROR(__xludf.DUMMYFUNCTION("""COMPUTED_VALUE"""),"Duque Sepúlveda")</f>
        <v>Duque Sepúlveda</v>
      </c>
      <c r="AU728" s="6" t="str">
        <f>IFERROR(__xludf.DUMMYFUNCTION("""COMPUTED_VALUE"""),"kramerandres7@gmail.com")</f>
        <v>kramerandres7@gmail.com</v>
      </c>
      <c r="AV728" s="6" t="str">
        <f>IFERROR(__xludf.DUMMYFUNCTION("""COMPUTED_VALUE"""),"ADMINISTRADOR DE EMPRESAS")</f>
        <v>ADMINISTRADOR DE EMPRESAS</v>
      </c>
      <c r="AW728" s="6" t="str">
        <f>IFERROR(__xludf.DUMMYFUNCTION("""COMPUTED_VALUE"""),"EPA")</f>
        <v>EPA</v>
      </c>
      <c r="AX728" s="12" t="str">
        <f>IFERROR(__xludf.DUMMYFUNCTION("""COMPUTED_VALUE"""),"9725755")</f>
        <v>9725755</v>
      </c>
      <c r="AY728" s="12" t="str">
        <f>IFERROR(__xludf.DUMMYFUNCTION("""COMPUTED_VALUE"""),"3216142379")</f>
        <v>3216142379</v>
      </c>
      <c r="AZ728" s="6" t="str">
        <f>IFERROR(__xludf.DUMMYFUNCTION("""COMPUTED_VALUE"""),"Padre")</f>
        <v>Padre</v>
      </c>
      <c r="BA728" s="6"/>
      <c r="BB728" s="6"/>
      <c r="BC728" s="6"/>
      <c r="BD728" s="12" t="str">
        <f>IFERROR(__xludf.DUMMYFUNCTION("""COMPUTED_VALUE"""),"duq0005")</f>
        <v>duq0005</v>
      </c>
      <c r="BE728" s="6" t="str">
        <f>IFERROR(__xludf.DUMMYFUNCTION("""COMPUTED_VALUE"""),"ERROR AL FIRMAR")</f>
        <v>ERROR AL FIRMAR</v>
      </c>
      <c r="BF728" s="6"/>
      <c r="BG728" s="6">
        <f>IFERROR(__xludf.DUMMYFUNCTION("""COMPUTED_VALUE"""),2028.0)</f>
        <v>2028</v>
      </c>
      <c r="BH728" s="15">
        <f>IFERROR(__xludf.DUMMYFUNCTION("""COMPUTED_VALUE"""),46212.37430555555)</f>
        <v>46212.37431</v>
      </c>
      <c r="BI728" s="6">
        <f>IFERROR(__xludf.DUMMYFUNCTION("""COMPUTED_VALUE"""),729.0)</f>
        <v>729</v>
      </c>
      <c r="BJ728" s="6"/>
      <c r="BK728" s="6"/>
      <c r="BL728" s="6" t="str">
        <f>IFERROR(__xludf.DUMMYFUNCTION("""COMPUTED_VALUE"""),"GISDUQ0005")</f>
        <v>GISDUQ0005</v>
      </c>
      <c r="BM728" s="6"/>
      <c r="BN728" s="6"/>
      <c r="BO728" s="6"/>
      <c r="BP728" s="6"/>
      <c r="BQ728" s="6"/>
      <c r="BR728" s="6"/>
      <c r="BS728" s="6" t="str">
        <f>IFERROR(__xludf.DUMMYFUNCTION("""COMPUTED_VALUE"""),"XC_HS_BandaInside")</f>
        <v>XC_HS_BandaInside</v>
      </c>
      <c r="BT728" s="6"/>
      <c r="BU728" s="6" t="str">
        <f>IFERROR(__xludf.DUMMYFUNCTION("""COMPUTED_VALUE"""),"SI")</f>
        <v>SI</v>
      </c>
      <c r="BV728" s="6" t="str">
        <f>IFERROR(__xludf.DUMMYFUNCTION("""COMPUTED_VALUE"""),"sara.d2028")</f>
        <v>sara.d2028</v>
      </c>
      <c r="BW728" s="6"/>
      <c r="BX728" s="6"/>
      <c r="BY728" s="6"/>
      <c r="BZ728" s="6"/>
    </row>
    <row r="729">
      <c r="A729" s="12">
        <f>IFERROR(__xludf.DUMMYFUNCTION("""COMPUTED_VALUE"""),1.023244503E9)</f>
        <v>1023244503</v>
      </c>
      <c r="B729" s="6">
        <f>IFERROR(__xludf.DUMMYFUNCTION("""COMPUTED_VALUE"""),19.0)</f>
        <v>19</v>
      </c>
      <c r="C729" s="6" t="str">
        <f>IFERROR(__xludf.DUMMYFUNCTION("""COMPUTED_VALUE"""),"Salomé")</f>
        <v>Salomé</v>
      </c>
      <c r="D729" s="6"/>
      <c r="E729" s="6" t="str">
        <f>IFERROR(__xludf.DUMMYFUNCTION("""COMPUTED_VALUE"""),"Durán Soler")</f>
        <v>Durán Soler</v>
      </c>
      <c r="F729" s="6" t="str">
        <f>IFERROR(__xludf.DUMMYFUNCTION("""COMPUTED_VALUE"""),"Cra 6 No44Nte - 05 Casa 5 - Sena Agropecuario")</f>
        <v>Cra 6 No44Nte - 05 Casa 5 - Sena Agropecuario</v>
      </c>
      <c r="G729" s="12" t="str">
        <f>IFERROR(__xludf.DUMMYFUNCTION("""COMPUTED_VALUE"""),"2009")</f>
        <v>2009</v>
      </c>
      <c r="H729" s="6" t="str">
        <f>IFERROR(__xludf.DUMMYFUNCTION("""COMPUTED_VALUE"""),"Septiembre")</f>
        <v>Septiembre</v>
      </c>
      <c r="I729" s="12" t="str">
        <f>IFERROR(__xludf.DUMMYFUNCTION("""COMPUTED_VALUE"""),"28")</f>
        <v>28</v>
      </c>
      <c r="J729" s="6" t="str">
        <f>IFERROR(__xludf.DUMMYFUNCTION("""COMPUTED_VALUE"""),"Bogotá D.C.")</f>
        <v>Bogotá D.C.</v>
      </c>
      <c r="K729" s="6" t="str">
        <f>IFERROR(__xludf.DUMMYFUNCTION("""COMPUTED_VALUE"""),"salome.d2028@gi.edu.co")</f>
        <v>salome.d2028@gi.edu.co</v>
      </c>
      <c r="L729" s="6" t="str">
        <f>IFERROR(__xludf.DUMMYFUNCTION("""COMPUTED_VALUE"""),"TI")</f>
        <v>TI</v>
      </c>
      <c r="M729" s="6" t="str">
        <f>IFERROR(__xludf.DUMMYFUNCTION("""COMPUTED_VALUE"""),"Bogotá D.C.")</f>
        <v>Bogotá D.C.</v>
      </c>
      <c r="N729" s="6" t="str">
        <f>IFERROR(__xludf.DUMMYFUNCTION("""COMPUTED_VALUE"""),"F")</f>
        <v>F</v>
      </c>
      <c r="O729" s="6" t="str">
        <f>IFERROR(__xludf.DUMMYFUNCTION("""COMPUTED_VALUE"""),"ACTIVE")</f>
        <v>ACTIVE</v>
      </c>
      <c r="P729" s="6"/>
      <c r="Q729" s="6" t="str">
        <f>IFERROR(__xludf.DUMMYFUNCTION("""COMPUTED_VALUE"""),"Armenia")</f>
        <v>Armenia</v>
      </c>
      <c r="R729" s="12" t="str">
        <f>IFERROR(__xludf.DUMMYFUNCTION("""COMPUTED_VALUE"""),"Girt32ty45*")</f>
        <v>Girt32ty45*</v>
      </c>
      <c r="S729" s="6" t="str">
        <f>IFERROR(__xludf.DUMMYFUNCTION("""COMPUTED_VALUE"""),"Durán Soler Salomé ")</f>
        <v>Durán Soler Salomé </v>
      </c>
      <c r="T729" s="6" t="str">
        <f>IFERROR(__xludf.DUMMYFUNCTION("""COMPUTED_VALUE"""),"SANDRA JULIANA SOLER KARPF")</f>
        <v>SANDRA JULIANA SOLER KARPF</v>
      </c>
      <c r="U729" s="12" t="str">
        <f>IFERROR(__xludf.DUMMYFUNCTION("""COMPUTED_VALUE"""),"1019024069")</f>
        <v>1019024069</v>
      </c>
      <c r="V729" s="6">
        <f>IFERROR(__xludf.DUMMYFUNCTION("""COMPUTED_VALUE"""),3.112247575E9)</f>
        <v>3112247575</v>
      </c>
      <c r="W729" s="6" t="str">
        <f>IFERROR(__xludf.DUMMYFUNCTION("""COMPUTED_VALUE"""),"julianasoler26@hotmail.com")</f>
        <v>julianasoler26@hotmail.com</v>
      </c>
      <c r="X729" s="12" t="str">
        <f>IFERROR(__xludf.DUMMYFUNCTION("""COMPUTED_VALUE"""),"O+")</f>
        <v>O+</v>
      </c>
      <c r="Y729" s="12" t="str">
        <f>IFERROR(__xludf.DUMMYFUNCTION("""COMPUTED_VALUE"""),"11")</f>
        <v>11</v>
      </c>
      <c r="Z729" s="12">
        <f>IFERROR(__xludf.DUMMYFUNCTION("""COMPUTED_VALUE"""),120075.0)</f>
        <v>120075</v>
      </c>
      <c r="AA729" s="6" t="str">
        <f>IFERROR(__xludf.DUMMYFUNCTION("""COMPUTED_VALUE"""),"SURA")</f>
        <v>SURA</v>
      </c>
      <c r="AB729" s="6"/>
      <c r="AC729" s="6"/>
      <c r="AD729" s="12" t="str">
        <f>IFERROR(__xludf.DUMMYFUNCTION("""COMPUTED_VALUE"""),"11")</f>
        <v>11</v>
      </c>
      <c r="AE729" s="12">
        <f>IFERROR(__xludf.DUMMYFUNCTION("""COMPUTED_VALUE"""),1.345282093E9)</f>
        <v>1345282093</v>
      </c>
      <c r="AF729" s="12" t="str">
        <f>IFERROR(__xludf.DUMMYFUNCTION("""COMPUTED_VALUE"""),"0687348755")</f>
        <v>0687348755</v>
      </c>
      <c r="AG729" s="12" t="str">
        <f>IFERROR(__xludf.DUMMYFUNCTION("""COMPUTED_VALUE"""),"Sandra")</f>
        <v>Sandra</v>
      </c>
      <c r="AH729" s="12" t="str">
        <f>IFERROR(__xludf.DUMMYFUNCTION("""COMPUTED_VALUE"""),"Juliana")</f>
        <v>Juliana</v>
      </c>
      <c r="AI729" s="6" t="str">
        <f>IFERROR(__xludf.DUMMYFUNCTION("""COMPUTED_VALUE"""),"Soler Karpf")</f>
        <v>Soler Karpf</v>
      </c>
      <c r="AJ729" s="6" t="str">
        <f>IFERROR(__xludf.DUMMYFUNCTION("""COMPUTED_VALUE"""),"julianasoler26@hotmail.com")</f>
        <v>julianasoler26@hotmail.com</v>
      </c>
      <c r="AK729" s="6" t="str">
        <f>IFERROR(__xludf.DUMMYFUNCTION("""COMPUTED_VALUE"""),"Ingeniera Industrial")</f>
        <v>Ingeniera Industrial</v>
      </c>
      <c r="AL729" s="6" t="str">
        <f>IFERROR(__xludf.DUMMYFUNCTION("""COMPUTED_VALUE"""),"Independiente")</f>
        <v>Independiente</v>
      </c>
      <c r="AM729" s="12" t="str">
        <f>IFERROR(__xludf.DUMMYFUNCTION("""COMPUTED_VALUE"""),"1019024069")</f>
        <v>1019024069</v>
      </c>
      <c r="AN729" s="12" t="str">
        <f>IFERROR(__xludf.DUMMYFUNCTION("""COMPUTED_VALUE"""),"3112247575")</f>
        <v>3112247575</v>
      </c>
      <c r="AO729" s="6" t="str">
        <f>IFERROR(__xludf.DUMMYFUNCTION("""COMPUTED_VALUE"""),"Madre")</f>
        <v>Madre</v>
      </c>
      <c r="AP729" s="6" t="str">
        <f>IFERROR(__xludf.DUMMYFUNCTION("""COMPUTED_VALUE"""),"Estudiante(s): Durán Soler")</f>
        <v>Estudiante(s): Durán Soler</v>
      </c>
      <c r="AQ729" s="6" t="str">
        <f>IFERROR(__xludf.DUMMYFUNCTION("""COMPUTED_VALUE"""),"120075*Gi")</f>
        <v>120075*Gi</v>
      </c>
      <c r="AR729" s="6" t="str">
        <f>IFERROR(__xludf.DUMMYFUNCTION("""COMPUTED_VALUE"""),"Jorge")</f>
        <v>Jorge</v>
      </c>
      <c r="AS729" s="6" t="str">
        <f>IFERROR(__xludf.DUMMYFUNCTION("""COMPUTED_VALUE"""),"Enrique")</f>
        <v>Enrique</v>
      </c>
      <c r="AT729" s="6" t="str">
        <f>IFERROR(__xludf.DUMMYFUNCTION("""COMPUTED_VALUE"""),"Durán Zapata")</f>
        <v>Durán Zapata</v>
      </c>
      <c r="AU729" s="6" t="str">
        <f>IFERROR(__xludf.DUMMYFUNCTION("""COMPUTED_VALUE"""),"pitirri35@hotmail.com")</f>
        <v>pitirri35@hotmail.com</v>
      </c>
      <c r="AV729" s="6" t="str">
        <f>IFERROR(__xludf.DUMMYFUNCTION("""COMPUTED_VALUE"""),"Administrador de empresas")</f>
        <v>Administrador de empresas</v>
      </c>
      <c r="AW729" s="6" t="str">
        <f>IFERROR(__xludf.DUMMYFUNCTION("""COMPUTED_VALUE"""),"Independiente")</f>
        <v>Independiente</v>
      </c>
      <c r="AX729" s="12" t="str">
        <f>IFERROR(__xludf.DUMMYFUNCTION("""COMPUTED_VALUE"""),"9772007")</f>
        <v>9772007</v>
      </c>
      <c r="AY729" s="12" t="str">
        <f>IFERROR(__xludf.DUMMYFUNCTION("""COMPUTED_VALUE"""),"3017741748")</f>
        <v>3017741748</v>
      </c>
      <c r="AZ729" s="6" t="str">
        <f>IFERROR(__xludf.DUMMYFUNCTION("""COMPUTED_VALUE"""),"Padre")</f>
        <v>Padre</v>
      </c>
      <c r="BA729" s="6"/>
      <c r="BB729" s="6"/>
      <c r="BC729" s="6"/>
      <c r="BD729" s="12" t="str">
        <f>IFERROR(__xludf.DUMMYFUNCTION("""COMPUTED_VALUE"""),"dur0002")</f>
        <v>dur0002</v>
      </c>
      <c r="BE729" s="6"/>
      <c r="BF729" s="6"/>
      <c r="BG729" s="6">
        <f>IFERROR(__xludf.DUMMYFUNCTION("""COMPUTED_VALUE"""),2028.0)</f>
        <v>2028</v>
      </c>
      <c r="BH729" s="15">
        <f>IFERROR(__xludf.DUMMYFUNCTION("""COMPUTED_VALUE"""),46209.365752314814)</f>
        <v>46209.36575</v>
      </c>
      <c r="BI729" s="6">
        <f>IFERROR(__xludf.DUMMYFUNCTION("""COMPUTED_VALUE"""),730.0)</f>
        <v>730</v>
      </c>
      <c r="BJ729" s="6"/>
      <c r="BK729" s="6"/>
      <c r="BL729" s="6" t="str">
        <f>IFERROR(__xludf.DUMMYFUNCTION("""COMPUTED_VALUE"""),"GISDUR0002")</f>
        <v>GISDUR0002</v>
      </c>
      <c r="BM729" s="6"/>
      <c r="BN729" s="6"/>
      <c r="BO729" s="6"/>
      <c r="BP729" s="6"/>
      <c r="BQ729" s="6"/>
      <c r="BR729" s="6"/>
      <c r="BS729" s="6"/>
      <c r="BT729" s="6"/>
      <c r="BU729" s="6" t="str">
        <f>IFERROR(__xludf.DUMMYFUNCTION("""COMPUTED_VALUE"""),"SI")</f>
        <v>SI</v>
      </c>
      <c r="BV729" s="6" t="str">
        <f>IFERROR(__xludf.DUMMYFUNCTION("""COMPUTED_VALUE"""),"salome.d2028")</f>
        <v>salome.d2028</v>
      </c>
      <c r="BW729" s="6"/>
      <c r="BX729" s="6"/>
      <c r="BY729" s="6"/>
      <c r="BZ729" s="6"/>
    </row>
    <row r="730">
      <c r="A730" s="12">
        <f>IFERROR(__xludf.DUMMYFUNCTION("""COMPUTED_VALUE"""),1.091205006E9)</f>
        <v>1091205006</v>
      </c>
      <c r="B730" s="6">
        <f>IFERROR(__xludf.DUMMYFUNCTION("""COMPUTED_VALUE"""),20.0)</f>
        <v>20</v>
      </c>
      <c r="C730" s="6" t="str">
        <f>IFERROR(__xludf.DUMMYFUNCTION("""COMPUTED_VALUE"""),"Luciana")</f>
        <v>Luciana</v>
      </c>
      <c r="D730" s="6"/>
      <c r="E730" s="6" t="str">
        <f>IFERROR(__xludf.DUMMYFUNCTION("""COMPUTED_VALUE"""),"Echeverri Gutiérrez")</f>
        <v>Echeverri Gutiérrez</v>
      </c>
      <c r="F730" s="6" t="str">
        <f>IFERROR(__xludf.DUMMYFUNCTION("""COMPUTED_VALUE"""),"Condominio Campestre La Reserva Torre Malaga Apto 1403 - Cra 5 No10Nte - 25 Av Centenario")</f>
        <v>Condominio Campestre La Reserva Torre Malaga Apto 1403 - Cra 5 No10Nte - 25 Av Centenario</v>
      </c>
      <c r="G730" s="12" t="str">
        <f>IFERROR(__xludf.DUMMYFUNCTION("""COMPUTED_VALUE"""),"2010")</f>
        <v>2010</v>
      </c>
      <c r="H730" s="6" t="str">
        <f>IFERROR(__xludf.DUMMYFUNCTION("""COMPUTED_VALUE"""),"Mayo")</f>
        <v>Mayo</v>
      </c>
      <c r="I730" s="12" t="str">
        <f>IFERROR(__xludf.DUMMYFUNCTION("""COMPUTED_VALUE"""),"24")</f>
        <v>24</v>
      </c>
      <c r="J730" s="6" t="str">
        <f>IFERROR(__xludf.DUMMYFUNCTION("""COMPUTED_VALUE"""),"Armenia")</f>
        <v>Armenia</v>
      </c>
      <c r="K730" s="6" t="str">
        <f>IFERROR(__xludf.DUMMYFUNCTION("""COMPUTED_VALUE"""),"luciana.e2028@gi.edu.co")</f>
        <v>luciana.e2028@gi.edu.co</v>
      </c>
      <c r="L730" s="6" t="str">
        <f>IFERROR(__xludf.DUMMYFUNCTION("""COMPUTED_VALUE"""),"TI")</f>
        <v>TI</v>
      </c>
      <c r="M730" s="6" t="str">
        <f>IFERROR(__xludf.DUMMYFUNCTION("""COMPUTED_VALUE"""),"Armenia")</f>
        <v>Armenia</v>
      </c>
      <c r="N730" s="6" t="str">
        <f>IFERROR(__xludf.DUMMYFUNCTION("""COMPUTED_VALUE"""),"F")</f>
        <v>F</v>
      </c>
      <c r="O730" s="6" t="str">
        <f>IFERROR(__xludf.DUMMYFUNCTION("""COMPUTED_VALUE"""),"ACTIVE")</f>
        <v>ACTIVE</v>
      </c>
      <c r="P730" s="6"/>
      <c r="Q730" s="6" t="str">
        <f>IFERROR(__xludf.DUMMYFUNCTION("""COMPUTED_VALUE"""),"Armenia")</f>
        <v>Armenia</v>
      </c>
      <c r="R730" s="12" t="str">
        <f>IFERROR(__xludf.DUMMYFUNCTION("""COMPUTED_VALUE"""),"Gi27r42669*")</f>
        <v>Gi27r42669*</v>
      </c>
      <c r="S730" s="6" t="str">
        <f>IFERROR(__xludf.DUMMYFUNCTION("""COMPUTED_VALUE"""),"Echeverri Gutiérrez Luciana ")</f>
        <v>Echeverri Gutiérrez Luciana </v>
      </c>
      <c r="T730" s="6" t="str">
        <f>IFERROR(__xludf.DUMMYFUNCTION("""COMPUTED_VALUE"""),"PAOLA ANDREA GUTIÉRREZ JARAMILLO")</f>
        <v>PAOLA ANDREA GUTIÉRREZ JARAMILLO</v>
      </c>
      <c r="U730" s="12" t="str">
        <f>IFERROR(__xludf.DUMMYFUNCTION("""COMPUTED_VALUE"""),"41938794")</f>
        <v>41938794</v>
      </c>
      <c r="V730" s="6">
        <f>IFERROR(__xludf.DUMMYFUNCTION("""COMPUTED_VALUE"""),3.152291264E9)</f>
        <v>3152291264</v>
      </c>
      <c r="W730" s="6" t="str">
        <f>IFERROR(__xludf.DUMMYFUNCTION("""COMPUTED_VALUE"""),"martinagj2010@hotmail.com")</f>
        <v>martinagj2010@hotmail.com</v>
      </c>
      <c r="X730" s="12" t="str">
        <f>IFERROR(__xludf.DUMMYFUNCTION("""COMPUTED_VALUE"""),"O+")</f>
        <v>O+</v>
      </c>
      <c r="Y730" s="12" t="str">
        <f>IFERROR(__xludf.DUMMYFUNCTION("""COMPUTED_VALUE"""),"11")</f>
        <v>11</v>
      </c>
      <c r="Z730" s="12">
        <f>IFERROR(__xludf.DUMMYFUNCTION("""COMPUTED_VALUE"""),102849.0)</f>
        <v>102849</v>
      </c>
      <c r="AA730" s="6" t="str">
        <f>IFERROR(__xludf.DUMMYFUNCTION("""COMPUTED_VALUE"""),"SURA")</f>
        <v>SURA</v>
      </c>
      <c r="AB730" s="6" t="str">
        <f>IFERROR(__xludf.DUMMYFUNCTION("""COMPUTED_VALUE"""),"EMI")</f>
        <v>EMI</v>
      </c>
      <c r="AC730" s="12" t="str">
        <f>IFERROR(__xludf.DUMMYFUNCTION("""COMPUTED_VALUE"""),"PLASIL - DIPIRONA")</f>
        <v>PLASIL - DIPIRONA</v>
      </c>
      <c r="AD730" s="12" t="str">
        <f>IFERROR(__xludf.DUMMYFUNCTION("""COMPUTED_VALUE"""),"11")</f>
        <v>11</v>
      </c>
      <c r="AE730" s="12">
        <f>IFERROR(__xludf.DUMMYFUNCTION("""COMPUTED_VALUE"""),1.345281393E9)</f>
        <v>1345281393</v>
      </c>
      <c r="AF730" s="12" t="str">
        <f>IFERROR(__xludf.DUMMYFUNCTION("""COMPUTED_VALUE"""),"0696545379")</f>
        <v>0696545379</v>
      </c>
      <c r="AG730" s="12" t="str">
        <f>IFERROR(__xludf.DUMMYFUNCTION("""COMPUTED_VALUE"""),"Paola")</f>
        <v>Paola</v>
      </c>
      <c r="AH730" s="12" t="str">
        <f>IFERROR(__xludf.DUMMYFUNCTION("""COMPUTED_VALUE"""),"Andrea")</f>
        <v>Andrea</v>
      </c>
      <c r="AI730" s="6" t="str">
        <f>IFERROR(__xludf.DUMMYFUNCTION("""COMPUTED_VALUE"""),"Gutiérrez Jaramillo")</f>
        <v>Gutiérrez Jaramillo</v>
      </c>
      <c r="AJ730" s="6" t="str">
        <f>IFERROR(__xludf.DUMMYFUNCTION("""COMPUTED_VALUE"""),"martinagj2010@hotmail.com")</f>
        <v>martinagj2010@hotmail.com</v>
      </c>
      <c r="AK730" s="6"/>
      <c r="AL730" s="6"/>
      <c r="AM730" s="12" t="str">
        <f>IFERROR(__xludf.DUMMYFUNCTION("""COMPUTED_VALUE"""),"41938794")</f>
        <v>41938794</v>
      </c>
      <c r="AN730" s="12" t="str">
        <f>IFERROR(__xludf.DUMMYFUNCTION("""COMPUTED_VALUE"""),"3152291264")</f>
        <v>3152291264</v>
      </c>
      <c r="AO730" s="6" t="str">
        <f>IFERROR(__xludf.DUMMYFUNCTION("""COMPUTED_VALUE"""),"Madre")</f>
        <v>Madre</v>
      </c>
      <c r="AP730" s="6" t="str">
        <f>IFERROR(__xludf.DUMMYFUNCTION("""COMPUTED_VALUE"""),"Estudiante(s): Echeverri Gutiérrez")</f>
        <v>Estudiante(s): Echeverri Gutiérrez</v>
      </c>
      <c r="AQ730" s="6" t="str">
        <f>IFERROR(__xludf.DUMMYFUNCTION("""COMPUTED_VALUE"""),"102849*Gi")</f>
        <v>102849*Gi</v>
      </c>
      <c r="AR730" s="6" t="str">
        <f>IFERROR(__xludf.DUMMYFUNCTION("""COMPUTED_VALUE"""),"Juan")</f>
        <v>Juan</v>
      </c>
      <c r="AS730" s="6" t="str">
        <f>IFERROR(__xludf.DUMMYFUNCTION("""COMPUTED_VALUE"""),"Fernando")</f>
        <v>Fernando</v>
      </c>
      <c r="AT730" s="6" t="str">
        <f>IFERROR(__xludf.DUMMYFUNCTION("""COMPUTED_VALUE"""),"Echeverri Gómez")</f>
        <v>Echeverri Gómez</v>
      </c>
      <c r="AU730" s="6" t="str">
        <f>IFERROR(__xludf.DUMMYFUNCTION("""COMPUTED_VALUE"""),"tomaseg2007@hotmail.com")</f>
        <v>tomaseg2007@hotmail.com</v>
      </c>
      <c r="AV730" s="6"/>
      <c r="AW730" s="6"/>
      <c r="AX730" s="12" t="str">
        <f>IFERROR(__xludf.DUMMYFUNCTION("""COMPUTED_VALUE"""),"18491872")</f>
        <v>18491872</v>
      </c>
      <c r="AY730" s="12" t="str">
        <f>IFERROR(__xludf.DUMMYFUNCTION("""COMPUTED_VALUE"""),"3188448443")</f>
        <v>3188448443</v>
      </c>
      <c r="AZ730" s="6" t="str">
        <f>IFERROR(__xludf.DUMMYFUNCTION("""COMPUTED_VALUE"""),"Padre")</f>
        <v>Padre</v>
      </c>
      <c r="BA730" s="6"/>
      <c r="BB730" s="6"/>
      <c r="BC730" s="6"/>
      <c r="BD730" s="12" t="str">
        <f>IFERROR(__xludf.DUMMYFUNCTION("""COMPUTED_VALUE"""),"gut0007")</f>
        <v>gut0007</v>
      </c>
      <c r="BE730" s="6"/>
      <c r="BF730" s="6"/>
      <c r="BG730" s="6">
        <f>IFERROR(__xludf.DUMMYFUNCTION("""COMPUTED_VALUE"""),2028.0)</f>
        <v>2028</v>
      </c>
      <c r="BH730" s="15">
        <f>IFERROR(__xludf.DUMMYFUNCTION("""COMPUTED_VALUE"""),46209.433912037035)</f>
        <v>46209.43391</v>
      </c>
      <c r="BI730" s="6">
        <f>IFERROR(__xludf.DUMMYFUNCTION("""COMPUTED_VALUE"""),731.0)</f>
        <v>731</v>
      </c>
      <c r="BJ730" s="6"/>
      <c r="BK730" s="6"/>
      <c r="BL730" s="6" t="str">
        <f>IFERROR(__xludf.DUMMYFUNCTION("""COMPUTED_VALUE"""),"GISGUT0007")</f>
        <v>GISGUT0007</v>
      </c>
      <c r="BM730" s="6"/>
      <c r="BN730" s="6"/>
      <c r="BO730" s="6"/>
      <c r="BP730" s="6"/>
      <c r="BQ730" s="6"/>
      <c r="BR730" s="6"/>
      <c r="BS730" s="6"/>
      <c r="BT730" s="6"/>
      <c r="BU730" s="6" t="str">
        <f>IFERROR(__xludf.DUMMYFUNCTION("""COMPUTED_VALUE"""),"NO")</f>
        <v>NO</v>
      </c>
      <c r="BV730" s="6" t="str">
        <f>IFERROR(__xludf.DUMMYFUNCTION("""COMPUTED_VALUE"""),"luciana.e2028")</f>
        <v>luciana.e2028</v>
      </c>
      <c r="BW730" s="6"/>
      <c r="BX730" s="6"/>
      <c r="BY730" s="6"/>
      <c r="BZ730" s="6"/>
    </row>
    <row r="731">
      <c r="A731" s="12">
        <f>IFERROR(__xludf.DUMMYFUNCTION("""COMPUTED_VALUE"""),1.042587706E9)</f>
        <v>1042587706</v>
      </c>
      <c r="B731" s="6">
        <f>IFERROR(__xludf.DUMMYFUNCTION("""COMPUTED_VALUE"""),21.0)</f>
        <v>21</v>
      </c>
      <c r="C731" s="6" t="str">
        <f>IFERROR(__xludf.DUMMYFUNCTION("""COMPUTED_VALUE"""),"Matías")</f>
        <v>Matías</v>
      </c>
      <c r="D731" s="6"/>
      <c r="E731" s="6" t="str">
        <f>IFERROR(__xludf.DUMMYFUNCTION("""COMPUTED_VALUE"""),"Gamboa Correa")</f>
        <v>Gamboa Correa</v>
      </c>
      <c r="F731" s="6" t="str">
        <f>IFERROR(__xludf.DUMMYFUNCTION("""COMPUTED_VALUE"""),"Conjunto Residencial Los Rosales Casa 27 - Km 1 Via Circasia")</f>
        <v>Conjunto Residencial Los Rosales Casa 27 - Km 1 Via Circasia</v>
      </c>
      <c r="G731" s="12" t="str">
        <f>IFERROR(__xludf.DUMMYFUNCTION("""COMPUTED_VALUE"""),"2010")</f>
        <v>2010</v>
      </c>
      <c r="H731" s="6" t="str">
        <f>IFERROR(__xludf.DUMMYFUNCTION("""COMPUTED_VALUE"""),"Mayo")</f>
        <v>Mayo</v>
      </c>
      <c r="I731" s="12" t="str">
        <f>IFERROR(__xludf.DUMMYFUNCTION("""COMPUTED_VALUE"""),"19")</f>
        <v>19</v>
      </c>
      <c r="J731" s="6" t="str">
        <f>IFERROR(__xludf.DUMMYFUNCTION("""COMPUTED_VALUE"""),"Cartagena de Indias")</f>
        <v>Cartagena de Indias</v>
      </c>
      <c r="K731" s="6" t="str">
        <f>IFERROR(__xludf.DUMMYFUNCTION("""COMPUTED_VALUE"""),"matias.g2028@gi.edu.co")</f>
        <v>matias.g2028@gi.edu.co</v>
      </c>
      <c r="L731" s="6" t="str">
        <f>IFERROR(__xludf.DUMMYFUNCTION("""COMPUTED_VALUE"""),"TI")</f>
        <v>TI</v>
      </c>
      <c r="M731" s="6" t="str">
        <f>IFERROR(__xludf.DUMMYFUNCTION("""COMPUTED_VALUE"""),"Armenia")</f>
        <v>Armenia</v>
      </c>
      <c r="N731" s="6" t="str">
        <f>IFERROR(__xludf.DUMMYFUNCTION("""COMPUTED_VALUE"""),"M")</f>
        <v>M</v>
      </c>
      <c r="O731" s="6" t="str">
        <f>IFERROR(__xludf.DUMMYFUNCTION("""COMPUTED_VALUE"""),"INACTIVE")</f>
        <v>INACTIVE</v>
      </c>
      <c r="P731" s="6"/>
      <c r="Q731" s="6" t="str">
        <f>IFERROR(__xludf.DUMMYFUNCTION("""COMPUTED_VALUE"""),"Armenia")</f>
        <v>Armenia</v>
      </c>
      <c r="R731" s="12" t="str">
        <f>IFERROR(__xludf.DUMMYFUNCTION("""COMPUTED_VALUE"""),"Gi536dge5e*")</f>
        <v>Gi536dge5e*</v>
      </c>
      <c r="S731" s="6" t="str">
        <f>IFERROR(__xludf.DUMMYFUNCTION("""COMPUTED_VALUE"""),"Gamboa Correa Matías ")</f>
        <v>Gamboa Correa Matías </v>
      </c>
      <c r="T731" s="6" t="str">
        <f>IFERROR(__xludf.DUMMYFUNCTION("""COMPUTED_VALUE"""),"SMITH GAMBOA JAIMES")</f>
        <v>SMITH GAMBOA JAIMES</v>
      </c>
      <c r="U731" s="12" t="str">
        <f>IFERROR(__xludf.DUMMYFUNCTION("""COMPUTED_VALUE"""),"79620003")</f>
        <v>79620003</v>
      </c>
      <c r="V731" s="6">
        <f>IFERROR(__xludf.DUMMYFUNCTION("""COMPUTED_VALUE"""),3.016727184E9)</f>
        <v>3016727184</v>
      </c>
      <c r="W731" s="6" t="str">
        <f>IFERROR(__xludf.DUMMYFUNCTION("""COMPUTED_VALUE"""),"smithgamboa@gmail.com")</f>
        <v>smithgamboa@gmail.com</v>
      </c>
      <c r="X731" s="12" t="str">
        <f>IFERROR(__xludf.DUMMYFUNCTION("""COMPUTED_VALUE"""),"O+")</f>
        <v>O+</v>
      </c>
      <c r="Y731" s="12" t="str">
        <f>IFERROR(__xludf.DUMMYFUNCTION("""COMPUTED_VALUE"""),"11")</f>
        <v>11</v>
      </c>
      <c r="Z731" s="12">
        <f>IFERROR(__xludf.DUMMYFUNCTION("""COMPUTED_VALUE"""),103289.0)</f>
        <v>103289</v>
      </c>
      <c r="AA731" s="6" t="str">
        <f>IFERROR(__xludf.DUMMYFUNCTION("""COMPUTED_VALUE"""),"OTRA")</f>
        <v>OTRA</v>
      </c>
      <c r="AB731" s="6" t="str">
        <f>IFERROR(__xludf.DUMMYFUNCTION("""COMPUTED_VALUE"""),"Dispensario octava brigada")</f>
        <v>Dispensario octava brigada</v>
      </c>
      <c r="AC731" s="6"/>
      <c r="AD731" s="12" t="str">
        <f>IFERROR(__xludf.DUMMYFUNCTION("""COMPUTED_VALUE"""),"11")</f>
        <v>11</v>
      </c>
      <c r="AE731" s="12">
        <f>IFERROR(__xludf.DUMMYFUNCTION("""COMPUTED_VALUE"""),1.345281609E9)</f>
        <v>1345281609</v>
      </c>
      <c r="AF731" s="12" t="str">
        <f>IFERROR(__xludf.DUMMYFUNCTION("""COMPUTED_VALUE"""),"0692825315")</f>
        <v>0692825315</v>
      </c>
      <c r="AG731" s="12" t="str">
        <f>IFERROR(__xludf.DUMMYFUNCTION("""COMPUTED_VALUE"""),"Victoria")</f>
        <v>Victoria</v>
      </c>
      <c r="AH731" s="12" t="str">
        <f>IFERROR(__xludf.DUMMYFUNCTION("""COMPUTED_VALUE"""),"Eugenia")</f>
        <v>Eugenia</v>
      </c>
      <c r="AI731" s="6" t="str">
        <f>IFERROR(__xludf.DUMMYFUNCTION("""COMPUTED_VALUE"""),"Correa Monroy")</f>
        <v>Correa Monroy</v>
      </c>
      <c r="AJ731" s="6" t="str">
        <f>IFERROR(__xludf.DUMMYFUNCTION("""COMPUTED_VALUE"""),"victoriacorrea26@hotmail.com")</f>
        <v>victoriacorrea26@hotmail.com</v>
      </c>
      <c r="AK731" s="6" t="str">
        <f>IFERROR(__xludf.DUMMYFUNCTION("""COMPUTED_VALUE"""),"ODONTOLOGA")</f>
        <v>ODONTOLOGA</v>
      </c>
      <c r="AL731" s="6" t="str">
        <f>IFERROR(__xludf.DUMMYFUNCTION("""COMPUTED_VALUE"""),"INDEPENDIENTE")</f>
        <v>INDEPENDIENTE</v>
      </c>
      <c r="AM731" s="12" t="str">
        <f>IFERROR(__xludf.DUMMYFUNCTION("""COMPUTED_VALUE"""),"41946029")</f>
        <v>41946029</v>
      </c>
      <c r="AN731" s="12" t="str">
        <f>IFERROR(__xludf.DUMMYFUNCTION("""COMPUTED_VALUE"""),"3005566615")</f>
        <v>3005566615</v>
      </c>
      <c r="AO731" s="6" t="str">
        <f>IFERROR(__xludf.DUMMYFUNCTION("""COMPUTED_VALUE"""),"Madre")</f>
        <v>Madre</v>
      </c>
      <c r="AP731" s="6" t="str">
        <f>IFERROR(__xludf.DUMMYFUNCTION("""COMPUTED_VALUE"""),"Estudiante(s): Gamboa Correa")</f>
        <v>Estudiante(s): Gamboa Correa</v>
      </c>
      <c r="AQ731" s="6" t="str">
        <f>IFERROR(__xludf.DUMMYFUNCTION("""COMPUTED_VALUE"""),"103289*Gi")</f>
        <v>103289*Gi</v>
      </c>
      <c r="AR731" s="6" t="str">
        <f>IFERROR(__xludf.DUMMYFUNCTION("""COMPUTED_VALUE"""),"Smith")</f>
        <v>Smith</v>
      </c>
      <c r="AS731" s="6"/>
      <c r="AT731" s="6" t="str">
        <f>IFERROR(__xludf.DUMMYFUNCTION("""COMPUTED_VALUE"""),"Gamboa  Jaimes")</f>
        <v>Gamboa  Jaimes</v>
      </c>
      <c r="AU731" s="6" t="str">
        <f>IFERROR(__xludf.DUMMYFUNCTION("""COMPUTED_VALUE"""),"smithgamboa@gmail.com")</f>
        <v>smithgamboa@gmail.com</v>
      </c>
      <c r="AV731" s="6" t="str">
        <f>IFERROR(__xludf.DUMMYFUNCTION("""COMPUTED_VALUE"""),"Medico")</f>
        <v>Medico</v>
      </c>
      <c r="AW731" s="6" t="str">
        <f>IFERROR(__xludf.DUMMYFUNCTION("""COMPUTED_VALUE"""),"Medico Independiente")</f>
        <v>Medico Independiente</v>
      </c>
      <c r="AX731" s="12" t="str">
        <f>IFERROR(__xludf.DUMMYFUNCTION("""COMPUTED_VALUE"""),"79620003")</f>
        <v>79620003</v>
      </c>
      <c r="AY731" s="12" t="str">
        <f>IFERROR(__xludf.DUMMYFUNCTION("""COMPUTED_VALUE"""),"3016727184")</f>
        <v>3016727184</v>
      </c>
      <c r="AZ731" s="6" t="str">
        <f>IFERROR(__xludf.DUMMYFUNCTION("""COMPUTED_VALUE"""),"Padre")</f>
        <v>Padre</v>
      </c>
      <c r="BA731" s="6"/>
      <c r="BB731" s="6"/>
      <c r="BC731" s="6"/>
      <c r="BD731" s="12" t="str">
        <f>IFERROR(__xludf.DUMMYFUNCTION("""COMPUTED_VALUE"""),"gam0001")</f>
        <v>gam0001</v>
      </c>
      <c r="BE731" s="6" t="str">
        <f>IFERROR(__xludf.DUMMYFUNCTION("""COMPUTED_VALUE"""),"FALTAN FIRMAS")</f>
        <v>FALTAN FIRMAS</v>
      </c>
      <c r="BF731" s="6"/>
      <c r="BG731" s="6">
        <f>IFERROR(__xludf.DUMMYFUNCTION("""COMPUTED_VALUE"""),2028.0)</f>
        <v>2028</v>
      </c>
      <c r="BH731" s="15">
        <f>IFERROR(__xludf.DUMMYFUNCTION("""COMPUTED_VALUE"""),46221.295219907406)</f>
        <v>46221.29522</v>
      </c>
      <c r="BI731" s="6">
        <f>IFERROR(__xludf.DUMMYFUNCTION("""COMPUTED_VALUE"""),732.0)</f>
        <v>732</v>
      </c>
      <c r="BJ731" s="6"/>
      <c r="BK731" s="6"/>
      <c r="BL731" s="6" t="str">
        <f>IFERROR(__xludf.DUMMYFUNCTION("""COMPUTED_VALUE"""),"GISGAM0001")</f>
        <v>GISGAM0001</v>
      </c>
      <c r="BM731" s="6"/>
      <c r="BN731" s="6"/>
      <c r="BO731" s="6"/>
      <c r="BP731" s="6"/>
      <c r="BQ731" s="6"/>
      <c r="BR731" s="6"/>
      <c r="BS731" s="6"/>
      <c r="BT731" s="6"/>
      <c r="BU731" s="6" t="str">
        <f>IFERROR(__xludf.DUMMYFUNCTION("""COMPUTED_VALUE"""),"SI")</f>
        <v>SI</v>
      </c>
      <c r="BV731" s="6" t="str">
        <f>IFERROR(__xludf.DUMMYFUNCTION("""COMPUTED_VALUE"""),"matias.g2028")</f>
        <v>matias.g2028</v>
      </c>
      <c r="BW731" s="6"/>
      <c r="BX731" s="6"/>
      <c r="BY731" s="6"/>
      <c r="BZ731" s="6"/>
    </row>
    <row r="732">
      <c r="A732" s="12">
        <f>IFERROR(__xludf.DUMMYFUNCTION("""COMPUTED_VALUE"""),1.094932761E9)</f>
        <v>1094932761</v>
      </c>
      <c r="B732" s="6">
        <f>IFERROR(__xludf.DUMMYFUNCTION("""COMPUTED_VALUE"""),22.0)</f>
        <v>22</v>
      </c>
      <c r="C732" s="6" t="str">
        <f>IFERROR(__xludf.DUMMYFUNCTION("""COMPUTED_VALUE"""),"Sofía")</f>
        <v>Sofía</v>
      </c>
      <c r="D732" s="6"/>
      <c r="E732" s="6" t="str">
        <f>IFERROR(__xludf.DUMMYFUNCTION("""COMPUTED_VALUE"""),"Garzón Sánchez")</f>
        <v>Garzón Sánchez</v>
      </c>
      <c r="F732" s="6" t="str">
        <f>IFERROR(__xludf.DUMMYFUNCTION("""COMPUTED_VALUE"""),"Casa Campo Bambusa Vda Cantores Km 2.3. Montenegro")</f>
        <v>Casa Campo Bambusa Vda Cantores Km 2.3. Montenegro</v>
      </c>
      <c r="G732" s="12" t="str">
        <f>IFERROR(__xludf.DUMMYFUNCTION("""COMPUTED_VALUE"""),"2011")</f>
        <v>2011</v>
      </c>
      <c r="H732" s="6" t="str">
        <f>IFERROR(__xludf.DUMMYFUNCTION("""COMPUTED_VALUE"""),"Enero")</f>
        <v>Enero</v>
      </c>
      <c r="I732" s="12" t="str">
        <f>IFERROR(__xludf.DUMMYFUNCTION("""COMPUTED_VALUE"""),"24")</f>
        <v>24</v>
      </c>
      <c r="J732" s="6" t="str">
        <f>IFERROR(__xludf.DUMMYFUNCTION("""COMPUTED_VALUE"""),"Armenia")</f>
        <v>Armenia</v>
      </c>
      <c r="K732" s="6" t="str">
        <f>IFERROR(__xludf.DUMMYFUNCTION("""COMPUTED_VALUE"""),"sofia.g2029@gi.edu.co")</f>
        <v>sofia.g2029@gi.edu.co</v>
      </c>
      <c r="L732" s="6" t="str">
        <f>IFERROR(__xludf.DUMMYFUNCTION("""COMPUTED_VALUE"""),"TI")</f>
        <v>TI</v>
      </c>
      <c r="M732" s="6" t="str">
        <f>IFERROR(__xludf.DUMMYFUNCTION("""COMPUTED_VALUE"""),"Armenia")</f>
        <v>Armenia</v>
      </c>
      <c r="N732" s="6" t="str">
        <f>IFERROR(__xludf.DUMMYFUNCTION("""COMPUTED_VALUE"""),"F")</f>
        <v>F</v>
      </c>
      <c r="O732" s="6" t="str">
        <f>IFERROR(__xludf.DUMMYFUNCTION("""COMPUTED_VALUE"""),"ACTIVE")</f>
        <v>ACTIVE</v>
      </c>
      <c r="P732" s="6"/>
      <c r="Q732" s="6" t="str">
        <f>IFERROR(__xludf.DUMMYFUNCTION("""COMPUTED_VALUE"""),"Montenegro")</f>
        <v>Montenegro</v>
      </c>
      <c r="R732" s="12" t="str">
        <f>IFERROR(__xludf.DUMMYFUNCTION("""COMPUTED_VALUE"""),"Gis88kp*")</f>
        <v>Gis88kp*</v>
      </c>
      <c r="S732" s="6" t="str">
        <f>IFERROR(__xludf.DUMMYFUNCTION("""COMPUTED_VALUE"""),"Garzón Sánchez Sofía ")</f>
        <v>Garzón Sánchez Sofía </v>
      </c>
      <c r="T732" s="6" t="str">
        <f>IFERROR(__xludf.DUMMYFUNCTION("""COMPUTED_VALUE"""),"JULIÁN GARZÓN BARRERO")</f>
        <v>JULIÁN GARZÓN BARRERO</v>
      </c>
      <c r="U732" s="12" t="str">
        <f>IFERROR(__xludf.DUMMYFUNCTION("""COMPUTED_VALUE"""),"89007517")</f>
        <v>89007517</v>
      </c>
      <c r="V732" s="6">
        <f>IFERROR(__xludf.DUMMYFUNCTION("""COMPUTED_VALUE"""),3.18621504E9)</f>
        <v>3186215040</v>
      </c>
      <c r="W732" s="6" t="str">
        <f>IFERROR(__xludf.DUMMYFUNCTION("""COMPUTED_VALUE"""),"juliangarzonb@uniquindio.edu.co")</f>
        <v>juliangarzonb@uniquindio.edu.co</v>
      </c>
      <c r="X732" s="12" t="str">
        <f>IFERROR(__xludf.DUMMYFUNCTION("""COMPUTED_VALUE"""),"B+")</f>
        <v>B+</v>
      </c>
      <c r="Y732" s="12" t="str">
        <f>IFERROR(__xludf.DUMMYFUNCTION("""COMPUTED_VALUE"""),"11")</f>
        <v>11</v>
      </c>
      <c r="Z732" s="12">
        <f>IFERROR(__xludf.DUMMYFUNCTION("""COMPUTED_VALUE"""),120285.0)</f>
        <v>120285</v>
      </c>
      <c r="AA732" s="6" t="str">
        <f>IFERROR(__xludf.DUMMYFUNCTION("""COMPUTED_VALUE"""),"OTRA")</f>
        <v>OTRA</v>
      </c>
      <c r="AB732" s="6"/>
      <c r="AC732" s="12" t="str">
        <f>IFERROR(__xludf.DUMMYFUNCTION("""COMPUTED_VALUE"""),"polvo")</f>
        <v>polvo</v>
      </c>
      <c r="AD732" s="12" t="str">
        <f>IFERROR(__xludf.DUMMYFUNCTION("""COMPUTED_VALUE"""),"11")</f>
        <v>11</v>
      </c>
      <c r="AE732" s="12">
        <f>IFERROR(__xludf.DUMMYFUNCTION("""COMPUTED_VALUE"""),1.345282251E9)</f>
        <v>1345282251</v>
      </c>
      <c r="AF732" s="12" t="str">
        <f>IFERROR(__xludf.DUMMYFUNCTION("""COMPUTED_VALUE"""),"0699985923")</f>
        <v>0699985923</v>
      </c>
      <c r="AG732" s="12" t="str">
        <f>IFERROR(__xludf.DUMMYFUNCTION("""COMPUTED_VALUE"""),"Nancy")</f>
        <v>Nancy</v>
      </c>
      <c r="AH732" s="12" t="str">
        <f>IFERROR(__xludf.DUMMYFUNCTION("""COMPUTED_VALUE"""),"Estela")</f>
        <v>Estela</v>
      </c>
      <c r="AI732" s="6" t="str">
        <f>IFERROR(__xludf.DUMMYFUNCTION("""COMPUTED_VALUE"""),"Sánchez Pineda")</f>
        <v>Sánchez Pineda</v>
      </c>
      <c r="AJ732" s="6" t="str">
        <f>IFERROR(__xludf.DUMMYFUNCTION("""COMPUTED_VALUE"""),"nesanchez@uniquindio.edu.co")</f>
        <v>nesanchez@uniquindio.edu.co</v>
      </c>
      <c r="AK732" s="6" t="str">
        <f>IFERROR(__xludf.DUMMYFUNCTION("""COMPUTED_VALUE"""),"Ingeniera Civil")</f>
        <v>Ingeniera Civil</v>
      </c>
      <c r="AL732" s="6" t="str">
        <f>IFERROR(__xludf.DUMMYFUNCTION("""COMPUTED_VALUE"""),"Universidad del Quindío")</f>
        <v>Universidad del Quindío</v>
      </c>
      <c r="AM732" s="12" t="str">
        <f>IFERROR(__xludf.DUMMYFUNCTION("""COMPUTED_VALUE"""),"41941613")</f>
        <v>41941613</v>
      </c>
      <c r="AN732" s="12" t="str">
        <f>IFERROR(__xludf.DUMMYFUNCTION("""COMPUTED_VALUE"""),"3167560810")</f>
        <v>3167560810</v>
      </c>
      <c r="AO732" s="6" t="str">
        <f>IFERROR(__xludf.DUMMYFUNCTION("""COMPUTED_VALUE"""),"Madre")</f>
        <v>Madre</v>
      </c>
      <c r="AP732" s="6" t="str">
        <f>IFERROR(__xludf.DUMMYFUNCTION("""COMPUTED_VALUE"""),"Estudiante(s): Garzón Sánchez")</f>
        <v>Estudiante(s): Garzón Sánchez</v>
      </c>
      <c r="AQ732" s="6" t="str">
        <f>IFERROR(__xludf.DUMMYFUNCTION("""COMPUTED_VALUE"""),"120285*Gi")</f>
        <v>120285*Gi</v>
      </c>
      <c r="AR732" s="6" t="str">
        <f>IFERROR(__xludf.DUMMYFUNCTION("""COMPUTED_VALUE"""),"Julián")</f>
        <v>Julián</v>
      </c>
      <c r="AS732" s="6"/>
      <c r="AT732" s="6" t="str">
        <f>IFERROR(__xludf.DUMMYFUNCTION("""COMPUTED_VALUE"""),"Garzón Barrero")</f>
        <v>Garzón Barrero</v>
      </c>
      <c r="AU732" s="6" t="str">
        <f>IFERROR(__xludf.DUMMYFUNCTION("""COMPUTED_VALUE"""),"juliangarzonb@uniquindio.edu.co")</f>
        <v>juliangarzonb@uniquindio.edu.co</v>
      </c>
      <c r="AV732" s="6" t="str">
        <f>IFERROR(__xludf.DUMMYFUNCTION("""COMPUTED_VALUE"""),"ingeniero de sistemas")</f>
        <v>ingeniero de sistemas</v>
      </c>
      <c r="AW732" s="6" t="str">
        <f>IFERROR(__xludf.DUMMYFUNCTION("""COMPUTED_VALUE"""),"Universidad del Quindío")</f>
        <v>Universidad del Quindío</v>
      </c>
      <c r="AX732" s="12" t="str">
        <f>IFERROR(__xludf.DUMMYFUNCTION("""COMPUTED_VALUE"""),"89007517")</f>
        <v>89007517</v>
      </c>
      <c r="AY732" s="12" t="str">
        <f>IFERROR(__xludf.DUMMYFUNCTION("""COMPUTED_VALUE"""),"3186215040")</f>
        <v>3186215040</v>
      </c>
      <c r="AZ732" s="6" t="str">
        <f>IFERROR(__xludf.DUMMYFUNCTION("""COMPUTED_VALUE"""),"Padre")</f>
        <v>Padre</v>
      </c>
      <c r="BA732" s="6"/>
      <c r="BB732" s="6"/>
      <c r="BC732" s="6"/>
      <c r="BD732" s="12" t="str">
        <f>IFERROR(__xludf.DUMMYFUNCTION("""COMPUTED_VALUE"""),"gar0017")</f>
        <v>gar0017</v>
      </c>
      <c r="BE732" s="6"/>
      <c r="BF732" s="6"/>
      <c r="BG732" s="6">
        <f>IFERROR(__xludf.DUMMYFUNCTION("""COMPUTED_VALUE"""),2029.0)</f>
        <v>2029</v>
      </c>
      <c r="BH732" s="15">
        <f>IFERROR(__xludf.DUMMYFUNCTION("""COMPUTED_VALUE"""),46211.50837962963)</f>
        <v>46211.50838</v>
      </c>
      <c r="BI732" s="6">
        <f>IFERROR(__xludf.DUMMYFUNCTION("""COMPUTED_VALUE"""),733.0)</f>
        <v>733</v>
      </c>
      <c r="BJ732" s="6"/>
      <c r="BK732" s="6"/>
      <c r="BL732" s="6" t="str">
        <f>IFERROR(__xludf.DUMMYFUNCTION("""COMPUTED_VALUE"""),"GISGAR0017")</f>
        <v>GISGAR0017</v>
      </c>
      <c r="BM732" s="6"/>
      <c r="BN732" s="6"/>
      <c r="BO732" s="6"/>
      <c r="BP732" s="6"/>
      <c r="BQ732" s="6"/>
      <c r="BR732" s="6"/>
      <c r="BS732" s="6"/>
      <c r="BT732" s="6"/>
      <c r="BU732" s="6" t="str">
        <f>IFERROR(__xludf.DUMMYFUNCTION("""COMPUTED_VALUE"""),"SI")</f>
        <v>SI</v>
      </c>
      <c r="BV732" s="6" t="str">
        <f>IFERROR(__xludf.DUMMYFUNCTION("""COMPUTED_VALUE"""),"sofia.g2029")</f>
        <v>sofia.g2029</v>
      </c>
      <c r="BW732" s="6"/>
      <c r="BX732" s="6"/>
      <c r="BY732" s="6"/>
      <c r="BZ732" s="6"/>
    </row>
    <row r="733">
      <c r="A733" s="12">
        <f>IFERROR(__xludf.DUMMYFUNCTION("""COMPUTED_VALUE"""),1.030100502E9)</f>
        <v>1030100502</v>
      </c>
      <c r="B733" s="6">
        <f>IFERROR(__xludf.DUMMYFUNCTION("""COMPUTED_VALUE"""),23.0)</f>
        <v>23</v>
      </c>
      <c r="C733" s="6" t="str">
        <f>IFERROR(__xludf.DUMMYFUNCTION("""COMPUTED_VALUE"""),"Tomás")</f>
        <v>Tomás</v>
      </c>
      <c r="D733" s="6"/>
      <c r="E733" s="6" t="str">
        <f>IFERROR(__xludf.DUMMYFUNCTION("""COMPUTED_VALUE"""),"Gómez Vargas")</f>
        <v>Gómez Vargas</v>
      </c>
      <c r="F733" s="6" t="str">
        <f>IFERROR(__xludf.DUMMYFUNCTION("""COMPUTED_VALUE"""),"Edificio Monte Verde Apto 604 - Cra 13 No8Nte - 16 La Castellana")</f>
        <v>Edificio Monte Verde Apto 604 - Cra 13 No8Nte - 16 La Castellana</v>
      </c>
      <c r="G733" s="12" t="str">
        <f>IFERROR(__xludf.DUMMYFUNCTION("""COMPUTED_VALUE"""),"2010")</f>
        <v>2010</v>
      </c>
      <c r="H733" s="6" t="str">
        <f>IFERROR(__xludf.DUMMYFUNCTION("""COMPUTED_VALUE"""),"Junio")</f>
        <v>Junio</v>
      </c>
      <c r="I733" s="12" t="str">
        <f>IFERROR(__xludf.DUMMYFUNCTION("""COMPUTED_VALUE"""),"7")</f>
        <v>7</v>
      </c>
      <c r="J733" s="6" t="str">
        <f>IFERROR(__xludf.DUMMYFUNCTION("""COMPUTED_VALUE"""),"Armenia")</f>
        <v>Armenia</v>
      </c>
      <c r="K733" s="6" t="str">
        <f>IFERROR(__xludf.DUMMYFUNCTION("""COMPUTED_VALUE"""),"tomas.g2028@gi.edu.co")</f>
        <v>tomas.g2028@gi.edu.co</v>
      </c>
      <c r="L733" s="6" t="str">
        <f>IFERROR(__xludf.DUMMYFUNCTION("""COMPUTED_VALUE"""),"TI")</f>
        <v>TI</v>
      </c>
      <c r="M733" s="6" t="str">
        <f>IFERROR(__xludf.DUMMYFUNCTION("""COMPUTED_VALUE"""),"Armenia")</f>
        <v>Armenia</v>
      </c>
      <c r="N733" s="6" t="str">
        <f>IFERROR(__xludf.DUMMYFUNCTION("""COMPUTED_VALUE"""),"M")</f>
        <v>M</v>
      </c>
      <c r="O733" s="6" t="str">
        <f>IFERROR(__xludf.DUMMYFUNCTION("""COMPUTED_VALUE"""),"ACTIVE")</f>
        <v>ACTIVE</v>
      </c>
      <c r="P733" s="6"/>
      <c r="Q733" s="6" t="str">
        <f>IFERROR(__xludf.DUMMYFUNCTION("""COMPUTED_VALUE"""),"Armenia")</f>
        <v>Armenia</v>
      </c>
      <c r="R733" s="12" t="str">
        <f>IFERROR(__xludf.DUMMYFUNCTION("""COMPUTED_VALUE"""),"Gi34sdaf22*")</f>
        <v>Gi34sdaf22*</v>
      </c>
      <c r="S733" s="6" t="str">
        <f>IFERROR(__xludf.DUMMYFUNCTION("""COMPUTED_VALUE"""),"Gómez Vargas Tomás ")</f>
        <v>Gómez Vargas Tomás </v>
      </c>
      <c r="T733" s="6" t="str">
        <f>IFERROR(__xludf.DUMMYFUNCTION("""COMPUTED_VALUE"""),"JUAN JOSE GOMEZ BUSTAMANTE")</f>
        <v>JUAN JOSE GOMEZ BUSTAMANTE</v>
      </c>
      <c r="U733" s="12" t="str">
        <f>IFERROR(__xludf.DUMMYFUNCTION("""COMPUTED_VALUE"""),"7562568")</f>
        <v>7562568</v>
      </c>
      <c r="V733" s="6">
        <f>IFERROR(__xludf.DUMMYFUNCTION("""COMPUTED_VALUE"""),3.167410645E9)</f>
        <v>3167410645</v>
      </c>
      <c r="W733" s="6" t="str">
        <f>IFERROR(__xludf.DUMMYFUNCTION("""COMPUTED_VALUE"""),"gomezbustamante@yahoo.com")</f>
        <v>gomezbustamante@yahoo.com</v>
      </c>
      <c r="X733" s="12" t="str">
        <f>IFERROR(__xludf.DUMMYFUNCTION("""COMPUTED_VALUE"""),"A+")</f>
        <v>A+</v>
      </c>
      <c r="Y733" s="12" t="str">
        <f>IFERROR(__xludf.DUMMYFUNCTION("""COMPUTED_VALUE"""),"11")</f>
        <v>11</v>
      </c>
      <c r="Z733" s="12">
        <f>IFERROR(__xludf.DUMMYFUNCTION("""COMPUTED_VALUE"""),103221.0)</f>
        <v>103221</v>
      </c>
      <c r="AA733" s="6" t="str">
        <f>IFERROR(__xludf.DUMMYFUNCTION("""COMPUTED_VALUE"""),"COOMEVA")</f>
        <v>COOMEVA</v>
      </c>
      <c r="AB733" s="6" t="str">
        <f>IFERROR(__xludf.DUMMYFUNCTION("""COMPUTED_VALUE"""),"EMI")</f>
        <v>EMI</v>
      </c>
      <c r="AC733" s="12" t="str">
        <f>IFERROR(__xludf.DUMMYFUNCTION("""COMPUTED_VALUE"""),"AVISPAS,HORMIGAS")</f>
        <v>AVISPAS,HORMIGAS</v>
      </c>
      <c r="AD733" s="12" t="str">
        <f>IFERROR(__xludf.DUMMYFUNCTION("""COMPUTED_VALUE"""),"11")</f>
        <v>11</v>
      </c>
      <c r="AE733" s="12">
        <f>IFERROR(__xludf.DUMMYFUNCTION("""COMPUTED_VALUE"""),1.345281581E9)</f>
        <v>1345281581</v>
      </c>
      <c r="AF733" s="12" t="str">
        <f>IFERROR(__xludf.DUMMYFUNCTION("""COMPUTED_VALUE"""),"0674403027")</f>
        <v>0674403027</v>
      </c>
      <c r="AG733" s="12" t="str">
        <f>IFERROR(__xludf.DUMMYFUNCTION("""COMPUTED_VALUE"""),"Angélica")</f>
        <v>Angélica</v>
      </c>
      <c r="AH733" s="12" t="str">
        <f>IFERROR(__xludf.DUMMYFUNCTION("""COMPUTED_VALUE"""),"Del Pilar")</f>
        <v>Del Pilar</v>
      </c>
      <c r="AI733" s="6" t="str">
        <f>IFERROR(__xludf.DUMMYFUNCTION("""COMPUTED_VALUE"""),"Vargas Marín")</f>
        <v>Vargas Marín</v>
      </c>
      <c r="AJ733" s="6" t="str">
        <f>IFERROR(__xludf.DUMMYFUNCTION("""COMPUTED_VALUE"""),"gelizz@hotmail.com")</f>
        <v>gelizz@hotmail.com</v>
      </c>
      <c r="AK733" s="6"/>
      <c r="AL733" s="6"/>
      <c r="AM733" s="12" t="str">
        <f>IFERROR(__xludf.DUMMYFUNCTION("""COMPUTED_VALUE"""),"41943662")</f>
        <v>41943662</v>
      </c>
      <c r="AN733" s="12" t="str">
        <f>IFERROR(__xludf.DUMMYFUNCTION("""COMPUTED_VALUE"""),"3005050605")</f>
        <v>3005050605</v>
      </c>
      <c r="AO733" s="6" t="str">
        <f>IFERROR(__xludf.DUMMYFUNCTION("""COMPUTED_VALUE"""),"Madre")</f>
        <v>Madre</v>
      </c>
      <c r="AP733" s="6" t="str">
        <f>IFERROR(__xludf.DUMMYFUNCTION("""COMPUTED_VALUE"""),"Estudiante(s): Gómez Vargas")</f>
        <v>Estudiante(s): Gómez Vargas</v>
      </c>
      <c r="AQ733" s="6" t="str">
        <f>IFERROR(__xludf.DUMMYFUNCTION("""COMPUTED_VALUE"""),"103221*Gi")</f>
        <v>103221*Gi</v>
      </c>
      <c r="AR733" s="6" t="str">
        <f>IFERROR(__xludf.DUMMYFUNCTION("""COMPUTED_VALUE"""),"Juan")</f>
        <v>Juan</v>
      </c>
      <c r="AS733" s="6" t="str">
        <f>IFERROR(__xludf.DUMMYFUNCTION("""COMPUTED_VALUE"""),"José")</f>
        <v>José</v>
      </c>
      <c r="AT733" s="6" t="str">
        <f>IFERROR(__xludf.DUMMYFUNCTION("""COMPUTED_VALUE"""),"Gómez Bustamante")</f>
        <v>Gómez Bustamante</v>
      </c>
      <c r="AU733" s="6" t="str">
        <f>IFERROR(__xludf.DUMMYFUNCTION("""COMPUTED_VALUE"""),"gomezbustamante@yahoo.com")</f>
        <v>gomezbustamante@yahoo.com</v>
      </c>
      <c r="AV733" s="6" t="str">
        <f>IFERROR(__xludf.DUMMYFUNCTION("""COMPUTED_VALUE"""),"Economista")</f>
        <v>Economista</v>
      </c>
      <c r="AW733" s="6" t="str">
        <f>IFERROR(__xludf.DUMMYFUNCTION("""COMPUTED_VALUE"""),"RED DE SERVICIO DIAMANTE")</f>
        <v>RED DE SERVICIO DIAMANTE</v>
      </c>
      <c r="AX733" s="12" t="str">
        <f>IFERROR(__xludf.DUMMYFUNCTION("""COMPUTED_VALUE"""),"7562568")</f>
        <v>7562568</v>
      </c>
      <c r="AY733" s="12" t="str">
        <f>IFERROR(__xludf.DUMMYFUNCTION("""COMPUTED_VALUE"""),"3167410645")</f>
        <v>3167410645</v>
      </c>
      <c r="AZ733" s="6" t="str">
        <f>IFERROR(__xludf.DUMMYFUNCTION("""COMPUTED_VALUE"""),"Padre")</f>
        <v>Padre</v>
      </c>
      <c r="BA733" s="6"/>
      <c r="BB733" s="6"/>
      <c r="BC733" s="6"/>
      <c r="BD733" s="12" t="str">
        <f>IFERROR(__xludf.DUMMYFUNCTION("""COMPUTED_VALUE"""),"gom0002")</f>
        <v>gom0002</v>
      </c>
      <c r="BE733" s="6"/>
      <c r="BF733" s="6"/>
      <c r="BG733" s="6">
        <f>IFERROR(__xludf.DUMMYFUNCTION("""COMPUTED_VALUE"""),2028.0)</f>
        <v>2028</v>
      </c>
      <c r="BH733" s="15">
        <f>IFERROR(__xludf.DUMMYFUNCTION("""COMPUTED_VALUE"""),46211.703252314815)</f>
        <v>46211.70325</v>
      </c>
      <c r="BI733" s="6">
        <f>IFERROR(__xludf.DUMMYFUNCTION("""COMPUTED_VALUE"""),734.0)</f>
        <v>734</v>
      </c>
      <c r="BJ733" s="6"/>
      <c r="BK733" s="6"/>
      <c r="BL733" s="6" t="str">
        <f>IFERROR(__xludf.DUMMYFUNCTION("""COMPUTED_VALUE"""),"GISGOM0002")</f>
        <v>GISGOM0002</v>
      </c>
      <c r="BM733" s="6"/>
      <c r="BN733" s="6"/>
      <c r="BO733" s="6"/>
      <c r="BP733" s="6"/>
      <c r="BQ733" s="6"/>
      <c r="BR733" s="6"/>
      <c r="BS733" s="6"/>
      <c r="BT733" s="6"/>
      <c r="BU733" s="6" t="str">
        <f>IFERROR(__xludf.DUMMYFUNCTION("""COMPUTED_VALUE"""),"SI")</f>
        <v>SI</v>
      </c>
      <c r="BV733" s="6" t="str">
        <f>IFERROR(__xludf.DUMMYFUNCTION("""COMPUTED_VALUE"""),"tomas.g2028")</f>
        <v>tomas.g2028</v>
      </c>
      <c r="BW733" s="6"/>
      <c r="BX733" s="6"/>
      <c r="BY733" s="6"/>
      <c r="BZ733" s="6"/>
    </row>
    <row r="734">
      <c r="A734" s="12">
        <f>IFERROR(__xludf.DUMMYFUNCTION("""COMPUTED_VALUE"""),1.030100315E9)</f>
        <v>1030100315</v>
      </c>
      <c r="B734" s="6">
        <f>IFERROR(__xludf.DUMMYFUNCTION("""COMPUTED_VALUE"""),24.0)</f>
        <v>24</v>
      </c>
      <c r="C734" s="6" t="str">
        <f>IFERROR(__xludf.DUMMYFUNCTION("""COMPUTED_VALUE"""),"Juan")</f>
        <v>Juan</v>
      </c>
      <c r="D734" s="6" t="str">
        <f>IFERROR(__xludf.DUMMYFUNCTION("""COMPUTED_VALUE"""),"José")</f>
        <v>José</v>
      </c>
      <c r="E734" s="6" t="str">
        <f>IFERROR(__xludf.DUMMYFUNCTION("""COMPUTED_VALUE"""),"González Marín")</f>
        <v>González Marín</v>
      </c>
      <c r="F734" s="6" t="str">
        <f>IFERROR(__xludf.DUMMYFUNCTION("""COMPUTED_VALUE"""),"La Española Calle 23Nte No23 - 00")</f>
        <v>La Española Calle 23Nte No23 - 00</v>
      </c>
      <c r="G734" s="12" t="str">
        <f>IFERROR(__xludf.DUMMYFUNCTION("""COMPUTED_VALUE"""),"2009")</f>
        <v>2009</v>
      </c>
      <c r="H734" s="6" t="str">
        <f>IFERROR(__xludf.DUMMYFUNCTION("""COMPUTED_VALUE"""),"Noviembre")</f>
        <v>Noviembre</v>
      </c>
      <c r="I734" s="12" t="str">
        <f>IFERROR(__xludf.DUMMYFUNCTION("""COMPUTED_VALUE"""),"18")</f>
        <v>18</v>
      </c>
      <c r="J734" s="6" t="str">
        <f>IFERROR(__xludf.DUMMYFUNCTION("""COMPUTED_VALUE"""),"Armenia")</f>
        <v>Armenia</v>
      </c>
      <c r="K734" s="6" t="str">
        <f>IFERROR(__xludf.DUMMYFUNCTION("""COMPUTED_VALUE"""),"juan.j2028@gi.edu.co")</f>
        <v>juan.j2028@gi.edu.co</v>
      </c>
      <c r="L734" s="6" t="str">
        <f>IFERROR(__xludf.DUMMYFUNCTION("""COMPUTED_VALUE"""),"TI")</f>
        <v>TI</v>
      </c>
      <c r="M734" s="6" t="str">
        <f>IFERROR(__xludf.DUMMYFUNCTION("""COMPUTED_VALUE"""),"Armenia")</f>
        <v>Armenia</v>
      </c>
      <c r="N734" s="6" t="str">
        <f>IFERROR(__xludf.DUMMYFUNCTION("""COMPUTED_VALUE"""),"M")</f>
        <v>M</v>
      </c>
      <c r="O734" s="6" t="str">
        <f>IFERROR(__xludf.DUMMYFUNCTION("""COMPUTED_VALUE"""),"INACTIVE")</f>
        <v>INACTIVE</v>
      </c>
      <c r="P734" s="6"/>
      <c r="Q734" s="6" t="str">
        <f>IFERROR(__xludf.DUMMYFUNCTION("""COMPUTED_VALUE"""),"Armenia")</f>
        <v>Armenia</v>
      </c>
      <c r="R734" s="12" t="str">
        <f>IFERROR(__xludf.DUMMYFUNCTION("""COMPUTED_VALUE"""),"Gi275hgdt3*")</f>
        <v>Gi275hgdt3*</v>
      </c>
      <c r="S734" s="6" t="str">
        <f>IFERROR(__xludf.DUMMYFUNCTION("""COMPUTED_VALUE"""),"González Marín Juan José")</f>
        <v>González Marín Juan José</v>
      </c>
      <c r="T734" s="6" t="str">
        <f>IFERROR(__xludf.DUMMYFUNCTION("""COMPUTED_VALUE"""),"PAULA ANDREA MARÍN")</f>
        <v>PAULA ANDREA MARÍN</v>
      </c>
      <c r="U734" s="12" t="str">
        <f>IFERROR(__xludf.DUMMYFUNCTION("""COMPUTED_VALUE"""),"41870566")</f>
        <v>41870566</v>
      </c>
      <c r="V734" s="6">
        <f>IFERROR(__xludf.DUMMYFUNCTION("""COMPUTED_VALUE"""),3.22684947E9)</f>
        <v>3226849470</v>
      </c>
      <c r="W734" s="6" t="str">
        <f>IFERROR(__xludf.DUMMYFUNCTION("""COMPUTED_VALUE"""),"andreamarin16@hotmail.com")</f>
        <v>andreamarin16@hotmail.com</v>
      </c>
      <c r="X734" s="12" t="str">
        <f>IFERROR(__xludf.DUMMYFUNCTION("""COMPUTED_VALUE"""),"O+")</f>
        <v>O+</v>
      </c>
      <c r="Y734" s="12" t="str">
        <f>IFERROR(__xludf.DUMMYFUNCTION("""COMPUTED_VALUE"""),"11")</f>
        <v>11</v>
      </c>
      <c r="Z734" s="12">
        <f>IFERROR(__xludf.DUMMYFUNCTION("""COMPUTED_VALUE"""),103000.0)</f>
        <v>103000</v>
      </c>
      <c r="AA734" s="6" t="str">
        <f>IFERROR(__xludf.DUMMYFUNCTION("""COMPUTED_VALUE"""),"NUEVA EPS")</f>
        <v>NUEVA EPS</v>
      </c>
      <c r="AB734" s="6"/>
      <c r="AC734" s="6"/>
      <c r="AD734" s="12" t="str">
        <f>IFERROR(__xludf.DUMMYFUNCTION("""COMPUTED_VALUE"""),"11")</f>
        <v>11</v>
      </c>
      <c r="AE734" s="12">
        <f>IFERROR(__xludf.DUMMYFUNCTION("""COMPUTED_VALUE"""),1.345281459E9)</f>
        <v>1345281459</v>
      </c>
      <c r="AF734" s="12" t="str">
        <f>IFERROR(__xludf.DUMMYFUNCTION("""COMPUTED_VALUE"""),"0242192963")</f>
        <v>0242192963</v>
      </c>
      <c r="AG734" s="12" t="str">
        <f>IFERROR(__xludf.DUMMYFUNCTION("""COMPUTED_VALUE"""),"Paula")</f>
        <v>Paula</v>
      </c>
      <c r="AH734" s="12" t="str">
        <f>IFERROR(__xludf.DUMMYFUNCTION("""COMPUTED_VALUE"""),"Andrea")</f>
        <v>Andrea</v>
      </c>
      <c r="AI734" s="6" t="str">
        <f>IFERROR(__xludf.DUMMYFUNCTION("""COMPUTED_VALUE"""),"Marín")</f>
        <v>Marín</v>
      </c>
      <c r="AJ734" s="6" t="str">
        <f>IFERROR(__xludf.DUMMYFUNCTION("""COMPUTED_VALUE"""),"andreamarin16@hotmail.com")</f>
        <v>andreamarin16@hotmail.com</v>
      </c>
      <c r="AK734" s="6"/>
      <c r="AL734" s="6"/>
      <c r="AM734" s="12">
        <f>IFERROR(__xludf.DUMMYFUNCTION("""COMPUTED_VALUE"""),4.1870566E7)</f>
        <v>41870566</v>
      </c>
      <c r="AN734" s="12" t="str">
        <f>IFERROR(__xludf.DUMMYFUNCTION("""COMPUTED_VALUE"""),"3226849470")</f>
        <v>3226849470</v>
      </c>
      <c r="AO734" s="6" t="str">
        <f>IFERROR(__xludf.DUMMYFUNCTION("""COMPUTED_VALUE"""),"Madre")</f>
        <v>Madre</v>
      </c>
      <c r="AP734" s="6" t="str">
        <f>IFERROR(__xludf.DUMMYFUNCTION("""COMPUTED_VALUE"""),"Estudiante(s): González Marín")</f>
        <v>Estudiante(s): González Marín</v>
      </c>
      <c r="AQ734" s="6" t="str">
        <f>IFERROR(__xludf.DUMMYFUNCTION("""COMPUTED_VALUE"""),"103000*Gi")</f>
        <v>103000*Gi</v>
      </c>
      <c r="AR734" s="6" t="str">
        <f>IFERROR(__xludf.DUMMYFUNCTION("""COMPUTED_VALUE"""),"William")</f>
        <v>William</v>
      </c>
      <c r="AS734" s="6"/>
      <c r="AT734" s="6" t="str">
        <f>IFERROR(__xludf.DUMMYFUNCTION("""COMPUTED_VALUE"""),"González Sanchéz")</f>
        <v>González Sanchéz</v>
      </c>
      <c r="AU734" s="6" t="str">
        <f>IFERROR(__xludf.DUMMYFUNCTION("""COMPUTED_VALUE"""),"luiisagonzalezm95@hotmail.com")</f>
        <v>luiisagonzalezm95@hotmail.com</v>
      </c>
      <c r="AV734" s="6"/>
      <c r="AW734" s="6"/>
      <c r="AX734" s="12">
        <f>IFERROR(__xludf.DUMMYFUNCTION("""COMPUTED_VALUE"""),9807398.0)</f>
        <v>9807398</v>
      </c>
      <c r="AY734" s="12" t="str">
        <f>IFERROR(__xludf.DUMMYFUNCTION("""COMPUTED_VALUE"""),"3225684540")</f>
        <v>3225684540</v>
      </c>
      <c r="AZ734" s="6" t="str">
        <f>IFERROR(__xludf.DUMMYFUNCTION("""COMPUTED_VALUE"""),"Padre")</f>
        <v>Padre</v>
      </c>
      <c r="BA734" s="6"/>
      <c r="BB734" s="6"/>
      <c r="BC734" s="6"/>
      <c r="BD734" s="12" t="str">
        <f>IFERROR(__xludf.DUMMYFUNCTION("""COMPUTED_VALUE"""),"gon0009")</f>
        <v>gon0009</v>
      </c>
      <c r="BE734" s="6" t="str">
        <f>IFERROR(__xludf.DUMMYFUNCTION("""COMPUTED_VALUE"""),"FALTAN FIRMAS")</f>
        <v>FALTAN FIRMAS</v>
      </c>
      <c r="BF734" s="6"/>
      <c r="BG734" s="6">
        <f>IFERROR(__xludf.DUMMYFUNCTION("""COMPUTED_VALUE"""),2028.0)</f>
        <v>2028</v>
      </c>
      <c r="BH734" s="15">
        <f>IFERROR(__xludf.DUMMYFUNCTION("""COMPUTED_VALUE"""),46258.39980324074)</f>
        <v>46258.3998</v>
      </c>
      <c r="BI734" s="6">
        <f>IFERROR(__xludf.DUMMYFUNCTION("""COMPUTED_VALUE"""),735.0)</f>
        <v>735</v>
      </c>
      <c r="BJ734" s="6"/>
      <c r="BK734" s="6"/>
      <c r="BL734" s="6" t="str">
        <f>IFERROR(__xludf.DUMMYFUNCTION("""COMPUTED_VALUE"""),"GISGON0009")</f>
        <v>GISGON0009</v>
      </c>
      <c r="BM734" s="6"/>
      <c r="BN734" s="6"/>
      <c r="BO734" s="6"/>
      <c r="BP734" s="6"/>
      <c r="BQ734" s="6"/>
      <c r="BR734" s="6"/>
      <c r="BS734" s="6"/>
      <c r="BT734" s="6"/>
      <c r="BU734" s="6" t="str">
        <f>IFERROR(__xludf.DUMMYFUNCTION("""COMPUTED_VALUE"""),"SI")</f>
        <v>SI</v>
      </c>
      <c r="BV734" s="6" t="str">
        <f>IFERROR(__xludf.DUMMYFUNCTION("""COMPUTED_VALUE"""),"juan.j2028")</f>
        <v>juan.j2028</v>
      </c>
      <c r="BW734" s="6"/>
      <c r="BX734" s="6"/>
      <c r="BY734" s="6"/>
      <c r="BZ734" s="6"/>
    </row>
    <row r="735">
      <c r="A735" s="12">
        <f>IFERROR(__xludf.DUMMYFUNCTION("""COMPUTED_VALUE"""),1.030100072E9)</f>
        <v>1030100072</v>
      </c>
      <c r="B735" s="6">
        <f>IFERROR(__xludf.DUMMYFUNCTION("""COMPUTED_VALUE"""),25.0)</f>
        <v>25</v>
      </c>
      <c r="C735" s="6" t="str">
        <f>IFERROR(__xludf.DUMMYFUNCTION("""COMPUTED_VALUE"""),"Antonia")</f>
        <v>Antonia</v>
      </c>
      <c r="D735" s="6"/>
      <c r="E735" s="6" t="str">
        <f>IFERROR(__xludf.DUMMYFUNCTION("""COMPUTED_VALUE"""),"González Mejía")</f>
        <v>González Mejía</v>
      </c>
      <c r="F735" s="6" t="str">
        <f>IFERROR(__xludf.DUMMYFUNCTION("""COMPUTED_VALUE"""),"Condominio Hacienda Horizontes Casa 9 - Km 3 Via Circasia Vereda la Florida")</f>
        <v>Condominio Hacienda Horizontes Casa 9 - Km 3 Via Circasia Vereda la Florida</v>
      </c>
      <c r="G735" s="12" t="str">
        <f>IFERROR(__xludf.DUMMYFUNCTION("""COMPUTED_VALUE"""),"2009")</f>
        <v>2009</v>
      </c>
      <c r="H735" s="6" t="str">
        <f>IFERROR(__xludf.DUMMYFUNCTION("""COMPUTED_VALUE"""),"Abril")</f>
        <v>Abril</v>
      </c>
      <c r="I735" s="12" t="str">
        <f>IFERROR(__xludf.DUMMYFUNCTION("""COMPUTED_VALUE"""),"13")</f>
        <v>13</v>
      </c>
      <c r="J735" s="6" t="str">
        <f>IFERROR(__xludf.DUMMYFUNCTION("""COMPUTED_VALUE"""),"Armenia")</f>
        <v>Armenia</v>
      </c>
      <c r="K735" s="6" t="str">
        <f>IFERROR(__xludf.DUMMYFUNCTION("""COMPUTED_VALUE"""),"antonia.g2027@gi.edu.co")</f>
        <v>antonia.g2027@gi.edu.co</v>
      </c>
      <c r="L735" s="6" t="str">
        <f>IFERROR(__xludf.DUMMYFUNCTION("""COMPUTED_VALUE"""),"TI")</f>
        <v>TI</v>
      </c>
      <c r="M735" s="6" t="str">
        <f>IFERROR(__xludf.DUMMYFUNCTION("""COMPUTED_VALUE"""),"Armenia")</f>
        <v>Armenia</v>
      </c>
      <c r="N735" s="6" t="str">
        <f>IFERROR(__xludf.DUMMYFUNCTION("""COMPUTED_VALUE"""),"F")</f>
        <v>F</v>
      </c>
      <c r="O735" s="6" t="str">
        <f>IFERROR(__xludf.DUMMYFUNCTION("""COMPUTED_VALUE"""),"INACTIVE")</f>
        <v>INACTIVE</v>
      </c>
      <c r="P735" s="6"/>
      <c r="Q735" s="6" t="str">
        <f>IFERROR(__xludf.DUMMYFUNCTION("""COMPUTED_VALUE"""),"Circasia")</f>
        <v>Circasia</v>
      </c>
      <c r="R735" s="12" t="str">
        <f>IFERROR(__xludf.DUMMYFUNCTION("""COMPUTED_VALUE"""),"Gi67823c19*")</f>
        <v>Gi67823c19*</v>
      </c>
      <c r="S735" s="6" t="str">
        <f>IFERROR(__xludf.DUMMYFUNCTION("""COMPUTED_VALUE"""),"González Mejía Antonia ")</f>
        <v>González Mejía Antonia </v>
      </c>
      <c r="T735" s="6" t="str">
        <f>IFERROR(__xludf.DUMMYFUNCTION("""COMPUTED_VALUE"""),"MARIO GONZÁLEZ LÓPEZ")</f>
        <v>MARIO GONZÁLEZ LÓPEZ</v>
      </c>
      <c r="U735" s="12" t="str">
        <f>IFERROR(__xludf.DUMMYFUNCTION("""COMPUTED_VALUE"""),"4407682")</f>
        <v>4407682</v>
      </c>
      <c r="V735" s="6">
        <f>IFERROR(__xludf.DUMMYFUNCTION("""COMPUTED_VALUE"""),3.164812418E9)</f>
        <v>3164812418</v>
      </c>
      <c r="W735" s="6" t="str">
        <f>IFERROR(__xludf.DUMMYFUNCTION("""COMPUTED_VALUE"""),"glmario@hotmail.com")</f>
        <v>glmario@hotmail.com</v>
      </c>
      <c r="X735" s="12" t="str">
        <f>IFERROR(__xludf.DUMMYFUNCTION("""COMPUTED_VALUE"""),"A+")</f>
        <v>A+</v>
      </c>
      <c r="Y735" s="12" t="str">
        <f>IFERROR(__xludf.DUMMYFUNCTION("""COMPUTED_VALUE"""),"11")</f>
        <v>11</v>
      </c>
      <c r="Z735" s="12">
        <f>IFERROR(__xludf.DUMMYFUNCTION("""COMPUTED_VALUE"""),102061.0)</f>
        <v>102061</v>
      </c>
      <c r="AA735" s="6" t="str">
        <f>IFERROR(__xludf.DUMMYFUNCTION("""COMPUTED_VALUE"""),"NUEVA EPS")</f>
        <v>NUEVA EPS</v>
      </c>
      <c r="AB735" s="6"/>
      <c r="AC735" s="6"/>
      <c r="AD735" s="12" t="str">
        <f>IFERROR(__xludf.DUMMYFUNCTION("""COMPUTED_VALUE"""),"11")</f>
        <v>11</v>
      </c>
      <c r="AE735" s="12">
        <f>IFERROR(__xludf.DUMMYFUNCTION("""COMPUTED_VALUE"""),1.345281249E9)</f>
        <v>1345281249</v>
      </c>
      <c r="AF735" s="12" t="str">
        <f>IFERROR(__xludf.DUMMYFUNCTION("""COMPUTED_VALUE"""),"0658133203")</f>
        <v>0658133203</v>
      </c>
      <c r="AG735" s="12" t="str">
        <f>IFERROR(__xludf.DUMMYFUNCTION("""COMPUTED_VALUE"""),"Andrea")</f>
        <v>Andrea</v>
      </c>
      <c r="AH735" s="6"/>
      <c r="AI735" s="6" t="str">
        <f>IFERROR(__xludf.DUMMYFUNCTION("""COMPUTED_VALUE"""),"Mejía Gallego")</f>
        <v>Mejía Gallego</v>
      </c>
      <c r="AJ735" s="6" t="str">
        <f>IFERROR(__xludf.DUMMYFUNCTION("""COMPUTED_VALUE"""),"andreamejia32@hotmail.com")</f>
        <v>andreamejia32@hotmail.com</v>
      </c>
      <c r="AK735" s="6" t="str">
        <f>IFERROR(__xludf.DUMMYFUNCTION("""COMPUTED_VALUE"""),"ODONTOLOGA- PERIODONCISTA")</f>
        <v>ODONTOLOGA- PERIODONCISTA</v>
      </c>
      <c r="AL735" s="6" t="str">
        <f>IFERROR(__xludf.DUMMYFUNCTION("""COMPUTED_VALUE"""),"Privada")</f>
        <v>Privada</v>
      </c>
      <c r="AM735" s="12" t="str">
        <f>IFERROR(__xludf.DUMMYFUNCTION("""COMPUTED_VALUE"""),"24605323")</f>
        <v>24605323</v>
      </c>
      <c r="AN735" s="12" t="str">
        <f>IFERROR(__xludf.DUMMYFUNCTION("""COMPUTED_VALUE"""),"3164812414")</f>
        <v>3164812414</v>
      </c>
      <c r="AO735" s="6" t="str">
        <f>IFERROR(__xludf.DUMMYFUNCTION("""COMPUTED_VALUE"""),"Madre")</f>
        <v>Madre</v>
      </c>
      <c r="AP735" s="6" t="str">
        <f>IFERROR(__xludf.DUMMYFUNCTION("""COMPUTED_VALUE"""),"Estudiante(s): González Mejía")</f>
        <v>Estudiante(s): González Mejía</v>
      </c>
      <c r="AQ735" s="6" t="str">
        <f>IFERROR(__xludf.DUMMYFUNCTION("""COMPUTED_VALUE"""),"102061*Gi")</f>
        <v>102061*Gi</v>
      </c>
      <c r="AR735" s="6" t="str">
        <f>IFERROR(__xludf.DUMMYFUNCTION("""COMPUTED_VALUE"""),"Mario")</f>
        <v>Mario</v>
      </c>
      <c r="AS735" s="6"/>
      <c r="AT735" s="6" t="str">
        <f>IFERROR(__xludf.DUMMYFUNCTION("""COMPUTED_VALUE"""),"González López")</f>
        <v>González López</v>
      </c>
      <c r="AU735" s="6" t="str">
        <f>IFERROR(__xludf.DUMMYFUNCTION("""COMPUTED_VALUE"""),"glmario@hotmail.com")</f>
        <v>glmario@hotmail.com</v>
      </c>
      <c r="AV735" s="6"/>
      <c r="AW735" s="6"/>
      <c r="AX735" s="12" t="str">
        <f>IFERROR(__xludf.DUMMYFUNCTION("""COMPUTED_VALUE"""),"4407682")</f>
        <v>4407682</v>
      </c>
      <c r="AY735" s="12" t="str">
        <f>IFERROR(__xludf.DUMMYFUNCTION("""COMPUTED_VALUE"""),"3164812418")</f>
        <v>3164812418</v>
      </c>
      <c r="AZ735" s="6" t="str">
        <f>IFERROR(__xludf.DUMMYFUNCTION("""COMPUTED_VALUE"""),"Padre")</f>
        <v>Padre</v>
      </c>
      <c r="BA735" s="6"/>
      <c r="BB735" s="6"/>
      <c r="BC735" s="6"/>
      <c r="BD735" s="12" t="str">
        <f>IFERROR(__xludf.DUMMYFUNCTION("""COMPUTED_VALUE"""),"gon0003")</f>
        <v>gon0003</v>
      </c>
      <c r="BE735" s="6" t="str">
        <f>IFERROR(__xludf.DUMMYFUNCTION("""COMPUTED_VALUE"""),"FALTAN FIRMAS")</f>
        <v>FALTAN FIRMAS</v>
      </c>
      <c r="BF735" s="12" t="str">
        <f>IFERROR(__xludf.DUMMYFUNCTION("""COMPUTED_VALUE"""),"REPITENTE")</f>
        <v>REPITENTE</v>
      </c>
      <c r="BG735" s="6">
        <f>IFERROR(__xludf.DUMMYFUNCTION("""COMPUTED_VALUE"""),2028.0)</f>
        <v>2028</v>
      </c>
      <c r="BH735" s="15">
        <f>IFERROR(__xludf.DUMMYFUNCTION("""COMPUTED_VALUE"""),46238.63130787037)</f>
        <v>46238.63131</v>
      </c>
      <c r="BI735" s="6">
        <f>IFERROR(__xludf.DUMMYFUNCTION("""COMPUTED_VALUE"""),736.0)</f>
        <v>736</v>
      </c>
      <c r="BJ735" s="6"/>
      <c r="BK735" s="6"/>
      <c r="BL735" s="6" t="str">
        <f>IFERROR(__xludf.DUMMYFUNCTION("""COMPUTED_VALUE"""),"GISGON0003")</f>
        <v>GISGON0003</v>
      </c>
      <c r="BM735" s="6"/>
      <c r="BN735" s="6"/>
      <c r="BO735" s="6"/>
      <c r="BP735" s="6"/>
      <c r="BQ735" s="6"/>
      <c r="BR735" s="6"/>
      <c r="BS735" s="6"/>
      <c r="BT735" s="6"/>
      <c r="BU735" s="6" t="str">
        <f>IFERROR(__xludf.DUMMYFUNCTION("""COMPUTED_VALUE"""),"NO")</f>
        <v>NO</v>
      </c>
      <c r="BV735" s="6" t="str">
        <f>IFERROR(__xludf.DUMMYFUNCTION("""COMPUTED_VALUE"""),"antonia.g2027")</f>
        <v>antonia.g2027</v>
      </c>
      <c r="BW735" s="6"/>
      <c r="BX735" s="6"/>
      <c r="BY735" s="6"/>
      <c r="BZ735" s="6"/>
    </row>
    <row r="736">
      <c r="A736" s="12">
        <f>IFERROR(__xludf.DUMMYFUNCTION("""COMPUTED_VALUE"""),1.09027687E9)</f>
        <v>1090276870</v>
      </c>
      <c r="B736" s="6">
        <f>IFERROR(__xludf.DUMMYFUNCTION("""COMPUTED_VALUE"""),26.0)</f>
        <v>26</v>
      </c>
      <c r="C736" s="6" t="str">
        <f>IFERROR(__xludf.DUMMYFUNCTION("""COMPUTED_VALUE"""),"Isabel")</f>
        <v>Isabel</v>
      </c>
      <c r="D736" s="6" t="str">
        <f>IFERROR(__xludf.DUMMYFUNCTION("""COMPUTED_VALUE"""),"Sofía")</f>
        <v>Sofía</v>
      </c>
      <c r="E736" s="6" t="str">
        <f>IFERROR(__xludf.DUMMYFUNCTION("""COMPUTED_VALUE"""),"Guerrero Peña")</f>
        <v>Guerrero Peña</v>
      </c>
      <c r="F736" s="6" t="str">
        <f>IFERROR(__xludf.DUMMYFUNCTION("""COMPUTED_VALUE"""),"Conjunto Residencial Pontevedra Casa 45 - Km 8 Vía El Caimo El Campestre Via Panamericana")</f>
        <v>Conjunto Residencial Pontevedra Casa 45 - Km 8 Vía El Caimo El Campestre Via Panamericana</v>
      </c>
      <c r="G736" s="12" t="str">
        <f>IFERROR(__xludf.DUMMYFUNCTION("""COMPUTED_VALUE"""),"2010")</f>
        <v>2010</v>
      </c>
      <c r="H736" s="6" t="str">
        <f>IFERROR(__xludf.DUMMYFUNCTION("""COMPUTED_VALUE"""),"Octubre")</f>
        <v>Octubre</v>
      </c>
      <c r="I736" s="12" t="str">
        <f>IFERROR(__xludf.DUMMYFUNCTION("""COMPUTED_VALUE"""),"1")</f>
        <v>1</v>
      </c>
      <c r="J736" s="6" t="str">
        <f>IFERROR(__xludf.DUMMYFUNCTION("""COMPUTED_VALUE"""),"Armenia")</f>
        <v>Armenia</v>
      </c>
      <c r="K736" s="6" t="str">
        <f>IFERROR(__xludf.DUMMYFUNCTION("""COMPUTED_VALUE"""),"isabel.g2028@gi.edu.co")</f>
        <v>isabel.g2028@gi.edu.co</v>
      </c>
      <c r="L736" s="6" t="str">
        <f>IFERROR(__xludf.DUMMYFUNCTION("""COMPUTED_VALUE"""),"TI")</f>
        <v>TI</v>
      </c>
      <c r="M736" s="6" t="str">
        <f>IFERROR(__xludf.DUMMYFUNCTION("""COMPUTED_VALUE"""),"Armenia")</f>
        <v>Armenia</v>
      </c>
      <c r="N736" s="6" t="str">
        <f>IFERROR(__xludf.DUMMYFUNCTION("""COMPUTED_VALUE"""),"F")</f>
        <v>F</v>
      </c>
      <c r="O736" s="6" t="str">
        <f>IFERROR(__xludf.DUMMYFUNCTION("""COMPUTED_VALUE"""),"ACTIVE")</f>
        <v>ACTIVE</v>
      </c>
      <c r="P736" s="6"/>
      <c r="Q736" s="6" t="str">
        <f>IFERROR(__xludf.DUMMYFUNCTION("""COMPUTED_VALUE"""),"Armenia")</f>
        <v>Armenia</v>
      </c>
      <c r="R736" s="12" t="str">
        <f>IFERROR(__xludf.DUMMYFUNCTION("""COMPUTED_VALUE"""),"Gihg49zq*")</f>
        <v>Gihg49zq*</v>
      </c>
      <c r="S736" s="6" t="str">
        <f>IFERROR(__xludf.DUMMYFUNCTION("""COMPUTED_VALUE"""),"Guerrero Peña Isabel Sofía")</f>
        <v>Guerrero Peña Isabel Sofía</v>
      </c>
      <c r="T736" s="6" t="str">
        <f>IFERROR(__xludf.DUMMYFUNCTION("""COMPUTED_VALUE"""),"ZULMA VIVIANA PEÑA SALAZAR")</f>
        <v>ZULMA VIVIANA PEÑA SALAZAR</v>
      </c>
      <c r="U736" s="12" t="str">
        <f>IFERROR(__xludf.DUMMYFUNCTION("""COMPUTED_VALUE"""),"36292959")</f>
        <v>36292959</v>
      </c>
      <c r="V736" s="6">
        <f>IFERROR(__xludf.DUMMYFUNCTION("""COMPUTED_VALUE"""),3.01383887E9)</f>
        <v>3013838870</v>
      </c>
      <c r="W736" s="6" t="str">
        <f>IFERROR(__xludf.DUMMYFUNCTION("""COMPUTED_VALUE"""),"zulmavivianaps@hotmail.com")</f>
        <v>zulmavivianaps@hotmail.com</v>
      </c>
      <c r="X736" s="12" t="str">
        <f>IFERROR(__xludf.DUMMYFUNCTION("""COMPUTED_VALUE"""),"O+")</f>
        <v>O+</v>
      </c>
      <c r="Y736" s="12" t="str">
        <f>IFERROR(__xludf.DUMMYFUNCTION("""COMPUTED_VALUE"""),"11")</f>
        <v>11</v>
      </c>
      <c r="Z736" s="12">
        <f>IFERROR(__xludf.DUMMYFUNCTION("""COMPUTED_VALUE"""),103135.0)</f>
        <v>103135</v>
      </c>
      <c r="AA736" s="6" t="str">
        <f>IFERROR(__xludf.DUMMYFUNCTION("""COMPUTED_VALUE"""),"SANITAS")</f>
        <v>SANITAS</v>
      </c>
      <c r="AB736" s="6" t="str">
        <f>IFERROR(__xludf.DUMMYFUNCTION("""COMPUTED_VALUE"""),"Prepagada Colsanitas")</f>
        <v>Prepagada Colsanitas</v>
      </c>
      <c r="AC736" s="6"/>
      <c r="AD736" s="12" t="str">
        <f>IFERROR(__xludf.DUMMYFUNCTION("""COMPUTED_VALUE"""),"11")</f>
        <v>11</v>
      </c>
      <c r="AE736" s="12">
        <f>IFERROR(__xludf.DUMMYFUNCTION("""COMPUTED_VALUE"""),1.345281538E9)</f>
        <v>1345281538</v>
      </c>
      <c r="AF736" s="12" t="str">
        <f>IFERROR(__xludf.DUMMYFUNCTION("""COMPUTED_VALUE"""),"0695246851")</f>
        <v>0695246851</v>
      </c>
      <c r="AG736" s="12" t="str">
        <f>IFERROR(__xludf.DUMMYFUNCTION("""COMPUTED_VALUE"""),"Zulma")</f>
        <v>Zulma</v>
      </c>
      <c r="AH736" s="12" t="str">
        <f>IFERROR(__xludf.DUMMYFUNCTION("""COMPUTED_VALUE"""),"Viviana")</f>
        <v>Viviana</v>
      </c>
      <c r="AI736" s="6" t="str">
        <f>IFERROR(__xludf.DUMMYFUNCTION("""COMPUTED_VALUE"""),"Peña Salazar")</f>
        <v>Peña Salazar</v>
      </c>
      <c r="AJ736" s="6" t="str">
        <f>IFERROR(__xludf.DUMMYFUNCTION("""COMPUTED_VALUE"""),"zulmavivianaps@hotmail.com")</f>
        <v>zulmavivianaps@hotmail.com</v>
      </c>
      <c r="AK736" s="6" t="str">
        <f>IFERROR(__xludf.DUMMYFUNCTION("""COMPUTED_VALUE"""),"Abogada")</f>
        <v>Abogada</v>
      </c>
      <c r="AL736" s="6" t="str">
        <f>IFERROR(__xludf.DUMMYFUNCTION("""COMPUTED_VALUE"""),"Rama Judicial")</f>
        <v>Rama Judicial</v>
      </c>
      <c r="AM736" s="12" t="str">
        <f>IFERROR(__xludf.DUMMYFUNCTION("""COMPUTED_VALUE"""),"36292959")</f>
        <v>36292959</v>
      </c>
      <c r="AN736" s="12" t="str">
        <f>IFERROR(__xludf.DUMMYFUNCTION("""COMPUTED_VALUE"""),"3013838870")</f>
        <v>3013838870</v>
      </c>
      <c r="AO736" s="6" t="str">
        <f>IFERROR(__xludf.DUMMYFUNCTION("""COMPUTED_VALUE"""),"Madre")</f>
        <v>Madre</v>
      </c>
      <c r="AP736" s="6" t="str">
        <f>IFERROR(__xludf.DUMMYFUNCTION("""COMPUTED_VALUE"""),"Estudiante(s): Guerrero Peña")</f>
        <v>Estudiante(s): Guerrero Peña</v>
      </c>
      <c r="AQ736" s="6" t="str">
        <f>IFERROR(__xludf.DUMMYFUNCTION("""COMPUTED_VALUE"""),"103135*Gi")</f>
        <v>103135*Gi</v>
      </c>
      <c r="AR736" s="6" t="str">
        <f>IFERROR(__xludf.DUMMYFUNCTION("""COMPUTED_VALUE"""),"César")</f>
        <v>César</v>
      </c>
      <c r="AS736" s="6" t="str">
        <f>IFERROR(__xludf.DUMMYFUNCTION("""COMPUTED_VALUE"""),"Augusto")</f>
        <v>Augusto</v>
      </c>
      <c r="AT736" s="6" t="str">
        <f>IFERROR(__xludf.DUMMYFUNCTION("""COMPUTED_VALUE"""),"Guerrero Diaz")</f>
        <v>Guerrero Diaz</v>
      </c>
      <c r="AU736" s="6" t="str">
        <f>IFERROR(__xludf.DUMMYFUNCTION("""COMPUTED_VALUE"""),"cesarguerrerodiaz@yahoo.com.mx")</f>
        <v>cesarguerrerodiaz@yahoo.com.mx</v>
      </c>
      <c r="AV736" s="6"/>
      <c r="AW736" s="6"/>
      <c r="AX736" s="12" t="str">
        <f>IFERROR(__xludf.DUMMYFUNCTION("""COMPUTED_VALUE"""),"79488150")</f>
        <v>79488150</v>
      </c>
      <c r="AY736" s="12" t="str">
        <f>IFERROR(__xludf.DUMMYFUNCTION("""COMPUTED_VALUE"""),"3013838702")</f>
        <v>3013838702</v>
      </c>
      <c r="AZ736" s="6" t="str">
        <f>IFERROR(__xludf.DUMMYFUNCTION("""COMPUTED_VALUE"""),"Padre")</f>
        <v>Padre</v>
      </c>
      <c r="BA736" s="6"/>
      <c r="BB736" s="6"/>
      <c r="BC736" s="6"/>
      <c r="BD736" s="12" t="str">
        <f>IFERROR(__xludf.DUMMYFUNCTION("""COMPUTED_VALUE"""),"gue0002")</f>
        <v>gue0002</v>
      </c>
      <c r="BE736" s="6"/>
      <c r="BF736" s="6"/>
      <c r="BG736" s="6">
        <f>IFERROR(__xludf.DUMMYFUNCTION("""COMPUTED_VALUE"""),2028.0)</f>
        <v>2028</v>
      </c>
      <c r="BH736" s="15">
        <f>IFERROR(__xludf.DUMMYFUNCTION("""COMPUTED_VALUE"""),46205.367627314816)</f>
        <v>46205.36763</v>
      </c>
      <c r="BI736" s="6">
        <f>IFERROR(__xludf.DUMMYFUNCTION("""COMPUTED_VALUE"""),737.0)</f>
        <v>737</v>
      </c>
      <c r="BJ736" s="6"/>
      <c r="BK736" s="6"/>
      <c r="BL736" s="6" t="str">
        <f>IFERROR(__xludf.DUMMYFUNCTION("""COMPUTED_VALUE"""),"GISGUE0002")</f>
        <v>GISGUE0002</v>
      </c>
      <c r="BM736" s="6"/>
      <c r="BN736" s="6"/>
      <c r="BO736" s="6"/>
      <c r="BP736" s="6"/>
      <c r="BQ736" s="6"/>
      <c r="BR736" s="6"/>
      <c r="BS736" s="6"/>
      <c r="BT736" s="6"/>
      <c r="BU736" s="6" t="str">
        <f>IFERROR(__xludf.DUMMYFUNCTION("""COMPUTED_VALUE"""),"SI")</f>
        <v>SI</v>
      </c>
      <c r="BV736" s="6" t="str">
        <f>IFERROR(__xludf.DUMMYFUNCTION("""COMPUTED_VALUE"""),"isabel.g2028")</f>
        <v>isabel.g2028</v>
      </c>
      <c r="BW736" s="6"/>
      <c r="BX736" s="6"/>
      <c r="BY736" s="6"/>
      <c r="BZ736" s="6"/>
    </row>
    <row r="737">
      <c r="A737" s="12">
        <f>IFERROR(__xludf.DUMMYFUNCTION("""COMPUTED_VALUE"""),1.09285438E9)</f>
        <v>1092854380</v>
      </c>
      <c r="B737" s="6">
        <f>IFERROR(__xludf.DUMMYFUNCTION("""COMPUTED_VALUE"""),27.0)</f>
        <v>27</v>
      </c>
      <c r="C737" s="6" t="str">
        <f>IFERROR(__xludf.DUMMYFUNCTION("""COMPUTED_VALUE"""),"Gerónimo")</f>
        <v>Gerónimo</v>
      </c>
      <c r="D737" s="6"/>
      <c r="E737" s="6" t="str">
        <f>IFERROR(__xludf.DUMMYFUNCTION("""COMPUTED_VALUE"""),"Hoyos Sepúlveda")</f>
        <v>Hoyos Sepúlveda</v>
      </c>
      <c r="F737" s="6" t="str">
        <f>IFERROR(__xludf.DUMMYFUNCTION("""COMPUTED_VALUE"""),"San Felipe Casa 3 - Cra 19 30Nte - 14")</f>
        <v>San Felipe Casa 3 - Cra 19 30Nte - 14</v>
      </c>
      <c r="G737" s="12" t="str">
        <f>IFERROR(__xludf.DUMMYFUNCTION("""COMPUTED_VALUE"""),"2009")</f>
        <v>2009</v>
      </c>
      <c r="H737" s="6" t="str">
        <f>IFERROR(__xludf.DUMMYFUNCTION("""COMPUTED_VALUE"""),"Octubre")</f>
        <v>Octubre</v>
      </c>
      <c r="I737" s="12" t="str">
        <f>IFERROR(__xludf.DUMMYFUNCTION("""COMPUTED_VALUE"""),"20")</f>
        <v>20</v>
      </c>
      <c r="J737" s="6" t="str">
        <f>IFERROR(__xludf.DUMMYFUNCTION("""COMPUTED_VALUE"""),"Armenia")</f>
        <v>Armenia</v>
      </c>
      <c r="K737" s="6" t="str">
        <f>IFERROR(__xludf.DUMMYFUNCTION("""COMPUTED_VALUE"""),"geronimo.h2027@gi.edu.co")</f>
        <v>geronimo.h2027@gi.edu.co</v>
      </c>
      <c r="L737" s="6" t="str">
        <f>IFERROR(__xludf.DUMMYFUNCTION("""COMPUTED_VALUE"""),"TI")</f>
        <v>TI</v>
      </c>
      <c r="M737" s="6" t="str">
        <f>IFERROR(__xludf.DUMMYFUNCTION("""COMPUTED_VALUE"""),"Armenia")</f>
        <v>Armenia</v>
      </c>
      <c r="N737" s="6" t="str">
        <f>IFERROR(__xludf.DUMMYFUNCTION("""COMPUTED_VALUE"""),"M")</f>
        <v>M</v>
      </c>
      <c r="O737" s="6" t="str">
        <f>IFERROR(__xludf.DUMMYFUNCTION("""COMPUTED_VALUE"""),"INACTIVE")</f>
        <v>INACTIVE</v>
      </c>
      <c r="P737" s="6"/>
      <c r="Q737" s="6" t="str">
        <f>IFERROR(__xludf.DUMMYFUNCTION("""COMPUTED_VALUE"""),"Armenia")</f>
        <v>Armenia</v>
      </c>
      <c r="R737" s="12" t="str">
        <f>IFERROR(__xludf.DUMMYFUNCTION("""COMPUTED_VALUE"""),"Gi567435fr*")</f>
        <v>Gi567435fr*</v>
      </c>
      <c r="S737" s="6" t="str">
        <f>IFERROR(__xludf.DUMMYFUNCTION("""COMPUTED_VALUE"""),"Hoyos Sepúlveda Gerónimo ")</f>
        <v>Hoyos Sepúlveda Gerónimo </v>
      </c>
      <c r="T737" s="6" t="str">
        <f>IFERROR(__xludf.DUMMYFUNCTION("""COMPUTED_VALUE"""),"DIEGO HOYOS VARGAS")</f>
        <v>DIEGO HOYOS VARGAS</v>
      </c>
      <c r="U737" s="12" t="str">
        <f>IFERROR(__xludf.DUMMYFUNCTION("""COMPUTED_VALUE"""),"15921736")</f>
        <v>15921736</v>
      </c>
      <c r="V737" s="6">
        <f>IFERROR(__xludf.DUMMYFUNCTION("""COMPUTED_VALUE"""),3.118315653E9)</f>
        <v>3118315653</v>
      </c>
      <c r="W737" s="6" t="str">
        <f>IFERROR(__xludf.DUMMYFUNCTION("""COMPUTED_VALUE"""),"diehoyos@icloud.com")</f>
        <v>diehoyos@icloud.com</v>
      </c>
      <c r="X737" s="12" t="str">
        <f>IFERROR(__xludf.DUMMYFUNCTION("""COMPUTED_VALUE"""),"A+")</f>
        <v>A+</v>
      </c>
      <c r="Y737" s="12" t="str">
        <f>IFERROR(__xludf.DUMMYFUNCTION("""COMPUTED_VALUE"""),"11")</f>
        <v>11</v>
      </c>
      <c r="Z737" s="12">
        <f>IFERROR(__xludf.DUMMYFUNCTION("""COMPUTED_VALUE"""),103051.0)</f>
        <v>103051</v>
      </c>
      <c r="AA737" s="6" t="str">
        <f>IFERROR(__xludf.DUMMYFUNCTION("""COMPUTED_VALUE"""),"SURA")</f>
        <v>SURA</v>
      </c>
      <c r="AB737" s="6"/>
      <c r="AC737" s="6"/>
      <c r="AD737" s="12" t="str">
        <f>IFERROR(__xludf.DUMMYFUNCTION("""COMPUTED_VALUE"""),"11")</f>
        <v>11</v>
      </c>
      <c r="AE737" s="12">
        <f>IFERROR(__xludf.DUMMYFUNCTION("""COMPUTED_VALUE"""),1.345281477E9)</f>
        <v>1345281477</v>
      </c>
      <c r="AF737" s="12" t="str">
        <f>IFERROR(__xludf.DUMMYFUNCTION("""COMPUTED_VALUE"""),"0699870547")</f>
        <v>0699870547</v>
      </c>
      <c r="AG737" s="12" t="str">
        <f>IFERROR(__xludf.DUMMYFUNCTION("""COMPUTED_VALUE"""),"Beatriz")</f>
        <v>Beatriz</v>
      </c>
      <c r="AH737" s="12" t="str">
        <f>IFERROR(__xludf.DUMMYFUNCTION("""COMPUTED_VALUE"""),"Helena")</f>
        <v>Helena</v>
      </c>
      <c r="AI737" s="6" t="str">
        <f>IFERROR(__xludf.DUMMYFUNCTION("""COMPUTED_VALUE"""),"Sepúlveda Nieto")</f>
        <v>Sepúlveda Nieto</v>
      </c>
      <c r="AJ737" s="6" t="str">
        <f>IFERROR(__xludf.DUMMYFUNCTION("""COMPUTED_VALUE"""),"beatrizsepulvedanieto@gmail.com")</f>
        <v>beatrizsepulvedanieto@gmail.com</v>
      </c>
      <c r="AK737" s="6"/>
      <c r="AL737" s="6"/>
      <c r="AM737" s="12" t="str">
        <f>IFERROR(__xludf.DUMMYFUNCTION("""COMPUTED_VALUE"""),"41929971")</f>
        <v>41929971</v>
      </c>
      <c r="AN737" s="12" t="str">
        <f>IFERROR(__xludf.DUMMYFUNCTION("""COMPUTED_VALUE"""),"3113344507")</f>
        <v>3113344507</v>
      </c>
      <c r="AO737" s="6" t="str">
        <f>IFERROR(__xludf.DUMMYFUNCTION("""COMPUTED_VALUE"""),"Madre")</f>
        <v>Madre</v>
      </c>
      <c r="AP737" s="6" t="str">
        <f>IFERROR(__xludf.DUMMYFUNCTION("""COMPUTED_VALUE"""),"Estudiante(s): Hoyos Sepúlveda &amp; Hoyos Marín")</f>
        <v>Estudiante(s): Hoyos Sepúlveda &amp; Hoyos Marín</v>
      </c>
      <c r="AQ737" s="6" t="str">
        <f>IFERROR(__xludf.DUMMYFUNCTION("""COMPUTED_VALUE"""),"103051*Gi")</f>
        <v>103051*Gi</v>
      </c>
      <c r="AR737" s="6" t="str">
        <f>IFERROR(__xludf.DUMMYFUNCTION("""COMPUTED_VALUE"""),"Diego")</f>
        <v>Diego</v>
      </c>
      <c r="AS737" s="6"/>
      <c r="AT737" s="6" t="str">
        <f>IFERROR(__xludf.DUMMYFUNCTION("""COMPUTED_VALUE"""),"Hoyos Vargas")</f>
        <v>Hoyos Vargas</v>
      </c>
      <c r="AU737" s="6" t="str">
        <f>IFERROR(__xludf.DUMMYFUNCTION("""COMPUTED_VALUE"""),"diehoyos@icloud.com")</f>
        <v>diehoyos@icloud.com</v>
      </c>
      <c r="AV737" s="6" t="str">
        <f>IFERROR(__xludf.DUMMYFUNCTION("""COMPUTED_VALUE"""),"Ingeniero Civil")</f>
        <v>Ingeniero Civil</v>
      </c>
      <c r="AW737" s="6" t="str">
        <f>IFERROR(__xludf.DUMMYFUNCTION("""COMPUTED_VALUE"""),"Concesionaria ruta al sur")</f>
        <v>Concesionaria ruta al sur</v>
      </c>
      <c r="AX737" s="12" t="str">
        <f>IFERROR(__xludf.DUMMYFUNCTION("""COMPUTED_VALUE"""),"15921736")</f>
        <v>15921736</v>
      </c>
      <c r="AY737" s="12" t="str">
        <f>IFERROR(__xludf.DUMMYFUNCTION("""COMPUTED_VALUE"""),"3118315653")</f>
        <v>3118315653</v>
      </c>
      <c r="AZ737" s="6" t="str">
        <f>IFERROR(__xludf.DUMMYFUNCTION("""COMPUTED_VALUE"""),"Padre")</f>
        <v>Padre</v>
      </c>
      <c r="BA737" s="6"/>
      <c r="BB737" s="6"/>
      <c r="BC737" s="6"/>
      <c r="BD737" s="12" t="str">
        <f>IFERROR(__xludf.DUMMYFUNCTION("""COMPUTED_VALUE"""),"hoy0004")</f>
        <v>hoy0004</v>
      </c>
      <c r="BE737" s="6" t="str">
        <f>IFERROR(__xludf.DUMMYFUNCTION("""COMPUTED_VALUE"""),"FALTAN FIRMAS")</f>
        <v>FALTAN FIRMAS</v>
      </c>
      <c r="BF737" s="12" t="str">
        <f>IFERROR(__xludf.DUMMYFUNCTION("""COMPUTED_VALUE"""),"REPITENTE")</f>
        <v>REPITENTE</v>
      </c>
      <c r="BG737" s="6">
        <f>IFERROR(__xludf.DUMMYFUNCTION("""COMPUTED_VALUE"""),2028.0)</f>
        <v>2028</v>
      </c>
      <c r="BH737" s="15">
        <f>IFERROR(__xludf.DUMMYFUNCTION("""COMPUTED_VALUE"""),46246.799895833334)</f>
        <v>46246.7999</v>
      </c>
      <c r="BI737" s="6">
        <f>IFERROR(__xludf.DUMMYFUNCTION("""COMPUTED_VALUE"""),738.0)</f>
        <v>738</v>
      </c>
      <c r="BJ737" s="6"/>
      <c r="BK737" s="6"/>
      <c r="BL737" s="6" t="str">
        <f>IFERROR(__xludf.DUMMYFUNCTION("""COMPUTED_VALUE"""),"GISHOY0004")</f>
        <v>GISHOY0004</v>
      </c>
      <c r="BM737" s="6"/>
      <c r="BN737" s="6"/>
      <c r="BO737" s="6"/>
      <c r="BP737" s="6"/>
      <c r="BQ737" s="6"/>
      <c r="BR737" s="6"/>
      <c r="BS737" s="6"/>
      <c r="BT737" s="6"/>
      <c r="BU737" s="6" t="str">
        <f>IFERROR(__xludf.DUMMYFUNCTION("""COMPUTED_VALUE"""),"NO")</f>
        <v>NO</v>
      </c>
      <c r="BV737" s="6" t="str">
        <f>IFERROR(__xludf.DUMMYFUNCTION("""COMPUTED_VALUE"""),"geronimo.h2027")</f>
        <v>geronimo.h2027</v>
      </c>
      <c r="BW737" s="6"/>
      <c r="BX737" s="6"/>
      <c r="BY737" s="6"/>
      <c r="BZ737" s="6"/>
    </row>
    <row r="738">
      <c r="A738" s="12">
        <f>IFERROR(__xludf.DUMMYFUNCTION("""COMPUTED_VALUE"""),1.092854837E9)</f>
        <v>1092854837</v>
      </c>
      <c r="B738" s="6">
        <f>IFERROR(__xludf.DUMMYFUNCTION("""COMPUTED_VALUE"""),28.0)</f>
        <v>28</v>
      </c>
      <c r="C738" s="6" t="str">
        <f>IFERROR(__xludf.DUMMYFUNCTION("""COMPUTED_VALUE"""),"Maximiliano")</f>
        <v>Maximiliano</v>
      </c>
      <c r="D738" s="6"/>
      <c r="E738" s="6" t="str">
        <f>IFERROR(__xludf.DUMMYFUNCTION("""COMPUTED_VALUE"""),"Jaramillo Gaviria")</f>
        <v>Jaramillo Gaviria</v>
      </c>
      <c r="F738" s="6" t="str">
        <f>IFERROR(__xludf.DUMMYFUNCTION("""COMPUTED_VALUE"""),"Edificio Cañabrava Ofic 206 - Cra 13 No8Nte - 67 Fundadores")</f>
        <v>Edificio Cañabrava Ofic 206 - Cra 13 No8Nte - 67 Fundadores</v>
      </c>
      <c r="G738" s="12" t="str">
        <f>IFERROR(__xludf.DUMMYFUNCTION("""COMPUTED_VALUE"""),"2010")</f>
        <v>2010</v>
      </c>
      <c r="H738" s="6" t="str">
        <f>IFERROR(__xludf.DUMMYFUNCTION("""COMPUTED_VALUE"""),"Julio")</f>
        <v>Julio</v>
      </c>
      <c r="I738" s="12" t="str">
        <f>IFERROR(__xludf.DUMMYFUNCTION("""COMPUTED_VALUE"""),"12")</f>
        <v>12</v>
      </c>
      <c r="J738" s="6" t="str">
        <f>IFERROR(__xludf.DUMMYFUNCTION("""COMPUTED_VALUE"""),"Armenia")</f>
        <v>Armenia</v>
      </c>
      <c r="K738" s="6" t="str">
        <f>IFERROR(__xludf.DUMMYFUNCTION("""COMPUTED_VALUE"""),"maximiliano.j2028@gi.edu.co")</f>
        <v>maximiliano.j2028@gi.edu.co</v>
      </c>
      <c r="L738" s="6" t="str">
        <f>IFERROR(__xludf.DUMMYFUNCTION("""COMPUTED_VALUE"""),"TI")</f>
        <v>TI</v>
      </c>
      <c r="M738" s="6" t="str">
        <f>IFERROR(__xludf.DUMMYFUNCTION("""COMPUTED_VALUE"""),"Armenia")</f>
        <v>Armenia</v>
      </c>
      <c r="N738" s="6" t="str">
        <f>IFERROR(__xludf.DUMMYFUNCTION("""COMPUTED_VALUE"""),"M")</f>
        <v>M</v>
      </c>
      <c r="O738" s="6" t="str">
        <f>IFERROR(__xludf.DUMMYFUNCTION("""COMPUTED_VALUE"""),"ACTIVE")</f>
        <v>ACTIVE</v>
      </c>
      <c r="P738" s="6"/>
      <c r="Q738" s="6" t="str">
        <f>IFERROR(__xludf.DUMMYFUNCTION("""COMPUTED_VALUE"""),"Armenia")</f>
        <v>Armenia</v>
      </c>
      <c r="R738" s="12" t="str">
        <f>IFERROR(__xludf.DUMMYFUNCTION("""COMPUTED_VALUE"""),"Gi753r91r9*")</f>
        <v>Gi753r91r9*</v>
      </c>
      <c r="S738" s="6" t="str">
        <f>IFERROR(__xludf.DUMMYFUNCTION("""COMPUTED_VALUE"""),"Jaramillo Gaviria Maximiliano ")</f>
        <v>Jaramillo Gaviria Maximiliano </v>
      </c>
      <c r="T738" s="6" t="str">
        <f>IFERROR(__xludf.DUMMYFUNCTION("""COMPUTED_VALUE"""),"AGUSTIN JARAMILLO VELEZ")</f>
        <v>AGUSTIN JARAMILLO VELEZ</v>
      </c>
      <c r="U738" s="12" t="str">
        <f>IFERROR(__xludf.DUMMYFUNCTION("""COMPUTED_VALUE"""),"98558614")</f>
        <v>98558614</v>
      </c>
      <c r="V738" s="6">
        <f>IFERROR(__xludf.DUMMYFUNCTION("""COMPUTED_VALUE"""),3.104238454E9)</f>
        <v>3104238454</v>
      </c>
      <c r="W738" s="6" t="str">
        <f>IFERROR(__xludf.DUMMYFUNCTION("""COMPUTED_VALUE"""),"agustinjaramillovelez@yahoo.es")</f>
        <v>agustinjaramillovelez@yahoo.es</v>
      </c>
      <c r="X738" s="12" t="str">
        <f>IFERROR(__xludf.DUMMYFUNCTION("""COMPUTED_VALUE"""),"A+")</f>
        <v>A+</v>
      </c>
      <c r="Y738" s="12" t="str">
        <f>IFERROR(__xludf.DUMMYFUNCTION("""COMPUTED_VALUE"""),"11")</f>
        <v>11</v>
      </c>
      <c r="Z738" s="12">
        <f>IFERROR(__xludf.DUMMYFUNCTION("""COMPUTED_VALUE"""),102664.0)</f>
        <v>102664</v>
      </c>
      <c r="AA738" s="6" t="str">
        <f>IFERROR(__xludf.DUMMYFUNCTION("""COMPUTED_VALUE"""),"SURA")</f>
        <v>SURA</v>
      </c>
      <c r="AB738" s="6"/>
      <c r="AC738" s="6"/>
      <c r="AD738" s="12" t="str">
        <f>IFERROR(__xludf.DUMMYFUNCTION("""COMPUTED_VALUE"""),"11")</f>
        <v>11</v>
      </c>
      <c r="AE738" s="12">
        <f>IFERROR(__xludf.DUMMYFUNCTION("""COMPUTED_VALUE"""),1.345281364E9)</f>
        <v>1345281364</v>
      </c>
      <c r="AF738" s="12" t="str">
        <f>IFERROR(__xludf.DUMMYFUNCTION("""COMPUTED_VALUE"""),"0695740355")</f>
        <v>0695740355</v>
      </c>
      <c r="AG738" s="12" t="str">
        <f>IFERROR(__xludf.DUMMYFUNCTION("""COMPUTED_VALUE"""),"Sandra")</f>
        <v>Sandra</v>
      </c>
      <c r="AH738" s="12" t="str">
        <f>IFERROR(__xludf.DUMMYFUNCTION("""COMPUTED_VALUE"""),"Patricia")</f>
        <v>Patricia</v>
      </c>
      <c r="AI738" s="6" t="str">
        <f>IFERROR(__xludf.DUMMYFUNCTION("""COMPUTED_VALUE"""),"Gaviria Arcila")</f>
        <v>Gaviria Arcila</v>
      </c>
      <c r="AJ738" s="6" t="str">
        <f>IFERROR(__xludf.DUMMYFUNCTION("""COMPUTED_VALUE"""),"spgaviria11@hotmail.com")</f>
        <v>spgaviria11@hotmail.com</v>
      </c>
      <c r="AK738" s="6" t="str">
        <f>IFERROR(__xludf.DUMMYFUNCTION("""COMPUTED_VALUE"""),"administradora de empresas")</f>
        <v>administradora de empresas</v>
      </c>
      <c r="AL738" s="6"/>
      <c r="AM738" s="12" t="str">
        <f>IFERROR(__xludf.DUMMYFUNCTION("""COMPUTED_VALUE"""),"43736217")</f>
        <v>43736217</v>
      </c>
      <c r="AN738" s="12" t="str">
        <f>IFERROR(__xludf.DUMMYFUNCTION("""COMPUTED_VALUE"""),"3206321067")</f>
        <v>3206321067</v>
      </c>
      <c r="AO738" s="6" t="str">
        <f>IFERROR(__xludf.DUMMYFUNCTION("""COMPUTED_VALUE"""),"Madre")</f>
        <v>Madre</v>
      </c>
      <c r="AP738" s="6" t="str">
        <f>IFERROR(__xludf.DUMMYFUNCTION("""COMPUTED_VALUE"""),"Estudiante(s): Jaramillo Gaviria")</f>
        <v>Estudiante(s): Jaramillo Gaviria</v>
      </c>
      <c r="AQ738" s="6" t="str">
        <f>IFERROR(__xludf.DUMMYFUNCTION("""COMPUTED_VALUE"""),"102227*Gi")</f>
        <v>102227*Gi</v>
      </c>
      <c r="AR738" s="6" t="str">
        <f>IFERROR(__xludf.DUMMYFUNCTION("""COMPUTED_VALUE"""),"Agustín")</f>
        <v>Agustín</v>
      </c>
      <c r="AS738" s="6"/>
      <c r="AT738" s="6" t="str">
        <f>IFERROR(__xludf.DUMMYFUNCTION("""COMPUTED_VALUE"""),"Jaramillo Vélez")</f>
        <v>Jaramillo Vélez</v>
      </c>
      <c r="AU738" s="6" t="str">
        <f>IFERROR(__xludf.DUMMYFUNCTION("""COMPUTED_VALUE"""),"agustinjaramillovelez@yahoo.es")</f>
        <v>agustinjaramillovelez@yahoo.es</v>
      </c>
      <c r="AV738" s="6" t="str">
        <f>IFERROR(__xludf.DUMMYFUNCTION("""COMPUTED_VALUE"""),"agricultor")</f>
        <v>agricultor</v>
      </c>
      <c r="AW738" s="6" t="str">
        <f>IFERROR(__xludf.DUMMYFUNCTION("""COMPUTED_VALUE"""),"Orestes Jaramillo SAS")</f>
        <v>Orestes Jaramillo SAS</v>
      </c>
      <c r="AX738" s="12" t="str">
        <f>IFERROR(__xludf.DUMMYFUNCTION("""COMPUTED_VALUE"""),"98558614")</f>
        <v>98558614</v>
      </c>
      <c r="AY738" s="12" t="str">
        <f>IFERROR(__xludf.DUMMYFUNCTION("""COMPUTED_VALUE"""),"3104238454")</f>
        <v>3104238454</v>
      </c>
      <c r="AZ738" s="6" t="str">
        <f>IFERROR(__xludf.DUMMYFUNCTION("""COMPUTED_VALUE"""),"Padre")</f>
        <v>Padre</v>
      </c>
      <c r="BA738" s="6"/>
      <c r="BB738" s="6"/>
      <c r="BC738" s="6"/>
      <c r="BD738" s="12" t="str">
        <f>IFERROR(__xludf.DUMMYFUNCTION("""COMPUTED_VALUE"""),"jar0004")</f>
        <v>jar0004</v>
      </c>
      <c r="BE738" s="6"/>
      <c r="BF738" s="6"/>
      <c r="BG738" s="6">
        <f>IFERROR(__xludf.DUMMYFUNCTION("""COMPUTED_VALUE"""),2028.0)</f>
        <v>2028</v>
      </c>
      <c r="BH738" s="15">
        <f>IFERROR(__xludf.DUMMYFUNCTION("""COMPUTED_VALUE"""),46231.46839120371)</f>
        <v>46231.46839</v>
      </c>
      <c r="BI738" s="6">
        <f>IFERROR(__xludf.DUMMYFUNCTION("""COMPUTED_VALUE"""),739.0)</f>
        <v>739</v>
      </c>
      <c r="BJ738" s="6"/>
      <c r="BK738" s="6"/>
      <c r="BL738" s="6" t="str">
        <f>IFERROR(__xludf.DUMMYFUNCTION("""COMPUTED_VALUE"""),"GISJAR0004")</f>
        <v>GISJAR0004</v>
      </c>
      <c r="BM738" s="6"/>
      <c r="BN738" s="6"/>
      <c r="BO738" s="6" t="str">
        <f>IFERROR(__xludf.DUMMYFUNCTION("""COMPUTED_VALUE"""),"XC_HS_Futbol_M")</f>
        <v>XC_HS_Futbol_M</v>
      </c>
      <c r="BP738" s="6"/>
      <c r="BQ738" s="6" t="str">
        <f>IFERROR(__xludf.DUMMYFUNCTION("""COMPUTED_VALUE"""),"XC_HS_Futbol_M")</f>
        <v>XC_HS_Futbol_M</v>
      </c>
      <c r="BR738" s="6" t="str">
        <f>IFERROR(__xludf.DUMMYFUNCTION("""COMPUTED_VALUE"""),"XC_HS_Futbol_M")</f>
        <v>XC_HS_Futbol_M</v>
      </c>
      <c r="BS738" s="6"/>
      <c r="BT738" s="6" t="str">
        <f>IFERROR(__xludf.DUMMYFUNCTION("""COMPUTED_VALUE"""),"XC_HS_Futbol_M")</f>
        <v>XC_HS_Futbol_M</v>
      </c>
      <c r="BU738" s="6" t="str">
        <f>IFERROR(__xludf.DUMMYFUNCTION("""COMPUTED_VALUE"""),"SI")</f>
        <v>SI</v>
      </c>
      <c r="BV738" s="6" t="str">
        <f>IFERROR(__xludf.DUMMYFUNCTION("""COMPUTED_VALUE"""),"maximiliano.j2028")</f>
        <v>maximiliano.j2028</v>
      </c>
      <c r="BW738" s="6"/>
      <c r="BX738" s="6"/>
      <c r="BY738" s="6"/>
      <c r="BZ738" s="6"/>
    </row>
    <row r="739">
      <c r="A739" s="12">
        <f>IFERROR(__xludf.DUMMYFUNCTION("""COMPUTED_VALUE"""),1.025326166E9)</f>
        <v>1025326166</v>
      </c>
      <c r="B739" s="6">
        <f>IFERROR(__xludf.DUMMYFUNCTION("""COMPUTED_VALUE"""),29.0)</f>
        <v>29</v>
      </c>
      <c r="C739" s="6" t="str">
        <f>IFERROR(__xludf.DUMMYFUNCTION("""COMPUTED_VALUE"""),"Ana")</f>
        <v>Ana</v>
      </c>
      <c r="D739" s="6"/>
      <c r="E739" s="6" t="str">
        <f>IFERROR(__xludf.DUMMYFUNCTION("""COMPUTED_VALUE"""),"Londoño Velásquez")</f>
        <v>Londoño Velásquez</v>
      </c>
      <c r="F739" s="6" t="str">
        <f>IFERROR(__xludf.DUMMYFUNCTION("""COMPUTED_VALUE"""),"Cra 11 No13Nte - 48 Apto 501 - La Castellana")</f>
        <v>Cra 11 No13Nte - 48 Apto 501 - La Castellana</v>
      </c>
      <c r="G739" s="12" t="str">
        <f>IFERROR(__xludf.DUMMYFUNCTION("""COMPUTED_VALUE"""),"2010")</f>
        <v>2010</v>
      </c>
      <c r="H739" s="6" t="str">
        <f>IFERROR(__xludf.DUMMYFUNCTION("""COMPUTED_VALUE"""),"Junio")</f>
        <v>Junio</v>
      </c>
      <c r="I739" s="12" t="str">
        <f>IFERROR(__xludf.DUMMYFUNCTION("""COMPUTED_VALUE"""),"1")</f>
        <v>1</v>
      </c>
      <c r="J739" s="6" t="str">
        <f>IFERROR(__xludf.DUMMYFUNCTION("""COMPUTED_VALUE"""),"Bogotá D.C.")</f>
        <v>Bogotá D.C.</v>
      </c>
      <c r="K739" s="6" t="str">
        <f>IFERROR(__xludf.DUMMYFUNCTION("""COMPUTED_VALUE"""),"ana.l2028@gi.edu.co")</f>
        <v>ana.l2028@gi.edu.co</v>
      </c>
      <c r="L739" s="6" t="str">
        <f>IFERROR(__xludf.DUMMYFUNCTION("""COMPUTED_VALUE"""),"TI")</f>
        <v>TI</v>
      </c>
      <c r="M739" s="6" t="str">
        <f>IFERROR(__xludf.DUMMYFUNCTION("""COMPUTED_VALUE"""),"Armenia")</f>
        <v>Armenia</v>
      </c>
      <c r="N739" s="6" t="str">
        <f>IFERROR(__xludf.DUMMYFUNCTION("""COMPUTED_VALUE"""),"F")</f>
        <v>F</v>
      </c>
      <c r="O739" s="6" t="str">
        <f>IFERROR(__xludf.DUMMYFUNCTION("""COMPUTED_VALUE"""),"ACTIVE")</f>
        <v>ACTIVE</v>
      </c>
      <c r="P739" s="6"/>
      <c r="Q739" s="6" t="str">
        <f>IFERROR(__xludf.DUMMYFUNCTION("""COMPUTED_VALUE"""),"Armenia")</f>
        <v>Armenia</v>
      </c>
      <c r="R739" s="12" t="str">
        <f>IFERROR(__xludf.DUMMYFUNCTION("""COMPUTED_VALUE"""),"Gi34s98fe*")</f>
        <v>Gi34s98fe*</v>
      </c>
      <c r="S739" s="6" t="str">
        <f>IFERROR(__xludf.DUMMYFUNCTION("""COMPUTED_VALUE"""),"Londoño Velásquez Ana ")</f>
        <v>Londoño Velásquez Ana </v>
      </c>
      <c r="T739" s="6" t="str">
        <f>IFERROR(__xludf.DUMMYFUNCTION("""COMPUTED_VALUE"""),"ÁNGELA MARÍA VELÁSQUEZ PÁEZ")</f>
        <v>ÁNGELA MARÍA VELÁSQUEZ PÁEZ</v>
      </c>
      <c r="U739" s="12" t="str">
        <f>IFERROR(__xludf.DUMMYFUNCTION("""COMPUTED_VALUE"""),"41940111")</f>
        <v>41940111</v>
      </c>
      <c r="V739" s="6">
        <f>IFERROR(__xludf.DUMMYFUNCTION("""COMPUTED_VALUE"""),3.106792197E9)</f>
        <v>3106792197</v>
      </c>
      <c r="W739" s="6" t="str">
        <f>IFERROR(__xludf.DUMMYFUNCTION("""COMPUTED_VALUE"""),"angela_velasquez@hotmail.com")</f>
        <v>angela_velasquez@hotmail.com</v>
      </c>
      <c r="X739" s="12" t="str">
        <f>IFERROR(__xludf.DUMMYFUNCTION("""COMPUTED_VALUE"""),"A+")</f>
        <v>A+</v>
      </c>
      <c r="Y739" s="12" t="str">
        <f>IFERROR(__xludf.DUMMYFUNCTION("""COMPUTED_VALUE"""),"11")</f>
        <v>11</v>
      </c>
      <c r="Z739" s="12">
        <f>IFERROR(__xludf.DUMMYFUNCTION("""COMPUTED_VALUE"""),103634.0)</f>
        <v>103634</v>
      </c>
      <c r="AA739" s="6" t="str">
        <f>IFERROR(__xludf.DUMMYFUNCTION("""COMPUTED_VALUE"""),"SANITAS")</f>
        <v>SANITAS</v>
      </c>
      <c r="AB739" s="6" t="str">
        <f>IFERROR(__xludf.DUMMYFUNCTION("""COMPUTED_VALUE"""),"EMI")</f>
        <v>EMI</v>
      </c>
      <c r="AC739" s="6"/>
      <c r="AD739" s="12" t="str">
        <f>IFERROR(__xludf.DUMMYFUNCTION("""COMPUTED_VALUE"""),"11")</f>
        <v>11</v>
      </c>
      <c r="AE739" s="12">
        <f>IFERROR(__xludf.DUMMYFUNCTION("""COMPUTED_VALUE"""),1.345281811E9)</f>
        <v>1345281811</v>
      </c>
      <c r="AF739" s="12" t="str">
        <f>IFERROR(__xludf.DUMMYFUNCTION("""COMPUTED_VALUE"""),"0685496243")</f>
        <v>0685496243</v>
      </c>
      <c r="AG739" s="12" t="str">
        <f>IFERROR(__xludf.DUMMYFUNCTION("""COMPUTED_VALUE"""),"Ángela")</f>
        <v>Ángela</v>
      </c>
      <c r="AH739" s="12" t="str">
        <f>IFERROR(__xludf.DUMMYFUNCTION("""COMPUTED_VALUE"""),"María")</f>
        <v>María</v>
      </c>
      <c r="AI739" s="6" t="str">
        <f>IFERROR(__xludf.DUMMYFUNCTION("""COMPUTED_VALUE"""),"Velásquez Páez")</f>
        <v>Velásquez Páez</v>
      </c>
      <c r="AJ739" s="6" t="str">
        <f>IFERROR(__xludf.DUMMYFUNCTION("""COMPUTED_VALUE"""),"angela_velasquez@hotmail.com")</f>
        <v>angela_velasquez@hotmail.com</v>
      </c>
      <c r="AK739" s="6" t="str">
        <f>IFERROR(__xludf.DUMMYFUNCTION("""COMPUTED_VALUE"""),"COMUNICADORA SOCIAL Y PERIODISTA")</f>
        <v>COMUNICADORA SOCIAL Y PERIODISTA</v>
      </c>
      <c r="AL739" s="6" t="str">
        <f>IFERROR(__xludf.DUMMYFUNCTION("""COMPUTED_VALUE"""),"Fundación Gimnasio Inglés de Armenia")</f>
        <v>Fundación Gimnasio Inglés de Armenia</v>
      </c>
      <c r="AM739" s="12" t="str">
        <f>IFERROR(__xludf.DUMMYFUNCTION("""COMPUTED_VALUE"""),"41940111")</f>
        <v>41940111</v>
      </c>
      <c r="AN739" s="12" t="str">
        <f>IFERROR(__xludf.DUMMYFUNCTION("""COMPUTED_VALUE"""),"3106792197")</f>
        <v>3106792197</v>
      </c>
      <c r="AO739" s="6" t="str">
        <f>IFERROR(__xludf.DUMMYFUNCTION("""COMPUTED_VALUE"""),"Madre")</f>
        <v>Madre</v>
      </c>
      <c r="AP739" s="6" t="str">
        <f>IFERROR(__xludf.DUMMYFUNCTION("""COMPUTED_VALUE"""),"Estudiante(s): Londoño Velásquez")</f>
        <v>Estudiante(s): Londoño Velásquez</v>
      </c>
      <c r="AQ739" s="6" t="str">
        <f>IFERROR(__xludf.DUMMYFUNCTION("""COMPUTED_VALUE"""),"103634*Gi")</f>
        <v>103634*Gi</v>
      </c>
      <c r="AR739" s="6" t="str">
        <f>IFERROR(__xludf.DUMMYFUNCTION("""COMPUTED_VALUE"""),"Mauricio")</f>
        <v>Mauricio</v>
      </c>
      <c r="AS739" s="6"/>
      <c r="AT739" s="6" t="str">
        <f>IFERROR(__xludf.DUMMYFUNCTION("""COMPUTED_VALUE"""),"Londoño Ramírez")</f>
        <v>Londoño Ramírez</v>
      </c>
      <c r="AU739" s="6" t="str">
        <f>IFERROR(__xludf.DUMMYFUNCTION("""COMPUTED_VALUE"""),"mauricio_londono@hotmail.com")</f>
        <v>mauricio_londono@hotmail.com</v>
      </c>
      <c r="AV739" s="6" t="str">
        <f>IFERROR(__xludf.DUMMYFUNCTION("""COMPUTED_VALUE"""),"Administrador de empresas")</f>
        <v>Administrador de empresas</v>
      </c>
      <c r="AW739" s="6" t="str">
        <f>IFERROR(__xludf.DUMMYFUNCTION("""COMPUTED_VALUE"""),"Independiente")</f>
        <v>Independiente</v>
      </c>
      <c r="AX739" s="12" t="str">
        <f>IFERROR(__xludf.DUMMYFUNCTION("""COMPUTED_VALUE"""),"7559331")</f>
        <v>7559331</v>
      </c>
      <c r="AY739" s="12" t="str">
        <f>IFERROR(__xludf.DUMMYFUNCTION("""COMPUTED_VALUE"""),"3102310191")</f>
        <v>3102310191</v>
      </c>
      <c r="AZ739" s="6" t="str">
        <f>IFERROR(__xludf.DUMMYFUNCTION("""COMPUTED_VALUE"""),"Padre")</f>
        <v>Padre</v>
      </c>
      <c r="BA739" s="6"/>
      <c r="BB739" s="6"/>
      <c r="BC739" s="6"/>
      <c r="BD739" s="12" t="str">
        <f>IFERROR(__xludf.DUMMYFUNCTION("""COMPUTED_VALUE"""),"lon0012")</f>
        <v>lon0012</v>
      </c>
      <c r="BE739" s="6"/>
      <c r="BF739" s="6"/>
      <c r="BG739" s="6">
        <f>IFERROR(__xludf.DUMMYFUNCTION("""COMPUTED_VALUE"""),2028.0)</f>
        <v>2028</v>
      </c>
      <c r="BH739" s="15">
        <f>IFERROR(__xludf.DUMMYFUNCTION("""COMPUTED_VALUE"""),46195.366643518515)</f>
        <v>46195.36664</v>
      </c>
      <c r="BI739" s="6">
        <f>IFERROR(__xludf.DUMMYFUNCTION("""COMPUTED_VALUE"""),740.0)</f>
        <v>740</v>
      </c>
      <c r="BJ739" s="6"/>
      <c r="BK739" s="6"/>
      <c r="BL739" s="6" t="str">
        <f>IFERROR(__xludf.DUMMYFUNCTION("""COMPUTED_VALUE"""),"GISLON0012")</f>
        <v>GISLON0012</v>
      </c>
      <c r="BM739" s="6"/>
      <c r="BN739" s="6"/>
      <c r="BO739" s="6"/>
      <c r="BP739" s="6"/>
      <c r="BQ739" s="6"/>
      <c r="BR739" s="6"/>
      <c r="BS739" s="6"/>
      <c r="BT739" s="6"/>
      <c r="BU739" s="6" t="str">
        <f>IFERROR(__xludf.DUMMYFUNCTION("""COMPUTED_VALUE"""),"SI")</f>
        <v>SI</v>
      </c>
      <c r="BV739" s="6" t="str">
        <f>IFERROR(__xludf.DUMMYFUNCTION("""COMPUTED_VALUE"""),"ana.l2028")</f>
        <v>ana.l2028</v>
      </c>
      <c r="BW739" s="6"/>
      <c r="BX739" s="6"/>
      <c r="BY739" s="6"/>
      <c r="BZ739" s="6"/>
    </row>
    <row r="740">
      <c r="A740" s="12">
        <f>IFERROR(__xludf.DUMMYFUNCTION("""COMPUTED_VALUE"""),1.092854732E9)</f>
        <v>1092854732</v>
      </c>
      <c r="B740" s="6">
        <f>IFERROR(__xludf.DUMMYFUNCTION("""COMPUTED_VALUE"""),30.0)</f>
        <v>30</v>
      </c>
      <c r="C740" s="6" t="str">
        <f>IFERROR(__xludf.DUMMYFUNCTION("""COMPUTED_VALUE"""),"Federico")</f>
        <v>Federico</v>
      </c>
      <c r="D740" s="6"/>
      <c r="E740" s="6" t="str">
        <f>IFERROR(__xludf.DUMMYFUNCTION("""COMPUTED_VALUE"""),"Londoño Villegas")</f>
        <v>Londoño Villegas</v>
      </c>
      <c r="F740" s="6" t="str">
        <f>IFERROR(__xludf.DUMMYFUNCTION("""COMPUTED_VALUE"""),"Condominio Campestre La Reserva Casa 20 - Cra 5 No10Nte - 25 Av Centenario")</f>
        <v>Condominio Campestre La Reserva Casa 20 - Cra 5 No10Nte - 25 Av Centenario</v>
      </c>
      <c r="G740" s="12" t="str">
        <f>IFERROR(__xludf.DUMMYFUNCTION("""COMPUTED_VALUE"""),"2010")</f>
        <v>2010</v>
      </c>
      <c r="H740" s="6" t="str">
        <f>IFERROR(__xludf.DUMMYFUNCTION("""COMPUTED_VALUE"""),"Mayo")</f>
        <v>Mayo</v>
      </c>
      <c r="I740" s="12" t="str">
        <f>IFERROR(__xludf.DUMMYFUNCTION("""COMPUTED_VALUE"""),"2")</f>
        <v>2</v>
      </c>
      <c r="J740" s="6" t="str">
        <f>IFERROR(__xludf.DUMMYFUNCTION("""COMPUTED_VALUE"""),"Armenia")</f>
        <v>Armenia</v>
      </c>
      <c r="K740" s="6" t="str">
        <f>IFERROR(__xludf.DUMMYFUNCTION("""COMPUTED_VALUE"""),"federico.l2028@gi.edu.co")</f>
        <v>federico.l2028@gi.edu.co</v>
      </c>
      <c r="L740" s="6" t="str">
        <f>IFERROR(__xludf.DUMMYFUNCTION("""COMPUTED_VALUE"""),"TI")</f>
        <v>TI</v>
      </c>
      <c r="M740" s="6" t="str">
        <f>IFERROR(__xludf.DUMMYFUNCTION("""COMPUTED_VALUE"""),"Armenia")</f>
        <v>Armenia</v>
      </c>
      <c r="N740" s="6" t="str">
        <f>IFERROR(__xludf.DUMMYFUNCTION("""COMPUTED_VALUE"""),"M")</f>
        <v>M</v>
      </c>
      <c r="O740" s="6" t="str">
        <f>IFERROR(__xludf.DUMMYFUNCTION("""COMPUTED_VALUE"""),"ACTIVE")</f>
        <v>ACTIVE</v>
      </c>
      <c r="P740" s="6"/>
      <c r="Q740" s="6" t="str">
        <f>IFERROR(__xludf.DUMMYFUNCTION("""COMPUTED_VALUE"""),"Armenia")</f>
        <v>Armenia</v>
      </c>
      <c r="R740" s="12" t="str">
        <f>IFERROR(__xludf.DUMMYFUNCTION("""COMPUTED_VALUE"""),"Gijhgff435*")</f>
        <v>Gijhgff435*</v>
      </c>
      <c r="S740" s="6" t="str">
        <f>IFERROR(__xludf.DUMMYFUNCTION("""COMPUTED_VALUE"""),"Londoño Villegas Federico ")</f>
        <v>Londoño Villegas Federico </v>
      </c>
      <c r="T740" s="6" t="str">
        <f>IFERROR(__xludf.DUMMYFUNCTION("""COMPUTED_VALUE"""),"DIEGO FERNANDO LONDOÑO MEJIA")</f>
        <v>DIEGO FERNANDO LONDOÑO MEJIA</v>
      </c>
      <c r="U740" s="12" t="str">
        <f>IFERROR(__xludf.DUMMYFUNCTION("""COMPUTED_VALUE"""),"75069657")</f>
        <v>75069657</v>
      </c>
      <c r="V740" s="6">
        <f>IFERROR(__xludf.DUMMYFUNCTION("""COMPUTED_VALUE"""),3.113440279E9)</f>
        <v>3113440279</v>
      </c>
      <c r="W740" s="6" t="str">
        <f>IFERROR(__xludf.DUMMYFUNCTION("""COMPUTED_VALUE"""),"diegolondonn@hotmail.com")</f>
        <v>diegolondonn@hotmail.com</v>
      </c>
      <c r="X740" s="12" t="str">
        <f>IFERROR(__xludf.DUMMYFUNCTION("""COMPUTED_VALUE"""),"A+")</f>
        <v>A+</v>
      </c>
      <c r="Y740" s="12" t="str">
        <f>IFERROR(__xludf.DUMMYFUNCTION("""COMPUTED_VALUE"""),"11")</f>
        <v>11</v>
      </c>
      <c r="Z740" s="12">
        <f>IFERROR(__xludf.DUMMYFUNCTION("""COMPUTED_VALUE"""),103182.0)</f>
        <v>103182</v>
      </c>
      <c r="AA740" s="6" t="str">
        <f>IFERROR(__xludf.DUMMYFUNCTION("""COMPUTED_VALUE"""),"SANITAS")</f>
        <v>SANITAS</v>
      </c>
      <c r="AB740" s="6" t="str">
        <f>IFERROR(__xludf.DUMMYFUNCTION("""COMPUTED_VALUE"""),"EMI")</f>
        <v>EMI</v>
      </c>
      <c r="AC740" s="6"/>
      <c r="AD740" s="12" t="str">
        <f>IFERROR(__xludf.DUMMYFUNCTION("""COMPUTED_VALUE"""),"11")</f>
        <v>11</v>
      </c>
      <c r="AE740" s="12">
        <f>IFERROR(__xludf.DUMMYFUNCTION("""COMPUTED_VALUE"""),1.345281565E9)</f>
        <v>1345281565</v>
      </c>
      <c r="AF740" s="12" t="str">
        <f>IFERROR(__xludf.DUMMYFUNCTION("""COMPUTED_VALUE"""),"0737082339")</f>
        <v>0737082339</v>
      </c>
      <c r="AG740" s="12" t="str">
        <f>IFERROR(__xludf.DUMMYFUNCTION("""COMPUTED_VALUE"""),"Adriana")</f>
        <v>Adriana</v>
      </c>
      <c r="AH740" s="6"/>
      <c r="AI740" s="6" t="str">
        <f>IFERROR(__xludf.DUMMYFUNCTION("""COMPUTED_VALUE"""),"Villegas Robledo")</f>
        <v>Villegas Robledo</v>
      </c>
      <c r="AJ740" s="6" t="str">
        <f>IFERROR(__xludf.DUMMYFUNCTION("""COMPUTED_VALUE"""),"avillegasrobledo@yahoo.com")</f>
        <v>avillegasrobledo@yahoo.com</v>
      </c>
      <c r="AK740" s="6" t="str">
        <f>IFERROR(__xludf.DUMMYFUNCTION("""COMPUTED_VALUE"""),"administrador de empresas")</f>
        <v>administrador de empresas</v>
      </c>
      <c r="AL740" s="6" t="str">
        <f>IFERROR(__xludf.DUMMYFUNCTION("""COMPUTED_VALUE"""),"PARQUEADERO EL PRADO")</f>
        <v>PARQUEADERO EL PRADO</v>
      </c>
      <c r="AM740" s="12" t="str">
        <f>IFERROR(__xludf.DUMMYFUNCTION("""COMPUTED_VALUE"""),"41935117")</f>
        <v>41935117</v>
      </c>
      <c r="AN740" s="12" t="str">
        <f>IFERROR(__xludf.DUMMYFUNCTION("""COMPUTED_VALUE"""),"3113165573")</f>
        <v>3113165573</v>
      </c>
      <c r="AO740" s="6" t="str">
        <f>IFERROR(__xludf.DUMMYFUNCTION("""COMPUTED_VALUE"""),"Madre")</f>
        <v>Madre</v>
      </c>
      <c r="AP740" s="6" t="str">
        <f>IFERROR(__xludf.DUMMYFUNCTION("""COMPUTED_VALUE"""),"Estudiante(s): Londoño Villegas")</f>
        <v>Estudiante(s): Londoño Villegas</v>
      </c>
      <c r="AQ740" s="6" t="str">
        <f>IFERROR(__xludf.DUMMYFUNCTION("""COMPUTED_VALUE"""),"102176*Gi")</f>
        <v>102176*Gi</v>
      </c>
      <c r="AR740" s="6" t="str">
        <f>IFERROR(__xludf.DUMMYFUNCTION("""COMPUTED_VALUE"""),"Diego")</f>
        <v>Diego</v>
      </c>
      <c r="AS740" s="6" t="str">
        <f>IFERROR(__xludf.DUMMYFUNCTION("""COMPUTED_VALUE"""),"Fernando")</f>
        <v>Fernando</v>
      </c>
      <c r="AT740" s="6" t="str">
        <f>IFERROR(__xludf.DUMMYFUNCTION("""COMPUTED_VALUE"""),"Londoño Mejía")</f>
        <v>Londoño Mejía</v>
      </c>
      <c r="AU740" s="6" t="str">
        <f>IFERROR(__xludf.DUMMYFUNCTION("""COMPUTED_VALUE"""),"diegolondonn@hotmail.com")</f>
        <v>diegolondonn@hotmail.com</v>
      </c>
      <c r="AV740" s="6" t="str">
        <f>IFERROR(__xludf.DUMMYFUNCTION("""COMPUTED_VALUE"""),"odontologo")</f>
        <v>odontologo</v>
      </c>
      <c r="AW740" s="6" t="str">
        <f>IFERROR(__xludf.DUMMYFUNCTION("""COMPUTED_VALUE"""),"Consultorio odontologico")</f>
        <v>Consultorio odontologico</v>
      </c>
      <c r="AX740" s="12" t="str">
        <f>IFERROR(__xludf.DUMMYFUNCTION("""COMPUTED_VALUE"""),"75069657")</f>
        <v>75069657</v>
      </c>
      <c r="AY740" s="12" t="str">
        <f>IFERROR(__xludf.DUMMYFUNCTION("""COMPUTED_VALUE"""),"3113440279")</f>
        <v>3113440279</v>
      </c>
      <c r="AZ740" s="6" t="str">
        <f>IFERROR(__xludf.DUMMYFUNCTION("""COMPUTED_VALUE"""),"Padre")</f>
        <v>Padre</v>
      </c>
      <c r="BA740" s="6"/>
      <c r="BB740" s="6"/>
      <c r="BC740" s="6"/>
      <c r="BD740" s="12" t="str">
        <f>IFERROR(__xludf.DUMMYFUNCTION("""COMPUTED_VALUE"""),"lon0009")</f>
        <v>lon0009</v>
      </c>
      <c r="BE740" s="6"/>
      <c r="BF740" s="6"/>
      <c r="BG740" s="6">
        <f>IFERROR(__xludf.DUMMYFUNCTION("""COMPUTED_VALUE"""),2028.0)</f>
        <v>2028</v>
      </c>
      <c r="BH740" s="15">
        <f>IFERROR(__xludf.DUMMYFUNCTION("""COMPUTED_VALUE"""),46228.69126157407)</f>
        <v>46228.69126</v>
      </c>
      <c r="BI740" s="6">
        <f>IFERROR(__xludf.DUMMYFUNCTION("""COMPUTED_VALUE"""),741.0)</f>
        <v>741</v>
      </c>
      <c r="BJ740" s="6" t="str">
        <f>IFERROR(__xludf.DUMMYFUNCTION("""COMPUTED_VALUE"""),"DANE: Déficit de atención
SIMAT: Transtorno por deficit de atencion con/sin hiperactividad")</f>
        <v>DANE: Déficit de atención
SIMAT: Transtorno por deficit de atencion con/sin hiperactividad</v>
      </c>
      <c r="BK740" s="6"/>
      <c r="BL740" s="6" t="str">
        <f>IFERROR(__xludf.DUMMYFUNCTION("""COMPUTED_VALUE"""),"GISLON0009")</f>
        <v>GISLON0009</v>
      </c>
      <c r="BM740" s="6"/>
      <c r="BN740" s="6"/>
      <c r="BO740" s="6" t="str">
        <f>IFERROR(__xludf.DUMMYFUNCTION("""COMPUTED_VALUE"""),"XC_HS_Futbol_M")</f>
        <v>XC_HS_Futbol_M</v>
      </c>
      <c r="BP740" s="6"/>
      <c r="BQ740" s="6" t="str">
        <f>IFERROR(__xludf.DUMMYFUNCTION("""COMPUTED_VALUE"""),"XC_HS_Futbol_M")</f>
        <v>XC_HS_Futbol_M</v>
      </c>
      <c r="BR740" s="6" t="str">
        <f>IFERROR(__xludf.DUMMYFUNCTION("""COMPUTED_VALUE"""),"XC_SEC_ArtesPlasticas")</f>
        <v>XC_SEC_ArtesPlasticas</v>
      </c>
      <c r="BS740" s="6"/>
      <c r="BT740" s="6" t="str">
        <f>IFERROR(__xludf.DUMMYFUNCTION("""COMPUTED_VALUE"""),"XC_HS_Futbol_M")</f>
        <v>XC_HS_Futbol_M</v>
      </c>
      <c r="BU740" s="6" t="str">
        <f>IFERROR(__xludf.DUMMYFUNCTION("""COMPUTED_VALUE"""),"SI")</f>
        <v>SI</v>
      </c>
      <c r="BV740" s="6" t="str">
        <f>IFERROR(__xludf.DUMMYFUNCTION("""COMPUTED_VALUE"""),"federico.l2028")</f>
        <v>federico.l2028</v>
      </c>
      <c r="BW740" s="6"/>
      <c r="BX740" s="6"/>
      <c r="BY740" s="6"/>
      <c r="BZ740" s="6"/>
    </row>
    <row r="741">
      <c r="A741" s="12">
        <f>IFERROR(__xludf.DUMMYFUNCTION("""COMPUTED_VALUE"""),1.09246076E9)</f>
        <v>1092460760</v>
      </c>
      <c r="B741" s="6">
        <f>IFERROR(__xludf.DUMMYFUNCTION("""COMPUTED_VALUE"""),31.0)</f>
        <v>31</v>
      </c>
      <c r="C741" s="6" t="str">
        <f>IFERROR(__xludf.DUMMYFUNCTION("""COMPUTED_VALUE"""),"Valeria")</f>
        <v>Valeria</v>
      </c>
      <c r="D741" s="6"/>
      <c r="E741" s="6" t="str">
        <f>IFERROR(__xludf.DUMMYFUNCTION("""COMPUTED_VALUE"""),"López Mejía")</f>
        <v>López Mejía</v>
      </c>
      <c r="F741" s="6" t="str">
        <f>IFERROR(__xludf.DUMMYFUNCTION("""COMPUTED_VALUE"""),"Cra 11 No24Nte - 75 Casa D-10 - COINCA")</f>
        <v>Cra 11 No24Nte - 75 Casa D-10 - COINCA</v>
      </c>
      <c r="G741" s="12" t="str">
        <f>IFERROR(__xludf.DUMMYFUNCTION("""COMPUTED_VALUE"""),"2010")</f>
        <v>2010</v>
      </c>
      <c r="H741" s="6" t="str">
        <f>IFERROR(__xludf.DUMMYFUNCTION("""COMPUTED_VALUE"""),"Abril")</f>
        <v>Abril</v>
      </c>
      <c r="I741" s="12" t="str">
        <f>IFERROR(__xludf.DUMMYFUNCTION("""COMPUTED_VALUE"""),"21")</f>
        <v>21</v>
      </c>
      <c r="J741" s="6" t="str">
        <f>IFERROR(__xludf.DUMMYFUNCTION("""COMPUTED_VALUE"""),"Armenia")</f>
        <v>Armenia</v>
      </c>
      <c r="K741" s="6" t="str">
        <f>IFERROR(__xludf.DUMMYFUNCTION("""COMPUTED_VALUE"""),"valeria.l2028@gi.edu.co")</f>
        <v>valeria.l2028@gi.edu.co</v>
      </c>
      <c r="L741" s="6" t="str">
        <f>IFERROR(__xludf.DUMMYFUNCTION("""COMPUTED_VALUE"""),"TI")</f>
        <v>TI</v>
      </c>
      <c r="M741" s="6" t="str">
        <f>IFERROR(__xludf.DUMMYFUNCTION("""COMPUTED_VALUE"""),"Armenia")</f>
        <v>Armenia</v>
      </c>
      <c r="N741" s="6" t="str">
        <f>IFERROR(__xludf.DUMMYFUNCTION("""COMPUTED_VALUE"""),"F")</f>
        <v>F</v>
      </c>
      <c r="O741" s="6" t="str">
        <f>IFERROR(__xludf.DUMMYFUNCTION("""COMPUTED_VALUE"""),"ACTIVE")</f>
        <v>ACTIVE</v>
      </c>
      <c r="P741" s="6"/>
      <c r="Q741" s="6" t="str">
        <f>IFERROR(__xludf.DUMMYFUNCTION("""COMPUTED_VALUE"""),"Armenia")</f>
        <v>Armenia</v>
      </c>
      <c r="R741" s="12" t="str">
        <f>IFERROR(__xludf.DUMMYFUNCTION("""COMPUTED_VALUE"""),"Giv345u9*")</f>
        <v>Giv345u9*</v>
      </c>
      <c r="S741" s="6" t="str">
        <f>IFERROR(__xludf.DUMMYFUNCTION("""COMPUTED_VALUE"""),"López Mejía Valeria ")</f>
        <v>López Mejía Valeria </v>
      </c>
      <c r="T741" s="6" t="str">
        <f>IFERROR(__xludf.DUMMYFUNCTION("""COMPUTED_VALUE"""),"LEONARDO LÓPEZ GUTIERREZ")</f>
        <v>LEONARDO LÓPEZ GUTIERREZ</v>
      </c>
      <c r="U741" s="12" t="str">
        <f>IFERROR(__xludf.DUMMYFUNCTION("""COMPUTED_VALUE"""),"18496999")</f>
        <v>18496999</v>
      </c>
      <c r="V741" s="6">
        <f>IFERROR(__xludf.DUMMYFUNCTION("""COMPUTED_VALUE"""),3.116080197E9)</f>
        <v>3116080197</v>
      </c>
      <c r="W741" s="6" t="str">
        <f>IFERROR(__xludf.DUMMYFUNCTION("""COMPUTED_VALUE"""),"leonardolopez0217@gmail.com")</f>
        <v>leonardolopez0217@gmail.com</v>
      </c>
      <c r="X741" s="12" t="str">
        <f>IFERROR(__xludf.DUMMYFUNCTION("""COMPUTED_VALUE"""),"A+")</f>
        <v>A+</v>
      </c>
      <c r="Y741" s="12" t="str">
        <f>IFERROR(__xludf.DUMMYFUNCTION("""COMPUTED_VALUE"""),"11")</f>
        <v>11</v>
      </c>
      <c r="Z741" s="12">
        <f>IFERROR(__xludf.DUMMYFUNCTION("""COMPUTED_VALUE"""),103674.0)</f>
        <v>103674</v>
      </c>
      <c r="AA741" s="6" t="str">
        <f>IFERROR(__xludf.DUMMYFUNCTION("""COMPUTED_VALUE"""),"SANITAS")</f>
        <v>SANITAS</v>
      </c>
      <c r="AB741" s="6"/>
      <c r="AC741" s="6"/>
      <c r="AD741" s="12" t="str">
        <f>IFERROR(__xludf.DUMMYFUNCTION("""COMPUTED_VALUE"""),"11")</f>
        <v>11</v>
      </c>
      <c r="AE741" s="12">
        <f>IFERROR(__xludf.DUMMYFUNCTION("""COMPUTED_VALUE"""),1.345281834E9)</f>
        <v>1345281834</v>
      </c>
      <c r="AF741" s="12" t="str">
        <f>IFERROR(__xludf.DUMMYFUNCTION("""COMPUTED_VALUE"""),"0696360787")</f>
        <v>0696360787</v>
      </c>
      <c r="AG741" s="12" t="str">
        <f>IFERROR(__xludf.DUMMYFUNCTION("""COMPUTED_VALUE"""),"Lorena")</f>
        <v>Lorena</v>
      </c>
      <c r="AH741" s="6"/>
      <c r="AI741" s="6" t="str">
        <f>IFERROR(__xludf.DUMMYFUNCTION("""COMPUTED_VALUE"""),"Mejía Arana")</f>
        <v>Mejía Arana</v>
      </c>
      <c r="AJ741" s="6" t="str">
        <f>IFERROR(__xludf.DUMMYFUNCTION("""COMPUTED_VALUE"""),"loremejia1982@yahoo.es")</f>
        <v>loremejia1982@yahoo.es</v>
      </c>
      <c r="AK741" s="6" t="str">
        <f>IFERROR(__xludf.DUMMYFUNCTION("""COMPUTED_VALUE"""),"ABOGADA")</f>
        <v>ABOGADA</v>
      </c>
      <c r="AL741" s="6" t="str">
        <f>IFERROR(__xludf.DUMMYFUNCTION("""COMPUTED_VALUE"""),"PROCURADURIA GENERAL DE LA NACION")</f>
        <v>PROCURADURIA GENERAL DE LA NACION</v>
      </c>
      <c r="AM741" s="12" t="str">
        <f>IFERROR(__xludf.DUMMYFUNCTION("""COMPUTED_VALUE"""),"41953955")</f>
        <v>41953955</v>
      </c>
      <c r="AN741" s="12" t="str">
        <f>IFERROR(__xludf.DUMMYFUNCTION("""COMPUTED_VALUE"""),"3137896520")</f>
        <v>3137896520</v>
      </c>
      <c r="AO741" s="6" t="str">
        <f>IFERROR(__xludf.DUMMYFUNCTION("""COMPUTED_VALUE"""),"Madre")</f>
        <v>Madre</v>
      </c>
      <c r="AP741" s="6" t="str">
        <f>IFERROR(__xludf.DUMMYFUNCTION("""COMPUTED_VALUE"""),"Estudiante(s): López Mejía")</f>
        <v>Estudiante(s): López Mejía</v>
      </c>
      <c r="AQ741" s="6" t="str">
        <f>IFERROR(__xludf.DUMMYFUNCTION("""COMPUTED_VALUE"""),"103678*Gi")</f>
        <v>103678*Gi</v>
      </c>
      <c r="AR741" s="6" t="str">
        <f>IFERROR(__xludf.DUMMYFUNCTION("""COMPUTED_VALUE"""),"Leonardo")</f>
        <v>Leonardo</v>
      </c>
      <c r="AS741" s="6"/>
      <c r="AT741" s="6" t="str">
        <f>IFERROR(__xludf.DUMMYFUNCTION("""COMPUTED_VALUE"""),"López Gutiérrez")</f>
        <v>López Gutiérrez</v>
      </c>
      <c r="AU741" s="6" t="str">
        <f>IFERROR(__xludf.DUMMYFUNCTION("""COMPUTED_VALUE"""),"leonardolopez0217@gmail.com")</f>
        <v>leonardolopez0217@gmail.com</v>
      </c>
      <c r="AV741" s="6" t="str">
        <f>IFERROR(__xludf.DUMMYFUNCTION("""COMPUTED_VALUE"""),"ABOGADO")</f>
        <v>ABOGADO</v>
      </c>
      <c r="AW741" s="6"/>
      <c r="AX741" s="12" t="str">
        <f>IFERROR(__xludf.DUMMYFUNCTION("""COMPUTED_VALUE"""),"18496999")</f>
        <v>18496999</v>
      </c>
      <c r="AY741" s="12" t="str">
        <f>IFERROR(__xludf.DUMMYFUNCTION("""COMPUTED_VALUE"""),"3116080197")</f>
        <v>3116080197</v>
      </c>
      <c r="AZ741" s="6" t="str">
        <f>IFERROR(__xludf.DUMMYFUNCTION("""COMPUTED_VALUE"""),"Padre")</f>
        <v>Padre</v>
      </c>
      <c r="BA741" s="6"/>
      <c r="BB741" s="6"/>
      <c r="BC741" s="6"/>
      <c r="BD741" s="12" t="str">
        <f>IFERROR(__xludf.DUMMYFUNCTION("""COMPUTED_VALUE"""),"lop0005")</f>
        <v>lop0005</v>
      </c>
      <c r="BE741" s="6"/>
      <c r="BF741" s="6"/>
      <c r="BG741" s="6">
        <f>IFERROR(__xludf.DUMMYFUNCTION("""COMPUTED_VALUE"""),2028.0)</f>
        <v>2028</v>
      </c>
      <c r="BH741" s="15">
        <f>IFERROR(__xludf.DUMMYFUNCTION("""COMPUTED_VALUE"""),46205.4096412037)</f>
        <v>46205.40964</v>
      </c>
      <c r="BI741" s="6">
        <f>IFERROR(__xludf.DUMMYFUNCTION("""COMPUTED_VALUE"""),742.0)</f>
        <v>742</v>
      </c>
      <c r="BJ741" s="6"/>
      <c r="BK741" s="6"/>
      <c r="BL741" s="6" t="str">
        <f>IFERROR(__xludf.DUMMYFUNCTION("""COMPUTED_VALUE"""),"GISLOP0005")</f>
        <v>GISLOP0005</v>
      </c>
      <c r="BM741" s="6"/>
      <c r="BN741" s="6"/>
      <c r="BO741" s="6"/>
      <c r="BP741" s="6"/>
      <c r="BQ741" s="6"/>
      <c r="BR741" s="6"/>
      <c r="BS741" s="6"/>
      <c r="BT741" s="6"/>
      <c r="BU741" s="6" t="str">
        <f>IFERROR(__xludf.DUMMYFUNCTION("""COMPUTED_VALUE"""),"NO")</f>
        <v>NO</v>
      </c>
      <c r="BV741" s="6" t="str">
        <f>IFERROR(__xludf.DUMMYFUNCTION("""COMPUTED_VALUE"""),"valeria.l2028")</f>
        <v>valeria.l2028</v>
      </c>
      <c r="BW741" s="6"/>
      <c r="BX741" s="6"/>
      <c r="BY741" s="6"/>
      <c r="BZ741" s="6"/>
    </row>
    <row r="742">
      <c r="A742" s="12">
        <f>IFERROR(__xludf.DUMMYFUNCTION("""COMPUTED_VALUE"""),1.020307143E9)</f>
        <v>1020307143</v>
      </c>
      <c r="B742" s="6">
        <f>IFERROR(__xludf.DUMMYFUNCTION("""COMPUTED_VALUE"""),32.0)</f>
        <v>32</v>
      </c>
      <c r="C742" s="6" t="str">
        <f>IFERROR(__xludf.DUMMYFUNCTION("""COMPUTED_VALUE"""),"Juan")</f>
        <v>Juan</v>
      </c>
      <c r="D742" s="6" t="str">
        <f>IFERROR(__xludf.DUMMYFUNCTION("""COMPUTED_VALUE"""),"José")</f>
        <v>José</v>
      </c>
      <c r="E742" s="6" t="str">
        <f>IFERROR(__xludf.DUMMYFUNCTION("""COMPUTED_VALUE"""),"Madrid Bernal")</f>
        <v>Madrid Bernal</v>
      </c>
      <c r="F742" s="6" t="str">
        <f>IFERROR(__xludf.DUMMYFUNCTION("""COMPUTED_VALUE"""),"Edificio Milano Apto 600 - Calle 22Nte No17 - 20 Laureles")</f>
        <v>Edificio Milano Apto 600 - Calle 22Nte No17 - 20 Laureles</v>
      </c>
      <c r="G742" s="12" t="str">
        <f>IFERROR(__xludf.DUMMYFUNCTION("""COMPUTED_VALUE"""),"2010")</f>
        <v>2010</v>
      </c>
      <c r="H742" s="6" t="str">
        <f>IFERROR(__xludf.DUMMYFUNCTION("""COMPUTED_VALUE"""),"Mayo")</f>
        <v>Mayo</v>
      </c>
      <c r="I742" s="12" t="str">
        <f>IFERROR(__xludf.DUMMYFUNCTION("""COMPUTED_VALUE"""),"16")</f>
        <v>16</v>
      </c>
      <c r="J742" s="6" t="str">
        <f>IFERROR(__xludf.DUMMYFUNCTION("""COMPUTED_VALUE"""),"Medellín")</f>
        <v>Medellín</v>
      </c>
      <c r="K742" s="6" t="str">
        <f>IFERROR(__xludf.DUMMYFUNCTION("""COMPUTED_VALUE"""),"juan.m2028@gi.edu.co")</f>
        <v>juan.m2028@gi.edu.co</v>
      </c>
      <c r="L742" s="6" t="str">
        <f>IFERROR(__xludf.DUMMYFUNCTION("""COMPUTED_VALUE"""),"TI")</f>
        <v>TI</v>
      </c>
      <c r="M742" s="6" t="str">
        <f>IFERROR(__xludf.DUMMYFUNCTION("""COMPUTED_VALUE"""),"Medellín")</f>
        <v>Medellín</v>
      </c>
      <c r="N742" s="6" t="str">
        <f>IFERROR(__xludf.DUMMYFUNCTION("""COMPUTED_VALUE"""),"M")</f>
        <v>M</v>
      </c>
      <c r="O742" s="6" t="str">
        <f>IFERROR(__xludf.DUMMYFUNCTION("""COMPUTED_VALUE"""),"ACTIVE")</f>
        <v>ACTIVE</v>
      </c>
      <c r="P742" s="6"/>
      <c r="Q742" s="6" t="str">
        <f>IFERROR(__xludf.DUMMYFUNCTION("""COMPUTED_VALUE"""),"Armenia")</f>
        <v>Armenia</v>
      </c>
      <c r="R742" s="12" t="str">
        <f>IFERROR(__xludf.DUMMYFUNCTION("""COMPUTED_VALUE"""),"Gifgr7568d*")</f>
        <v>Gifgr7568d*</v>
      </c>
      <c r="S742" s="6" t="str">
        <f>IFERROR(__xludf.DUMMYFUNCTION("""COMPUTED_VALUE"""),"Madrid Bernal Juan José")</f>
        <v>Madrid Bernal Juan José</v>
      </c>
      <c r="T742" s="6" t="str">
        <f>IFERROR(__xludf.DUMMYFUNCTION("""COMPUTED_VALUE"""),"JOSÉ IVÁN MADRID VEGA")</f>
        <v>JOSÉ IVÁN MADRID VEGA</v>
      </c>
      <c r="U742" s="12" t="str">
        <f>IFERROR(__xludf.DUMMYFUNCTION("""COMPUTED_VALUE"""),"89003156")</f>
        <v>89003156</v>
      </c>
      <c r="V742" s="6">
        <f>IFERROR(__xludf.DUMMYFUNCTION("""COMPUTED_VALUE"""),3.218157406E9)</f>
        <v>3218157406</v>
      </c>
      <c r="W742" s="6" t="str">
        <f>IFERROR(__xludf.DUMMYFUNCTION("""COMPUTED_VALUE"""),"ivanmadrid@gmail.com")</f>
        <v>ivanmadrid@gmail.com</v>
      </c>
      <c r="X742" s="12" t="str">
        <f>IFERROR(__xludf.DUMMYFUNCTION("""COMPUTED_VALUE"""),"O+")</f>
        <v>O+</v>
      </c>
      <c r="Y742" s="12" t="str">
        <f>IFERROR(__xludf.DUMMYFUNCTION("""COMPUTED_VALUE"""),"11")</f>
        <v>11</v>
      </c>
      <c r="Z742" s="12">
        <f>IFERROR(__xludf.DUMMYFUNCTION("""COMPUTED_VALUE"""),102999.0)</f>
        <v>102999</v>
      </c>
      <c r="AA742" s="6" t="str">
        <f>IFERROR(__xludf.DUMMYFUNCTION("""COMPUTED_VALUE"""),"SANITAS")</f>
        <v>SANITAS</v>
      </c>
      <c r="AB742" s="6" t="str">
        <f>IFERROR(__xludf.DUMMYFUNCTION("""COMPUTED_VALUE"""),"EMI")</f>
        <v>EMI</v>
      </c>
      <c r="AC742" s="6"/>
      <c r="AD742" s="12" t="str">
        <f>IFERROR(__xludf.DUMMYFUNCTION("""COMPUTED_VALUE"""),"11")</f>
        <v>11</v>
      </c>
      <c r="AE742" s="12">
        <f>IFERROR(__xludf.DUMMYFUNCTION("""COMPUTED_VALUE"""),1.345281458E9)</f>
        <v>1345281458</v>
      </c>
      <c r="AF742" s="12" t="str">
        <f>IFERROR(__xludf.DUMMYFUNCTION("""COMPUTED_VALUE"""),"0707785603")</f>
        <v>0707785603</v>
      </c>
      <c r="AG742" s="12" t="str">
        <f>IFERROR(__xludf.DUMMYFUNCTION("""COMPUTED_VALUE"""),"Mónica")</f>
        <v>Mónica</v>
      </c>
      <c r="AH742" s="12" t="str">
        <f>IFERROR(__xludf.DUMMYFUNCTION("""COMPUTED_VALUE"""),"Milena")</f>
        <v>Milena</v>
      </c>
      <c r="AI742" s="6" t="str">
        <f>IFERROR(__xludf.DUMMYFUNCTION("""COMPUTED_VALUE"""),"Bernal Puerta")</f>
        <v>Bernal Puerta</v>
      </c>
      <c r="AJ742" s="6" t="str">
        <f>IFERROR(__xludf.DUMMYFUNCTION("""COMPUTED_VALUE"""),"monicabernalp@hotmail.com")</f>
        <v>monicabernalp@hotmail.com</v>
      </c>
      <c r="AK742" s="6"/>
      <c r="AL742" s="6"/>
      <c r="AM742" s="12" t="str">
        <f>IFERROR(__xludf.DUMMYFUNCTION("""COMPUTED_VALUE"""),"41934740")</f>
        <v>41934740</v>
      </c>
      <c r="AN742" s="12" t="str">
        <f>IFERROR(__xludf.DUMMYFUNCTION("""COMPUTED_VALUE"""),"3104367375")</f>
        <v>3104367375</v>
      </c>
      <c r="AO742" s="6" t="str">
        <f>IFERROR(__xludf.DUMMYFUNCTION("""COMPUTED_VALUE"""),"Madre")</f>
        <v>Madre</v>
      </c>
      <c r="AP742" s="6" t="str">
        <f>IFERROR(__xludf.DUMMYFUNCTION("""COMPUTED_VALUE"""),"Estudiante(s): Madrid Bernal")</f>
        <v>Estudiante(s): Madrid Bernal</v>
      </c>
      <c r="AQ742" s="6" t="str">
        <f>IFERROR(__xludf.DUMMYFUNCTION("""COMPUTED_VALUE"""),"102999*Gi")</f>
        <v>102999*Gi</v>
      </c>
      <c r="AR742" s="6" t="str">
        <f>IFERROR(__xludf.DUMMYFUNCTION("""COMPUTED_VALUE"""),"José")</f>
        <v>José</v>
      </c>
      <c r="AS742" s="6" t="str">
        <f>IFERROR(__xludf.DUMMYFUNCTION("""COMPUTED_VALUE"""),"Iván")</f>
        <v>Iván</v>
      </c>
      <c r="AT742" s="6" t="str">
        <f>IFERROR(__xludf.DUMMYFUNCTION("""COMPUTED_VALUE"""),"Madrid Vega")</f>
        <v>Madrid Vega</v>
      </c>
      <c r="AU742" s="6" t="str">
        <f>IFERROR(__xludf.DUMMYFUNCTION("""COMPUTED_VALUE"""),"ivanmadrid@gmail.com")</f>
        <v>ivanmadrid@gmail.com</v>
      </c>
      <c r="AV742" s="6" t="str">
        <f>IFERROR(__xludf.DUMMYFUNCTION("""COMPUTED_VALUE"""),"ingeniero")</f>
        <v>ingeniero</v>
      </c>
      <c r="AW742" s="6" t="str">
        <f>IFERROR(__xludf.DUMMYFUNCTION("""COMPUTED_VALUE"""),"conaltel")</f>
        <v>conaltel</v>
      </c>
      <c r="AX742" s="12" t="str">
        <f>IFERROR(__xludf.DUMMYFUNCTION("""COMPUTED_VALUE"""),"89003156")</f>
        <v>89003156</v>
      </c>
      <c r="AY742" s="12" t="str">
        <f>IFERROR(__xludf.DUMMYFUNCTION("""COMPUTED_VALUE"""),"3218157406")</f>
        <v>3218157406</v>
      </c>
      <c r="AZ742" s="6" t="str">
        <f>IFERROR(__xludf.DUMMYFUNCTION("""COMPUTED_VALUE"""),"Padre")</f>
        <v>Padre</v>
      </c>
      <c r="BA742" s="6"/>
      <c r="BB742" s="6"/>
      <c r="BC742" s="6"/>
      <c r="BD742" s="12" t="str">
        <f>IFERROR(__xludf.DUMMYFUNCTION("""COMPUTED_VALUE"""),"mad0002")</f>
        <v>mad0002</v>
      </c>
      <c r="BE742" s="6"/>
      <c r="BF742" s="6"/>
      <c r="BG742" s="6">
        <f>IFERROR(__xludf.DUMMYFUNCTION("""COMPUTED_VALUE"""),2028.0)</f>
        <v>2028</v>
      </c>
      <c r="BH742" s="15">
        <f>IFERROR(__xludf.DUMMYFUNCTION("""COMPUTED_VALUE"""),46212.90247685185)</f>
        <v>46212.90248</v>
      </c>
      <c r="BI742" s="6">
        <f>IFERROR(__xludf.DUMMYFUNCTION("""COMPUTED_VALUE"""),743.0)</f>
        <v>743</v>
      </c>
      <c r="BJ742" s="6"/>
      <c r="BK742" s="6"/>
      <c r="BL742" s="6" t="str">
        <f>IFERROR(__xludf.DUMMYFUNCTION("""COMPUTED_VALUE"""),"GISMAD0002")</f>
        <v>GISMAD0002</v>
      </c>
      <c r="BM742" s="6"/>
      <c r="BN742" s="6"/>
      <c r="BO742" s="6"/>
      <c r="BP742" s="6"/>
      <c r="BQ742" s="6"/>
      <c r="BR742" s="6"/>
      <c r="BS742" s="6"/>
      <c r="BT742" s="6"/>
      <c r="BU742" s="6" t="str">
        <f>IFERROR(__xludf.DUMMYFUNCTION("""COMPUTED_VALUE"""),"SI")</f>
        <v>SI</v>
      </c>
      <c r="BV742" s="6" t="str">
        <f>IFERROR(__xludf.DUMMYFUNCTION("""COMPUTED_VALUE"""),"juan.m2028")</f>
        <v>juan.m2028</v>
      </c>
      <c r="BW742" s="6"/>
      <c r="BX742" s="6"/>
      <c r="BY742" s="6"/>
      <c r="BZ742" s="6"/>
    </row>
    <row r="743">
      <c r="A743" s="12">
        <f>IFERROR(__xludf.DUMMYFUNCTION("""COMPUTED_VALUE"""),1.092854958E9)</f>
        <v>1092854958</v>
      </c>
      <c r="B743" s="6">
        <f>IFERROR(__xludf.DUMMYFUNCTION("""COMPUTED_VALUE"""),33.0)</f>
        <v>33</v>
      </c>
      <c r="C743" s="6" t="str">
        <f>IFERROR(__xludf.DUMMYFUNCTION("""COMPUTED_VALUE"""),"Isabella")</f>
        <v>Isabella</v>
      </c>
      <c r="D743" s="6"/>
      <c r="E743" s="6" t="str">
        <f>IFERROR(__xludf.DUMMYFUNCTION("""COMPUTED_VALUE"""),"Marín Trujillo")</f>
        <v>Marín Trujillo</v>
      </c>
      <c r="F743" s="6" t="str">
        <f>IFERROR(__xludf.DUMMYFUNCTION("""COMPUTED_VALUE"""),"Condominio Campestre La Reserva Casa 35 - Cra 5 No10Nte - 25 Av Centenario")</f>
        <v>Condominio Campestre La Reserva Casa 35 - Cra 5 No10Nte - 25 Av Centenario</v>
      </c>
      <c r="G743" s="12" t="str">
        <f>IFERROR(__xludf.DUMMYFUNCTION("""COMPUTED_VALUE"""),"2010")</f>
        <v>2010</v>
      </c>
      <c r="H743" s="6" t="str">
        <f>IFERROR(__xludf.DUMMYFUNCTION("""COMPUTED_VALUE"""),"Octubre")</f>
        <v>Octubre</v>
      </c>
      <c r="I743" s="12" t="str">
        <f>IFERROR(__xludf.DUMMYFUNCTION("""COMPUTED_VALUE"""),"10")</f>
        <v>10</v>
      </c>
      <c r="J743" s="6" t="str">
        <f>IFERROR(__xludf.DUMMYFUNCTION("""COMPUTED_VALUE"""),"Armenia")</f>
        <v>Armenia</v>
      </c>
      <c r="K743" s="6" t="str">
        <f>IFERROR(__xludf.DUMMYFUNCTION("""COMPUTED_VALUE"""),"isabela.m2028@gi.edu.co")</f>
        <v>isabela.m2028@gi.edu.co</v>
      </c>
      <c r="L743" s="6" t="str">
        <f>IFERROR(__xludf.DUMMYFUNCTION("""COMPUTED_VALUE"""),"TI")</f>
        <v>TI</v>
      </c>
      <c r="M743" s="6" t="str">
        <f>IFERROR(__xludf.DUMMYFUNCTION("""COMPUTED_VALUE"""),"Armenia")</f>
        <v>Armenia</v>
      </c>
      <c r="N743" s="6" t="str">
        <f>IFERROR(__xludf.DUMMYFUNCTION("""COMPUTED_VALUE"""),"F")</f>
        <v>F</v>
      </c>
      <c r="O743" s="6" t="str">
        <f>IFERROR(__xludf.DUMMYFUNCTION("""COMPUTED_VALUE"""),"ACTIVE")</f>
        <v>ACTIVE</v>
      </c>
      <c r="P743" s="6"/>
      <c r="Q743" s="6" t="str">
        <f>IFERROR(__xludf.DUMMYFUNCTION("""COMPUTED_VALUE"""),"Armenia")</f>
        <v>Armenia</v>
      </c>
      <c r="R743" s="12" t="str">
        <f>IFERROR(__xludf.DUMMYFUNCTION("""COMPUTED_VALUE"""),"Gi29345789*")</f>
        <v>Gi29345789*</v>
      </c>
      <c r="S743" s="6" t="str">
        <f>IFERROR(__xludf.DUMMYFUNCTION("""COMPUTED_VALUE"""),"Marín Trujillo Isabella ")</f>
        <v>Marín Trujillo Isabella </v>
      </c>
      <c r="T743" s="6" t="str">
        <f>IFERROR(__xludf.DUMMYFUNCTION("""COMPUTED_VALUE"""),"DIANA CAROLINA TRUJILLO PINEDA")</f>
        <v>DIANA CAROLINA TRUJILLO PINEDA</v>
      </c>
      <c r="U743" s="12" t="str">
        <f>IFERROR(__xludf.DUMMYFUNCTION("""COMPUTED_VALUE"""),"41949000")</f>
        <v>41949000</v>
      </c>
      <c r="V743" s="6">
        <f>IFERROR(__xludf.DUMMYFUNCTION("""COMPUTED_VALUE"""),3.10370181E9)</f>
        <v>3103701810</v>
      </c>
      <c r="W743" s="6" t="str">
        <f>IFERROR(__xludf.DUMMYFUNCTION("""COMPUTED_VALUE"""),"dicatrupi@hotmail.com")</f>
        <v>dicatrupi@hotmail.com</v>
      </c>
      <c r="X743" s="12" t="str">
        <f>IFERROR(__xludf.DUMMYFUNCTION("""COMPUTED_VALUE"""),"A+")</f>
        <v>A+</v>
      </c>
      <c r="Y743" s="12" t="str">
        <f>IFERROR(__xludf.DUMMYFUNCTION("""COMPUTED_VALUE"""),"11")</f>
        <v>11</v>
      </c>
      <c r="Z743" s="12">
        <f>IFERROR(__xludf.DUMMYFUNCTION("""COMPUTED_VALUE"""),102852.0)</f>
        <v>102852</v>
      </c>
      <c r="AA743" s="6" t="str">
        <f>IFERROR(__xludf.DUMMYFUNCTION("""COMPUTED_VALUE"""),"SURA")</f>
        <v>SURA</v>
      </c>
      <c r="AB743" s="6" t="str">
        <f>IFERROR(__xludf.DUMMYFUNCTION("""COMPUTED_VALUE"""),"Suramericana Prepagada")</f>
        <v>Suramericana Prepagada</v>
      </c>
      <c r="AC743" s="6"/>
      <c r="AD743" s="12" t="str">
        <f>IFERROR(__xludf.DUMMYFUNCTION("""COMPUTED_VALUE"""),"11")</f>
        <v>11</v>
      </c>
      <c r="AE743" s="12">
        <f>IFERROR(__xludf.DUMMYFUNCTION("""COMPUTED_VALUE"""),1.345281395E9)</f>
        <v>1345281395</v>
      </c>
      <c r="AF743" s="12" t="str">
        <f>IFERROR(__xludf.DUMMYFUNCTION("""COMPUTED_VALUE"""),"0651418019")</f>
        <v>0651418019</v>
      </c>
      <c r="AG743" s="12" t="str">
        <f>IFERROR(__xludf.DUMMYFUNCTION("""COMPUTED_VALUE"""),"Diana")</f>
        <v>Diana</v>
      </c>
      <c r="AH743" s="12" t="str">
        <f>IFERROR(__xludf.DUMMYFUNCTION("""COMPUTED_VALUE"""),"Carolina")</f>
        <v>Carolina</v>
      </c>
      <c r="AI743" s="6" t="str">
        <f>IFERROR(__xludf.DUMMYFUNCTION("""COMPUTED_VALUE"""),"Trujillo Pineda")</f>
        <v>Trujillo Pineda</v>
      </c>
      <c r="AJ743" s="6" t="str">
        <f>IFERROR(__xludf.DUMMYFUNCTION("""COMPUTED_VALUE"""),"dicatrupi@hotmail.com")</f>
        <v>dicatrupi@hotmail.com</v>
      </c>
      <c r="AK743" s="6" t="str">
        <f>IFERROR(__xludf.DUMMYFUNCTION("""COMPUTED_VALUE"""),"Médico")</f>
        <v>Médico</v>
      </c>
      <c r="AL743" s="6" t="str">
        <f>IFERROR(__xludf.DUMMYFUNCTION("""COMPUTED_VALUE"""),"Lifehuni")</f>
        <v>Lifehuni</v>
      </c>
      <c r="AM743" s="12" t="str">
        <f>IFERROR(__xludf.DUMMYFUNCTION("""COMPUTED_VALUE"""),"41949000")</f>
        <v>41949000</v>
      </c>
      <c r="AN743" s="12" t="str">
        <f>IFERROR(__xludf.DUMMYFUNCTION("""COMPUTED_VALUE"""),"3103701810")</f>
        <v>3103701810</v>
      </c>
      <c r="AO743" s="6" t="str">
        <f>IFERROR(__xludf.DUMMYFUNCTION("""COMPUTED_VALUE"""),"Madre")</f>
        <v>Madre</v>
      </c>
      <c r="AP743" s="6" t="str">
        <f>IFERROR(__xludf.DUMMYFUNCTION("""COMPUTED_VALUE"""),"Estudiante(s): Marín Trujillo")</f>
        <v>Estudiante(s): Marín Trujillo</v>
      </c>
      <c r="AQ743" s="6" t="str">
        <f>IFERROR(__xludf.DUMMYFUNCTION("""COMPUTED_VALUE"""),"102852*Gi")</f>
        <v>102852*Gi</v>
      </c>
      <c r="AR743" s="6" t="str">
        <f>IFERROR(__xludf.DUMMYFUNCTION("""COMPUTED_VALUE"""),"Julio")</f>
        <v>Julio</v>
      </c>
      <c r="AS743" s="6" t="str">
        <f>IFERROR(__xludf.DUMMYFUNCTION("""COMPUTED_VALUE"""),"César")</f>
        <v>César</v>
      </c>
      <c r="AT743" s="6" t="str">
        <f>IFERROR(__xludf.DUMMYFUNCTION("""COMPUTED_VALUE"""),"Marín Venegas")</f>
        <v>Marín Venegas</v>
      </c>
      <c r="AU743" s="6" t="str">
        <f>IFERROR(__xludf.DUMMYFUNCTION("""COMPUTED_VALUE"""),"jemmd04@hotmail.com")</f>
        <v>jemmd04@hotmail.com</v>
      </c>
      <c r="AV743" s="6" t="str">
        <f>IFERROR(__xludf.DUMMYFUNCTION("""COMPUTED_VALUE"""),"médico")</f>
        <v>médico</v>
      </c>
      <c r="AW743" s="6" t="str">
        <f>IFERROR(__xludf.DUMMYFUNCTION("""COMPUTED_VALUE"""),"lifehuni")</f>
        <v>lifehuni</v>
      </c>
      <c r="AX743" s="12" t="str">
        <f>IFERROR(__xludf.DUMMYFUNCTION("""COMPUTED_VALUE"""),"89005539")</f>
        <v>89005539</v>
      </c>
      <c r="AY743" s="12" t="str">
        <f>IFERROR(__xludf.DUMMYFUNCTION("""COMPUTED_VALUE"""),"3127107276")</f>
        <v>3127107276</v>
      </c>
      <c r="AZ743" s="6" t="str">
        <f>IFERROR(__xludf.DUMMYFUNCTION("""COMPUTED_VALUE"""),"Padre")</f>
        <v>Padre</v>
      </c>
      <c r="BA743" s="6"/>
      <c r="BB743" s="6"/>
      <c r="BC743" s="6"/>
      <c r="BD743" s="12" t="str">
        <f>IFERROR(__xludf.DUMMYFUNCTION("""COMPUTED_VALUE"""),"mar0007")</f>
        <v>mar0007</v>
      </c>
      <c r="BE743" s="6"/>
      <c r="BF743" s="6"/>
      <c r="BG743" s="6">
        <f>IFERROR(__xludf.DUMMYFUNCTION("""COMPUTED_VALUE"""),2028.0)</f>
        <v>2028</v>
      </c>
      <c r="BH743" s="15">
        <f>IFERROR(__xludf.DUMMYFUNCTION("""COMPUTED_VALUE"""),46210.36771990741)</f>
        <v>46210.36772</v>
      </c>
      <c r="BI743" s="6">
        <f>IFERROR(__xludf.DUMMYFUNCTION("""COMPUTED_VALUE"""),744.0)</f>
        <v>744</v>
      </c>
      <c r="BJ743" s="6"/>
      <c r="BK743" s="6"/>
      <c r="BL743" s="6" t="str">
        <f>IFERROR(__xludf.DUMMYFUNCTION("""COMPUTED_VALUE"""),"GISMAR0007")</f>
        <v>GISMAR0007</v>
      </c>
      <c r="BM743" s="6"/>
      <c r="BN743" s="6"/>
      <c r="BO743" s="6" t="str">
        <f>IFERROR(__xludf.DUMMYFUNCTION("""COMPUTED_VALUE"""),"XC_SEC_Futbol_F")</f>
        <v>XC_SEC_Futbol_F</v>
      </c>
      <c r="BP743" s="6"/>
      <c r="BQ743" s="6" t="str">
        <f>IFERROR(__xludf.DUMMYFUNCTION("""COMPUTED_VALUE"""),"XC_SEC_Futbol_F")</f>
        <v>XC_SEC_Futbol_F</v>
      </c>
      <c r="BR743" s="6" t="str">
        <f>IFERROR(__xludf.DUMMYFUNCTION("""COMPUTED_VALUE"""),"XC_SEC_Futbol_F")</f>
        <v>XC_SEC_Futbol_F</v>
      </c>
      <c r="BS743" s="6"/>
      <c r="BT743" s="6" t="str">
        <f>IFERROR(__xludf.DUMMYFUNCTION("""COMPUTED_VALUE"""),"XC_SEC_Futbol_F")</f>
        <v>XC_SEC_Futbol_F</v>
      </c>
      <c r="BU743" s="6" t="str">
        <f>IFERROR(__xludf.DUMMYFUNCTION("""COMPUTED_VALUE"""),"SI")</f>
        <v>SI</v>
      </c>
      <c r="BV743" s="6" t="str">
        <f>IFERROR(__xludf.DUMMYFUNCTION("""COMPUTED_VALUE"""),"isabela.m2028")</f>
        <v>isabela.m2028</v>
      </c>
      <c r="BW743" s="6"/>
      <c r="BX743" s="6"/>
      <c r="BY743" s="6"/>
      <c r="BZ743" s="6"/>
    </row>
    <row r="744">
      <c r="A744" s="12">
        <f>IFERROR(__xludf.DUMMYFUNCTION("""COMPUTED_VALUE"""),1.092854476E9)</f>
        <v>1092854476</v>
      </c>
      <c r="B744" s="6">
        <f>IFERROR(__xludf.DUMMYFUNCTION("""COMPUTED_VALUE"""),34.0)</f>
        <v>34</v>
      </c>
      <c r="C744" s="6" t="str">
        <f>IFERROR(__xludf.DUMMYFUNCTION("""COMPUTED_VALUE"""),"Andrés")</f>
        <v>Andrés</v>
      </c>
      <c r="D744" s="6"/>
      <c r="E744" s="6" t="str">
        <f>IFERROR(__xludf.DUMMYFUNCTION("""COMPUTED_VALUE"""),"Mejía Arango")</f>
        <v>Mejía Arango</v>
      </c>
      <c r="F744" s="6" t="str">
        <f>IFERROR(__xludf.DUMMYFUNCTION("""COMPUTED_VALUE"""),"Condominio Campestre Las Vegas Casa 5 - Km 8 Via La Tebaida")</f>
        <v>Condominio Campestre Las Vegas Casa 5 - Km 8 Via La Tebaida</v>
      </c>
      <c r="G744" s="12" t="str">
        <f>IFERROR(__xludf.DUMMYFUNCTION("""COMPUTED_VALUE"""),"2009")</f>
        <v>2009</v>
      </c>
      <c r="H744" s="6" t="str">
        <f>IFERROR(__xludf.DUMMYFUNCTION("""COMPUTED_VALUE"""),"Diciembre")</f>
        <v>Diciembre</v>
      </c>
      <c r="I744" s="12" t="str">
        <f>IFERROR(__xludf.DUMMYFUNCTION("""COMPUTED_VALUE"""),"21")</f>
        <v>21</v>
      </c>
      <c r="J744" s="6" t="str">
        <f>IFERROR(__xludf.DUMMYFUNCTION("""COMPUTED_VALUE"""),"Armenia")</f>
        <v>Armenia</v>
      </c>
      <c r="K744" s="6" t="str">
        <f>IFERROR(__xludf.DUMMYFUNCTION("""COMPUTED_VALUE"""),"andres.m2028@gi.edu.co")</f>
        <v>andres.m2028@gi.edu.co</v>
      </c>
      <c r="L744" s="6" t="str">
        <f>IFERROR(__xludf.DUMMYFUNCTION("""COMPUTED_VALUE"""),"TI")</f>
        <v>TI</v>
      </c>
      <c r="M744" s="6" t="str">
        <f>IFERROR(__xludf.DUMMYFUNCTION("""COMPUTED_VALUE"""),"Armenia")</f>
        <v>Armenia</v>
      </c>
      <c r="N744" s="6" t="str">
        <f>IFERROR(__xludf.DUMMYFUNCTION("""COMPUTED_VALUE"""),"M")</f>
        <v>M</v>
      </c>
      <c r="O744" s="6" t="str">
        <f>IFERROR(__xludf.DUMMYFUNCTION("""COMPUTED_VALUE"""),"ACTIVE")</f>
        <v>ACTIVE</v>
      </c>
      <c r="P744" s="6"/>
      <c r="Q744" s="6" t="str">
        <f>IFERROR(__xludf.DUMMYFUNCTION("""COMPUTED_VALUE"""),"Armenia")</f>
        <v>Armenia</v>
      </c>
      <c r="R744" s="12" t="str">
        <f>IFERROR(__xludf.DUMMYFUNCTION("""COMPUTED_VALUE"""),"Gi27r42669*")</f>
        <v>Gi27r42669*</v>
      </c>
      <c r="S744" s="6" t="str">
        <f>IFERROR(__xludf.DUMMYFUNCTION("""COMPUTED_VALUE"""),"Mejía Arango Andrés ")</f>
        <v>Mejía Arango Andrés </v>
      </c>
      <c r="T744" s="6" t="str">
        <f>IFERROR(__xludf.DUMMYFUNCTION("""COMPUTED_VALUE"""),"ROBERTO JAIRO MEJÍA VELÁSQUEZ")</f>
        <v>ROBERTO JAIRO MEJÍA VELÁSQUEZ</v>
      </c>
      <c r="U744" s="12" t="str">
        <f>IFERROR(__xludf.DUMMYFUNCTION("""COMPUTED_VALUE"""),"7545912")</f>
        <v>7545912</v>
      </c>
      <c r="V744" s="6">
        <f>IFERROR(__xludf.DUMMYFUNCTION("""COMPUTED_VALUE"""),3.006139734E9)</f>
        <v>3006139734</v>
      </c>
      <c r="W744" s="6" t="str">
        <f>IFERROR(__xludf.DUMMYFUNCTION("""COMPUTED_VALUE"""),"balancesaludrobertomejia@gmail.com")</f>
        <v>balancesaludrobertomejia@gmail.com</v>
      </c>
      <c r="X744" s="12" t="str">
        <f>IFERROR(__xludf.DUMMYFUNCTION("""COMPUTED_VALUE"""),"O+")</f>
        <v>O+</v>
      </c>
      <c r="Y744" s="12" t="str">
        <f>IFERROR(__xludf.DUMMYFUNCTION("""COMPUTED_VALUE"""),"11")</f>
        <v>11</v>
      </c>
      <c r="Z744" s="12">
        <f>IFERROR(__xludf.DUMMYFUNCTION("""COMPUTED_VALUE"""),102686.0)</f>
        <v>102686</v>
      </c>
      <c r="AA744" s="6" t="str">
        <f>IFERROR(__xludf.DUMMYFUNCTION("""COMPUTED_VALUE"""),"SANITAS")</f>
        <v>SANITAS</v>
      </c>
      <c r="AB744" s="6" t="str">
        <f>IFERROR(__xludf.DUMMYFUNCTION("""COMPUTED_VALUE"""),"Clínica la sagrada familia")</f>
        <v>Clínica la sagrada familia</v>
      </c>
      <c r="AC744" s="12" t="str">
        <f>IFERROR(__xludf.DUMMYFUNCTION("""COMPUTED_VALUE"""),"exceso de alimentos que contienen azúcar, sobre todo cuando tiene estados gripales")</f>
        <v>exceso de alimentos que contienen azúcar, sobre todo cuando tiene estados gripales</v>
      </c>
      <c r="AD744" s="12" t="str">
        <f>IFERROR(__xludf.DUMMYFUNCTION("""COMPUTED_VALUE"""),"11")</f>
        <v>11</v>
      </c>
      <c r="AE744" s="12">
        <f>IFERROR(__xludf.DUMMYFUNCTION("""COMPUTED_VALUE"""),1.34528133E9)</f>
        <v>1345281330</v>
      </c>
      <c r="AF744" s="12" t="str">
        <f>IFERROR(__xludf.DUMMYFUNCTION("""COMPUTED_VALUE"""),"0658325875")</f>
        <v>0658325875</v>
      </c>
      <c r="AG744" s="12" t="str">
        <f>IFERROR(__xludf.DUMMYFUNCTION("""COMPUTED_VALUE"""),"Claudia")</f>
        <v>Claudia</v>
      </c>
      <c r="AH744" s="12" t="str">
        <f>IFERROR(__xludf.DUMMYFUNCTION("""COMPUTED_VALUE"""),"Marcela")</f>
        <v>Marcela</v>
      </c>
      <c r="AI744" s="6" t="str">
        <f>IFERROR(__xludf.DUMMYFUNCTION("""COMPUTED_VALUE"""),"Arango Agudelo")</f>
        <v>Arango Agudelo</v>
      </c>
      <c r="AJ744" s="6" t="str">
        <f>IFERROR(__xludf.DUMMYFUNCTION("""COMPUTED_VALUE"""),"claudiamarcelaarangoagudelo@gmail.com")</f>
        <v>claudiamarcelaarangoagudelo@gmail.com</v>
      </c>
      <c r="AK744" s="6" t="str">
        <f>IFERROR(__xludf.DUMMYFUNCTION("""COMPUTED_VALUE"""),"GERONTÓLOGA")</f>
        <v>GERONTÓLOGA</v>
      </c>
      <c r="AL744" s="6" t="str">
        <f>IFERROR(__xludf.DUMMYFUNCTION("""COMPUTED_VALUE"""),"BALANCE SALUD SAS")</f>
        <v>BALANCE SALUD SAS</v>
      </c>
      <c r="AM744" s="12" t="str">
        <f>IFERROR(__xludf.DUMMYFUNCTION("""COMPUTED_VALUE"""),"41923478")</f>
        <v>41923478</v>
      </c>
      <c r="AN744" s="12" t="str">
        <f>IFERROR(__xludf.DUMMYFUNCTION("""COMPUTED_VALUE"""),"3006036863")</f>
        <v>3006036863</v>
      </c>
      <c r="AO744" s="6" t="str">
        <f>IFERROR(__xludf.DUMMYFUNCTION("""COMPUTED_VALUE"""),"Madre")</f>
        <v>Madre</v>
      </c>
      <c r="AP744" s="6" t="str">
        <f>IFERROR(__xludf.DUMMYFUNCTION("""COMPUTED_VALUE"""),"Estudiante(s): Mejía Arango")</f>
        <v>Estudiante(s): Mejía Arango</v>
      </c>
      <c r="AQ744" s="6" t="str">
        <f>IFERROR(__xludf.DUMMYFUNCTION("""COMPUTED_VALUE"""),"102355*Gi")</f>
        <v>102355*Gi</v>
      </c>
      <c r="AR744" s="6" t="str">
        <f>IFERROR(__xludf.DUMMYFUNCTION("""COMPUTED_VALUE"""),"Roberto")</f>
        <v>Roberto</v>
      </c>
      <c r="AS744" s="6" t="str">
        <f>IFERROR(__xludf.DUMMYFUNCTION("""COMPUTED_VALUE"""),"Jairo")</f>
        <v>Jairo</v>
      </c>
      <c r="AT744" s="6" t="str">
        <f>IFERROR(__xludf.DUMMYFUNCTION("""COMPUTED_VALUE"""),"Mejía Velásquez")</f>
        <v>Mejía Velásquez</v>
      </c>
      <c r="AU744" s="6" t="str">
        <f>IFERROR(__xludf.DUMMYFUNCTION("""COMPUTED_VALUE"""),"balancesaludrobertomejia@gmail.com")</f>
        <v>balancesaludrobertomejia@gmail.com</v>
      </c>
      <c r="AV744" s="6" t="str">
        <f>IFERROR(__xludf.DUMMYFUNCTION("""COMPUTED_VALUE"""),"MEDICO")</f>
        <v>MEDICO</v>
      </c>
      <c r="AW744" s="6" t="str">
        <f>IFERROR(__xludf.DUMMYFUNCTION("""COMPUTED_VALUE"""),"CONSULTORIO MÉDICO")</f>
        <v>CONSULTORIO MÉDICO</v>
      </c>
      <c r="AX744" s="12" t="str">
        <f>IFERROR(__xludf.DUMMYFUNCTION("""COMPUTED_VALUE"""),"7545912")</f>
        <v>7545912</v>
      </c>
      <c r="AY744" s="12" t="str">
        <f>IFERROR(__xludf.DUMMYFUNCTION("""COMPUTED_VALUE"""),"3006139734")</f>
        <v>3006139734</v>
      </c>
      <c r="AZ744" s="6" t="str">
        <f>IFERROR(__xludf.DUMMYFUNCTION("""COMPUTED_VALUE"""),"Padre")</f>
        <v>Padre</v>
      </c>
      <c r="BA744" s="6"/>
      <c r="BB744" s="6"/>
      <c r="BC744" s="6"/>
      <c r="BD744" s="12" t="str">
        <f>IFERROR(__xludf.DUMMYFUNCTION("""COMPUTED_VALUE"""),"mej0015")</f>
        <v>mej0015</v>
      </c>
      <c r="BE744" s="6"/>
      <c r="BF744" s="6"/>
      <c r="BG744" s="6">
        <f>IFERROR(__xludf.DUMMYFUNCTION("""COMPUTED_VALUE"""),2028.0)</f>
        <v>2028</v>
      </c>
      <c r="BH744" s="15">
        <f>IFERROR(__xludf.DUMMYFUNCTION("""COMPUTED_VALUE"""),46204.89931712963)</f>
        <v>46204.89932</v>
      </c>
      <c r="BI744" s="6">
        <f>IFERROR(__xludf.DUMMYFUNCTION("""COMPUTED_VALUE"""),745.0)</f>
        <v>745</v>
      </c>
      <c r="BJ744" s="6"/>
      <c r="BK744" s="6"/>
      <c r="BL744" s="6" t="str">
        <f>IFERROR(__xludf.DUMMYFUNCTION("""COMPUTED_VALUE"""),"GISMEJ0015")</f>
        <v>GISMEJ0015</v>
      </c>
      <c r="BM744" s="6"/>
      <c r="BN744" s="6"/>
      <c r="BO744" s="6"/>
      <c r="BP744" s="6"/>
      <c r="BQ744" s="6"/>
      <c r="BR744" s="6"/>
      <c r="BS744" s="6"/>
      <c r="BT744" s="6"/>
      <c r="BU744" s="6" t="str">
        <f>IFERROR(__xludf.DUMMYFUNCTION("""COMPUTED_VALUE"""),"SI")</f>
        <v>SI</v>
      </c>
      <c r="BV744" s="6" t="str">
        <f>IFERROR(__xludf.DUMMYFUNCTION("""COMPUTED_VALUE"""),"andres.m2028")</f>
        <v>andres.m2028</v>
      </c>
      <c r="BW744" s="6"/>
      <c r="BX744" s="6"/>
      <c r="BY744" s="6"/>
      <c r="BZ744" s="6"/>
    </row>
    <row r="745">
      <c r="A745" s="12">
        <f>IFERROR(__xludf.DUMMYFUNCTION("""COMPUTED_VALUE"""),1.030100291E9)</f>
        <v>1030100291</v>
      </c>
      <c r="B745" s="6">
        <f>IFERROR(__xludf.DUMMYFUNCTION("""COMPUTED_VALUE"""),35.0)</f>
        <v>35</v>
      </c>
      <c r="C745" s="6" t="str">
        <f>IFERROR(__xludf.DUMMYFUNCTION("""COMPUTED_VALUE"""),"Miguel")</f>
        <v>Miguel</v>
      </c>
      <c r="D745" s="6"/>
      <c r="E745" s="6" t="str">
        <f>IFERROR(__xludf.DUMMYFUNCTION("""COMPUTED_VALUE"""),"Mejía Jaramillo")</f>
        <v>Mejía Jaramillo</v>
      </c>
      <c r="F745" s="6" t="str">
        <f>IFERROR(__xludf.DUMMYFUNCTION("""COMPUTED_VALUE"""),"Calle 13Nte No10 - 149 - La Castellana")</f>
        <v>Calle 13Nte No10 - 149 - La Castellana</v>
      </c>
      <c r="G745" s="12" t="str">
        <f>IFERROR(__xludf.DUMMYFUNCTION("""COMPUTED_VALUE"""),"2009")</f>
        <v>2009</v>
      </c>
      <c r="H745" s="6" t="str">
        <f>IFERROR(__xludf.DUMMYFUNCTION("""COMPUTED_VALUE"""),"Octubre")</f>
        <v>Octubre</v>
      </c>
      <c r="I745" s="12" t="str">
        <f>IFERROR(__xludf.DUMMYFUNCTION("""COMPUTED_VALUE"""),"28")</f>
        <v>28</v>
      </c>
      <c r="J745" s="6" t="str">
        <f>IFERROR(__xludf.DUMMYFUNCTION("""COMPUTED_VALUE"""),"Armenia")</f>
        <v>Armenia</v>
      </c>
      <c r="K745" s="6" t="str">
        <f>IFERROR(__xludf.DUMMYFUNCTION("""COMPUTED_VALUE"""),"miguelm.j2028@gi.edu.co")</f>
        <v>miguelm.j2028@gi.edu.co</v>
      </c>
      <c r="L745" s="6" t="str">
        <f>IFERROR(__xludf.DUMMYFUNCTION("""COMPUTED_VALUE"""),"TI")</f>
        <v>TI</v>
      </c>
      <c r="M745" s="6" t="str">
        <f>IFERROR(__xludf.DUMMYFUNCTION("""COMPUTED_VALUE"""),"Armenia")</f>
        <v>Armenia</v>
      </c>
      <c r="N745" s="6" t="str">
        <f>IFERROR(__xludf.DUMMYFUNCTION("""COMPUTED_VALUE"""),"M")</f>
        <v>M</v>
      </c>
      <c r="O745" s="6" t="str">
        <f>IFERROR(__xludf.DUMMYFUNCTION("""COMPUTED_VALUE"""),"ACTIVE")</f>
        <v>ACTIVE</v>
      </c>
      <c r="P745" s="6"/>
      <c r="Q745" s="6" t="str">
        <f>IFERROR(__xludf.DUMMYFUNCTION("""COMPUTED_VALUE"""),"Armenia")</f>
        <v>Armenia</v>
      </c>
      <c r="R745" s="12" t="str">
        <f>IFERROR(__xludf.DUMMYFUNCTION("""COMPUTED_VALUE"""),"Gigfr43eds*")</f>
        <v>Gigfr43eds*</v>
      </c>
      <c r="S745" s="6" t="str">
        <f>IFERROR(__xludf.DUMMYFUNCTION("""COMPUTED_VALUE"""),"Mejía Jaramillo Miguel ")</f>
        <v>Mejía Jaramillo Miguel </v>
      </c>
      <c r="T745" s="6" t="str">
        <f>IFERROR(__xludf.DUMMYFUNCTION("""COMPUTED_VALUE"""),"CARLOS ANDRÉS MEJÍA SALAZAR")</f>
        <v>CARLOS ANDRÉS MEJÍA SALAZAR</v>
      </c>
      <c r="U745" s="12" t="str">
        <f>IFERROR(__xludf.DUMMYFUNCTION("""COMPUTED_VALUE"""),"9727151")</f>
        <v>9727151</v>
      </c>
      <c r="V745" s="6">
        <f>IFERROR(__xludf.DUMMYFUNCTION("""COMPUTED_VALUE"""),3.116342965E9)</f>
        <v>3116342965</v>
      </c>
      <c r="W745" s="6" t="str">
        <f>IFERROR(__xludf.DUMMYFUNCTION("""COMPUTED_VALUE"""),"caliche60@hotmail.com")</f>
        <v>caliche60@hotmail.com</v>
      </c>
      <c r="X745" s="12" t="str">
        <f>IFERROR(__xludf.DUMMYFUNCTION("""COMPUTED_VALUE"""),"O+")</f>
        <v>O+</v>
      </c>
      <c r="Y745" s="12" t="str">
        <f>IFERROR(__xludf.DUMMYFUNCTION("""COMPUTED_VALUE"""),"11")</f>
        <v>11</v>
      </c>
      <c r="Z745" s="12">
        <f>IFERROR(__xludf.DUMMYFUNCTION("""COMPUTED_VALUE"""),103211.0)</f>
        <v>103211</v>
      </c>
      <c r="AA745" s="6" t="str">
        <f>IFERROR(__xludf.DUMMYFUNCTION("""COMPUTED_VALUE"""),"SURA")</f>
        <v>SURA</v>
      </c>
      <c r="AB745" s="6"/>
      <c r="AC745" s="6"/>
      <c r="AD745" s="12" t="str">
        <f>IFERROR(__xludf.DUMMYFUNCTION("""COMPUTED_VALUE"""),"11")</f>
        <v>11</v>
      </c>
      <c r="AE745" s="12">
        <f>IFERROR(__xludf.DUMMYFUNCTION("""COMPUTED_VALUE"""),1.34528158E9)</f>
        <v>1345281580</v>
      </c>
      <c r="AF745" s="12" t="str">
        <f>IFERROR(__xludf.DUMMYFUNCTION("""COMPUTED_VALUE"""),"0673511811")</f>
        <v>0673511811</v>
      </c>
      <c r="AG745" s="12" t="str">
        <f>IFERROR(__xludf.DUMMYFUNCTION("""COMPUTED_VALUE"""),"Marcela")</f>
        <v>Marcela</v>
      </c>
      <c r="AH745" s="6"/>
      <c r="AI745" s="6" t="str">
        <f>IFERROR(__xludf.DUMMYFUNCTION("""COMPUTED_VALUE"""),"Jaramillo Botero")</f>
        <v>Jaramillo Botero</v>
      </c>
      <c r="AJ745" s="6" t="str">
        <f>IFERROR(__xludf.DUMMYFUNCTION("""COMPUTED_VALUE"""),"marcejb@hotmail.com")</f>
        <v>marcejb@hotmail.com</v>
      </c>
      <c r="AK745" s="6"/>
      <c r="AL745" s="6"/>
      <c r="AM745" s="12" t="str">
        <f>IFERROR(__xludf.DUMMYFUNCTION("""COMPUTED_VALUE"""),"41929892")</f>
        <v>41929892</v>
      </c>
      <c r="AN745" s="12" t="str">
        <f>IFERROR(__xludf.DUMMYFUNCTION("""COMPUTED_VALUE"""),"3113007309")</f>
        <v>3113007309</v>
      </c>
      <c r="AO745" s="6" t="str">
        <f>IFERROR(__xludf.DUMMYFUNCTION("""COMPUTED_VALUE"""),"Madre")</f>
        <v>Madre</v>
      </c>
      <c r="AP745" s="6" t="str">
        <f>IFERROR(__xludf.DUMMYFUNCTION("""COMPUTED_VALUE"""),"Estudiante(s): Mejía Jaramillo")</f>
        <v>Estudiante(s): Mejía Jaramillo</v>
      </c>
      <c r="AQ745" s="6" t="str">
        <f>IFERROR(__xludf.DUMMYFUNCTION("""COMPUTED_VALUE"""),"103211*Gi")</f>
        <v>103211*Gi</v>
      </c>
      <c r="AR745" s="6" t="str">
        <f>IFERROR(__xludf.DUMMYFUNCTION("""COMPUTED_VALUE"""),"Carlos")</f>
        <v>Carlos</v>
      </c>
      <c r="AS745" s="6" t="str">
        <f>IFERROR(__xludf.DUMMYFUNCTION("""COMPUTED_VALUE"""),"Andrés")</f>
        <v>Andrés</v>
      </c>
      <c r="AT745" s="6" t="str">
        <f>IFERROR(__xludf.DUMMYFUNCTION("""COMPUTED_VALUE"""),"Mejía Salazar")</f>
        <v>Mejía Salazar</v>
      </c>
      <c r="AU745" s="6" t="str">
        <f>IFERROR(__xludf.DUMMYFUNCTION("""COMPUTED_VALUE"""),"caliche60@hotmail.com")</f>
        <v>caliche60@hotmail.com</v>
      </c>
      <c r="AV745" s="6" t="str">
        <f>IFERROR(__xludf.DUMMYFUNCTION("""COMPUTED_VALUE"""),"Economista")</f>
        <v>Economista</v>
      </c>
      <c r="AW745" s="6" t="str">
        <f>IFERROR(__xludf.DUMMYFUNCTION("""COMPUTED_VALUE"""),"Agricultor Independiente")</f>
        <v>Agricultor Independiente</v>
      </c>
      <c r="AX745" s="12" t="str">
        <f>IFERROR(__xludf.DUMMYFUNCTION("""COMPUTED_VALUE"""),"9727151")</f>
        <v>9727151</v>
      </c>
      <c r="AY745" s="12" t="str">
        <f>IFERROR(__xludf.DUMMYFUNCTION("""COMPUTED_VALUE"""),"3116342965")</f>
        <v>3116342965</v>
      </c>
      <c r="AZ745" s="6" t="str">
        <f>IFERROR(__xludf.DUMMYFUNCTION("""COMPUTED_VALUE"""),"Padre")</f>
        <v>Padre</v>
      </c>
      <c r="BA745" s="6"/>
      <c r="BB745" s="6"/>
      <c r="BC745" s="6"/>
      <c r="BD745" s="12" t="str">
        <f>IFERROR(__xludf.DUMMYFUNCTION("""COMPUTED_VALUE"""),"mej0019")</f>
        <v>mej0019</v>
      </c>
      <c r="BE745" s="6"/>
      <c r="BF745" s="6"/>
      <c r="BG745" s="6">
        <f>IFERROR(__xludf.DUMMYFUNCTION("""COMPUTED_VALUE"""),2028.0)</f>
        <v>2028</v>
      </c>
      <c r="BH745" s="15">
        <f>IFERROR(__xludf.DUMMYFUNCTION("""COMPUTED_VALUE"""),46210.46943287037)</f>
        <v>46210.46943</v>
      </c>
      <c r="BI745" s="6">
        <f>IFERROR(__xludf.DUMMYFUNCTION("""COMPUTED_VALUE"""),746.0)</f>
        <v>746</v>
      </c>
      <c r="BJ745" s="6"/>
      <c r="BK745" s="6"/>
      <c r="BL745" s="6" t="str">
        <f>IFERROR(__xludf.DUMMYFUNCTION("""COMPUTED_VALUE"""),"GISMEJ0019")</f>
        <v>GISMEJ0019</v>
      </c>
      <c r="BM745" s="6"/>
      <c r="BN745" s="6"/>
      <c r="BO745" s="6" t="str">
        <f>IFERROR(__xludf.DUMMYFUNCTION("""COMPUTED_VALUE"""),"XC_HS_Futbol_M")</f>
        <v>XC_HS_Futbol_M</v>
      </c>
      <c r="BP745" s="6"/>
      <c r="BQ745" s="6" t="str">
        <f>IFERROR(__xludf.DUMMYFUNCTION("""COMPUTED_VALUE"""),"XC_HS_Futbol_M")</f>
        <v>XC_HS_Futbol_M</v>
      </c>
      <c r="BR745" s="6" t="str">
        <f>IFERROR(__xludf.DUMMYFUNCTION("""COMPUTED_VALUE"""),"XC_HS_Futbol_M")</f>
        <v>XC_HS_Futbol_M</v>
      </c>
      <c r="BS745" s="6"/>
      <c r="BT745" s="6" t="str">
        <f>IFERROR(__xludf.DUMMYFUNCTION("""COMPUTED_VALUE"""),"XC_HS_Futbol_M")</f>
        <v>XC_HS_Futbol_M</v>
      </c>
      <c r="BU745" s="6" t="str">
        <f>IFERROR(__xludf.DUMMYFUNCTION("""COMPUTED_VALUE"""),"SI")</f>
        <v>SI</v>
      </c>
      <c r="BV745" s="6" t="str">
        <f>IFERROR(__xludf.DUMMYFUNCTION("""COMPUTED_VALUE"""),"miguelm.j2028")</f>
        <v>miguelm.j2028</v>
      </c>
      <c r="BW745" s="6"/>
      <c r="BX745" s="6"/>
      <c r="BY745" s="6"/>
      <c r="BZ745" s="6"/>
    </row>
    <row r="746">
      <c r="A746" s="12">
        <f>IFERROR(__xludf.DUMMYFUNCTION("""COMPUTED_VALUE"""),1.019904126E9)</f>
        <v>1019904126</v>
      </c>
      <c r="B746" s="6">
        <f>IFERROR(__xludf.DUMMYFUNCTION("""COMPUTED_VALUE"""),36.0)</f>
        <v>36</v>
      </c>
      <c r="C746" s="6" t="str">
        <f>IFERROR(__xludf.DUMMYFUNCTION("""COMPUTED_VALUE"""),"Lolita")</f>
        <v>Lolita</v>
      </c>
      <c r="D746" s="6"/>
      <c r="E746" s="6" t="str">
        <f>IFERROR(__xludf.DUMMYFUNCTION("""COMPUTED_VALUE"""),"Poveda Hernández")</f>
        <v>Poveda Hernández</v>
      </c>
      <c r="F746" s="6" t="str">
        <f>IFERROR(__xludf.DUMMYFUNCTION("""COMPUTED_VALUE"""),"Quintas de San Julian II Casa 3 - Cra 11 No22Nte - 80")</f>
        <v>Quintas de San Julian II Casa 3 - Cra 11 No22Nte - 80</v>
      </c>
      <c r="G746" s="12" t="str">
        <f>IFERROR(__xludf.DUMMYFUNCTION("""COMPUTED_VALUE"""),"2010")</f>
        <v>2010</v>
      </c>
      <c r="H746" s="6" t="str">
        <f>IFERROR(__xludf.DUMMYFUNCTION("""COMPUTED_VALUE"""),"Junio")</f>
        <v>Junio</v>
      </c>
      <c r="I746" s="12" t="str">
        <f>IFERROR(__xludf.DUMMYFUNCTION("""COMPUTED_VALUE"""),"5")</f>
        <v>5</v>
      </c>
      <c r="J746" s="6" t="str">
        <f>IFERROR(__xludf.DUMMYFUNCTION("""COMPUTED_VALUE"""),"Bogotá D.C.")</f>
        <v>Bogotá D.C.</v>
      </c>
      <c r="K746" s="6" t="str">
        <f>IFERROR(__xludf.DUMMYFUNCTION("""COMPUTED_VALUE"""),"lolita.p2028@gi.edu.co")</f>
        <v>lolita.p2028@gi.edu.co</v>
      </c>
      <c r="L746" s="6" t="str">
        <f>IFERROR(__xludf.DUMMYFUNCTION("""COMPUTED_VALUE"""),"TI")</f>
        <v>TI</v>
      </c>
      <c r="M746" s="6" t="str">
        <f>IFERROR(__xludf.DUMMYFUNCTION("""COMPUTED_VALUE"""),"Neiva")</f>
        <v>Neiva</v>
      </c>
      <c r="N746" s="6" t="str">
        <f>IFERROR(__xludf.DUMMYFUNCTION("""COMPUTED_VALUE"""),"F")</f>
        <v>F</v>
      </c>
      <c r="O746" s="6" t="str">
        <f>IFERROR(__xludf.DUMMYFUNCTION("""COMPUTED_VALUE"""),"INACTIVE")</f>
        <v>INACTIVE</v>
      </c>
      <c r="P746" s="6"/>
      <c r="Q746" s="6" t="str">
        <f>IFERROR(__xludf.DUMMYFUNCTION("""COMPUTED_VALUE"""),"Armenia")</f>
        <v>Armenia</v>
      </c>
      <c r="R746" s="12" t="str">
        <f>IFERROR(__xludf.DUMMYFUNCTION("""COMPUTED_VALUE"""),"Gi52b69j*")</f>
        <v>Gi52b69j*</v>
      </c>
      <c r="S746" s="6" t="str">
        <f>IFERROR(__xludf.DUMMYFUNCTION("""COMPUTED_VALUE"""),"Poveda Hernández Lolita ")</f>
        <v>Poveda Hernández Lolita </v>
      </c>
      <c r="T746" s="6" t="str">
        <f>IFERROR(__xludf.DUMMYFUNCTION("""COMPUTED_VALUE"""),"ANTONIO HERNANDEZ CASTILLO")</f>
        <v>ANTONIO HERNANDEZ CASTILLO</v>
      </c>
      <c r="U746" s="12" t="str">
        <f>IFERROR(__xludf.DUMMYFUNCTION("""COMPUTED_VALUE"""),"2033383")</f>
        <v>2033383</v>
      </c>
      <c r="V746" s="6">
        <f>IFERROR(__xludf.DUMMYFUNCTION("""COMPUTED_VALUE"""),3.226065802E9)</f>
        <v>3226065802</v>
      </c>
      <c r="W746" s="6" t="str">
        <f>IFERROR(__xludf.DUMMYFUNCTION("""COMPUTED_VALUE"""),"antoniohc37@hotmail.com")</f>
        <v>antoniohc37@hotmail.com</v>
      </c>
      <c r="X746" s="12" t="str">
        <f>IFERROR(__xludf.DUMMYFUNCTION("""COMPUTED_VALUE"""),"O+")</f>
        <v>O+</v>
      </c>
      <c r="Y746" s="12" t="str">
        <f>IFERROR(__xludf.DUMMYFUNCTION("""COMPUTED_VALUE"""),"11")</f>
        <v>11</v>
      </c>
      <c r="Z746" s="12">
        <f>IFERROR(__xludf.DUMMYFUNCTION("""COMPUTED_VALUE"""),120259.0)</f>
        <v>120259</v>
      </c>
      <c r="AA746" s="6" t="str">
        <f>IFERROR(__xludf.DUMMYFUNCTION("""COMPUTED_VALUE"""),"SALUD TOTAL")</f>
        <v>SALUD TOTAL</v>
      </c>
      <c r="AB746" s="6"/>
      <c r="AC746" s="6"/>
      <c r="AD746" s="12" t="str">
        <f>IFERROR(__xludf.DUMMYFUNCTION("""COMPUTED_VALUE"""),"11")</f>
        <v>11</v>
      </c>
      <c r="AE746" s="12">
        <f>IFERROR(__xludf.DUMMYFUNCTION("""COMPUTED_VALUE"""),1.345282248E9)</f>
        <v>1345282248</v>
      </c>
      <c r="AF746" s="12" t="str">
        <f>IFERROR(__xludf.DUMMYFUNCTION("""COMPUTED_VALUE"""),"0736169891")</f>
        <v>0736169891</v>
      </c>
      <c r="AG746" s="12" t="str">
        <f>IFERROR(__xludf.DUMMYFUNCTION("""COMPUTED_VALUE"""),"Mónika")</f>
        <v>Mónika</v>
      </c>
      <c r="AH746" s="12" t="str">
        <f>IFERROR(__xludf.DUMMYFUNCTION("""COMPUTED_VALUE"""),"Rocío")</f>
        <v>Rocío</v>
      </c>
      <c r="AI746" s="6" t="str">
        <f>IFERROR(__xludf.DUMMYFUNCTION("""COMPUTED_VALUE"""),"Hernández Carreño")</f>
        <v>Hernández Carreño</v>
      </c>
      <c r="AJ746" s="6" t="str">
        <f>IFERROR(__xludf.DUMMYFUNCTION("""COMPUTED_VALUE"""),"monirh76@icloud.com")</f>
        <v>monirh76@icloud.com</v>
      </c>
      <c r="AK746" s="6" t="str">
        <f>IFERROR(__xludf.DUMMYFUNCTION("""COMPUTED_VALUE"""),"Pediatra y epidemióloga")</f>
        <v>Pediatra y epidemióloga</v>
      </c>
      <c r="AL746" s="6" t="str">
        <f>IFERROR(__xludf.DUMMYFUNCTION("""COMPUTED_VALUE"""),"Clinica La Sagrada Familia")</f>
        <v>Clinica La Sagrada Familia</v>
      </c>
      <c r="AM746" s="12" t="str">
        <f>IFERROR(__xludf.DUMMYFUNCTION("""COMPUTED_VALUE"""),"52266320")</f>
        <v>52266320</v>
      </c>
      <c r="AN746" s="12" t="str">
        <f>IFERROR(__xludf.DUMMYFUNCTION("""COMPUTED_VALUE"""),"3165495685")</f>
        <v>3165495685</v>
      </c>
      <c r="AO746" s="6" t="str">
        <f>IFERROR(__xludf.DUMMYFUNCTION("""COMPUTED_VALUE"""),"Madre")</f>
        <v>Madre</v>
      </c>
      <c r="AP746" s="6" t="str">
        <f>IFERROR(__xludf.DUMMYFUNCTION("""COMPUTED_VALUE"""),"Estudiante(s): Poveda Hernández")</f>
        <v>Estudiante(s): Poveda Hernández</v>
      </c>
      <c r="AQ746" s="6" t="str">
        <f>IFERROR(__xludf.DUMMYFUNCTION("""COMPUTED_VALUE"""),"120258*Gi")</f>
        <v>120258*Gi</v>
      </c>
      <c r="AR746" s="6" t="str">
        <f>IFERROR(__xludf.DUMMYFUNCTION("""COMPUTED_VALUE"""),"Jesús")</f>
        <v>Jesús</v>
      </c>
      <c r="AS746" s="6" t="str">
        <f>IFERROR(__xludf.DUMMYFUNCTION("""COMPUTED_VALUE"""),"Alonso")</f>
        <v>Alonso</v>
      </c>
      <c r="AT746" s="6" t="str">
        <f>IFERROR(__xludf.DUMMYFUNCTION("""COMPUTED_VALUE"""),"Poveda Carvajal")</f>
        <v>Poveda Carvajal</v>
      </c>
      <c r="AU746" s="6" t="str">
        <f>IFERROR(__xludf.DUMMYFUNCTION("""COMPUTED_VALUE"""),"jealpoca@icloud.com")</f>
        <v>jealpoca@icloud.com</v>
      </c>
      <c r="AV746" s="6" t="str">
        <f>IFERROR(__xludf.DUMMYFUNCTION("""COMPUTED_VALUE"""),"Cirujano General")</f>
        <v>Cirujano General</v>
      </c>
      <c r="AW746" s="6"/>
      <c r="AX746" s="12" t="str">
        <f>IFERROR(__xludf.DUMMYFUNCTION("""COMPUTED_VALUE"""),"79485582")</f>
        <v>79485582</v>
      </c>
      <c r="AY746" s="12" t="str">
        <f>IFERROR(__xludf.DUMMYFUNCTION("""COMPUTED_VALUE"""),"3174314919")</f>
        <v>3174314919</v>
      </c>
      <c r="AZ746" s="6" t="str">
        <f>IFERROR(__xludf.DUMMYFUNCTION("""COMPUTED_VALUE"""),"Padre")</f>
        <v>Padre</v>
      </c>
      <c r="BA746" s="6"/>
      <c r="BB746" s="6"/>
      <c r="BC746" s="6"/>
      <c r="BD746" s="12" t="str">
        <f>IFERROR(__xludf.DUMMYFUNCTION("""COMPUTED_VALUE"""),"pov0001")</f>
        <v>pov0001</v>
      </c>
      <c r="BE746" s="6" t="str">
        <f>IFERROR(__xludf.DUMMYFUNCTION("""COMPUTED_VALUE"""),"FALTAN FIRMAS")</f>
        <v>FALTAN FIRMAS</v>
      </c>
      <c r="BF746" s="6"/>
      <c r="BG746" s="6">
        <f>IFERROR(__xludf.DUMMYFUNCTION("""COMPUTED_VALUE"""),2028.0)</f>
        <v>2028</v>
      </c>
      <c r="BH746" s="15">
        <f>IFERROR(__xludf.DUMMYFUNCTION("""COMPUTED_VALUE"""),46212.814884259256)</f>
        <v>46212.81488</v>
      </c>
      <c r="BI746" s="6">
        <f>IFERROR(__xludf.DUMMYFUNCTION("""COMPUTED_VALUE"""),747.0)</f>
        <v>747</v>
      </c>
      <c r="BJ746" s="6"/>
      <c r="BK746" s="6"/>
      <c r="BL746" s="6" t="str">
        <f>IFERROR(__xludf.DUMMYFUNCTION("""COMPUTED_VALUE"""),"GISPOV0001")</f>
        <v>GISPOV0001</v>
      </c>
      <c r="BM746" s="6"/>
      <c r="BN746" s="6"/>
      <c r="BO746" s="6"/>
      <c r="BP746" s="6"/>
      <c r="BQ746" s="6"/>
      <c r="BR746" s="6"/>
      <c r="BS746" s="6"/>
      <c r="BT746" s="6"/>
      <c r="BU746" s="6" t="str">
        <f>IFERROR(__xludf.DUMMYFUNCTION("""COMPUTED_VALUE"""),"SI")</f>
        <v>SI</v>
      </c>
      <c r="BV746" s="6" t="str">
        <f>IFERROR(__xludf.DUMMYFUNCTION("""COMPUTED_VALUE"""),"lolita.p2028")</f>
        <v>lolita.p2028</v>
      </c>
      <c r="BW746" s="6"/>
      <c r="BX746" s="6"/>
      <c r="BY746" s="6"/>
      <c r="BZ746" s="6"/>
    </row>
    <row r="747">
      <c r="A747" s="12">
        <f>IFERROR(__xludf.DUMMYFUNCTION("""COMPUTED_VALUE"""),1.125720374E9)</f>
        <v>1125720374</v>
      </c>
      <c r="B747" s="6">
        <f>IFERROR(__xludf.DUMMYFUNCTION("""COMPUTED_VALUE"""),37.0)</f>
        <v>37</v>
      </c>
      <c r="C747" s="6" t="str">
        <f>IFERROR(__xludf.DUMMYFUNCTION("""COMPUTED_VALUE"""),"Camilo")</f>
        <v>Camilo</v>
      </c>
      <c r="D747" s="6"/>
      <c r="E747" s="6" t="str">
        <f>IFERROR(__xludf.DUMMYFUNCTION("""COMPUTED_VALUE"""),"Rendón Chica")</f>
        <v>Rendón Chica</v>
      </c>
      <c r="F747" s="6" t="str">
        <f>IFERROR(__xludf.DUMMYFUNCTION("""COMPUTED_VALUE"""),"Condominio Hacienda Horizontes Casa 31 - Km 3 Via Circasia Vereda la Florida")</f>
        <v>Condominio Hacienda Horizontes Casa 31 - Km 3 Via Circasia Vereda la Florida</v>
      </c>
      <c r="G747" s="12" t="str">
        <f>IFERROR(__xludf.DUMMYFUNCTION("""COMPUTED_VALUE"""),"2010")</f>
        <v>2010</v>
      </c>
      <c r="H747" s="6" t="str">
        <f>IFERROR(__xludf.DUMMYFUNCTION("""COMPUTED_VALUE"""),"Enero")</f>
        <v>Enero</v>
      </c>
      <c r="I747" s="12" t="str">
        <f>IFERROR(__xludf.DUMMYFUNCTION("""COMPUTED_VALUE"""),"23")</f>
        <v>23</v>
      </c>
      <c r="J747" s="6" t="str">
        <f>IFERROR(__xludf.DUMMYFUNCTION("""COMPUTED_VALUE"""),"Virginia")</f>
        <v>Virginia</v>
      </c>
      <c r="K747" s="6" t="str">
        <f>IFERROR(__xludf.DUMMYFUNCTION("""COMPUTED_VALUE"""),"camilo.r2028@gi.edu.co")</f>
        <v>camilo.r2028@gi.edu.co</v>
      </c>
      <c r="L747" s="6" t="str">
        <f>IFERROR(__xludf.DUMMYFUNCTION("""COMPUTED_VALUE"""),"TI")</f>
        <v>TI</v>
      </c>
      <c r="M747" s="6" t="str">
        <f>IFERROR(__xludf.DUMMYFUNCTION("""COMPUTED_VALUE"""),"Armenia")</f>
        <v>Armenia</v>
      </c>
      <c r="N747" s="6" t="str">
        <f>IFERROR(__xludf.DUMMYFUNCTION("""COMPUTED_VALUE"""),"M")</f>
        <v>M</v>
      </c>
      <c r="O747" s="6" t="str">
        <f>IFERROR(__xludf.DUMMYFUNCTION("""COMPUTED_VALUE"""),"ACTIVE")</f>
        <v>ACTIVE</v>
      </c>
      <c r="P747" s="6"/>
      <c r="Q747" s="6" t="str">
        <f>IFERROR(__xludf.DUMMYFUNCTION("""COMPUTED_VALUE"""),"Circasia")</f>
        <v>Circasia</v>
      </c>
      <c r="R747" s="12" t="str">
        <f>IFERROR(__xludf.DUMMYFUNCTION("""COMPUTED_VALUE"""),"Gifr4nk5o*")</f>
        <v>Gifr4nk5o*</v>
      </c>
      <c r="S747" s="6" t="str">
        <f>IFERROR(__xludf.DUMMYFUNCTION("""COMPUTED_VALUE"""),"Rendón Chica Camilo ")</f>
        <v>Rendón Chica Camilo </v>
      </c>
      <c r="T747" s="6" t="str">
        <f>IFERROR(__xludf.DUMMYFUNCTION("""COMPUTED_VALUE"""),"MIGUEL ANGEL RENDON VALLEJO")</f>
        <v>MIGUEL ANGEL RENDON VALLEJO</v>
      </c>
      <c r="U747" s="12" t="str">
        <f>IFERROR(__xludf.DUMMYFUNCTION("""COMPUTED_VALUE"""),"1127226855")</f>
        <v>1127226855</v>
      </c>
      <c r="V747" s="6">
        <f>IFERROR(__xludf.DUMMYFUNCTION("""COMPUTED_VALUE"""),3.102109914E9)</f>
        <v>3102109914</v>
      </c>
      <c r="W747" s="6" t="str">
        <f>IFERROR(__xludf.DUMMYFUNCTION("""COMPUTED_VALUE"""),"mrendon@teamandes.com
")</f>
        <v>mrendon@teamandes.com
</v>
      </c>
      <c r="X747" s="12" t="str">
        <f>IFERROR(__xludf.DUMMYFUNCTION("""COMPUTED_VALUE"""),"A+")</f>
        <v>A+</v>
      </c>
      <c r="Y747" s="12" t="str">
        <f>IFERROR(__xludf.DUMMYFUNCTION("""COMPUTED_VALUE"""),"11")</f>
        <v>11</v>
      </c>
      <c r="Z747" s="12">
        <f>IFERROR(__xludf.DUMMYFUNCTION("""COMPUTED_VALUE"""),120487.0)</f>
        <v>120487</v>
      </c>
      <c r="AA747" s="6" t="str">
        <f>IFERROR(__xludf.DUMMYFUNCTION("""COMPUTED_VALUE"""),"COOMEVA")</f>
        <v>COOMEVA</v>
      </c>
      <c r="AB747" s="6"/>
      <c r="AC747" s="6"/>
      <c r="AD747" s="12" t="str">
        <f>IFERROR(__xludf.DUMMYFUNCTION("""COMPUTED_VALUE"""),"11")</f>
        <v>11</v>
      </c>
      <c r="AE747" s="12" t="str">
        <f>IFERROR(__xludf.DUMMYFUNCTION("""COMPUTED_VALUE"""),"1345282484")</f>
        <v>1345282484</v>
      </c>
      <c r="AF747" s="12" t="str">
        <f>IFERROR(__xludf.DUMMYFUNCTION("""COMPUTED_VALUE"""),"0650820195")</f>
        <v>0650820195</v>
      </c>
      <c r="AG747" s="12" t="str">
        <f>IFERROR(__xludf.DUMMYFUNCTION("""COMPUTED_VALUE"""),"Nicole")</f>
        <v>Nicole</v>
      </c>
      <c r="AH747" s="6"/>
      <c r="AI747" s="6" t="str">
        <f>IFERROR(__xludf.DUMMYFUNCTION("""COMPUTED_VALUE"""),"Chica Suárez")</f>
        <v>Chica Suárez</v>
      </c>
      <c r="AJ747" s="6" t="str">
        <f>IFERROR(__xludf.DUMMYFUNCTION("""COMPUTED_VALUE"""),"nchica@teamandes.com")</f>
        <v>nchica@teamandes.com</v>
      </c>
      <c r="AK747" s="6" t="str">
        <f>IFERROR(__xludf.DUMMYFUNCTION("""COMPUTED_VALUE"""),"Administradora de Empresas")</f>
        <v>Administradora de Empresas</v>
      </c>
      <c r="AL747" s="6" t="str">
        <f>IFERROR(__xludf.DUMMYFUNCTION("""COMPUTED_VALUE"""),"ANDES WORKFORCE LLC")</f>
        <v>ANDES WORKFORCE LLC</v>
      </c>
      <c r="AM747" s="12" t="str">
        <f>IFERROR(__xludf.DUMMYFUNCTION("""COMPUTED_VALUE"""),"31714452")</f>
        <v>31714452</v>
      </c>
      <c r="AN747" s="12" t="str">
        <f>IFERROR(__xludf.DUMMYFUNCTION("""COMPUTED_VALUE"""),"3145008390")</f>
        <v>3145008390</v>
      </c>
      <c r="AO747" s="6" t="str">
        <f>IFERROR(__xludf.DUMMYFUNCTION("""COMPUTED_VALUE"""),"Madre")</f>
        <v>Madre</v>
      </c>
      <c r="AP747" s="6" t="str">
        <f>IFERROR(__xludf.DUMMYFUNCTION("""COMPUTED_VALUE"""),"Estudiante(s): Rendón Chica")</f>
        <v>Estudiante(s): Rendón Chica</v>
      </c>
      <c r="AQ747" s="6" t="str">
        <f>IFERROR(__xludf.DUMMYFUNCTION("""COMPUTED_VALUE"""),"120487*Gi")</f>
        <v>120487*Gi</v>
      </c>
      <c r="AR747" s="6" t="str">
        <f>IFERROR(__xludf.DUMMYFUNCTION("""COMPUTED_VALUE"""),"Miguel")</f>
        <v>Miguel</v>
      </c>
      <c r="AS747" s="6" t="str">
        <f>IFERROR(__xludf.DUMMYFUNCTION("""COMPUTED_VALUE"""),"Ángel")</f>
        <v>Ángel</v>
      </c>
      <c r="AT747" s="6" t="str">
        <f>IFERROR(__xludf.DUMMYFUNCTION("""COMPUTED_VALUE"""),"Rendón Vallejo")</f>
        <v>Rendón Vallejo</v>
      </c>
      <c r="AU747" s="6" t="str">
        <f>IFERROR(__xludf.DUMMYFUNCTION("""COMPUTED_VALUE"""),"mrendon@teamandes.com")</f>
        <v>mrendon@teamandes.com</v>
      </c>
      <c r="AV747" s="6" t="str">
        <f>IFERROR(__xludf.DUMMYFUNCTION("""COMPUTED_VALUE"""),"MILITAR PENSIONADO")</f>
        <v>MILITAR PENSIONADO</v>
      </c>
      <c r="AW747" s="6" t="str">
        <f>IFERROR(__xludf.DUMMYFUNCTION("""COMPUTED_VALUE"""),"United States Navy")</f>
        <v>United States Navy</v>
      </c>
      <c r="AX747" s="12" t="str">
        <f>IFERROR(__xludf.DUMMYFUNCTION("""COMPUTED_VALUE"""),"1127226855")</f>
        <v>1127226855</v>
      </c>
      <c r="AY747" s="12" t="str">
        <f>IFERROR(__xludf.DUMMYFUNCTION("""COMPUTED_VALUE"""),"3102109914")</f>
        <v>3102109914</v>
      </c>
      <c r="AZ747" s="6" t="str">
        <f>IFERROR(__xludf.DUMMYFUNCTION("""COMPUTED_VALUE"""),"Padre")</f>
        <v>Padre</v>
      </c>
      <c r="BA747" s="6"/>
      <c r="BB747" s="6"/>
      <c r="BC747" s="6"/>
      <c r="BD747" s="12" t="str">
        <f>IFERROR(__xludf.DUMMYFUNCTION("""COMPUTED_VALUE"""),"ren0002")</f>
        <v>ren0002</v>
      </c>
      <c r="BE747" s="6"/>
      <c r="BF747" s="6"/>
      <c r="BG747" s="6">
        <f>IFERROR(__xludf.DUMMYFUNCTION("""COMPUTED_VALUE"""),2028.0)</f>
        <v>2028</v>
      </c>
      <c r="BH747" s="15">
        <f>IFERROR(__xludf.DUMMYFUNCTION("""COMPUTED_VALUE"""),46209.50289351852)</f>
        <v>46209.50289</v>
      </c>
      <c r="BI747" s="6">
        <f>IFERROR(__xludf.DUMMYFUNCTION("""COMPUTED_VALUE"""),748.0)</f>
        <v>748</v>
      </c>
      <c r="BJ747" s="6"/>
      <c r="BK747" s="6"/>
      <c r="BL747" s="6" t="str">
        <f>IFERROR(__xludf.DUMMYFUNCTION("""COMPUTED_VALUE"""),"GISREN0002")</f>
        <v>GISREN0002</v>
      </c>
      <c r="BM747" s="6"/>
      <c r="BN747" s="6"/>
      <c r="BO747" s="6" t="str">
        <f>IFERROR(__xludf.DUMMYFUNCTION("""COMPUTED_VALUE"""),"XC_HS_Futbol_M")</f>
        <v>XC_HS_Futbol_M</v>
      </c>
      <c r="BP747" s="6"/>
      <c r="BQ747" s="6" t="str">
        <f>IFERROR(__xludf.DUMMYFUNCTION("""COMPUTED_VALUE"""),"XC_HS_Futbol_M")</f>
        <v>XC_HS_Futbol_M</v>
      </c>
      <c r="BR747" s="6" t="str">
        <f>IFERROR(__xludf.DUMMYFUNCTION("""COMPUTED_VALUE"""),"XC_HS_Futbol_M")</f>
        <v>XC_HS_Futbol_M</v>
      </c>
      <c r="BS747" s="6"/>
      <c r="BT747" s="6" t="str">
        <f>IFERROR(__xludf.DUMMYFUNCTION("""COMPUTED_VALUE"""),"XC_HS_Futbol_M")</f>
        <v>XC_HS_Futbol_M</v>
      </c>
      <c r="BU747" s="6" t="str">
        <f>IFERROR(__xludf.DUMMYFUNCTION("""COMPUTED_VALUE"""),"SI")</f>
        <v>SI</v>
      </c>
      <c r="BV747" s="6" t="str">
        <f>IFERROR(__xludf.DUMMYFUNCTION("""COMPUTED_VALUE"""),"camilo.r2028")</f>
        <v>camilo.r2028</v>
      </c>
      <c r="BW747" s="6"/>
      <c r="BX747" s="6"/>
      <c r="BY747" s="6"/>
      <c r="BZ747" s="6"/>
    </row>
    <row r="748">
      <c r="A748" s="12" t="str">
        <f>IFERROR(__xludf.DUMMYFUNCTION("""COMPUTED_VALUE"""),"1092854611")</f>
        <v>1092854611</v>
      </c>
      <c r="B748" s="6">
        <f>IFERROR(__xludf.DUMMYFUNCTION("""COMPUTED_VALUE"""),38.0)</f>
        <v>38</v>
      </c>
      <c r="C748" s="6" t="str">
        <f>IFERROR(__xludf.DUMMYFUNCTION("""COMPUTED_VALUE"""),"Santiago")</f>
        <v>Santiago</v>
      </c>
      <c r="D748" s="6"/>
      <c r="E748" s="6" t="str">
        <f>IFERROR(__xludf.DUMMYFUNCTION("""COMPUTED_VALUE"""),"Rodríguez Restrepo")</f>
        <v>Rodríguez Restrepo</v>
      </c>
      <c r="F748" s="6" t="str">
        <f>IFERROR(__xludf.DUMMYFUNCTION("""COMPUTED_VALUE"""),"Cra 12 No4Nte - 09 - Barrio Alcazar")</f>
        <v>Cra 12 No4Nte - 09 - Barrio Alcazar</v>
      </c>
      <c r="G748" s="12" t="str">
        <f>IFERROR(__xludf.DUMMYFUNCTION("""COMPUTED_VALUE"""),"2010")</f>
        <v>2010</v>
      </c>
      <c r="H748" s="6" t="str">
        <f>IFERROR(__xludf.DUMMYFUNCTION("""COMPUTED_VALUE"""),"Febrero")</f>
        <v>Febrero</v>
      </c>
      <c r="I748" s="12" t="str">
        <f>IFERROR(__xludf.DUMMYFUNCTION("""COMPUTED_VALUE"""),"20")</f>
        <v>20</v>
      </c>
      <c r="J748" s="6" t="str">
        <f>IFERROR(__xludf.DUMMYFUNCTION("""COMPUTED_VALUE"""),"Armenia")</f>
        <v>Armenia</v>
      </c>
      <c r="K748" s="6" t="str">
        <f>IFERROR(__xludf.DUMMYFUNCTION("""COMPUTED_VALUE"""),"santiago.r2028@gi.edu.co")</f>
        <v>santiago.r2028@gi.edu.co</v>
      </c>
      <c r="L748" s="6" t="str">
        <f>IFERROR(__xludf.DUMMYFUNCTION("""COMPUTED_VALUE"""),"TI")</f>
        <v>TI</v>
      </c>
      <c r="M748" s="6" t="str">
        <f>IFERROR(__xludf.DUMMYFUNCTION("""COMPUTED_VALUE"""),"Armenia")</f>
        <v>Armenia</v>
      </c>
      <c r="N748" s="6" t="str">
        <f>IFERROR(__xludf.DUMMYFUNCTION("""COMPUTED_VALUE"""),"M")</f>
        <v>M</v>
      </c>
      <c r="O748" s="6" t="str">
        <f>IFERROR(__xludf.DUMMYFUNCTION("""COMPUTED_VALUE"""),"ACTIVE")</f>
        <v>ACTIVE</v>
      </c>
      <c r="P748" s="6"/>
      <c r="Q748" s="6" t="str">
        <f>IFERROR(__xludf.DUMMYFUNCTION("""COMPUTED_VALUE"""),"Armenia")</f>
        <v>Armenia</v>
      </c>
      <c r="R748" s="12" t="str">
        <f>IFERROR(__xludf.DUMMYFUNCTION("""COMPUTED_VALUE"""),"Gi1783x219*")</f>
        <v>Gi1783x219*</v>
      </c>
      <c r="S748" s="6" t="str">
        <f>IFERROR(__xludf.DUMMYFUNCTION("""COMPUTED_VALUE"""),"Rodríguez Restrepo Santiago ")</f>
        <v>Rodríguez Restrepo Santiago </v>
      </c>
      <c r="T748" s="6" t="str">
        <f>IFERROR(__xludf.DUMMYFUNCTION("""COMPUTED_VALUE"""),"GLORIA CECILIA RESTREPO SALAS")</f>
        <v>GLORIA CECILIA RESTREPO SALAS</v>
      </c>
      <c r="U748" s="12" t="str">
        <f>IFERROR(__xludf.DUMMYFUNCTION("""COMPUTED_VALUE"""),"43271514")</f>
        <v>43271514</v>
      </c>
      <c r="V748" s="6">
        <f>IFERROR(__xludf.DUMMYFUNCTION("""COMPUTED_VALUE"""),3.006081351E9)</f>
        <v>3006081351</v>
      </c>
      <c r="W748" s="6" t="str">
        <f>IFERROR(__xludf.DUMMYFUNCTION("""COMPUTED_VALUE"""),"gloriacecilia@gmail.com")</f>
        <v>gloriacecilia@gmail.com</v>
      </c>
      <c r="X748" s="12" t="str">
        <f>IFERROR(__xludf.DUMMYFUNCTION("""COMPUTED_VALUE"""),"O+")</f>
        <v>O+</v>
      </c>
      <c r="Y748" s="12" t="str">
        <f>IFERROR(__xludf.DUMMYFUNCTION("""COMPUTED_VALUE"""),"11")</f>
        <v>11</v>
      </c>
      <c r="Z748" s="12">
        <f>IFERROR(__xludf.DUMMYFUNCTION("""COMPUTED_VALUE"""),102693.0)</f>
        <v>102693</v>
      </c>
      <c r="AA748" s="6" t="str">
        <f>IFERROR(__xludf.DUMMYFUNCTION("""COMPUTED_VALUE"""),"SANITAS")</f>
        <v>SANITAS</v>
      </c>
      <c r="AB748" s="6"/>
      <c r="AC748" s="12" t="str">
        <f>IFERROR(__xludf.DUMMYFUNCTION("""COMPUTED_VALUE"""),"Diclofenaco")</f>
        <v>Diclofenaco</v>
      </c>
      <c r="AD748" s="12" t="str">
        <f>IFERROR(__xludf.DUMMYFUNCTION("""COMPUTED_VALUE"""),"11")</f>
        <v>11</v>
      </c>
      <c r="AE748" s="12">
        <f>IFERROR(__xludf.DUMMYFUNCTION("""COMPUTED_VALUE"""),1.345281341E9)</f>
        <v>1345281341</v>
      </c>
      <c r="AF748" s="6"/>
      <c r="AG748" s="12" t="str">
        <f>IFERROR(__xludf.DUMMYFUNCTION("""COMPUTED_VALUE"""),"Gloria")</f>
        <v>Gloria</v>
      </c>
      <c r="AH748" s="12" t="str">
        <f>IFERROR(__xludf.DUMMYFUNCTION("""COMPUTED_VALUE"""),"Cecilia")</f>
        <v>Cecilia</v>
      </c>
      <c r="AI748" s="6" t="str">
        <f>IFERROR(__xludf.DUMMYFUNCTION("""COMPUTED_VALUE"""),"Restrepo Salas")</f>
        <v>Restrepo Salas</v>
      </c>
      <c r="AJ748" s="6" t="str">
        <f>IFERROR(__xludf.DUMMYFUNCTION("""COMPUTED_VALUE"""),"gloriacecilia@gmail.com")</f>
        <v>gloriacecilia@gmail.com</v>
      </c>
      <c r="AK748" s="6" t="str">
        <f>IFERROR(__xludf.DUMMYFUNCTION("""COMPUTED_VALUE"""),"Ingeniera de alimentos")</f>
        <v>Ingeniera de alimentos</v>
      </c>
      <c r="AL748" s="6" t="str">
        <f>IFERROR(__xludf.DUMMYFUNCTION("""COMPUTED_VALUE"""),"Frigocafe S.A.S.")</f>
        <v>Frigocafe S.A.S.</v>
      </c>
      <c r="AM748" s="12" t="str">
        <f>IFERROR(__xludf.DUMMYFUNCTION("""COMPUTED_VALUE"""),"43271514")</f>
        <v>43271514</v>
      </c>
      <c r="AN748" s="12" t="str">
        <f>IFERROR(__xludf.DUMMYFUNCTION("""COMPUTED_VALUE"""),"3006081351")</f>
        <v>3006081351</v>
      </c>
      <c r="AO748" s="6" t="str">
        <f>IFERROR(__xludf.DUMMYFUNCTION("""COMPUTED_VALUE"""),"Madre")</f>
        <v>Madre</v>
      </c>
      <c r="AP748" s="6" t="str">
        <f>IFERROR(__xludf.DUMMYFUNCTION("""COMPUTED_VALUE"""),"Estudiante(s): Rodríguez Restrepo")</f>
        <v>Estudiante(s): Rodríguez Restrepo</v>
      </c>
      <c r="AQ748" s="6" t="str">
        <f>IFERROR(__xludf.DUMMYFUNCTION("""COMPUTED_VALUE"""),"102693*Gi")</f>
        <v>102693*Gi</v>
      </c>
      <c r="AR748" s="6" t="str">
        <f>IFERROR(__xludf.DUMMYFUNCTION("""COMPUTED_VALUE"""),"Juan")</f>
        <v>Juan</v>
      </c>
      <c r="AS748" s="6" t="str">
        <f>IFERROR(__xludf.DUMMYFUNCTION("""COMPUTED_VALUE"""),"Carlos")</f>
        <v>Carlos</v>
      </c>
      <c r="AT748" s="6" t="str">
        <f>IFERROR(__xludf.DUMMYFUNCTION("""COMPUTED_VALUE"""),"Rodríguez Naranjo")</f>
        <v>Rodríguez Naranjo</v>
      </c>
      <c r="AU748" s="6" t="str">
        <f>IFERROR(__xludf.DUMMYFUNCTION("""COMPUTED_VALUE"""),"juanrona@hotmail.com")</f>
        <v>juanrona@hotmail.com</v>
      </c>
      <c r="AV748" s="6" t="str">
        <f>IFERROR(__xludf.DUMMYFUNCTION("""COMPUTED_VALUE"""),"Administrador de Empresas Agropecuario")</f>
        <v>Administrador de Empresas Agropecuario</v>
      </c>
      <c r="AW748" s="6" t="str">
        <f>IFERROR(__xludf.DUMMYFUNCTION("""COMPUTED_VALUE"""),"Finca El Placer")</f>
        <v>Finca El Placer</v>
      </c>
      <c r="AX748" s="12" t="str">
        <f>IFERROR(__xludf.DUMMYFUNCTION("""COMPUTED_VALUE"""),"71381977")</f>
        <v>71381977</v>
      </c>
      <c r="AY748" s="12" t="str">
        <f>IFERROR(__xludf.DUMMYFUNCTION("""COMPUTED_VALUE"""),"3006095466")</f>
        <v>3006095466</v>
      </c>
      <c r="AZ748" s="6" t="str">
        <f>IFERROR(__xludf.DUMMYFUNCTION("""COMPUTED_VALUE"""),"Padre")</f>
        <v>Padre</v>
      </c>
      <c r="BA748" s="6"/>
      <c r="BB748" s="6"/>
      <c r="BC748" s="6"/>
      <c r="BD748" s="12" t="str">
        <f>IFERROR(__xludf.DUMMYFUNCTION("""COMPUTED_VALUE"""),"rod0007")</f>
        <v>rod0007</v>
      </c>
      <c r="BE748" s="6" t="str">
        <f>IFERROR(__xludf.DUMMYFUNCTION("""COMPUTED_VALUE"""),"REINGRESO")</f>
        <v>REINGRESO</v>
      </c>
      <c r="BF748" s="6"/>
      <c r="BG748" s="6">
        <f>IFERROR(__xludf.DUMMYFUNCTION("""COMPUTED_VALUE"""),2028.0)</f>
        <v>2028</v>
      </c>
      <c r="BH748" s="15">
        <f>IFERROR(__xludf.DUMMYFUNCTION("""COMPUTED_VALUE"""),46204.806967592594)</f>
        <v>46204.80697</v>
      </c>
      <c r="BI748" s="6">
        <f>IFERROR(__xludf.DUMMYFUNCTION("""COMPUTED_VALUE"""),749.0)</f>
        <v>749</v>
      </c>
      <c r="BJ748" s="6"/>
      <c r="BK748" s="6"/>
      <c r="BL748" s="6" t="str">
        <f>IFERROR(__xludf.DUMMYFUNCTION("""COMPUTED_VALUE"""),"GISROD0007")</f>
        <v>GISROD0007</v>
      </c>
      <c r="BM748" s="6"/>
      <c r="BN748" s="6"/>
      <c r="BO748" s="6"/>
      <c r="BP748" s="6"/>
      <c r="BQ748" s="6"/>
      <c r="BR748" s="6"/>
      <c r="BS748" s="6"/>
      <c r="BT748" s="6"/>
      <c r="BU748" s="6" t="str">
        <f>IFERROR(__xludf.DUMMYFUNCTION("""COMPUTED_VALUE"""),"SI")</f>
        <v>SI</v>
      </c>
      <c r="BV748" s="6" t="str">
        <f>IFERROR(__xludf.DUMMYFUNCTION("""COMPUTED_VALUE"""),"santiago.r2028")</f>
        <v>santiago.r2028</v>
      </c>
      <c r="BW748" s="6"/>
      <c r="BX748" s="6"/>
      <c r="BY748" s="6"/>
      <c r="BZ748" s="6"/>
    </row>
    <row r="749">
      <c r="A749" s="12">
        <f>IFERROR(__xludf.DUMMYFUNCTION("""COMPUTED_VALUE"""),1.091886355E9)</f>
        <v>1091886355</v>
      </c>
      <c r="B749" s="6">
        <f>IFERROR(__xludf.DUMMYFUNCTION("""COMPUTED_VALUE"""),39.0)</f>
        <v>39</v>
      </c>
      <c r="C749" s="6" t="str">
        <f>IFERROR(__xludf.DUMMYFUNCTION("""COMPUTED_VALUE"""),"Violeta")</f>
        <v>Violeta</v>
      </c>
      <c r="D749" s="6"/>
      <c r="E749" s="6" t="str">
        <f>IFERROR(__xludf.DUMMYFUNCTION("""COMPUTED_VALUE"""),"Rodríguez Restrepo")</f>
        <v>Rodríguez Restrepo</v>
      </c>
      <c r="F749" s="6" t="str">
        <f>IFERROR(__xludf.DUMMYFUNCTION("""COMPUTED_VALUE"""),"Condominio Entre Maderos Casa 13 - Vereda El Congal Km 1.2 Via Circasia - Armenia")</f>
        <v>Condominio Entre Maderos Casa 13 - Vereda El Congal Km 1.2 Via Circasia - Armenia</v>
      </c>
      <c r="G749" s="12" t="str">
        <f>IFERROR(__xludf.DUMMYFUNCTION("""COMPUTED_VALUE"""),"2010")</f>
        <v>2010</v>
      </c>
      <c r="H749" s="6" t="str">
        <f>IFERROR(__xludf.DUMMYFUNCTION("""COMPUTED_VALUE"""),"Marzo")</f>
        <v>Marzo</v>
      </c>
      <c r="I749" s="12" t="str">
        <f>IFERROR(__xludf.DUMMYFUNCTION("""COMPUTED_VALUE"""),"31")</f>
        <v>31</v>
      </c>
      <c r="J749" s="6" t="str">
        <f>IFERROR(__xludf.DUMMYFUNCTION("""COMPUTED_VALUE"""),"Armenia")</f>
        <v>Armenia</v>
      </c>
      <c r="K749" s="6" t="str">
        <f>IFERROR(__xludf.DUMMYFUNCTION("""COMPUTED_VALUE"""),"violeta.r2028@gi.edu.co")</f>
        <v>violeta.r2028@gi.edu.co</v>
      </c>
      <c r="L749" s="6" t="str">
        <f>IFERROR(__xludf.DUMMYFUNCTION("""COMPUTED_VALUE"""),"TI")</f>
        <v>TI</v>
      </c>
      <c r="M749" s="6" t="str">
        <f>IFERROR(__xludf.DUMMYFUNCTION("""COMPUTED_VALUE"""),"Armenia")</f>
        <v>Armenia</v>
      </c>
      <c r="N749" s="6" t="str">
        <f>IFERROR(__xludf.DUMMYFUNCTION("""COMPUTED_VALUE"""),"F")</f>
        <v>F</v>
      </c>
      <c r="O749" s="6" t="str">
        <f>IFERROR(__xludf.DUMMYFUNCTION("""COMPUTED_VALUE"""),"ACTIVE")</f>
        <v>ACTIVE</v>
      </c>
      <c r="P749" s="6"/>
      <c r="Q749" s="6" t="str">
        <f>IFERROR(__xludf.DUMMYFUNCTION("""COMPUTED_VALUE"""),"Armenia")</f>
        <v>Armenia</v>
      </c>
      <c r="R749" s="12" t="str">
        <f>IFERROR(__xludf.DUMMYFUNCTION("""COMPUTED_VALUE"""),"Gi25893219*")</f>
        <v>Gi25893219*</v>
      </c>
      <c r="S749" s="6" t="str">
        <f>IFERROR(__xludf.DUMMYFUNCTION("""COMPUTED_VALUE"""),"Rodríguez Restrepo Violeta ")</f>
        <v>Rodríguez Restrepo Violeta </v>
      </c>
      <c r="T749" s="6" t="str">
        <f>IFERROR(__xludf.DUMMYFUNCTION("""COMPUTED_VALUE"""),"ANDRÉS FELIPE RODRÍGUEZ MAYA")</f>
        <v>ANDRÉS FELIPE RODRÍGUEZ MAYA</v>
      </c>
      <c r="U749" s="12" t="str">
        <f>IFERROR(__xludf.DUMMYFUNCTION("""COMPUTED_VALUE"""),"89009464")</f>
        <v>89009464</v>
      </c>
      <c r="V749" s="6">
        <f>IFERROR(__xludf.DUMMYFUNCTION("""COMPUTED_VALUE"""),3.057976476E9)</f>
        <v>3057976476</v>
      </c>
      <c r="W749" s="6" t="str">
        <f>IFERROR(__xludf.DUMMYFUNCTION("""COMPUTED_VALUE"""),"pipemaya@gmail.com")</f>
        <v>pipemaya@gmail.com</v>
      </c>
      <c r="X749" s="12" t="str">
        <f>IFERROR(__xludf.DUMMYFUNCTION("""COMPUTED_VALUE"""),"O-")</f>
        <v>O-</v>
      </c>
      <c r="Y749" s="12" t="str">
        <f>IFERROR(__xludf.DUMMYFUNCTION("""COMPUTED_VALUE"""),"11")</f>
        <v>11</v>
      </c>
      <c r="Z749" s="12">
        <f>IFERROR(__xludf.DUMMYFUNCTION("""COMPUTED_VALUE"""),102864.0)</f>
        <v>102864</v>
      </c>
      <c r="AA749" s="6" t="str">
        <f>IFERROR(__xludf.DUMMYFUNCTION("""COMPUTED_VALUE"""),"SURA")</f>
        <v>SURA</v>
      </c>
      <c r="AB749" s="6" t="str">
        <f>IFERROR(__xludf.DUMMYFUNCTION("""COMPUTED_VALUE"""),"EMI")</f>
        <v>EMI</v>
      </c>
      <c r="AC749" s="12" t="str">
        <f>IFERROR(__xludf.DUMMYFUNCTION("""COMPUTED_VALUE"""),"COLORANTES EN COMIDAS")</f>
        <v>COLORANTES EN COMIDAS</v>
      </c>
      <c r="AD749" s="12" t="str">
        <f>IFERROR(__xludf.DUMMYFUNCTION("""COMPUTED_VALUE"""),"11")</f>
        <v>11</v>
      </c>
      <c r="AE749" s="12">
        <f>IFERROR(__xludf.DUMMYFUNCTION("""COMPUTED_VALUE"""),1.345281266E9)</f>
        <v>1345281266</v>
      </c>
      <c r="AF749" s="12" t="str">
        <f>IFERROR(__xludf.DUMMYFUNCTION("""COMPUTED_VALUE"""),"0708432211")</f>
        <v>0708432211</v>
      </c>
      <c r="AG749" s="12" t="str">
        <f>IFERROR(__xludf.DUMMYFUNCTION("""COMPUTED_VALUE"""),"Maria")</f>
        <v>Maria</v>
      </c>
      <c r="AH749" s="12" t="str">
        <f>IFERROR(__xludf.DUMMYFUNCTION("""COMPUTED_VALUE"""),"Isabel")</f>
        <v>Isabel</v>
      </c>
      <c r="AI749" s="6" t="str">
        <f>IFERROR(__xludf.DUMMYFUNCTION("""COMPUTED_VALUE"""),"Restrepo Gaviria")</f>
        <v>Restrepo Gaviria</v>
      </c>
      <c r="AJ749" s="6" t="str">
        <f>IFERROR(__xludf.DUMMYFUNCTION("""COMPUTED_VALUE"""),"maisabelrg@gmail.com")</f>
        <v>maisabelrg@gmail.com</v>
      </c>
      <c r="AK749" s="6" t="str">
        <f>IFERROR(__xludf.DUMMYFUNCTION("""COMPUTED_VALUE"""),"PEDAGOGIA INFANTIL")</f>
        <v>PEDAGOGIA INFANTIL</v>
      </c>
      <c r="AL749" s="6"/>
      <c r="AM749" s="12" t="str">
        <f>IFERROR(__xludf.DUMMYFUNCTION("""COMPUTED_VALUE"""),"41961485")</f>
        <v>41961485</v>
      </c>
      <c r="AN749" s="12" t="str">
        <f>IFERROR(__xludf.DUMMYFUNCTION("""COMPUTED_VALUE"""),"3162276403")</f>
        <v>3162276403</v>
      </c>
      <c r="AO749" s="6" t="str">
        <f>IFERROR(__xludf.DUMMYFUNCTION("""COMPUTED_VALUE"""),"Madre")</f>
        <v>Madre</v>
      </c>
      <c r="AP749" s="6" t="str">
        <f>IFERROR(__xludf.DUMMYFUNCTION("""COMPUTED_VALUE"""),"Estudiante(s): Rodríguez Restrepo")</f>
        <v>Estudiante(s): Rodríguez Restrepo</v>
      </c>
      <c r="AQ749" s="6" t="str">
        <f>IFERROR(__xludf.DUMMYFUNCTION("""COMPUTED_VALUE"""),"102864*Gi")</f>
        <v>102864*Gi</v>
      </c>
      <c r="AR749" s="6" t="str">
        <f>IFERROR(__xludf.DUMMYFUNCTION("""COMPUTED_VALUE"""),"Andrés")</f>
        <v>Andrés</v>
      </c>
      <c r="AS749" s="6" t="str">
        <f>IFERROR(__xludf.DUMMYFUNCTION("""COMPUTED_VALUE"""),"Felipe")</f>
        <v>Felipe</v>
      </c>
      <c r="AT749" s="6" t="str">
        <f>IFERROR(__xludf.DUMMYFUNCTION("""COMPUTED_VALUE"""),"Rodríguez Maya")</f>
        <v>Rodríguez Maya</v>
      </c>
      <c r="AU749" s="6" t="str">
        <f>IFERROR(__xludf.DUMMYFUNCTION("""COMPUTED_VALUE"""),"pipemaya@gmail.com")</f>
        <v>pipemaya@gmail.com</v>
      </c>
      <c r="AV749" s="6" t="str">
        <f>IFERROR(__xludf.DUMMYFUNCTION("""COMPUTED_VALUE"""),"ING. CIVIL")</f>
        <v>ING. CIVIL</v>
      </c>
      <c r="AW749" s="6" t="str">
        <f>IFERROR(__xludf.DUMMYFUNCTION("""COMPUTED_VALUE"""),"ESTRUCTURAS COYABRA")</f>
        <v>ESTRUCTURAS COYABRA</v>
      </c>
      <c r="AX749" s="12" t="str">
        <f>IFERROR(__xludf.DUMMYFUNCTION("""COMPUTED_VALUE"""),"89009464")</f>
        <v>89009464</v>
      </c>
      <c r="AY749" s="12" t="str">
        <f>IFERROR(__xludf.DUMMYFUNCTION("""COMPUTED_VALUE"""),"3057976476")</f>
        <v>3057976476</v>
      </c>
      <c r="AZ749" s="6" t="str">
        <f>IFERROR(__xludf.DUMMYFUNCTION("""COMPUTED_VALUE"""),"Padre")</f>
        <v>Padre</v>
      </c>
      <c r="BA749" s="6"/>
      <c r="BB749" s="6"/>
      <c r="BC749" s="6"/>
      <c r="BD749" s="12" t="str">
        <f>IFERROR(__xludf.DUMMYFUNCTION("""COMPUTED_VALUE"""),"rod0008")</f>
        <v>rod0008</v>
      </c>
      <c r="BE749" s="6"/>
      <c r="BF749" s="6"/>
      <c r="BG749" s="6">
        <f>IFERROR(__xludf.DUMMYFUNCTION("""COMPUTED_VALUE"""),2028.0)</f>
        <v>2028</v>
      </c>
      <c r="BH749" s="15">
        <f>IFERROR(__xludf.DUMMYFUNCTION("""COMPUTED_VALUE"""),46212.438993055555)</f>
        <v>46212.43899</v>
      </c>
      <c r="BI749" s="6">
        <f>IFERROR(__xludf.DUMMYFUNCTION("""COMPUTED_VALUE"""),750.0)</f>
        <v>750</v>
      </c>
      <c r="BJ749" s="6"/>
      <c r="BK749" s="6"/>
      <c r="BL749" s="6" t="str">
        <f>IFERROR(__xludf.DUMMYFUNCTION("""COMPUTED_VALUE"""),"GISROD0008")</f>
        <v>GISROD0008</v>
      </c>
      <c r="BM749" s="6"/>
      <c r="BN749" s="6"/>
      <c r="BO749" s="6" t="str">
        <f>IFERROR(__xludf.DUMMYFUNCTION("""COMPUTED_VALUE"""),"XC_HS_Voleibol_F")</f>
        <v>XC_HS_Voleibol_F</v>
      </c>
      <c r="BP749" s="6"/>
      <c r="BQ749" s="6" t="str">
        <f>IFERROR(__xludf.DUMMYFUNCTION("""COMPUTED_VALUE"""),"XC_HS_Voleibol_F")</f>
        <v>XC_HS_Voleibol_F</v>
      </c>
      <c r="BR749" s="6" t="str">
        <f>IFERROR(__xludf.DUMMYFUNCTION("""COMPUTED_VALUE"""),"XC_HS_Voleibol_F")</f>
        <v>XC_HS_Voleibol_F</v>
      </c>
      <c r="BS749" s="6"/>
      <c r="BT749" s="6" t="str">
        <f>IFERROR(__xludf.DUMMYFUNCTION("""COMPUTED_VALUE"""),"XC_HS_Voleibol_F")</f>
        <v>XC_HS_Voleibol_F</v>
      </c>
      <c r="BU749" s="6" t="str">
        <f>IFERROR(__xludf.DUMMYFUNCTION("""COMPUTED_VALUE"""),"SI")</f>
        <v>SI</v>
      </c>
      <c r="BV749" s="6" t="str">
        <f>IFERROR(__xludf.DUMMYFUNCTION("""COMPUTED_VALUE"""),"violeta.r2028")</f>
        <v>violeta.r2028</v>
      </c>
      <c r="BW749" s="6"/>
      <c r="BX749" s="6"/>
      <c r="BY749" s="6"/>
      <c r="BZ749" s="6"/>
    </row>
    <row r="750">
      <c r="A750" s="12">
        <f>IFERROR(__xludf.DUMMYFUNCTION("""COMPUTED_VALUE"""),1.092854777E9)</f>
        <v>1092854777</v>
      </c>
      <c r="B750" s="6">
        <f>IFERROR(__xludf.DUMMYFUNCTION("""COMPUTED_VALUE"""),40.0)</f>
        <v>40</v>
      </c>
      <c r="C750" s="6" t="str">
        <f>IFERROR(__xludf.DUMMYFUNCTION("""COMPUTED_VALUE"""),"Ana")</f>
        <v>Ana</v>
      </c>
      <c r="D750" s="6" t="str">
        <f>IFERROR(__xludf.DUMMYFUNCTION("""COMPUTED_VALUE"""),"Sofía")</f>
        <v>Sofía</v>
      </c>
      <c r="E750" s="6" t="str">
        <f>IFERROR(__xludf.DUMMYFUNCTION("""COMPUTED_VALUE"""),"Rodríguez Santoyo")</f>
        <v>Rodríguez Santoyo</v>
      </c>
      <c r="F750" s="6" t="str">
        <f>IFERROR(__xludf.DUMMYFUNCTION("""COMPUTED_VALUE"""),"Quintas de la Castellana Mz A Casa 10 - Av. Centenario 16Nte 61")</f>
        <v>Quintas de la Castellana Mz A Casa 10 - Av. Centenario 16Nte 61</v>
      </c>
      <c r="G750" s="12" t="str">
        <f>IFERROR(__xludf.DUMMYFUNCTION("""COMPUTED_VALUE"""),"2010")</f>
        <v>2010</v>
      </c>
      <c r="H750" s="6" t="str">
        <f>IFERROR(__xludf.DUMMYFUNCTION("""COMPUTED_VALUE"""),"Mayo")</f>
        <v>Mayo</v>
      </c>
      <c r="I750" s="12" t="str">
        <f>IFERROR(__xludf.DUMMYFUNCTION("""COMPUTED_VALUE"""),"13")</f>
        <v>13</v>
      </c>
      <c r="J750" s="6" t="str">
        <f>IFERROR(__xludf.DUMMYFUNCTION("""COMPUTED_VALUE"""),"Armenia")</f>
        <v>Armenia</v>
      </c>
      <c r="K750" s="6" t="str">
        <f>IFERROR(__xludf.DUMMYFUNCTION("""COMPUTED_VALUE"""),"anas.r2028@gi.edu.co")</f>
        <v>anas.r2028@gi.edu.co</v>
      </c>
      <c r="L750" s="6" t="str">
        <f>IFERROR(__xludf.DUMMYFUNCTION("""COMPUTED_VALUE"""),"TI")</f>
        <v>TI</v>
      </c>
      <c r="M750" s="6" t="str">
        <f>IFERROR(__xludf.DUMMYFUNCTION("""COMPUTED_VALUE"""),"Armenia")</f>
        <v>Armenia</v>
      </c>
      <c r="N750" s="6" t="str">
        <f>IFERROR(__xludf.DUMMYFUNCTION("""COMPUTED_VALUE"""),"F")</f>
        <v>F</v>
      </c>
      <c r="O750" s="6" t="str">
        <f>IFERROR(__xludf.DUMMYFUNCTION("""COMPUTED_VALUE"""),"INACTIVE")</f>
        <v>INACTIVE</v>
      </c>
      <c r="P750" s="6"/>
      <c r="Q750" s="6" t="str">
        <f>IFERROR(__xludf.DUMMYFUNCTION("""COMPUTED_VALUE"""),"Armenia")</f>
        <v>Armenia</v>
      </c>
      <c r="R750" s="12" t="str">
        <f>IFERROR(__xludf.DUMMYFUNCTION("""COMPUTED_VALUE"""),"Gire87mu54*")</f>
        <v>Gire87mu54*</v>
      </c>
      <c r="S750" s="6" t="str">
        <f>IFERROR(__xludf.DUMMYFUNCTION("""COMPUTED_VALUE"""),"Rodríguez Santoyo Ana Sofía")</f>
        <v>Rodríguez Santoyo Ana Sofía</v>
      </c>
      <c r="T750" s="6" t="str">
        <f>IFERROR(__xludf.DUMMYFUNCTION("""COMPUTED_VALUE"""),"ESTBELL YAZMÍN SANTOYO ATUESTA")</f>
        <v>ESTBELL YAZMÍN SANTOYO ATUESTA</v>
      </c>
      <c r="U750" s="12" t="str">
        <f>IFERROR(__xludf.DUMMYFUNCTION("""COMPUTED_VALUE"""),"63436760")</f>
        <v>63436760</v>
      </c>
      <c r="V750" s="6">
        <f>IFERROR(__xludf.DUMMYFUNCTION("""COMPUTED_VALUE"""),3.114404609E9)</f>
        <v>3114404609</v>
      </c>
      <c r="W750" s="6" t="str">
        <f>IFERROR(__xludf.DUMMYFUNCTION("""COMPUTED_VALUE"""),"yazminsantoyo@gmail.com")</f>
        <v>yazminsantoyo@gmail.com</v>
      </c>
      <c r="X750" s="12" t="str">
        <f>IFERROR(__xludf.DUMMYFUNCTION("""COMPUTED_VALUE"""),"O+")</f>
        <v>O+</v>
      </c>
      <c r="Y750" s="12" t="str">
        <f>IFERROR(__xludf.DUMMYFUNCTION("""COMPUTED_VALUE"""),"11")</f>
        <v>11</v>
      </c>
      <c r="Z750" s="12">
        <f>IFERROR(__xludf.DUMMYFUNCTION("""COMPUTED_VALUE"""),103093.0)</f>
        <v>103093</v>
      </c>
      <c r="AA750" s="6" t="str">
        <f>IFERROR(__xludf.DUMMYFUNCTION("""COMPUTED_VALUE"""),"OTRA")</f>
        <v>OTRA</v>
      </c>
      <c r="AB750" s="6" t="str">
        <f>IFERROR(__xludf.DUMMYFUNCTION("""COMPUTED_VALUE"""),"Sanidad")</f>
        <v>Sanidad</v>
      </c>
      <c r="AC750" s="6"/>
      <c r="AD750" s="12" t="str">
        <f>IFERROR(__xludf.DUMMYFUNCTION("""COMPUTED_VALUE"""),"11")</f>
        <v>11</v>
      </c>
      <c r="AE750" s="12">
        <f>IFERROR(__xludf.DUMMYFUNCTION("""COMPUTED_VALUE"""),1.345281507E9)</f>
        <v>1345281507</v>
      </c>
      <c r="AF750" s="12" t="str">
        <f>IFERROR(__xludf.DUMMYFUNCTION("""COMPUTED_VALUE"""),"0694232403")</f>
        <v>0694232403</v>
      </c>
      <c r="AG750" s="12" t="str">
        <f>IFERROR(__xludf.DUMMYFUNCTION("""COMPUTED_VALUE"""),"Estbell")</f>
        <v>Estbell</v>
      </c>
      <c r="AH750" s="12" t="str">
        <f>IFERROR(__xludf.DUMMYFUNCTION("""COMPUTED_VALUE"""),"Yazmín")</f>
        <v>Yazmín</v>
      </c>
      <c r="AI750" s="6" t="str">
        <f>IFERROR(__xludf.DUMMYFUNCTION("""COMPUTED_VALUE"""),"Santoyo Atuesta")</f>
        <v>Santoyo Atuesta</v>
      </c>
      <c r="AJ750" s="6" t="str">
        <f>IFERROR(__xludf.DUMMYFUNCTION("""COMPUTED_VALUE"""),"yazminsantoyo@gmail.com")</f>
        <v>yazminsantoyo@gmail.com</v>
      </c>
      <c r="AK750" s="6" t="str">
        <f>IFERROR(__xludf.DUMMYFUNCTION("""COMPUTED_VALUE"""),"Abogado")</f>
        <v>Abogado</v>
      </c>
      <c r="AL750" s="6" t="str">
        <f>IFERROR(__xludf.DUMMYFUNCTION("""COMPUTED_VALUE"""),"Administrar PH")</f>
        <v>Administrar PH</v>
      </c>
      <c r="AM750" s="12">
        <f>IFERROR(__xludf.DUMMYFUNCTION("""COMPUTED_VALUE"""),6.343676E7)</f>
        <v>63436760</v>
      </c>
      <c r="AN750" s="12" t="str">
        <f>IFERROR(__xludf.DUMMYFUNCTION("""COMPUTED_VALUE"""),"3114404609")</f>
        <v>3114404609</v>
      </c>
      <c r="AO750" s="6" t="str">
        <f>IFERROR(__xludf.DUMMYFUNCTION("""COMPUTED_VALUE"""),"Madre")</f>
        <v>Madre</v>
      </c>
      <c r="AP750" s="6" t="str">
        <f>IFERROR(__xludf.DUMMYFUNCTION("""COMPUTED_VALUE"""),"Estudiante(s): Rodríguez Santoyo")</f>
        <v>Estudiante(s): Rodríguez Santoyo</v>
      </c>
      <c r="AQ750" s="6" t="str">
        <f>IFERROR(__xludf.DUMMYFUNCTION("""COMPUTED_VALUE"""),"102122*Gi")</f>
        <v>102122*Gi</v>
      </c>
      <c r="AR750" s="6" t="str">
        <f>IFERROR(__xludf.DUMMYFUNCTION("""COMPUTED_VALUE"""),"José")</f>
        <v>José</v>
      </c>
      <c r="AS750" s="6" t="str">
        <f>IFERROR(__xludf.DUMMYFUNCTION("""COMPUTED_VALUE"""),"Arbey")</f>
        <v>Arbey</v>
      </c>
      <c r="AT750" s="6" t="str">
        <f>IFERROR(__xludf.DUMMYFUNCTION("""COMPUTED_VALUE"""),"Rodríguez")</f>
        <v>Rodríguez</v>
      </c>
      <c r="AU750" s="6" t="str">
        <f>IFERROR(__xludf.DUMMYFUNCTION("""COMPUTED_VALUE"""),"josearbeyr7@gmail.com")</f>
        <v>josearbeyr7@gmail.com</v>
      </c>
      <c r="AV750" s="6" t="str">
        <f>IFERROR(__xludf.DUMMYFUNCTION("""COMPUTED_VALUE"""),"ABOGADO - OFICIAL PENSIONADO")</f>
        <v>ABOGADO - OFICIAL PENSIONADO</v>
      </c>
      <c r="AW750" s="6" t="str">
        <f>IFERROR(__xludf.DUMMYFUNCTION("""COMPUTED_VALUE"""),"INDEPENDIENTE")</f>
        <v>INDEPENDIENTE</v>
      </c>
      <c r="AX750" s="12">
        <f>IFERROR(__xludf.DUMMYFUNCTION("""COMPUTED_VALUE"""),7.964174E7)</f>
        <v>79641740</v>
      </c>
      <c r="AY750" s="12" t="str">
        <f>IFERROR(__xludf.DUMMYFUNCTION("""COMPUTED_VALUE"""),"3113970002")</f>
        <v>3113970002</v>
      </c>
      <c r="AZ750" s="6" t="str">
        <f>IFERROR(__xludf.DUMMYFUNCTION("""COMPUTED_VALUE"""),"Padre")</f>
        <v>Padre</v>
      </c>
      <c r="BA750" s="6"/>
      <c r="BB750" s="6"/>
      <c r="BC750" s="6"/>
      <c r="BD750" s="12" t="str">
        <f>IFERROR(__xludf.DUMMYFUNCTION("""COMPUTED_VALUE"""),"rod0005")</f>
        <v>rod0005</v>
      </c>
      <c r="BE750" s="6" t="str">
        <f>IFERROR(__xludf.DUMMYFUNCTION("""COMPUTED_VALUE"""),"FALTAN FIRMAS")</f>
        <v>FALTAN FIRMAS</v>
      </c>
      <c r="BF750" s="6"/>
      <c r="BG750" s="6">
        <f>IFERROR(__xludf.DUMMYFUNCTION("""COMPUTED_VALUE"""),2028.0)</f>
        <v>2028</v>
      </c>
      <c r="BH750" s="15">
        <f>IFERROR(__xludf.DUMMYFUNCTION("""COMPUTED_VALUE"""),46212.41664351852)</f>
        <v>46212.41664</v>
      </c>
      <c r="BI750" s="6">
        <f>IFERROR(__xludf.DUMMYFUNCTION("""COMPUTED_VALUE"""),751.0)</f>
        <v>751</v>
      </c>
      <c r="BJ750" s="6"/>
      <c r="BK750" s="6"/>
      <c r="BL750" s="6" t="str">
        <f>IFERROR(__xludf.DUMMYFUNCTION("""COMPUTED_VALUE"""),"GISROD0005")</f>
        <v>GISROD0005</v>
      </c>
      <c r="BM750" s="6"/>
      <c r="BN750" s="6"/>
      <c r="BO750" s="6"/>
      <c r="BP750" s="6"/>
      <c r="BQ750" s="6"/>
      <c r="BR750" s="6"/>
      <c r="BS750" s="6"/>
      <c r="BT750" s="6"/>
      <c r="BU750" s="6" t="str">
        <f>IFERROR(__xludf.DUMMYFUNCTION("""COMPUTED_VALUE"""),"SI")</f>
        <v>SI</v>
      </c>
      <c r="BV750" s="6" t="str">
        <f>IFERROR(__xludf.DUMMYFUNCTION("""COMPUTED_VALUE"""),"anas.r2028")</f>
        <v>anas.r2028</v>
      </c>
      <c r="BW750" s="6"/>
      <c r="BX750" s="6"/>
      <c r="BY750" s="6"/>
      <c r="BZ750" s="6"/>
    </row>
    <row r="751">
      <c r="A751" s="12">
        <f>IFERROR(__xludf.DUMMYFUNCTION("""COMPUTED_VALUE"""),1.092854878E9)</f>
        <v>1092854878</v>
      </c>
      <c r="B751" s="6">
        <f>IFERROR(__xludf.DUMMYFUNCTION("""COMPUTED_VALUE"""),41.0)</f>
        <v>41</v>
      </c>
      <c r="C751" s="6" t="str">
        <f>IFERROR(__xludf.DUMMYFUNCTION("""COMPUTED_VALUE"""),"Manuela")</f>
        <v>Manuela</v>
      </c>
      <c r="D751" s="6"/>
      <c r="E751" s="6" t="str">
        <f>IFERROR(__xludf.DUMMYFUNCTION("""COMPUTED_VALUE"""),"Rozo Rocha")</f>
        <v>Rozo Rocha</v>
      </c>
      <c r="F751" s="6" t="str">
        <f>IFERROR(__xludf.DUMMYFUNCTION("""COMPUTED_VALUE"""),"Edificio Zephia Apto 102 - Cra10 No11Nte - 80 La Castellana")</f>
        <v>Edificio Zephia Apto 102 - Cra10 No11Nte - 80 La Castellana</v>
      </c>
      <c r="G751" s="12" t="str">
        <f>IFERROR(__xludf.DUMMYFUNCTION("""COMPUTED_VALUE"""),"2010")</f>
        <v>2010</v>
      </c>
      <c r="H751" s="6" t="str">
        <f>IFERROR(__xludf.DUMMYFUNCTION("""COMPUTED_VALUE"""),"Agosto")</f>
        <v>Agosto</v>
      </c>
      <c r="I751" s="12" t="str">
        <f>IFERROR(__xludf.DUMMYFUNCTION("""COMPUTED_VALUE"""),"17")</f>
        <v>17</v>
      </c>
      <c r="J751" s="6" t="str">
        <f>IFERROR(__xludf.DUMMYFUNCTION("""COMPUTED_VALUE"""),"Armenia")</f>
        <v>Armenia</v>
      </c>
      <c r="K751" s="6" t="str">
        <f>IFERROR(__xludf.DUMMYFUNCTION("""COMPUTED_VALUE"""),"manuela.r2028@gi.edu.co")</f>
        <v>manuela.r2028@gi.edu.co</v>
      </c>
      <c r="L751" s="6" t="str">
        <f>IFERROR(__xludf.DUMMYFUNCTION("""COMPUTED_VALUE"""),"TI")</f>
        <v>TI</v>
      </c>
      <c r="M751" s="6" t="str">
        <f>IFERROR(__xludf.DUMMYFUNCTION("""COMPUTED_VALUE"""),"Armenia")</f>
        <v>Armenia</v>
      </c>
      <c r="N751" s="6" t="str">
        <f>IFERROR(__xludf.DUMMYFUNCTION("""COMPUTED_VALUE"""),"F")</f>
        <v>F</v>
      </c>
      <c r="O751" s="6" t="str">
        <f>IFERROR(__xludf.DUMMYFUNCTION("""COMPUTED_VALUE"""),"INACTIVE")</f>
        <v>INACTIVE</v>
      </c>
      <c r="P751" s="6"/>
      <c r="Q751" s="6" t="str">
        <f>IFERROR(__xludf.DUMMYFUNCTION("""COMPUTED_VALUE"""),"Armenia")</f>
        <v>Armenia</v>
      </c>
      <c r="R751" s="12" t="str">
        <f>IFERROR(__xludf.DUMMYFUNCTION("""COMPUTED_VALUE"""),"Gi4563gfvc*")</f>
        <v>Gi4563gfvc*</v>
      </c>
      <c r="S751" s="6" t="str">
        <f>IFERROR(__xludf.DUMMYFUNCTION("""COMPUTED_VALUE"""),"Rozo Rocha Manuela ")</f>
        <v>Rozo Rocha Manuela </v>
      </c>
      <c r="T751" s="6" t="str">
        <f>IFERROR(__xludf.DUMMYFUNCTION("""COMPUTED_VALUE"""),"CARLOS ARMANDO ROZO MARIN")</f>
        <v>CARLOS ARMANDO ROZO MARIN</v>
      </c>
      <c r="U751" s="12" t="str">
        <f>IFERROR(__xludf.DUMMYFUNCTION("""COMPUTED_VALUE"""),"80425596")</f>
        <v>80425596</v>
      </c>
      <c r="V751" s="6">
        <f>IFERROR(__xludf.DUMMYFUNCTION("""COMPUTED_VALUE"""),3.002151435E9)</f>
        <v>3002151435</v>
      </c>
      <c r="W751" s="6" t="str">
        <f>IFERROR(__xludf.DUMMYFUNCTION("""COMPUTED_VALUE"""),"toto_rozo@hotmail.com")</f>
        <v>toto_rozo@hotmail.com</v>
      </c>
      <c r="X751" s="12" t="str">
        <f>IFERROR(__xludf.DUMMYFUNCTION("""COMPUTED_VALUE"""),"O+")</f>
        <v>O+</v>
      </c>
      <c r="Y751" s="12" t="str">
        <f>IFERROR(__xludf.DUMMYFUNCTION("""COMPUTED_VALUE"""),"11")</f>
        <v>11</v>
      </c>
      <c r="Z751" s="12">
        <f>IFERROR(__xludf.DUMMYFUNCTION("""COMPUTED_VALUE"""),103066.0)</f>
        <v>103066</v>
      </c>
      <c r="AA751" s="6" t="str">
        <f>IFERROR(__xludf.DUMMYFUNCTION("""COMPUTED_VALUE"""),"SURA")</f>
        <v>SURA</v>
      </c>
      <c r="AB751" s="6" t="str">
        <f>IFERROR(__xludf.DUMMYFUNCTION("""COMPUTED_VALUE"""),"EMI")</f>
        <v>EMI</v>
      </c>
      <c r="AC751" s="6"/>
      <c r="AD751" s="12" t="str">
        <f>IFERROR(__xludf.DUMMYFUNCTION("""COMPUTED_VALUE"""),"11")</f>
        <v>11</v>
      </c>
      <c r="AE751" s="12">
        <f>IFERROR(__xludf.DUMMYFUNCTION("""COMPUTED_VALUE"""),1.345281487E9)</f>
        <v>1345281487</v>
      </c>
      <c r="AF751" s="12" t="str">
        <f>IFERROR(__xludf.DUMMYFUNCTION("""COMPUTED_VALUE"""),"0671931379")</f>
        <v>0671931379</v>
      </c>
      <c r="AG751" s="12" t="str">
        <f>IFERROR(__xludf.DUMMYFUNCTION("""COMPUTED_VALUE"""),"Martha")</f>
        <v>Martha</v>
      </c>
      <c r="AH751" s="12" t="str">
        <f>IFERROR(__xludf.DUMMYFUNCTION("""COMPUTED_VALUE"""),"Lucia")</f>
        <v>Lucia</v>
      </c>
      <c r="AI751" s="6" t="str">
        <f>IFERROR(__xludf.DUMMYFUNCTION("""COMPUTED_VALUE"""),"Rocha Jímenez")</f>
        <v>Rocha Jímenez</v>
      </c>
      <c r="AJ751" s="6" t="str">
        <f>IFERROR(__xludf.DUMMYFUNCTION("""COMPUTED_VALUE"""),"maloryr14@yahoo.com")</f>
        <v>maloryr14@yahoo.com</v>
      </c>
      <c r="AK751" s="6" t="str">
        <f>IFERROR(__xludf.DUMMYFUNCTION("""COMPUTED_VALUE"""),"ODONTOLOGA")</f>
        <v>ODONTOLOGA</v>
      </c>
      <c r="AL751" s="6" t="str">
        <f>IFERROR(__xludf.DUMMYFUNCTION("""COMPUTED_VALUE"""),"UNIVERSIDAD ANTONIO NARIÑO")</f>
        <v>UNIVERSIDAD ANTONIO NARIÑO</v>
      </c>
      <c r="AM751" s="12" t="str">
        <f>IFERROR(__xludf.DUMMYFUNCTION("""COMPUTED_VALUE"""),"52187366")</f>
        <v>52187366</v>
      </c>
      <c r="AN751" s="12" t="str">
        <f>IFERROR(__xludf.DUMMYFUNCTION("""COMPUTED_VALUE"""),"3112025043")</f>
        <v>3112025043</v>
      </c>
      <c r="AO751" s="6" t="str">
        <f>IFERROR(__xludf.DUMMYFUNCTION("""COMPUTED_VALUE"""),"Madre")</f>
        <v>Madre</v>
      </c>
      <c r="AP751" s="6" t="str">
        <f>IFERROR(__xludf.DUMMYFUNCTION("""COMPUTED_VALUE"""),"Estudiante(s): Rozo Rocha")</f>
        <v>Estudiante(s): Rozo Rocha</v>
      </c>
      <c r="AQ751" s="6" t="str">
        <f>IFERROR(__xludf.DUMMYFUNCTION("""COMPUTED_VALUE"""),"103066*Gi")</f>
        <v>103066*Gi</v>
      </c>
      <c r="AR751" s="6" t="str">
        <f>IFERROR(__xludf.DUMMYFUNCTION("""COMPUTED_VALUE"""),"Carlos")</f>
        <v>Carlos</v>
      </c>
      <c r="AS751" s="6" t="str">
        <f>IFERROR(__xludf.DUMMYFUNCTION("""COMPUTED_VALUE"""),"Armando")</f>
        <v>Armando</v>
      </c>
      <c r="AT751" s="6" t="str">
        <f>IFERROR(__xludf.DUMMYFUNCTION("""COMPUTED_VALUE"""),"Rozo Marín")</f>
        <v>Rozo Marín</v>
      </c>
      <c r="AU751" s="6" t="str">
        <f>IFERROR(__xludf.DUMMYFUNCTION("""COMPUTED_VALUE"""),"toto_rozo@hotmail.com")</f>
        <v>toto_rozo@hotmail.com</v>
      </c>
      <c r="AV751" s="6" t="str">
        <f>IFERROR(__xludf.DUMMYFUNCTION("""COMPUTED_VALUE"""),"odontologo-endodoncista")</f>
        <v>odontologo-endodoncista</v>
      </c>
      <c r="AW751" s="6" t="str">
        <f>IFERROR(__xludf.DUMMYFUNCTION("""COMPUTED_VALUE"""),"odontologo-endodoncista")</f>
        <v>odontologo-endodoncista</v>
      </c>
      <c r="AX751" s="12" t="str">
        <f>IFERROR(__xludf.DUMMYFUNCTION("""COMPUTED_VALUE"""),"80425596")</f>
        <v>80425596</v>
      </c>
      <c r="AY751" s="12" t="str">
        <f>IFERROR(__xludf.DUMMYFUNCTION("""COMPUTED_VALUE"""),"3002151435")</f>
        <v>3002151435</v>
      </c>
      <c r="AZ751" s="6" t="str">
        <f>IFERROR(__xludf.DUMMYFUNCTION("""COMPUTED_VALUE"""),"Padre")</f>
        <v>Padre</v>
      </c>
      <c r="BA751" s="6"/>
      <c r="BB751" s="6"/>
      <c r="BC751" s="6"/>
      <c r="BD751" s="12" t="str">
        <f>IFERROR(__xludf.DUMMYFUNCTION("""COMPUTED_VALUE"""),"roz0001")</f>
        <v>roz0001</v>
      </c>
      <c r="BE751" s="6" t="str">
        <f>IFERROR(__xludf.DUMMYFUNCTION("""COMPUTED_VALUE"""),"FALTAN FIRMAS")</f>
        <v>FALTAN FIRMAS</v>
      </c>
      <c r="BF751" s="6"/>
      <c r="BG751" s="6">
        <f>IFERROR(__xludf.DUMMYFUNCTION("""COMPUTED_VALUE"""),2028.0)</f>
        <v>2028</v>
      </c>
      <c r="BH751" s="15">
        <f>IFERROR(__xludf.DUMMYFUNCTION("""COMPUTED_VALUE"""),46205.85826388889)</f>
        <v>46205.85826</v>
      </c>
      <c r="BI751" s="6">
        <f>IFERROR(__xludf.DUMMYFUNCTION("""COMPUTED_VALUE"""),752.0)</f>
        <v>752</v>
      </c>
      <c r="BJ751" s="6"/>
      <c r="BK751" s="6"/>
      <c r="BL751" s="6" t="str">
        <f>IFERROR(__xludf.DUMMYFUNCTION("""COMPUTED_VALUE"""),"GISROZ0001")</f>
        <v>GISROZ0001</v>
      </c>
      <c r="BM751" s="6"/>
      <c r="BN751" s="6"/>
      <c r="BO751" s="6"/>
      <c r="BP751" s="6"/>
      <c r="BQ751" s="6"/>
      <c r="BR751" s="6"/>
      <c r="BS751" s="6"/>
      <c r="BT751" s="6"/>
      <c r="BU751" s="6" t="str">
        <f>IFERROR(__xludf.DUMMYFUNCTION("""COMPUTED_VALUE"""),"SI")</f>
        <v>SI</v>
      </c>
      <c r="BV751" s="6" t="str">
        <f>IFERROR(__xludf.DUMMYFUNCTION("""COMPUTED_VALUE"""),"manuela.r2028")</f>
        <v>manuela.r2028</v>
      </c>
      <c r="BW751" s="6"/>
      <c r="BX751" s="6"/>
      <c r="BY751" s="6"/>
      <c r="BZ751" s="6"/>
    </row>
    <row r="752">
      <c r="A752" s="12">
        <f>IFERROR(__xludf.DUMMYFUNCTION("""COMPUTED_VALUE"""),845311.0)</f>
        <v>845311</v>
      </c>
      <c r="B752" s="6">
        <f>IFERROR(__xludf.DUMMYFUNCTION("""COMPUTED_VALUE"""),42.0)</f>
        <v>42</v>
      </c>
      <c r="C752" s="6" t="str">
        <f>IFERROR(__xludf.DUMMYFUNCTION("""COMPUTED_VALUE"""),"Alexander ")</f>
        <v>Alexander </v>
      </c>
      <c r="D752" s="6"/>
      <c r="E752" s="6" t="str">
        <f>IFERROR(__xludf.DUMMYFUNCTION("""COMPUTED_VALUE"""),"Rubiano Zhang")</f>
        <v>Rubiano Zhang</v>
      </c>
      <c r="F752" s="6" t="str">
        <f>IFERROR(__xludf.DUMMYFUNCTION("""COMPUTED_VALUE"""),"Parcelacion Campestre Potosi Casa 30 - Km 4 Via al Valle Calarca La Bella")</f>
        <v>Parcelacion Campestre Potosi Casa 30 - Km 4 Via al Valle Calarca La Bella</v>
      </c>
      <c r="G752" s="12" t="str">
        <f>IFERROR(__xludf.DUMMYFUNCTION("""COMPUTED_VALUE"""),"2010")</f>
        <v>2010</v>
      </c>
      <c r="H752" s="6" t="str">
        <f>IFERROR(__xludf.DUMMYFUNCTION("""COMPUTED_VALUE"""),"Noviembre")</f>
        <v>Noviembre</v>
      </c>
      <c r="I752" s="12" t="str">
        <f>IFERROR(__xludf.DUMMYFUNCTION("""COMPUTED_VALUE"""),"23")</f>
        <v>23</v>
      </c>
      <c r="J752" s="6" t="str">
        <f>IFERROR(__xludf.DUMMYFUNCTION("""COMPUTED_VALUE"""),"Isphana")</f>
        <v>Isphana</v>
      </c>
      <c r="K752" s="6" t="str">
        <f>IFERROR(__xludf.DUMMYFUNCTION("""COMPUTED_VALUE"""),"alexander.r2029@gi.edu.co")</f>
        <v>alexander.r2029@gi.edu.co</v>
      </c>
      <c r="L752" s="6" t="str">
        <f>IFERROR(__xludf.DUMMYFUNCTION("""COMPUTED_VALUE"""),"CE")</f>
        <v>CE</v>
      </c>
      <c r="M752" s="6" t="str">
        <f>IFERROR(__xludf.DUMMYFUNCTION("""COMPUTED_VALUE"""),"Bogotá D.C.")</f>
        <v>Bogotá D.C.</v>
      </c>
      <c r="N752" s="6" t="str">
        <f>IFERROR(__xludf.DUMMYFUNCTION("""COMPUTED_VALUE"""),"M")</f>
        <v>M</v>
      </c>
      <c r="O752" s="6" t="str">
        <f>IFERROR(__xludf.DUMMYFUNCTION("""COMPUTED_VALUE"""),"INACTIVE")</f>
        <v>INACTIVE</v>
      </c>
      <c r="P752" s="6"/>
      <c r="Q752" s="6" t="str">
        <f>IFERROR(__xludf.DUMMYFUNCTION("""COMPUTED_VALUE"""),"Calarcá")</f>
        <v>Calarcá</v>
      </c>
      <c r="R752" s="12" t="str">
        <f>IFERROR(__xludf.DUMMYFUNCTION("""COMPUTED_VALUE"""),"Gierv345hn*")</f>
        <v>Gierv345hn*</v>
      </c>
      <c r="S752" s="6" t="str">
        <f>IFERROR(__xludf.DUMMYFUNCTION("""COMPUTED_VALUE"""),"Rubiano Zhang Alexander  ")</f>
        <v>Rubiano Zhang Alexander  </v>
      </c>
      <c r="T752" s="6" t="str">
        <f>IFERROR(__xludf.DUMMYFUNCTION("""COMPUTED_VALUE"""),"DIEGO RICARDO RUBIANO VALERO")</f>
        <v>DIEGO RICARDO RUBIANO VALERO</v>
      </c>
      <c r="U752" s="12" t="str">
        <f>IFERROR(__xludf.DUMMYFUNCTION("""COMPUTED_VALUE"""),"79508402")</f>
        <v>79508402</v>
      </c>
      <c r="V752" s="6">
        <f>IFERROR(__xludf.DUMMYFUNCTION("""COMPUTED_VALUE"""),3.159251078E9)</f>
        <v>3159251078</v>
      </c>
      <c r="W752" s="6" t="str">
        <f>IFERROR(__xludf.DUMMYFUNCTION("""COMPUTED_VALUE"""),"diegorubiano@icloud.com")</f>
        <v>diegorubiano@icloud.com</v>
      </c>
      <c r="X752" s="12" t="str">
        <f>IFERROR(__xludf.DUMMYFUNCTION("""COMPUTED_VALUE"""),"A+")</f>
        <v>A+</v>
      </c>
      <c r="Y752" s="12" t="str">
        <f>IFERROR(__xludf.DUMMYFUNCTION("""COMPUTED_VALUE"""),"11")</f>
        <v>11</v>
      </c>
      <c r="Z752" s="12">
        <f>IFERROR(__xludf.DUMMYFUNCTION("""COMPUTED_VALUE"""),103813.0)</f>
        <v>103813</v>
      </c>
      <c r="AA752" s="6" t="str">
        <f>IFERROR(__xludf.DUMMYFUNCTION("""COMPUTED_VALUE"""),"SANITAS")</f>
        <v>SANITAS</v>
      </c>
      <c r="AB752" s="6"/>
      <c r="AC752" s="6"/>
      <c r="AD752" s="12" t="str">
        <f>IFERROR(__xludf.DUMMYFUNCTION("""COMPUTED_VALUE"""),"11")</f>
        <v>11</v>
      </c>
      <c r="AE752" s="12">
        <f>IFERROR(__xludf.DUMMYFUNCTION("""COMPUTED_VALUE"""),1.345281906E9)</f>
        <v>1345281906</v>
      </c>
      <c r="AF752" s="12" t="str">
        <f>IFERROR(__xludf.DUMMYFUNCTION("""COMPUTED_VALUE"""),"0650721971")</f>
        <v>0650721971</v>
      </c>
      <c r="AG752" s="12" t="str">
        <f>IFERROR(__xludf.DUMMYFUNCTION("""COMPUTED_VALUE"""),"Qin")</f>
        <v>Qin</v>
      </c>
      <c r="AH752" s="6"/>
      <c r="AI752" s="6" t="str">
        <f>IFERROR(__xludf.DUMMYFUNCTION("""COMPUTED_VALUE"""),"Zhang")</f>
        <v>Zhang</v>
      </c>
      <c r="AJ752" s="6" t="str">
        <f>IFERROR(__xludf.DUMMYFUNCTION("""COMPUTED_VALUE"""),"bobo@asiaelmundo.com")</f>
        <v>bobo@asiaelmundo.com</v>
      </c>
      <c r="AK752" s="6"/>
      <c r="AL752" s="6"/>
      <c r="AM752" s="12" t="str">
        <f>IFERROR(__xludf.DUMMYFUNCTION("""COMPUTED_VALUE"""),"845386")</f>
        <v>845386</v>
      </c>
      <c r="AN752" s="12" t="str">
        <f>IFERROR(__xludf.DUMMYFUNCTION("""COMPUTED_VALUE"""),"3122270416")</f>
        <v>3122270416</v>
      </c>
      <c r="AO752" s="6" t="str">
        <f>IFERROR(__xludf.DUMMYFUNCTION("""COMPUTED_VALUE"""),"Madre")</f>
        <v>Madre</v>
      </c>
      <c r="AP752" s="6" t="str">
        <f>IFERROR(__xludf.DUMMYFUNCTION("""COMPUTED_VALUE"""),"Estudiante(s): Rubiano Zhang")</f>
        <v>Estudiante(s): Rubiano Zhang</v>
      </c>
      <c r="AQ752" s="6" t="str">
        <f>IFERROR(__xludf.DUMMYFUNCTION("""COMPUTED_VALUE"""),"103813*Gi")</f>
        <v>103813*Gi</v>
      </c>
      <c r="AR752" s="6" t="str">
        <f>IFERROR(__xludf.DUMMYFUNCTION("""COMPUTED_VALUE"""),"Diego")</f>
        <v>Diego</v>
      </c>
      <c r="AS752" s="6"/>
      <c r="AT752" s="6" t="str">
        <f>IFERROR(__xludf.DUMMYFUNCTION("""COMPUTED_VALUE"""),"Rubiano")</f>
        <v>Rubiano</v>
      </c>
      <c r="AU752" s="6" t="str">
        <f>IFERROR(__xludf.DUMMYFUNCTION("""COMPUTED_VALUE"""),"diegorubiano@icloud.com")</f>
        <v>diegorubiano@icloud.com</v>
      </c>
      <c r="AV752" s="6"/>
      <c r="AW752" s="6"/>
      <c r="AX752" s="12" t="str">
        <f>IFERROR(__xludf.DUMMYFUNCTION("""COMPUTED_VALUE"""),"79508402")</f>
        <v>79508402</v>
      </c>
      <c r="AY752" s="12" t="str">
        <f>IFERROR(__xludf.DUMMYFUNCTION("""COMPUTED_VALUE"""),"3159251078")</f>
        <v>3159251078</v>
      </c>
      <c r="AZ752" s="6" t="str">
        <f>IFERROR(__xludf.DUMMYFUNCTION("""COMPUTED_VALUE"""),"Padre")</f>
        <v>Padre</v>
      </c>
      <c r="BA752" s="6"/>
      <c r="BB752" s="6"/>
      <c r="BC752" s="6"/>
      <c r="BD752" s="12" t="str">
        <f>IFERROR(__xludf.DUMMYFUNCTION("""COMPUTED_VALUE"""),"rub0002")</f>
        <v>rub0002</v>
      </c>
      <c r="BE752" s="6" t="str">
        <f>IFERROR(__xludf.DUMMYFUNCTION("""COMPUTED_VALUE"""),"FALTAN FIRMAS")</f>
        <v>FALTAN FIRMAS</v>
      </c>
      <c r="BF752" s="6"/>
      <c r="BG752" s="6">
        <f>IFERROR(__xludf.DUMMYFUNCTION("""COMPUTED_VALUE"""),2028.0)</f>
        <v>2028</v>
      </c>
      <c r="BH752" s="15">
        <f>IFERROR(__xludf.DUMMYFUNCTION("""COMPUTED_VALUE"""),46211.8984837963)</f>
        <v>46211.89848</v>
      </c>
      <c r="BI752" s="6">
        <f>IFERROR(__xludf.DUMMYFUNCTION("""COMPUTED_VALUE"""),753.0)</f>
        <v>753</v>
      </c>
      <c r="BJ752" s="6"/>
      <c r="BK752" s="6"/>
      <c r="BL752" s="6" t="str">
        <f>IFERROR(__xludf.DUMMYFUNCTION("""COMPUTED_VALUE"""),"GISRUB0002")</f>
        <v>GISRUB0002</v>
      </c>
      <c r="BM752" s="6"/>
      <c r="BN752" s="6"/>
      <c r="BO752" s="6"/>
      <c r="BP752" s="6"/>
      <c r="BQ752" s="6"/>
      <c r="BR752" s="6"/>
      <c r="BS752" s="6" t="str">
        <f>IFERROR(__xludf.DUMMYFUNCTION("""COMPUTED_VALUE"""),"XC_HS_BandaInside")</f>
        <v>XC_HS_BandaInside</v>
      </c>
      <c r="BT752" s="6"/>
      <c r="BU752" s="6" t="str">
        <f>IFERROR(__xludf.DUMMYFUNCTION("""COMPUTED_VALUE"""),"NO")</f>
        <v>NO</v>
      </c>
      <c r="BV752" s="6" t="str">
        <f>IFERROR(__xludf.DUMMYFUNCTION("""COMPUTED_VALUE"""),"alexander.r2029")</f>
        <v>alexander.r2029</v>
      </c>
      <c r="BW752" s="6"/>
      <c r="BX752" s="6"/>
      <c r="BY752" s="6"/>
      <c r="BZ752" s="6"/>
    </row>
    <row r="753">
      <c r="A753" s="12">
        <f>IFERROR(__xludf.DUMMYFUNCTION("""COMPUTED_VALUE"""),1.092854425E9)</f>
        <v>1092854425</v>
      </c>
      <c r="B753" s="6">
        <f>IFERROR(__xludf.DUMMYFUNCTION("""COMPUTED_VALUE"""),43.0)</f>
        <v>43</v>
      </c>
      <c r="C753" s="6" t="str">
        <f>IFERROR(__xludf.DUMMYFUNCTION("""COMPUTED_VALUE"""),"Pablo")</f>
        <v>Pablo</v>
      </c>
      <c r="D753" s="6"/>
      <c r="E753" s="6" t="str">
        <f>IFERROR(__xludf.DUMMYFUNCTION("""COMPUTED_VALUE"""),"Sáchica Suárez")</f>
        <v>Sáchica Suárez</v>
      </c>
      <c r="F753" s="6" t="str">
        <f>IFERROR(__xludf.DUMMYFUNCTION("""COMPUTED_VALUE"""),"Colina Del Parque Casa F3 - Cra 11 9Nte - 01 La Castellana")</f>
        <v>Colina Del Parque Casa F3 - Cra 11 9Nte - 01 La Castellana</v>
      </c>
      <c r="G753" s="12" t="str">
        <f>IFERROR(__xludf.DUMMYFUNCTION("""COMPUTED_VALUE"""),"2009")</f>
        <v>2009</v>
      </c>
      <c r="H753" s="6" t="str">
        <f>IFERROR(__xludf.DUMMYFUNCTION("""COMPUTED_VALUE"""),"Noviembre")</f>
        <v>Noviembre</v>
      </c>
      <c r="I753" s="12" t="str">
        <f>IFERROR(__xludf.DUMMYFUNCTION("""COMPUTED_VALUE"""),"12")</f>
        <v>12</v>
      </c>
      <c r="J753" s="6" t="str">
        <f>IFERROR(__xludf.DUMMYFUNCTION("""COMPUTED_VALUE"""),"Armenia")</f>
        <v>Armenia</v>
      </c>
      <c r="K753" s="6" t="str">
        <f>IFERROR(__xludf.DUMMYFUNCTION("""COMPUTED_VALUE"""),"pablo.s2028@gi.edu.co")</f>
        <v>pablo.s2028@gi.edu.co</v>
      </c>
      <c r="L753" s="6" t="str">
        <f>IFERROR(__xludf.DUMMYFUNCTION("""COMPUTED_VALUE"""),"TI")</f>
        <v>TI</v>
      </c>
      <c r="M753" s="6" t="str">
        <f>IFERROR(__xludf.DUMMYFUNCTION("""COMPUTED_VALUE"""),"Armenia")</f>
        <v>Armenia</v>
      </c>
      <c r="N753" s="6" t="str">
        <f>IFERROR(__xludf.DUMMYFUNCTION("""COMPUTED_VALUE"""),"M")</f>
        <v>M</v>
      </c>
      <c r="O753" s="6" t="str">
        <f>IFERROR(__xludf.DUMMYFUNCTION("""COMPUTED_VALUE"""),"INACTIVE")</f>
        <v>INACTIVE</v>
      </c>
      <c r="P753" s="6"/>
      <c r="Q753" s="6" t="str">
        <f>IFERROR(__xludf.DUMMYFUNCTION("""COMPUTED_VALUE"""),"Armenia")</f>
        <v>Armenia</v>
      </c>
      <c r="R753" s="12" t="str">
        <f>IFERROR(__xludf.DUMMYFUNCTION("""COMPUTED_VALUE"""),"Gi21284889*")</f>
        <v>Gi21284889*</v>
      </c>
      <c r="S753" s="6" t="str">
        <f>IFERROR(__xludf.DUMMYFUNCTION("""COMPUTED_VALUE"""),"Sáchica Suárez Pablo ")</f>
        <v>Sáchica Suárez Pablo </v>
      </c>
      <c r="T753" s="6" t="str">
        <f>IFERROR(__xludf.DUMMYFUNCTION("""COMPUTED_VALUE"""),"SONIA CLARENA SUÁREZ TABARES")</f>
        <v>SONIA CLARENA SUÁREZ TABARES</v>
      </c>
      <c r="U753" s="12" t="str">
        <f>IFERROR(__xludf.DUMMYFUNCTION("""COMPUTED_VALUE"""),"41943489")</f>
        <v>41943489</v>
      </c>
      <c r="V753" s="6">
        <f>IFERROR(__xludf.DUMMYFUNCTION("""COMPUTED_VALUE"""),3.113679673E9)</f>
        <v>3113679673</v>
      </c>
      <c r="W753" s="6" t="str">
        <f>IFERROR(__xludf.DUMMYFUNCTION("""COMPUTED_VALUE"""),"soniasuarez@abbi.com.co")</f>
        <v>soniasuarez@abbi.com.co</v>
      </c>
      <c r="X753" s="12" t="str">
        <f>IFERROR(__xludf.DUMMYFUNCTION("""COMPUTED_VALUE"""),"O+")</f>
        <v>O+</v>
      </c>
      <c r="Y753" s="12" t="str">
        <f>IFERROR(__xludf.DUMMYFUNCTION("""COMPUTED_VALUE"""),"11")</f>
        <v>11</v>
      </c>
      <c r="Z753" s="12">
        <f>IFERROR(__xludf.DUMMYFUNCTION("""COMPUTED_VALUE"""),102690.0)</f>
        <v>102690</v>
      </c>
      <c r="AA753" s="6" t="str">
        <f>IFERROR(__xludf.DUMMYFUNCTION("""COMPUTED_VALUE"""),"SURA")</f>
        <v>SURA</v>
      </c>
      <c r="AB753" s="6" t="str">
        <f>IFERROR(__xludf.DUMMYFUNCTION("""COMPUTED_VALUE"""),"EMI")</f>
        <v>EMI</v>
      </c>
      <c r="AC753" s="12" t="str">
        <f>IFERROR(__xludf.DUMMYFUNCTION("""COMPUTED_VALUE"""),"A LOS AKAROS y A LOS GATOS")</f>
        <v>A LOS AKAROS y A LOS GATOS</v>
      </c>
      <c r="AD753" s="12" t="str">
        <f>IFERROR(__xludf.DUMMYFUNCTION("""COMPUTED_VALUE"""),"11")</f>
        <v>11</v>
      </c>
      <c r="AE753" s="12">
        <f>IFERROR(__xludf.DUMMYFUNCTION("""COMPUTED_VALUE"""),1.345281349E9)</f>
        <v>1345281349</v>
      </c>
      <c r="AF753" s="12" t="str">
        <f>IFERROR(__xludf.DUMMYFUNCTION("""COMPUTED_VALUE"""),"0672780739")</f>
        <v>0672780739</v>
      </c>
      <c r="AG753" s="12" t="str">
        <f>IFERROR(__xludf.DUMMYFUNCTION("""COMPUTED_VALUE"""),"Sonia")</f>
        <v>Sonia</v>
      </c>
      <c r="AH753" s="12" t="str">
        <f>IFERROR(__xludf.DUMMYFUNCTION("""COMPUTED_VALUE"""),"Clarena")</f>
        <v>Clarena</v>
      </c>
      <c r="AI753" s="6" t="str">
        <f>IFERROR(__xludf.DUMMYFUNCTION("""COMPUTED_VALUE"""),"Suárez Tabares")</f>
        <v>Suárez Tabares</v>
      </c>
      <c r="AJ753" s="6" t="str">
        <f>IFERROR(__xludf.DUMMYFUNCTION("""COMPUTED_VALUE"""),"soniasuarez@issa.com.co")</f>
        <v>soniasuarez@issa.com.co</v>
      </c>
      <c r="AK753" s="6" t="str">
        <f>IFERROR(__xludf.DUMMYFUNCTION("""COMPUTED_VALUE"""),"INGENIERA INDUSTRIAL")</f>
        <v>INGENIERA INDUSTRIAL</v>
      </c>
      <c r="AL753" s="6" t="str">
        <f>IFERROR(__xludf.DUMMYFUNCTION("""COMPUTED_VALUE"""),"ABBI SAS")</f>
        <v>ABBI SAS</v>
      </c>
      <c r="AM753" s="12" t="str">
        <f>IFERROR(__xludf.DUMMYFUNCTION("""COMPUTED_VALUE"""),"41943489")</f>
        <v>41943489</v>
      </c>
      <c r="AN753" s="12" t="str">
        <f>IFERROR(__xludf.DUMMYFUNCTION("""COMPUTED_VALUE"""),"3113679673")</f>
        <v>3113679673</v>
      </c>
      <c r="AO753" s="6" t="str">
        <f>IFERROR(__xludf.DUMMYFUNCTION("""COMPUTED_VALUE"""),"Madre")</f>
        <v>Madre</v>
      </c>
      <c r="AP753" s="6" t="str">
        <f>IFERROR(__xludf.DUMMYFUNCTION("""COMPUTED_VALUE"""),"Estudiante(s): Sáchica Suárez")</f>
        <v>Estudiante(s): Sáchica Suárez</v>
      </c>
      <c r="AQ753" s="6" t="str">
        <f>IFERROR(__xludf.DUMMYFUNCTION("""COMPUTED_VALUE"""),"102690*Gi")</f>
        <v>102690*Gi</v>
      </c>
      <c r="AR753" s="6" t="str">
        <f>IFERROR(__xludf.DUMMYFUNCTION("""COMPUTED_VALUE"""),"Fredi")</f>
        <v>Fredi</v>
      </c>
      <c r="AS753" s="6" t="str">
        <f>IFERROR(__xludf.DUMMYFUNCTION("""COMPUTED_VALUE"""),"Yezid")</f>
        <v>Yezid</v>
      </c>
      <c r="AT753" s="6" t="str">
        <f>IFERROR(__xludf.DUMMYFUNCTION("""COMPUTED_VALUE"""),"Sáchica Solano")</f>
        <v>Sáchica Solano</v>
      </c>
      <c r="AU753" s="6" t="str">
        <f>IFERROR(__xludf.DUMMYFUNCTION("""COMPUTED_VALUE"""),"fsachica@issa.com.co")</f>
        <v>fsachica@issa.com.co</v>
      </c>
      <c r="AV753" s="6" t="str">
        <f>IFERROR(__xludf.DUMMYFUNCTION("""COMPUTED_VALUE"""),"Ingeniero Civil")</f>
        <v>Ingeniero Civil</v>
      </c>
      <c r="AW753" s="6" t="str">
        <f>IFERROR(__xludf.DUMMYFUNCTION("""COMPUTED_VALUE"""),"Abbi sas")</f>
        <v>Abbi sas</v>
      </c>
      <c r="AX753" s="12" t="str">
        <f>IFERROR(__xludf.DUMMYFUNCTION("""COMPUTED_VALUE"""),"80500996")</f>
        <v>80500996</v>
      </c>
      <c r="AY753" s="12" t="str">
        <f>IFERROR(__xludf.DUMMYFUNCTION("""COMPUTED_VALUE"""),"3216411108")</f>
        <v>3216411108</v>
      </c>
      <c r="AZ753" s="6" t="str">
        <f>IFERROR(__xludf.DUMMYFUNCTION("""COMPUTED_VALUE"""),"Padre")</f>
        <v>Padre</v>
      </c>
      <c r="BA753" s="6"/>
      <c r="BB753" s="6"/>
      <c r="BC753" s="6"/>
      <c r="BD753" s="12" t="str">
        <f>IFERROR(__xludf.DUMMYFUNCTION("""COMPUTED_VALUE"""),"sch0001")</f>
        <v>sch0001</v>
      </c>
      <c r="BE753" s="6" t="str">
        <f>IFERROR(__xludf.DUMMYFUNCTION("""COMPUTED_VALUE"""),"FALTAN FIRMAS")</f>
        <v>FALTAN FIRMAS</v>
      </c>
      <c r="BF753" s="6"/>
      <c r="BG753" s="6">
        <f>IFERROR(__xludf.DUMMYFUNCTION("""COMPUTED_VALUE"""),2028.0)</f>
        <v>2028</v>
      </c>
      <c r="BH753" s="15">
        <f>IFERROR(__xludf.DUMMYFUNCTION("""COMPUTED_VALUE"""),46210.99773148148)</f>
        <v>46210.99773</v>
      </c>
      <c r="BI753" s="6">
        <f>IFERROR(__xludf.DUMMYFUNCTION("""COMPUTED_VALUE"""),754.0)</f>
        <v>754</v>
      </c>
      <c r="BJ753" s="6" t="str">
        <f>IFERROR(__xludf.DUMMYFUNCTION("""COMPUTED_VALUE"""),"DANE/SIMAT: Trastorno de lenguaje")</f>
        <v>DANE/SIMAT: Trastorno de lenguaje</v>
      </c>
      <c r="BK753" s="6"/>
      <c r="BL753" s="6" t="str">
        <f>IFERROR(__xludf.DUMMYFUNCTION("""COMPUTED_VALUE"""),"GISSCH0001")</f>
        <v>GISSCH0001</v>
      </c>
      <c r="BM753" s="6"/>
      <c r="BN753" s="6"/>
      <c r="BO753" s="6" t="str">
        <f>IFERROR(__xludf.DUMMYFUNCTION("""COMPUTED_VALUE"""),"XC_HS_Futbol_M")</f>
        <v>XC_HS_Futbol_M</v>
      </c>
      <c r="BP753" s="6"/>
      <c r="BQ753" s="6" t="str">
        <f>IFERROR(__xludf.DUMMYFUNCTION("""COMPUTED_VALUE"""),"XC_HS_Futbol_M")</f>
        <v>XC_HS_Futbol_M</v>
      </c>
      <c r="BR753" s="6" t="str">
        <f>IFERROR(__xludf.DUMMYFUNCTION("""COMPUTED_VALUE"""),"XC_HS_Futbol_M")</f>
        <v>XC_HS_Futbol_M</v>
      </c>
      <c r="BS753" s="6"/>
      <c r="BT753" s="6" t="str">
        <f>IFERROR(__xludf.DUMMYFUNCTION("""COMPUTED_VALUE"""),"XC_HS_Futbol_M")</f>
        <v>XC_HS_Futbol_M</v>
      </c>
      <c r="BU753" s="6" t="str">
        <f>IFERROR(__xludf.DUMMYFUNCTION("""COMPUTED_VALUE"""),"SI")</f>
        <v>SI</v>
      </c>
      <c r="BV753" s="6" t="str">
        <f>IFERROR(__xludf.DUMMYFUNCTION("""COMPUTED_VALUE"""),"pablo.s2028")</f>
        <v>pablo.s2028</v>
      </c>
      <c r="BW753" s="6"/>
      <c r="BX753" s="6"/>
      <c r="BY753" s="6"/>
      <c r="BZ753" s="6"/>
    </row>
    <row r="754">
      <c r="A754" s="12" t="str">
        <f>IFERROR(__xludf.DUMMYFUNCTION("""COMPUTED_VALUE"""),"1031425046")</f>
        <v>1031425046</v>
      </c>
      <c r="B754" s="6">
        <f>IFERROR(__xludf.DUMMYFUNCTION("""COMPUTED_VALUE"""),44.0)</f>
        <v>44</v>
      </c>
      <c r="C754" s="6" t="str">
        <f>IFERROR(__xludf.DUMMYFUNCTION("""COMPUTED_VALUE"""),"Esteban")</f>
        <v>Esteban</v>
      </c>
      <c r="D754" s="6"/>
      <c r="E754" s="6" t="str">
        <f>IFERROR(__xludf.DUMMYFUNCTION("""COMPUTED_VALUE"""),"Salazar Cristancho")</f>
        <v>Salazar Cristancho</v>
      </c>
      <c r="F754" s="6" t="str">
        <f>IFERROR(__xludf.DUMMYFUNCTION("""COMPUTED_VALUE"""),"Condomino Rancho la Soledad Km 1 via Armenia - Montenegro - Rancho la Soledad")</f>
        <v>Condomino Rancho la Soledad Km 1 via Armenia - Montenegro - Rancho la Soledad</v>
      </c>
      <c r="G754" s="12">
        <f>IFERROR(__xludf.DUMMYFUNCTION("""COMPUTED_VALUE"""),2010.0)</f>
        <v>2010</v>
      </c>
      <c r="H754" s="12" t="str">
        <f>IFERROR(__xludf.DUMMYFUNCTION("""COMPUTED_VALUE"""),"Abril")</f>
        <v>Abril</v>
      </c>
      <c r="I754" s="12">
        <f>IFERROR(__xludf.DUMMYFUNCTION("""COMPUTED_VALUE"""),16.0)</f>
        <v>16</v>
      </c>
      <c r="J754" s="6"/>
      <c r="K754" s="12" t="str">
        <f>IFERROR(__xludf.DUMMYFUNCTION("""COMPUTED_VALUE"""),"esteban.s2028@gi.edu.co")</f>
        <v>esteban.s2028@gi.edu.co</v>
      </c>
      <c r="L754" s="6" t="str">
        <f>IFERROR(__xludf.DUMMYFUNCTION("""COMPUTED_VALUE"""),"TI")</f>
        <v>TI</v>
      </c>
      <c r="M754" s="6" t="str">
        <f>IFERROR(__xludf.DUMMYFUNCTION("""COMPUTED_VALUE"""),"Bogotá D.C.")</f>
        <v>Bogotá D.C.</v>
      </c>
      <c r="N754" s="6" t="str">
        <f>IFERROR(__xludf.DUMMYFUNCTION("""COMPUTED_VALUE"""),"M")</f>
        <v>M</v>
      </c>
      <c r="O754" s="6" t="str">
        <f>IFERROR(__xludf.DUMMYFUNCTION("""COMPUTED_VALUE"""),"ACTIVE")</f>
        <v>ACTIVE</v>
      </c>
      <c r="P754" s="6"/>
      <c r="Q754" s="6"/>
      <c r="R754" s="12" t="str">
        <f>IFERROR(__xludf.DUMMYFUNCTION("""COMPUTED_VALUE"""),"GiV6Pq4Y*")</f>
        <v>GiV6Pq4Y*</v>
      </c>
      <c r="S754" s="6" t="str">
        <f>IFERROR(__xludf.DUMMYFUNCTION("""COMPUTED_VALUE"""),"Salazar Cristancho Esteban ")</f>
        <v>Salazar Cristancho Esteban </v>
      </c>
      <c r="T754" s="6" t="str">
        <f>IFERROR(__xludf.DUMMYFUNCTION("""COMPUTED_VALUE"""),"JAVIER EDUARDO SALAZAR ZAPATA")</f>
        <v>JAVIER EDUARDO SALAZAR ZAPATA</v>
      </c>
      <c r="U754" s="12" t="str">
        <f>IFERROR(__xludf.DUMMYFUNCTION("""COMPUTED_VALUE"""),"79379642")</f>
        <v>79379642</v>
      </c>
      <c r="V754" s="6">
        <f>IFERROR(__xludf.DUMMYFUNCTION("""COMPUTED_VALUE"""),3.118852299E9)</f>
        <v>3118852299</v>
      </c>
      <c r="W754" s="6" t="str">
        <f>IFERROR(__xludf.DUMMYFUNCTION("""COMPUTED_VALUE"""),"javiersalazarz@gmail.com")</f>
        <v>javiersalazarz@gmail.com</v>
      </c>
      <c r="X754" s="12" t="str">
        <f>IFERROR(__xludf.DUMMYFUNCTION("""COMPUTED_VALUE"""),"O+")</f>
        <v>O+</v>
      </c>
      <c r="Y754" s="12" t="str">
        <f>IFERROR(__xludf.DUMMYFUNCTION("""COMPUTED_VALUE"""),"11")</f>
        <v>11</v>
      </c>
      <c r="Z754" s="6">
        <f>IFERROR(__xludf.DUMMYFUNCTION("""COMPUTED_VALUE"""),120619.0)</f>
        <v>120619</v>
      </c>
      <c r="AA754" s="6" t="str">
        <f>IFERROR(__xludf.DUMMYFUNCTION("""COMPUTED_VALUE"""),"COMPENSAR")</f>
        <v>COMPENSAR</v>
      </c>
      <c r="AB754" s="6"/>
      <c r="AC754" s="6"/>
      <c r="AD754" s="12" t="str">
        <f>IFERROR(__xludf.DUMMYFUNCTION("""COMPUTED_VALUE"""),"11")</f>
        <v>11</v>
      </c>
      <c r="AE754" s="12" t="str">
        <f>IFERROR(__xludf.DUMMYFUNCTION("""COMPUTED_VALUE"""),"1345282618")</f>
        <v>1345282618</v>
      </c>
      <c r="AF754" s="6"/>
      <c r="AG754" s="12" t="str">
        <f>IFERROR(__xludf.DUMMYFUNCTION("""COMPUTED_VALUE"""),"Livet")</f>
        <v>Livet</v>
      </c>
      <c r="AH754" s="12" t="str">
        <f>IFERROR(__xludf.DUMMYFUNCTION("""COMPUTED_VALUE"""),"Rocío")</f>
        <v>Rocío</v>
      </c>
      <c r="AI754" s="6" t="str">
        <f>IFERROR(__xludf.DUMMYFUNCTION("""COMPUTED_VALUE"""),"Cristancho González")</f>
        <v>Cristancho González</v>
      </c>
      <c r="AJ754" s="6" t="str">
        <f>IFERROR(__xludf.DUMMYFUNCTION("""COMPUTED_VALUE"""),"livetcristancho@gmail.com")</f>
        <v>livetcristancho@gmail.com</v>
      </c>
      <c r="AK754" s="6" t="str">
        <f>IFERROR(__xludf.DUMMYFUNCTION("""COMPUTED_VALUE"""),"Terapeuta Ocupacional ")</f>
        <v>Terapeuta Ocupacional </v>
      </c>
      <c r="AL754" s="6"/>
      <c r="AM754" s="12" t="str">
        <f>IFERROR(__xludf.DUMMYFUNCTION("""COMPUTED_VALUE"""),"39751545")</f>
        <v>39751545</v>
      </c>
      <c r="AN754" s="12" t="str">
        <f>IFERROR(__xludf.DUMMYFUNCTION("""COMPUTED_VALUE"""),"3118852299")</f>
        <v>3118852299</v>
      </c>
      <c r="AO754" s="6" t="str">
        <f>IFERROR(__xludf.DUMMYFUNCTION("""COMPUTED_VALUE"""),"Madre")</f>
        <v>Madre</v>
      </c>
      <c r="AP754" s="6" t="str">
        <f>IFERROR(__xludf.DUMMYFUNCTION("""COMPUTED_VALUE"""),"Estudiante(s): Salazar Cristancho")</f>
        <v>Estudiante(s): Salazar Cristancho</v>
      </c>
      <c r="AQ754" s="6" t="str">
        <f>IFERROR(__xludf.DUMMYFUNCTION("""COMPUTED_VALUE"""),"120619*Gi")</f>
        <v>120619*Gi</v>
      </c>
      <c r="AR754" s="6" t="str">
        <f>IFERROR(__xludf.DUMMYFUNCTION("""COMPUTED_VALUE"""),"Javier")</f>
        <v>Javier</v>
      </c>
      <c r="AS754" s="6" t="str">
        <f>IFERROR(__xludf.DUMMYFUNCTION("""COMPUTED_VALUE"""),"Eduardo")</f>
        <v>Eduardo</v>
      </c>
      <c r="AT754" s="6" t="str">
        <f>IFERROR(__xludf.DUMMYFUNCTION("""COMPUTED_VALUE"""),"Salazar Zapata")</f>
        <v>Salazar Zapata</v>
      </c>
      <c r="AU754" s="6" t="str">
        <f>IFERROR(__xludf.DUMMYFUNCTION("""COMPUTED_VALUE"""),"javiersalazarz@gmail.com")</f>
        <v>javiersalazarz@gmail.com</v>
      </c>
      <c r="AV754" s="6" t="str">
        <f>IFERROR(__xludf.DUMMYFUNCTION("""COMPUTED_VALUE"""),"Ingeniero de Petroleos")</f>
        <v>Ingeniero de Petroleos</v>
      </c>
      <c r="AW754" s="6"/>
      <c r="AX754" s="12" t="str">
        <f>IFERROR(__xludf.DUMMYFUNCTION("""COMPUTED_VALUE"""),"79379642")</f>
        <v>79379642</v>
      </c>
      <c r="AY754" s="6">
        <f>IFERROR(__xludf.DUMMYFUNCTION("""COMPUTED_VALUE"""),3.118852299E9)</f>
        <v>3118852299</v>
      </c>
      <c r="AZ754" s="6" t="str">
        <f>IFERROR(__xludf.DUMMYFUNCTION("""COMPUTED_VALUE"""),"Padre")</f>
        <v>Padre</v>
      </c>
      <c r="BA754" s="6"/>
      <c r="BB754" s="6"/>
      <c r="BC754" s="6"/>
      <c r="BD754" s="12" t="str">
        <f>IFERROR(__xludf.DUMMYFUNCTION("""COMPUTED_VALUE"""),"sal0022")</f>
        <v>sal0022</v>
      </c>
      <c r="BE754" s="6" t="str">
        <f>IFERROR(__xludf.DUMMYFUNCTION("""COMPUTED_VALUE"""),"NUEVO(A)")</f>
        <v>NUEVO(A)</v>
      </c>
      <c r="BF754" s="6"/>
      <c r="BG754" s="6">
        <f>IFERROR(__xludf.DUMMYFUNCTION("""COMPUTED_VALUE"""),2028.0)</f>
        <v>2028</v>
      </c>
      <c r="BH754" s="15">
        <f>IFERROR(__xludf.DUMMYFUNCTION("""COMPUTED_VALUE"""),46194.40405092593)</f>
        <v>46194.40405</v>
      </c>
      <c r="BI754" s="6">
        <f>IFERROR(__xludf.DUMMYFUNCTION("""COMPUTED_VALUE"""),755.0)</f>
        <v>755</v>
      </c>
      <c r="BJ754" s="6"/>
      <c r="BK754" s="6"/>
      <c r="BL754" s="6" t="str">
        <f>IFERROR(__xludf.DUMMYFUNCTION("""COMPUTED_VALUE"""),"GISSAL0022")</f>
        <v>GISSAL0022</v>
      </c>
      <c r="BM754" s="6"/>
      <c r="BN754" s="6"/>
      <c r="BO754" s="6" t="str">
        <f>IFERROR(__xludf.DUMMYFUNCTION("""COMPUTED_VALUE"""),"XC_SEC_Basquetbol")</f>
        <v>XC_SEC_Basquetbol</v>
      </c>
      <c r="BP754" s="6"/>
      <c r="BQ754" s="6" t="str">
        <f>IFERROR(__xludf.DUMMYFUNCTION("""COMPUTED_VALUE"""),"XC_SEC_Basquetbol")</f>
        <v>XC_SEC_Basquetbol</v>
      </c>
      <c r="BR754" s="6" t="str">
        <f>IFERROR(__xludf.DUMMYFUNCTION("""COMPUTED_VALUE"""),"XC_SEC_Basquetbol")</f>
        <v>XC_SEC_Basquetbol</v>
      </c>
      <c r="BS754" s="6"/>
      <c r="BT754" s="6" t="str">
        <f>IFERROR(__xludf.DUMMYFUNCTION("""COMPUTED_VALUE"""),"XC_SEC_Basquetbol")</f>
        <v>XC_SEC_Basquetbol</v>
      </c>
      <c r="BU754" s="6" t="str">
        <f>IFERROR(__xludf.DUMMYFUNCTION("""COMPUTED_VALUE"""),"SI")</f>
        <v>SI</v>
      </c>
      <c r="BV754" s="12" t="str">
        <f>IFERROR(__xludf.DUMMYFUNCTION("""COMPUTED_VALUE"""),"esteban.s2028")</f>
        <v>esteban.s2028</v>
      </c>
      <c r="BW754" s="6"/>
      <c r="BX754" s="6"/>
      <c r="BY754" s="6"/>
      <c r="BZ754" s="6"/>
    </row>
    <row r="755">
      <c r="A755" s="12">
        <f>IFERROR(__xludf.DUMMYFUNCTION("""COMPUTED_VALUE"""),1.091204822E9)</f>
        <v>1091204822</v>
      </c>
      <c r="B755" s="6">
        <f>IFERROR(__xludf.DUMMYFUNCTION("""COMPUTED_VALUE"""),45.0)</f>
        <v>45</v>
      </c>
      <c r="C755" s="6" t="str">
        <f>IFERROR(__xludf.DUMMYFUNCTION("""COMPUTED_VALUE"""),"Manuela")</f>
        <v>Manuela</v>
      </c>
      <c r="D755" s="6" t="str">
        <f>IFERROR(__xludf.DUMMYFUNCTION("""COMPUTED_VALUE"""),"Valeria")</f>
        <v>Valeria</v>
      </c>
      <c r="E755" s="6" t="str">
        <f>IFERROR(__xludf.DUMMYFUNCTION("""COMPUTED_VALUE"""),"Sierra Gómez")</f>
        <v>Sierra Gómez</v>
      </c>
      <c r="F755" s="6" t="str">
        <f>IFERROR(__xludf.DUMMYFUNCTION("""COMPUTED_VALUE"""),"Conjunto Ecológico San Miguel Casa 40 Vereda el Congal")</f>
        <v>Conjunto Ecológico San Miguel Casa 40 Vereda el Congal</v>
      </c>
      <c r="G755" s="12" t="str">
        <f>IFERROR(__xludf.DUMMYFUNCTION("""COMPUTED_VALUE"""),"2009")</f>
        <v>2009</v>
      </c>
      <c r="H755" s="6" t="str">
        <f>IFERROR(__xludf.DUMMYFUNCTION("""COMPUTED_VALUE"""),"Diciembre")</f>
        <v>Diciembre</v>
      </c>
      <c r="I755" s="12" t="str">
        <f>IFERROR(__xludf.DUMMYFUNCTION("""COMPUTED_VALUE"""),"20")</f>
        <v>20</v>
      </c>
      <c r="J755" s="6" t="str">
        <f>IFERROR(__xludf.DUMMYFUNCTION("""COMPUTED_VALUE"""),"Circasia")</f>
        <v>Circasia</v>
      </c>
      <c r="K755" s="6" t="str">
        <f>IFERROR(__xludf.DUMMYFUNCTION("""COMPUTED_VALUE"""),"manuela.s2028@gi.edu.co")</f>
        <v>manuela.s2028@gi.edu.co</v>
      </c>
      <c r="L755" s="6" t="str">
        <f>IFERROR(__xludf.DUMMYFUNCTION("""COMPUTED_VALUE"""),"TI")</f>
        <v>TI</v>
      </c>
      <c r="M755" s="6" t="str">
        <f>IFERROR(__xludf.DUMMYFUNCTION("""COMPUTED_VALUE"""),"Armenia")</f>
        <v>Armenia</v>
      </c>
      <c r="N755" s="6" t="str">
        <f>IFERROR(__xludf.DUMMYFUNCTION("""COMPUTED_VALUE"""),"F")</f>
        <v>F</v>
      </c>
      <c r="O755" s="6" t="str">
        <f>IFERROR(__xludf.DUMMYFUNCTION("""COMPUTED_VALUE"""),"ACTIVE")</f>
        <v>ACTIVE</v>
      </c>
      <c r="P755" s="6"/>
      <c r="Q755" s="6" t="str">
        <f>IFERROR(__xludf.DUMMYFUNCTION("""COMPUTED_VALUE"""),"Circasia")</f>
        <v>Circasia</v>
      </c>
      <c r="R755" s="12" t="str">
        <f>IFERROR(__xludf.DUMMYFUNCTION("""COMPUTED_VALUE"""),"GiJ65G8NV2*")</f>
        <v>GiJ65G8NV2*</v>
      </c>
      <c r="S755" s="6" t="str">
        <f>IFERROR(__xludf.DUMMYFUNCTION("""COMPUTED_VALUE"""),"Sierra Gómez Manuela Valeria")</f>
        <v>Sierra Gómez Manuela Valeria</v>
      </c>
      <c r="T755" s="6" t="str">
        <f>IFERROR(__xludf.DUMMYFUNCTION("""COMPUTED_VALUE"""),"JORGE EDUARDO SIERRA MEJIA")</f>
        <v>JORGE EDUARDO SIERRA MEJIA</v>
      </c>
      <c r="U755" s="12" t="str">
        <f>IFERROR(__xludf.DUMMYFUNCTION("""COMPUTED_VALUE"""),"7563915")</f>
        <v>7563915</v>
      </c>
      <c r="V755" s="6">
        <f>IFERROR(__xludf.DUMMYFUNCTION("""COMPUTED_VALUE"""),3.102164401E9)</f>
        <v>3102164401</v>
      </c>
      <c r="W755" s="6" t="str">
        <f>IFERROR(__xludf.DUMMYFUNCTION("""COMPUTED_VALUE"""),"jeedsime@hotmail.com")</f>
        <v>jeedsime@hotmail.com</v>
      </c>
      <c r="X755" s="12" t="str">
        <f>IFERROR(__xludf.DUMMYFUNCTION("""COMPUTED_VALUE"""),"O+")</f>
        <v>O+</v>
      </c>
      <c r="Y755" s="12" t="str">
        <f>IFERROR(__xludf.DUMMYFUNCTION("""COMPUTED_VALUE"""),"11")</f>
        <v>11</v>
      </c>
      <c r="Z755" s="12">
        <f>IFERROR(__xludf.DUMMYFUNCTION("""COMPUTED_VALUE"""),103288.0)</f>
        <v>103288</v>
      </c>
      <c r="AA755" s="6" t="str">
        <f>IFERROR(__xludf.DUMMYFUNCTION("""COMPUTED_VALUE"""),"SURA")</f>
        <v>SURA</v>
      </c>
      <c r="AB755" s="6" t="str">
        <f>IFERROR(__xludf.DUMMYFUNCTION("""COMPUTED_VALUE"""),"EMI/Medplus")</f>
        <v>EMI/Medplus</v>
      </c>
      <c r="AC755" s="6" t="str">
        <f>IFERROR(__xludf.DUMMYFUNCTION("""COMPUTED_VALUE"""),"Loratadina")</f>
        <v>Loratadina</v>
      </c>
      <c r="AD755" s="12" t="str">
        <f>IFERROR(__xludf.DUMMYFUNCTION("""COMPUTED_VALUE"""),"11")</f>
        <v>11</v>
      </c>
      <c r="AE755" s="12">
        <f>IFERROR(__xludf.DUMMYFUNCTION("""COMPUTED_VALUE"""),1.345281608E9)</f>
        <v>1345281608</v>
      </c>
      <c r="AF755" s="12" t="str">
        <f>IFERROR(__xludf.DUMMYFUNCTION("""COMPUTED_VALUE"""),"0695568867")</f>
        <v>0695568867</v>
      </c>
      <c r="AG755" s="12" t="str">
        <f>IFERROR(__xludf.DUMMYFUNCTION("""COMPUTED_VALUE"""),"María")</f>
        <v>María</v>
      </c>
      <c r="AH755" s="12" t="str">
        <f>IFERROR(__xludf.DUMMYFUNCTION("""COMPUTED_VALUE"""),"Clara")</f>
        <v>Clara</v>
      </c>
      <c r="AI755" s="6" t="str">
        <f>IFERROR(__xludf.DUMMYFUNCTION("""COMPUTED_VALUE"""),"Gómez Rozo")</f>
        <v>Gómez Rozo</v>
      </c>
      <c r="AJ755" s="6"/>
      <c r="AK755" s="6" t="str">
        <f>IFERROR(__xludf.DUMMYFUNCTION("""COMPUTED_VALUE"""),"Psicologa. Geren. Salud Ocupacional")</f>
        <v>Psicologa. Geren. Salud Ocupacional</v>
      </c>
      <c r="AL755" s="6"/>
      <c r="AM755" s="12" t="str">
        <f>IFERROR(__xludf.DUMMYFUNCTION("""COMPUTED_VALUE"""),"52153193")</f>
        <v>52153193</v>
      </c>
      <c r="AN755" s="12" t="str">
        <f>IFERROR(__xludf.DUMMYFUNCTION("""COMPUTED_VALUE"""),"3023770759")</f>
        <v>3023770759</v>
      </c>
      <c r="AO755" s="6" t="str">
        <f>IFERROR(__xludf.DUMMYFUNCTION("""COMPUTED_VALUE"""),"Madre")</f>
        <v>Madre</v>
      </c>
      <c r="AP755" s="6" t="str">
        <f>IFERROR(__xludf.DUMMYFUNCTION("""COMPUTED_VALUE"""),"Estudiante(s): Sierra Gómez")</f>
        <v>Estudiante(s): Sierra Gómez</v>
      </c>
      <c r="AQ755" s="6" t="str">
        <f>IFERROR(__xludf.DUMMYFUNCTION("""COMPUTED_VALUE"""),"103288*Gi")</f>
        <v>103288*Gi</v>
      </c>
      <c r="AR755" s="6" t="str">
        <f>IFERROR(__xludf.DUMMYFUNCTION("""COMPUTED_VALUE"""),"Jorge")</f>
        <v>Jorge</v>
      </c>
      <c r="AS755" s="6" t="str">
        <f>IFERROR(__xludf.DUMMYFUNCTION("""COMPUTED_VALUE"""),"Eduardo")</f>
        <v>Eduardo</v>
      </c>
      <c r="AT755" s="6" t="str">
        <f>IFERROR(__xludf.DUMMYFUNCTION("""COMPUTED_VALUE"""),"Sierra Mejía")</f>
        <v>Sierra Mejía</v>
      </c>
      <c r="AU755" s="6" t="str">
        <f>IFERROR(__xludf.DUMMYFUNCTION("""COMPUTED_VALUE"""),"jeedsime@hotmail.com")</f>
        <v>jeedsime@hotmail.com</v>
      </c>
      <c r="AV755" s="6" t="str">
        <f>IFERROR(__xludf.DUMMYFUNCTION("""COMPUTED_VALUE"""),"médico ortopedista")</f>
        <v>médico ortopedista</v>
      </c>
      <c r="AW755" s="6" t="str">
        <f>IFERROR(__xludf.DUMMYFUNCTION("""COMPUTED_VALUE"""),"Centro de Cirugía Articular")</f>
        <v>Centro de Cirugía Articular</v>
      </c>
      <c r="AX755" s="12" t="str">
        <f>IFERROR(__xludf.DUMMYFUNCTION("""COMPUTED_VALUE"""),"7563915")</f>
        <v>7563915</v>
      </c>
      <c r="AY755" s="12" t="str">
        <f>IFERROR(__xludf.DUMMYFUNCTION("""COMPUTED_VALUE"""),"3102164401")</f>
        <v>3102164401</v>
      </c>
      <c r="AZ755" s="6" t="str">
        <f>IFERROR(__xludf.DUMMYFUNCTION("""COMPUTED_VALUE"""),"Padre")</f>
        <v>Padre</v>
      </c>
      <c r="BA755" s="6" t="str">
        <f>IFERROR(__xludf.DUMMYFUNCTION("""COMPUTED_VALUE"""),"MARIA CLARA GOMEZ ROZO")</f>
        <v>MARIA CLARA GOMEZ ROZO</v>
      </c>
      <c r="BB755" s="6">
        <f>IFERROR(__xludf.DUMMYFUNCTION("""COMPUTED_VALUE"""),3.023770759E9)</f>
        <v>3023770759</v>
      </c>
      <c r="BC755" s="6" t="str">
        <f>IFERROR(__xludf.DUMMYFUNCTION("""COMPUTED_VALUE"""),"Tio(a)")</f>
        <v>Tio(a)</v>
      </c>
      <c r="BD755" s="12" t="str">
        <f>IFERROR(__xludf.DUMMYFUNCTION("""COMPUTED_VALUE"""),"sie0001")</f>
        <v>sie0001</v>
      </c>
      <c r="BE755" s="6"/>
      <c r="BF755" s="6"/>
      <c r="BG755" s="6">
        <f>IFERROR(__xludf.DUMMYFUNCTION("""COMPUTED_VALUE"""),2028.0)</f>
        <v>2028</v>
      </c>
      <c r="BH755" s="15">
        <f>IFERROR(__xludf.DUMMYFUNCTION("""COMPUTED_VALUE"""),46210.90390046296)</f>
        <v>46210.9039</v>
      </c>
      <c r="BI755" s="6">
        <f>IFERROR(__xludf.DUMMYFUNCTION("""COMPUTED_VALUE"""),756.0)</f>
        <v>756</v>
      </c>
      <c r="BJ755" s="6"/>
      <c r="BK755" s="6"/>
      <c r="BL755" s="6" t="str">
        <f>IFERROR(__xludf.DUMMYFUNCTION("""COMPUTED_VALUE"""),"GISSIE0001")</f>
        <v>GISSIE0001</v>
      </c>
      <c r="BM755" s="6"/>
      <c r="BN755" s="6"/>
      <c r="BO755" s="6"/>
      <c r="BP755" s="6"/>
      <c r="BQ755" s="6"/>
      <c r="BR755" s="6"/>
      <c r="BS755" s="6"/>
      <c r="BT755" s="6"/>
      <c r="BU755" s="6" t="str">
        <f>IFERROR(__xludf.DUMMYFUNCTION("""COMPUTED_VALUE"""),"SI")</f>
        <v>SI</v>
      </c>
      <c r="BV755" s="6" t="str">
        <f>IFERROR(__xludf.DUMMYFUNCTION("""COMPUTED_VALUE"""),"manuela.s2028")</f>
        <v>manuela.s2028</v>
      </c>
      <c r="BW755" s="6"/>
      <c r="BX755" s="6"/>
      <c r="BY755" s="6"/>
      <c r="BZ755" s="6"/>
    </row>
    <row r="756">
      <c r="A756" s="12">
        <f>IFERROR(__xludf.DUMMYFUNCTION("""COMPUTED_VALUE"""),1.042587319E9)</f>
        <v>1042587319</v>
      </c>
      <c r="B756" s="6">
        <f>IFERROR(__xludf.DUMMYFUNCTION("""COMPUTED_VALUE"""),46.0)</f>
        <v>46</v>
      </c>
      <c r="C756" s="6" t="str">
        <f>IFERROR(__xludf.DUMMYFUNCTION("""COMPUTED_VALUE"""),"Gabriel")</f>
        <v>Gabriel</v>
      </c>
      <c r="D756" s="6" t="str">
        <f>IFERROR(__xludf.DUMMYFUNCTION("""COMPUTED_VALUE"""),"Alejandro")</f>
        <v>Alejandro</v>
      </c>
      <c r="E756" s="6" t="str">
        <f>IFERROR(__xludf.DUMMYFUNCTION("""COMPUTED_VALUE"""),"Suárez Ospina")</f>
        <v>Suárez Ospina</v>
      </c>
      <c r="F756" s="6" t="str">
        <f>IFERROR(__xludf.DUMMYFUNCTION("""COMPUTED_VALUE"""),"La Española Casa J - Calle 23Nte No23 - 00")</f>
        <v>La Española Casa J - Calle 23Nte No23 - 00</v>
      </c>
      <c r="G756" s="12" t="str">
        <f>IFERROR(__xludf.DUMMYFUNCTION("""COMPUTED_VALUE"""),"2010")</f>
        <v>2010</v>
      </c>
      <c r="H756" s="6" t="str">
        <f>IFERROR(__xludf.DUMMYFUNCTION("""COMPUTED_VALUE"""),"Febrero")</f>
        <v>Febrero</v>
      </c>
      <c r="I756" s="12" t="str">
        <f>IFERROR(__xludf.DUMMYFUNCTION("""COMPUTED_VALUE"""),"19")</f>
        <v>19</v>
      </c>
      <c r="J756" s="6" t="str">
        <f>IFERROR(__xludf.DUMMYFUNCTION("""COMPUTED_VALUE"""),"Cartagena de Indias")</f>
        <v>Cartagena de Indias</v>
      </c>
      <c r="K756" s="6" t="str">
        <f>IFERROR(__xludf.DUMMYFUNCTION("""COMPUTED_VALUE"""),"gabriel.s2028@gi.edu.co")</f>
        <v>gabriel.s2028@gi.edu.co</v>
      </c>
      <c r="L756" s="6" t="str">
        <f>IFERROR(__xludf.DUMMYFUNCTION("""COMPUTED_VALUE"""),"TI")</f>
        <v>TI</v>
      </c>
      <c r="M756" s="6" t="str">
        <f>IFERROR(__xludf.DUMMYFUNCTION("""COMPUTED_VALUE"""),"Armenia")</f>
        <v>Armenia</v>
      </c>
      <c r="N756" s="6" t="str">
        <f>IFERROR(__xludf.DUMMYFUNCTION("""COMPUTED_VALUE"""),"M")</f>
        <v>M</v>
      </c>
      <c r="O756" s="6" t="str">
        <f>IFERROR(__xludf.DUMMYFUNCTION("""COMPUTED_VALUE"""),"ACTIVE")</f>
        <v>ACTIVE</v>
      </c>
      <c r="P756" s="6"/>
      <c r="Q756" s="6" t="str">
        <f>IFERROR(__xludf.DUMMYFUNCTION("""COMPUTED_VALUE"""),"Armenia")</f>
        <v>Armenia</v>
      </c>
      <c r="R756" s="12" t="str">
        <f>IFERROR(__xludf.DUMMYFUNCTION("""COMPUTED_VALUE"""),"Gi67hgrre3*")</f>
        <v>Gi67hgrre3*</v>
      </c>
      <c r="S756" s="6" t="str">
        <f>IFERROR(__xludf.DUMMYFUNCTION("""COMPUTED_VALUE"""),"Suárez Ospina Gabriel Alejandro")</f>
        <v>Suárez Ospina Gabriel Alejandro</v>
      </c>
      <c r="T756" s="6" t="str">
        <f>IFERROR(__xludf.DUMMYFUNCTION("""COMPUTED_VALUE"""),"ALEXANDRA MARIA OSPINA SANCHEZ")</f>
        <v>ALEXANDRA MARIA OSPINA SANCHEZ</v>
      </c>
      <c r="U756" s="12" t="str">
        <f>IFERROR(__xludf.DUMMYFUNCTION("""COMPUTED_VALUE"""),"22519106")</f>
        <v>22519106</v>
      </c>
      <c r="V756" s="6">
        <f>IFERROR(__xludf.DUMMYFUNCTION("""COMPUTED_VALUE"""),3.174237158E9)</f>
        <v>3174237158</v>
      </c>
      <c r="W756" s="6" t="str">
        <f>IFERROR(__xludf.DUMMYFUNCTION("""COMPUTED_VALUE"""),"ospinalexandra@gmail.com")</f>
        <v>ospinalexandra@gmail.com</v>
      </c>
      <c r="X756" s="12" t="str">
        <f>IFERROR(__xludf.DUMMYFUNCTION("""COMPUTED_VALUE"""),"A+")</f>
        <v>A+</v>
      </c>
      <c r="Y756" s="12" t="str">
        <f>IFERROR(__xludf.DUMMYFUNCTION("""COMPUTED_VALUE"""),"11")</f>
        <v>11</v>
      </c>
      <c r="Z756" s="12">
        <f>IFERROR(__xludf.DUMMYFUNCTION("""COMPUTED_VALUE"""),103216.0)</f>
        <v>103216</v>
      </c>
      <c r="AA756" s="6" t="str">
        <f>IFERROR(__xludf.DUMMYFUNCTION("""COMPUTED_VALUE"""),"SANITAS")</f>
        <v>SANITAS</v>
      </c>
      <c r="AB756" s="6" t="str">
        <f>IFERROR(__xludf.DUMMYFUNCTION("""COMPUTED_VALUE"""),"Colsanitas y Humanizar")</f>
        <v>Colsanitas y Humanizar</v>
      </c>
      <c r="AC756" s="6"/>
      <c r="AD756" s="12" t="str">
        <f>IFERROR(__xludf.DUMMYFUNCTION("""COMPUTED_VALUE"""),"11")</f>
        <v>11</v>
      </c>
      <c r="AE756" s="12">
        <f>IFERROR(__xludf.DUMMYFUNCTION("""COMPUTED_VALUE"""),1.345281575E9)</f>
        <v>1345281575</v>
      </c>
      <c r="AF756" s="12" t="str">
        <f>IFERROR(__xludf.DUMMYFUNCTION("""COMPUTED_VALUE"""),"0673956211")</f>
        <v>0673956211</v>
      </c>
      <c r="AG756" s="12" t="str">
        <f>IFERROR(__xludf.DUMMYFUNCTION("""COMPUTED_VALUE"""),"Alexandra")</f>
        <v>Alexandra</v>
      </c>
      <c r="AH756" s="12" t="str">
        <f>IFERROR(__xludf.DUMMYFUNCTION("""COMPUTED_VALUE"""),"María")</f>
        <v>María</v>
      </c>
      <c r="AI756" s="6" t="str">
        <f>IFERROR(__xludf.DUMMYFUNCTION("""COMPUTED_VALUE"""),"Ospina Sánchez")</f>
        <v>Ospina Sánchez</v>
      </c>
      <c r="AJ756" s="6" t="str">
        <f>IFERROR(__xludf.DUMMYFUNCTION("""COMPUTED_VALUE"""),"ospinalexandra@gmail.com")</f>
        <v>ospinalexandra@gmail.com</v>
      </c>
      <c r="AK756" s="6" t="str">
        <f>IFERROR(__xludf.DUMMYFUNCTION("""COMPUTED_VALUE"""),"INGENIERO INDUSTRIAL")</f>
        <v>INGENIERO INDUSTRIAL</v>
      </c>
      <c r="AL756" s="6" t="str">
        <f>IFERROR(__xludf.DUMMYFUNCTION("""COMPUTED_VALUE"""),"abbi S.A.S")</f>
        <v>abbi S.A.S</v>
      </c>
      <c r="AM756" s="12" t="str">
        <f>IFERROR(__xludf.DUMMYFUNCTION("""COMPUTED_VALUE"""),"22519106")</f>
        <v>22519106</v>
      </c>
      <c r="AN756" s="12" t="str">
        <f>IFERROR(__xludf.DUMMYFUNCTION("""COMPUTED_VALUE"""),"3174237158")</f>
        <v>3174237158</v>
      </c>
      <c r="AO756" s="6" t="str">
        <f>IFERROR(__xludf.DUMMYFUNCTION("""COMPUTED_VALUE"""),"Madre")</f>
        <v>Madre</v>
      </c>
      <c r="AP756" s="6" t="str">
        <f>IFERROR(__xludf.DUMMYFUNCTION("""COMPUTED_VALUE"""),"Estudiante(s): Suárez Ospina")</f>
        <v>Estudiante(s): Suárez Ospina</v>
      </c>
      <c r="AQ756" s="6" t="str">
        <f>IFERROR(__xludf.DUMMYFUNCTION("""COMPUTED_VALUE"""),"103216*Gi")</f>
        <v>103216*Gi</v>
      </c>
      <c r="AR756" s="6" t="str">
        <f>IFERROR(__xludf.DUMMYFUNCTION("""COMPUTED_VALUE"""),"Gabriel")</f>
        <v>Gabriel</v>
      </c>
      <c r="AS756" s="6" t="str">
        <f>IFERROR(__xludf.DUMMYFUNCTION("""COMPUTED_VALUE"""),"Arturo")</f>
        <v>Arturo</v>
      </c>
      <c r="AT756" s="6" t="str">
        <f>IFERROR(__xludf.DUMMYFUNCTION("""COMPUTED_VALUE"""),"Suárez Agudelo")</f>
        <v>Suárez Agudelo</v>
      </c>
      <c r="AU756" s="6" t="str">
        <f>IFERROR(__xludf.DUMMYFUNCTION("""COMPUTED_VALUE"""),"sag4272@hotmail.com")</f>
        <v>sag4272@hotmail.com</v>
      </c>
      <c r="AV756" s="6" t="str">
        <f>IFERROR(__xludf.DUMMYFUNCTION("""COMPUTED_VALUE"""),"INGENIERO CIVIL")</f>
        <v>INGENIERO CIVIL</v>
      </c>
      <c r="AW756" s="6" t="str">
        <f>IFERROR(__xludf.DUMMYFUNCTION("""COMPUTED_VALUE"""),"INDEPENDIENTE")</f>
        <v>INDEPENDIENTE</v>
      </c>
      <c r="AX756" s="12" t="str">
        <f>IFERROR(__xludf.DUMMYFUNCTION("""COMPUTED_VALUE"""),"73574699")</f>
        <v>73574699</v>
      </c>
      <c r="AY756" s="12" t="str">
        <f>IFERROR(__xludf.DUMMYFUNCTION("""COMPUTED_VALUE"""),"3186347700")</f>
        <v>3186347700</v>
      </c>
      <c r="AZ756" s="6" t="str">
        <f>IFERROR(__xludf.DUMMYFUNCTION("""COMPUTED_VALUE"""),"Padre")</f>
        <v>Padre</v>
      </c>
      <c r="BA756" s="6"/>
      <c r="BB756" s="6"/>
      <c r="BC756" s="6"/>
      <c r="BD756" s="12" t="str">
        <f>IFERROR(__xludf.DUMMYFUNCTION("""COMPUTED_VALUE"""),"sur0002")</f>
        <v>sur0002</v>
      </c>
      <c r="BE756" s="6"/>
      <c r="BF756" s="6"/>
      <c r="BG756" s="6">
        <f>IFERROR(__xludf.DUMMYFUNCTION("""COMPUTED_VALUE"""),2028.0)</f>
        <v>2028</v>
      </c>
      <c r="BH756" s="15">
        <f>IFERROR(__xludf.DUMMYFUNCTION("""COMPUTED_VALUE"""),46212.67747685185)</f>
        <v>46212.67748</v>
      </c>
      <c r="BI756" s="6">
        <f>IFERROR(__xludf.DUMMYFUNCTION("""COMPUTED_VALUE"""),757.0)</f>
        <v>757</v>
      </c>
      <c r="BJ756" s="6"/>
      <c r="BK756" s="6"/>
      <c r="BL756" s="6" t="str">
        <f>IFERROR(__xludf.DUMMYFUNCTION("""COMPUTED_VALUE"""),"GISSUR0002")</f>
        <v>GISSUR0002</v>
      </c>
      <c r="BM756" s="6"/>
      <c r="BN756" s="6"/>
      <c r="BO756" s="6"/>
      <c r="BP756" s="6"/>
      <c r="BQ756" s="6"/>
      <c r="BR756" s="6"/>
      <c r="BS756" s="6"/>
      <c r="BT756" s="6"/>
      <c r="BU756" s="6" t="str">
        <f>IFERROR(__xludf.DUMMYFUNCTION("""COMPUTED_VALUE"""),"NO")</f>
        <v>NO</v>
      </c>
      <c r="BV756" s="6" t="str">
        <f>IFERROR(__xludf.DUMMYFUNCTION("""COMPUTED_VALUE"""),"gabriel.s2028")</f>
        <v>gabriel.s2028</v>
      </c>
      <c r="BW756" s="6"/>
      <c r="BX756" s="6"/>
      <c r="BY756" s="6"/>
      <c r="BZ756" s="6"/>
    </row>
    <row r="757">
      <c r="A757" s="12">
        <f>IFERROR(__xludf.DUMMYFUNCTION("""COMPUTED_VALUE"""),1.15346363E9)</f>
        <v>1153463630</v>
      </c>
      <c r="B757" s="6">
        <f>IFERROR(__xludf.DUMMYFUNCTION("""COMPUTED_VALUE"""),47.0)</f>
        <v>47</v>
      </c>
      <c r="C757" s="6" t="str">
        <f>IFERROR(__xludf.DUMMYFUNCTION("""COMPUTED_VALUE"""),"Manuela")</f>
        <v>Manuela</v>
      </c>
      <c r="D757" s="6"/>
      <c r="E757" s="6" t="str">
        <f>IFERROR(__xludf.DUMMYFUNCTION("""COMPUTED_VALUE"""),"Tafur Valencia")</f>
        <v>Tafur Valencia</v>
      </c>
      <c r="F757" s="6" t="str">
        <f>IFERROR(__xludf.DUMMYFUNCTION("""COMPUTED_VALUE"""),"Condominio Reserva de la Sabana Casa 80 - Calle 24Nte No5 - 07 Av Centenario")</f>
        <v>Condominio Reserva de la Sabana Casa 80 - Calle 24Nte No5 - 07 Av Centenario</v>
      </c>
      <c r="G757" s="12" t="str">
        <f>IFERROR(__xludf.DUMMYFUNCTION("""COMPUTED_VALUE"""),"2010")</f>
        <v>2010</v>
      </c>
      <c r="H757" s="6" t="str">
        <f>IFERROR(__xludf.DUMMYFUNCTION("""COMPUTED_VALUE"""),"Agosto")</f>
        <v>Agosto</v>
      </c>
      <c r="I757" s="12" t="str">
        <f>IFERROR(__xludf.DUMMYFUNCTION("""COMPUTED_VALUE"""),"5")</f>
        <v>5</v>
      </c>
      <c r="J757" s="6" t="str">
        <f>IFERROR(__xludf.DUMMYFUNCTION("""COMPUTED_VALUE"""),"México")</f>
        <v>México</v>
      </c>
      <c r="K757" s="6" t="str">
        <f>IFERROR(__xludf.DUMMYFUNCTION("""COMPUTED_VALUE"""),"manuela.tv2028@gi.edu.co")</f>
        <v>manuela.tv2028@gi.edu.co</v>
      </c>
      <c r="L757" s="6" t="str">
        <f>IFERROR(__xludf.DUMMYFUNCTION("""COMPUTED_VALUE"""),"TI")</f>
        <v>TI</v>
      </c>
      <c r="M757" s="6" t="str">
        <f>IFERROR(__xludf.DUMMYFUNCTION("""COMPUTED_VALUE"""),"Armenia")</f>
        <v>Armenia</v>
      </c>
      <c r="N757" s="6" t="str">
        <f>IFERROR(__xludf.DUMMYFUNCTION("""COMPUTED_VALUE"""),"F")</f>
        <v>F</v>
      </c>
      <c r="O757" s="6" t="str">
        <f>IFERROR(__xludf.DUMMYFUNCTION("""COMPUTED_VALUE"""),"INACTIVE")</f>
        <v>INACTIVE</v>
      </c>
      <c r="P757" s="6"/>
      <c r="Q757" s="6" t="str">
        <f>IFERROR(__xludf.DUMMYFUNCTION("""COMPUTED_VALUE"""),"Armenia")</f>
        <v>Armenia</v>
      </c>
      <c r="R757" s="12" t="str">
        <f>IFERROR(__xludf.DUMMYFUNCTION("""COMPUTED_VALUE"""),"Gi665wtcb*")</f>
        <v>Gi665wtcb*</v>
      </c>
      <c r="S757" s="6" t="str">
        <f>IFERROR(__xludf.DUMMYFUNCTION("""COMPUTED_VALUE"""),"Tafur Valencia Manuela ")</f>
        <v>Tafur Valencia Manuela </v>
      </c>
      <c r="T757" s="6" t="str">
        <f>IFERROR(__xludf.DUMMYFUNCTION("""COMPUTED_VALUE"""),"LUZ ADRIANA VALENCIA")</f>
        <v>LUZ ADRIANA VALENCIA</v>
      </c>
      <c r="U757" s="12" t="str">
        <f>IFERROR(__xludf.DUMMYFUNCTION("""COMPUTED_VALUE"""),"38790094")</f>
        <v>38790094</v>
      </c>
      <c r="V757" s="6">
        <f>IFERROR(__xludf.DUMMYFUNCTION("""COMPUTED_VALUE"""),3.15623303E9)</f>
        <v>3156233030</v>
      </c>
      <c r="W757" s="6" t="str">
        <f>IFERROR(__xludf.DUMMYFUNCTION("""COMPUTED_VALUE"""),"adrianavalenciaem@gmail.com")</f>
        <v>adrianavalenciaem@gmail.com</v>
      </c>
      <c r="X757" s="12" t="str">
        <f>IFERROR(__xludf.DUMMYFUNCTION("""COMPUTED_VALUE"""),"O+")</f>
        <v>O+</v>
      </c>
      <c r="Y757" s="12" t="str">
        <f>IFERROR(__xludf.DUMMYFUNCTION("""COMPUTED_VALUE"""),"11")</f>
        <v>11</v>
      </c>
      <c r="Z757" s="12">
        <f>IFERROR(__xludf.DUMMYFUNCTION("""COMPUTED_VALUE"""),103713.0)</f>
        <v>103713</v>
      </c>
      <c r="AA757" s="6" t="str">
        <f>IFERROR(__xludf.DUMMYFUNCTION("""COMPUTED_VALUE"""),"SURA")</f>
        <v>SURA</v>
      </c>
      <c r="AB757" s="6"/>
      <c r="AC757" s="12" t="str">
        <f>IFERROR(__xludf.DUMMYFUNCTION("""COMPUTED_VALUE"""),"A los cambios de Clima LORATADINA")</f>
        <v>A los cambios de Clima LORATADINA</v>
      </c>
      <c r="AD757" s="12" t="str">
        <f>IFERROR(__xludf.DUMMYFUNCTION("""COMPUTED_VALUE"""),"11")</f>
        <v>11</v>
      </c>
      <c r="AE757" s="12">
        <f>IFERROR(__xludf.DUMMYFUNCTION("""COMPUTED_VALUE"""),1.345281851E9)</f>
        <v>1345281851</v>
      </c>
      <c r="AF757" s="12" t="str">
        <f>IFERROR(__xludf.DUMMYFUNCTION("""COMPUTED_VALUE"""),"0689965571")</f>
        <v>0689965571</v>
      </c>
      <c r="AG757" s="12" t="str">
        <f>IFERROR(__xludf.DUMMYFUNCTION("""COMPUTED_VALUE"""),"Luz")</f>
        <v>Luz</v>
      </c>
      <c r="AH757" s="12" t="str">
        <f>IFERROR(__xludf.DUMMYFUNCTION("""COMPUTED_VALUE"""),"Adriana")</f>
        <v>Adriana</v>
      </c>
      <c r="AI757" s="6" t="str">
        <f>IFERROR(__xludf.DUMMYFUNCTION("""COMPUTED_VALUE"""),"Valencia")</f>
        <v>Valencia</v>
      </c>
      <c r="AJ757" s="6" t="str">
        <f>IFERROR(__xludf.DUMMYFUNCTION("""COMPUTED_VALUE"""),"adrianavalenciaem@gmail.com")</f>
        <v>adrianavalenciaem@gmail.com</v>
      </c>
      <c r="AK757" s="6" t="str">
        <f>IFERROR(__xludf.DUMMYFUNCTION("""COMPUTED_VALUE"""),"Administración de Empresas")</f>
        <v>Administración de Empresas</v>
      </c>
      <c r="AL757" s="6" t="str">
        <f>IFERROR(__xludf.DUMMYFUNCTION("""COMPUTED_VALUE"""),"independiente")</f>
        <v>independiente</v>
      </c>
      <c r="AM757" s="12" t="str">
        <f>IFERROR(__xludf.DUMMYFUNCTION("""COMPUTED_VALUE"""),"38790094")</f>
        <v>38790094</v>
      </c>
      <c r="AN757" s="12" t="str">
        <f>IFERROR(__xludf.DUMMYFUNCTION("""COMPUTED_VALUE"""),"3156233030")</f>
        <v>3156233030</v>
      </c>
      <c r="AO757" s="6" t="str">
        <f>IFERROR(__xludf.DUMMYFUNCTION("""COMPUTED_VALUE"""),"Madre")</f>
        <v>Madre</v>
      </c>
      <c r="AP757" s="6" t="str">
        <f>IFERROR(__xludf.DUMMYFUNCTION("""COMPUTED_VALUE"""),"Estudiante(s): Tafur Valencia")</f>
        <v>Estudiante(s): Tafur Valencia</v>
      </c>
      <c r="AQ757" s="6" t="str">
        <f>IFERROR(__xludf.DUMMYFUNCTION("""COMPUTED_VALUE"""),"103713*Gi")</f>
        <v>103713*Gi</v>
      </c>
      <c r="AR757" s="6" t="str">
        <f>IFERROR(__xludf.DUMMYFUNCTION("""COMPUTED_VALUE"""),"Joaquin")</f>
        <v>Joaquin</v>
      </c>
      <c r="AS757" s="6"/>
      <c r="AT757" s="6" t="str">
        <f>IFERROR(__xludf.DUMMYFUNCTION("""COMPUTED_VALUE"""),"Tafur Marin")</f>
        <v>Tafur Marin</v>
      </c>
      <c r="AU757" s="6" t="str">
        <f>IFERROR(__xludf.DUMMYFUNCTION("""COMPUTED_VALUE"""),"joaquintafur@hotmail.com")</f>
        <v>joaquintafur@hotmail.com</v>
      </c>
      <c r="AV757" s="6"/>
      <c r="AW757" s="6"/>
      <c r="AX757" s="12" t="str">
        <f>IFERROR(__xludf.DUMMYFUNCTION("""COMPUTED_VALUE"""),"94389444")</f>
        <v>94389444</v>
      </c>
      <c r="AY757" s="12" t="str">
        <f>IFERROR(__xludf.DUMMYFUNCTION("""COMPUTED_VALUE"""),"3174925043")</f>
        <v>3174925043</v>
      </c>
      <c r="AZ757" s="6" t="str">
        <f>IFERROR(__xludf.DUMMYFUNCTION("""COMPUTED_VALUE"""),"Padre")</f>
        <v>Padre</v>
      </c>
      <c r="BA757" s="6"/>
      <c r="BB757" s="6"/>
      <c r="BC757" s="6"/>
      <c r="BD757" s="12" t="str">
        <f>IFERROR(__xludf.DUMMYFUNCTION("""COMPUTED_VALUE"""),"taf0001")</f>
        <v>taf0001</v>
      </c>
      <c r="BE757" s="6" t="str">
        <f>IFERROR(__xludf.DUMMYFUNCTION("""COMPUTED_VALUE"""),"FALTAN FIRMAS")</f>
        <v>FALTAN FIRMAS</v>
      </c>
      <c r="BF757" s="6"/>
      <c r="BG757" s="6">
        <f>IFERROR(__xludf.DUMMYFUNCTION("""COMPUTED_VALUE"""),2028.0)</f>
        <v>2028</v>
      </c>
      <c r="BH757" s="15">
        <f>IFERROR(__xludf.DUMMYFUNCTION("""COMPUTED_VALUE"""),46228.69315972222)</f>
        <v>46228.69316</v>
      </c>
      <c r="BI757" s="6">
        <f>IFERROR(__xludf.DUMMYFUNCTION("""COMPUTED_VALUE"""),758.0)</f>
        <v>758</v>
      </c>
      <c r="BJ757" s="6"/>
      <c r="BK757" s="6"/>
      <c r="BL757" s="6" t="str">
        <f>IFERROR(__xludf.DUMMYFUNCTION("""COMPUTED_VALUE"""),"GISTAF0001")</f>
        <v>GISTAF0001</v>
      </c>
      <c r="BM757" s="6"/>
      <c r="BN757" s="6"/>
      <c r="BO757" s="6"/>
      <c r="BP757" s="6"/>
      <c r="BQ757" s="6"/>
      <c r="BR757" s="6"/>
      <c r="BS757" s="6"/>
      <c r="BT757" s="6"/>
      <c r="BU757" s="6" t="str">
        <f>IFERROR(__xludf.DUMMYFUNCTION("""COMPUTED_VALUE"""),"SI")</f>
        <v>SI</v>
      </c>
      <c r="BV757" s="6" t="str">
        <f>IFERROR(__xludf.DUMMYFUNCTION("""COMPUTED_VALUE"""),"manuela.tv2028")</f>
        <v>manuela.tv2028</v>
      </c>
      <c r="BW757" s="6"/>
      <c r="BX757" s="6"/>
      <c r="BY757" s="6"/>
      <c r="BZ757" s="6"/>
    </row>
    <row r="758">
      <c r="A758" s="12">
        <f>IFERROR(__xludf.DUMMYFUNCTION("""COMPUTED_VALUE"""),1.094931673E9)</f>
        <v>1094931673</v>
      </c>
      <c r="B758" s="6">
        <f>IFERROR(__xludf.DUMMYFUNCTION("""COMPUTED_VALUE"""),48.0)</f>
        <v>48</v>
      </c>
      <c r="C758" s="6" t="str">
        <f>IFERROR(__xludf.DUMMYFUNCTION("""COMPUTED_VALUE"""),"Valeria")</f>
        <v>Valeria</v>
      </c>
      <c r="D758" s="6"/>
      <c r="E758" s="6" t="str">
        <f>IFERROR(__xludf.DUMMYFUNCTION("""COMPUTED_VALUE"""),"Téllez Santana")</f>
        <v>Téllez Santana</v>
      </c>
      <c r="F758" s="6" t="str">
        <f>IFERROR(__xludf.DUMMYFUNCTION("""COMPUTED_VALUE"""),"Parque Residencial Ciudad Real Casa A6 - Cra 11 No24Nte 75")</f>
        <v>Parque Residencial Ciudad Real Casa A6 - Cra 11 No24Nte 75</v>
      </c>
      <c r="G758" s="12" t="str">
        <f>IFERROR(__xludf.DUMMYFUNCTION("""COMPUTED_VALUE"""),"2010")</f>
        <v>2010</v>
      </c>
      <c r="H758" s="6" t="str">
        <f>IFERROR(__xludf.DUMMYFUNCTION("""COMPUTED_VALUE"""),"Noviembre")</f>
        <v>Noviembre</v>
      </c>
      <c r="I758" s="12" t="str">
        <f>IFERROR(__xludf.DUMMYFUNCTION("""COMPUTED_VALUE"""),"30")</f>
        <v>30</v>
      </c>
      <c r="J758" s="6" t="str">
        <f>IFERROR(__xludf.DUMMYFUNCTION("""COMPUTED_VALUE"""),"Armenia")</f>
        <v>Armenia</v>
      </c>
      <c r="K758" s="6" t="str">
        <f>IFERROR(__xludf.DUMMYFUNCTION("""COMPUTED_VALUE"""),"valeria.t2028@gi.edu.co")</f>
        <v>valeria.t2028@gi.edu.co</v>
      </c>
      <c r="L758" s="6" t="str">
        <f>IFERROR(__xludf.DUMMYFUNCTION("""COMPUTED_VALUE"""),"TI")</f>
        <v>TI</v>
      </c>
      <c r="M758" s="6" t="str">
        <f>IFERROR(__xludf.DUMMYFUNCTION("""COMPUTED_VALUE"""),"Armenia")</f>
        <v>Armenia</v>
      </c>
      <c r="N758" s="6" t="str">
        <f>IFERROR(__xludf.DUMMYFUNCTION("""COMPUTED_VALUE"""),"F")</f>
        <v>F</v>
      </c>
      <c r="O758" s="6" t="str">
        <f>IFERROR(__xludf.DUMMYFUNCTION("""COMPUTED_VALUE"""),"ACTIVE")</f>
        <v>ACTIVE</v>
      </c>
      <c r="P758" s="6"/>
      <c r="Q758" s="6" t="str">
        <f>IFERROR(__xludf.DUMMYFUNCTION("""COMPUTED_VALUE"""),"Armenia")</f>
        <v>Armenia</v>
      </c>
      <c r="R758" s="12" t="str">
        <f>IFERROR(__xludf.DUMMYFUNCTION("""COMPUTED_VALUE"""),"Gi543eswd5*")</f>
        <v>Gi543eswd5*</v>
      </c>
      <c r="S758" s="6" t="str">
        <f>IFERROR(__xludf.DUMMYFUNCTION("""COMPUTED_VALUE"""),"Téllez Santana Valeria ")</f>
        <v>Téllez Santana Valeria </v>
      </c>
      <c r="T758" s="6" t="str">
        <f>IFERROR(__xludf.DUMMYFUNCTION("""COMPUTED_VALUE"""),"JULIÁN ANDRÉS TÉLLEZ TRUJILLO")</f>
        <v>JULIÁN ANDRÉS TÉLLEZ TRUJILLO</v>
      </c>
      <c r="U758" s="12" t="str">
        <f>IFERROR(__xludf.DUMMYFUNCTION("""COMPUTED_VALUE"""),"9726060")</f>
        <v>9726060</v>
      </c>
      <c r="V758" s="6">
        <f>IFERROR(__xludf.DUMMYFUNCTION("""COMPUTED_VALUE"""),3.007296578E9)</f>
        <v>3007296578</v>
      </c>
      <c r="W758" s="6" t="str">
        <f>IFERROR(__xludf.DUMMYFUNCTION("""COMPUTED_VALUE"""),"juliantellez@hotmail.com")</f>
        <v>juliantellez@hotmail.com</v>
      </c>
      <c r="X758" s="12" t="str">
        <f>IFERROR(__xludf.DUMMYFUNCTION("""COMPUTED_VALUE"""),"O+")</f>
        <v>O+</v>
      </c>
      <c r="Y758" s="12" t="str">
        <f>IFERROR(__xludf.DUMMYFUNCTION("""COMPUTED_VALUE"""),"11")</f>
        <v>11</v>
      </c>
      <c r="Z758" s="12">
        <f>IFERROR(__xludf.DUMMYFUNCTION("""COMPUTED_VALUE"""),103254.0)</f>
        <v>103254</v>
      </c>
      <c r="AA758" s="6" t="str">
        <f>IFERROR(__xludf.DUMMYFUNCTION("""COMPUTED_VALUE"""),"SURA")</f>
        <v>SURA</v>
      </c>
      <c r="AB758" s="6" t="str">
        <f>IFERROR(__xludf.DUMMYFUNCTION("""COMPUTED_VALUE"""),"CLINICA SAGRADA FAMILIA")</f>
        <v>CLINICA SAGRADA FAMILIA</v>
      </c>
      <c r="AC758" s="6"/>
      <c r="AD758" s="12" t="str">
        <f>IFERROR(__xludf.DUMMYFUNCTION("""COMPUTED_VALUE"""),"11")</f>
        <v>11</v>
      </c>
      <c r="AE758" s="12">
        <f>IFERROR(__xludf.DUMMYFUNCTION("""COMPUTED_VALUE"""),1.345281601E9)</f>
        <v>1345281601</v>
      </c>
      <c r="AF758" s="12" t="str">
        <f>IFERROR(__xludf.DUMMYFUNCTION("""COMPUTED_VALUE"""),"0694931763")</f>
        <v>0694931763</v>
      </c>
      <c r="AG758" s="12" t="str">
        <f>IFERROR(__xludf.DUMMYFUNCTION("""COMPUTED_VALUE"""),"Luz")</f>
        <v>Luz</v>
      </c>
      <c r="AH758" s="12" t="str">
        <f>IFERROR(__xludf.DUMMYFUNCTION("""COMPUTED_VALUE"""),"Clarena")</f>
        <v>Clarena</v>
      </c>
      <c r="AI758" s="6" t="str">
        <f>IFERROR(__xludf.DUMMYFUNCTION("""COMPUTED_VALUE"""),"Santana Sierra")</f>
        <v>Santana Sierra</v>
      </c>
      <c r="AJ758" s="6" t="str">
        <f>IFERROR(__xludf.DUMMYFUNCTION("""COMPUTED_VALUE"""),"clarenasantana@hotmail.com")</f>
        <v>clarenasantana@hotmail.com</v>
      </c>
      <c r="AK758" s="6" t="str">
        <f>IFERROR(__xludf.DUMMYFUNCTION("""COMPUTED_VALUE"""),"MEDICO ESPECIALISTA")</f>
        <v>MEDICO ESPECIALISTA</v>
      </c>
      <c r="AL758" s="6" t="str">
        <f>IFERROR(__xludf.DUMMYFUNCTION("""COMPUTED_VALUE"""),"CLINICA SAGRADA FAMILIA")</f>
        <v>CLINICA SAGRADA FAMILIA</v>
      </c>
      <c r="AM758" s="12" t="str">
        <f>IFERROR(__xludf.DUMMYFUNCTION("""COMPUTED_VALUE"""),"41930403")</f>
        <v>41930403</v>
      </c>
      <c r="AN758" s="12" t="str">
        <f>IFERROR(__xludf.DUMMYFUNCTION("""COMPUTED_VALUE"""),"3005706071")</f>
        <v>3005706071</v>
      </c>
      <c r="AO758" s="6" t="str">
        <f>IFERROR(__xludf.DUMMYFUNCTION("""COMPUTED_VALUE"""),"Madre")</f>
        <v>Madre</v>
      </c>
      <c r="AP758" s="6" t="str">
        <f>IFERROR(__xludf.DUMMYFUNCTION("""COMPUTED_VALUE"""),"Estudiante(s): Téllez Santana")</f>
        <v>Estudiante(s): Téllez Santana</v>
      </c>
      <c r="AQ758" s="6" t="str">
        <f>IFERROR(__xludf.DUMMYFUNCTION("""COMPUTED_VALUE"""),"103254*Gi")</f>
        <v>103254*Gi</v>
      </c>
      <c r="AR758" s="6" t="str">
        <f>IFERROR(__xludf.DUMMYFUNCTION("""COMPUTED_VALUE"""),"Julián")</f>
        <v>Julián</v>
      </c>
      <c r="AS758" s="6" t="str">
        <f>IFERROR(__xludf.DUMMYFUNCTION("""COMPUTED_VALUE"""),"Andrés")</f>
        <v>Andrés</v>
      </c>
      <c r="AT758" s="6" t="str">
        <f>IFERROR(__xludf.DUMMYFUNCTION("""COMPUTED_VALUE"""),"Téllez Trujillo")</f>
        <v>Téllez Trujillo</v>
      </c>
      <c r="AU758" s="6" t="str">
        <f>IFERROR(__xludf.DUMMYFUNCTION("""COMPUTED_VALUE"""),"juliantellez@hotmail.com")</f>
        <v>juliantellez@hotmail.com</v>
      </c>
      <c r="AV758" s="6" t="str">
        <f>IFERROR(__xludf.DUMMYFUNCTION("""COMPUTED_VALUE"""),"ABOGADO")</f>
        <v>ABOGADO</v>
      </c>
      <c r="AW758" s="6"/>
      <c r="AX758" s="12" t="str">
        <f>IFERROR(__xludf.DUMMYFUNCTION("""COMPUTED_VALUE"""),"9726060")</f>
        <v>9726060</v>
      </c>
      <c r="AY758" s="12" t="str">
        <f>IFERROR(__xludf.DUMMYFUNCTION("""COMPUTED_VALUE"""),"3007296578")</f>
        <v>3007296578</v>
      </c>
      <c r="AZ758" s="6" t="str">
        <f>IFERROR(__xludf.DUMMYFUNCTION("""COMPUTED_VALUE"""),"Padre")</f>
        <v>Padre</v>
      </c>
      <c r="BA758" s="6"/>
      <c r="BB758" s="6"/>
      <c r="BC758" s="6"/>
      <c r="BD758" s="12" t="str">
        <f>IFERROR(__xludf.DUMMYFUNCTION("""COMPUTED_VALUE"""),"tel0001")</f>
        <v>tel0001</v>
      </c>
      <c r="BE758" s="6"/>
      <c r="BF758" s="6"/>
      <c r="BG758" s="6">
        <f>IFERROR(__xludf.DUMMYFUNCTION("""COMPUTED_VALUE"""),2028.0)</f>
        <v>2028</v>
      </c>
      <c r="BH758" s="15">
        <f>IFERROR(__xludf.DUMMYFUNCTION("""COMPUTED_VALUE"""),46211.49340277778)</f>
        <v>46211.4934</v>
      </c>
      <c r="BI758" s="6">
        <f>IFERROR(__xludf.DUMMYFUNCTION("""COMPUTED_VALUE"""),759.0)</f>
        <v>759</v>
      </c>
      <c r="BJ758" s="6"/>
      <c r="BK758" s="6"/>
      <c r="BL758" s="6" t="str">
        <f>IFERROR(__xludf.DUMMYFUNCTION("""COMPUTED_VALUE"""),"GISTEL0001")</f>
        <v>GISTEL0001</v>
      </c>
      <c r="BM758" s="6"/>
      <c r="BN758" s="6"/>
      <c r="BO758" s="6"/>
      <c r="BP758" s="6"/>
      <c r="BQ758" s="6"/>
      <c r="BR758" s="6"/>
      <c r="BS758" s="6"/>
      <c r="BT758" s="6"/>
      <c r="BU758" s="6" t="str">
        <f>IFERROR(__xludf.DUMMYFUNCTION("""COMPUTED_VALUE"""),"SI")</f>
        <v>SI</v>
      </c>
      <c r="BV758" s="6" t="str">
        <f>IFERROR(__xludf.DUMMYFUNCTION("""COMPUTED_VALUE"""),"valeria.t2028")</f>
        <v>valeria.t2028</v>
      </c>
      <c r="BW758" s="6"/>
      <c r="BX758" s="6"/>
      <c r="BY758" s="6"/>
      <c r="BZ758" s="6"/>
    </row>
    <row r="759">
      <c r="A759" s="12">
        <f>IFERROR(__xludf.DUMMYFUNCTION("""COMPUTED_VALUE"""),1.092854874E9)</f>
        <v>1092854874</v>
      </c>
      <c r="B759" s="6">
        <f>IFERROR(__xludf.DUMMYFUNCTION("""COMPUTED_VALUE"""),49.0)</f>
        <v>49</v>
      </c>
      <c r="C759" s="6" t="str">
        <f>IFERROR(__xludf.DUMMYFUNCTION("""COMPUTED_VALUE"""),"Juan")</f>
        <v>Juan</v>
      </c>
      <c r="D759" s="6" t="str">
        <f>IFERROR(__xludf.DUMMYFUNCTION("""COMPUTED_VALUE"""),"Sebastián")</f>
        <v>Sebastián</v>
      </c>
      <c r="E759" s="6" t="str">
        <f>IFERROR(__xludf.DUMMYFUNCTION("""COMPUTED_VALUE"""),"Tisnés Pachón")</f>
        <v>Tisnés Pachón</v>
      </c>
      <c r="F759" s="6" t="str">
        <f>IFERROR(__xludf.DUMMYFUNCTION("""COMPUTED_VALUE"""),"Lagos de Iraka Casas de Campo Casa 22A - Km 7 Via Armenia - El Caimo")</f>
        <v>Lagos de Iraka Casas de Campo Casa 22A - Km 7 Via Armenia - El Caimo</v>
      </c>
      <c r="G759" s="12" t="str">
        <f>IFERROR(__xludf.DUMMYFUNCTION("""COMPUTED_VALUE"""),"2010")</f>
        <v>2010</v>
      </c>
      <c r="H759" s="6" t="str">
        <f>IFERROR(__xludf.DUMMYFUNCTION("""COMPUTED_VALUE"""),"Agosto")</f>
        <v>Agosto</v>
      </c>
      <c r="I759" s="12" t="str">
        <f>IFERROR(__xludf.DUMMYFUNCTION("""COMPUTED_VALUE"""),"19")</f>
        <v>19</v>
      </c>
      <c r="J759" s="6" t="str">
        <f>IFERROR(__xludf.DUMMYFUNCTION("""COMPUTED_VALUE"""),"Armenia")</f>
        <v>Armenia</v>
      </c>
      <c r="K759" s="6" t="str">
        <f>IFERROR(__xludf.DUMMYFUNCTION("""COMPUTED_VALUE"""),"juan.t2028@gi.edu.co")</f>
        <v>juan.t2028@gi.edu.co</v>
      </c>
      <c r="L759" s="6" t="str">
        <f>IFERROR(__xludf.DUMMYFUNCTION("""COMPUTED_VALUE"""),"TI")</f>
        <v>TI</v>
      </c>
      <c r="M759" s="6" t="str">
        <f>IFERROR(__xludf.DUMMYFUNCTION("""COMPUTED_VALUE"""),"Armenia")</f>
        <v>Armenia</v>
      </c>
      <c r="N759" s="6" t="str">
        <f>IFERROR(__xludf.DUMMYFUNCTION("""COMPUTED_VALUE"""),"M")</f>
        <v>M</v>
      </c>
      <c r="O759" s="6" t="str">
        <f>IFERROR(__xludf.DUMMYFUNCTION("""COMPUTED_VALUE"""),"INACTIVE")</f>
        <v>INACTIVE</v>
      </c>
      <c r="P759" s="6"/>
      <c r="Q759" s="6" t="str">
        <f>IFERROR(__xludf.DUMMYFUNCTION("""COMPUTED_VALUE"""),"Armenia")</f>
        <v>Armenia</v>
      </c>
      <c r="R759" s="12" t="str">
        <f>IFERROR(__xludf.DUMMYFUNCTION("""COMPUTED_VALUE"""),"Git1s4e59a*")</f>
        <v>Git1s4e59a*</v>
      </c>
      <c r="S759" s="6" t="str">
        <f>IFERROR(__xludf.DUMMYFUNCTION("""COMPUTED_VALUE"""),"Tisnés Pachón Juan Sebastián")</f>
        <v>Tisnés Pachón Juan Sebastián</v>
      </c>
      <c r="T759" s="6" t="str">
        <f>IFERROR(__xludf.DUMMYFUNCTION("""COMPUTED_VALUE"""),"SEBASTIAN TISNES FERNANDEZ")</f>
        <v>SEBASTIAN TISNES FERNANDEZ</v>
      </c>
      <c r="U759" s="12" t="str">
        <f>IFERROR(__xludf.DUMMYFUNCTION("""COMPUTED_VALUE"""),"4377993")</f>
        <v>4377993</v>
      </c>
      <c r="V759" s="6">
        <f>IFERROR(__xludf.DUMMYFUNCTION("""COMPUTED_VALUE"""),3.186297609E9)</f>
        <v>3186297609</v>
      </c>
      <c r="W759" s="6" t="str">
        <f>IFERROR(__xludf.DUMMYFUNCTION("""COMPUTED_VALUE"""),"sebastian.tisnes@hotmail.com")</f>
        <v>sebastian.tisnes@hotmail.com</v>
      </c>
      <c r="X759" s="12" t="str">
        <f>IFERROR(__xludf.DUMMYFUNCTION("""COMPUTED_VALUE"""),"B+")</f>
        <v>B+</v>
      </c>
      <c r="Y759" s="12" t="str">
        <f>IFERROR(__xludf.DUMMYFUNCTION("""COMPUTED_VALUE"""),"11")</f>
        <v>11</v>
      </c>
      <c r="Z759" s="12">
        <f>IFERROR(__xludf.DUMMYFUNCTION("""COMPUTED_VALUE"""),103386.0)</f>
        <v>103386</v>
      </c>
      <c r="AA759" s="6" t="str">
        <f>IFERROR(__xludf.DUMMYFUNCTION("""COMPUTED_VALUE"""),"SURA")</f>
        <v>SURA</v>
      </c>
      <c r="AB759" s="6" t="str">
        <f>IFERROR(__xludf.DUMMYFUNCTION("""COMPUTED_VALUE"""),"sura")</f>
        <v>sura</v>
      </c>
      <c r="AC759" s="6"/>
      <c r="AD759" s="12" t="str">
        <f>IFERROR(__xludf.DUMMYFUNCTION("""COMPUTED_VALUE"""),"11")</f>
        <v>11</v>
      </c>
      <c r="AE759" s="12">
        <f>IFERROR(__xludf.DUMMYFUNCTION("""COMPUTED_VALUE"""),1.345281658E9)</f>
        <v>1345281658</v>
      </c>
      <c r="AF759" s="12" t="str">
        <f>IFERROR(__xludf.DUMMYFUNCTION("""COMPUTED_VALUE"""),"0669192979")</f>
        <v>0669192979</v>
      </c>
      <c r="AG759" s="12" t="str">
        <f>IFERROR(__xludf.DUMMYFUNCTION("""COMPUTED_VALUE"""),"Nathalia")</f>
        <v>Nathalia</v>
      </c>
      <c r="AH759" s="12" t="str">
        <f>IFERROR(__xludf.DUMMYFUNCTION("""COMPUTED_VALUE"""),"Marcela")</f>
        <v>Marcela</v>
      </c>
      <c r="AI759" s="6" t="str">
        <f>IFERROR(__xludf.DUMMYFUNCTION("""COMPUTED_VALUE"""),"Pachón Ocampo")</f>
        <v>Pachón Ocampo</v>
      </c>
      <c r="AJ759" s="6" t="str">
        <f>IFERROR(__xludf.DUMMYFUNCTION("""COMPUTED_VALUE"""),"nathalia.pachon3@gmail.com")</f>
        <v>nathalia.pachon3@gmail.com</v>
      </c>
      <c r="AK759" s="6" t="str">
        <f>IFERROR(__xludf.DUMMYFUNCTION("""COMPUTED_VALUE"""),"PSICOLOGA")</f>
        <v>PSICOLOGA</v>
      </c>
      <c r="AL759" s="6" t="str">
        <f>IFERROR(__xludf.DUMMYFUNCTION("""COMPUTED_VALUE"""),"VALU COMERCIAL")</f>
        <v>VALU COMERCIAL</v>
      </c>
      <c r="AM759" s="12" t="str">
        <f>IFERROR(__xludf.DUMMYFUNCTION("""COMPUTED_VALUE"""),"41962317")</f>
        <v>41962317</v>
      </c>
      <c r="AN759" s="12" t="str">
        <f>IFERROR(__xludf.DUMMYFUNCTION("""COMPUTED_VALUE"""),"3186297591")</f>
        <v>3186297591</v>
      </c>
      <c r="AO759" s="6" t="str">
        <f>IFERROR(__xludf.DUMMYFUNCTION("""COMPUTED_VALUE"""),"Madre")</f>
        <v>Madre</v>
      </c>
      <c r="AP759" s="6" t="str">
        <f>IFERROR(__xludf.DUMMYFUNCTION("""COMPUTED_VALUE"""),"Estudiante(s): Tisnés Pachón")</f>
        <v>Estudiante(s): Tisnés Pachón</v>
      </c>
      <c r="AQ759" s="6" t="str">
        <f>IFERROR(__xludf.DUMMYFUNCTION("""COMPUTED_VALUE"""),"103386*Gi")</f>
        <v>103386*Gi</v>
      </c>
      <c r="AR759" s="6" t="str">
        <f>IFERROR(__xludf.DUMMYFUNCTION("""COMPUTED_VALUE"""),"Sebastián")</f>
        <v>Sebastián</v>
      </c>
      <c r="AS759" s="6"/>
      <c r="AT759" s="6" t="str">
        <f>IFERROR(__xludf.DUMMYFUNCTION("""COMPUTED_VALUE"""),"Tisnés Fernández")</f>
        <v>Tisnés Fernández</v>
      </c>
      <c r="AU759" s="6" t="str">
        <f>IFERROR(__xludf.DUMMYFUNCTION("""COMPUTED_VALUE"""),"sebastian.tisnes@hotmail.com")</f>
        <v>sebastian.tisnes@hotmail.com</v>
      </c>
      <c r="AV759" s="6" t="str">
        <f>IFERROR(__xludf.DUMMYFUNCTION("""COMPUTED_VALUE"""),"Ing Electrónico")</f>
        <v>Ing Electrónico</v>
      </c>
      <c r="AW759" s="6" t="str">
        <f>IFERROR(__xludf.DUMMYFUNCTION("""COMPUTED_VALUE"""),"Building technology")</f>
        <v>Building technology</v>
      </c>
      <c r="AX759" s="12" t="str">
        <f>IFERROR(__xludf.DUMMYFUNCTION("""COMPUTED_VALUE"""),"4377993")</f>
        <v>4377993</v>
      </c>
      <c r="AY759" s="12" t="str">
        <f>IFERROR(__xludf.DUMMYFUNCTION("""COMPUTED_VALUE"""),"3186297609")</f>
        <v>3186297609</v>
      </c>
      <c r="AZ759" s="6" t="str">
        <f>IFERROR(__xludf.DUMMYFUNCTION("""COMPUTED_VALUE"""),"Padre")</f>
        <v>Padre</v>
      </c>
      <c r="BA759" s="6"/>
      <c r="BB759" s="6"/>
      <c r="BC759" s="6"/>
      <c r="BD759" s="12" t="str">
        <f>IFERROR(__xludf.DUMMYFUNCTION("""COMPUTED_VALUE"""),"tis0001")</f>
        <v>tis0001</v>
      </c>
      <c r="BE759" s="6" t="str">
        <f>IFERROR(__xludf.DUMMYFUNCTION("""COMPUTED_VALUE"""),"FALTAN FIRMAS")</f>
        <v>FALTAN FIRMAS</v>
      </c>
      <c r="BF759" s="6"/>
      <c r="BG759" s="6">
        <f>IFERROR(__xludf.DUMMYFUNCTION("""COMPUTED_VALUE"""),2028.0)</f>
        <v>2028</v>
      </c>
      <c r="BH759" s="15">
        <f>IFERROR(__xludf.DUMMYFUNCTION("""COMPUTED_VALUE"""),46212.56072916667)</f>
        <v>46212.56073</v>
      </c>
      <c r="BI759" s="6">
        <f>IFERROR(__xludf.DUMMYFUNCTION("""COMPUTED_VALUE"""),760.0)</f>
        <v>760</v>
      </c>
      <c r="BJ759" s="6" t="str">
        <f>IFERROR(__xludf.DUMMYFUNCTION("""COMPUTED_VALUE"""),"SIMAT: trastorno por déficit de atención con o sin hiperactividad (Nov 13 2024)")</f>
        <v>SIMAT: trastorno por déficit de atención con o sin hiperactividad (Nov 13 2024)</v>
      </c>
      <c r="BK759" s="6"/>
      <c r="BL759" s="6" t="str">
        <f>IFERROR(__xludf.DUMMYFUNCTION("""COMPUTED_VALUE"""),"GISTIS0001")</f>
        <v>GISTIS0001</v>
      </c>
      <c r="BM759" s="6"/>
      <c r="BN759" s="6"/>
      <c r="BO759" s="6" t="str">
        <f>IFERROR(__xludf.DUMMYFUNCTION("""COMPUTED_VALUE"""),"XC_HS_Futbol_M")</f>
        <v>XC_HS_Futbol_M</v>
      </c>
      <c r="BP759" s="6"/>
      <c r="BQ759" s="6" t="str">
        <f>IFERROR(__xludf.DUMMYFUNCTION("""COMPUTED_VALUE"""),"XC_HS_Futbol_M")</f>
        <v>XC_HS_Futbol_M</v>
      </c>
      <c r="BR759" s="6" t="str">
        <f>IFERROR(__xludf.DUMMYFUNCTION("""COMPUTED_VALUE"""),"XC_HS_Futbol_M")</f>
        <v>XC_HS_Futbol_M</v>
      </c>
      <c r="BS759" s="6"/>
      <c r="BT759" s="6" t="str">
        <f>IFERROR(__xludf.DUMMYFUNCTION("""COMPUTED_VALUE"""),"XC_HS_Futbol_M")</f>
        <v>XC_HS_Futbol_M</v>
      </c>
      <c r="BU759" s="6" t="str">
        <f>IFERROR(__xludf.DUMMYFUNCTION("""COMPUTED_VALUE"""),"SI")</f>
        <v>SI</v>
      </c>
      <c r="BV759" s="6" t="str">
        <f>IFERROR(__xludf.DUMMYFUNCTION("""COMPUTED_VALUE"""),"juan.t2028")</f>
        <v>juan.t2028</v>
      </c>
      <c r="BW759" s="6"/>
      <c r="BX759" s="6"/>
      <c r="BY759" s="6"/>
      <c r="BZ759" s="6"/>
    </row>
    <row r="760">
      <c r="A760" s="12">
        <f>IFERROR(__xludf.DUMMYFUNCTION("""COMPUTED_VALUE"""),1.089607831E9)</f>
        <v>1089607831</v>
      </c>
      <c r="B760" s="6">
        <f>IFERROR(__xludf.DUMMYFUNCTION("""COMPUTED_VALUE"""),50.0)</f>
        <v>50</v>
      </c>
      <c r="C760" s="6" t="str">
        <f>IFERROR(__xludf.DUMMYFUNCTION("""COMPUTED_VALUE"""),"Miguel")</f>
        <v>Miguel</v>
      </c>
      <c r="D760" s="6" t="str">
        <f>IFERROR(__xludf.DUMMYFUNCTION("""COMPUTED_VALUE"""),"Angel")</f>
        <v>Angel</v>
      </c>
      <c r="E760" s="6" t="str">
        <f>IFERROR(__xludf.DUMMYFUNCTION("""COMPUTED_VALUE"""),"Torres Pinzón")</f>
        <v>Torres Pinzón</v>
      </c>
      <c r="F760" s="6" t="str">
        <f>IFERROR(__xludf.DUMMYFUNCTION("""COMPUTED_VALUE"""),"Apartamentos San Juan de la Loma Torre 1 Apto 502 - Cra 19 No22Nte - 124")</f>
        <v>Apartamentos San Juan de la Loma Torre 1 Apto 502 - Cra 19 No22Nte - 124</v>
      </c>
      <c r="G760" s="12" t="str">
        <f>IFERROR(__xludf.DUMMYFUNCTION("""COMPUTED_VALUE"""),"2010")</f>
        <v>2010</v>
      </c>
      <c r="H760" s="6" t="str">
        <f>IFERROR(__xludf.DUMMYFUNCTION("""COMPUTED_VALUE"""),"Enero")</f>
        <v>Enero</v>
      </c>
      <c r="I760" s="12" t="str">
        <f>IFERROR(__xludf.DUMMYFUNCTION("""COMPUTED_VALUE"""),"14")</f>
        <v>14</v>
      </c>
      <c r="J760" s="6" t="str">
        <f>IFERROR(__xludf.DUMMYFUNCTION("""COMPUTED_VALUE"""),"Pereira")</f>
        <v>Pereira</v>
      </c>
      <c r="K760" s="6" t="str">
        <f>IFERROR(__xludf.DUMMYFUNCTION("""COMPUTED_VALUE"""),"miguel.t2028@gi.edu.co")</f>
        <v>miguel.t2028@gi.edu.co</v>
      </c>
      <c r="L760" s="6" t="str">
        <f>IFERROR(__xludf.DUMMYFUNCTION("""COMPUTED_VALUE"""),"TI")</f>
        <v>TI</v>
      </c>
      <c r="M760" s="6" t="str">
        <f>IFERROR(__xludf.DUMMYFUNCTION("""COMPUTED_VALUE"""),"Pereira")</f>
        <v>Pereira</v>
      </c>
      <c r="N760" s="6" t="str">
        <f>IFERROR(__xludf.DUMMYFUNCTION("""COMPUTED_VALUE"""),"M")</f>
        <v>M</v>
      </c>
      <c r="O760" s="6" t="str">
        <f>IFERROR(__xludf.DUMMYFUNCTION("""COMPUTED_VALUE"""),"ACTIVE")</f>
        <v>ACTIVE</v>
      </c>
      <c r="P760" s="6"/>
      <c r="Q760" s="6" t="str">
        <f>IFERROR(__xludf.DUMMYFUNCTION("""COMPUTED_VALUE"""),"Armenia")</f>
        <v>Armenia</v>
      </c>
      <c r="R760" s="12" t="str">
        <f>IFERROR(__xludf.DUMMYFUNCTION("""COMPUTED_VALUE"""),"Gi97693219*")</f>
        <v>Gi97693219*</v>
      </c>
      <c r="S760" s="6" t="str">
        <f>IFERROR(__xludf.DUMMYFUNCTION("""COMPUTED_VALUE"""),"Torres Pinzón Miguel Angel")</f>
        <v>Torres Pinzón Miguel Angel</v>
      </c>
      <c r="T760" s="6" t="str">
        <f>IFERROR(__xludf.DUMMYFUNCTION("""COMPUTED_VALUE"""),"MAYRA MÓNICA PINZÓN HINCAPIÉ")</f>
        <v>MAYRA MÓNICA PINZÓN HINCAPIÉ</v>
      </c>
      <c r="U760" s="12" t="str">
        <f>IFERROR(__xludf.DUMMYFUNCTION("""COMPUTED_VALUE"""),"41945692")</f>
        <v>41945692</v>
      </c>
      <c r="V760" s="6">
        <f>IFERROR(__xludf.DUMMYFUNCTION("""COMPUTED_VALUE"""),3.155105289E9)</f>
        <v>3155105289</v>
      </c>
      <c r="W760" s="6" t="str">
        <f>IFERROR(__xludf.DUMMYFUNCTION("""COMPUTED_VALUE"""),"mayrap@gi.edu.co")</f>
        <v>mayrap@gi.edu.co</v>
      </c>
      <c r="X760" s="12" t="str">
        <f>IFERROR(__xludf.DUMMYFUNCTION("""COMPUTED_VALUE"""),"O+")</f>
        <v>O+</v>
      </c>
      <c r="Y760" s="12" t="str">
        <f>IFERROR(__xludf.DUMMYFUNCTION("""COMPUTED_VALUE"""),"11")</f>
        <v>11</v>
      </c>
      <c r="Z760" s="12">
        <f>IFERROR(__xludf.DUMMYFUNCTION("""COMPUTED_VALUE"""),102831.0)</f>
        <v>102831</v>
      </c>
      <c r="AA760" s="6" t="str">
        <f>IFERROR(__xludf.DUMMYFUNCTION("""COMPUTED_VALUE"""),"SURA")</f>
        <v>SURA</v>
      </c>
      <c r="AB760" s="6" t="str">
        <f>IFERROR(__xludf.DUMMYFUNCTION("""COMPUTED_VALUE"""),"Sentir humano")</f>
        <v>Sentir humano</v>
      </c>
      <c r="AC760" s="12" t="str">
        <f>IFERROR(__xludf.DUMMYFUNCTION("""COMPUTED_VALUE"""),"Picadura insectos")</f>
        <v>Picadura insectos</v>
      </c>
      <c r="AD760" s="12" t="str">
        <f>IFERROR(__xludf.DUMMYFUNCTION("""COMPUTED_VALUE"""),"11")</f>
        <v>11</v>
      </c>
      <c r="AE760" s="12">
        <f>IFERROR(__xludf.DUMMYFUNCTION("""COMPUTED_VALUE"""),1.345281378E9)</f>
        <v>1345281378</v>
      </c>
      <c r="AF760" s="12" t="str">
        <f>IFERROR(__xludf.DUMMYFUNCTION("""COMPUTED_VALUE"""),"0705982307")</f>
        <v>0705982307</v>
      </c>
      <c r="AG760" s="12" t="str">
        <f>IFERROR(__xludf.DUMMYFUNCTION("""COMPUTED_VALUE"""),"Mayra")</f>
        <v>Mayra</v>
      </c>
      <c r="AH760" s="12" t="str">
        <f>IFERROR(__xludf.DUMMYFUNCTION("""COMPUTED_VALUE"""),"Mónica")</f>
        <v>Mónica</v>
      </c>
      <c r="AI760" s="6" t="str">
        <f>IFERROR(__xludf.DUMMYFUNCTION("""COMPUTED_VALUE"""),"Pinzón Hincapié")</f>
        <v>Pinzón Hincapié</v>
      </c>
      <c r="AJ760" s="6" t="str">
        <f>IFERROR(__xludf.DUMMYFUNCTION("""COMPUTED_VALUE"""),"mayrap@gi.edu.co")</f>
        <v>mayrap@gi.edu.co</v>
      </c>
      <c r="AK760" s="6" t="str">
        <f>IFERROR(__xludf.DUMMYFUNCTION("""COMPUTED_VALUE"""),"Psicóloga")</f>
        <v>Psicóloga</v>
      </c>
      <c r="AL760" s="6" t="str">
        <f>IFERROR(__xludf.DUMMYFUNCTION("""COMPUTED_VALUE"""),"GI School")</f>
        <v>GI School</v>
      </c>
      <c r="AM760" s="12" t="str">
        <f>IFERROR(__xludf.DUMMYFUNCTION("""COMPUTED_VALUE"""),"41945692")</f>
        <v>41945692</v>
      </c>
      <c r="AN760" s="12" t="str">
        <f>IFERROR(__xludf.DUMMYFUNCTION("""COMPUTED_VALUE"""),"3155105289")</f>
        <v>3155105289</v>
      </c>
      <c r="AO760" s="6" t="str">
        <f>IFERROR(__xludf.DUMMYFUNCTION("""COMPUTED_VALUE"""),"Madre")</f>
        <v>Madre</v>
      </c>
      <c r="AP760" s="6" t="str">
        <f>IFERROR(__xludf.DUMMYFUNCTION("""COMPUTED_VALUE"""),"Estudiante(s): Torres Pinzón")</f>
        <v>Estudiante(s): Torres Pinzón</v>
      </c>
      <c r="AQ760" s="6" t="str">
        <f>IFERROR(__xludf.DUMMYFUNCTION("""COMPUTED_VALUE"""),"102831*Gi")</f>
        <v>102831*Gi</v>
      </c>
      <c r="AR760" s="6"/>
      <c r="AS760" s="6"/>
      <c r="AT760" s="6"/>
      <c r="AU760" s="6"/>
      <c r="AV760" s="6"/>
      <c r="AW760" s="6"/>
      <c r="AX760" s="6"/>
      <c r="AY760" s="6"/>
      <c r="AZ760" s="6" t="str">
        <f>IFERROR(__xludf.DUMMYFUNCTION("""COMPUTED_VALUE"""),"Padre")</f>
        <v>Padre</v>
      </c>
      <c r="BA760" s="6"/>
      <c r="BB760" s="6"/>
      <c r="BC760" s="6"/>
      <c r="BD760" s="12" t="str">
        <f>IFERROR(__xludf.DUMMYFUNCTION("""COMPUTED_VALUE"""),"tor0005")</f>
        <v>tor0005</v>
      </c>
      <c r="BE760" s="6"/>
      <c r="BF760" s="6"/>
      <c r="BG760" s="6">
        <f>IFERROR(__xludf.DUMMYFUNCTION("""COMPUTED_VALUE"""),2028.0)</f>
        <v>2028</v>
      </c>
      <c r="BH760" s="15">
        <f>IFERROR(__xludf.DUMMYFUNCTION("""COMPUTED_VALUE"""),46203.63145833334)</f>
        <v>46203.63146</v>
      </c>
      <c r="BI760" s="6">
        <f>IFERROR(__xludf.DUMMYFUNCTION("""COMPUTED_VALUE"""),761.0)</f>
        <v>761</v>
      </c>
      <c r="BJ760" s="6"/>
      <c r="BK760" s="6"/>
      <c r="BL760" s="6" t="str">
        <f>IFERROR(__xludf.DUMMYFUNCTION("""COMPUTED_VALUE"""),"GISTOR0005")</f>
        <v>GISTOR0005</v>
      </c>
      <c r="BM760" s="6"/>
      <c r="BN760" s="6"/>
      <c r="BO760" s="6"/>
      <c r="BP760" s="6"/>
      <c r="BQ760" s="6"/>
      <c r="BR760" s="6"/>
      <c r="BS760" s="6"/>
      <c r="BT760" s="6"/>
      <c r="BU760" s="6" t="str">
        <f>IFERROR(__xludf.DUMMYFUNCTION("""COMPUTED_VALUE"""),"SI")</f>
        <v>SI</v>
      </c>
      <c r="BV760" s="6" t="str">
        <f>IFERROR(__xludf.DUMMYFUNCTION("""COMPUTED_VALUE"""),"miguel.t2028")</f>
        <v>miguel.t2028</v>
      </c>
      <c r="BW760" s="6"/>
      <c r="BX760" s="6"/>
      <c r="BY760" s="6"/>
      <c r="BZ760" s="6"/>
    </row>
    <row r="761">
      <c r="A761" s="12">
        <f>IFERROR(__xludf.DUMMYFUNCTION("""COMPUTED_VALUE"""),1.090276965E9)</f>
        <v>1090276965</v>
      </c>
      <c r="B761" s="6">
        <f>IFERROR(__xludf.DUMMYFUNCTION("""COMPUTED_VALUE"""),51.0)</f>
        <v>51</v>
      </c>
      <c r="C761" s="6" t="str">
        <f>IFERROR(__xludf.DUMMYFUNCTION("""COMPUTED_VALUE"""),"Isabella")</f>
        <v>Isabella</v>
      </c>
      <c r="D761" s="6"/>
      <c r="E761" s="6" t="str">
        <f>IFERROR(__xludf.DUMMYFUNCTION("""COMPUTED_VALUE"""),"Uribe Castro")</f>
        <v>Uribe Castro</v>
      </c>
      <c r="F761" s="6" t="str">
        <f>IFERROR(__xludf.DUMMYFUNCTION("""COMPUTED_VALUE"""),"Condominio Hacienda Horizontes Casa 6 - Km 3 Via Circasia Vereda la Florida")</f>
        <v>Condominio Hacienda Horizontes Casa 6 - Km 3 Via Circasia Vereda la Florida</v>
      </c>
      <c r="G761" s="12" t="str">
        <f>IFERROR(__xludf.DUMMYFUNCTION("""COMPUTED_VALUE"""),"2010")</f>
        <v>2010</v>
      </c>
      <c r="H761" s="6" t="str">
        <f>IFERROR(__xludf.DUMMYFUNCTION("""COMPUTED_VALUE"""),"Noviembre")</f>
        <v>Noviembre</v>
      </c>
      <c r="I761" s="12" t="str">
        <f>IFERROR(__xludf.DUMMYFUNCTION("""COMPUTED_VALUE"""),"21")</f>
        <v>21</v>
      </c>
      <c r="J761" s="6" t="str">
        <f>IFERROR(__xludf.DUMMYFUNCTION("""COMPUTED_VALUE"""),"Armenia")</f>
        <v>Armenia</v>
      </c>
      <c r="K761" s="6" t="str">
        <f>IFERROR(__xludf.DUMMYFUNCTION("""COMPUTED_VALUE"""),"isabella.u2028@gi.edu.co")</f>
        <v>isabella.u2028@gi.edu.co</v>
      </c>
      <c r="L761" s="6" t="str">
        <f>IFERROR(__xludf.DUMMYFUNCTION("""COMPUTED_VALUE"""),"TI")</f>
        <v>TI</v>
      </c>
      <c r="M761" s="6" t="str">
        <f>IFERROR(__xludf.DUMMYFUNCTION("""COMPUTED_VALUE"""),"Armenia")</f>
        <v>Armenia</v>
      </c>
      <c r="N761" s="6" t="str">
        <f>IFERROR(__xludf.DUMMYFUNCTION("""COMPUTED_VALUE"""),"F")</f>
        <v>F</v>
      </c>
      <c r="O761" s="6" t="str">
        <f>IFERROR(__xludf.DUMMYFUNCTION("""COMPUTED_VALUE"""),"ACTIVE")</f>
        <v>ACTIVE</v>
      </c>
      <c r="P761" s="6"/>
      <c r="Q761" s="6" t="str">
        <f>IFERROR(__xludf.DUMMYFUNCTION("""COMPUTED_VALUE"""),"Armenia")</f>
        <v>Armenia</v>
      </c>
      <c r="R761" s="12" t="str">
        <f>IFERROR(__xludf.DUMMYFUNCTION("""COMPUTED_VALUE"""),"Gi194drt64*")</f>
        <v>Gi194drt64*</v>
      </c>
      <c r="S761" s="6" t="str">
        <f>IFERROR(__xludf.DUMMYFUNCTION("""COMPUTED_VALUE"""),"Uribe Castro Isabella ")</f>
        <v>Uribe Castro Isabella </v>
      </c>
      <c r="T761" s="6" t="str">
        <f>IFERROR(__xludf.DUMMYFUNCTION("""COMPUTED_VALUE"""),"LEIDY JHANNINNI CASTRO SALCEDO")</f>
        <v>LEIDY JHANNINNI CASTRO SALCEDO</v>
      </c>
      <c r="U761" s="12" t="str">
        <f>IFERROR(__xludf.DUMMYFUNCTION("""COMPUTED_VALUE"""),"41959534")</f>
        <v>41959534</v>
      </c>
      <c r="V761" s="6">
        <f>IFERROR(__xludf.DUMMYFUNCTION("""COMPUTED_VALUE"""),3.014917486E9)</f>
        <v>3014917486</v>
      </c>
      <c r="W761" s="6" t="str">
        <f>IFERROR(__xludf.DUMMYFUNCTION("""COMPUTED_VALUE"""),"lcastros@dian.gov.co")</f>
        <v>lcastros@dian.gov.co</v>
      </c>
      <c r="X761" s="12" t="str">
        <f>IFERROR(__xludf.DUMMYFUNCTION("""COMPUTED_VALUE"""),"B+")</f>
        <v>B+</v>
      </c>
      <c r="Y761" s="12" t="str">
        <f>IFERROR(__xludf.DUMMYFUNCTION("""COMPUTED_VALUE"""),"11")</f>
        <v>11</v>
      </c>
      <c r="Z761" s="12">
        <f>IFERROR(__xludf.DUMMYFUNCTION("""COMPUTED_VALUE"""),103170.0)</f>
        <v>103170</v>
      </c>
      <c r="AA761" s="6" t="str">
        <f>IFERROR(__xludf.DUMMYFUNCTION("""COMPUTED_VALUE"""),"SURA")</f>
        <v>SURA</v>
      </c>
      <c r="AB761" s="6" t="str">
        <f>IFERROR(__xludf.DUMMYFUNCTION("""COMPUTED_VALUE"""),"EMI")</f>
        <v>EMI</v>
      </c>
      <c r="AC761" s="6"/>
      <c r="AD761" s="12" t="str">
        <f>IFERROR(__xludf.DUMMYFUNCTION("""COMPUTED_VALUE"""),"11")</f>
        <v>11</v>
      </c>
      <c r="AE761" s="12">
        <f>IFERROR(__xludf.DUMMYFUNCTION("""COMPUTED_VALUE"""),1.345281556E9)</f>
        <v>1345281556</v>
      </c>
      <c r="AF761" s="12" t="str">
        <f>IFERROR(__xludf.DUMMYFUNCTION("""COMPUTED_VALUE"""),"0670844019")</f>
        <v>0670844019</v>
      </c>
      <c r="AG761" s="12" t="str">
        <f>IFERROR(__xludf.DUMMYFUNCTION("""COMPUTED_VALUE"""),"Leidy")</f>
        <v>Leidy</v>
      </c>
      <c r="AH761" s="12" t="str">
        <f>IFERROR(__xludf.DUMMYFUNCTION("""COMPUTED_VALUE"""),"Jhanninni")</f>
        <v>Jhanninni</v>
      </c>
      <c r="AI761" s="6" t="str">
        <f>IFERROR(__xludf.DUMMYFUNCTION("""COMPUTED_VALUE"""),"Castro Salcedo")</f>
        <v>Castro Salcedo</v>
      </c>
      <c r="AJ761" s="6" t="str">
        <f>IFERROR(__xludf.DUMMYFUNCTION("""COMPUTED_VALUE"""),"lcastros@dian.gov.co")</f>
        <v>lcastros@dian.gov.co</v>
      </c>
      <c r="AK761" s="6" t="str">
        <f>IFERROR(__xludf.DUMMYFUNCTION("""COMPUTED_VALUE"""),"Abogada")</f>
        <v>Abogada</v>
      </c>
      <c r="AL761" s="6" t="str">
        <f>IFERROR(__xludf.DUMMYFUNCTION("""COMPUTED_VALUE"""),"DIAN")</f>
        <v>DIAN</v>
      </c>
      <c r="AM761" s="12" t="str">
        <f>IFERROR(__xludf.DUMMYFUNCTION("""COMPUTED_VALUE"""),"41959534")</f>
        <v>41959534</v>
      </c>
      <c r="AN761" s="12" t="str">
        <f>IFERROR(__xludf.DUMMYFUNCTION("""COMPUTED_VALUE"""),"3014917486")</f>
        <v>3014917486</v>
      </c>
      <c r="AO761" s="6" t="str">
        <f>IFERROR(__xludf.DUMMYFUNCTION("""COMPUTED_VALUE"""),"Madre")</f>
        <v>Madre</v>
      </c>
      <c r="AP761" s="6" t="str">
        <f>IFERROR(__xludf.DUMMYFUNCTION("""COMPUTED_VALUE"""),"Estudiante(s): Juan José Carvajal Castro &amp; Isabella Uribe Castro")</f>
        <v>Estudiante(s): Juan José Carvajal Castro &amp; Isabella Uribe Castro</v>
      </c>
      <c r="AQ761" s="6" t="str">
        <f>IFERROR(__xludf.DUMMYFUNCTION("""COMPUTED_VALUE"""),"103170*Gi")</f>
        <v>103170*Gi</v>
      </c>
      <c r="AR761" s="6" t="str">
        <f>IFERROR(__xludf.DUMMYFUNCTION("""COMPUTED_VALUE"""),"Yeimy")</f>
        <v>Yeimy</v>
      </c>
      <c r="AS761" s="6" t="str">
        <f>IFERROR(__xludf.DUMMYFUNCTION("""COMPUTED_VALUE"""),"Hernán")</f>
        <v>Hernán</v>
      </c>
      <c r="AT761" s="6" t="str">
        <f>IFERROR(__xludf.DUMMYFUNCTION("""COMPUTED_VALUE"""),"Carvajal Gallo")</f>
        <v>Carvajal Gallo</v>
      </c>
      <c r="AU761" s="6" t="str">
        <f>IFERROR(__xludf.DUMMYFUNCTION("""COMPUTED_VALUE"""),"jhernancarvajal@hotmail.com")</f>
        <v>jhernancarvajal@hotmail.com</v>
      </c>
      <c r="AV761" s="6" t="str">
        <f>IFERROR(__xludf.DUMMYFUNCTION("""COMPUTED_VALUE"""),"OFICIAL POLICIA NACIONAL")</f>
        <v>OFICIAL POLICIA NACIONAL</v>
      </c>
      <c r="AW761" s="6" t="str">
        <f>IFERROR(__xludf.DUMMYFUNCTION("""COMPUTED_VALUE"""),"policia nacional")</f>
        <v>policia nacional</v>
      </c>
      <c r="AX761" s="12" t="str">
        <f>IFERROR(__xludf.DUMMYFUNCTION("""COMPUTED_VALUE"""),"9726688")</f>
        <v>9726688</v>
      </c>
      <c r="AY761" s="12" t="str">
        <f>IFERROR(__xludf.DUMMYFUNCTION("""COMPUTED_VALUE"""),"3014157718")</f>
        <v>3014157718</v>
      </c>
      <c r="AZ761" s="6" t="str">
        <f>IFERROR(__xludf.DUMMYFUNCTION("""COMPUTED_VALUE"""),"Padre")</f>
        <v>Padre</v>
      </c>
      <c r="BA761" s="6"/>
      <c r="BB761" s="6"/>
      <c r="BC761" s="6"/>
      <c r="BD761" s="12" t="str">
        <f>IFERROR(__xludf.DUMMYFUNCTION("""COMPUTED_VALUE"""),"uri0009")</f>
        <v>uri0009</v>
      </c>
      <c r="BE761" s="6"/>
      <c r="BF761" s="6"/>
      <c r="BG761" s="6">
        <f>IFERROR(__xludf.DUMMYFUNCTION("""COMPUTED_VALUE"""),2028.0)</f>
        <v>2028</v>
      </c>
      <c r="BH761" s="15">
        <f>IFERROR(__xludf.DUMMYFUNCTION("""COMPUTED_VALUE"""),46212.708449074074)</f>
        <v>46212.70845</v>
      </c>
      <c r="BI761" s="6">
        <f>IFERROR(__xludf.DUMMYFUNCTION("""COMPUTED_VALUE"""),762.0)</f>
        <v>762</v>
      </c>
      <c r="BJ761" s="6"/>
      <c r="BK761" s="6"/>
      <c r="BL761" s="6" t="str">
        <f>IFERROR(__xludf.DUMMYFUNCTION("""COMPUTED_VALUE"""),"GISURI0009")</f>
        <v>GISURI0009</v>
      </c>
      <c r="BM761" s="6"/>
      <c r="BN761" s="6"/>
      <c r="BO761" s="6"/>
      <c r="BP761" s="6"/>
      <c r="BQ761" s="6"/>
      <c r="BR761" s="6"/>
      <c r="BS761" s="6"/>
      <c r="BT761" s="6"/>
      <c r="BU761" s="6" t="str">
        <f>IFERROR(__xludf.DUMMYFUNCTION("""COMPUTED_VALUE"""),"NO")</f>
        <v>NO</v>
      </c>
      <c r="BV761" s="6" t="str">
        <f>IFERROR(__xludf.DUMMYFUNCTION("""COMPUTED_VALUE"""),"isabella.u2028")</f>
        <v>isabella.u2028</v>
      </c>
      <c r="BW761" s="6"/>
      <c r="BX761" s="6"/>
      <c r="BY761" s="6"/>
      <c r="BZ761" s="6"/>
    </row>
    <row r="762">
      <c r="A762" s="12">
        <f>IFERROR(__xludf.DUMMYFUNCTION("""COMPUTED_VALUE"""),1.092460534E9)</f>
        <v>1092460534</v>
      </c>
      <c r="B762" s="6">
        <f>IFERROR(__xludf.DUMMYFUNCTION("""COMPUTED_VALUE"""),52.0)</f>
        <v>52</v>
      </c>
      <c r="C762" s="6" t="str">
        <f>IFERROR(__xludf.DUMMYFUNCTION("""COMPUTED_VALUE"""),"Juanna")</f>
        <v>Juanna</v>
      </c>
      <c r="D762" s="6"/>
      <c r="E762" s="6" t="str">
        <f>IFERROR(__xludf.DUMMYFUNCTION("""COMPUTED_VALUE"""),"Vallejo Bautista")</f>
        <v>Vallejo Bautista</v>
      </c>
      <c r="F762" s="6" t="str">
        <f>IFERROR(__xludf.DUMMYFUNCTION("""COMPUTED_VALUE"""),"Condominio Hacienda Horizontes Casa 51 - Km 3 Via Circasia Vereda la Florida")</f>
        <v>Condominio Hacienda Horizontes Casa 51 - Km 3 Via Circasia Vereda la Florida</v>
      </c>
      <c r="G762" s="12" t="str">
        <f>IFERROR(__xludf.DUMMYFUNCTION("""COMPUTED_VALUE"""),"2009")</f>
        <v>2009</v>
      </c>
      <c r="H762" s="6" t="str">
        <f>IFERROR(__xludf.DUMMYFUNCTION("""COMPUTED_VALUE"""),"Diciembre")</f>
        <v>Diciembre</v>
      </c>
      <c r="I762" s="12" t="str">
        <f>IFERROR(__xludf.DUMMYFUNCTION("""COMPUTED_VALUE"""),"26")</f>
        <v>26</v>
      </c>
      <c r="J762" s="6" t="str">
        <f>IFERROR(__xludf.DUMMYFUNCTION("""COMPUTED_VALUE"""),"Armenia")</f>
        <v>Armenia</v>
      </c>
      <c r="K762" s="6" t="str">
        <f>IFERROR(__xludf.DUMMYFUNCTION("""COMPUTED_VALUE"""),"juanna.v2028@gi.edu.co")</f>
        <v>juanna.v2028@gi.edu.co</v>
      </c>
      <c r="L762" s="6" t="str">
        <f>IFERROR(__xludf.DUMMYFUNCTION("""COMPUTED_VALUE"""),"TI")</f>
        <v>TI</v>
      </c>
      <c r="M762" s="6" t="str">
        <f>IFERROR(__xludf.DUMMYFUNCTION("""COMPUTED_VALUE"""),"Armenia")</f>
        <v>Armenia</v>
      </c>
      <c r="N762" s="6" t="str">
        <f>IFERROR(__xludf.DUMMYFUNCTION("""COMPUTED_VALUE"""),"F")</f>
        <v>F</v>
      </c>
      <c r="O762" s="6" t="str">
        <f>IFERROR(__xludf.DUMMYFUNCTION("""COMPUTED_VALUE"""),"INACTIVE")</f>
        <v>INACTIVE</v>
      </c>
      <c r="P762" s="6"/>
      <c r="Q762" s="6" t="str">
        <f>IFERROR(__xludf.DUMMYFUNCTION("""COMPUTED_VALUE"""),"Armenia")</f>
        <v>Armenia</v>
      </c>
      <c r="R762" s="12" t="str">
        <f>IFERROR(__xludf.DUMMYFUNCTION("""COMPUTED_VALUE"""),"Gi2r133329*")</f>
        <v>Gi2r133329*</v>
      </c>
      <c r="S762" s="6" t="str">
        <f>IFERROR(__xludf.DUMMYFUNCTION("""COMPUTED_VALUE"""),"Vallejo Bautista Juanna ")</f>
        <v>Vallejo Bautista Juanna </v>
      </c>
      <c r="T762" s="6" t="str">
        <f>IFERROR(__xludf.DUMMYFUNCTION("""COMPUTED_VALUE"""),"NATALIA BAUTISTA MEJÍA")</f>
        <v>NATALIA BAUTISTA MEJÍA</v>
      </c>
      <c r="U762" s="12" t="str">
        <f>IFERROR(__xludf.DUMMYFUNCTION("""COMPUTED_VALUE"""),"41954120")</f>
        <v>41954120</v>
      </c>
      <c r="V762" s="6">
        <f>IFERROR(__xludf.DUMMYFUNCTION("""COMPUTED_VALUE"""),3.162948304E9)</f>
        <v>3162948304</v>
      </c>
      <c r="W762" s="6" t="str">
        <f>IFERROR(__xludf.DUMMYFUNCTION("""COMPUTED_VALUE"""),"viverolaesmeralda@hotmail.com")</f>
        <v>viverolaesmeralda@hotmail.com</v>
      </c>
      <c r="X762" s="12" t="str">
        <f>IFERROR(__xludf.DUMMYFUNCTION("""COMPUTED_VALUE"""),"O-")</f>
        <v>O-</v>
      </c>
      <c r="Y762" s="12" t="str">
        <f>IFERROR(__xludf.DUMMYFUNCTION("""COMPUTED_VALUE"""),"11")</f>
        <v>11</v>
      </c>
      <c r="Z762" s="12">
        <f>IFERROR(__xludf.DUMMYFUNCTION("""COMPUTED_VALUE"""),102689.0)</f>
        <v>102689</v>
      </c>
      <c r="AA762" s="6" t="str">
        <f>IFERROR(__xludf.DUMMYFUNCTION("""COMPUTED_VALUE"""),"SURA")</f>
        <v>SURA</v>
      </c>
      <c r="AB762" s="6" t="str">
        <f>IFERROR(__xludf.DUMMYFUNCTION("""COMPUTED_VALUE"""),"EMI")</f>
        <v>EMI</v>
      </c>
      <c r="AC762" s="6"/>
      <c r="AD762" s="12" t="str">
        <f>IFERROR(__xludf.DUMMYFUNCTION("""COMPUTED_VALUE"""),"11")</f>
        <v>11</v>
      </c>
      <c r="AE762" s="12">
        <f>IFERROR(__xludf.DUMMYFUNCTION("""COMPUTED_VALUE"""),1.345281343E9)</f>
        <v>1345281343</v>
      </c>
      <c r="AF762" s="12" t="str">
        <f>IFERROR(__xludf.DUMMYFUNCTION("""COMPUTED_VALUE"""),"0734596483")</f>
        <v>0734596483</v>
      </c>
      <c r="AG762" s="12" t="str">
        <f>IFERROR(__xludf.DUMMYFUNCTION("""COMPUTED_VALUE"""),"Natalia")</f>
        <v>Natalia</v>
      </c>
      <c r="AH762" s="6"/>
      <c r="AI762" s="6" t="str">
        <f>IFERROR(__xludf.DUMMYFUNCTION("""COMPUTED_VALUE"""),"Bautista Mejia")</f>
        <v>Bautista Mejia</v>
      </c>
      <c r="AJ762" s="6" t="str">
        <f>IFERROR(__xludf.DUMMYFUNCTION("""COMPUTED_VALUE"""),"viverolaesmeralda@hotmail.com")</f>
        <v>viverolaesmeralda@hotmail.com</v>
      </c>
      <c r="AK762" s="6" t="str">
        <f>IFERROR(__xludf.DUMMYFUNCTION("""COMPUTED_VALUE"""),"paisajista")</f>
        <v>paisajista</v>
      </c>
      <c r="AL762" s="6" t="str">
        <f>IFERROR(__xludf.DUMMYFUNCTION("""COMPUTED_VALUE"""),"viverolaesmeralda")</f>
        <v>viverolaesmeralda</v>
      </c>
      <c r="AM762" s="12" t="str">
        <f>IFERROR(__xludf.DUMMYFUNCTION("""COMPUTED_VALUE"""),"41954120")</f>
        <v>41954120</v>
      </c>
      <c r="AN762" s="12" t="str">
        <f>IFERROR(__xludf.DUMMYFUNCTION("""COMPUTED_VALUE"""),"3162948304")</f>
        <v>3162948304</v>
      </c>
      <c r="AO762" s="6" t="str">
        <f>IFERROR(__xludf.DUMMYFUNCTION("""COMPUTED_VALUE"""),"Madre")</f>
        <v>Madre</v>
      </c>
      <c r="AP762" s="6" t="str">
        <f>IFERROR(__xludf.DUMMYFUNCTION("""COMPUTED_VALUE"""),"Estudiante(s): Celeste González Bautista &amp; Juanna Vallejo Bautista")</f>
        <v>Estudiante(s): Celeste González Bautista &amp; Juanna Vallejo Bautista</v>
      </c>
      <c r="AQ762" s="6" t="str">
        <f>IFERROR(__xludf.DUMMYFUNCTION("""COMPUTED_VALUE"""),"103753*Gi")</f>
        <v>103753*Gi</v>
      </c>
      <c r="AR762" s="6"/>
      <c r="AS762" s="6"/>
      <c r="AT762" s="6"/>
      <c r="AU762" s="6"/>
      <c r="AV762" s="6"/>
      <c r="AW762" s="6"/>
      <c r="AX762" s="12" t="str">
        <f>IFERROR(__xludf.DUMMYFUNCTION("""COMPUTED_VALUE"""),"9732146")</f>
        <v>9732146</v>
      </c>
      <c r="AY762" s="12">
        <f>IFERROR(__xludf.DUMMYFUNCTION("""COMPUTED_VALUE"""),3.206970808E9)</f>
        <v>3206970808</v>
      </c>
      <c r="AZ762" s="6" t="str">
        <f>IFERROR(__xludf.DUMMYFUNCTION("""COMPUTED_VALUE"""),"Padre")</f>
        <v>Padre</v>
      </c>
      <c r="BA762" s="6" t="str">
        <f>IFERROR(__xludf.DUMMYFUNCTION("""COMPUTED_VALUE"""),"JORGE ANDRES GONZALEZ VALENCIA")</f>
        <v>JORGE ANDRES GONZALEZ VALENCIA</v>
      </c>
      <c r="BB762" s="6">
        <f>IFERROR(__xludf.DUMMYFUNCTION("""COMPUTED_VALUE"""),3.206970808E9)</f>
        <v>3206970808</v>
      </c>
      <c r="BC762" s="6" t="str">
        <f>IFERROR(__xludf.DUMMYFUNCTION("""COMPUTED_VALUE"""),"Padre")</f>
        <v>Padre</v>
      </c>
      <c r="BD762" s="12" t="str">
        <f>IFERROR(__xludf.DUMMYFUNCTION("""COMPUTED_VALUE"""),"val0006")</f>
        <v>val0006</v>
      </c>
      <c r="BE762" s="6" t="str">
        <f>IFERROR(__xludf.DUMMYFUNCTION("""COMPUTED_VALUE"""),"FALTAN FIRMAS")</f>
        <v>FALTAN FIRMAS</v>
      </c>
      <c r="BF762" s="6"/>
      <c r="BG762" s="6">
        <f>IFERROR(__xludf.DUMMYFUNCTION("""COMPUTED_VALUE"""),2028.0)</f>
        <v>2028</v>
      </c>
      <c r="BH762" s="15">
        <f>IFERROR(__xludf.DUMMYFUNCTION("""COMPUTED_VALUE"""),46212.653912037036)</f>
        <v>46212.65391</v>
      </c>
      <c r="BI762" s="6">
        <f>IFERROR(__xludf.DUMMYFUNCTION("""COMPUTED_VALUE"""),763.0)</f>
        <v>763</v>
      </c>
      <c r="BJ762" s="6"/>
      <c r="BK762" s="6"/>
      <c r="BL762" s="6" t="str">
        <f>IFERROR(__xludf.DUMMYFUNCTION("""COMPUTED_VALUE"""),"GISVAL0006")</f>
        <v>GISVAL0006</v>
      </c>
      <c r="BM762" s="6"/>
      <c r="BN762" s="6"/>
      <c r="BO762" s="6"/>
      <c r="BP762" s="6"/>
      <c r="BQ762" s="6"/>
      <c r="BR762" s="6"/>
      <c r="BS762" s="6"/>
      <c r="BT762" s="6"/>
      <c r="BU762" s="6" t="str">
        <f>IFERROR(__xludf.DUMMYFUNCTION("""COMPUTED_VALUE"""),"SI")</f>
        <v>SI</v>
      </c>
      <c r="BV762" s="6" t="str">
        <f>IFERROR(__xludf.DUMMYFUNCTION("""COMPUTED_VALUE"""),"juanna.v2028")</f>
        <v>juanna.v2028</v>
      </c>
      <c r="BW762" s="6"/>
      <c r="BX762" s="6"/>
      <c r="BY762" s="6"/>
      <c r="BZ762" s="6"/>
    </row>
    <row r="763">
      <c r="A763" s="12">
        <f>IFERROR(__xludf.DUMMYFUNCTION("""COMPUTED_VALUE"""),1.091205187E9)</f>
        <v>1091205187</v>
      </c>
      <c r="B763" s="6">
        <f>IFERROR(__xludf.DUMMYFUNCTION("""COMPUTED_VALUE"""),53.0)</f>
        <v>53</v>
      </c>
      <c r="C763" s="6" t="str">
        <f>IFERROR(__xludf.DUMMYFUNCTION("""COMPUTED_VALUE"""),"Thomas")</f>
        <v>Thomas</v>
      </c>
      <c r="D763" s="6"/>
      <c r="E763" s="6" t="str">
        <f>IFERROR(__xludf.DUMMYFUNCTION("""COMPUTED_VALUE"""),"Vargas Parra")</f>
        <v>Vargas Parra</v>
      </c>
      <c r="F763" s="6" t="str">
        <f>IFERROR(__xludf.DUMMYFUNCTION("""COMPUTED_VALUE"""),"Edificio Génesis Apto 602 - Cra 13 No 1 - 16")</f>
        <v>Edificio Génesis Apto 602 - Cra 13 No 1 - 16</v>
      </c>
      <c r="G763" s="12" t="str">
        <f>IFERROR(__xludf.DUMMYFUNCTION("""COMPUTED_VALUE"""),"2010")</f>
        <v>2010</v>
      </c>
      <c r="H763" s="6" t="str">
        <f>IFERROR(__xludf.DUMMYFUNCTION("""COMPUTED_VALUE"""),"Octubre")</f>
        <v>Octubre</v>
      </c>
      <c r="I763" s="12" t="str">
        <f>IFERROR(__xludf.DUMMYFUNCTION("""COMPUTED_VALUE"""),"30")</f>
        <v>30</v>
      </c>
      <c r="J763" s="6" t="str">
        <f>IFERROR(__xludf.DUMMYFUNCTION("""COMPUTED_VALUE"""),"Armenia")</f>
        <v>Armenia</v>
      </c>
      <c r="K763" s="6" t="str">
        <f>IFERROR(__xludf.DUMMYFUNCTION("""COMPUTED_VALUE"""),"thomas.a2028@gi.edu.co")</f>
        <v>thomas.a2028@gi.edu.co</v>
      </c>
      <c r="L763" s="6" t="str">
        <f>IFERROR(__xludf.DUMMYFUNCTION("""COMPUTED_VALUE"""),"TI")</f>
        <v>TI</v>
      </c>
      <c r="M763" s="6" t="str">
        <f>IFERROR(__xludf.DUMMYFUNCTION("""COMPUTED_VALUE"""),"Armenia")</f>
        <v>Armenia</v>
      </c>
      <c r="N763" s="6" t="str">
        <f>IFERROR(__xludf.DUMMYFUNCTION("""COMPUTED_VALUE"""),"M")</f>
        <v>M</v>
      </c>
      <c r="O763" s="6" t="str">
        <f>IFERROR(__xludf.DUMMYFUNCTION("""COMPUTED_VALUE"""),"INACTIVE")</f>
        <v>INACTIVE</v>
      </c>
      <c r="P763" s="6"/>
      <c r="Q763" s="6" t="str">
        <f>IFERROR(__xludf.DUMMYFUNCTION("""COMPUTED_VALUE"""),"Armenia")</f>
        <v>Armenia</v>
      </c>
      <c r="R763" s="12" t="str">
        <f>IFERROR(__xludf.DUMMYFUNCTION("""COMPUTED_VALUE"""),"Gi2345ertf*")</f>
        <v>Gi2345ertf*</v>
      </c>
      <c r="S763" s="6" t="str">
        <f>IFERROR(__xludf.DUMMYFUNCTION("""COMPUTED_VALUE"""),"Vargas Parra Thomas ")</f>
        <v>Vargas Parra Thomas </v>
      </c>
      <c r="T763" s="6" t="str">
        <f>IFERROR(__xludf.DUMMYFUNCTION("""COMPUTED_VALUE"""),"OLGA LILIANA PARRA POSADA")</f>
        <v>OLGA LILIANA PARRA POSADA</v>
      </c>
      <c r="U763" s="12" t="str">
        <f>IFERROR(__xludf.DUMMYFUNCTION("""COMPUTED_VALUE"""),"41948121")</f>
        <v>41948121</v>
      </c>
      <c r="V763" s="6">
        <f>IFERROR(__xludf.DUMMYFUNCTION("""COMPUTED_VALUE"""),3.206995931E9)</f>
        <v>3206995931</v>
      </c>
      <c r="W763" s="6" t="str">
        <f>IFERROR(__xludf.DUMMYFUNCTION("""COMPUTED_VALUE"""),"olguita2611@hotmail.com")</f>
        <v>olguita2611@hotmail.com</v>
      </c>
      <c r="X763" s="12" t="str">
        <f>IFERROR(__xludf.DUMMYFUNCTION("""COMPUTED_VALUE"""),"O+")</f>
        <v>O+</v>
      </c>
      <c r="Y763" s="12" t="str">
        <f>IFERROR(__xludf.DUMMYFUNCTION("""COMPUTED_VALUE"""),"11")</f>
        <v>11</v>
      </c>
      <c r="Z763" s="12">
        <f>IFERROR(__xludf.DUMMYFUNCTION("""COMPUTED_VALUE"""),103083.0)</f>
        <v>103083</v>
      </c>
      <c r="AA763" s="6" t="str">
        <f>IFERROR(__xludf.DUMMYFUNCTION("""COMPUTED_VALUE"""),"SANITAS")</f>
        <v>SANITAS</v>
      </c>
      <c r="AB763" s="6" t="str">
        <f>IFERROR(__xludf.DUMMYFUNCTION("""COMPUTED_VALUE"""),"ambulancias armenia ltda 7451188")</f>
        <v>ambulancias armenia ltda 7451188</v>
      </c>
      <c r="AC763" s="12" t="str">
        <f>IFERROR(__xludf.DUMMYFUNCTION("""COMPUTED_VALUE"""),"Rinitis - Dermatitis atópica")</f>
        <v>Rinitis - Dermatitis atópica</v>
      </c>
      <c r="AD763" s="12" t="str">
        <f>IFERROR(__xludf.DUMMYFUNCTION("""COMPUTED_VALUE"""),"11")</f>
        <v>11</v>
      </c>
      <c r="AE763" s="12" t="str">
        <f>IFERROR(__xludf.DUMMYFUNCTION("""COMPUTED_VALUE"""),"1345281500")</f>
        <v>1345281500</v>
      </c>
      <c r="AF763" s="12" t="str">
        <f>IFERROR(__xludf.DUMMYFUNCTION("""COMPUTED_VALUE"""),"0729129635")</f>
        <v>0729129635</v>
      </c>
      <c r="AG763" s="12" t="str">
        <f>IFERROR(__xludf.DUMMYFUNCTION("""COMPUTED_VALUE"""),"Olga")</f>
        <v>Olga</v>
      </c>
      <c r="AH763" s="12" t="str">
        <f>IFERROR(__xludf.DUMMYFUNCTION("""COMPUTED_VALUE"""),"Liliana")</f>
        <v>Liliana</v>
      </c>
      <c r="AI763" s="6" t="str">
        <f>IFERROR(__xludf.DUMMYFUNCTION("""COMPUTED_VALUE"""),"Parra Posada")</f>
        <v>Parra Posada</v>
      </c>
      <c r="AJ763" s="6" t="str">
        <f>IFERROR(__xludf.DUMMYFUNCTION("""COMPUTED_VALUE"""),"olguita2611@hotmail.com")</f>
        <v>olguita2611@hotmail.com</v>
      </c>
      <c r="AK763" s="6" t="str">
        <f>IFERROR(__xludf.DUMMYFUNCTION("""COMPUTED_VALUE"""),"Médico")</f>
        <v>Médico</v>
      </c>
      <c r="AL763" s="6" t="str">
        <f>IFERROR(__xludf.DUMMYFUNCTION("""COMPUTED_VALUE"""),"Ambulancias Armenia sas")</f>
        <v>Ambulancias Armenia sas</v>
      </c>
      <c r="AM763" s="12" t="str">
        <f>IFERROR(__xludf.DUMMYFUNCTION("""COMPUTED_VALUE"""),"41948121")</f>
        <v>41948121</v>
      </c>
      <c r="AN763" s="12" t="str">
        <f>IFERROR(__xludf.DUMMYFUNCTION("""COMPUTED_VALUE"""),"3206995931")</f>
        <v>3206995931</v>
      </c>
      <c r="AO763" s="6" t="str">
        <f>IFERROR(__xludf.DUMMYFUNCTION("""COMPUTED_VALUE"""),"Madre")</f>
        <v>Madre</v>
      </c>
      <c r="AP763" s="6" t="str">
        <f>IFERROR(__xludf.DUMMYFUNCTION("""COMPUTED_VALUE"""),"Estudiante(s): Vargas Parra")</f>
        <v>Estudiante(s): Vargas Parra</v>
      </c>
      <c r="AQ763" s="6" t="str">
        <f>IFERROR(__xludf.DUMMYFUNCTION("""COMPUTED_VALUE"""),"103083*Gi")</f>
        <v>103083*Gi</v>
      </c>
      <c r="AR763" s="6" t="str">
        <f>IFERROR(__xludf.DUMMYFUNCTION("""COMPUTED_VALUE"""),"Jhon")</f>
        <v>Jhon</v>
      </c>
      <c r="AS763" s="6" t="str">
        <f>IFERROR(__xludf.DUMMYFUNCTION("""COMPUTED_VALUE"""),"Alexander")</f>
        <v>Alexander</v>
      </c>
      <c r="AT763" s="6" t="str">
        <f>IFERROR(__xludf.DUMMYFUNCTION("""COMPUTED_VALUE"""),"Vargas")</f>
        <v>Vargas</v>
      </c>
      <c r="AU763" s="6" t="str">
        <f>IFERROR(__xludf.DUMMYFUNCTION("""COMPUTED_VALUE"""),"jhonalex0679@hotmail.com")</f>
        <v>jhonalex0679@hotmail.com</v>
      </c>
      <c r="AV763" s="6"/>
      <c r="AW763" s="6"/>
      <c r="AX763" s="12" t="str">
        <f>IFERROR(__xludf.DUMMYFUNCTION("""COMPUTED_VALUE"""),"890010392")</f>
        <v>890010392</v>
      </c>
      <c r="AY763" s="12" t="str">
        <f>IFERROR(__xludf.DUMMYFUNCTION("""COMPUTED_VALUE"""),"3136475630")</f>
        <v>3136475630</v>
      </c>
      <c r="AZ763" s="6" t="str">
        <f>IFERROR(__xludf.DUMMYFUNCTION("""COMPUTED_VALUE"""),"Padre")</f>
        <v>Padre</v>
      </c>
      <c r="BA763" s="6"/>
      <c r="BB763" s="6"/>
      <c r="BC763" s="6"/>
      <c r="BD763" s="12" t="str">
        <f>IFERROR(__xludf.DUMMYFUNCTION("""COMPUTED_VALUE"""),"var0005")</f>
        <v>var0005</v>
      </c>
      <c r="BE763" s="6" t="str">
        <f>IFERROR(__xludf.DUMMYFUNCTION("""COMPUTED_VALUE"""),"FALTAN FIRMAS")</f>
        <v>FALTAN FIRMAS</v>
      </c>
      <c r="BF763" s="6"/>
      <c r="BG763" s="6">
        <f>IFERROR(__xludf.DUMMYFUNCTION("""COMPUTED_VALUE"""),2028.0)</f>
        <v>2028</v>
      </c>
      <c r="BH763" s="15">
        <f>IFERROR(__xludf.DUMMYFUNCTION("""COMPUTED_VALUE"""),46210.46724537037)</f>
        <v>46210.46725</v>
      </c>
      <c r="BI763" s="6">
        <f>IFERROR(__xludf.DUMMYFUNCTION("""COMPUTED_VALUE"""),764.0)</f>
        <v>764</v>
      </c>
      <c r="BJ763" s="6"/>
      <c r="BK763" s="6"/>
      <c r="BL763" s="6" t="str">
        <f>IFERROR(__xludf.DUMMYFUNCTION("""COMPUTED_VALUE"""),"GISVAR0005")</f>
        <v>GISVAR0005</v>
      </c>
      <c r="BM763" s="6"/>
      <c r="BN763" s="6"/>
      <c r="BO763" s="6" t="str">
        <f>IFERROR(__xludf.DUMMYFUNCTION("""COMPUTED_VALUE"""),"XC_HS_Futbol_M")</f>
        <v>XC_HS_Futbol_M</v>
      </c>
      <c r="BP763" s="6"/>
      <c r="BQ763" s="6" t="str">
        <f>IFERROR(__xludf.DUMMYFUNCTION("""COMPUTED_VALUE"""),"XC_HS_Futbol_M")</f>
        <v>XC_HS_Futbol_M</v>
      </c>
      <c r="BR763" s="6" t="str">
        <f>IFERROR(__xludf.DUMMYFUNCTION("""COMPUTED_VALUE"""),"XC_HS_Futbol_M")</f>
        <v>XC_HS_Futbol_M</v>
      </c>
      <c r="BS763" s="6"/>
      <c r="BT763" s="6" t="str">
        <f>IFERROR(__xludf.DUMMYFUNCTION("""COMPUTED_VALUE"""),"XC_HS_Futbol_M")</f>
        <v>XC_HS_Futbol_M</v>
      </c>
      <c r="BU763" s="6" t="str">
        <f>IFERROR(__xludf.DUMMYFUNCTION("""COMPUTED_VALUE"""),"SI")</f>
        <v>SI</v>
      </c>
      <c r="BV763" s="6" t="str">
        <f>IFERROR(__xludf.DUMMYFUNCTION("""COMPUTED_VALUE"""),"thomas.a2028")</f>
        <v>thomas.a2028</v>
      </c>
      <c r="BW763" s="6"/>
      <c r="BX763" s="6"/>
      <c r="BY763" s="6"/>
      <c r="BZ763" s="6"/>
    </row>
    <row r="764">
      <c r="A764" s="12">
        <f>IFERROR(__xludf.DUMMYFUNCTION("""COMPUTED_VALUE"""),1.092854661E9)</f>
        <v>1092854661</v>
      </c>
      <c r="B764" s="6">
        <f>IFERROR(__xludf.DUMMYFUNCTION("""COMPUTED_VALUE"""),54.0)</f>
        <v>54</v>
      </c>
      <c r="C764" s="6" t="str">
        <f>IFERROR(__xludf.DUMMYFUNCTION("""COMPUTED_VALUE"""),"Nicolás")</f>
        <v>Nicolás</v>
      </c>
      <c r="D764" s="6"/>
      <c r="E764" s="6" t="str">
        <f>IFERROR(__xludf.DUMMYFUNCTION("""COMPUTED_VALUE"""),"Velásquez Gallego")</f>
        <v>Velásquez Gallego</v>
      </c>
      <c r="F764" s="6" t="str">
        <f>IFERROR(__xludf.DUMMYFUNCTION("""COMPUTED_VALUE"""),"Condominio Palo de Agua Casa 10 - Km 6 Via Eden Vereda Murillo")</f>
        <v>Condominio Palo de Agua Casa 10 - Km 6 Via Eden Vereda Murillo</v>
      </c>
      <c r="G764" s="12" t="str">
        <f>IFERROR(__xludf.DUMMYFUNCTION("""COMPUTED_VALUE"""),"2010")</f>
        <v>2010</v>
      </c>
      <c r="H764" s="6" t="str">
        <f>IFERROR(__xludf.DUMMYFUNCTION("""COMPUTED_VALUE"""),"Marzo")</f>
        <v>Marzo</v>
      </c>
      <c r="I764" s="12" t="str">
        <f>IFERROR(__xludf.DUMMYFUNCTION("""COMPUTED_VALUE"""),"22")</f>
        <v>22</v>
      </c>
      <c r="J764" s="6" t="str">
        <f>IFERROR(__xludf.DUMMYFUNCTION("""COMPUTED_VALUE"""),"Armenia")</f>
        <v>Armenia</v>
      </c>
      <c r="K764" s="6" t="str">
        <f>IFERROR(__xludf.DUMMYFUNCTION("""COMPUTED_VALUE"""),"nicolas.v2028@gi.edu.co")</f>
        <v>nicolas.v2028@gi.edu.co</v>
      </c>
      <c r="L764" s="6" t="str">
        <f>IFERROR(__xludf.DUMMYFUNCTION("""COMPUTED_VALUE"""),"TI")</f>
        <v>TI</v>
      </c>
      <c r="M764" s="6" t="str">
        <f>IFERROR(__xludf.DUMMYFUNCTION("""COMPUTED_VALUE"""),"Armenia")</f>
        <v>Armenia</v>
      </c>
      <c r="N764" s="6" t="str">
        <f>IFERROR(__xludf.DUMMYFUNCTION("""COMPUTED_VALUE"""),"M")</f>
        <v>M</v>
      </c>
      <c r="O764" s="6" t="str">
        <f>IFERROR(__xludf.DUMMYFUNCTION("""COMPUTED_VALUE"""),"ACTIVE")</f>
        <v>ACTIVE</v>
      </c>
      <c r="P764" s="6"/>
      <c r="Q764" s="6" t="str">
        <f>IFERROR(__xludf.DUMMYFUNCTION("""COMPUTED_VALUE"""),"Armenia")</f>
        <v>Armenia</v>
      </c>
      <c r="R764" s="12" t="str">
        <f>IFERROR(__xludf.DUMMYFUNCTION("""COMPUTED_VALUE"""),"Gi543retdg*")</f>
        <v>Gi543retdg*</v>
      </c>
      <c r="S764" s="6" t="str">
        <f>IFERROR(__xludf.DUMMYFUNCTION("""COMPUTED_VALUE"""),"Velásquez Gallego Nicolás ")</f>
        <v>Velásquez Gallego Nicolás </v>
      </c>
      <c r="T764" s="6" t="str">
        <f>IFERROR(__xludf.DUMMYFUNCTION("""COMPUTED_VALUE"""),"SILVIA HELENA GALLEGO RAMÍREZ")</f>
        <v>SILVIA HELENA GALLEGO RAMÍREZ</v>
      </c>
      <c r="U764" s="12" t="str">
        <f>IFERROR(__xludf.DUMMYFUNCTION("""COMPUTED_VALUE"""),"41948202")</f>
        <v>41948202</v>
      </c>
      <c r="V764" s="6">
        <f>IFERROR(__xludf.DUMMYFUNCTION("""COMPUTED_VALUE"""),3.108468482E9)</f>
        <v>3108468482</v>
      </c>
      <c r="W764" s="6" t="str">
        <f>IFERROR(__xludf.DUMMYFUNCTION("""COMPUTED_VALUE"""),"gallegosilviahelena@hotmail.com")</f>
        <v>gallegosilviahelena@hotmail.com</v>
      </c>
      <c r="X764" s="12" t="str">
        <f>IFERROR(__xludf.DUMMYFUNCTION("""COMPUTED_VALUE"""),"A+")</f>
        <v>A+</v>
      </c>
      <c r="Y764" s="12" t="str">
        <f>IFERROR(__xludf.DUMMYFUNCTION("""COMPUTED_VALUE"""),"11")</f>
        <v>11</v>
      </c>
      <c r="Z764" s="12">
        <f>IFERROR(__xludf.DUMMYFUNCTION("""COMPUTED_VALUE"""),103121.0)</f>
        <v>103121</v>
      </c>
      <c r="AA764" s="6" t="str">
        <f>IFERROR(__xludf.DUMMYFUNCTION("""COMPUTED_VALUE"""),"SURA")</f>
        <v>SURA</v>
      </c>
      <c r="AB764" s="6" t="str">
        <f>IFERROR(__xludf.DUMMYFUNCTION("""COMPUTED_VALUE"""),"EMI")</f>
        <v>EMI</v>
      </c>
      <c r="AC764" s="6"/>
      <c r="AD764" s="12" t="str">
        <f>IFERROR(__xludf.DUMMYFUNCTION("""COMPUTED_VALUE"""),"11")</f>
        <v>11</v>
      </c>
      <c r="AE764" s="12">
        <f>IFERROR(__xludf.DUMMYFUNCTION("""COMPUTED_VALUE"""),1.345281524E9)</f>
        <v>1345281524</v>
      </c>
      <c r="AF764" s="12" t="str">
        <f>IFERROR(__xludf.DUMMYFUNCTION("""COMPUTED_VALUE"""),"0690512323")</f>
        <v>0690512323</v>
      </c>
      <c r="AG764" s="12" t="str">
        <f>IFERROR(__xludf.DUMMYFUNCTION("""COMPUTED_VALUE"""),"Silvia")</f>
        <v>Silvia</v>
      </c>
      <c r="AH764" s="12" t="str">
        <f>IFERROR(__xludf.DUMMYFUNCTION("""COMPUTED_VALUE"""),"Helena")</f>
        <v>Helena</v>
      </c>
      <c r="AI764" s="6" t="str">
        <f>IFERROR(__xludf.DUMMYFUNCTION("""COMPUTED_VALUE"""),"Gallego Ramírez")</f>
        <v>Gallego Ramírez</v>
      </c>
      <c r="AJ764" s="6" t="str">
        <f>IFERROR(__xludf.DUMMYFUNCTION("""COMPUTED_VALUE"""),"gallegosilviahelena@hotmail.com")</f>
        <v>gallegosilviahelena@hotmail.com</v>
      </c>
      <c r="AK764" s="6" t="str">
        <f>IFERROR(__xludf.DUMMYFUNCTION("""COMPUTED_VALUE"""),"Psicologa")</f>
        <v>Psicologa</v>
      </c>
      <c r="AL764" s="6"/>
      <c r="AM764" s="12" t="str">
        <f>IFERROR(__xludf.DUMMYFUNCTION("""COMPUTED_VALUE"""),"41948202")</f>
        <v>41948202</v>
      </c>
      <c r="AN764" s="12" t="str">
        <f>IFERROR(__xludf.DUMMYFUNCTION("""COMPUTED_VALUE"""),"3108468482")</f>
        <v>3108468482</v>
      </c>
      <c r="AO764" s="6" t="str">
        <f>IFERROR(__xludf.DUMMYFUNCTION("""COMPUTED_VALUE"""),"Madre")</f>
        <v>Madre</v>
      </c>
      <c r="AP764" s="6" t="str">
        <f>IFERROR(__xludf.DUMMYFUNCTION("""COMPUTED_VALUE"""),"Estudiante(s): Velásquez Gallego")</f>
        <v>Estudiante(s): Velásquez Gallego</v>
      </c>
      <c r="AQ764" s="6" t="str">
        <f>IFERROR(__xludf.DUMMYFUNCTION("""COMPUTED_VALUE"""),"102127*Gi")</f>
        <v>102127*Gi</v>
      </c>
      <c r="AR764" s="6" t="str">
        <f>IFERROR(__xludf.DUMMYFUNCTION("""COMPUTED_VALUE"""),"José")</f>
        <v>José</v>
      </c>
      <c r="AS764" s="6" t="str">
        <f>IFERROR(__xludf.DUMMYFUNCTION("""COMPUTED_VALUE"""),"Julián")</f>
        <v>Julián</v>
      </c>
      <c r="AT764" s="6" t="str">
        <f>IFERROR(__xludf.DUMMYFUNCTION("""COMPUTED_VALUE"""),"Velásquez Wagner")</f>
        <v>Velásquez Wagner</v>
      </c>
      <c r="AU764" s="6" t="str">
        <f>IFERROR(__xludf.DUMMYFUNCTION("""COMPUTED_VALUE"""),"julianvelasquez@hotmail.com")</f>
        <v>julianvelasquez@hotmail.com</v>
      </c>
      <c r="AV764" s="6" t="str">
        <f>IFERROR(__xludf.DUMMYFUNCTION("""COMPUTED_VALUE"""),"Ing. Civil")</f>
        <v>Ing. Civil</v>
      </c>
      <c r="AW764" s="6" t="str">
        <f>IFERROR(__xludf.DUMMYFUNCTION("""COMPUTED_VALUE"""),"TRACTOQUIN SAS")</f>
        <v>TRACTOQUIN SAS</v>
      </c>
      <c r="AX764" s="12" t="str">
        <f>IFERROR(__xludf.DUMMYFUNCTION("""COMPUTED_VALUE"""),"7561125")</f>
        <v>7561125</v>
      </c>
      <c r="AY764" s="12" t="str">
        <f>IFERROR(__xludf.DUMMYFUNCTION("""COMPUTED_VALUE"""),"3155483566")</f>
        <v>3155483566</v>
      </c>
      <c r="AZ764" s="6" t="str">
        <f>IFERROR(__xludf.DUMMYFUNCTION("""COMPUTED_VALUE"""),"Padre")</f>
        <v>Padre</v>
      </c>
      <c r="BA764" s="6"/>
      <c r="BB764" s="6"/>
      <c r="BC764" s="6"/>
      <c r="BD764" s="12" t="str">
        <f>IFERROR(__xludf.DUMMYFUNCTION("""COMPUTED_VALUE"""),"vel0002")</f>
        <v>vel0002</v>
      </c>
      <c r="BE764" s="6"/>
      <c r="BF764" s="6"/>
      <c r="BG764" s="6">
        <f>IFERROR(__xludf.DUMMYFUNCTION("""COMPUTED_VALUE"""),2028.0)</f>
        <v>2028</v>
      </c>
      <c r="BH764" s="15">
        <f>IFERROR(__xludf.DUMMYFUNCTION("""COMPUTED_VALUE"""),46211.36576388889)</f>
        <v>46211.36576</v>
      </c>
      <c r="BI764" s="6">
        <f>IFERROR(__xludf.DUMMYFUNCTION("""COMPUTED_VALUE"""),765.0)</f>
        <v>765</v>
      </c>
      <c r="BJ764" s="6"/>
      <c r="BK764" s="6"/>
      <c r="BL764" s="6" t="str">
        <f>IFERROR(__xludf.DUMMYFUNCTION("""COMPUTED_VALUE"""),"GISVEL0002")</f>
        <v>GISVEL0002</v>
      </c>
      <c r="BM764" s="6"/>
      <c r="BN764" s="6"/>
      <c r="BO764" s="6" t="str">
        <f>IFERROR(__xludf.DUMMYFUNCTION("""COMPUTED_VALUE"""),"XC_HS_Futbol_M")</f>
        <v>XC_HS_Futbol_M</v>
      </c>
      <c r="BP764" s="6"/>
      <c r="BQ764" s="6" t="str">
        <f>IFERROR(__xludf.DUMMYFUNCTION("""COMPUTED_VALUE"""),"XC_HS_Futbol_M")</f>
        <v>XC_HS_Futbol_M</v>
      </c>
      <c r="BR764" s="6" t="str">
        <f>IFERROR(__xludf.DUMMYFUNCTION("""COMPUTED_VALUE"""),"XC_HS_Futbol_M")</f>
        <v>XC_HS_Futbol_M</v>
      </c>
      <c r="BS764" s="6"/>
      <c r="BT764" s="6" t="str">
        <f>IFERROR(__xludf.DUMMYFUNCTION("""COMPUTED_VALUE"""),"XC_HS_Futbol_M")</f>
        <v>XC_HS_Futbol_M</v>
      </c>
      <c r="BU764" s="6" t="str">
        <f>IFERROR(__xludf.DUMMYFUNCTION("""COMPUTED_VALUE"""),"SI")</f>
        <v>SI</v>
      </c>
      <c r="BV764" s="6" t="str">
        <f>IFERROR(__xludf.DUMMYFUNCTION("""COMPUTED_VALUE"""),"nicolas.v2028")</f>
        <v>nicolas.v2028</v>
      </c>
      <c r="BW764" s="6"/>
      <c r="BX764" s="6"/>
      <c r="BY764" s="6"/>
      <c r="BZ764" s="6"/>
    </row>
    <row r="765">
      <c r="A765" s="12">
        <f>IFERROR(__xludf.DUMMYFUNCTION("""COMPUTED_VALUE"""),1.014672472E9)</f>
        <v>1014672472</v>
      </c>
      <c r="B765" s="6">
        <f>IFERROR(__xludf.DUMMYFUNCTION("""COMPUTED_VALUE"""),55.0)</f>
        <v>55</v>
      </c>
      <c r="C765" s="6" t="str">
        <f>IFERROR(__xludf.DUMMYFUNCTION("""COMPUTED_VALUE"""),"Isabella")</f>
        <v>Isabella</v>
      </c>
      <c r="D765" s="6"/>
      <c r="E765" s="6" t="str">
        <f>IFERROR(__xludf.DUMMYFUNCTION("""COMPUTED_VALUE"""),"Wells Viasus")</f>
        <v>Wells Viasus</v>
      </c>
      <c r="F765" s="6" t="str">
        <f>IFERROR(__xludf.DUMMYFUNCTION("""COMPUTED_VALUE"""),"Cl. 137 #55-42 - Colina Campestre")</f>
        <v>Cl. 137 #55-42 - Colina Campestre</v>
      </c>
      <c r="G765" s="12">
        <f>IFERROR(__xludf.DUMMYFUNCTION("""COMPUTED_VALUE"""),2010.0)</f>
        <v>2010</v>
      </c>
      <c r="H765" s="12" t="str">
        <f>IFERROR(__xludf.DUMMYFUNCTION("""COMPUTED_VALUE"""),"Marzo")</f>
        <v>Marzo</v>
      </c>
      <c r="I765" s="12">
        <f>IFERROR(__xludf.DUMMYFUNCTION("""COMPUTED_VALUE"""),21.0)</f>
        <v>21</v>
      </c>
      <c r="J765" s="6"/>
      <c r="K765" s="12" t="str">
        <f>IFERROR(__xludf.DUMMYFUNCTION("""COMPUTED_VALUE"""),"isabella.w2028@gi.edu.co")</f>
        <v>isabella.w2028@gi.edu.co</v>
      </c>
      <c r="L765" s="6" t="str">
        <f>IFERROR(__xludf.DUMMYFUNCTION("""COMPUTED_VALUE"""),"TI")</f>
        <v>TI</v>
      </c>
      <c r="M765" s="6" t="str">
        <f>IFERROR(__xludf.DUMMYFUNCTION("""COMPUTED_VALUE"""),"Cota")</f>
        <v>Cota</v>
      </c>
      <c r="N765" s="6" t="str">
        <f>IFERROR(__xludf.DUMMYFUNCTION("""COMPUTED_VALUE"""),"F")</f>
        <v>F</v>
      </c>
      <c r="O765" s="6" t="str">
        <f>IFERROR(__xludf.DUMMYFUNCTION("""COMPUTED_VALUE"""),"ACTIVE")</f>
        <v>ACTIVE</v>
      </c>
      <c r="P765" s="6"/>
      <c r="Q765" s="6"/>
      <c r="R765" s="12" t="str">
        <f>IFERROR(__xludf.DUMMYFUNCTION("""COMPUTED_VALUE"""),"GiW7Dh9N*")</f>
        <v>GiW7Dh9N*</v>
      </c>
      <c r="S765" s="6" t="str">
        <f>IFERROR(__xludf.DUMMYFUNCTION("""COMPUTED_VALUE"""),"Wells Viasus Isabella ")</f>
        <v>Wells Viasus Isabella </v>
      </c>
      <c r="T765" s="6" t="str">
        <f>IFERROR(__xludf.DUMMYFUNCTION("""COMPUTED_VALUE"""),"GARY RUSSELL WELLS")</f>
        <v>GARY RUSSELL WELLS</v>
      </c>
      <c r="U765" s="12" t="str">
        <f>IFERROR(__xludf.DUMMYFUNCTION("""COMPUTED_VALUE"""),"321170")</f>
        <v>321170</v>
      </c>
      <c r="V765" s="6">
        <f>IFERROR(__xludf.DUMMYFUNCTION("""COMPUTED_VALUE"""),3.114797118E9)</f>
        <v>3114797118</v>
      </c>
      <c r="W765" s="6" t="str">
        <f>IFERROR(__xludf.DUMMYFUNCTION("""COMPUTED_VALUE"""),"gwellstes@gmail.com")</f>
        <v>gwellstes@gmail.com</v>
      </c>
      <c r="X765" s="12" t="str">
        <f>IFERROR(__xludf.DUMMYFUNCTION("""COMPUTED_VALUE"""),"A+")</f>
        <v>A+</v>
      </c>
      <c r="Y765" s="12" t="str">
        <f>IFERROR(__xludf.DUMMYFUNCTION("""COMPUTED_VALUE"""),"11")</f>
        <v>11</v>
      </c>
      <c r="Z765" s="6">
        <f>IFERROR(__xludf.DUMMYFUNCTION("""COMPUTED_VALUE"""),120620.0)</f>
        <v>120620</v>
      </c>
      <c r="AA765" s="6" t="str">
        <f>IFERROR(__xludf.DUMMYFUNCTION("""COMPUTED_VALUE"""),"SANITAS")</f>
        <v>SANITAS</v>
      </c>
      <c r="AB765" s="6"/>
      <c r="AC765" s="12" t="str">
        <f>IFERROR(__xludf.DUMMYFUNCTION("""COMPUTED_VALUE"""),"Al polvo")</f>
        <v>Al polvo</v>
      </c>
      <c r="AD765" s="12" t="str">
        <f>IFERROR(__xludf.DUMMYFUNCTION("""COMPUTED_VALUE"""),"11")</f>
        <v>11</v>
      </c>
      <c r="AE765" s="12" t="str">
        <f>IFERROR(__xludf.DUMMYFUNCTION("""COMPUTED_VALUE"""),"1345282617")</f>
        <v>1345282617</v>
      </c>
      <c r="AF765" s="6"/>
      <c r="AG765" s="12" t="str">
        <f>IFERROR(__xludf.DUMMYFUNCTION("""COMPUTED_VALUE"""),"Yuliet")</f>
        <v>Yuliet</v>
      </c>
      <c r="AH765" s="12" t="str">
        <f>IFERROR(__xludf.DUMMYFUNCTION("""COMPUTED_VALUE"""),"Andrea")</f>
        <v>Andrea</v>
      </c>
      <c r="AI765" s="6" t="str">
        <f>IFERROR(__xludf.DUMMYFUNCTION("""COMPUTED_VALUE"""),"Viasus Parra")</f>
        <v>Viasus Parra</v>
      </c>
      <c r="AJ765" s="6" t="str">
        <f>IFERROR(__xludf.DUMMYFUNCTION("""COMPUTED_VALUE"""),"aviasus81@gmail.com")</f>
        <v>aviasus81@gmail.com</v>
      </c>
      <c r="AK765" s="6" t="str">
        <f>IFERROR(__xludf.DUMMYFUNCTION("""COMPUTED_VALUE"""),"Docente")</f>
        <v>Docente</v>
      </c>
      <c r="AL765" s="6"/>
      <c r="AM765" s="12" t="str">
        <f>IFERROR(__xludf.DUMMYFUNCTION("""COMPUTED_VALUE"""),"52927875")</f>
        <v>52927875</v>
      </c>
      <c r="AN765" s="12" t="str">
        <f>IFERROR(__xludf.DUMMYFUNCTION("""COMPUTED_VALUE"""),"3112543805")</f>
        <v>3112543805</v>
      </c>
      <c r="AO765" s="6" t="str">
        <f>IFERROR(__xludf.DUMMYFUNCTION("""COMPUTED_VALUE"""),"Madre")</f>
        <v>Madre</v>
      </c>
      <c r="AP765" s="6" t="str">
        <f>IFERROR(__xludf.DUMMYFUNCTION("""COMPUTED_VALUE"""),"Estudiante(s): Wells Viasus")</f>
        <v>Estudiante(s): Wells Viasus</v>
      </c>
      <c r="AQ765" s="6" t="str">
        <f>IFERROR(__xludf.DUMMYFUNCTION("""COMPUTED_VALUE"""),"120620*Gi")</f>
        <v>120620*Gi</v>
      </c>
      <c r="AR765" s="6" t="str">
        <f>IFERROR(__xludf.DUMMYFUNCTION("""COMPUTED_VALUE"""),"Gary")</f>
        <v>Gary</v>
      </c>
      <c r="AS765" s="6" t="str">
        <f>IFERROR(__xludf.DUMMYFUNCTION("""COMPUTED_VALUE"""),"Russell")</f>
        <v>Russell</v>
      </c>
      <c r="AT765" s="6" t="str">
        <f>IFERROR(__xludf.DUMMYFUNCTION("""COMPUTED_VALUE"""),"Wells")</f>
        <v>Wells</v>
      </c>
      <c r="AU765" s="6" t="str">
        <f>IFERROR(__xludf.DUMMYFUNCTION("""COMPUTED_VALUE"""),"gwellstes@gmail.com")</f>
        <v>gwellstes@gmail.com</v>
      </c>
      <c r="AV765" s="6" t="str">
        <f>IFERROR(__xludf.DUMMYFUNCTION("""COMPUTED_VALUE"""),"Docente")</f>
        <v>Docente</v>
      </c>
      <c r="AW765" s="6"/>
      <c r="AX765" s="12" t="str">
        <f>IFERROR(__xludf.DUMMYFUNCTION("""COMPUTED_VALUE"""),"321170")</f>
        <v>321170</v>
      </c>
      <c r="AY765" s="12" t="str">
        <f>IFERROR(__xludf.DUMMYFUNCTION("""COMPUTED_VALUE"""),"3114797118")</f>
        <v>3114797118</v>
      </c>
      <c r="AZ765" s="6" t="str">
        <f>IFERROR(__xludf.DUMMYFUNCTION("""COMPUTED_VALUE"""),"Padre")</f>
        <v>Padre</v>
      </c>
      <c r="BA765" s="6"/>
      <c r="BB765" s="6"/>
      <c r="BC765" s="6"/>
      <c r="BD765" s="12" t="str">
        <f>IFERROR(__xludf.DUMMYFUNCTION("""COMPUTED_VALUE"""),"wel0001")</f>
        <v>wel0001</v>
      </c>
      <c r="BE765" s="6" t="str">
        <f>IFERROR(__xludf.DUMMYFUNCTION("""COMPUTED_VALUE"""),"NUEVO(A)")</f>
        <v>NUEVO(A)</v>
      </c>
      <c r="BF765" s="12" t="str">
        <f>IFERROR(__xludf.DUMMYFUNCTION("""COMPUTED_VALUE"""),"HIJ@ DOCENTE")</f>
        <v>HIJ@ DOCENTE</v>
      </c>
      <c r="BG765" s="6">
        <f>IFERROR(__xludf.DUMMYFUNCTION("""COMPUTED_VALUE"""),2028.0)</f>
        <v>2028</v>
      </c>
      <c r="BH765" s="15">
        <f>IFERROR(__xludf.DUMMYFUNCTION("""COMPUTED_VALUE"""),46205.4640625)</f>
        <v>46205.46406</v>
      </c>
      <c r="BI765" s="6">
        <f>IFERROR(__xludf.DUMMYFUNCTION("""COMPUTED_VALUE"""),766.0)</f>
        <v>766</v>
      </c>
      <c r="BJ765" s="6"/>
      <c r="BK765" s="6"/>
      <c r="BL765" s="6" t="str">
        <f>IFERROR(__xludf.DUMMYFUNCTION("""COMPUTED_VALUE"""),"GISWEL0001")</f>
        <v>GISWEL0001</v>
      </c>
      <c r="BM765" s="6"/>
      <c r="BN765" s="6"/>
      <c r="BO765" s="6"/>
      <c r="BP765" s="6"/>
      <c r="BQ765" s="6"/>
      <c r="BR765" s="6"/>
      <c r="BS765" s="6"/>
      <c r="BT765" s="6"/>
      <c r="BU765" s="6" t="str">
        <f>IFERROR(__xludf.DUMMYFUNCTION("""COMPUTED_VALUE"""),"SI")</f>
        <v>SI</v>
      </c>
      <c r="BV765" s="12" t="str">
        <f>IFERROR(__xludf.DUMMYFUNCTION("""COMPUTED_VALUE"""),"isabella.w2028")</f>
        <v>isabella.w2028</v>
      </c>
      <c r="BW765" s="6"/>
      <c r="BX765" s="6"/>
      <c r="BY765" s="6"/>
      <c r="B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 t="str">
        <f>IFERROR(__xludf.DUMMYFUNCTION("""COMPUTED_VALUE"""),"Madre")</f>
        <v>Madre</v>
      </c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 t="str">
        <f>IFERROR(__xludf.DUMMYFUNCTION("""COMPUTED_VALUE"""),"Padre")</f>
        <v>Padre</v>
      </c>
      <c r="BA766" s="6"/>
      <c r="BB766" s="6"/>
      <c r="BC766" s="6"/>
      <c r="BD766" s="6"/>
      <c r="BE766" s="6"/>
      <c r="BF766" s="6"/>
      <c r="BG766" s="6"/>
      <c r="BH766" s="6"/>
      <c r="BI766" s="6">
        <f>IFERROR(__xludf.DUMMYFUNCTION("""COMPUTED_VALUE"""),767.0)</f>
        <v>767</v>
      </c>
      <c r="BJ766" s="6"/>
      <c r="BK766" s="6"/>
      <c r="BL766" s="6"/>
      <c r="BM766" s="6"/>
      <c r="BN766" s="6"/>
      <c r="BO766" s="6"/>
      <c r="BP766" s="6"/>
      <c r="BQ766" s="6"/>
      <c r="BR766" s="6"/>
      <c r="BS766" s="6"/>
      <c r="BT766" s="6"/>
      <c r="BU766" s="6"/>
      <c r="BV766" s="6"/>
      <c r="BW766" s="6"/>
      <c r="BX766" s="6"/>
      <c r="BY766" s="6"/>
      <c r="BZ766" s="6"/>
    </row>
    <row r="767">
      <c r="A767" s="12">
        <f>IFERROR(__xludf.DUMMYFUNCTION("""COMPUTED_VALUE"""),1.092853896E9)</f>
        <v>1092853896</v>
      </c>
      <c r="B767" s="6">
        <f>IFERROR(__xludf.DUMMYFUNCTION("""COMPUTED_VALUE"""),1.0)</f>
        <v>1</v>
      </c>
      <c r="C767" s="6" t="str">
        <f>IFERROR(__xludf.DUMMYFUNCTION("""COMPUTED_VALUE"""),"Paulina")</f>
        <v>Paulina</v>
      </c>
      <c r="D767" s="6"/>
      <c r="E767" s="6" t="str">
        <f>IFERROR(__xludf.DUMMYFUNCTION("""COMPUTED_VALUE"""),"Álvarez Osorio")</f>
        <v>Álvarez Osorio</v>
      </c>
      <c r="F767" s="6" t="str">
        <f>IFERROR(__xludf.DUMMYFUNCTION("""COMPUTED_VALUE"""),"Cra 16 No 22Nte - 80 Apto 303 - La Suiza")</f>
        <v>Cra 16 No 22Nte - 80 Apto 303 - La Suiza</v>
      </c>
      <c r="G767" s="12" t="str">
        <f>IFERROR(__xludf.DUMMYFUNCTION("""COMPUTED_VALUE"""),"2008")</f>
        <v>2008</v>
      </c>
      <c r="H767" s="6" t="str">
        <f>IFERROR(__xludf.DUMMYFUNCTION("""COMPUTED_VALUE"""),"Diciembre")</f>
        <v>Diciembre</v>
      </c>
      <c r="I767" s="12" t="str">
        <f>IFERROR(__xludf.DUMMYFUNCTION("""COMPUTED_VALUE"""),"2")</f>
        <v>2</v>
      </c>
      <c r="J767" s="6" t="str">
        <f>IFERROR(__xludf.DUMMYFUNCTION("""COMPUTED_VALUE"""),"Armenia")</f>
        <v>Armenia</v>
      </c>
      <c r="K767" s="6" t="str">
        <f>IFERROR(__xludf.DUMMYFUNCTION("""COMPUTED_VALUE"""),"paulina.a2027@gi.edu.co")</f>
        <v>paulina.a2027@gi.edu.co</v>
      </c>
      <c r="L767" s="6" t="str">
        <f>IFERROR(__xludf.DUMMYFUNCTION("""COMPUTED_VALUE"""),"TI")</f>
        <v>TI</v>
      </c>
      <c r="M767" s="6" t="str">
        <f>IFERROR(__xludf.DUMMYFUNCTION("""COMPUTED_VALUE"""),"Armenia")</f>
        <v>Armenia</v>
      </c>
      <c r="N767" s="6" t="str">
        <f>IFERROR(__xludf.DUMMYFUNCTION("""COMPUTED_VALUE"""),"F")</f>
        <v>F</v>
      </c>
      <c r="O767" s="6" t="str">
        <f>IFERROR(__xludf.DUMMYFUNCTION("""COMPUTED_VALUE"""),"ACTIVE")</f>
        <v>ACTIVE</v>
      </c>
      <c r="P767" s="6"/>
      <c r="Q767" s="6" t="str">
        <f>IFERROR(__xludf.DUMMYFUNCTION("""COMPUTED_VALUE"""),"Armenia")</f>
        <v>Armenia</v>
      </c>
      <c r="R767" s="12" t="str">
        <f>IFERROR(__xludf.DUMMYFUNCTION("""COMPUTED_VALUE"""),"Gi3456vbnm*")</f>
        <v>Gi3456vbnm*</v>
      </c>
      <c r="S767" s="6" t="str">
        <f>IFERROR(__xludf.DUMMYFUNCTION("""COMPUTED_VALUE"""),"Álvarez Osorio Paulina ")</f>
        <v>Álvarez Osorio Paulina </v>
      </c>
      <c r="T767" s="6" t="str">
        <f>IFERROR(__xludf.DUMMYFUNCTION("""COMPUTED_VALUE"""),"CARLOS FABIO ALVAREZ ANGEL")</f>
        <v>CARLOS FABIO ALVAREZ ANGEL</v>
      </c>
      <c r="U767" s="12" t="str">
        <f>IFERROR(__xludf.DUMMYFUNCTION("""COMPUTED_VALUE"""),"89001029")</f>
        <v>89001029</v>
      </c>
      <c r="V767" s="6">
        <f>IFERROR(__xludf.DUMMYFUNCTION("""COMPUTED_VALUE"""),3.185013711E9)</f>
        <v>3185013711</v>
      </c>
      <c r="W767" s="6" t="str">
        <f>IFERROR(__xludf.DUMMYFUNCTION("""COMPUTED_VALUE"""),"ccaralvar@gmail.com")</f>
        <v>ccaralvar@gmail.com</v>
      </c>
      <c r="X767" s="12" t="str">
        <f>IFERROR(__xludf.DUMMYFUNCTION("""COMPUTED_VALUE"""),"A+")</f>
        <v>A+</v>
      </c>
      <c r="Y767" s="12" t="str">
        <f>IFERROR(__xludf.DUMMYFUNCTION("""COMPUTED_VALUE"""),"12")</f>
        <v>12</v>
      </c>
      <c r="Z767" s="12">
        <f>IFERROR(__xludf.DUMMYFUNCTION("""COMPUTED_VALUE"""),103069.0)</f>
        <v>103069</v>
      </c>
      <c r="AA767" s="6" t="str">
        <f>IFERROR(__xludf.DUMMYFUNCTION("""COMPUTED_VALUE"""),"SURA")</f>
        <v>SURA</v>
      </c>
      <c r="AB767" s="6" t="str">
        <f>IFERROR(__xludf.DUMMYFUNCTION("""COMPUTED_VALUE"""),"EMI")</f>
        <v>EMI</v>
      </c>
      <c r="AC767" s="12" t="str">
        <f>IFERROR(__xludf.DUMMYFUNCTION("""COMPUTED_VALUE"""),"Ibuprofeno")</f>
        <v>Ibuprofeno</v>
      </c>
      <c r="AD767" s="12" t="str">
        <f>IFERROR(__xludf.DUMMYFUNCTION("""COMPUTED_VALUE"""),"12")</f>
        <v>12</v>
      </c>
      <c r="AE767" s="12">
        <f>IFERROR(__xludf.DUMMYFUNCTION("""COMPUTED_VALUE"""),1.34528149E9)</f>
        <v>1345281490</v>
      </c>
      <c r="AF767" s="12" t="str">
        <f>IFERROR(__xludf.DUMMYFUNCTION("""COMPUTED_VALUE"""),"0687034739")</f>
        <v>0687034739</v>
      </c>
      <c r="AG767" s="12" t="str">
        <f>IFERROR(__xludf.DUMMYFUNCTION("""COMPUTED_VALUE"""),"Yadira")</f>
        <v>Yadira</v>
      </c>
      <c r="AH767" s="6"/>
      <c r="AI767" s="6" t="str">
        <f>IFERROR(__xludf.DUMMYFUNCTION("""COMPUTED_VALUE"""),"Osorio Pinilla")</f>
        <v>Osorio Pinilla</v>
      </c>
      <c r="AJ767" s="6" t="str">
        <f>IFERROR(__xludf.DUMMYFUNCTION("""COMPUTED_VALUE"""),"yadioso@hotmail.com")</f>
        <v>yadioso@hotmail.com</v>
      </c>
      <c r="AK767" s="6" t="str">
        <f>IFERROR(__xludf.DUMMYFUNCTION("""COMPUTED_VALUE"""),"Abogada")</f>
        <v>Abogada</v>
      </c>
      <c r="AL767" s="6" t="str">
        <f>IFERROR(__xludf.DUMMYFUNCTION("""COMPUTED_VALUE"""),"La Crónica del Quindío")</f>
        <v>La Crónica del Quindío</v>
      </c>
      <c r="AM767" s="12" t="str">
        <f>IFERROR(__xludf.DUMMYFUNCTION("""COMPUTED_VALUE"""),"41919008")</f>
        <v>41919008</v>
      </c>
      <c r="AN767" s="12" t="str">
        <f>IFERROR(__xludf.DUMMYFUNCTION("""COMPUTED_VALUE"""),"3007872724")</f>
        <v>3007872724</v>
      </c>
      <c r="AO767" s="6" t="str">
        <f>IFERROR(__xludf.DUMMYFUNCTION("""COMPUTED_VALUE"""),"Madre")</f>
        <v>Madre</v>
      </c>
      <c r="AP767" s="6" t="str">
        <f>IFERROR(__xludf.DUMMYFUNCTION("""COMPUTED_VALUE"""),"Estudiante(s): Álvarez Osorio")</f>
        <v>Estudiante(s): Álvarez Osorio</v>
      </c>
      <c r="AQ767" s="6" t="str">
        <f>IFERROR(__xludf.DUMMYFUNCTION("""COMPUTED_VALUE"""),"103069*Gi")</f>
        <v>103069*Gi</v>
      </c>
      <c r="AR767" s="6" t="str">
        <f>IFERROR(__xludf.DUMMYFUNCTION("""COMPUTED_VALUE"""),"Carlos")</f>
        <v>Carlos</v>
      </c>
      <c r="AS767" s="6" t="str">
        <f>IFERROR(__xludf.DUMMYFUNCTION("""COMPUTED_VALUE"""),"Fabio")</f>
        <v>Fabio</v>
      </c>
      <c r="AT767" s="6" t="str">
        <f>IFERROR(__xludf.DUMMYFUNCTION("""COMPUTED_VALUE"""),"Álvarez Ángel")</f>
        <v>Álvarez Ángel</v>
      </c>
      <c r="AU767" s="6" t="str">
        <f>IFERROR(__xludf.DUMMYFUNCTION("""COMPUTED_VALUE"""),"ccaralvar@gmail.com")</f>
        <v>ccaralvar@gmail.com</v>
      </c>
      <c r="AV767" s="6" t="str">
        <f>IFERROR(__xludf.DUMMYFUNCTION("""COMPUTED_VALUE"""),"Ingeniero Industrial")</f>
        <v>Ingeniero Industrial</v>
      </c>
      <c r="AW767" s="6" t="str">
        <f>IFERROR(__xludf.DUMMYFUNCTION("""COMPUTED_VALUE"""),"Universidad del Quindío")</f>
        <v>Universidad del Quindío</v>
      </c>
      <c r="AX767" s="12" t="str">
        <f>IFERROR(__xludf.DUMMYFUNCTION("""COMPUTED_VALUE"""),"89001029")</f>
        <v>89001029</v>
      </c>
      <c r="AY767" s="12" t="str">
        <f>IFERROR(__xludf.DUMMYFUNCTION("""COMPUTED_VALUE"""),"3185013711")</f>
        <v>3185013711</v>
      </c>
      <c r="AZ767" s="6" t="str">
        <f>IFERROR(__xludf.DUMMYFUNCTION("""COMPUTED_VALUE"""),"Padre")</f>
        <v>Padre</v>
      </c>
      <c r="BA767" s="6"/>
      <c r="BB767" s="6"/>
      <c r="BC767" s="6"/>
      <c r="BD767" s="12" t="str">
        <f>IFERROR(__xludf.DUMMYFUNCTION("""COMPUTED_VALUE"""),"alv0001")</f>
        <v>alv0001</v>
      </c>
      <c r="BE767" s="6"/>
      <c r="BF767" s="6"/>
      <c r="BG767" s="6">
        <f>IFERROR(__xludf.DUMMYFUNCTION("""COMPUTED_VALUE"""),2027.0)</f>
        <v>2027</v>
      </c>
      <c r="BH767" s="15">
        <f>IFERROR(__xludf.DUMMYFUNCTION("""COMPUTED_VALUE"""),46210.88967592592)</f>
        <v>46210.88968</v>
      </c>
      <c r="BI767" s="6">
        <f>IFERROR(__xludf.DUMMYFUNCTION("""COMPUTED_VALUE"""),768.0)</f>
        <v>768</v>
      </c>
      <c r="BJ767" s="6"/>
      <c r="BK767" s="6"/>
      <c r="BL767" s="6" t="str">
        <f>IFERROR(__xludf.DUMMYFUNCTION("""COMPUTED_VALUE"""),"GISALV0001")</f>
        <v>GISALV0001</v>
      </c>
      <c r="BM767" s="6"/>
      <c r="BN767" s="6"/>
      <c r="BO767" s="6"/>
      <c r="BP767" s="6"/>
      <c r="BQ767" s="6"/>
      <c r="BR767" s="6"/>
      <c r="BS767" s="6"/>
      <c r="BT767" s="6"/>
      <c r="BU767" s="6" t="str">
        <f>IFERROR(__xludf.DUMMYFUNCTION("""COMPUTED_VALUE"""),"SI")</f>
        <v>SI</v>
      </c>
      <c r="BV767" s="6" t="str">
        <f>IFERROR(__xludf.DUMMYFUNCTION("""COMPUTED_VALUE"""),"paulina.a2027")</f>
        <v>paulina.a2027</v>
      </c>
      <c r="BW767" s="6"/>
      <c r="BX767" s="6"/>
      <c r="BY767" s="6"/>
      <c r="BZ767" s="6"/>
    </row>
    <row r="768">
      <c r="A768" s="12">
        <f>IFERROR(__xludf.DUMMYFUNCTION("""COMPUTED_VALUE"""),1.091204411E9)</f>
        <v>1091204411</v>
      </c>
      <c r="B768" s="6">
        <f>IFERROR(__xludf.DUMMYFUNCTION("""COMPUTED_VALUE"""),2.0)</f>
        <v>2</v>
      </c>
      <c r="C768" s="6" t="str">
        <f>IFERROR(__xludf.DUMMYFUNCTION("""COMPUTED_VALUE"""),"Samuel")</f>
        <v>Samuel</v>
      </c>
      <c r="D768" s="6"/>
      <c r="E768" s="6" t="str">
        <f>IFERROR(__xludf.DUMMYFUNCTION("""COMPUTED_VALUE"""),"Álvarez Solano")</f>
        <v>Álvarez Solano</v>
      </c>
      <c r="F768" s="6" t="str">
        <f>IFERROR(__xludf.DUMMYFUNCTION("""COMPUTED_VALUE"""),"Condominio Campestre Reserva del Bosque Casa 6 - Km 3 Via Armenia - Pereira")</f>
        <v>Condominio Campestre Reserva del Bosque Casa 6 - Km 3 Via Armenia - Pereira</v>
      </c>
      <c r="G768" s="12" t="str">
        <f>IFERROR(__xludf.DUMMYFUNCTION("""COMPUTED_VALUE"""),"2008")</f>
        <v>2008</v>
      </c>
      <c r="H768" s="6" t="str">
        <f>IFERROR(__xludf.DUMMYFUNCTION("""COMPUTED_VALUE"""),"Diciembre")</f>
        <v>Diciembre</v>
      </c>
      <c r="I768" s="12" t="str">
        <f>IFERROR(__xludf.DUMMYFUNCTION("""COMPUTED_VALUE"""),"26")</f>
        <v>26</v>
      </c>
      <c r="J768" s="6" t="str">
        <f>IFERROR(__xludf.DUMMYFUNCTION("""COMPUTED_VALUE"""),"Armenia")</f>
        <v>Armenia</v>
      </c>
      <c r="K768" s="6" t="str">
        <f>IFERROR(__xludf.DUMMYFUNCTION("""COMPUTED_VALUE"""),"samuel.a2027@gi.edu.co")</f>
        <v>samuel.a2027@gi.edu.co</v>
      </c>
      <c r="L768" s="6" t="str">
        <f>IFERROR(__xludf.DUMMYFUNCTION("""COMPUTED_VALUE"""),"TI")</f>
        <v>TI</v>
      </c>
      <c r="M768" s="6" t="str">
        <f>IFERROR(__xludf.DUMMYFUNCTION("""COMPUTED_VALUE"""),"Armenia")</f>
        <v>Armenia</v>
      </c>
      <c r="N768" s="6" t="str">
        <f>IFERROR(__xludf.DUMMYFUNCTION("""COMPUTED_VALUE"""),"M")</f>
        <v>M</v>
      </c>
      <c r="O768" s="6" t="str">
        <f>IFERROR(__xludf.DUMMYFUNCTION("""COMPUTED_VALUE"""),"INACTIVE")</f>
        <v>INACTIVE</v>
      </c>
      <c r="P768" s="6"/>
      <c r="Q768" s="6" t="str">
        <f>IFERROR(__xludf.DUMMYFUNCTION("""COMPUTED_VALUE"""),"Circasia")</f>
        <v>Circasia</v>
      </c>
      <c r="R768" s="12" t="str">
        <f>IFERROR(__xludf.DUMMYFUNCTION("""COMPUTED_VALUE"""),"Gi13223999*")</f>
        <v>Gi13223999*</v>
      </c>
      <c r="S768" s="6" t="str">
        <f>IFERROR(__xludf.DUMMYFUNCTION("""COMPUTED_VALUE"""),"Álvarez Solano Samuel ")</f>
        <v>Álvarez Solano Samuel </v>
      </c>
      <c r="T768" s="6" t="str">
        <f>IFERROR(__xludf.DUMMYFUNCTION("""COMPUTED_VALUE"""),"JUAN DIEGO ALVAREZ MARQUEZ")</f>
        <v>JUAN DIEGO ALVAREZ MARQUEZ</v>
      </c>
      <c r="U768" s="12" t="str">
        <f>IFERROR(__xludf.DUMMYFUNCTION("""COMPUTED_VALUE"""),"9730016")</f>
        <v>9730016</v>
      </c>
      <c r="V768" s="6">
        <f>IFERROR(__xludf.DUMMYFUNCTION("""COMPUTED_VALUE"""),3.207274484E9)</f>
        <v>3207274484</v>
      </c>
      <c r="W768" s="6" t="str">
        <f>IFERROR(__xludf.DUMMYFUNCTION("""COMPUTED_VALUE"""),"jalvarezm40@gmail.com")</f>
        <v>jalvarezm40@gmail.com</v>
      </c>
      <c r="X768" s="12" t="str">
        <f>IFERROR(__xludf.DUMMYFUNCTION("""COMPUTED_VALUE"""),"O+")</f>
        <v>O+</v>
      </c>
      <c r="Y768" s="12" t="str">
        <f>IFERROR(__xludf.DUMMYFUNCTION("""COMPUTED_VALUE"""),"12")</f>
        <v>12</v>
      </c>
      <c r="Z768" s="12">
        <f>IFERROR(__xludf.DUMMYFUNCTION("""COMPUTED_VALUE"""),102052.0)</f>
        <v>102052</v>
      </c>
      <c r="AA768" s="6" t="str">
        <f>IFERROR(__xludf.DUMMYFUNCTION("""COMPUTED_VALUE"""),"SURA")</f>
        <v>SURA</v>
      </c>
      <c r="AB768" s="6" t="str">
        <f>IFERROR(__xludf.DUMMYFUNCTION("""COMPUTED_VALUE"""),"EMI")</f>
        <v>EMI</v>
      </c>
      <c r="AC768" s="12" t="str">
        <f>IFERROR(__xludf.DUMMYFUNCTION("""COMPUTED_VALUE"""),"Antiemeticos")</f>
        <v>Antiemeticos</v>
      </c>
      <c r="AD768" s="12" t="str">
        <f>IFERROR(__xludf.DUMMYFUNCTION("""COMPUTED_VALUE"""),"12")</f>
        <v>12</v>
      </c>
      <c r="AE768" s="12">
        <f>IFERROR(__xludf.DUMMYFUNCTION("""COMPUTED_VALUE"""),1.345281263E9)</f>
        <v>1345281263</v>
      </c>
      <c r="AF768" s="12" t="str">
        <f>IFERROR(__xludf.DUMMYFUNCTION("""COMPUTED_VALUE"""),"0672773011")</f>
        <v>0672773011</v>
      </c>
      <c r="AG768" s="12" t="str">
        <f>IFERROR(__xludf.DUMMYFUNCTION("""COMPUTED_VALUE"""),"Diana")</f>
        <v>Diana</v>
      </c>
      <c r="AH768" s="12" t="str">
        <f>IFERROR(__xludf.DUMMYFUNCTION("""COMPUTED_VALUE"""),"Mercedes")</f>
        <v>Mercedes</v>
      </c>
      <c r="AI768" s="6" t="str">
        <f>IFERROR(__xludf.DUMMYFUNCTION("""COMPUTED_VALUE"""),"Solano Gutiérrez")</f>
        <v>Solano Gutiérrez</v>
      </c>
      <c r="AJ768" s="6" t="str">
        <f>IFERROR(__xludf.DUMMYFUNCTION("""COMPUTED_VALUE"""),"sas200814@hotmail.com")</f>
        <v>sas200814@hotmail.com</v>
      </c>
      <c r="AK768" s="6" t="str">
        <f>IFERROR(__xludf.DUMMYFUNCTION("""COMPUTED_VALUE"""),"Administradora de Negocios")</f>
        <v>Administradora de Negocios</v>
      </c>
      <c r="AL768" s="6" t="str">
        <f>IFERROR(__xludf.DUMMYFUNCTION("""COMPUTED_VALUE"""),"AD Desing y Ambiente Gourmet")</f>
        <v>AD Desing y Ambiente Gourmet</v>
      </c>
      <c r="AM768" s="12" t="str">
        <f>IFERROR(__xludf.DUMMYFUNCTION("""COMPUTED_VALUE"""),"41943656")</f>
        <v>41943656</v>
      </c>
      <c r="AN768" s="12" t="str">
        <f>IFERROR(__xludf.DUMMYFUNCTION("""COMPUTED_VALUE"""),"3217015171")</f>
        <v>3217015171</v>
      </c>
      <c r="AO768" s="6" t="str">
        <f>IFERROR(__xludf.DUMMYFUNCTION("""COMPUTED_VALUE"""),"Madre")</f>
        <v>Madre</v>
      </c>
      <c r="AP768" s="6" t="str">
        <f>IFERROR(__xludf.DUMMYFUNCTION("""COMPUTED_VALUE"""),"Estudiante(s): Álvarez Solano")</f>
        <v>Estudiante(s): Álvarez Solano</v>
      </c>
      <c r="AQ768" s="6" t="str">
        <f>IFERROR(__xludf.DUMMYFUNCTION("""COMPUTED_VALUE"""),"102156*Gi")</f>
        <v>102156*Gi</v>
      </c>
      <c r="AR768" s="6" t="str">
        <f>IFERROR(__xludf.DUMMYFUNCTION("""COMPUTED_VALUE"""),"Juan")</f>
        <v>Juan</v>
      </c>
      <c r="AS768" s="6" t="str">
        <f>IFERROR(__xludf.DUMMYFUNCTION("""COMPUTED_VALUE"""),"Diego")</f>
        <v>Diego</v>
      </c>
      <c r="AT768" s="6" t="str">
        <f>IFERROR(__xludf.DUMMYFUNCTION("""COMPUTED_VALUE"""),"Álvarez Márquez")</f>
        <v>Álvarez Márquez</v>
      </c>
      <c r="AU768" s="6" t="str">
        <f>IFERROR(__xludf.DUMMYFUNCTION("""COMPUTED_VALUE"""),"jalvarezm40@gmail.com")</f>
        <v>jalvarezm40@gmail.com</v>
      </c>
      <c r="AV768" s="6" t="str">
        <f>IFERROR(__xludf.DUMMYFUNCTION("""COMPUTED_VALUE"""),"Administrador de Negocios")</f>
        <v>Administrador de Negocios</v>
      </c>
      <c r="AW768" s="6" t="str">
        <f>IFERROR(__xludf.DUMMYFUNCTION("""COMPUTED_VALUE"""),"Davivienda")</f>
        <v>Davivienda</v>
      </c>
      <c r="AX768" s="12" t="str">
        <f>IFERROR(__xludf.DUMMYFUNCTION("""COMPUTED_VALUE"""),"9730016")</f>
        <v>9730016</v>
      </c>
      <c r="AY768" s="12" t="str">
        <f>IFERROR(__xludf.DUMMYFUNCTION("""COMPUTED_VALUE"""),"3207274484")</f>
        <v>3207274484</v>
      </c>
      <c r="AZ768" s="6" t="str">
        <f>IFERROR(__xludf.DUMMYFUNCTION("""COMPUTED_VALUE"""),"Padre")</f>
        <v>Padre</v>
      </c>
      <c r="BA768" s="6"/>
      <c r="BB768" s="6"/>
      <c r="BC768" s="6"/>
      <c r="BD768" s="12" t="str">
        <f>IFERROR(__xludf.DUMMYFUNCTION("""COMPUTED_VALUE"""),"lva0001")</f>
        <v>lva0001</v>
      </c>
      <c r="BE768" s="6" t="str">
        <f>IFERROR(__xludf.DUMMYFUNCTION("""COMPUTED_VALUE"""),"FALTAN FIRMAS")</f>
        <v>FALTAN FIRMAS</v>
      </c>
      <c r="BF768" s="6"/>
      <c r="BG768" s="6">
        <f>IFERROR(__xludf.DUMMYFUNCTION("""COMPUTED_VALUE"""),2027.0)</f>
        <v>2027</v>
      </c>
      <c r="BH768" s="15">
        <f>IFERROR(__xludf.DUMMYFUNCTION("""COMPUTED_VALUE"""),46212.63895833334)</f>
        <v>46212.63896</v>
      </c>
      <c r="BI768" s="6">
        <f>IFERROR(__xludf.DUMMYFUNCTION("""COMPUTED_VALUE"""),769.0)</f>
        <v>769</v>
      </c>
      <c r="BJ768" s="6"/>
      <c r="BK768" s="6"/>
      <c r="BL768" s="6" t="str">
        <f>IFERROR(__xludf.DUMMYFUNCTION("""COMPUTED_VALUE"""),"GISLVA0001")</f>
        <v>GISLVA0001</v>
      </c>
      <c r="BM768" s="6"/>
      <c r="BN768" s="6"/>
      <c r="BO768" s="6"/>
      <c r="BP768" s="6"/>
      <c r="BQ768" s="6"/>
      <c r="BR768" s="6"/>
      <c r="BS768" s="6"/>
      <c r="BT768" s="6"/>
      <c r="BU768" s="6" t="str">
        <f>IFERROR(__xludf.DUMMYFUNCTION("""COMPUTED_VALUE"""),"SI")</f>
        <v>SI</v>
      </c>
      <c r="BV768" s="6" t="str">
        <f>IFERROR(__xludf.DUMMYFUNCTION("""COMPUTED_VALUE"""),"samuel.a2027")</f>
        <v>samuel.a2027</v>
      </c>
      <c r="BW768" s="6"/>
      <c r="BX768" s="6"/>
      <c r="BY768" s="6"/>
      <c r="BZ768" s="6"/>
    </row>
    <row r="769">
      <c r="A769" s="12">
        <f>IFERROR(__xludf.DUMMYFUNCTION("""COMPUTED_VALUE"""),1.092854221E9)</f>
        <v>1092854221</v>
      </c>
      <c r="B769" s="6">
        <f>IFERROR(__xludf.DUMMYFUNCTION("""COMPUTED_VALUE"""),3.0)</f>
        <v>3</v>
      </c>
      <c r="C769" s="6" t="str">
        <f>IFERROR(__xludf.DUMMYFUNCTION("""COMPUTED_VALUE"""),"Sofía")</f>
        <v>Sofía</v>
      </c>
      <c r="D769" s="6"/>
      <c r="E769" s="6" t="str">
        <f>IFERROR(__xludf.DUMMYFUNCTION("""COMPUTED_VALUE"""),"Ángel Gómez")</f>
        <v>Ángel Gómez</v>
      </c>
      <c r="F769" s="6" t="str">
        <f>IFERROR(__xludf.DUMMYFUNCTION("""COMPUTED_VALUE"""),"Condominio el Tesoro Campestre Casa 46 - Altos del Rio Km 1 Via Armenia Calarca")</f>
        <v>Condominio el Tesoro Campestre Casa 46 - Altos del Rio Km 1 Via Armenia Calarca</v>
      </c>
      <c r="G769" s="12" t="str">
        <f>IFERROR(__xludf.DUMMYFUNCTION("""COMPUTED_VALUE"""),"2009")</f>
        <v>2009</v>
      </c>
      <c r="H769" s="6" t="str">
        <f>IFERROR(__xludf.DUMMYFUNCTION("""COMPUTED_VALUE"""),"Julio")</f>
        <v>Julio</v>
      </c>
      <c r="I769" s="12" t="str">
        <f>IFERROR(__xludf.DUMMYFUNCTION("""COMPUTED_VALUE"""),"8")</f>
        <v>8</v>
      </c>
      <c r="J769" s="6" t="str">
        <f>IFERROR(__xludf.DUMMYFUNCTION("""COMPUTED_VALUE"""),"Armenia")</f>
        <v>Armenia</v>
      </c>
      <c r="K769" s="6" t="str">
        <f>IFERROR(__xludf.DUMMYFUNCTION("""COMPUTED_VALUE"""),"sofia.a2027@gi.edu.co")</f>
        <v>sofia.a2027@gi.edu.co</v>
      </c>
      <c r="L769" s="6" t="str">
        <f>IFERROR(__xludf.DUMMYFUNCTION("""COMPUTED_VALUE"""),"TI")</f>
        <v>TI</v>
      </c>
      <c r="M769" s="6" t="str">
        <f>IFERROR(__xludf.DUMMYFUNCTION("""COMPUTED_VALUE"""),"Armenia")</f>
        <v>Armenia</v>
      </c>
      <c r="N769" s="6" t="str">
        <f>IFERROR(__xludf.DUMMYFUNCTION("""COMPUTED_VALUE"""),"F")</f>
        <v>F</v>
      </c>
      <c r="O769" s="6" t="str">
        <f>IFERROR(__xludf.DUMMYFUNCTION("""COMPUTED_VALUE"""),"ACTIVE")</f>
        <v>ACTIVE</v>
      </c>
      <c r="P769" s="6"/>
      <c r="Q769" s="6" t="str">
        <f>IFERROR(__xludf.DUMMYFUNCTION("""COMPUTED_VALUE"""),"Calarcá")</f>
        <v>Calarcá</v>
      </c>
      <c r="R769" s="12" t="str">
        <f>IFERROR(__xludf.DUMMYFUNCTION("""COMPUTED_VALUE"""),"Gi27r42669*")</f>
        <v>Gi27r42669*</v>
      </c>
      <c r="S769" s="6" t="str">
        <f>IFERROR(__xludf.DUMMYFUNCTION("""COMPUTED_VALUE"""),"Ángel Gómez Sofía ")</f>
        <v>Ángel Gómez Sofía </v>
      </c>
      <c r="T769" s="6" t="str">
        <f>IFERROR(__xludf.DUMMYFUNCTION("""COMPUTED_VALUE"""),"FERNANDO ARTURO ANGEL PELAEZ")</f>
        <v>FERNANDO ARTURO ANGEL PELAEZ</v>
      </c>
      <c r="U769" s="12" t="str">
        <f>IFERROR(__xludf.DUMMYFUNCTION("""COMPUTED_VALUE"""),"18391737")</f>
        <v>18391737</v>
      </c>
      <c r="V769" s="6">
        <f>IFERROR(__xludf.DUMMYFUNCTION("""COMPUTED_VALUE"""),3.104031309E9)</f>
        <v>3104031309</v>
      </c>
      <c r="W769" s="6" t="str">
        <f>IFERROR(__xludf.DUMMYFUNCTION("""COMPUTED_VALUE"""),"fernandoaangel@hotmail.com")</f>
        <v>fernandoaangel@hotmail.com</v>
      </c>
      <c r="X769" s="12" t="str">
        <f>IFERROR(__xludf.DUMMYFUNCTION("""COMPUTED_VALUE"""),"A+")</f>
        <v>A+</v>
      </c>
      <c r="Y769" s="12" t="str">
        <f>IFERROR(__xludf.DUMMYFUNCTION("""COMPUTED_VALUE"""),"12")</f>
        <v>12</v>
      </c>
      <c r="Z769" s="12">
        <f>IFERROR(__xludf.DUMMYFUNCTION("""COMPUTED_VALUE"""),102726.0)</f>
        <v>102726</v>
      </c>
      <c r="AA769" s="6" t="str">
        <f>IFERROR(__xludf.DUMMYFUNCTION("""COMPUTED_VALUE"""),"SURA")</f>
        <v>SURA</v>
      </c>
      <c r="AB769" s="6" t="str">
        <f>IFERROR(__xludf.DUMMYFUNCTION("""COMPUTED_VALUE"""),"EMI")</f>
        <v>EMI</v>
      </c>
      <c r="AC769" s="6"/>
      <c r="AD769" s="12" t="str">
        <f>IFERROR(__xludf.DUMMYFUNCTION("""COMPUTED_VALUE"""),"12")</f>
        <v>12</v>
      </c>
      <c r="AE769" s="12">
        <f>IFERROR(__xludf.DUMMYFUNCTION("""COMPUTED_VALUE"""),1.345281376E9)</f>
        <v>1345281376</v>
      </c>
      <c r="AF769" s="12" t="str">
        <f>IFERROR(__xludf.DUMMYFUNCTION("""COMPUTED_VALUE"""),"0687209123")</f>
        <v>0687209123</v>
      </c>
      <c r="AG769" s="12" t="str">
        <f>IFERROR(__xludf.DUMMYFUNCTION("""COMPUTED_VALUE"""),"Ingri")</f>
        <v>Ingri</v>
      </c>
      <c r="AH769" s="12" t="str">
        <f>IFERROR(__xludf.DUMMYFUNCTION("""COMPUTED_VALUE"""),"Carolina")</f>
        <v>Carolina</v>
      </c>
      <c r="AI769" s="6" t="str">
        <f>IFERROR(__xludf.DUMMYFUNCTION("""COMPUTED_VALUE"""),"Gómez")</f>
        <v>Gómez</v>
      </c>
      <c r="AJ769" s="6" t="str">
        <f>IFERROR(__xludf.DUMMYFUNCTION("""COMPUTED_VALUE"""),"carogomez229@hotmail.com")</f>
        <v>carogomez229@hotmail.com</v>
      </c>
      <c r="AK769" s="6" t="str">
        <f>IFERROR(__xludf.DUMMYFUNCTION("""COMPUTED_VALUE"""),"FINANZAS")</f>
        <v>FINANZAS</v>
      </c>
      <c r="AL769" s="6" t="str">
        <f>IFERROR(__xludf.DUMMYFUNCTION("""COMPUTED_VALUE"""),"INDEPENDIENTE")</f>
        <v>INDEPENDIENTE</v>
      </c>
      <c r="AM769" s="12" t="str">
        <f>IFERROR(__xludf.DUMMYFUNCTION("""COMPUTED_VALUE"""),"38665194")</f>
        <v>38665194</v>
      </c>
      <c r="AN769" s="12" t="str">
        <f>IFERROR(__xludf.DUMMYFUNCTION("""COMPUTED_VALUE"""),"3108300269")</f>
        <v>3108300269</v>
      </c>
      <c r="AO769" s="6" t="str">
        <f>IFERROR(__xludf.DUMMYFUNCTION("""COMPUTED_VALUE"""),"Madre")</f>
        <v>Madre</v>
      </c>
      <c r="AP769" s="6" t="str">
        <f>IFERROR(__xludf.DUMMYFUNCTION("""COMPUTED_VALUE"""),"Estudiante(s): Ángel Gómez")</f>
        <v>Estudiante(s): Ángel Gómez</v>
      </c>
      <c r="AQ769" s="6" t="str">
        <f>IFERROR(__xludf.DUMMYFUNCTION("""COMPUTED_VALUE"""),"102097*Gi")</f>
        <v>102097*Gi</v>
      </c>
      <c r="AR769" s="6" t="str">
        <f>IFERROR(__xludf.DUMMYFUNCTION("""COMPUTED_VALUE"""),"Fernando")</f>
        <v>Fernando</v>
      </c>
      <c r="AS769" s="6" t="str">
        <f>IFERROR(__xludf.DUMMYFUNCTION("""COMPUTED_VALUE"""),"Arturo")</f>
        <v>Arturo</v>
      </c>
      <c r="AT769" s="6" t="str">
        <f>IFERROR(__xludf.DUMMYFUNCTION("""COMPUTED_VALUE"""),"Ángel Peláez")</f>
        <v>Ángel Peláez</v>
      </c>
      <c r="AU769" s="6" t="str">
        <f>IFERROR(__xludf.DUMMYFUNCTION("""COMPUTED_VALUE"""),"fernandoaangel@hotmail.com")</f>
        <v>fernandoaangel@hotmail.com</v>
      </c>
      <c r="AV769" s="6" t="str">
        <f>IFERROR(__xludf.DUMMYFUNCTION("""COMPUTED_VALUE"""),"Ingeniero Civil")</f>
        <v>Ingeniero Civil</v>
      </c>
      <c r="AW769" s="6"/>
      <c r="AX769" s="12" t="str">
        <f>IFERROR(__xludf.DUMMYFUNCTION("""COMPUTED_VALUE"""),"18391737")</f>
        <v>18391737</v>
      </c>
      <c r="AY769" s="12" t="str">
        <f>IFERROR(__xludf.DUMMYFUNCTION("""COMPUTED_VALUE"""),"3104031309")</f>
        <v>3104031309</v>
      </c>
      <c r="AZ769" s="6" t="str">
        <f>IFERROR(__xludf.DUMMYFUNCTION("""COMPUTED_VALUE"""),"Padre")</f>
        <v>Padre</v>
      </c>
      <c r="BA769" s="6"/>
      <c r="BB769" s="6"/>
      <c r="BC769" s="6"/>
      <c r="BD769" s="12" t="str">
        <f>IFERROR(__xludf.DUMMYFUNCTION("""COMPUTED_VALUE"""),"nge0003")</f>
        <v>nge0003</v>
      </c>
      <c r="BE769" s="6"/>
      <c r="BF769" s="6"/>
      <c r="BG769" s="6">
        <f>IFERROR(__xludf.DUMMYFUNCTION("""COMPUTED_VALUE"""),2027.0)</f>
        <v>2027</v>
      </c>
      <c r="BH769" s="15">
        <f>IFERROR(__xludf.DUMMYFUNCTION("""COMPUTED_VALUE"""),46209.45333333333)</f>
        <v>46209.45333</v>
      </c>
      <c r="BI769" s="6">
        <f>IFERROR(__xludf.DUMMYFUNCTION("""COMPUTED_VALUE"""),770.0)</f>
        <v>770</v>
      </c>
      <c r="BJ769" s="6"/>
      <c r="BK769" s="6"/>
      <c r="BL769" s="6" t="str">
        <f>IFERROR(__xludf.DUMMYFUNCTION("""COMPUTED_VALUE"""),"GISNGE0003")</f>
        <v>GISNGE0003</v>
      </c>
      <c r="BM769" s="6"/>
      <c r="BN769" s="6"/>
      <c r="BO769" s="6"/>
      <c r="BP769" s="6"/>
      <c r="BQ769" s="6"/>
      <c r="BR769" s="6"/>
      <c r="BS769" s="6"/>
      <c r="BT769" s="6"/>
      <c r="BU769" s="6" t="str">
        <f>IFERROR(__xludf.DUMMYFUNCTION("""COMPUTED_VALUE"""),"SI")</f>
        <v>SI</v>
      </c>
      <c r="BV769" s="6" t="str">
        <f>IFERROR(__xludf.DUMMYFUNCTION("""COMPUTED_VALUE"""),"sofia.a2027")</f>
        <v>sofia.a2027</v>
      </c>
      <c r="BW769" s="6"/>
      <c r="BX769" s="6"/>
      <c r="BY769" s="6"/>
      <c r="BZ769" s="6"/>
    </row>
    <row r="770">
      <c r="A770" s="12">
        <f>IFERROR(__xludf.DUMMYFUNCTION("""COMPUTED_VALUE"""),1.092853987E9)</f>
        <v>1092853987</v>
      </c>
      <c r="B770" s="6">
        <f>IFERROR(__xludf.DUMMYFUNCTION("""COMPUTED_VALUE"""),4.0)</f>
        <v>4</v>
      </c>
      <c r="C770" s="6" t="str">
        <f>IFERROR(__xludf.DUMMYFUNCTION("""COMPUTED_VALUE"""),"Jerónimo")</f>
        <v>Jerónimo</v>
      </c>
      <c r="D770" s="6"/>
      <c r="E770" s="6" t="str">
        <f>IFERROR(__xludf.DUMMYFUNCTION("""COMPUTED_VALUE"""),"Bautista Serrano")</f>
        <v>Bautista Serrano</v>
      </c>
      <c r="F770" s="6" t="str">
        <f>IFERROR(__xludf.DUMMYFUNCTION("""COMPUTED_VALUE"""),"Bosque Residencial La Pradera Casa 19 - Cra 6 No50Nte - 1 Av Centenario")</f>
        <v>Bosque Residencial La Pradera Casa 19 - Cra 6 No50Nte - 1 Av Centenario</v>
      </c>
      <c r="G770" s="12" t="str">
        <f>IFERROR(__xludf.DUMMYFUNCTION("""COMPUTED_VALUE"""),"2009")</f>
        <v>2009</v>
      </c>
      <c r="H770" s="6" t="str">
        <f>IFERROR(__xludf.DUMMYFUNCTION("""COMPUTED_VALUE"""),"Enero")</f>
        <v>Enero</v>
      </c>
      <c r="I770" s="12" t="str">
        <f>IFERROR(__xludf.DUMMYFUNCTION("""COMPUTED_VALUE"""),"23")</f>
        <v>23</v>
      </c>
      <c r="J770" s="6" t="str">
        <f>IFERROR(__xludf.DUMMYFUNCTION("""COMPUTED_VALUE"""),"Armenia")</f>
        <v>Armenia</v>
      </c>
      <c r="K770" s="6" t="str">
        <f>IFERROR(__xludf.DUMMYFUNCTION("""COMPUTED_VALUE"""),"jeronimo.b2027@gi.edu.co")</f>
        <v>jeronimo.b2027@gi.edu.co</v>
      </c>
      <c r="L770" s="6" t="str">
        <f>IFERROR(__xludf.DUMMYFUNCTION("""COMPUTED_VALUE"""),"TI")</f>
        <v>TI</v>
      </c>
      <c r="M770" s="6" t="str">
        <f>IFERROR(__xludf.DUMMYFUNCTION("""COMPUTED_VALUE"""),"Armenia")</f>
        <v>Armenia</v>
      </c>
      <c r="N770" s="6" t="str">
        <f>IFERROR(__xludf.DUMMYFUNCTION("""COMPUTED_VALUE"""),"M")</f>
        <v>M</v>
      </c>
      <c r="O770" s="6" t="str">
        <f>IFERROR(__xludf.DUMMYFUNCTION("""COMPUTED_VALUE"""),"ACTIVE")</f>
        <v>ACTIVE</v>
      </c>
      <c r="P770" s="6"/>
      <c r="Q770" s="6" t="str">
        <f>IFERROR(__xludf.DUMMYFUNCTION("""COMPUTED_VALUE"""),"Armenia")</f>
        <v>Armenia</v>
      </c>
      <c r="R770" s="12" t="str">
        <f>IFERROR(__xludf.DUMMYFUNCTION("""COMPUTED_VALUE"""),"Gi28194229*")</f>
        <v>Gi28194229*</v>
      </c>
      <c r="S770" s="6" t="str">
        <f>IFERROR(__xludf.DUMMYFUNCTION("""COMPUTED_VALUE"""),"Bautista Serrano Jerónimo ")</f>
        <v>Bautista Serrano Jerónimo </v>
      </c>
      <c r="T770" s="6" t="str">
        <f>IFERROR(__xludf.DUMMYFUNCTION("""COMPUTED_VALUE"""),"JOSÉ FABIÁN BAUTISTA VEGA")</f>
        <v>JOSÉ FABIÁN BAUTISTA VEGA</v>
      </c>
      <c r="U770" s="12" t="str">
        <f>IFERROR(__xludf.DUMMYFUNCTION("""COMPUTED_VALUE"""),"9731420")</f>
        <v>9731420</v>
      </c>
      <c r="V770" s="6">
        <f>IFERROR(__xludf.DUMMYFUNCTION("""COMPUTED_VALUE"""),3.217603336E9)</f>
        <v>3217603336</v>
      </c>
      <c r="W770" s="6" t="str">
        <f>IFERROR(__xludf.DUMMYFUNCTION("""COMPUTED_VALUE"""),"jfabianbautista@hotmail.com")</f>
        <v>jfabianbautista@hotmail.com</v>
      </c>
      <c r="X770" s="12" t="str">
        <f>IFERROR(__xludf.DUMMYFUNCTION("""COMPUTED_VALUE"""),"O+")</f>
        <v>O+</v>
      </c>
      <c r="Y770" s="12" t="str">
        <f>IFERROR(__xludf.DUMMYFUNCTION("""COMPUTED_VALUE"""),"12")</f>
        <v>12</v>
      </c>
      <c r="Z770" s="12">
        <f>IFERROR(__xludf.DUMMYFUNCTION("""COMPUTED_VALUE"""),102066.0)</f>
        <v>102066</v>
      </c>
      <c r="AA770" s="6" t="str">
        <f>IFERROR(__xludf.DUMMYFUNCTION("""COMPUTED_VALUE"""),"SURA")</f>
        <v>SURA</v>
      </c>
      <c r="AB770" s="6" t="str">
        <f>IFERROR(__xludf.DUMMYFUNCTION("""COMPUTED_VALUE"""),"poliza sura")</f>
        <v>poliza sura</v>
      </c>
      <c r="AC770" s="6"/>
      <c r="AD770" s="12" t="str">
        <f>IFERROR(__xludf.DUMMYFUNCTION("""COMPUTED_VALUE"""),"12")</f>
        <v>12</v>
      </c>
      <c r="AE770" s="12">
        <f>IFERROR(__xludf.DUMMYFUNCTION("""COMPUTED_VALUE"""),1.345281232E9)</f>
        <v>1345281232</v>
      </c>
      <c r="AF770" s="12" t="str">
        <f>IFERROR(__xludf.DUMMYFUNCTION("""COMPUTED_VALUE"""),"0694276067")</f>
        <v>0694276067</v>
      </c>
      <c r="AG770" s="12" t="str">
        <f>IFERROR(__xludf.DUMMYFUNCTION("""COMPUTED_VALUE"""),"Betty")</f>
        <v>Betty</v>
      </c>
      <c r="AH770" s="12" t="str">
        <f>IFERROR(__xludf.DUMMYFUNCTION("""COMPUTED_VALUE"""),"Cecilia")</f>
        <v>Cecilia</v>
      </c>
      <c r="AI770" s="6" t="str">
        <f>IFERROR(__xludf.DUMMYFUNCTION("""COMPUTED_VALUE"""),"Serrano Montes")</f>
        <v>Serrano Montes</v>
      </c>
      <c r="AJ770" s="6" t="str">
        <f>IFERROR(__xludf.DUMMYFUNCTION("""COMPUTED_VALUE"""),"serranobetty2938@hotmail.com")</f>
        <v>serranobetty2938@hotmail.com</v>
      </c>
      <c r="AK770" s="6" t="str">
        <f>IFERROR(__xludf.DUMMYFUNCTION("""COMPUTED_VALUE"""),"economista")</f>
        <v>economista</v>
      </c>
      <c r="AL770" s="6" t="str">
        <f>IFERROR(__xludf.DUMMYFUNCTION("""COMPUTED_VALUE"""),"bienes y finanzas servicios integrales s.a.s.")</f>
        <v>bienes y finanzas servicios integrales s.a.s.</v>
      </c>
      <c r="AM770" s="12" t="str">
        <f>IFERROR(__xludf.DUMMYFUNCTION("""COMPUTED_VALUE"""),"50900618")</f>
        <v>50900618</v>
      </c>
      <c r="AN770" s="12" t="str">
        <f>IFERROR(__xludf.DUMMYFUNCTION("""COMPUTED_VALUE"""),"3005647417")</f>
        <v>3005647417</v>
      </c>
      <c r="AO770" s="6" t="str">
        <f>IFERROR(__xludf.DUMMYFUNCTION("""COMPUTED_VALUE"""),"Madre")</f>
        <v>Madre</v>
      </c>
      <c r="AP770" s="6" t="str">
        <f>IFERROR(__xludf.DUMMYFUNCTION("""COMPUTED_VALUE"""),"Estudiante(s): Bautista Serrano")</f>
        <v>Estudiante(s): Bautista Serrano</v>
      </c>
      <c r="AQ770" s="6" t="str">
        <f>IFERROR(__xludf.DUMMYFUNCTION("""COMPUTED_VALUE"""),"102102*Gi")</f>
        <v>102102*Gi</v>
      </c>
      <c r="AR770" s="6" t="str">
        <f>IFERROR(__xludf.DUMMYFUNCTION("""COMPUTED_VALUE"""),"José")</f>
        <v>José</v>
      </c>
      <c r="AS770" s="6" t="str">
        <f>IFERROR(__xludf.DUMMYFUNCTION("""COMPUTED_VALUE"""),"Fabián")</f>
        <v>Fabián</v>
      </c>
      <c r="AT770" s="6" t="str">
        <f>IFERROR(__xludf.DUMMYFUNCTION("""COMPUTED_VALUE"""),"Bautista Vega")</f>
        <v>Bautista Vega</v>
      </c>
      <c r="AU770" s="6" t="str">
        <f>IFERROR(__xludf.DUMMYFUNCTION("""COMPUTED_VALUE"""),"jfabianbautista@hotmail.com")</f>
        <v>jfabianbautista@hotmail.com</v>
      </c>
      <c r="AV770" s="6" t="str">
        <f>IFERROR(__xludf.DUMMYFUNCTION("""COMPUTED_VALUE"""),"economista")</f>
        <v>economista</v>
      </c>
      <c r="AW770" s="6" t="str">
        <f>IFERROR(__xludf.DUMMYFUNCTION("""COMPUTED_VALUE"""),"bienes y finanzas servicios integrales s.a.s.")</f>
        <v>bienes y finanzas servicios integrales s.a.s.</v>
      </c>
      <c r="AX770" s="12" t="str">
        <f>IFERROR(__xludf.DUMMYFUNCTION("""COMPUTED_VALUE"""),"9731420")</f>
        <v>9731420</v>
      </c>
      <c r="AY770" s="12" t="str">
        <f>IFERROR(__xludf.DUMMYFUNCTION("""COMPUTED_VALUE"""),"3217603336")</f>
        <v>3217603336</v>
      </c>
      <c r="AZ770" s="6" t="str">
        <f>IFERROR(__xludf.DUMMYFUNCTION("""COMPUTED_VALUE"""),"Padre")</f>
        <v>Padre</v>
      </c>
      <c r="BA770" s="6"/>
      <c r="BB770" s="6"/>
      <c r="BC770" s="6"/>
      <c r="BD770" s="12" t="str">
        <f>IFERROR(__xludf.DUMMYFUNCTION("""COMPUTED_VALUE"""),"bau0001")</f>
        <v>bau0001</v>
      </c>
      <c r="BE770" s="6"/>
      <c r="BF770" s="6"/>
      <c r="BG770" s="6">
        <f>IFERROR(__xludf.DUMMYFUNCTION("""COMPUTED_VALUE"""),2027.0)</f>
        <v>2027</v>
      </c>
      <c r="BH770" s="15">
        <f>IFERROR(__xludf.DUMMYFUNCTION("""COMPUTED_VALUE"""),46206.42056712963)</f>
        <v>46206.42057</v>
      </c>
      <c r="BI770" s="6">
        <f>IFERROR(__xludf.DUMMYFUNCTION("""COMPUTED_VALUE"""),771.0)</f>
        <v>771</v>
      </c>
      <c r="BJ770" s="6"/>
      <c r="BK770" s="6"/>
      <c r="BL770" s="6" t="str">
        <f>IFERROR(__xludf.DUMMYFUNCTION("""COMPUTED_VALUE"""),"GISBAU0001")</f>
        <v>GISBAU0001</v>
      </c>
      <c r="BM770" s="6"/>
      <c r="BN770" s="6"/>
      <c r="BO770" s="6"/>
      <c r="BP770" s="6"/>
      <c r="BQ770" s="6"/>
      <c r="BR770" s="6"/>
      <c r="BS770" s="6"/>
      <c r="BT770" s="6"/>
      <c r="BU770" s="6" t="str">
        <f>IFERROR(__xludf.DUMMYFUNCTION("""COMPUTED_VALUE"""),"SI")</f>
        <v>SI</v>
      </c>
      <c r="BV770" s="6" t="str">
        <f>IFERROR(__xludf.DUMMYFUNCTION("""COMPUTED_VALUE"""),"jeronimo.b2027")</f>
        <v>jeronimo.b2027</v>
      </c>
      <c r="BW770" s="6"/>
      <c r="BX770" s="6"/>
      <c r="BY770" s="6"/>
      <c r="BZ770" s="6"/>
    </row>
    <row r="771">
      <c r="A771" s="12">
        <f>IFERROR(__xludf.DUMMYFUNCTION("""COMPUTED_VALUE"""),1.092854043E9)</f>
        <v>1092854043</v>
      </c>
      <c r="B771" s="6">
        <f>IFERROR(__xludf.DUMMYFUNCTION("""COMPUTED_VALUE"""),5.0)</f>
        <v>5</v>
      </c>
      <c r="C771" s="6" t="str">
        <f>IFERROR(__xludf.DUMMYFUNCTION("""COMPUTED_VALUE"""),"Sebastián")</f>
        <v>Sebastián</v>
      </c>
      <c r="D771" s="6"/>
      <c r="E771" s="6" t="str">
        <f>IFERROR(__xludf.DUMMYFUNCTION("""COMPUTED_VALUE"""),"Beltrán Marín")</f>
        <v>Beltrán Marín</v>
      </c>
      <c r="F771" s="6" t="str">
        <f>IFERROR(__xludf.DUMMYFUNCTION("""COMPUTED_VALUE"""),"Parque Residencial San Simon Casa 37 - Calle 32Nte No18 - 60")</f>
        <v>Parque Residencial San Simon Casa 37 - Calle 32Nte No18 - 60</v>
      </c>
      <c r="G771" s="12" t="str">
        <f>IFERROR(__xludf.DUMMYFUNCTION("""COMPUTED_VALUE"""),"2009")</f>
        <v>2009</v>
      </c>
      <c r="H771" s="6" t="str">
        <f>IFERROR(__xludf.DUMMYFUNCTION("""COMPUTED_VALUE"""),"Febrero")</f>
        <v>Febrero</v>
      </c>
      <c r="I771" s="12" t="str">
        <f>IFERROR(__xludf.DUMMYFUNCTION("""COMPUTED_VALUE"""),"8")</f>
        <v>8</v>
      </c>
      <c r="J771" s="6" t="str">
        <f>IFERROR(__xludf.DUMMYFUNCTION("""COMPUTED_VALUE"""),"Armenia")</f>
        <v>Armenia</v>
      </c>
      <c r="K771" s="6" t="str">
        <f>IFERROR(__xludf.DUMMYFUNCTION("""COMPUTED_VALUE"""),"sebastian.b2027@gi.edu.co")</f>
        <v>sebastian.b2027@gi.edu.co</v>
      </c>
      <c r="L771" s="6" t="str">
        <f>IFERROR(__xludf.DUMMYFUNCTION("""COMPUTED_VALUE"""),"TI")</f>
        <v>TI</v>
      </c>
      <c r="M771" s="6" t="str">
        <f>IFERROR(__xludf.DUMMYFUNCTION("""COMPUTED_VALUE"""),"Armenia")</f>
        <v>Armenia</v>
      </c>
      <c r="N771" s="6" t="str">
        <f>IFERROR(__xludf.DUMMYFUNCTION("""COMPUTED_VALUE"""),"M")</f>
        <v>M</v>
      </c>
      <c r="O771" s="6" t="str">
        <f>IFERROR(__xludf.DUMMYFUNCTION("""COMPUTED_VALUE"""),"INACTIVE")</f>
        <v>INACTIVE</v>
      </c>
      <c r="P771" s="6"/>
      <c r="Q771" s="6" t="str">
        <f>IFERROR(__xludf.DUMMYFUNCTION("""COMPUTED_VALUE"""),"Armenia")</f>
        <v>Armenia</v>
      </c>
      <c r="R771" s="12" t="str">
        <f>IFERROR(__xludf.DUMMYFUNCTION("""COMPUTED_VALUE"""),"Giuj75gb9l*")</f>
        <v>Giuj75gb9l*</v>
      </c>
      <c r="S771" s="6" t="str">
        <f>IFERROR(__xludf.DUMMYFUNCTION("""COMPUTED_VALUE"""),"Beltrán Marín Sebastián ")</f>
        <v>Beltrán Marín Sebastián </v>
      </c>
      <c r="T771" s="6" t="str">
        <f>IFERROR(__xludf.DUMMYFUNCTION("""COMPUTED_VALUE"""),"JORGE ALEXANDER BELTRAN MARIN")</f>
        <v>JORGE ALEXANDER BELTRAN MARIN</v>
      </c>
      <c r="U771" s="12" t="str">
        <f>IFERROR(__xludf.DUMMYFUNCTION("""COMPUTED_VALUE"""),"7557479")</f>
        <v>7557479</v>
      </c>
      <c r="V771" s="6">
        <f>IFERROR(__xludf.DUMMYFUNCTION("""COMPUTED_VALUE"""),3.1287141E9)</f>
        <v>3128714100</v>
      </c>
      <c r="W771" s="6" t="str">
        <f>IFERROR(__xludf.DUMMYFUNCTION("""COMPUTED_VALUE"""),"jorgeabeltran@hotmail.com")</f>
        <v>jorgeabeltran@hotmail.com</v>
      </c>
      <c r="X771" s="12" t="str">
        <f>IFERROR(__xludf.DUMMYFUNCTION("""COMPUTED_VALUE"""),"O+")</f>
        <v>O+</v>
      </c>
      <c r="Y771" s="12" t="str">
        <f>IFERROR(__xludf.DUMMYFUNCTION("""COMPUTED_VALUE"""),"12")</f>
        <v>12</v>
      </c>
      <c r="Z771" s="12">
        <f>IFERROR(__xludf.DUMMYFUNCTION("""COMPUTED_VALUE"""),102962.0)</f>
        <v>102962</v>
      </c>
      <c r="AA771" s="6" t="str">
        <f>IFERROR(__xludf.DUMMYFUNCTION("""COMPUTED_VALUE"""),"SURA")</f>
        <v>SURA</v>
      </c>
      <c r="AB771" s="6" t="str">
        <f>IFERROR(__xludf.DUMMYFUNCTION("""COMPUTED_VALUE"""),"Poliza sura")</f>
        <v>Poliza sura</v>
      </c>
      <c r="AC771" s="6"/>
      <c r="AD771" s="12" t="str">
        <f>IFERROR(__xludf.DUMMYFUNCTION("""COMPUTED_VALUE"""),"12")</f>
        <v>12</v>
      </c>
      <c r="AE771" s="12">
        <f>IFERROR(__xludf.DUMMYFUNCTION("""COMPUTED_VALUE"""),1.345281432E9)</f>
        <v>1345281432</v>
      </c>
      <c r="AF771" s="12" t="str">
        <f>IFERROR(__xludf.DUMMYFUNCTION("""COMPUTED_VALUE"""),"0672772963")</f>
        <v>0672772963</v>
      </c>
      <c r="AG771" s="12" t="str">
        <f>IFERROR(__xludf.DUMMYFUNCTION("""COMPUTED_VALUE"""),"Claudia")</f>
        <v>Claudia</v>
      </c>
      <c r="AH771" s="12" t="str">
        <f>IFERROR(__xludf.DUMMYFUNCTION("""COMPUTED_VALUE"""),"Marcela")</f>
        <v>Marcela</v>
      </c>
      <c r="AI771" s="6" t="str">
        <f>IFERROR(__xludf.DUMMYFUNCTION("""COMPUTED_VALUE"""),"Marín Rodríguez")</f>
        <v>Marín Rodríguez</v>
      </c>
      <c r="AJ771" s="6" t="str">
        <f>IFERROR(__xludf.DUMMYFUNCTION("""COMPUTED_VALUE"""),"cmmr78@gmail.com")</f>
        <v>cmmr78@gmail.com</v>
      </c>
      <c r="AK771" s="6"/>
      <c r="AL771" s="6"/>
      <c r="AM771" s="12" t="str">
        <f>IFERROR(__xludf.DUMMYFUNCTION("""COMPUTED_VALUE"""),"41939491")</f>
        <v>41939491</v>
      </c>
      <c r="AN771" s="12" t="str">
        <f>IFERROR(__xludf.DUMMYFUNCTION("""COMPUTED_VALUE"""),"3206822949")</f>
        <v>3206822949</v>
      </c>
      <c r="AO771" s="6" t="str">
        <f>IFERROR(__xludf.DUMMYFUNCTION("""COMPUTED_VALUE"""),"Madre")</f>
        <v>Madre</v>
      </c>
      <c r="AP771" s="6" t="str">
        <f>IFERROR(__xludf.DUMMYFUNCTION("""COMPUTED_VALUE"""),"Estudiante(s): Beltrán Marín")</f>
        <v>Estudiante(s): Beltrán Marín</v>
      </c>
      <c r="AQ771" s="6" t="str">
        <f>IFERROR(__xludf.DUMMYFUNCTION("""COMPUTED_VALUE"""),"102962*Gi")</f>
        <v>102962*Gi</v>
      </c>
      <c r="AR771" s="6" t="str">
        <f>IFERROR(__xludf.DUMMYFUNCTION("""COMPUTED_VALUE"""),"Jorge")</f>
        <v>Jorge</v>
      </c>
      <c r="AS771" s="6" t="str">
        <f>IFERROR(__xludf.DUMMYFUNCTION("""COMPUTED_VALUE"""),"Alexander")</f>
        <v>Alexander</v>
      </c>
      <c r="AT771" s="6" t="str">
        <f>IFERROR(__xludf.DUMMYFUNCTION("""COMPUTED_VALUE"""),"Beltrán Beltrán")</f>
        <v>Beltrán Beltrán</v>
      </c>
      <c r="AU771" s="6" t="str">
        <f>IFERROR(__xludf.DUMMYFUNCTION("""COMPUTED_VALUE"""),"jorgeabeltran@hotmail.com")</f>
        <v>jorgeabeltran@hotmail.com</v>
      </c>
      <c r="AV771" s="6" t="str">
        <f>IFERROR(__xludf.DUMMYFUNCTION("""COMPUTED_VALUE"""),"DISEÑADOR INDUSTRIAL")</f>
        <v>DISEÑADOR INDUSTRIAL</v>
      </c>
      <c r="AW771" s="6"/>
      <c r="AX771" s="12" t="str">
        <f>IFERROR(__xludf.DUMMYFUNCTION("""COMPUTED_VALUE"""),"7557479")</f>
        <v>7557479</v>
      </c>
      <c r="AY771" s="12" t="str">
        <f>IFERROR(__xludf.DUMMYFUNCTION("""COMPUTED_VALUE"""),"3128714100")</f>
        <v>3128714100</v>
      </c>
      <c r="AZ771" s="6" t="str">
        <f>IFERROR(__xludf.DUMMYFUNCTION("""COMPUTED_VALUE"""),"Padre")</f>
        <v>Padre</v>
      </c>
      <c r="BA771" s="6"/>
      <c r="BB771" s="6"/>
      <c r="BC771" s="6"/>
      <c r="BD771" s="12" t="str">
        <f>IFERROR(__xludf.DUMMYFUNCTION("""COMPUTED_VALUE"""),"bel0002")</f>
        <v>bel0002</v>
      </c>
      <c r="BE771" s="6" t="str">
        <f>IFERROR(__xludf.DUMMYFUNCTION("""COMPUTED_VALUE"""),"PAGOS PARCIALES - PENDIENTE REALIZAR MATRÍCULA")</f>
        <v>PAGOS PARCIALES - PENDIENTE REALIZAR MATRÍCULA</v>
      </c>
      <c r="BF771" s="6"/>
      <c r="BG771" s="6">
        <f>IFERROR(__xludf.DUMMYFUNCTION("""COMPUTED_VALUE"""),2027.0)</f>
        <v>2027</v>
      </c>
      <c r="BH771" s="6"/>
      <c r="BI771" s="6">
        <f>IFERROR(__xludf.DUMMYFUNCTION("""COMPUTED_VALUE"""),772.0)</f>
        <v>772</v>
      </c>
      <c r="BJ771" s="6"/>
      <c r="BK771" s="6"/>
      <c r="BL771" s="6" t="str">
        <f>IFERROR(__xludf.DUMMYFUNCTION("""COMPUTED_VALUE"""),"GISBEL0002")</f>
        <v>GISBEL0002</v>
      </c>
      <c r="BM771" s="6"/>
      <c r="BN771" s="6"/>
      <c r="BO771" s="6"/>
      <c r="BP771" s="6"/>
      <c r="BQ771" s="6"/>
      <c r="BR771" s="6"/>
      <c r="BS771" s="6"/>
      <c r="BT771" s="6"/>
      <c r="BU771" s="6" t="str">
        <f>IFERROR(__xludf.DUMMYFUNCTION("""COMPUTED_VALUE"""),"SI")</f>
        <v>SI</v>
      </c>
      <c r="BV771" s="6" t="str">
        <f>IFERROR(__xludf.DUMMYFUNCTION("""COMPUTED_VALUE"""),"sebastian.b2027")</f>
        <v>sebastian.b2027</v>
      </c>
      <c r="BW771" s="6"/>
      <c r="BX771" s="6"/>
      <c r="BY771" s="6"/>
      <c r="BZ771" s="6"/>
    </row>
    <row r="772">
      <c r="A772" s="12">
        <f>IFERROR(__xludf.DUMMYFUNCTION("""COMPUTED_VALUE"""),1.07434489E9)</f>
        <v>1074344890</v>
      </c>
      <c r="B772" s="6">
        <f>IFERROR(__xludf.DUMMYFUNCTION("""COMPUTED_VALUE"""),6.0)</f>
        <v>6</v>
      </c>
      <c r="C772" s="6" t="str">
        <f>IFERROR(__xludf.DUMMYFUNCTION("""COMPUTED_VALUE"""),"María")</f>
        <v>María</v>
      </c>
      <c r="D772" s="6" t="str">
        <f>IFERROR(__xludf.DUMMYFUNCTION("""COMPUTED_VALUE"""),"Alejandra")</f>
        <v>Alejandra</v>
      </c>
      <c r="E772" s="6" t="str">
        <f>IFERROR(__xludf.DUMMYFUNCTION("""COMPUTED_VALUE"""),"Bohórquez Arias")</f>
        <v>Bohórquez Arias</v>
      </c>
      <c r="F772" s="6" t="str">
        <f>IFERROR(__xludf.DUMMYFUNCTION("""COMPUTED_VALUE"""),"Condominio Campestre La Reserva Torre Malaga Apto 1203 - Cra 5 No10Nte - 25 Av Centenario")</f>
        <v>Condominio Campestre La Reserva Torre Malaga Apto 1203 - Cra 5 No10Nte - 25 Av Centenario</v>
      </c>
      <c r="G772" s="12" t="str">
        <f>IFERROR(__xludf.DUMMYFUNCTION("""COMPUTED_VALUE"""),"2008")</f>
        <v>2008</v>
      </c>
      <c r="H772" s="6" t="str">
        <f>IFERROR(__xludf.DUMMYFUNCTION("""COMPUTED_VALUE"""),"Noviembre")</f>
        <v>Noviembre</v>
      </c>
      <c r="I772" s="12" t="str">
        <f>IFERROR(__xludf.DUMMYFUNCTION("""COMPUTED_VALUE"""),"5")</f>
        <v>5</v>
      </c>
      <c r="J772" s="6" t="str">
        <f>IFERROR(__xludf.DUMMYFUNCTION("""COMPUTED_VALUE"""),"Funza")</f>
        <v>Funza</v>
      </c>
      <c r="K772" s="6" t="str">
        <f>IFERROR(__xludf.DUMMYFUNCTION("""COMPUTED_VALUE"""),"mariaa.b2027@gi.edu.co")</f>
        <v>mariaa.b2027@gi.edu.co</v>
      </c>
      <c r="L772" s="6" t="str">
        <f>IFERROR(__xludf.DUMMYFUNCTION("""COMPUTED_VALUE"""),"TI")</f>
        <v>TI</v>
      </c>
      <c r="M772" s="6" t="str">
        <f>IFERROR(__xludf.DUMMYFUNCTION("""COMPUTED_VALUE"""),"Funza")</f>
        <v>Funza</v>
      </c>
      <c r="N772" s="6" t="str">
        <f>IFERROR(__xludf.DUMMYFUNCTION("""COMPUTED_VALUE"""),"F")</f>
        <v>F</v>
      </c>
      <c r="O772" s="6" t="str">
        <f>IFERROR(__xludf.DUMMYFUNCTION("""COMPUTED_VALUE"""),"ACTIVE")</f>
        <v>ACTIVE</v>
      </c>
      <c r="P772" s="6"/>
      <c r="Q772" s="6" t="str">
        <f>IFERROR(__xludf.DUMMYFUNCTION("""COMPUTED_VALUE"""),"Armenia")</f>
        <v>Armenia</v>
      </c>
      <c r="R772" s="12" t="str">
        <f>IFERROR(__xludf.DUMMYFUNCTION("""COMPUTED_VALUE"""),"Gied8jf5p*")</f>
        <v>Gied8jf5p*</v>
      </c>
      <c r="S772" s="6" t="str">
        <f>IFERROR(__xludf.DUMMYFUNCTION("""COMPUTED_VALUE"""),"Bohórquez Arias María Alejandra")</f>
        <v>Bohórquez Arias María Alejandra</v>
      </c>
      <c r="T772" s="6" t="str">
        <f>IFERROR(__xludf.DUMMYFUNCTION("""COMPUTED_VALUE"""),"JUAN CARLOS BOHORQUEZ BARRETO")</f>
        <v>JUAN CARLOS BOHORQUEZ BARRETO</v>
      </c>
      <c r="U772" s="12" t="str">
        <f>IFERROR(__xludf.DUMMYFUNCTION("""COMPUTED_VALUE"""),"19427697")</f>
        <v>19427697</v>
      </c>
      <c r="V772" s="6" t="str">
        <f>IFERROR(__xludf.DUMMYFUNCTION("""COMPUTED_VALUE"""),"5,73125E+11")</f>
        <v>5,73125E+11</v>
      </c>
      <c r="W772" s="6" t="str">
        <f>IFERROR(__xludf.DUMMYFUNCTION("""COMPUTED_VALUE"""),"jcbohorquezb@gmail.com")</f>
        <v>jcbohorquezb@gmail.com</v>
      </c>
      <c r="X772" s="12" t="str">
        <f>IFERROR(__xludf.DUMMYFUNCTION("""COMPUTED_VALUE"""),"O+")</f>
        <v>O+</v>
      </c>
      <c r="Y772" s="12" t="str">
        <f>IFERROR(__xludf.DUMMYFUNCTION("""COMPUTED_VALUE"""),"12")</f>
        <v>12</v>
      </c>
      <c r="Z772" s="12">
        <f>IFERROR(__xludf.DUMMYFUNCTION("""COMPUTED_VALUE"""),103948.0)</f>
        <v>103948</v>
      </c>
      <c r="AA772" s="6" t="str">
        <f>IFERROR(__xludf.DUMMYFUNCTION("""COMPUTED_VALUE"""),"SANITAS")</f>
        <v>SANITAS</v>
      </c>
      <c r="AB772" s="6" t="str">
        <f>IFERROR(__xludf.DUMMYFUNCTION("""COMPUTED_VALUE"""),"Medicall , Emermedica")</f>
        <v>Medicall , Emermedica</v>
      </c>
      <c r="AC772" s="6"/>
      <c r="AD772" s="12" t="str">
        <f>IFERROR(__xludf.DUMMYFUNCTION("""COMPUTED_VALUE"""),"12")</f>
        <v>12</v>
      </c>
      <c r="AE772" s="12">
        <f>IFERROR(__xludf.DUMMYFUNCTION("""COMPUTED_VALUE"""),1.345281988E9)</f>
        <v>1345281988</v>
      </c>
      <c r="AF772" s="12" t="str">
        <f>IFERROR(__xludf.DUMMYFUNCTION("""COMPUTED_VALUE"""),"0671015363")</f>
        <v>0671015363</v>
      </c>
      <c r="AG772" s="12" t="str">
        <f>IFERROR(__xludf.DUMMYFUNCTION("""COMPUTED_VALUE"""),"Beatriz")</f>
        <v>Beatriz</v>
      </c>
      <c r="AH772" s="12" t="str">
        <f>IFERROR(__xludf.DUMMYFUNCTION("""COMPUTED_VALUE"""),"Elvira")</f>
        <v>Elvira</v>
      </c>
      <c r="AI772" s="6" t="str">
        <f>IFERROR(__xludf.DUMMYFUNCTION("""COMPUTED_VALUE"""),"Arias Herran")</f>
        <v>Arias Herran</v>
      </c>
      <c r="AJ772" s="6" t="str">
        <f>IFERROR(__xludf.DUMMYFUNCTION("""COMPUTED_VALUE"""),"beatrizearias@msn.com")</f>
        <v>beatrizearias@msn.com</v>
      </c>
      <c r="AK772" s="6" t="str">
        <f>IFERROR(__xludf.DUMMYFUNCTION("""COMPUTED_VALUE"""),"HOGAR")</f>
        <v>HOGAR</v>
      </c>
      <c r="AL772" s="6" t="str">
        <f>IFERROR(__xludf.DUMMYFUNCTION("""COMPUTED_VALUE"""),"HOGAR")</f>
        <v>HOGAR</v>
      </c>
      <c r="AM772" s="12" t="str">
        <f>IFERROR(__xludf.DUMMYFUNCTION("""COMPUTED_VALUE"""),"51747138")</f>
        <v>51747138</v>
      </c>
      <c r="AN772" s="12" t="str">
        <f>IFERROR(__xludf.DUMMYFUNCTION("""COMPUTED_VALUE"""),"3005650061")</f>
        <v>3005650061</v>
      </c>
      <c r="AO772" s="6" t="str">
        <f>IFERROR(__xludf.DUMMYFUNCTION("""COMPUTED_VALUE"""),"Madre")</f>
        <v>Madre</v>
      </c>
      <c r="AP772" s="6" t="str">
        <f>IFERROR(__xludf.DUMMYFUNCTION("""COMPUTED_VALUE"""),"Estudiante(s): Bohórquez Arias")</f>
        <v>Estudiante(s): Bohórquez Arias</v>
      </c>
      <c r="AQ772" s="6" t="str">
        <f>IFERROR(__xludf.DUMMYFUNCTION("""COMPUTED_VALUE"""),"103948*Gi")</f>
        <v>103948*Gi</v>
      </c>
      <c r="AR772" s="6" t="str">
        <f>IFERROR(__xludf.DUMMYFUNCTION("""COMPUTED_VALUE"""),"Juan")</f>
        <v>Juan</v>
      </c>
      <c r="AS772" s="6" t="str">
        <f>IFERROR(__xludf.DUMMYFUNCTION("""COMPUTED_VALUE"""),"Carlos")</f>
        <v>Carlos</v>
      </c>
      <c r="AT772" s="6" t="str">
        <f>IFERROR(__xludf.DUMMYFUNCTION("""COMPUTED_VALUE"""),"Bohorquez Barreto")</f>
        <v>Bohorquez Barreto</v>
      </c>
      <c r="AU772" s="6" t="str">
        <f>IFERROR(__xludf.DUMMYFUNCTION("""COMPUTED_VALUE"""),"juancbohorquez61@gmail.com")</f>
        <v>juancbohorquez61@gmail.com</v>
      </c>
      <c r="AV772" s="6" t="str">
        <f>IFERROR(__xludf.DUMMYFUNCTION("""COMPUTED_VALUE"""),"INGENIERO INDUSTRIAL")</f>
        <v>INGENIERO INDUSTRIAL</v>
      </c>
      <c r="AW772" s="6" t="str">
        <f>IFERROR(__xludf.DUMMYFUNCTION("""COMPUTED_VALUE"""),"Independiente")</f>
        <v>Independiente</v>
      </c>
      <c r="AX772" s="12" t="str">
        <f>IFERROR(__xludf.DUMMYFUNCTION("""COMPUTED_VALUE"""),"19427697")</f>
        <v>19427697</v>
      </c>
      <c r="AY772" s="12" t="str">
        <f>IFERROR(__xludf.DUMMYFUNCTION("""COMPUTED_VALUE"""),"3125312199")</f>
        <v>3125312199</v>
      </c>
      <c r="AZ772" s="6" t="str">
        <f>IFERROR(__xludf.DUMMYFUNCTION("""COMPUTED_VALUE"""),"Padre")</f>
        <v>Padre</v>
      </c>
      <c r="BA772" s="6"/>
      <c r="BB772" s="6"/>
      <c r="BC772" s="6"/>
      <c r="BD772" s="12" t="str">
        <f>IFERROR(__xludf.DUMMYFUNCTION("""COMPUTED_VALUE"""),"boh0001")</f>
        <v>boh0001</v>
      </c>
      <c r="BE772" s="6"/>
      <c r="BF772" s="6"/>
      <c r="BG772" s="6">
        <f>IFERROR(__xludf.DUMMYFUNCTION("""COMPUTED_VALUE"""),2027.0)</f>
        <v>2027</v>
      </c>
      <c r="BH772" s="15">
        <f>IFERROR(__xludf.DUMMYFUNCTION("""COMPUTED_VALUE"""),46211.438784722224)</f>
        <v>46211.43878</v>
      </c>
      <c r="BI772" s="6">
        <f>IFERROR(__xludf.DUMMYFUNCTION("""COMPUTED_VALUE"""),773.0)</f>
        <v>773</v>
      </c>
      <c r="BJ772" s="6"/>
      <c r="BK772" s="6"/>
      <c r="BL772" s="6" t="str">
        <f>IFERROR(__xludf.DUMMYFUNCTION("""COMPUTED_VALUE"""),"GISBOH0001")</f>
        <v>GISBOH0001</v>
      </c>
      <c r="BM772" s="6"/>
      <c r="BN772" s="6"/>
      <c r="BO772" s="6" t="str">
        <f>IFERROR(__xludf.DUMMYFUNCTION("""COMPUTED_VALUE"""),"XC_SEC_Futbol_F")</f>
        <v>XC_SEC_Futbol_F</v>
      </c>
      <c r="BP772" s="6"/>
      <c r="BQ772" s="6" t="str">
        <f>IFERROR(__xludf.DUMMYFUNCTION("""COMPUTED_VALUE"""),"XC_SEC_Futbol_F")</f>
        <v>XC_SEC_Futbol_F</v>
      </c>
      <c r="BR772" s="6" t="str">
        <f>IFERROR(__xludf.DUMMYFUNCTION("""COMPUTED_VALUE"""),"XC_SEC_Futbol_F")</f>
        <v>XC_SEC_Futbol_F</v>
      </c>
      <c r="BS772" s="6"/>
      <c r="BT772" s="6" t="str">
        <f>IFERROR(__xludf.DUMMYFUNCTION("""COMPUTED_VALUE"""),"XC_SEC_Futbol_F")</f>
        <v>XC_SEC_Futbol_F</v>
      </c>
      <c r="BU772" s="6" t="str">
        <f>IFERROR(__xludf.DUMMYFUNCTION("""COMPUTED_VALUE"""),"SI")</f>
        <v>SI</v>
      </c>
      <c r="BV772" s="6" t="str">
        <f>IFERROR(__xludf.DUMMYFUNCTION("""COMPUTED_VALUE"""),"mariaa.b2027")</f>
        <v>mariaa.b2027</v>
      </c>
      <c r="BW772" s="6"/>
      <c r="BX772" s="6"/>
      <c r="BY772" s="6"/>
      <c r="BZ772" s="6"/>
    </row>
    <row r="773">
      <c r="A773" s="12">
        <f>IFERROR(__xludf.DUMMYFUNCTION("""COMPUTED_VALUE"""),1.049623665E9)</f>
        <v>1049623665</v>
      </c>
      <c r="B773" s="6">
        <f>IFERROR(__xludf.DUMMYFUNCTION("""COMPUTED_VALUE"""),7.0)</f>
        <v>7</v>
      </c>
      <c r="C773" s="6" t="str">
        <f>IFERROR(__xludf.DUMMYFUNCTION("""COMPUTED_VALUE"""),"Keyler")</f>
        <v>Keyler</v>
      </c>
      <c r="D773" s="6" t="str">
        <f>IFERROR(__xludf.DUMMYFUNCTION("""COMPUTED_VALUE"""),"Felipe")</f>
        <v>Felipe</v>
      </c>
      <c r="E773" s="6" t="str">
        <f>IFERROR(__xludf.DUMMYFUNCTION("""COMPUTED_VALUE"""),"Carreño Caro")</f>
        <v>Carreño Caro</v>
      </c>
      <c r="F773" s="6" t="str">
        <f>IFERROR(__xludf.DUMMYFUNCTION("""COMPUTED_VALUE"""),"Calle 10Nte No17 -59 Casa 2 - Providencia")</f>
        <v>Calle 10Nte No17 -59 Casa 2 - Providencia</v>
      </c>
      <c r="G773" s="12" t="str">
        <f>IFERROR(__xludf.DUMMYFUNCTION("""COMPUTED_VALUE"""),"2008")</f>
        <v>2008</v>
      </c>
      <c r="H773" s="6" t="str">
        <f>IFERROR(__xludf.DUMMYFUNCTION("""COMPUTED_VALUE"""),"Noviembre")</f>
        <v>Noviembre</v>
      </c>
      <c r="I773" s="12" t="str">
        <f>IFERROR(__xludf.DUMMYFUNCTION("""COMPUTED_VALUE"""),"25")</f>
        <v>25</v>
      </c>
      <c r="J773" s="6" t="str">
        <f>IFERROR(__xludf.DUMMYFUNCTION("""COMPUTED_VALUE"""),"Tunja")</f>
        <v>Tunja</v>
      </c>
      <c r="K773" s="6" t="str">
        <f>IFERROR(__xludf.DUMMYFUNCTION("""COMPUTED_VALUE"""),"keylerf.c2027@gi.edu.co")</f>
        <v>keylerf.c2027@gi.edu.co</v>
      </c>
      <c r="L773" s="6" t="str">
        <f>IFERROR(__xludf.DUMMYFUNCTION("""COMPUTED_VALUE"""),"TI")</f>
        <v>TI</v>
      </c>
      <c r="M773" s="6" t="str">
        <f>IFERROR(__xludf.DUMMYFUNCTION("""COMPUTED_VALUE"""),"Armenia")</f>
        <v>Armenia</v>
      </c>
      <c r="N773" s="6" t="str">
        <f>IFERROR(__xludf.DUMMYFUNCTION("""COMPUTED_VALUE"""),"M")</f>
        <v>M</v>
      </c>
      <c r="O773" s="6" t="str">
        <f>IFERROR(__xludf.DUMMYFUNCTION("""COMPUTED_VALUE"""),"ACTIVE")</f>
        <v>ACTIVE</v>
      </c>
      <c r="P773" s="6"/>
      <c r="Q773" s="6" t="str">
        <f>IFERROR(__xludf.DUMMYFUNCTION("""COMPUTED_VALUE"""),"Armenia")</f>
        <v>Armenia</v>
      </c>
      <c r="R773" s="12" t="str">
        <f>IFERROR(__xludf.DUMMYFUNCTION("""COMPUTED_VALUE"""),"Gi7823der*")</f>
        <v>Gi7823der*</v>
      </c>
      <c r="S773" s="6" t="str">
        <f>IFERROR(__xludf.DUMMYFUNCTION("""COMPUTED_VALUE"""),"Carreño Caro Keyler Felipe")</f>
        <v>Carreño Caro Keyler Felipe</v>
      </c>
      <c r="T773" s="6" t="str">
        <f>IFERROR(__xludf.DUMMYFUNCTION("""COMPUTED_VALUE"""),"KAREN YARY CARO MALDONADO")</f>
        <v>KAREN YARY CARO MALDONADO</v>
      </c>
      <c r="U773" s="12" t="str">
        <f>IFERROR(__xludf.DUMMYFUNCTION("""COMPUTED_VALUE"""),"40044934")</f>
        <v>40044934</v>
      </c>
      <c r="V773" s="6">
        <f>IFERROR(__xludf.DUMMYFUNCTION("""COMPUTED_VALUE"""),3.132905641E9)</f>
        <v>3132905641</v>
      </c>
      <c r="W773" s="6" t="str">
        <f>IFERROR(__xludf.DUMMYFUNCTION("""COMPUTED_VALUE"""),"karenyarycamaldo@hotmail.com")</f>
        <v>karenyarycamaldo@hotmail.com</v>
      </c>
      <c r="X773" s="12" t="str">
        <f>IFERROR(__xludf.DUMMYFUNCTION("""COMPUTED_VALUE"""),"A+")</f>
        <v>A+</v>
      </c>
      <c r="Y773" s="12" t="str">
        <f>IFERROR(__xludf.DUMMYFUNCTION("""COMPUTED_VALUE"""),"12")</f>
        <v>12</v>
      </c>
      <c r="Z773" s="12">
        <f>IFERROR(__xludf.DUMMYFUNCTION("""COMPUTED_VALUE"""),103766.0)</f>
        <v>103766</v>
      </c>
      <c r="AA773" s="6" t="str">
        <f>IFERROR(__xludf.DUMMYFUNCTION("""COMPUTED_VALUE"""),"NUEVA EPS")</f>
        <v>NUEVA EPS</v>
      </c>
      <c r="AB773" s="6" t="str">
        <f>IFERROR(__xludf.DUMMYFUNCTION("""COMPUTED_VALUE"""),"Nueva Eps y Emi")</f>
        <v>Nueva Eps y Emi</v>
      </c>
      <c r="AC773" s="6"/>
      <c r="AD773" s="12" t="str">
        <f>IFERROR(__xludf.DUMMYFUNCTION("""COMPUTED_VALUE"""),"12")</f>
        <v>12</v>
      </c>
      <c r="AE773" s="12">
        <f>IFERROR(__xludf.DUMMYFUNCTION("""COMPUTED_VALUE"""),1.345281879E9)</f>
        <v>1345281879</v>
      </c>
      <c r="AF773" s="12" t="str">
        <f>IFERROR(__xludf.DUMMYFUNCTION("""COMPUTED_VALUE"""),"0688888787")</f>
        <v>0688888787</v>
      </c>
      <c r="AG773" s="12" t="str">
        <f>IFERROR(__xludf.DUMMYFUNCTION("""COMPUTED_VALUE"""),"Karen")</f>
        <v>Karen</v>
      </c>
      <c r="AH773" s="12" t="str">
        <f>IFERROR(__xludf.DUMMYFUNCTION("""COMPUTED_VALUE"""),"Yary")</f>
        <v>Yary</v>
      </c>
      <c r="AI773" s="6" t="str">
        <f>IFERROR(__xludf.DUMMYFUNCTION("""COMPUTED_VALUE"""),"Caro Maldonado")</f>
        <v>Caro Maldonado</v>
      </c>
      <c r="AJ773" s="6" t="str">
        <f>IFERROR(__xludf.DUMMYFUNCTION("""COMPUTED_VALUE"""),"karenyarycamaldo@hotmail.com")</f>
        <v>karenyarycamaldo@hotmail.com</v>
      </c>
      <c r="AK773" s="6" t="str">
        <f>IFERROR(__xludf.DUMMYFUNCTION("""COMPUTED_VALUE"""),"Abogada")</f>
        <v>Abogada</v>
      </c>
      <c r="AL773" s="6" t="str">
        <f>IFERROR(__xludf.DUMMYFUNCTION("""COMPUTED_VALUE"""),"Rama Judicial Dirección Ejecutiva Seccional de Administración Judicial del Quindío")</f>
        <v>Rama Judicial Dirección Ejecutiva Seccional de Administración Judicial del Quindío</v>
      </c>
      <c r="AM773" s="12" t="str">
        <f>IFERROR(__xludf.DUMMYFUNCTION("""COMPUTED_VALUE"""),"40044934")</f>
        <v>40044934</v>
      </c>
      <c r="AN773" s="12" t="str">
        <f>IFERROR(__xludf.DUMMYFUNCTION("""COMPUTED_VALUE"""),"3132905641")</f>
        <v>3132905641</v>
      </c>
      <c r="AO773" s="6" t="str">
        <f>IFERROR(__xludf.DUMMYFUNCTION("""COMPUTED_VALUE"""),"Madre")</f>
        <v>Madre</v>
      </c>
      <c r="AP773" s="6" t="str">
        <f>IFERROR(__xludf.DUMMYFUNCTION("""COMPUTED_VALUE"""),"Estudiante(s): Carreño Caro")</f>
        <v>Estudiante(s): Carreño Caro</v>
      </c>
      <c r="AQ773" s="6" t="str">
        <f>IFERROR(__xludf.DUMMYFUNCTION("""COMPUTED_VALUE"""),"103766*Gi")</f>
        <v>103766*Gi</v>
      </c>
      <c r="AR773" s="6" t="str">
        <f>IFERROR(__xludf.DUMMYFUNCTION("""COMPUTED_VALUE"""),"Érika")</f>
        <v>Érika</v>
      </c>
      <c r="AS773" s="6" t="str">
        <f>IFERROR(__xludf.DUMMYFUNCTION("""COMPUTED_VALUE"""),"Yesenia")</f>
        <v>Yesenia</v>
      </c>
      <c r="AT773" s="6" t="str">
        <f>IFERROR(__xludf.DUMMYFUNCTION("""COMPUTED_VALUE"""),"Caro Maldonado")</f>
        <v>Caro Maldonado</v>
      </c>
      <c r="AU773" s="6"/>
      <c r="AV773" s="6"/>
      <c r="AW773" s="6"/>
      <c r="AX773" s="6"/>
      <c r="AY773" s="6"/>
      <c r="AZ773" s="6" t="str">
        <f>IFERROR(__xludf.DUMMYFUNCTION("""COMPUTED_VALUE"""),"Padre")</f>
        <v>Padre</v>
      </c>
      <c r="BA773" s="6"/>
      <c r="BB773" s="6"/>
      <c r="BC773" s="6"/>
      <c r="BD773" s="12" t="str">
        <f>IFERROR(__xludf.DUMMYFUNCTION("""COMPUTED_VALUE"""),"car0017")</f>
        <v>car0017</v>
      </c>
      <c r="BE773" s="6"/>
      <c r="BF773" s="6"/>
      <c r="BG773" s="6">
        <f>IFERROR(__xludf.DUMMYFUNCTION("""COMPUTED_VALUE"""),2027.0)</f>
        <v>2027</v>
      </c>
      <c r="BH773" s="15">
        <f>IFERROR(__xludf.DUMMYFUNCTION("""COMPUTED_VALUE"""),46212.43697916667)</f>
        <v>46212.43698</v>
      </c>
      <c r="BI773" s="6">
        <f>IFERROR(__xludf.DUMMYFUNCTION("""COMPUTED_VALUE"""),774.0)</f>
        <v>774</v>
      </c>
      <c r="BJ773" s="6"/>
      <c r="BK773" s="6"/>
      <c r="BL773" s="6" t="str">
        <f>IFERROR(__xludf.DUMMYFUNCTION("""COMPUTED_VALUE"""),"GISCAR0017")</f>
        <v>GISCAR0017</v>
      </c>
      <c r="BM773" s="6"/>
      <c r="BN773" s="6"/>
      <c r="BO773" s="6"/>
      <c r="BP773" s="6"/>
      <c r="BQ773" s="6"/>
      <c r="BR773" s="6"/>
      <c r="BS773" s="6"/>
      <c r="BT773" s="6"/>
      <c r="BU773" s="6" t="str">
        <f>IFERROR(__xludf.DUMMYFUNCTION("""COMPUTED_VALUE"""),"SI")</f>
        <v>SI</v>
      </c>
      <c r="BV773" s="6" t="str">
        <f>IFERROR(__xludf.DUMMYFUNCTION("""COMPUTED_VALUE"""),"keylerf.c2027")</f>
        <v>keylerf.c2027</v>
      </c>
      <c r="BW773" s="6"/>
      <c r="BX773" s="6"/>
      <c r="BY773" s="6"/>
      <c r="BZ773" s="6"/>
    </row>
    <row r="774">
      <c r="A774" s="12">
        <f>IFERROR(__xludf.DUMMYFUNCTION("""COMPUTED_VALUE"""),1.014867609E9)</f>
        <v>1014867609</v>
      </c>
      <c r="B774" s="6">
        <f>IFERROR(__xludf.DUMMYFUNCTION("""COMPUTED_VALUE"""),8.0)</f>
        <v>8</v>
      </c>
      <c r="C774" s="6" t="str">
        <f>IFERROR(__xludf.DUMMYFUNCTION("""COMPUTED_VALUE"""),"Gabriel")</f>
        <v>Gabriel</v>
      </c>
      <c r="D774" s="6" t="str">
        <f>IFERROR(__xludf.DUMMYFUNCTION("""COMPUTED_VALUE"""),"Felipe")</f>
        <v>Felipe</v>
      </c>
      <c r="E774" s="6" t="str">
        <f>IFERROR(__xludf.DUMMYFUNCTION("""COMPUTED_VALUE"""),"Contreras Uchamocha")</f>
        <v>Contreras Uchamocha</v>
      </c>
      <c r="F774" s="6" t="str">
        <f>IFERROR(__xludf.DUMMYFUNCTION("""COMPUTED_VALUE"""),"Condominio Casas de Campo Casa 15 - Calle 23ANte No19 - 47")</f>
        <v>Condominio Casas de Campo Casa 15 - Calle 23ANte No19 - 47</v>
      </c>
      <c r="G774" s="12" t="str">
        <f>IFERROR(__xludf.DUMMYFUNCTION("""COMPUTED_VALUE"""),"2009")</f>
        <v>2009</v>
      </c>
      <c r="H774" s="6" t="str">
        <f>IFERROR(__xludf.DUMMYFUNCTION("""COMPUTED_VALUE"""),"Enero")</f>
        <v>Enero</v>
      </c>
      <c r="I774" s="12" t="str">
        <f>IFERROR(__xludf.DUMMYFUNCTION("""COMPUTED_VALUE"""),"23")</f>
        <v>23</v>
      </c>
      <c r="J774" s="6" t="str">
        <f>IFERROR(__xludf.DUMMYFUNCTION("""COMPUTED_VALUE"""),"Bogotá D.C.")</f>
        <v>Bogotá D.C.</v>
      </c>
      <c r="K774" s="6" t="str">
        <f>IFERROR(__xludf.DUMMYFUNCTION("""COMPUTED_VALUE"""),"gabrielf.c2027@gi.edu.co")</f>
        <v>gabrielf.c2027@gi.edu.co</v>
      </c>
      <c r="L774" s="6" t="str">
        <f>IFERROR(__xludf.DUMMYFUNCTION("""COMPUTED_VALUE"""),"TI")</f>
        <v>TI</v>
      </c>
      <c r="M774" s="6" t="str">
        <f>IFERROR(__xludf.DUMMYFUNCTION("""COMPUTED_VALUE"""),"Armenia")</f>
        <v>Armenia</v>
      </c>
      <c r="N774" s="6" t="str">
        <f>IFERROR(__xludf.DUMMYFUNCTION("""COMPUTED_VALUE"""),"M")</f>
        <v>M</v>
      </c>
      <c r="O774" s="6" t="str">
        <f>IFERROR(__xludf.DUMMYFUNCTION("""COMPUTED_VALUE"""),"ACTIVE")</f>
        <v>ACTIVE</v>
      </c>
      <c r="P774" s="6"/>
      <c r="Q774" s="6" t="str">
        <f>IFERROR(__xludf.DUMMYFUNCTION("""COMPUTED_VALUE"""),"Armenia")</f>
        <v>Armenia</v>
      </c>
      <c r="R774" s="12" t="str">
        <f>IFERROR(__xludf.DUMMYFUNCTION("""COMPUTED_VALUE"""),"Gi25891119*")</f>
        <v>Gi25891119*</v>
      </c>
      <c r="S774" s="6" t="str">
        <f>IFERROR(__xludf.DUMMYFUNCTION("""COMPUTED_VALUE"""),"Contreras Uchamocha Gabriel Felipe")</f>
        <v>Contreras Uchamocha Gabriel Felipe</v>
      </c>
      <c r="T774" s="6" t="str">
        <f>IFERROR(__xludf.DUMMYFUNCTION("""COMPUTED_VALUE"""),"YORLADY UCHAMOCHA PÉREZ")</f>
        <v>YORLADY UCHAMOCHA PÉREZ</v>
      </c>
      <c r="U774" s="12" t="str">
        <f>IFERROR(__xludf.DUMMYFUNCTION("""COMPUTED_VALUE"""),"52364091")</f>
        <v>52364091</v>
      </c>
      <c r="V774" s="6">
        <f>IFERROR(__xludf.DUMMYFUNCTION("""COMPUTED_VALUE"""),3.108810648E9)</f>
        <v>3108810648</v>
      </c>
      <c r="W774" s="6" t="str">
        <f>IFERROR(__xludf.DUMMYFUNCTION("""COMPUTED_VALUE"""),"yorup_211@yahoo.es")</f>
        <v>yorup_211@yahoo.es</v>
      </c>
      <c r="X774" s="12" t="str">
        <f>IFERROR(__xludf.DUMMYFUNCTION("""COMPUTED_VALUE"""),"A+")</f>
        <v>A+</v>
      </c>
      <c r="Y774" s="12" t="str">
        <f>IFERROR(__xludf.DUMMYFUNCTION("""COMPUTED_VALUE"""),"12")</f>
        <v>12</v>
      </c>
      <c r="Z774" s="12">
        <f>IFERROR(__xludf.DUMMYFUNCTION("""COMPUTED_VALUE"""),102053.0)</f>
        <v>102053</v>
      </c>
      <c r="AA774" s="6" t="str">
        <f>IFERROR(__xludf.DUMMYFUNCTION("""COMPUTED_VALUE"""),"SURA")</f>
        <v>SURA</v>
      </c>
      <c r="AB774" s="6" t="str">
        <f>IFERROR(__xludf.DUMMYFUNCTION("""COMPUTED_VALUE"""),"MedPlus Cafesalud Medicina Prepagada")</f>
        <v>MedPlus Cafesalud Medicina Prepagada</v>
      </c>
      <c r="AC774" s="6"/>
      <c r="AD774" s="12" t="str">
        <f>IFERROR(__xludf.DUMMYFUNCTION("""COMPUTED_VALUE"""),"12")</f>
        <v>12</v>
      </c>
      <c r="AE774" s="12">
        <f>IFERROR(__xludf.DUMMYFUNCTION("""COMPUTED_VALUE"""),1.345281235E9)</f>
        <v>1345281235</v>
      </c>
      <c r="AF774" s="12" t="str">
        <f>IFERROR(__xludf.DUMMYFUNCTION("""COMPUTED_VALUE"""),"0682959587")</f>
        <v>0682959587</v>
      </c>
      <c r="AG774" s="12" t="str">
        <f>IFERROR(__xludf.DUMMYFUNCTION("""COMPUTED_VALUE"""),"Yorlady")</f>
        <v>Yorlady</v>
      </c>
      <c r="AH774" s="6"/>
      <c r="AI774" s="6" t="str">
        <f>IFERROR(__xludf.DUMMYFUNCTION("""COMPUTED_VALUE"""),"Uchamocha Pérez")</f>
        <v>Uchamocha Pérez</v>
      </c>
      <c r="AJ774" s="6" t="str">
        <f>IFERROR(__xludf.DUMMYFUNCTION("""COMPUTED_VALUE"""),"yorup_211@yahoo.es")</f>
        <v>yorup_211@yahoo.es</v>
      </c>
      <c r="AK774" s="6" t="str">
        <f>IFERROR(__xludf.DUMMYFUNCTION("""COMPUTED_VALUE"""),"MEDICO ESPECIALISTA")</f>
        <v>MEDICO ESPECIALISTA</v>
      </c>
      <c r="AL774" s="6" t="str">
        <f>IFERROR(__xludf.DUMMYFUNCTION("""COMPUTED_VALUE"""),"HOSPITAL UNIVERSITARIO SAN JUAN DE DIOS")</f>
        <v>HOSPITAL UNIVERSITARIO SAN JUAN DE DIOS</v>
      </c>
      <c r="AM774" s="12" t="str">
        <f>IFERROR(__xludf.DUMMYFUNCTION("""COMPUTED_VALUE"""),"52364091")</f>
        <v>52364091</v>
      </c>
      <c r="AN774" s="12" t="str">
        <f>IFERROR(__xludf.DUMMYFUNCTION("""COMPUTED_VALUE"""),"3108810648")</f>
        <v>3108810648</v>
      </c>
      <c r="AO774" s="6" t="str">
        <f>IFERROR(__xludf.DUMMYFUNCTION("""COMPUTED_VALUE"""),"Madre")</f>
        <v>Madre</v>
      </c>
      <c r="AP774" s="6" t="str">
        <f>IFERROR(__xludf.DUMMYFUNCTION("""COMPUTED_VALUE"""),"Estudiante(s): Contreras Uchamocha")</f>
        <v>Estudiante(s): Contreras Uchamocha</v>
      </c>
      <c r="AQ774" s="6" t="str">
        <f>IFERROR(__xludf.DUMMYFUNCTION("""COMPUTED_VALUE"""),"102053*Gi")</f>
        <v>102053*Gi</v>
      </c>
      <c r="AR774" s="6" t="str">
        <f>IFERROR(__xludf.DUMMYFUNCTION("""COMPUTED_VALUE"""),"Germán")</f>
        <v>Germán</v>
      </c>
      <c r="AS774" s="6" t="str">
        <f>IFERROR(__xludf.DUMMYFUNCTION("""COMPUTED_VALUE"""),"Enrique")</f>
        <v>Enrique</v>
      </c>
      <c r="AT774" s="6" t="str">
        <f>IFERROR(__xludf.DUMMYFUNCTION("""COMPUTED_VALUE"""),"Contreras Vargas")</f>
        <v>Contreras Vargas</v>
      </c>
      <c r="AU774" s="6" t="str">
        <f>IFERROR(__xludf.DUMMYFUNCTION("""COMPUTED_VALUE"""),"geencov@gmail.com")</f>
        <v>geencov@gmail.com</v>
      </c>
      <c r="AV774" s="6" t="str">
        <f>IFERROR(__xludf.DUMMYFUNCTION("""COMPUTED_VALUE"""),"MEDICO ESPECIALISTA")</f>
        <v>MEDICO ESPECIALISTA</v>
      </c>
      <c r="AW774" s="6" t="str">
        <f>IFERROR(__xludf.DUMMYFUNCTION("""COMPUTED_VALUE"""),"GERMAN E CONTRERAS")</f>
        <v>GERMAN E CONTRERAS</v>
      </c>
      <c r="AX774" s="12" t="str">
        <f>IFERROR(__xludf.DUMMYFUNCTION("""COMPUTED_VALUE"""),"88220047")</f>
        <v>88220047</v>
      </c>
      <c r="AY774" s="12" t="str">
        <f>IFERROR(__xludf.DUMMYFUNCTION("""COMPUTED_VALUE"""),"3103725329")</f>
        <v>3103725329</v>
      </c>
      <c r="AZ774" s="6" t="str">
        <f>IFERROR(__xludf.DUMMYFUNCTION("""COMPUTED_VALUE"""),"Padre")</f>
        <v>Padre</v>
      </c>
      <c r="BA774" s="6"/>
      <c r="BB774" s="6"/>
      <c r="BC774" s="6"/>
      <c r="BD774" s="12" t="str">
        <f>IFERROR(__xludf.DUMMYFUNCTION("""COMPUTED_VALUE"""),"con0001")</f>
        <v>con0001</v>
      </c>
      <c r="BE774" s="6"/>
      <c r="BF774" s="6"/>
      <c r="BG774" s="6">
        <f>IFERROR(__xludf.DUMMYFUNCTION("""COMPUTED_VALUE"""),2027.0)</f>
        <v>2027</v>
      </c>
      <c r="BH774" s="15">
        <f>IFERROR(__xludf.DUMMYFUNCTION("""COMPUTED_VALUE"""),46211.94416666667)</f>
        <v>46211.94417</v>
      </c>
      <c r="BI774" s="6">
        <f>IFERROR(__xludf.DUMMYFUNCTION("""COMPUTED_VALUE"""),775.0)</f>
        <v>775</v>
      </c>
      <c r="BJ774" s="6"/>
      <c r="BK774" s="6"/>
      <c r="BL774" s="6" t="str">
        <f>IFERROR(__xludf.DUMMYFUNCTION("""COMPUTED_VALUE"""),"GISCON0001")</f>
        <v>GISCON0001</v>
      </c>
      <c r="BM774" s="6"/>
      <c r="BN774" s="6"/>
      <c r="BO774" s="6"/>
      <c r="BP774" s="6"/>
      <c r="BQ774" s="6"/>
      <c r="BR774" s="6"/>
      <c r="BS774" s="6"/>
      <c r="BT774" s="6"/>
      <c r="BU774" s="6" t="str">
        <f>IFERROR(__xludf.DUMMYFUNCTION("""COMPUTED_VALUE"""),"SI")</f>
        <v>SI</v>
      </c>
      <c r="BV774" s="6" t="str">
        <f>IFERROR(__xludf.DUMMYFUNCTION("""COMPUTED_VALUE"""),"gabrielf.c2027")</f>
        <v>gabrielf.c2027</v>
      </c>
      <c r="BW774" s="6"/>
      <c r="BX774" s="6"/>
      <c r="BY774" s="6"/>
      <c r="BZ774" s="6"/>
    </row>
    <row r="775">
      <c r="A775" s="12">
        <f>IFERROR(__xludf.DUMMYFUNCTION("""COMPUTED_VALUE"""),1.094925166E9)</f>
        <v>1094925166</v>
      </c>
      <c r="B775" s="6">
        <f>IFERROR(__xludf.DUMMYFUNCTION("""COMPUTED_VALUE"""),9.0)</f>
        <v>9</v>
      </c>
      <c r="C775" s="6" t="str">
        <f>IFERROR(__xludf.DUMMYFUNCTION("""COMPUTED_VALUE"""),"Jacobo")</f>
        <v>Jacobo</v>
      </c>
      <c r="D775" s="6"/>
      <c r="E775" s="6" t="str">
        <f>IFERROR(__xludf.DUMMYFUNCTION("""COMPUTED_VALUE"""),"Cortés Giraldo")</f>
        <v>Cortés Giraldo</v>
      </c>
      <c r="F775" s="6" t="str">
        <f>IFERROR(__xludf.DUMMYFUNCTION("""COMPUTED_VALUE"""),"Conjunto Cantabria Manzana P Casa 21 - Calle 6 No18 - 22 Circasia")</f>
        <v>Conjunto Cantabria Manzana P Casa 21 - Calle 6 No18 - 22 Circasia</v>
      </c>
      <c r="G775" s="12" t="str">
        <f>IFERROR(__xludf.DUMMYFUNCTION("""COMPUTED_VALUE"""),"2009")</f>
        <v>2009</v>
      </c>
      <c r="H775" s="6" t="str">
        <f>IFERROR(__xludf.DUMMYFUNCTION("""COMPUTED_VALUE"""),"Agosto")</f>
        <v>Agosto</v>
      </c>
      <c r="I775" s="12" t="str">
        <f>IFERROR(__xludf.DUMMYFUNCTION("""COMPUTED_VALUE"""),"14")</f>
        <v>14</v>
      </c>
      <c r="J775" s="6" t="str">
        <f>IFERROR(__xludf.DUMMYFUNCTION("""COMPUTED_VALUE"""),"Armenia")</f>
        <v>Armenia</v>
      </c>
      <c r="K775" s="6" t="str">
        <f>IFERROR(__xludf.DUMMYFUNCTION("""COMPUTED_VALUE"""),"jacobo.c2027@gi.edu.co")</f>
        <v>jacobo.c2027@gi.edu.co</v>
      </c>
      <c r="L775" s="6" t="str">
        <f>IFERROR(__xludf.DUMMYFUNCTION("""COMPUTED_VALUE"""),"TI")</f>
        <v>TI</v>
      </c>
      <c r="M775" s="6" t="str">
        <f>IFERROR(__xludf.DUMMYFUNCTION("""COMPUTED_VALUE"""),"Armenia")</f>
        <v>Armenia</v>
      </c>
      <c r="N775" s="6" t="str">
        <f>IFERROR(__xludf.DUMMYFUNCTION("""COMPUTED_VALUE"""),"M")</f>
        <v>M</v>
      </c>
      <c r="O775" s="6" t="str">
        <f>IFERROR(__xludf.DUMMYFUNCTION("""COMPUTED_VALUE"""),"ACTIVE")</f>
        <v>ACTIVE</v>
      </c>
      <c r="P775" s="6"/>
      <c r="Q775" s="6" t="str">
        <f>IFERROR(__xludf.DUMMYFUNCTION("""COMPUTED_VALUE"""),"Armenia")</f>
        <v>Armenia</v>
      </c>
      <c r="R775" s="12" t="str">
        <f>IFERROR(__xludf.DUMMYFUNCTION("""COMPUTED_VALUE"""),"Gi23587999*")</f>
        <v>Gi23587999*</v>
      </c>
      <c r="S775" s="6" t="str">
        <f>IFERROR(__xludf.DUMMYFUNCTION("""COMPUTED_VALUE"""),"Cortés Giraldo Jacobo ")</f>
        <v>Cortés Giraldo Jacobo </v>
      </c>
      <c r="T775" s="6" t="str">
        <f>IFERROR(__xludf.DUMMYFUNCTION("""COMPUTED_VALUE"""),"MARIA DEL PILAR GIRALDO NAVIA")</f>
        <v>MARIA DEL PILAR GIRALDO NAVIA</v>
      </c>
      <c r="U775" s="12" t="str">
        <f>IFERROR(__xludf.DUMMYFUNCTION("""COMPUTED_VALUE"""),"41943689")</f>
        <v>41943689</v>
      </c>
      <c r="V775" s="6">
        <f>IFERROR(__xludf.DUMMYFUNCTION("""COMPUTED_VALUE"""),3.137297576E9)</f>
        <v>3137297576</v>
      </c>
      <c r="W775" s="6" t="str">
        <f>IFERROR(__xludf.DUMMYFUNCTION("""COMPUTED_VALUE"""),"mariagiraldo2525@hotmail.com")</f>
        <v>mariagiraldo2525@hotmail.com</v>
      </c>
      <c r="X775" s="12" t="str">
        <f>IFERROR(__xludf.DUMMYFUNCTION("""COMPUTED_VALUE"""),"O+")</f>
        <v>O+</v>
      </c>
      <c r="Y775" s="12" t="str">
        <f>IFERROR(__xludf.DUMMYFUNCTION("""COMPUTED_VALUE"""),"12")</f>
        <v>12</v>
      </c>
      <c r="Z775" s="12">
        <f>IFERROR(__xludf.DUMMYFUNCTION("""COMPUTED_VALUE"""),102054.0)</f>
        <v>102054</v>
      </c>
      <c r="AA775" s="6" t="str">
        <f>IFERROR(__xludf.DUMMYFUNCTION("""COMPUTED_VALUE"""),"SURA")</f>
        <v>SURA</v>
      </c>
      <c r="AB775" s="6"/>
      <c r="AC775" s="6"/>
      <c r="AD775" s="12" t="str">
        <f>IFERROR(__xludf.DUMMYFUNCTION("""COMPUTED_VALUE"""),"12")</f>
        <v>12</v>
      </c>
      <c r="AE775" s="12">
        <f>IFERROR(__xludf.DUMMYFUNCTION("""COMPUTED_VALUE"""),1.345281277E9)</f>
        <v>1345281277</v>
      </c>
      <c r="AF775" s="12" t="str">
        <f>IFERROR(__xludf.DUMMYFUNCTION("""COMPUTED_VALUE"""),"0673498995")</f>
        <v>0673498995</v>
      </c>
      <c r="AG775" s="12" t="str">
        <f>IFERROR(__xludf.DUMMYFUNCTION("""COMPUTED_VALUE"""),"Maria")</f>
        <v>Maria</v>
      </c>
      <c r="AH775" s="12" t="str">
        <f>IFERROR(__xludf.DUMMYFUNCTION("""COMPUTED_VALUE"""),"Del Pilar")</f>
        <v>Del Pilar</v>
      </c>
      <c r="AI775" s="6" t="str">
        <f>IFERROR(__xludf.DUMMYFUNCTION("""COMPUTED_VALUE"""),"Giraldo Navia")</f>
        <v>Giraldo Navia</v>
      </c>
      <c r="AJ775" s="6" t="str">
        <f>IFERROR(__xludf.DUMMYFUNCTION("""COMPUTED_VALUE"""),"mariagiraldo2525@hotmail.com")</f>
        <v>mariagiraldo2525@hotmail.com</v>
      </c>
      <c r="AK775" s="6" t="str">
        <f>IFERROR(__xludf.DUMMYFUNCTION("""COMPUTED_VALUE"""),"Admon de empresas agropecuarias")</f>
        <v>Admon de empresas agropecuarias</v>
      </c>
      <c r="AL775" s="6" t="str">
        <f>IFERROR(__xludf.DUMMYFUNCTION("""COMPUTED_VALUE"""),"Finca Hotel Ibiza")</f>
        <v>Finca Hotel Ibiza</v>
      </c>
      <c r="AM775" s="12" t="str">
        <f>IFERROR(__xludf.DUMMYFUNCTION("""COMPUTED_VALUE"""),"41943689")</f>
        <v>41943689</v>
      </c>
      <c r="AN775" s="12" t="str">
        <f>IFERROR(__xludf.DUMMYFUNCTION("""COMPUTED_VALUE"""),"3137297576")</f>
        <v>3137297576</v>
      </c>
      <c r="AO775" s="6" t="str">
        <f>IFERROR(__xludf.DUMMYFUNCTION("""COMPUTED_VALUE"""),"Madre")</f>
        <v>Madre</v>
      </c>
      <c r="AP775" s="6" t="str">
        <f>IFERROR(__xludf.DUMMYFUNCTION("""COMPUTED_VALUE"""),"Estudiante(s): Cortés Giraldo")</f>
        <v>Estudiante(s): Cortés Giraldo</v>
      </c>
      <c r="AQ775" s="6" t="str">
        <f>IFERROR(__xludf.DUMMYFUNCTION("""COMPUTED_VALUE"""),"102265*Gi")</f>
        <v>102265*Gi</v>
      </c>
      <c r="AR775" s="6" t="str">
        <f>IFERROR(__xludf.DUMMYFUNCTION("""COMPUTED_VALUE"""),"Carlos")</f>
        <v>Carlos</v>
      </c>
      <c r="AS775" s="6" t="str">
        <f>IFERROR(__xludf.DUMMYFUNCTION("""COMPUTED_VALUE"""),"Arturo")</f>
        <v>Arturo</v>
      </c>
      <c r="AT775" s="6" t="str">
        <f>IFERROR(__xludf.DUMMYFUNCTION("""COMPUTED_VALUE"""),"Cortés Veytia")</f>
        <v>Cortés Veytia</v>
      </c>
      <c r="AU775" s="6" t="str">
        <f>IFERROR(__xludf.DUMMYFUNCTION("""COMPUTED_VALUE"""),"mariagiraldo2525@hotmail.com")</f>
        <v>mariagiraldo2525@hotmail.com</v>
      </c>
      <c r="AV775" s="6"/>
      <c r="AW775" s="6"/>
      <c r="AX775" s="12" t="str">
        <f>IFERROR(__xludf.DUMMYFUNCTION("""COMPUTED_VALUE"""),"16223853")</f>
        <v>16223853</v>
      </c>
      <c r="AY775" s="12" t="str">
        <f>IFERROR(__xludf.DUMMYFUNCTION("""COMPUTED_VALUE"""),"3154689994")</f>
        <v>3154689994</v>
      </c>
      <c r="AZ775" s="6" t="str">
        <f>IFERROR(__xludf.DUMMYFUNCTION("""COMPUTED_VALUE"""),"Padre")</f>
        <v>Padre</v>
      </c>
      <c r="BA775" s="6"/>
      <c r="BB775" s="6"/>
      <c r="BC775" s="6"/>
      <c r="BD775" s="12" t="str">
        <f>IFERROR(__xludf.DUMMYFUNCTION("""COMPUTED_VALUE"""),"cor0005")</f>
        <v>cor0005</v>
      </c>
      <c r="BE775" s="6"/>
      <c r="BF775" s="6"/>
      <c r="BG775" s="6">
        <f>IFERROR(__xludf.DUMMYFUNCTION("""COMPUTED_VALUE"""),2027.0)</f>
        <v>2027</v>
      </c>
      <c r="BH775" s="15">
        <f>IFERROR(__xludf.DUMMYFUNCTION("""COMPUTED_VALUE"""),46211.47142361111)</f>
        <v>46211.47142</v>
      </c>
      <c r="BI775" s="6">
        <f>IFERROR(__xludf.DUMMYFUNCTION("""COMPUTED_VALUE"""),776.0)</f>
        <v>776</v>
      </c>
      <c r="BJ775" s="6" t="str">
        <f>IFERROR(__xludf.DUMMYFUNCTION("""COMPUTED_VALUE"""),"DANE: Déficit de atención
SIMAT: transtorno por deficit de atencion con/sin hiperactividad")</f>
        <v>DANE: Déficit de atención
SIMAT: transtorno por deficit de atencion con/sin hiperactividad</v>
      </c>
      <c r="BK775" s="6"/>
      <c r="BL775" s="6" t="str">
        <f>IFERROR(__xludf.DUMMYFUNCTION("""COMPUTED_VALUE"""),"GISCOR0005")</f>
        <v>GISCOR0005</v>
      </c>
      <c r="BM775" s="6"/>
      <c r="BN775" s="6"/>
      <c r="BO775" s="6"/>
      <c r="BP775" s="6"/>
      <c r="BQ775" s="6"/>
      <c r="BR775" s="6"/>
      <c r="BS775" s="6"/>
      <c r="BT775" s="6"/>
      <c r="BU775" s="6" t="str">
        <f>IFERROR(__xludf.DUMMYFUNCTION("""COMPUTED_VALUE"""),"SI")</f>
        <v>SI</v>
      </c>
      <c r="BV775" s="6" t="str">
        <f>IFERROR(__xludf.DUMMYFUNCTION("""COMPUTED_VALUE"""),"jacobo.c2027")</f>
        <v>jacobo.c2027</v>
      </c>
      <c r="BW775" s="6"/>
      <c r="BX775" s="6"/>
      <c r="BY775" s="6"/>
      <c r="BZ775" s="6"/>
    </row>
    <row r="776">
      <c r="A776" s="12">
        <f>IFERROR(__xludf.DUMMYFUNCTION("""COMPUTED_VALUE"""),1.091204575E9)</f>
        <v>1091204575</v>
      </c>
      <c r="B776" s="6">
        <f>IFERROR(__xludf.DUMMYFUNCTION("""COMPUTED_VALUE"""),10.0)</f>
        <v>10</v>
      </c>
      <c r="C776" s="6" t="str">
        <f>IFERROR(__xludf.DUMMYFUNCTION("""COMPUTED_VALUE"""),"Carlos")</f>
        <v>Carlos</v>
      </c>
      <c r="D776" s="6" t="str">
        <f>IFERROR(__xludf.DUMMYFUNCTION("""COMPUTED_VALUE"""),"Esteban")</f>
        <v>Esteban</v>
      </c>
      <c r="E776" s="6" t="str">
        <f>IFERROR(__xludf.DUMMYFUNCTION("""COMPUTED_VALUE"""),"Díaz Castillo")</f>
        <v>Díaz Castillo</v>
      </c>
      <c r="F776" s="6" t="str">
        <f>IFERROR(__xludf.DUMMYFUNCTION("""COMPUTED_VALUE"""),"Km 5 Via Armenia Pereira Casa 12")</f>
        <v>Km 5 Via Armenia Pereira Casa 12</v>
      </c>
      <c r="G776" s="12" t="str">
        <f>IFERROR(__xludf.DUMMYFUNCTION("""COMPUTED_VALUE"""),"2009")</f>
        <v>2009</v>
      </c>
      <c r="H776" s="6" t="str">
        <f>IFERROR(__xludf.DUMMYFUNCTION("""COMPUTED_VALUE"""),"Mayo")</f>
        <v>Mayo</v>
      </c>
      <c r="I776" s="12" t="str">
        <f>IFERROR(__xludf.DUMMYFUNCTION("""COMPUTED_VALUE"""),"23")</f>
        <v>23</v>
      </c>
      <c r="J776" s="6" t="str">
        <f>IFERROR(__xludf.DUMMYFUNCTION("""COMPUTED_VALUE"""),"Armenia")</f>
        <v>Armenia</v>
      </c>
      <c r="K776" s="6" t="str">
        <f>IFERROR(__xludf.DUMMYFUNCTION("""COMPUTED_VALUE"""),"carlose.d2027@gi.edu.co")</f>
        <v>carlose.d2027@gi.edu.co</v>
      </c>
      <c r="L776" s="6" t="str">
        <f>IFERROR(__xludf.DUMMYFUNCTION("""COMPUTED_VALUE"""),"TI")</f>
        <v>TI</v>
      </c>
      <c r="M776" s="6" t="str">
        <f>IFERROR(__xludf.DUMMYFUNCTION("""COMPUTED_VALUE"""),"Armenia")</f>
        <v>Armenia</v>
      </c>
      <c r="N776" s="6" t="str">
        <f>IFERROR(__xludf.DUMMYFUNCTION("""COMPUTED_VALUE"""),"M")</f>
        <v>M</v>
      </c>
      <c r="O776" s="6" t="str">
        <f>IFERROR(__xludf.DUMMYFUNCTION("""COMPUTED_VALUE"""),"ACTIVE")</f>
        <v>ACTIVE</v>
      </c>
      <c r="P776" s="6"/>
      <c r="Q776" s="6" t="str">
        <f>IFERROR(__xludf.DUMMYFUNCTION("""COMPUTED_VALUE"""),"Armenia")</f>
        <v>Armenia</v>
      </c>
      <c r="R776" s="12" t="str">
        <f>IFERROR(__xludf.DUMMYFUNCTION("""COMPUTED_VALUE"""),"Gi14375549*")</f>
        <v>Gi14375549*</v>
      </c>
      <c r="S776" s="6" t="str">
        <f>IFERROR(__xludf.DUMMYFUNCTION("""COMPUTED_VALUE"""),"Díaz Castillo Carlos Esteban")</f>
        <v>Díaz Castillo Carlos Esteban</v>
      </c>
      <c r="T776" s="6" t="str">
        <f>IFERROR(__xludf.DUMMYFUNCTION("""COMPUTED_VALUE"""),"LADY NATALIA CASTILLO SANTANDER")</f>
        <v>LADY NATALIA CASTILLO SANTANDER</v>
      </c>
      <c r="U776" s="12" t="str">
        <f>IFERROR(__xludf.DUMMYFUNCTION("""COMPUTED_VALUE"""),"59313257")</f>
        <v>59313257</v>
      </c>
      <c r="V776" s="6">
        <f>IFERROR(__xludf.DUMMYFUNCTION("""COMPUTED_VALUE"""),3.216431401E9)</f>
        <v>3216431401</v>
      </c>
      <c r="W776" s="6" t="str">
        <f>IFERROR(__xludf.DUMMYFUNCTION("""COMPUTED_VALUE"""),"lnatycs2205@gmail.com")</f>
        <v>lnatycs2205@gmail.com</v>
      </c>
      <c r="X776" s="12" t="str">
        <f>IFERROR(__xludf.DUMMYFUNCTION("""COMPUTED_VALUE"""),"O+")</f>
        <v>O+</v>
      </c>
      <c r="Y776" s="12" t="str">
        <f>IFERROR(__xludf.DUMMYFUNCTION("""COMPUTED_VALUE"""),"12")</f>
        <v>12</v>
      </c>
      <c r="Z776" s="12">
        <f>IFERROR(__xludf.DUMMYFUNCTION("""COMPUTED_VALUE"""),102055.0)</f>
        <v>102055</v>
      </c>
      <c r="AA776" s="6" t="str">
        <f>IFERROR(__xludf.DUMMYFUNCTION("""COMPUTED_VALUE"""),"SANITAS")</f>
        <v>SANITAS</v>
      </c>
      <c r="AB776" s="6" t="str">
        <f>IFERROR(__xludf.DUMMYFUNCTION("""COMPUTED_VALUE"""),"SANITAS")</f>
        <v>SANITAS</v>
      </c>
      <c r="AC776" s="6"/>
      <c r="AD776" s="12" t="str">
        <f>IFERROR(__xludf.DUMMYFUNCTION("""COMPUTED_VALUE"""),"12")</f>
        <v>12</v>
      </c>
      <c r="AE776" s="12">
        <f>IFERROR(__xludf.DUMMYFUNCTION("""COMPUTED_VALUE"""),1.345281291E9)</f>
        <v>1345281291</v>
      </c>
      <c r="AF776" s="12" t="str">
        <f>IFERROR(__xludf.DUMMYFUNCTION("""COMPUTED_VALUE"""),"0678944579")</f>
        <v>0678944579</v>
      </c>
      <c r="AG776" s="12" t="str">
        <f>IFERROR(__xludf.DUMMYFUNCTION("""COMPUTED_VALUE"""),"Lady")</f>
        <v>Lady</v>
      </c>
      <c r="AH776" s="12" t="str">
        <f>IFERROR(__xludf.DUMMYFUNCTION("""COMPUTED_VALUE"""),"Natalia")</f>
        <v>Natalia</v>
      </c>
      <c r="AI776" s="6" t="str">
        <f>IFERROR(__xludf.DUMMYFUNCTION("""COMPUTED_VALUE"""),"Castillo Santander")</f>
        <v>Castillo Santander</v>
      </c>
      <c r="AJ776" s="6" t="str">
        <f>IFERROR(__xludf.DUMMYFUNCTION("""COMPUTED_VALUE"""),"lnatycs2205@gmail.com")</f>
        <v>lnatycs2205@gmail.com</v>
      </c>
      <c r="AK776" s="6" t="str">
        <f>IFERROR(__xludf.DUMMYFUNCTION("""COMPUTED_VALUE"""),"Medica")</f>
        <v>Medica</v>
      </c>
      <c r="AL776" s="6" t="str">
        <f>IFERROR(__xludf.DUMMYFUNCTION("""COMPUTED_VALUE"""),"Sanitas")</f>
        <v>Sanitas</v>
      </c>
      <c r="AM776" s="12" t="str">
        <f>IFERROR(__xludf.DUMMYFUNCTION("""COMPUTED_VALUE"""),"59313257")</f>
        <v>59313257</v>
      </c>
      <c r="AN776" s="12" t="str">
        <f>IFERROR(__xludf.DUMMYFUNCTION("""COMPUTED_VALUE"""),"3216431401")</f>
        <v>3216431401</v>
      </c>
      <c r="AO776" s="6" t="str">
        <f>IFERROR(__xludf.DUMMYFUNCTION("""COMPUTED_VALUE"""),"Madre")</f>
        <v>Madre</v>
      </c>
      <c r="AP776" s="6" t="str">
        <f>IFERROR(__xludf.DUMMYFUNCTION("""COMPUTED_VALUE"""),"Estudiante(s): Díaz Castillo")</f>
        <v>Estudiante(s): Díaz Castillo</v>
      </c>
      <c r="AQ776" s="6" t="str">
        <f>IFERROR(__xludf.DUMMYFUNCTION("""COMPUTED_VALUE"""),"102055*Gi")</f>
        <v>102055*Gi</v>
      </c>
      <c r="AR776" s="6" t="str">
        <f>IFERROR(__xludf.DUMMYFUNCTION("""COMPUTED_VALUE"""),"Michael")</f>
        <v>Michael</v>
      </c>
      <c r="AS776" s="6" t="str">
        <f>IFERROR(__xludf.DUMMYFUNCTION("""COMPUTED_VALUE"""),"Steven")</f>
        <v>Steven</v>
      </c>
      <c r="AT776" s="6" t="str">
        <f>IFERROR(__xludf.DUMMYFUNCTION("""COMPUTED_VALUE"""),"Grisales Bernal")</f>
        <v>Grisales Bernal</v>
      </c>
      <c r="AU776" s="6" t="str">
        <f>IFERROR(__xludf.DUMMYFUNCTION("""COMPUTED_VALUE"""),"mike.steven.gris@gmail.com")</f>
        <v>mike.steven.gris@gmail.com</v>
      </c>
      <c r="AV776" s="6"/>
      <c r="AW776" s="6"/>
      <c r="AX776" s="12" t="str">
        <f>IFERROR(__xludf.DUMMYFUNCTION("""COMPUTED_VALUE"""),"1126786964")</f>
        <v>1126786964</v>
      </c>
      <c r="AY776" s="12" t="str">
        <f>IFERROR(__xludf.DUMMYFUNCTION("""COMPUTED_VALUE"""),"3204592223")</f>
        <v>3204592223</v>
      </c>
      <c r="AZ776" s="6" t="str">
        <f>IFERROR(__xludf.DUMMYFUNCTION("""COMPUTED_VALUE"""),"Padre")</f>
        <v>Padre</v>
      </c>
      <c r="BA776" s="6" t="str">
        <f>IFERROR(__xludf.DUMMYFUNCTION("""COMPUTED_VALUE"""),"MICHAEL STEVEN GRISALES BERNAL")</f>
        <v>MICHAEL STEVEN GRISALES BERNAL</v>
      </c>
      <c r="BB776" s="6">
        <f>IFERROR(__xludf.DUMMYFUNCTION("""COMPUTED_VALUE"""),3.10853675E9)</f>
        <v>3108536750</v>
      </c>
      <c r="BC776" s="6" t="str">
        <f>IFERROR(__xludf.DUMMYFUNCTION("""COMPUTED_VALUE"""),"Otro")</f>
        <v>Otro</v>
      </c>
      <c r="BD776" s="12" t="str">
        <f>IFERROR(__xludf.DUMMYFUNCTION("""COMPUTED_VALUE"""),"daz0002")</f>
        <v>daz0002</v>
      </c>
      <c r="BE776" s="6"/>
      <c r="BF776" s="6"/>
      <c r="BG776" s="6">
        <f>IFERROR(__xludf.DUMMYFUNCTION("""COMPUTED_VALUE"""),2027.0)</f>
        <v>2027</v>
      </c>
      <c r="BH776" s="15">
        <f>IFERROR(__xludf.DUMMYFUNCTION("""COMPUTED_VALUE"""),46209.74822916667)</f>
        <v>46209.74823</v>
      </c>
      <c r="BI776" s="6">
        <f>IFERROR(__xludf.DUMMYFUNCTION("""COMPUTED_VALUE"""),777.0)</f>
        <v>777</v>
      </c>
      <c r="BJ776" s="6"/>
      <c r="BK776" s="6"/>
      <c r="BL776" s="6" t="str">
        <f>IFERROR(__xludf.DUMMYFUNCTION("""COMPUTED_VALUE"""),"GISDAZ0002")</f>
        <v>GISDAZ0002</v>
      </c>
      <c r="BM776" s="6"/>
      <c r="BN776" s="6"/>
      <c r="BO776" s="6"/>
      <c r="BP776" s="6"/>
      <c r="BQ776" s="6"/>
      <c r="BR776" s="6"/>
      <c r="BS776" s="6"/>
      <c r="BT776" s="6"/>
      <c r="BU776" s="6" t="str">
        <f>IFERROR(__xludf.DUMMYFUNCTION("""COMPUTED_VALUE"""),"SI")</f>
        <v>SI</v>
      </c>
      <c r="BV776" s="6" t="str">
        <f>IFERROR(__xludf.DUMMYFUNCTION("""COMPUTED_VALUE"""),"carlose.d2027")</f>
        <v>carlose.d2027</v>
      </c>
      <c r="BW776" s="6"/>
      <c r="BX776" s="6"/>
      <c r="BY776" s="6"/>
      <c r="BZ776" s="6"/>
    </row>
    <row r="777">
      <c r="A777" s="12">
        <f>IFERROR(__xludf.DUMMYFUNCTION("""COMPUTED_VALUE"""),1.092854244E9)</f>
        <v>1092854244</v>
      </c>
      <c r="B777" s="6">
        <f>IFERROR(__xludf.DUMMYFUNCTION("""COMPUTED_VALUE"""),11.0)</f>
        <v>11</v>
      </c>
      <c r="C777" s="6" t="str">
        <f>IFERROR(__xludf.DUMMYFUNCTION("""COMPUTED_VALUE"""),"Juan")</f>
        <v>Juan</v>
      </c>
      <c r="D777" s="6" t="str">
        <f>IFERROR(__xludf.DUMMYFUNCTION("""COMPUTED_VALUE"""),"Esteban")</f>
        <v>Esteban</v>
      </c>
      <c r="E777" s="6" t="str">
        <f>IFERROR(__xludf.DUMMYFUNCTION("""COMPUTED_VALUE"""),"Díaz Orozco")</f>
        <v>Díaz Orozco</v>
      </c>
      <c r="F777" s="6" t="str">
        <f>IFERROR(__xludf.DUMMYFUNCTION("""COMPUTED_VALUE"""),"Av Centenario No32Nte - 60 Casa 4 - Condominio El Palmar")</f>
        <v>Av Centenario No32Nte - 60 Casa 4 - Condominio El Palmar</v>
      </c>
      <c r="G777" s="12" t="str">
        <f>IFERROR(__xludf.DUMMYFUNCTION("""COMPUTED_VALUE"""),"2009")</f>
        <v>2009</v>
      </c>
      <c r="H777" s="6" t="str">
        <f>IFERROR(__xludf.DUMMYFUNCTION("""COMPUTED_VALUE"""),"Julio")</f>
        <v>Julio</v>
      </c>
      <c r="I777" s="12" t="str">
        <f>IFERROR(__xludf.DUMMYFUNCTION("""COMPUTED_VALUE"""),"15")</f>
        <v>15</v>
      </c>
      <c r="J777" s="6" t="str">
        <f>IFERROR(__xludf.DUMMYFUNCTION("""COMPUTED_VALUE"""),"Armenia")</f>
        <v>Armenia</v>
      </c>
      <c r="K777" s="6" t="str">
        <f>IFERROR(__xludf.DUMMYFUNCTION("""COMPUTED_VALUE"""),"juanesteban.d2027@gi.edu.co")</f>
        <v>juanesteban.d2027@gi.edu.co</v>
      </c>
      <c r="L777" s="6" t="str">
        <f>IFERROR(__xludf.DUMMYFUNCTION("""COMPUTED_VALUE"""),"TI")</f>
        <v>TI</v>
      </c>
      <c r="M777" s="6" t="str">
        <f>IFERROR(__xludf.DUMMYFUNCTION("""COMPUTED_VALUE"""),"Armenia")</f>
        <v>Armenia</v>
      </c>
      <c r="N777" s="6" t="str">
        <f>IFERROR(__xludf.DUMMYFUNCTION("""COMPUTED_VALUE"""),"M")</f>
        <v>M</v>
      </c>
      <c r="O777" s="6" t="str">
        <f>IFERROR(__xludf.DUMMYFUNCTION("""COMPUTED_VALUE"""),"ACTIVE")</f>
        <v>ACTIVE</v>
      </c>
      <c r="P777" s="6"/>
      <c r="Q777" s="6" t="str">
        <f>IFERROR(__xludf.DUMMYFUNCTION("""COMPUTED_VALUE"""),"Armenia")</f>
        <v>Armenia</v>
      </c>
      <c r="R777" s="12" t="str">
        <f>IFERROR(__xludf.DUMMYFUNCTION("""COMPUTED_VALUE"""),"Gihui894re*")</f>
        <v>Gihui894re*</v>
      </c>
      <c r="S777" s="6" t="str">
        <f>IFERROR(__xludf.DUMMYFUNCTION("""COMPUTED_VALUE"""),"Díaz Orozco Juan Esteban")</f>
        <v>Díaz Orozco Juan Esteban</v>
      </c>
      <c r="T777" s="6" t="str">
        <f>IFERROR(__xludf.DUMMYFUNCTION("""COMPUTED_VALUE"""),"ROMMEL DÍAZ GUIO")</f>
        <v>ROMMEL DÍAZ GUIO</v>
      </c>
      <c r="U777" s="12" t="str">
        <f>IFERROR(__xludf.DUMMYFUNCTION("""COMPUTED_VALUE"""),"80505593")</f>
        <v>80505593</v>
      </c>
      <c r="V777" s="6">
        <f>IFERROR(__xludf.DUMMYFUNCTION("""COMPUTED_VALUE"""),3.183381172E9)</f>
        <v>3183381172</v>
      </c>
      <c r="W777" s="6" t="str">
        <f>IFERROR(__xludf.DUMMYFUNCTION("""COMPUTED_VALUE"""),"hdalaspalmastb@yahoo.es")</f>
        <v>hdalaspalmastb@yahoo.es</v>
      </c>
      <c r="X777" s="12" t="str">
        <f>IFERROR(__xludf.DUMMYFUNCTION("""COMPUTED_VALUE"""),"A+")</f>
        <v>A+</v>
      </c>
      <c r="Y777" s="12">
        <f>IFERROR(__xludf.DUMMYFUNCTION("""COMPUTED_VALUE"""),12.0)</f>
        <v>12</v>
      </c>
      <c r="Z777" s="12">
        <f>IFERROR(__xludf.DUMMYFUNCTION("""COMPUTED_VALUE"""),102917.0)</f>
        <v>102917</v>
      </c>
      <c r="AA777" s="6" t="str">
        <f>IFERROR(__xludf.DUMMYFUNCTION("""COMPUTED_VALUE"""),"SURA")</f>
        <v>SURA</v>
      </c>
      <c r="AB777" s="6" t="str">
        <f>IFERROR(__xludf.DUMMYFUNCTION("""COMPUTED_VALUE"""),"PREVISER")</f>
        <v>PREVISER</v>
      </c>
      <c r="AC777" s="6"/>
      <c r="AD777" s="12">
        <f>IFERROR(__xludf.DUMMYFUNCTION("""COMPUTED_VALUE"""),12.0)</f>
        <v>12</v>
      </c>
      <c r="AE777" s="12">
        <f>IFERROR(__xludf.DUMMYFUNCTION("""COMPUTED_VALUE"""),1.345281418E9)</f>
        <v>1345281418</v>
      </c>
      <c r="AF777" s="12" t="str">
        <f>IFERROR(__xludf.DUMMYFUNCTION("""COMPUTED_VALUE"""),"0725935235")</f>
        <v>0725935235</v>
      </c>
      <c r="AG777" s="12" t="str">
        <f>IFERROR(__xludf.DUMMYFUNCTION("""COMPUTED_VALUE"""),"Zulma")</f>
        <v>Zulma</v>
      </c>
      <c r="AH777" s="12" t="str">
        <f>IFERROR(__xludf.DUMMYFUNCTION("""COMPUTED_VALUE"""),"Liliana")</f>
        <v>Liliana</v>
      </c>
      <c r="AI777" s="6" t="str">
        <f>IFERROR(__xludf.DUMMYFUNCTION("""COMPUTED_VALUE"""),"Orozco Roa")</f>
        <v>Orozco Roa</v>
      </c>
      <c r="AJ777" s="6" t="str">
        <f>IFERROR(__xludf.DUMMYFUNCTION("""COMPUTED_VALUE"""),"zulioroa@yahoo.es")</f>
        <v>zulioroa@yahoo.es</v>
      </c>
      <c r="AK777" s="6" t="str">
        <f>IFERROR(__xludf.DUMMYFUNCTION("""COMPUTED_VALUE"""),"Administradora de empresas")</f>
        <v>Administradora de empresas</v>
      </c>
      <c r="AL777" s="6"/>
      <c r="AM777" s="12" t="str">
        <f>IFERROR(__xludf.DUMMYFUNCTION("""COMPUTED_VALUE"""),"33816138")</f>
        <v>33816138</v>
      </c>
      <c r="AN777" s="12" t="str">
        <f>IFERROR(__xludf.DUMMYFUNCTION("""COMPUTED_VALUE"""),"3103750950")</f>
        <v>3103750950</v>
      </c>
      <c r="AO777" s="6" t="str">
        <f>IFERROR(__xludf.DUMMYFUNCTION("""COMPUTED_VALUE"""),"Madre")</f>
        <v>Madre</v>
      </c>
      <c r="AP777" s="6" t="str">
        <f>IFERROR(__xludf.DUMMYFUNCTION("""COMPUTED_VALUE"""),"Estudiante(s): Díaz Orozco")</f>
        <v>Estudiante(s): Díaz Orozco</v>
      </c>
      <c r="AQ777" s="6" t="str">
        <f>IFERROR(__xludf.DUMMYFUNCTION("""COMPUTED_VALUE"""),"102437*Gi")</f>
        <v>102437*Gi</v>
      </c>
      <c r="AR777" s="6" t="str">
        <f>IFERROR(__xludf.DUMMYFUNCTION("""COMPUTED_VALUE"""),"Rommel")</f>
        <v>Rommel</v>
      </c>
      <c r="AS777" s="6"/>
      <c r="AT777" s="6" t="str">
        <f>IFERROR(__xludf.DUMMYFUNCTION("""COMPUTED_VALUE"""),"Díaz Guio")</f>
        <v>Díaz Guio</v>
      </c>
      <c r="AU777" s="6" t="str">
        <f>IFERROR(__xludf.DUMMYFUNCTION("""COMPUTED_VALUE"""),"hdalaspalmastb@yahoo.es")</f>
        <v>hdalaspalmastb@yahoo.es</v>
      </c>
      <c r="AV777" s="6" t="str">
        <f>IFERROR(__xludf.DUMMYFUNCTION("""COMPUTED_VALUE"""),"Ganadero")</f>
        <v>Ganadero</v>
      </c>
      <c r="AW777" s="6" t="str">
        <f>IFERROR(__xludf.DUMMYFUNCTION("""COMPUTED_VALUE"""),"Finca la caprichosa")</f>
        <v>Finca la caprichosa</v>
      </c>
      <c r="AX777" s="12" t="str">
        <f>IFERROR(__xludf.DUMMYFUNCTION("""COMPUTED_VALUE"""),"80505593")</f>
        <v>80505593</v>
      </c>
      <c r="AY777" s="12" t="str">
        <f>IFERROR(__xludf.DUMMYFUNCTION("""COMPUTED_VALUE"""),"3183381172")</f>
        <v>3183381172</v>
      </c>
      <c r="AZ777" s="6" t="str">
        <f>IFERROR(__xludf.DUMMYFUNCTION("""COMPUTED_VALUE"""),"Padre")</f>
        <v>Padre</v>
      </c>
      <c r="BA777" s="6"/>
      <c r="BB777" s="6"/>
      <c r="BC777" s="6"/>
      <c r="BD777" s="12" t="str">
        <f>IFERROR(__xludf.DUMMYFUNCTION("""COMPUTED_VALUE"""),"daz0004")</f>
        <v>daz0004</v>
      </c>
      <c r="BE777" s="6"/>
      <c r="BF777" s="12" t="str">
        <f>IFERROR(__xludf.DUMMYFUNCTION("""COMPUTED_VALUE"""),"PROMOVIDO")</f>
        <v>PROMOVIDO</v>
      </c>
      <c r="BG777" s="6">
        <f>IFERROR(__xludf.DUMMYFUNCTION("""COMPUTED_VALUE"""),2027.0)</f>
        <v>2027</v>
      </c>
      <c r="BH777" s="15">
        <f>IFERROR(__xludf.DUMMYFUNCTION("""COMPUTED_VALUE"""),46212.51981481481)</f>
        <v>46212.51981</v>
      </c>
      <c r="BI777" s="6">
        <f>IFERROR(__xludf.DUMMYFUNCTION("""COMPUTED_VALUE"""),778.0)</f>
        <v>778</v>
      </c>
      <c r="BJ777" s="6"/>
      <c r="BK777" s="6"/>
      <c r="BL777" s="6" t="str">
        <f>IFERROR(__xludf.DUMMYFUNCTION("""COMPUTED_VALUE"""),"GISDAZ0004")</f>
        <v>GISDAZ0004</v>
      </c>
      <c r="BM777" s="6"/>
      <c r="BN777" s="6"/>
      <c r="BO777" s="6"/>
      <c r="BP777" s="6"/>
      <c r="BQ777" s="6"/>
      <c r="BR777" s="6"/>
      <c r="BS777" s="6"/>
      <c r="BT777" s="6"/>
      <c r="BU777" s="6" t="str">
        <f>IFERROR(__xludf.DUMMYFUNCTION("""COMPUTED_VALUE"""),"SI")</f>
        <v>SI</v>
      </c>
      <c r="BV777" s="6" t="str">
        <f>IFERROR(__xludf.DUMMYFUNCTION("""COMPUTED_VALUE"""),"juanesteban.d2027")</f>
        <v>juanesteban.d2027</v>
      </c>
      <c r="BW777" s="6"/>
      <c r="BX777" s="6"/>
      <c r="BY777" s="6"/>
      <c r="BZ777" s="6"/>
    </row>
    <row r="778">
      <c r="A778" s="12">
        <f>IFERROR(__xludf.DUMMYFUNCTION("""COMPUTED_VALUE"""),1.014875897E9)</f>
        <v>1014875897</v>
      </c>
      <c r="B778" s="6">
        <f>IFERROR(__xludf.DUMMYFUNCTION("""COMPUTED_VALUE"""),12.0)</f>
        <v>12</v>
      </c>
      <c r="C778" s="6" t="str">
        <f>IFERROR(__xludf.DUMMYFUNCTION("""COMPUTED_VALUE"""),"Sara")</f>
        <v>Sara</v>
      </c>
      <c r="D778" s="6" t="str">
        <f>IFERROR(__xludf.DUMMYFUNCTION("""COMPUTED_VALUE"""),"Juliana")</f>
        <v>Juliana</v>
      </c>
      <c r="E778" s="6" t="str">
        <f>IFERROR(__xludf.DUMMYFUNCTION("""COMPUTED_VALUE"""),"Duque Ruíz")</f>
        <v>Duque Ruíz</v>
      </c>
      <c r="F778" s="6" t="str">
        <f>IFERROR(__xludf.DUMMYFUNCTION("""COMPUTED_VALUE"""),"Condominio Casas de Campo Casa 39 - Calle 23ANte No19 - 47")</f>
        <v>Condominio Casas de Campo Casa 39 - Calle 23ANte No19 - 47</v>
      </c>
      <c r="G778" s="12" t="str">
        <f>IFERROR(__xludf.DUMMYFUNCTION("""COMPUTED_VALUE"""),"2010")</f>
        <v>2010</v>
      </c>
      <c r="H778" s="6" t="str">
        <f>IFERROR(__xludf.DUMMYFUNCTION("""COMPUTED_VALUE"""),"Febrero")</f>
        <v>Febrero</v>
      </c>
      <c r="I778" s="12" t="str">
        <f>IFERROR(__xludf.DUMMYFUNCTION("""COMPUTED_VALUE"""),"22")</f>
        <v>22</v>
      </c>
      <c r="J778" s="6" t="str">
        <f>IFERROR(__xludf.DUMMYFUNCTION("""COMPUTED_VALUE"""),"Armenia")</f>
        <v>Armenia</v>
      </c>
      <c r="K778" s="6" t="str">
        <f>IFERROR(__xludf.DUMMYFUNCTION("""COMPUTED_VALUE"""),"sara.d2027@gi.edu.co")</f>
        <v>sara.d2027@gi.edu.co</v>
      </c>
      <c r="L778" s="6" t="str">
        <f>IFERROR(__xludf.DUMMYFUNCTION("""COMPUTED_VALUE"""),"TI")</f>
        <v>TI</v>
      </c>
      <c r="M778" s="6" t="str">
        <f>IFERROR(__xludf.DUMMYFUNCTION("""COMPUTED_VALUE"""),"Armenia")</f>
        <v>Armenia</v>
      </c>
      <c r="N778" s="6" t="str">
        <f>IFERROR(__xludf.DUMMYFUNCTION("""COMPUTED_VALUE"""),"F")</f>
        <v>F</v>
      </c>
      <c r="O778" s="6" t="str">
        <f>IFERROR(__xludf.DUMMYFUNCTION("""COMPUTED_VALUE"""),"INACTIVE")</f>
        <v>INACTIVE</v>
      </c>
      <c r="P778" s="6"/>
      <c r="Q778" s="6" t="str">
        <f>IFERROR(__xludf.DUMMYFUNCTION("""COMPUTED_VALUE"""),"Armenia")</f>
        <v>Armenia</v>
      </c>
      <c r="R778" s="12" t="str">
        <f>IFERROR(__xludf.DUMMYFUNCTION("""COMPUTED_VALUE"""),"GiJNA65BJL*")</f>
        <v>GiJNA65BJL*</v>
      </c>
      <c r="S778" s="6" t="str">
        <f>IFERROR(__xludf.DUMMYFUNCTION("""COMPUTED_VALUE"""),"Duque Ruíz Sara Juliana")</f>
        <v>Duque Ruíz Sara Juliana</v>
      </c>
      <c r="T778" s="6" t="str">
        <f>IFERROR(__xludf.DUMMYFUNCTION("""COMPUTED_VALUE"""),"MARIA YENIFER RUIZ CAMPUZANO")</f>
        <v>MARIA YENIFER RUIZ CAMPUZANO</v>
      </c>
      <c r="U778" s="12" t="str">
        <f>IFERROR(__xludf.DUMMYFUNCTION("""COMPUTED_VALUE"""),"30390659")</f>
        <v>30390659</v>
      </c>
      <c r="V778" s="6">
        <f>IFERROR(__xludf.DUMMYFUNCTION("""COMPUTED_VALUE"""),3.14828589E9)</f>
        <v>3148285890</v>
      </c>
      <c r="W778" s="6" t="str">
        <f>IFERROR(__xludf.DUMMYFUNCTION("""COMPUTED_VALUE"""),"ruizye@hotmail.com")</f>
        <v>ruizye@hotmail.com</v>
      </c>
      <c r="X778" s="12" t="str">
        <f>IFERROR(__xludf.DUMMYFUNCTION("""COMPUTED_VALUE"""),"A+")</f>
        <v>A+</v>
      </c>
      <c r="Y778" s="12" t="str">
        <f>IFERROR(__xludf.DUMMYFUNCTION("""COMPUTED_VALUE"""),"12")</f>
        <v>12</v>
      </c>
      <c r="Z778" s="12">
        <f>IFERROR(__xludf.DUMMYFUNCTION("""COMPUTED_VALUE"""),103286.0)</f>
        <v>103286</v>
      </c>
      <c r="AA778" s="6" t="str">
        <f>IFERROR(__xludf.DUMMYFUNCTION("""COMPUTED_VALUE"""),"COLMEDICA")</f>
        <v>COLMEDICA</v>
      </c>
      <c r="AB778" s="6"/>
      <c r="AC778" s="6"/>
      <c r="AD778" s="12" t="str">
        <f>IFERROR(__xludf.DUMMYFUNCTION("""COMPUTED_VALUE"""),"12")</f>
        <v>12</v>
      </c>
      <c r="AE778" s="12">
        <f>IFERROR(__xludf.DUMMYFUNCTION("""COMPUTED_VALUE"""),1.345281615E9)</f>
        <v>1345281615</v>
      </c>
      <c r="AF778" s="12" t="str">
        <f>IFERROR(__xludf.DUMMYFUNCTION("""COMPUTED_VALUE"""),"0672630083")</f>
        <v>0672630083</v>
      </c>
      <c r="AG778" s="12" t="str">
        <f>IFERROR(__xludf.DUMMYFUNCTION("""COMPUTED_VALUE"""),"María")</f>
        <v>María</v>
      </c>
      <c r="AH778" s="12" t="str">
        <f>IFERROR(__xludf.DUMMYFUNCTION("""COMPUTED_VALUE"""),"Yenifer")</f>
        <v>Yenifer</v>
      </c>
      <c r="AI778" s="6" t="str">
        <f>IFERROR(__xludf.DUMMYFUNCTION("""COMPUTED_VALUE"""),"Ruíz Campuzano")</f>
        <v>Ruíz Campuzano</v>
      </c>
      <c r="AJ778" s="6" t="str">
        <f>IFERROR(__xludf.DUMMYFUNCTION("""COMPUTED_VALUE"""),"ruizye@gmail.com")</f>
        <v>ruizye@gmail.com</v>
      </c>
      <c r="AK778" s="6" t="str">
        <f>IFERROR(__xludf.DUMMYFUNCTION("""COMPUTED_VALUE"""),"Enfermera")</f>
        <v>Enfermera</v>
      </c>
      <c r="AL778" s="6" t="str">
        <f>IFERROR(__xludf.DUMMYFUNCTION("""COMPUTED_VALUE"""),"Hospital")</f>
        <v>Hospital</v>
      </c>
      <c r="AM778" s="12" t="str">
        <f>IFERROR(__xludf.DUMMYFUNCTION("""COMPUTED_VALUE"""),"30390659")</f>
        <v>30390659</v>
      </c>
      <c r="AN778" s="12" t="str">
        <f>IFERROR(__xludf.DUMMYFUNCTION("""COMPUTED_VALUE"""),"3148285890")</f>
        <v>3148285890</v>
      </c>
      <c r="AO778" s="6" t="str">
        <f>IFERROR(__xludf.DUMMYFUNCTION("""COMPUTED_VALUE"""),"Madre")</f>
        <v>Madre</v>
      </c>
      <c r="AP778" s="6" t="str">
        <f>IFERROR(__xludf.DUMMYFUNCTION("""COMPUTED_VALUE"""),"Estudiante(s): Duque Ruíz")</f>
        <v>Estudiante(s): Duque Ruíz</v>
      </c>
      <c r="AQ778" s="6" t="str">
        <f>IFERROR(__xludf.DUMMYFUNCTION("""COMPUTED_VALUE"""),"103286*Gi")</f>
        <v>103286*Gi</v>
      </c>
      <c r="AR778" s="6" t="str">
        <f>IFERROR(__xludf.DUMMYFUNCTION("""COMPUTED_VALUE"""),"Santiago")</f>
        <v>Santiago</v>
      </c>
      <c r="AS778" s="6"/>
      <c r="AT778" s="6" t="str">
        <f>IFERROR(__xludf.DUMMYFUNCTION("""COMPUTED_VALUE"""),"Duque Velásquez")</f>
        <v>Duque Velásquez</v>
      </c>
      <c r="AU778" s="6" t="str">
        <f>IFERROR(__xludf.DUMMYFUNCTION("""COMPUTED_VALUE"""),"santiagoduque.urologia@gmail.com")</f>
        <v>santiagoduque.urologia@gmail.com</v>
      </c>
      <c r="AV778" s="6" t="str">
        <f>IFERROR(__xludf.DUMMYFUNCTION("""COMPUTED_VALUE"""),"UROLOGO")</f>
        <v>UROLOGO</v>
      </c>
      <c r="AW778" s="6" t="str">
        <f>IFERROR(__xludf.DUMMYFUNCTION("""COMPUTED_VALUE"""),"CONSULTORIO")</f>
        <v>CONSULTORIO</v>
      </c>
      <c r="AX778" s="12" t="str">
        <f>IFERROR(__xludf.DUMMYFUNCTION("""COMPUTED_VALUE"""),"9731346")</f>
        <v>9731346</v>
      </c>
      <c r="AY778" s="12" t="str">
        <f>IFERROR(__xludf.DUMMYFUNCTION("""COMPUTED_VALUE"""),"3117642329")</f>
        <v>3117642329</v>
      </c>
      <c r="AZ778" s="6" t="str">
        <f>IFERROR(__xludf.DUMMYFUNCTION("""COMPUTED_VALUE"""),"Padre")</f>
        <v>Padre</v>
      </c>
      <c r="BA778" s="6"/>
      <c r="BB778" s="6"/>
      <c r="BC778" s="6"/>
      <c r="BD778" s="12" t="str">
        <f>IFERROR(__xludf.DUMMYFUNCTION("""COMPUTED_VALUE"""),"duq0004")</f>
        <v>duq0004</v>
      </c>
      <c r="BE778" s="6" t="str">
        <f>IFERROR(__xludf.DUMMYFUNCTION("""COMPUTED_VALUE"""),"FALTAN FIRMAS")</f>
        <v>FALTAN FIRMAS</v>
      </c>
      <c r="BF778" s="6"/>
      <c r="BG778" s="6">
        <f>IFERROR(__xludf.DUMMYFUNCTION("""COMPUTED_VALUE"""),2027.0)</f>
        <v>2027</v>
      </c>
      <c r="BH778" s="15">
        <f>IFERROR(__xludf.DUMMYFUNCTION("""COMPUTED_VALUE"""),46205.28240740741)</f>
        <v>46205.28241</v>
      </c>
      <c r="BI778" s="6">
        <f>IFERROR(__xludf.DUMMYFUNCTION("""COMPUTED_VALUE"""),779.0)</f>
        <v>779</v>
      </c>
      <c r="BJ778" s="6"/>
      <c r="BK778" s="6"/>
      <c r="BL778" s="6" t="str">
        <f>IFERROR(__xludf.DUMMYFUNCTION("""COMPUTED_VALUE"""),"GISDUQ0004")</f>
        <v>GISDUQ0004</v>
      </c>
      <c r="BM778" s="6"/>
      <c r="BN778" s="6"/>
      <c r="BO778" s="6"/>
      <c r="BP778" s="6"/>
      <c r="BQ778" s="6"/>
      <c r="BR778" s="6"/>
      <c r="BS778" s="6"/>
      <c r="BT778" s="6"/>
      <c r="BU778" s="6" t="str">
        <f>IFERROR(__xludf.DUMMYFUNCTION("""COMPUTED_VALUE"""),"NO")</f>
        <v>NO</v>
      </c>
      <c r="BV778" s="6" t="str">
        <f>IFERROR(__xludf.DUMMYFUNCTION("""COMPUTED_VALUE"""),"sara.d2027")</f>
        <v>sara.d2027</v>
      </c>
      <c r="BW778" s="6"/>
      <c r="BX778" s="6"/>
      <c r="BY778" s="6"/>
      <c r="BZ778" s="6"/>
    </row>
    <row r="779">
      <c r="A779" s="12">
        <f>IFERROR(__xludf.DUMMYFUNCTION("""COMPUTED_VALUE"""),1.092854161E9)</f>
        <v>1092854161</v>
      </c>
      <c r="B779" s="6">
        <f>IFERROR(__xludf.DUMMYFUNCTION("""COMPUTED_VALUE"""),13.0)</f>
        <v>13</v>
      </c>
      <c r="C779" s="6" t="str">
        <f>IFERROR(__xludf.DUMMYFUNCTION("""COMPUTED_VALUE"""),"Luciana")</f>
        <v>Luciana</v>
      </c>
      <c r="D779" s="6"/>
      <c r="E779" s="6" t="str">
        <f>IFERROR(__xludf.DUMMYFUNCTION("""COMPUTED_VALUE"""),"Durán Castaño")</f>
        <v>Durán Castaño</v>
      </c>
      <c r="F779" s="6" t="str">
        <f>IFERROR(__xludf.DUMMYFUNCTION("""COMPUTED_VALUE"""),"Edificio Amara Apto 702 - Barrio La Suiza Cra 17 No22Nte - 66 Laureles ")</f>
        <v>Edificio Amara Apto 702 - Barrio La Suiza Cra 17 No22Nte - 66 Laureles </v>
      </c>
      <c r="G779" s="12" t="str">
        <f>IFERROR(__xludf.DUMMYFUNCTION("""COMPUTED_VALUE"""),"2009")</f>
        <v>2009</v>
      </c>
      <c r="H779" s="6" t="str">
        <f>IFERROR(__xludf.DUMMYFUNCTION("""COMPUTED_VALUE"""),"Febrero")</f>
        <v>Febrero</v>
      </c>
      <c r="I779" s="12" t="str">
        <f>IFERROR(__xludf.DUMMYFUNCTION("""COMPUTED_VALUE"""),"16")</f>
        <v>16</v>
      </c>
      <c r="J779" s="6" t="str">
        <f>IFERROR(__xludf.DUMMYFUNCTION("""COMPUTED_VALUE"""),"Armenia")</f>
        <v>Armenia</v>
      </c>
      <c r="K779" s="6" t="str">
        <f>IFERROR(__xludf.DUMMYFUNCTION("""COMPUTED_VALUE"""),"luciana.d2027@gi.edu.co")</f>
        <v>luciana.d2027@gi.edu.co</v>
      </c>
      <c r="L779" s="6" t="str">
        <f>IFERROR(__xludf.DUMMYFUNCTION("""COMPUTED_VALUE"""),"TI")</f>
        <v>TI</v>
      </c>
      <c r="M779" s="6" t="str">
        <f>IFERROR(__xludf.DUMMYFUNCTION("""COMPUTED_VALUE"""),"Armenia")</f>
        <v>Armenia</v>
      </c>
      <c r="N779" s="6" t="str">
        <f>IFERROR(__xludf.DUMMYFUNCTION("""COMPUTED_VALUE"""),"F")</f>
        <v>F</v>
      </c>
      <c r="O779" s="6" t="str">
        <f>IFERROR(__xludf.DUMMYFUNCTION("""COMPUTED_VALUE"""),"ACTIVE")</f>
        <v>ACTIVE</v>
      </c>
      <c r="P779" s="6"/>
      <c r="Q779" s="6" t="str">
        <f>IFERROR(__xludf.DUMMYFUNCTION("""COMPUTED_VALUE"""),"Armenia")</f>
        <v>Armenia</v>
      </c>
      <c r="R779" s="12" t="str">
        <f>IFERROR(__xludf.DUMMYFUNCTION("""COMPUTED_VALUE"""),"Gi18981779")</f>
        <v>Gi18981779</v>
      </c>
      <c r="S779" s="6" t="str">
        <f>IFERROR(__xludf.DUMMYFUNCTION("""COMPUTED_VALUE"""),"Durán Castaño Luciana ")</f>
        <v>Durán Castaño Luciana </v>
      </c>
      <c r="T779" s="6" t="str">
        <f>IFERROR(__xludf.DUMMYFUNCTION("""COMPUTED_VALUE"""),"DIANA YANETH CASTAÑO LONDOÑO")</f>
        <v>DIANA YANETH CASTAÑO LONDOÑO</v>
      </c>
      <c r="U779" s="12" t="str">
        <f>IFERROR(__xludf.DUMMYFUNCTION("""COMPUTED_VALUE"""),"30338678")</f>
        <v>30338678</v>
      </c>
      <c r="V779" s="6">
        <f>IFERROR(__xludf.DUMMYFUNCTION("""COMPUTED_VALUE"""),3.146810734E9)</f>
        <v>3146810734</v>
      </c>
      <c r="W779" s="6" t="str">
        <f>IFERROR(__xludf.DUMMYFUNCTION("""COMPUTED_VALUE"""),"ddianayacalo@gmail.com")</f>
        <v>ddianayacalo@gmail.com</v>
      </c>
      <c r="X779" s="12" t="str">
        <f>IFERROR(__xludf.DUMMYFUNCTION("""COMPUTED_VALUE"""),"O+")</f>
        <v>O+</v>
      </c>
      <c r="Y779" s="12" t="str">
        <f>IFERROR(__xludf.DUMMYFUNCTION("""COMPUTED_VALUE"""),"12")</f>
        <v>12</v>
      </c>
      <c r="Z779" s="12" t="str">
        <f>IFERROR(__xludf.DUMMYFUNCTION("""COMPUTED_VALUE"""),"102056")</f>
        <v>102056</v>
      </c>
      <c r="AA779" s="6" t="str">
        <f>IFERROR(__xludf.DUMMYFUNCTION("""COMPUTED_VALUE"""),"SANITAS")</f>
        <v>SANITAS</v>
      </c>
      <c r="AB779" s="6" t="str">
        <f>IFERROR(__xludf.DUMMYFUNCTION("""COMPUTED_VALUE"""),"EMI")</f>
        <v>EMI</v>
      </c>
      <c r="AC779" s="6"/>
      <c r="AD779" s="12" t="str">
        <f>IFERROR(__xludf.DUMMYFUNCTION("""COMPUTED_VALUE"""),"12")</f>
        <v>12</v>
      </c>
      <c r="AE779" s="12" t="str">
        <f>IFERROR(__xludf.DUMMYFUNCTION("""COMPUTED_VALUE"""),"1345281306")</f>
        <v>1345281306</v>
      </c>
      <c r="AF779" s="12" t="str">
        <f>IFERROR(__xludf.DUMMYFUNCTION("""COMPUTED_VALUE"""),"0673998867")</f>
        <v>0673998867</v>
      </c>
      <c r="AG779" s="12" t="str">
        <f>IFERROR(__xludf.DUMMYFUNCTION("""COMPUTED_VALUE"""),"Diana")</f>
        <v>Diana</v>
      </c>
      <c r="AH779" s="12" t="str">
        <f>IFERROR(__xludf.DUMMYFUNCTION("""COMPUTED_VALUE"""),"Yaneth")</f>
        <v>Yaneth</v>
      </c>
      <c r="AI779" s="6" t="str">
        <f>IFERROR(__xludf.DUMMYFUNCTION("""COMPUTED_VALUE"""),"Castaño Londoño")</f>
        <v>Castaño Londoño</v>
      </c>
      <c r="AJ779" s="6" t="str">
        <f>IFERROR(__xludf.DUMMYFUNCTION("""COMPUTED_VALUE"""),"ddianayacalo@gmail.com")</f>
        <v>ddianayacalo@gmail.com</v>
      </c>
      <c r="AK779" s="6" t="str">
        <f>IFERROR(__xludf.DUMMYFUNCTION("""COMPUTED_VALUE"""),"Admin empresas")</f>
        <v>Admin empresas</v>
      </c>
      <c r="AL779" s="6"/>
      <c r="AM779" s="12" t="str">
        <f>IFERROR(__xludf.DUMMYFUNCTION("""COMPUTED_VALUE"""),"30338678")</f>
        <v>30338678</v>
      </c>
      <c r="AN779" s="12" t="str">
        <f>IFERROR(__xludf.DUMMYFUNCTION("""COMPUTED_VALUE"""),"3146810734")</f>
        <v>3146810734</v>
      </c>
      <c r="AO779" s="6" t="str">
        <f>IFERROR(__xludf.DUMMYFUNCTION("""COMPUTED_VALUE"""),"Madre")</f>
        <v>Madre</v>
      </c>
      <c r="AP779" s="6" t="str">
        <f>IFERROR(__xludf.DUMMYFUNCTION("""COMPUTED_VALUE"""),"Estudiante(s): Durán Castaño")</f>
        <v>Estudiante(s): Durán Castaño</v>
      </c>
      <c r="AQ779" s="6" t="str">
        <f>IFERROR(__xludf.DUMMYFUNCTION("""COMPUTED_VALUE"""),"102164*Gi")</f>
        <v>102164*Gi</v>
      </c>
      <c r="AR779" s="6" t="str">
        <f>IFERROR(__xludf.DUMMYFUNCTION("""COMPUTED_VALUE"""),"Carlos")</f>
        <v>Carlos</v>
      </c>
      <c r="AS779" s="6" t="str">
        <f>IFERROR(__xludf.DUMMYFUNCTION("""COMPUTED_VALUE"""),"Alberto")</f>
        <v>Alberto</v>
      </c>
      <c r="AT779" s="6" t="str">
        <f>IFERROR(__xludf.DUMMYFUNCTION("""COMPUTED_VALUE"""),"Durán Vásquez")</f>
        <v>Durán Vásquez</v>
      </c>
      <c r="AU779" s="6" t="str">
        <f>IFERROR(__xludf.DUMMYFUNCTION("""COMPUTED_VALUE"""),"ortoduran@gmail.com")</f>
        <v>ortoduran@gmail.com</v>
      </c>
      <c r="AV779" s="6"/>
      <c r="AW779" s="6"/>
      <c r="AX779" s="12" t="str">
        <f>IFERROR(__xludf.DUMMYFUNCTION("""COMPUTED_VALUE"""),"79397673")</f>
        <v>79397673</v>
      </c>
      <c r="AY779" s="12" t="str">
        <f>IFERROR(__xludf.DUMMYFUNCTION("""COMPUTED_VALUE"""),"3137080112")</f>
        <v>3137080112</v>
      </c>
      <c r="AZ779" s="6" t="str">
        <f>IFERROR(__xludf.DUMMYFUNCTION("""COMPUTED_VALUE"""),"Padre")</f>
        <v>Padre</v>
      </c>
      <c r="BA779" s="6"/>
      <c r="BB779" s="6"/>
      <c r="BC779" s="6"/>
      <c r="BD779" s="12" t="str">
        <f>IFERROR(__xludf.DUMMYFUNCTION("""COMPUTED_VALUE"""),"dur0001")</f>
        <v>dur0001</v>
      </c>
      <c r="BE779" s="6"/>
      <c r="BF779" s="6"/>
      <c r="BG779" s="6">
        <f>IFERROR(__xludf.DUMMYFUNCTION("""COMPUTED_VALUE"""),2027.0)</f>
        <v>2027</v>
      </c>
      <c r="BH779" s="15">
        <f>IFERROR(__xludf.DUMMYFUNCTION("""COMPUTED_VALUE"""),46210.53666666667)</f>
        <v>46210.53667</v>
      </c>
      <c r="BI779" s="6">
        <f>IFERROR(__xludf.DUMMYFUNCTION("""COMPUTED_VALUE"""),780.0)</f>
        <v>780</v>
      </c>
      <c r="BJ779" s="6"/>
      <c r="BK779" s="6"/>
      <c r="BL779" s="6" t="str">
        <f>IFERROR(__xludf.DUMMYFUNCTION("""COMPUTED_VALUE"""),"GISDUR0001")</f>
        <v>GISDUR0001</v>
      </c>
      <c r="BM779" s="6"/>
      <c r="BN779" s="6"/>
      <c r="BO779" s="6" t="str">
        <f>IFERROR(__xludf.DUMMYFUNCTION("""COMPUTED_VALUE"""),"XC_SEC_Futbol_F")</f>
        <v>XC_SEC_Futbol_F</v>
      </c>
      <c r="BP779" s="6"/>
      <c r="BQ779" s="6" t="str">
        <f>IFERROR(__xludf.DUMMYFUNCTION("""COMPUTED_VALUE"""),"XC_SEC_Futbol_F")</f>
        <v>XC_SEC_Futbol_F</v>
      </c>
      <c r="BR779" s="6" t="str">
        <f>IFERROR(__xludf.DUMMYFUNCTION("""COMPUTED_VALUE"""),"XC_SEC_Futbol_F")</f>
        <v>XC_SEC_Futbol_F</v>
      </c>
      <c r="BS779" s="6"/>
      <c r="BT779" s="6" t="str">
        <f>IFERROR(__xludf.DUMMYFUNCTION("""COMPUTED_VALUE"""),"XC_SEC_Futbol_F")</f>
        <v>XC_SEC_Futbol_F</v>
      </c>
      <c r="BU779" s="6" t="str">
        <f>IFERROR(__xludf.DUMMYFUNCTION("""COMPUTED_VALUE"""),"SI")</f>
        <v>SI</v>
      </c>
      <c r="BV779" s="6" t="str">
        <f>IFERROR(__xludf.DUMMYFUNCTION("""COMPUTED_VALUE"""),"luciana.d2027")</f>
        <v>luciana.d2027</v>
      </c>
      <c r="BW779" s="6"/>
      <c r="BX779" s="6"/>
      <c r="BY779" s="6"/>
      <c r="BZ779" s="6"/>
    </row>
    <row r="780">
      <c r="A780" s="12">
        <f>IFERROR(__xludf.DUMMYFUNCTION("""COMPUTED_VALUE"""),1.034995571E9)</f>
        <v>1034995571</v>
      </c>
      <c r="B780" s="6">
        <f>IFERROR(__xludf.DUMMYFUNCTION("""COMPUTED_VALUE"""),14.0)</f>
        <v>14</v>
      </c>
      <c r="C780" s="6" t="str">
        <f>IFERROR(__xludf.DUMMYFUNCTION("""COMPUTED_VALUE"""),"Rosario")</f>
        <v>Rosario</v>
      </c>
      <c r="D780" s="6"/>
      <c r="E780" s="6" t="str">
        <f>IFERROR(__xludf.DUMMYFUNCTION("""COMPUTED_VALUE"""),"Estrada Castaño")</f>
        <v>Estrada Castaño</v>
      </c>
      <c r="F780" s="6" t="str">
        <f>IFERROR(__xludf.DUMMYFUNCTION("""COMPUTED_VALUE"""),"Apartamentos Terra Torre 3 Apto 1502 - Cra 10 No11Nte - 05 La Castellana")</f>
        <v>Apartamentos Terra Torre 3 Apto 1502 - Cra 10 No11Nte - 05 La Castellana</v>
      </c>
      <c r="G780" s="12" t="str">
        <f>IFERROR(__xludf.DUMMYFUNCTION("""COMPUTED_VALUE"""),"2009")</f>
        <v>2009</v>
      </c>
      <c r="H780" s="6" t="str">
        <f>IFERROR(__xludf.DUMMYFUNCTION("""COMPUTED_VALUE"""),"Diciembre")</f>
        <v>Diciembre</v>
      </c>
      <c r="I780" s="12" t="str">
        <f>IFERROR(__xludf.DUMMYFUNCTION("""COMPUTED_VALUE"""),"21")</f>
        <v>21</v>
      </c>
      <c r="J780" s="6" t="str">
        <f>IFERROR(__xludf.DUMMYFUNCTION("""COMPUTED_VALUE"""),"Medellín")</f>
        <v>Medellín</v>
      </c>
      <c r="K780" s="6" t="str">
        <f>IFERROR(__xludf.DUMMYFUNCTION("""COMPUTED_VALUE"""),"rosario.e2027@gi.edu.co")</f>
        <v>rosario.e2027@gi.edu.co</v>
      </c>
      <c r="L780" s="6" t="str">
        <f>IFERROR(__xludf.DUMMYFUNCTION("""COMPUTED_VALUE"""),"TI")</f>
        <v>TI</v>
      </c>
      <c r="M780" s="6" t="str">
        <f>IFERROR(__xludf.DUMMYFUNCTION("""COMPUTED_VALUE"""),"Armenia")</f>
        <v>Armenia</v>
      </c>
      <c r="N780" s="6" t="str">
        <f>IFERROR(__xludf.DUMMYFUNCTION("""COMPUTED_VALUE"""),"F")</f>
        <v>F</v>
      </c>
      <c r="O780" s="6" t="str">
        <f>IFERROR(__xludf.DUMMYFUNCTION("""COMPUTED_VALUE"""),"ACTIVE")</f>
        <v>ACTIVE</v>
      </c>
      <c r="P780" s="6"/>
      <c r="Q780" s="6" t="str">
        <f>IFERROR(__xludf.DUMMYFUNCTION("""COMPUTED_VALUE"""),"Armenia")</f>
        <v>Armenia</v>
      </c>
      <c r="R780" s="12" t="str">
        <f>IFERROR(__xludf.DUMMYFUNCTION("""COMPUTED_VALUE"""),"Gi12c72439*")</f>
        <v>Gi12c72439*</v>
      </c>
      <c r="S780" s="6" t="str">
        <f>IFERROR(__xludf.DUMMYFUNCTION("""COMPUTED_VALUE"""),"Estrada Castaño Rosario ")</f>
        <v>Estrada Castaño Rosario </v>
      </c>
      <c r="T780" s="6" t="str">
        <f>IFERROR(__xludf.DUMMYFUNCTION("""COMPUTED_VALUE"""),"ARMENIA HOTEL S.A.S.")</f>
        <v>ARMENIA HOTEL S.A.S.</v>
      </c>
      <c r="U780" s="12" t="str">
        <f>IFERROR(__xludf.DUMMYFUNCTION("""COMPUTED_VALUE"""),"801003278")</f>
        <v>801003278</v>
      </c>
      <c r="V780" s="6">
        <f>IFERROR(__xludf.DUMMYFUNCTION("""COMPUTED_VALUE"""),3.206969115E9)</f>
        <v>3206969115</v>
      </c>
      <c r="W780" s="6" t="str">
        <f>IFERROR(__xludf.DUMMYFUNCTION("""COMPUTED_VALUE"""),"contabilidad@armeniahotel.co")</f>
        <v>contabilidad@armeniahotel.co</v>
      </c>
      <c r="X780" s="12" t="str">
        <f>IFERROR(__xludf.DUMMYFUNCTION("""COMPUTED_VALUE"""),"O-")</f>
        <v>O-</v>
      </c>
      <c r="Y780" s="12" t="str">
        <f>IFERROR(__xludf.DUMMYFUNCTION("""COMPUTED_VALUE"""),"12")</f>
        <v>12</v>
      </c>
      <c r="Z780" s="12">
        <f>IFERROR(__xludf.DUMMYFUNCTION("""COMPUTED_VALUE"""),102057.0)</f>
        <v>102057</v>
      </c>
      <c r="AA780" s="6" t="str">
        <f>IFERROR(__xludf.DUMMYFUNCTION("""COMPUTED_VALUE"""),"SURA")</f>
        <v>SURA</v>
      </c>
      <c r="AB780" s="6" t="str">
        <f>IFERROR(__xludf.DUMMYFUNCTION("""COMPUTED_VALUE"""),"Póliza SURA Clásica")</f>
        <v>Póliza SURA Clásica</v>
      </c>
      <c r="AC780" s="6"/>
      <c r="AD780" s="12" t="str">
        <f>IFERROR(__xludf.DUMMYFUNCTION("""COMPUTED_VALUE"""),"12")</f>
        <v>12</v>
      </c>
      <c r="AE780" s="12">
        <f>IFERROR(__xludf.DUMMYFUNCTION("""COMPUTED_VALUE"""),1.34528131E9)</f>
        <v>1345281310</v>
      </c>
      <c r="AF780" s="12" t="str">
        <f>IFERROR(__xludf.DUMMYFUNCTION("""COMPUTED_VALUE"""),"0722862323")</f>
        <v>0722862323</v>
      </c>
      <c r="AG780" s="12" t="str">
        <f>IFERROR(__xludf.DUMMYFUNCTION("""COMPUTED_VALUE"""),"Marcela")</f>
        <v>Marcela</v>
      </c>
      <c r="AH780" s="6"/>
      <c r="AI780" s="6" t="str">
        <f>IFERROR(__xludf.DUMMYFUNCTION("""COMPUTED_VALUE"""),"Castaño Velásquez")</f>
        <v>Castaño Velásquez</v>
      </c>
      <c r="AJ780" s="6" t="str">
        <f>IFERROR(__xludf.DUMMYFUNCTION("""COMPUTED_VALUE"""),"macave10@gmail.com")</f>
        <v>macave10@gmail.com</v>
      </c>
      <c r="AK780" s="6" t="str">
        <f>IFERROR(__xludf.DUMMYFUNCTION("""COMPUTED_VALUE"""),"Administrador de negocios")</f>
        <v>Administrador de negocios</v>
      </c>
      <c r="AL780" s="6" t="str">
        <f>IFERROR(__xludf.DUMMYFUNCTION("""COMPUTED_VALUE"""),"Constructora centenario")</f>
        <v>Constructora centenario</v>
      </c>
      <c r="AM780" s="12" t="str">
        <f>IFERROR(__xludf.DUMMYFUNCTION("""COMPUTED_VALUE"""),"41951115")</f>
        <v>41951115</v>
      </c>
      <c r="AN780" s="12" t="str">
        <f>IFERROR(__xludf.DUMMYFUNCTION("""COMPUTED_VALUE"""),"3104598536")</f>
        <v>3104598536</v>
      </c>
      <c r="AO780" s="6" t="str">
        <f>IFERROR(__xludf.DUMMYFUNCTION("""COMPUTED_VALUE"""),"Madre")</f>
        <v>Madre</v>
      </c>
      <c r="AP780" s="6" t="str">
        <f>IFERROR(__xludf.DUMMYFUNCTION("""COMPUTED_VALUE"""),"Estudiante(s): Estrada Castaño")</f>
        <v>Estudiante(s): Estrada Castaño</v>
      </c>
      <c r="AQ780" s="6" t="str">
        <f>IFERROR(__xludf.DUMMYFUNCTION("""COMPUTED_VALUE"""),"103040*Gi")</f>
        <v>103040*Gi</v>
      </c>
      <c r="AR780" s="6" t="str">
        <f>IFERROR(__xludf.DUMMYFUNCTION("""COMPUTED_VALUE"""),"Andrés")</f>
        <v>Andrés</v>
      </c>
      <c r="AS780" s="6"/>
      <c r="AT780" s="6" t="str">
        <f>IFERROR(__xludf.DUMMYFUNCTION("""COMPUTED_VALUE"""),"Estrada Escobar")</f>
        <v>Estrada Escobar</v>
      </c>
      <c r="AU780" s="6" t="str">
        <f>IFERROR(__xludf.DUMMYFUNCTION("""COMPUTED_VALUE"""),"aestradae@yahoo.com")</f>
        <v>aestradae@yahoo.com</v>
      </c>
      <c r="AV780" s="6" t="str">
        <f>IFERROR(__xludf.DUMMYFUNCTION("""COMPUTED_VALUE"""),"Administrador de Negocios")</f>
        <v>Administrador de Negocios</v>
      </c>
      <c r="AW780" s="6" t="str">
        <f>IFERROR(__xludf.DUMMYFUNCTION("""COMPUTED_VALUE"""),"Armenia Hotel")</f>
        <v>Armenia Hotel</v>
      </c>
      <c r="AX780" s="12" t="str">
        <f>IFERROR(__xludf.DUMMYFUNCTION("""COMPUTED_VALUE"""),"98667468")</f>
        <v>98667468</v>
      </c>
      <c r="AY780" s="12" t="str">
        <f>IFERROR(__xludf.DUMMYFUNCTION("""COMPUTED_VALUE"""),"3104598533")</f>
        <v>3104598533</v>
      </c>
      <c r="AZ780" s="6" t="str">
        <f>IFERROR(__xludf.DUMMYFUNCTION("""COMPUTED_VALUE"""),"Padre")</f>
        <v>Padre</v>
      </c>
      <c r="BA780" s="6"/>
      <c r="BB780" s="6"/>
      <c r="BC780" s="6"/>
      <c r="BD780" s="12" t="str">
        <f>IFERROR(__xludf.DUMMYFUNCTION("""COMPUTED_VALUE"""),"est0002")</f>
        <v>est0002</v>
      </c>
      <c r="BE780" s="6"/>
      <c r="BF780" s="6"/>
      <c r="BG780" s="6">
        <f>IFERROR(__xludf.DUMMYFUNCTION("""COMPUTED_VALUE"""),2027.0)</f>
        <v>2027</v>
      </c>
      <c r="BH780" s="15">
        <f>IFERROR(__xludf.DUMMYFUNCTION("""COMPUTED_VALUE"""),46211.40777777778)</f>
        <v>46211.40778</v>
      </c>
      <c r="BI780" s="6">
        <f>IFERROR(__xludf.DUMMYFUNCTION("""COMPUTED_VALUE"""),781.0)</f>
        <v>781</v>
      </c>
      <c r="BJ780" s="6"/>
      <c r="BK780" s="6"/>
      <c r="BL780" s="6" t="str">
        <f>IFERROR(__xludf.DUMMYFUNCTION("""COMPUTED_VALUE"""),"GISEST0002")</f>
        <v>GISEST0002</v>
      </c>
      <c r="BM780" s="6"/>
      <c r="BN780" s="6"/>
      <c r="BO780" s="6" t="str">
        <f>IFERROR(__xludf.DUMMYFUNCTION("""COMPUTED_VALUE"""),"XC_HS_Voleibol_F")</f>
        <v>XC_HS_Voleibol_F</v>
      </c>
      <c r="BP780" s="6"/>
      <c r="BQ780" s="6" t="str">
        <f>IFERROR(__xludf.DUMMYFUNCTION("""COMPUTED_VALUE"""),"XC_HS_Voleibol_F")</f>
        <v>XC_HS_Voleibol_F</v>
      </c>
      <c r="BR780" s="6" t="str">
        <f>IFERROR(__xludf.DUMMYFUNCTION("""COMPUTED_VALUE"""),"XC_HS_Voleibol_F")</f>
        <v>XC_HS_Voleibol_F</v>
      </c>
      <c r="BS780" s="6"/>
      <c r="BT780" s="6" t="str">
        <f>IFERROR(__xludf.DUMMYFUNCTION("""COMPUTED_VALUE"""),"XC_HS_Voleibol_F")</f>
        <v>XC_HS_Voleibol_F</v>
      </c>
      <c r="BU780" s="6" t="str">
        <f>IFERROR(__xludf.DUMMYFUNCTION("""COMPUTED_VALUE"""),"NO")</f>
        <v>NO</v>
      </c>
      <c r="BV780" s="6" t="str">
        <f>IFERROR(__xludf.DUMMYFUNCTION("""COMPUTED_VALUE"""),"rosario.e2027")</f>
        <v>rosario.e2027</v>
      </c>
      <c r="BW780" s="6"/>
      <c r="BX780" s="6"/>
      <c r="BY780" s="6"/>
      <c r="BZ780" s="6"/>
    </row>
    <row r="781">
      <c r="A781" s="12">
        <f>IFERROR(__xludf.DUMMYFUNCTION("""COMPUTED_VALUE"""),1.090276542E9)</f>
        <v>1090276542</v>
      </c>
      <c r="B781" s="6">
        <f>IFERROR(__xludf.DUMMYFUNCTION("""COMPUTED_VALUE"""),15.0)</f>
        <v>15</v>
      </c>
      <c r="C781" s="6" t="str">
        <f>IFERROR(__xludf.DUMMYFUNCTION("""COMPUTED_VALUE"""),"José")</f>
        <v>José</v>
      </c>
      <c r="D781" s="6" t="str">
        <f>IFERROR(__xludf.DUMMYFUNCTION("""COMPUTED_VALUE"""),"Pablo")</f>
        <v>Pablo</v>
      </c>
      <c r="E781" s="6" t="str">
        <f>IFERROR(__xludf.DUMMYFUNCTION("""COMPUTED_VALUE"""),"Flórez Trujillo")</f>
        <v>Flórez Trujillo</v>
      </c>
      <c r="F781" s="6" t="str">
        <f>IFERROR(__xludf.DUMMYFUNCTION("""COMPUTED_VALUE"""),"Guaduales del Eden Vía a La Tebaida")</f>
        <v>Guaduales del Eden Vía a La Tebaida</v>
      </c>
      <c r="G781" s="12" t="str">
        <f>IFERROR(__xludf.DUMMYFUNCTION("""COMPUTED_VALUE"""),"2010")</f>
        <v>2010</v>
      </c>
      <c r="H781" s="6" t="str">
        <f>IFERROR(__xludf.DUMMYFUNCTION("""COMPUTED_VALUE"""),"Marzo")</f>
        <v>Marzo</v>
      </c>
      <c r="I781" s="12" t="str">
        <f>IFERROR(__xludf.DUMMYFUNCTION("""COMPUTED_VALUE"""),"7")</f>
        <v>7</v>
      </c>
      <c r="J781" s="6" t="str">
        <f>IFERROR(__xludf.DUMMYFUNCTION("""COMPUTED_VALUE"""),"Armenia")</f>
        <v>Armenia</v>
      </c>
      <c r="K781" s="6" t="str">
        <f>IFERROR(__xludf.DUMMYFUNCTION("""COMPUTED_VALUE"""),"josep.f2027@gi.edu.co")</f>
        <v>josep.f2027@gi.edu.co</v>
      </c>
      <c r="L781" s="6" t="str">
        <f>IFERROR(__xludf.DUMMYFUNCTION("""COMPUTED_VALUE"""),"TI")</f>
        <v>TI</v>
      </c>
      <c r="M781" s="6" t="str">
        <f>IFERROR(__xludf.DUMMYFUNCTION("""COMPUTED_VALUE"""),"Armenia")</f>
        <v>Armenia</v>
      </c>
      <c r="N781" s="6" t="str">
        <f>IFERROR(__xludf.DUMMYFUNCTION("""COMPUTED_VALUE"""),"M")</f>
        <v>M</v>
      </c>
      <c r="O781" s="6" t="str">
        <f>IFERROR(__xludf.DUMMYFUNCTION("""COMPUTED_VALUE"""),"INACTIVE")</f>
        <v>INACTIVE</v>
      </c>
      <c r="P781" s="6"/>
      <c r="Q781" s="6" t="str">
        <f>IFERROR(__xludf.DUMMYFUNCTION("""COMPUTED_VALUE"""),"Armenia")</f>
        <v>Armenia</v>
      </c>
      <c r="R781" s="12" t="str">
        <f>IFERROR(__xludf.DUMMYFUNCTION("""COMPUTED_VALUE"""),"Gigtfrd321*")</f>
        <v>Gigtfrd321*</v>
      </c>
      <c r="S781" s="6" t="str">
        <f>IFERROR(__xludf.DUMMYFUNCTION("""COMPUTED_VALUE"""),"Flórez Trujillo José Pablo")</f>
        <v>Flórez Trujillo José Pablo</v>
      </c>
      <c r="T781" s="6" t="str">
        <f>IFERROR(__xludf.DUMMYFUNCTION("""COMPUTED_VALUE"""),"CARLOS JAVIER FLÓREZ PARRA")</f>
        <v>CARLOS JAVIER FLÓREZ PARRA</v>
      </c>
      <c r="U781" s="12" t="str">
        <f>IFERROR(__xludf.DUMMYFUNCTION("""COMPUTED_VALUE"""),"79349485")</f>
        <v>79349485</v>
      </c>
      <c r="V781" s="6">
        <f>IFERROR(__xludf.DUMMYFUNCTION("""COMPUTED_VALUE"""),3.186230144E9)</f>
        <v>3186230144</v>
      </c>
      <c r="W781" s="6" t="str">
        <f>IFERROR(__xludf.DUMMYFUNCTION("""COMPUTED_VALUE"""),"javierflorezmd@gmail.com")</f>
        <v>javierflorezmd@gmail.com</v>
      </c>
      <c r="X781" s="12" t="str">
        <f>IFERROR(__xludf.DUMMYFUNCTION("""COMPUTED_VALUE"""),"B+")</f>
        <v>B+</v>
      </c>
      <c r="Y781" s="12" t="str">
        <f>IFERROR(__xludf.DUMMYFUNCTION("""COMPUTED_VALUE"""),"12")</f>
        <v>12</v>
      </c>
      <c r="Z781" s="12" t="str">
        <f>IFERROR(__xludf.DUMMYFUNCTION("""COMPUTED_VALUE"""),"103204")</f>
        <v>103204</v>
      </c>
      <c r="AA781" s="6" t="str">
        <f>IFERROR(__xludf.DUMMYFUNCTION("""COMPUTED_VALUE"""),"SURA")</f>
        <v>SURA</v>
      </c>
      <c r="AB781" s="6"/>
      <c r="AC781" s="6"/>
      <c r="AD781" s="12" t="str">
        <f>IFERROR(__xludf.DUMMYFUNCTION("""COMPUTED_VALUE"""),"12")</f>
        <v>12</v>
      </c>
      <c r="AE781" s="12">
        <f>IFERROR(__xludf.DUMMYFUNCTION("""COMPUTED_VALUE"""),1.345281564E9)</f>
        <v>1345281564</v>
      </c>
      <c r="AF781" s="12" t="str">
        <f>IFERROR(__xludf.DUMMYFUNCTION("""COMPUTED_VALUE"""),"0668779427")</f>
        <v>0668779427</v>
      </c>
      <c r="AG781" s="12" t="str">
        <f>IFERROR(__xludf.DUMMYFUNCTION("""COMPUTED_VALUE"""),"Laura")</f>
        <v>Laura</v>
      </c>
      <c r="AH781" s="12" t="str">
        <f>IFERROR(__xludf.DUMMYFUNCTION("""COMPUTED_VALUE"""),"María Del Pilar")</f>
        <v>María Del Pilar</v>
      </c>
      <c r="AI781" s="6" t="str">
        <f>IFERROR(__xludf.DUMMYFUNCTION("""COMPUTED_VALUE"""),"Trujillo Cadena")</f>
        <v>Trujillo Cadena</v>
      </c>
      <c r="AJ781" s="6" t="str">
        <f>IFERROR(__xludf.DUMMYFUNCTION("""COMPUTED_VALUE"""),"lauramdelpilar@gmail.com")</f>
        <v>lauramdelpilar@gmail.com</v>
      </c>
      <c r="AK781" s="6" t="str">
        <f>IFERROR(__xludf.DUMMYFUNCTION("""COMPUTED_VALUE"""),"Administradora de empresas")</f>
        <v>Administradora de empresas</v>
      </c>
      <c r="AL781" s="6" t="str">
        <f>IFERROR(__xludf.DUMMYFUNCTION("""COMPUTED_VALUE"""),"LaFiore Centro de Estética")</f>
        <v>LaFiore Centro de Estética</v>
      </c>
      <c r="AM781" s="12" t="str">
        <f>IFERROR(__xludf.DUMMYFUNCTION("""COMPUTED_VALUE"""),"52914389")</f>
        <v>52914389</v>
      </c>
      <c r="AN781" s="12" t="str">
        <f>IFERROR(__xludf.DUMMYFUNCTION("""COMPUTED_VALUE"""),"3183934649")</f>
        <v>3183934649</v>
      </c>
      <c r="AO781" s="6" t="str">
        <f>IFERROR(__xludf.DUMMYFUNCTION("""COMPUTED_VALUE"""),"Madre")</f>
        <v>Madre</v>
      </c>
      <c r="AP781" s="6" t="str">
        <f>IFERROR(__xludf.DUMMYFUNCTION("""COMPUTED_VALUE"""),"Estudiante(s): Flórez Trujillo")</f>
        <v>Estudiante(s): Flórez Trujillo</v>
      </c>
      <c r="AQ781" s="6" t="str">
        <f>IFERROR(__xludf.DUMMYFUNCTION("""COMPUTED_VALUE"""),"103204*Gi")</f>
        <v>103204*Gi</v>
      </c>
      <c r="AR781" s="6" t="str">
        <f>IFERROR(__xludf.DUMMYFUNCTION("""COMPUTED_VALUE"""),"Carlos")</f>
        <v>Carlos</v>
      </c>
      <c r="AS781" s="6" t="str">
        <f>IFERROR(__xludf.DUMMYFUNCTION("""COMPUTED_VALUE"""),"Javier")</f>
        <v>Javier</v>
      </c>
      <c r="AT781" s="6" t="str">
        <f>IFERROR(__xludf.DUMMYFUNCTION("""COMPUTED_VALUE"""),"Flórez Parra")</f>
        <v>Flórez Parra</v>
      </c>
      <c r="AU781" s="6" t="str">
        <f>IFERROR(__xludf.DUMMYFUNCTION("""COMPUTED_VALUE"""),"javierflorezmd@gmail.com")</f>
        <v>javierflorezmd@gmail.com</v>
      </c>
      <c r="AV781" s="6" t="str">
        <f>IFERROR(__xludf.DUMMYFUNCTION("""COMPUTED_VALUE"""),"MEDICO")</f>
        <v>MEDICO</v>
      </c>
      <c r="AW781" s="6" t="str">
        <f>IFERROR(__xludf.DUMMYFUNCTION("""COMPUTED_VALUE"""),"DR FLOREZ")</f>
        <v>DR FLOREZ</v>
      </c>
      <c r="AX781" s="12" t="str">
        <f>IFERROR(__xludf.DUMMYFUNCTION("""COMPUTED_VALUE"""),"79349485")</f>
        <v>79349485</v>
      </c>
      <c r="AY781" s="12" t="str">
        <f>IFERROR(__xludf.DUMMYFUNCTION("""COMPUTED_VALUE"""),"3186230144")</f>
        <v>3186230144</v>
      </c>
      <c r="AZ781" s="6" t="str">
        <f>IFERROR(__xludf.DUMMYFUNCTION("""COMPUTED_VALUE"""),"Padre")</f>
        <v>Padre</v>
      </c>
      <c r="BA781" s="6"/>
      <c r="BB781" s="6"/>
      <c r="BC781" s="6"/>
      <c r="BD781" s="12" t="str">
        <f>IFERROR(__xludf.DUMMYFUNCTION("""COMPUTED_VALUE"""),"flr0005")</f>
        <v>flr0005</v>
      </c>
      <c r="BE781" s="6" t="str">
        <f>IFERROR(__xludf.DUMMYFUNCTION("""COMPUTED_VALUE"""),"FALTAN FIRMAS")</f>
        <v>FALTAN FIRMAS</v>
      </c>
      <c r="BF781" s="6"/>
      <c r="BG781" s="6">
        <f>IFERROR(__xludf.DUMMYFUNCTION("""COMPUTED_VALUE"""),2027.0)</f>
        <v>2027</v>
      </c>
      <c r="BH781" s="15">
        <f>IFERROR(__xludf.DUMMYFUNCTION("""COMPUTED_VALUE"""),46211.653958333336)</f>
        <v>46211.65396</v>
      </c>
      <c r="BI781" s="6">
        <f>IFERROR(__xludf.DUMMYFUNCTION("""COMPUTED_VALUE"""),782.0)</f>
        <v>782</v>
      </c>
      <c r="BJ781" s="6"/>
      <c r="BK781" s="6"/>
      <c r="BL781" s="6" t="str">
        <f>IFERROR(__xludf.DUMMYFUNCTION("""COMPUTED_VALUE"""),"GISFLR0005")</f>
        <v>GISFLR0005</v>
      </c>
      <c r="BM781" s="6"/>
      <c r="BN781" s="6"/>
      <c r="BO781" s="6"/>
      <c r="BP781" s="6"/>
      <c r="BQ781" s="6"/>
      <c r="BR781" s="6"/>
      <c r="BS781" s="6"/>
      <c r="BT781" s="6"/>
      <c r="BU781" s="6" t="str">
        <f>IFERROR(__xludf.DUMMYFUNCTION("""COMPUTED_VALUE"""),"SI")</f>
        <v>SI</v>
      </c>
      <c r="BV781" s="6" t="str">
        <f>IFERROR(__xludf.DUMMYFUNCTION("""COMPUTED_VALUE"""),"josep.f2027")</f>
        <v>josep.f2027</v>
      </c>
      <c r="BW781" s="6"/>
      <c r="BX781" s="6"/>
      <c r="BY781" s="6"/>
      <c r="BZ781" s="6"/>
    </row>
    <row r="782">
      <c r="A782" s="12">
        <f>IFERROR(__xludf.DUMMYFUNCTION("""COMPUTED_VALUE"""),1.092460279E9)</f>
        <v>1092460279</v>
      </c>
      <c r="B782" s="6">
        <f>IFERROR(__xludf.DUMMYFUNCTION("""COMPUTED_VALUE"""),16.0)</f>
        <v>16</v>
      </c>
      <c r="C782" s="6" t="str">
        <f>IFERROR(__xludf.DUMMYFUNCTION("""COMPUTED_VALUE"""),"María")</f>
        <v>María</v>
      </c>
      <c r="D782" s="6" t="str">
        <f>IFERROR(__xludf.DUMMYFUNCTION("""COMPUTED_VALUE"""),"Kamila")</f>
        <v>Kamila</v>
      </c>
      <c r="E782" s="6" t="str">
        <f>IFERROR(__xludf.DUMMYFUNCTION("""COMPUTED_VALUE"""),"Garcera Valencia")</f>
        <v>Garcera Valencia</v>
      </c>
      <c r="F782" s="6" t="str">
        <f>IFERROR(__xludf.DUMMYFUNCTION("""COMPUTED_VALUE"""),"Quintas de San Sebastian Casa 29 - Cra 11 No22Nte - 36 COINCA")</f>
        <v>Quintas de San Sebastian Casa 29 - Cra 11 No22Nte - 36 COINCA</v>
      </c>
      <c r="G782" s="12" t="str">
        <f>IFERROR(__xludf.DUMMYFUNCTION("""COMPUTED_VALUE"""),"2009")</f>
        <v>2009</v>
      </c>
      <c r="H782" s="6" t="str">
        <f>IFERROR(__xludf.DUMMYFUNCTION("""COMPUTED_VALUE"""),"Octubre")</f>
        <v>Octubre</v>
      </c>
      <c r="I782" s="12" t="str">
        <f>IFERROR(__xludf.DUMMYFUNCTION("""COMPUTED_VALUE"""),"20")</f>
        <v>20</v>
      </c>
      <c r="J782" s="6" t="str">
        <f>IFERROR(__xludf.DUMMYFUNCTION("""COMPUTED_VALUE"""),"Armenia")</f>
        <v>Armenia</v>
      </c>
      <c r="K782" s="6" t="str">
        <f>IFERROR(__xludf.DUMMYFUNCTION("""COMPUTED_VALUE"""),"mariac.g2027@gi.edu.co")</f>
        <v>mariac.g2027@gi.edu.co</v>
      </c>
      <c r="L782" s="6" t="str">
        <f>IFERROR(__xludf.DUMMYFUNCTION("""COMPUTED_VALUE"""),"TI")</f>
        <v>TI</v>
      </c>
      <c r="M782" s="6" t="str">
        <f>IFERROR(__xludf.DUMMYFUNCTION("""COMPUTED_VALUE"""),"Armenia")</f>
        <v>Armenia</v>
      </c>
      <c r="N782" s="6" t="str">
        <f>IFERROR(__xludf.DUMMYFUNCTION("""COMPUTED_VALUE"""),"F")</f>
        <v>F</v>
      </c>
      <c r="O782" s="6" t="str">
        <f>IFERROR(__xludf.DUMMYFUNCTION("""COMPUTED_VALUE"""),"ACTIVE")</f>
        <v>ACTIVE</v>
      </c>
      <c r="P782" s="6"/>
      <c r="Q782" s="6" t="str">
        <f>IFERROR(__xludf.DUMMYFUNCTION("""COMPUTED_VALUE"""),"Armenia")</f>
        <v>Armenia</v>
      </c>
      <c r="R782" s="12" t="str">
        <f>IFERROR(__xludf.DUMMYFUNCTION("""COMPUTED_VALUE"""),"Gi6457gut8*")</f>
        <v>Gi6457gut8*</v>
      </c>
      <c r="S782" s="6" t="str">
        <f>IFERROR(__xludf.DUMMYFUNCTION("""COMPUTED_VALUE"""),"Garcera Valencia María Kamila")</f>
        <v>Garcera Valencia María Kamila</v>
      </c>
      <c r="T782" s="6" t="str">
        <f>IFERROR(__xludf.DUMMYFUNCTION("""COMPUTED_VALUE"""),"HERNAN CRUZ HENAO")</f>
        <v>HERNAN CRUZ HENAO</v>
      </c>
      <c r="U782" s="12" t="str">
        <f>IFERROR(__xludf.DUMMYFUNCTION("""COMPUTED_VALUE"""),"19107087")</f>
        <v>19107087</v>
      </c>
      <c r="V782" s="6">
        <f>IFERROR(__xludf.DUMMYFUNCTION("""COMPUTED_VALUE"""),3.108255977E9)</f>
        <v>3108255977</v>
      </c>
      <c r="W782" s="6" t="str">
        <f>IFERROR(__xludf.DUMMYFUNCTION("""COMPUTED_VALUE"""),"hernancruzhenao@hotmail.com")</f>
        <v>hernancruzhenao@hotmail.com</v>
      </c>
      <c r="X782" s="12" t="str">
        <f>IFERROR(__xludf.DUMMYFUNCTION("""COMPUTED_VALUE"""),"O+")</f>
        <v>O+</v>
      </c>
      <c r="Y782" s="12" t="str">
        <f>IFERROR(__xludf.DUMMYFUNCTION("""COMPUTED_VALUE"""),"12")</f>
        <v>12</v>
      </c>
      <c r="Z782" s="12">
        <f>IFERROR(__xludf.DUMMYFUNCTION("""COMPUTED_VALUE"""),103132.0)</f>
        <v>103132</v>
      </c>
      <c r="AA782" s="6" t="str">
        <f>IFERROR(__xludf.DUMMYFUNCTION("""COMPUTED_VALUE"""),"SURA")</f>
        <v>SURA</v>
      </c>
      <c r="AB782" s="6"/>
      <c r="AC782" s="6"/>
      <c r="AD782" s="12" t="str">
        <f>IFERROR(__xludf.DUMMYFUNCTION("""COMPUTED_VALUE"""),"12")</f>
        <v>12</v>
      </c>
      <c r="AE782" s="12">
        <f>IFERROR(__xludf.DUMMYFUNCTION("""COMPUTED_VALUE"""),1.345281535E9)</f>
        <v>1345281535</v>
      </c>
      <c r="AF782" s="12" t="str">
        <f>IFERROR(__xludf.DUMMYFUNCTION("""COMPUTED_VALUE"""),"0708436883")</f>
        <v>0708436883</v>
      </c>
      <c r="AG782" s="12" t="str">
        <f>IFERROR(__xludf.DUMMYFUNCTION("""COMPUTED_VALUE"""),"Luz")</f>
        <v>Luz</v>
      </c>
      <c r="AH782" s="12" t="str">
        <f>IFERROR(__xludf.DUMMYFUNCTION("""COMPUTED_VALUE"""),"Elena")</f>
        <v>Elena</v>
      </c>
      <c r="AI782" s="6" t="str">
        <f>IFERROR(__xludf.DUMMYFUNCTION("""COMPUTED_VALUE"""),"Valencia Ángel")</f>
        <v>Valencia Ángel</v>
      </c>
      <c r="AJ782" s="6" t="str">
        <f>IFERROR(__xludf.DUMMYFUNCTION("""COMPUTED_VALUE"""),"luzelenavalencia85@gmail.com")</f>
        <v>luzelenavalencia85@gmail.com</v>
      </c>
      <c r="AK782" s="6" t="str">
        <f>IFERROR(__xludf.DUMMYFUNCTION("""COMPUTED_VALUE"""),"Abogada")</f>
        <v>Abogada</v>
      </c>
      <c r="AL782" s="6" t="str">
        <f>IFERROR(__xludf.DUMMYFUNCTION("""COMPUTED_VALUE"""),"Alcaldia")</f>
        <v>Alcaldia</v>
      </c>
      <c r="AM782" s="12" t="str">
        <f>IFERROR(__xludf.DUMMYFUNCTION("""COMPUTED_VALUE"""),"24603670")</f>
        <v>24603670</v>
      </c>
      <c r="AN782" s="12" t="str">
        <f>IFERROR(__xludf.DUMMYFUNCTION("""COMPUTED_VALUE"""),"3218978307")</f>
        <v>3218978307</v>
      </c>
      <c r="AO782" s="6" t="str">
        <f>IFERROR(__xludf.DUMMYFUNCTION("""COMPUTED_VALUE"""),"Madre")</f>
        <v>Madre</v>
      </c>
      <c r="AP782" s="6" t="str">
        <f>IFERROR(__xludf.DUMMYFUNCTION("""COMPUTED_VALUE"""),"Estudiante(s): Garcera Valencia")</f>
        <v>Estudiante(s): Garcera Valencia</v>
      </c>
      <c r="AQ782" s="6" t="str">
        <f>IFERROR(__xludf.DUMMYFUNCTION("""COMPUTED_VALUE"""),"103132*Gi")</f>
        <v>103132*Gi</v>
      </c>
      <c r="AR782" s="6" t="str">
        <f>IFERROR(__xludf.DUMMYFUNCTION("""COMPUTED_VALUE"""),"Hernán")</f>
        <v>Hernán</v>
      </c>
      <c r="AS782" s="6"/>
      <c r="AT782" s="6" t="str">
        <f>IFERROR(__xludf.DUMMYFUNCTION("""COMPUTED_VALUE"""),"Cruz Henao")</f>
        <v>Cruz Henao</v>
      </c>
      <c r="AU782" s="6" t="str">
        <f>IFERROR(__xludf.DUMMYFUNCTION("""COMPUTED_VALUE"""),"hernancruzhenao@hotmail.com")</f>
        <v>hernancruzhenao@hotmail.com</v>
      </c>
      <c r="AV782" s="6"/>
      <c r="AW782" s="6"/>
      <c r="AX782" s="12" t="str">
        <f>IFERROR(__xludf.DUMMYFUNCTION("""COMPUTED_VALUE"""),"19107087")</f>
        <v>19107087</v>
      </c>
      <c r="AY782" s="12" t="str">
        <f>IFERROR(__xludf.DUMMYFUNCTION("""COMPUTED_VALUE"""),"3108255977")</f>
        <v>3108255977</v>
      </c>
      <c r="AZ782" s="6" t="str">
        <f>IFERROR(__xludf.DUMMYFUNCTION("""COMPUTED_VALUE"""),"Padre")</f>
        <v>Padre</v>
      </c>
      <c r="BA782" s="6"/>
      <c r="BB782" s="6"/>
      <c r="BC782" s="6"/>
      <c r="BD782" s="12" t="str">
        <f>IFERROR(__xludf.DUMMYFUNCTION("""COMPUTED_VALUE"""),"gar0013")</f>
        <v>gar0013</v>
      </c>
      <c r="BE782" s="6"/>
      <c r="BF782" s="6"/>
      <c r="BG782" s="6">
        <f>IFERROR(__xludf.DUMMYFUNCTION("""COMPUTED_VALUE"""),2027.0)</f>
        <v>2027</v>
      </c>
      <c r="BH782" s="15">
        <f>IFERROR(__xludf.DUMMYFUNCTION("""COMPUTED_VALUE"""),46205.84915509259)</f>
        <v>46205.84916</v>
      </c>
      <c r="BI782" s="6">
        <f>IFERROR(__xludf.DUMMYFUNCTION("""COMPUTED_VALUE"""),783.0)</f>
        <v>783</v>
      </c>
      <c r="BJ782" s="6"/>
      <c r="BK782" s="6"/>
      <c r="BL782" s="6" t="str">
        <f>IFERROR(__xludf.DUMMYFUNCTION("""COMPUTED_VALUE"""),"GISGAR0013")</f>
        <v>GISGAR0013</v>
      </c>
      <c r="BM782" s="6"/>
      <c r="BN782" s="6"/>
      <c r="BO782" s="6" t="str">
        <f>IFERROR(__xludf.DUMMYFUNCTION("""COMPUTED_VALUE"""),"XC_SEC_Futbol_F")</f>
        <v>XC_SEC_Futbol_F</v>
      </c>
      <c r="BP782" s="6"/>
      <c r="BQ782" s="6" t="str">
        <f>IFERROR(__xludf.DUMMYFUNCTION("""COMPUTED_VALUE"""),"XC_SEC_Futbol_F")</f>
        <v>XC_SEC_Futbol_F</v>
      </c>
      <c r="BR782" s="6" t="str">
        <f>IFERROR(__xludf.DUMMYFUNCTION("""COMPUTED_VALUE"""),"XC_SEC_Futbol_F")</f>
        <v>XC_SEC_Futbol_F</v>
      </c>
      <c r="BS782" s="6"/>
      <c r="BT782" s="6" t="str">
        <f>IFERROR(__xludf.DUMMYFUNCTION("""COMPUTED_VALUE"""),"XC_SEC_Futbol_F")</f>
        <v>XC_SEC_Futbol_F</v>
      </c>
      <c r="BU782" s="6" t="str">
        <f>IFERROR(__xludf.DUMMYFUNCTION("""COMPUTED_VALUE"""),"SI")</f>
        <v>SI</v>
      </c>
      <c r="BV782" s="6" t="str">
        <f>IFERROR(__xludf.DUMMYFUNCTION("""COMPUTED_VALUE"""),"mariac.g2027")</f>
        <v>mariac.g2027</v>
      </c>
      <c r="BW782" s="6"/>
      <c r="BX782" s="6"/>
      <c r="BY782" s="6"/>
      <c r="BZ782" s="6"/>
    </row>
    <row r="783">
      <c r="A783" s="12">
        <f>IFERROR(__xludf.DUMMYFUNCTION("""COMPUTED_VALUE"""),1.092854176E9)</f>
        <v>1092854176</v>
      </c>
      <c r="B783" s="6">
        <f>IFERROR(__xludf.DUMMYFUNCTION("""COMPUTED_VALUE"""),17.0)</f>
        <v>17</v>
      </c>
      <c r="C783" s="6" t="str">
        <f>IFERROR(__xludf.DUMMYFUNCTION("""COMPUTED_VALUE"""),"Sofía")</f>
        <v>Sofía</v>
      </c>
      <c r="D783" s="6"/>
      <c r="E783" s="6" t="str">
        <f>IFERROR(__xludf.DUMMYFUNCTION("""COMPUTED_VALUE"""),"Gaspar Giraldo")</f>
        <v>Gaspar Giraldo</v>
      </c>
      <c r="F783" s="6" t="str">
        <f>IFERROR(__xludf.DUMMYFUNCTION("""COMPUTED_VALUE"""),"Calle 5 Nte No20 - 29")</f>
        <v>Calle 5 Nte No20 - 29</v>
      </c>
      <c r="G783" s="12" t="str">
        <f>IFERROR(__xludf.DUMMYFUNCTION("""COMPUTED_VALUE"""),"2009")</f>
        <v>2009</v>
      </c>
      <c r="H783" s="6" t="str">
        <f>IFERROR(__xludf.DUMMYFUNCTION("""COMPUTED_VALUE"""),"Junio")</f>
        <v>Junio</v>
      </c>
      <c r="I783" s="12" t="str">
        <f>IFERROR(__xludf.DUMMYFUNCTION("""COMPUTED_VALUE"""),"8")</f>
        <v>8</v>
      </c>
      <c r="J783" s="6" t="str">
        <f>IFERROR(__xludf.DUMMYFUNCTION("""COMPUTED_VALUE"""),"Armenia")</f>
        <v>Armenia</v>
      </c>
      <c r="K783" s="6" t="str">
        <f>IFERROR(__xludf.DUMMYFUNCTION("""COMPUTED_VALUE"""),"sofia.g2027@gi.edu.co")</f>
        <v>sofia.g2027@gi.edu.co</v>
      </c>
      <c r="L783" s="6" t="str">
        <f>IFERROR(__xludf.DUMMYFUNCTION("""COMPUTED_VALUE"""),"TI")</f>
        <v>TI</v>
      </c>
      <c r="M783" s="6" t="str">
        <f>IFERROR(__xludf.DUMMYFUNCTION("""COMPUTED_VALUE"""),"Armenia")</f>
        <v>Armenia</v>
      </c>
      <c r="N783" s="6" t="str">
        <f>IFERROR(__xludf.DUMMYFUNCTION("""COMPUTED_VALUE"""),"F")</f>
        <v>F</v>
      </c>
      <c r="O783" s="6" t="str">
        <f>IFERROR(__xludf.DUMMYFUNCTION("""COMPUTED_VALUE"""),"INACTIVE")</f>
        <v>INACTIVE</v>
      </c>
      <c r="P783" s="6"/>
      <c r="Q783" s="6" t="str">
        <f>IFERROR(__xludf.DUMMYFUNCTION("""COMPUTED_VALUE"""),"Armenia")</f>
        <v>Armenia</v>
      </c>
      <c r="R783" s="12" t="str">
        <f>IFERROR(__xludf.DUMMYFUNCTION("""COMPUTED_VALUE"""),"Gikjsad7ab*")</f>
        <v>Gikjsad7ab*</v>
      </c>
      <c r="S783" s="6" t="str">
        <f>IFERROR(__xludf.DUMMYFUNCTION("""COMPUTED_VALUE"""),"Gaspar Giraldo Sofía ")</f>
        <v>Gaspar Giraldo Sofía </v>
      </c>
      <c r="T783" s="6" t="str">
        <f>IFERROR(__xludf.DUMMYFUNCTION("""COMPUTED_VALUE"""),"EDUARDO GASPAR IJAJI")</f>
        <v>EDUARDO GASPAR IJAJI</v>
      </c>
      <c r="U783" s="12" t="str">
        <f>IFERROR(__xludf.DUMMYFUNCTION("""COMPUTED_VALUE"""),"89007238")</f>
        <v>89007238</v>
      </c>
      <c r="V783" s="6">
        <f>IFERROR(__xludf.DUMMYFUNCTION("""COMPUTED_VALUE"""),3.113897324E9)</f>
        <v>3113897324</v>
      </c>
      <c r="W783" s="6" t="str">
        <f>IFERROR(__xludf.DUMMYFUNCTION("""COMPUTED_VALUE"""),"eduardogaspar976@gmail.com")</f>
        <v>eduardogaspar976@gmail.com</v>
      </c>
      <c r="X783" s="12" t="str">
        <f>IFERROR(__xludf.DUMMYFUNCTION("""COMPUTED_VALUE"""),"O+")</f>
        <v>O+</v>
      </c>
      <c r="Y783" s="12" t="str">
        <f>IFERROR(__xludf.DUMMYFUNCTION("""COMPUTED_VALUE"""),"12")</f>
        <v>12</v>
      </c>
      <c r="Z783" s="12">
        <f>IFERROR(__xludf.DUMMYFUNCTION("""COMPUTED_VALUE"""),103309.0)</f>
        <v>103309</v>
      </c>
      <c r="AA783" s="6" t="str">
        <f>IFERROR(__xludf.DUMMYFUNCTION("""COMPUTED_VALUE"""),"SANITAS")</f>
        <v>SANITAS</v>
      </c>
      <c r="AB783" s="6" t="str">
        <f>IFERROR(__xludf.DUMMYFUNCTION("""COMPUTED_VALUE"""),"Clínica Sagrada Familia")</f>
        <v>Clínica Sagrada Familia</v>
      </c>
      <c r="AC783" s="6"/>
      <c r="AD783" s="12" t="str">
        <f>IFERROR(__xludf.DUMMYFUNCTION("""COMPUTED_VALUE"""),"12")</f>
        <v>12</v>
      </c>
      <c r="AE783" s="12">
        <f>IFERROR(__xludf.DUMMYFUNCTION("""COMPUTED_VALUE"""),1.345281625E9)</f>
        <v>1345281625</v>
      </c>
      <c r="AF783" s="12" t="str">
        <f>IFERROR(__xludf.DUMMYFUNCTION("""COMPUTED_VALUE"""),"0739618819")</f>
        <v>0739618819</v>
      </c>
      <c r="AG783" s="12" t="str">
        <f>IFERROR(__xludf.DUMMYFUNCTION("""COMPUTED_VALUE"""),"Paula")</f>
        <v>Paula</v>
      </c>
      <c r="AH783" s="12" t="str">
        <f>IFERROR(__xludf.DUMMYFUNCTION("""COMPUTED_VALUE"""),"Andrea")</f>
        <v>Andrea</v>
      </c>
      <c r="AI783" s="6" t="str">
        <f>IFERROR(__xludf.DUMMYFUNCTION("""COMPUTED_VALUE"""),"Giraldo Vásquez")</f>
        <v>Giraldo Vásquez</v>
      </c>
      <c r="AJ783" s="6" t="str">
        <f>IFERROR(__xludf.DUMMYFUNCTION("""COMPUTED_VALUE"""),"paulaandreag019@gmail.com")</f>
        <v>paulaandreag019@gmail.com</v>
      </c>
      <c r="AK783" s="6" t="str">
        <f>IFERROR(__xludf.DUMMYFUNCTION("""COMPUTED_VALUE"""),"Administradora de Empresa")</f>
        <v>Administradora de Empresa</v>
      </c>
      <c r="AL783" s="6" t="str">
        <f>IFERROR(__xludf.DUMMYFUNCTION("""COMPUTED_VALUE"""),"Tienda Cache")</f>
        <v>Tienda Cache</v>
      </c>
      <c r="AM783" s="12" t="str">
        <f>IFERROR(__xludf.DUMMYFUNCTION("""COMPUTED_VALUE"""),"41939796")</f>
        <v>41939796</v>
      </c>
      <c r="AN783" s="12" t="str">
        <f>IFERROR(__xludf.DUMMYFUNCTION("""COMPUTED_VALUE"""),"3155793824")</f>
        <v>3155793824</v>
      </c>
      <c r="AO783" s="6" t="str">
        <f>IFERROR(__xludf.DUMMYFUNCTION("""COMPUTED_VALUE"""),"Madre")</f>
        <v>Madre</v>
      </c>
      <c r="AP783" s="6" t="str">
        <f>IFERROR(__xludf.DUMMYFUNCTION("""COMPUTED_VALUE"""),"Estudiante(s): Gaspar Giraldo")</f>
        <v>Estudiante(s): Gaspar Giraldo</v>
      </c>
      <c r="AQ783" s="6" t="str">
        <f>IFERROR(__xludf.DUMMYFUNCTION("""COMPUTED_VALUE"""),"103308*Gi")</f>
        <v>103308*Gi</v>
      </c>
      <c r="AR783" s="6" t="str">
        <f>IFERROR(__xludf.DUMMYFUNCTION("""COMPUTED_VALUE"""),"Eduardo")</f>
        <v>Eduardo</v>
      </c>
      <c r="AS783" s="6"/>
      <c r="AT783" s="6" t="str">
        <f>IFERROR(__xludf.DUMMYFUNCTION("""COMPUTED_VALUE"""),"Gaspar")</f>
        <v>Gaspar</v>
      </c>
      <c r="AU783" s="6" t="str">
        <f>IFERROR(__xludf.DUMMYFUNCTION("""COMPUTED_VALUE"""),"eduardogaspar976@gmail.com")</f>
        <v>eduardogaspar976@gmail.com</v>
      </c>
      <c r="AV783" s="6" t="str">
        <f>IFERROR(__xludf.DUMMYFUNCTION("""COMPUTED_VALUE"""),"Administracion de Empresa")</f>
        <v>Administracion de Empresa</v>
      </c>
      <c r="AW783" s="6"/>
      <c r="AX783" s="12" t="str">
        <f>IFERROR(__xludf.DUMMYFUNCTION("""COMPUTED_VALUE"""),"89007238")</f>
        <v>89007238</v>
      </c>
      <c r="AY783" s="12" t="str">
        <f>IFERROR(__xludf.DUMMYFUNCTION("""COMPUTED_VALUE"""),"3113897324")</f>
        <v>3113897324</v>
      </c>
      <c r="AZ783" s="6" t="str">
        <f>IFERROR(__xludf.DUMMYFUNCTION("""COMPUTED_VALUE"""),"Padre")</f>
        <v>Padre</v>
      </c>
      <c r="BA783" s="6"/>
      <c r="BB783" s="6"/>
      <c r="BC783" s="6"/>
      <c r="BD783" s="12" t="str">
        <f>IFERROR(__xludf.DUMMYFUNCTION("""COMPUTED_VALUE"""),"gas0001")</f>
        <v>gas0001</v>
      </c>
      <c r="BE783" s="6" t="str">
        <f>IFERROR(__xludf.DUMMYFUNCTION("""COMPUTED_VALUE"""),"FALTAN FIRMAS")</f>
        <v>FALTAN FIRMAS</v>
      </c>
      <c r="BF783" s="6"/>
      <c r="BG783" s="6">
        <f>IFERROR(__xludf.DUMMYFUNCTION("""COMPUTED_VALUE"""),2027.0)</f>
        <v>2027</v>
      </c>
      <c r="BH783" s="15">
        <f>IFERROR(__xludf.DUMMYFUNCTION("""COMPUTED_VALUE"""),46238.75137731482)</f>
        <v>46238.75138</v>
      </c>
      <c r="BI783" s="6">
        <f>IFERROR(__xludf.DUMMYFUNCTION("""COMPUTED_VALUE"""),784.0)</f>
        <v>784</v>
      </c>
      <c r="BJ783" s="6"/>
      <c r="BK783" s="6"/>
      <c r="BL783" s="6" t="str">
        <f>IFERROR(__xludf.DUMMYFUNCTION("""COMPUTED_VALUE"""),"GISGAS0001")</f>
        <v>GISGAS0001</v>
      </c>
      <c r="BM783" s="6"/>
      <c r="BN783" s="6"/>
      <c r="BO783" s="6"/>
      <c r="BP783" s="6"/>
      <c r="BQ783" s="6"/>
      <c r="BR783" s="6"/>
      <c r="BS783" s="6"/>
      <c r="BT783" s="6"/>
      <c r="BU783" s="6" t="str">
        <f>IFERROR(__xludf.DUMMYFUNCTION("""COMPUTED_VALUE"""),"SI")</f>
        <v>SI</v>
      </c>
      <c r="BV783" s="6" t="str">
        <f>IFERROR(__xludf.DUMMYFUNCTION("""COMPUTED_VALUE"""),"sofia.g2027")</f>
        <v>sofia.g2027</v>
      </c>
      <c r="BW783" s="6"/>
      <c r="BX783" s="6"/>
      <c r="BY783" s="6"/>
      <c r="BZ783" s="6"/>
    </row>
    <row r="784">
      <c r="A784" s="12">
        <f>IFERROR(__xludf.DUMMYFUNCTION("""COMPUTED_VALUE"""),1.014871493E9)</f>
        <v>1014871493</v>
      </c>
      <c r="B784" s="6">
        <f>IFERROR(__xludf.DUMMYFUNCTION("""COMPUTED_VALUE"""),18.0)</f>
        <v>18</v>
      </c>
      <c r="C784" s="6" t="str">
        <f>IFERROR(__xludf.DUMMYFUNCTION("""COMPUTED_VALUE"""),"Sebastián")</f>
        <v>Sebastián</v>
      </c>
      <c r="D784" s="6"/>
      <c r="E784" s="6" t="str">
        <f>IFERROR(__xludf.DUMMYFUNCTION("""COMPUTED_VALUE"""),"Gil Sánchez")</f>
        <v>Gil Sánchez</v>
      </c>
      <c r="F784" s="6" t="str">
        <f>IFERROR(__xludf.DUMMYFUNCTION("""COMPUTED_VALUE"""),"Edificio Amara Apto 1006 - Cra 17 No22Nte - 66 Laureles ")</f>
        <v>Edificio Amara Apto 1006 - Cra 17 No22Nte - 66 Laureles </v>
      </c>
      <c r="G784" s="12" t="str">
        <f>IFERROR(__xludf.DUMMYFUNCTION("""COMPUTED_VALUE"""),"2009")</f>
        <v>2009</v>
      </c>
      <c r="H784" s="6" t="str">
        <f>IFERROR(__xludf.DUMMYFUNCTION("""COMPUTED_VALUE"""),"Agosto")</f>
        <v>Agosto</v>
      </c>
      <c r="I784" s="12" t="str">
        <f>IFERROR(__xludf.DUMMYFUNCTION("""COMPUTED_VALUE"""),"24")</f>
        <v>24</v>
      </c>
      <c r="J784" s="6" t="str">
        <f>IFERROR(__xludf.DUMMYFUNCTION("""COMPUTED_VALUE"""),"Bogotá D.C.")</f>
        <v>Bogotá D.C.</v>
      </c>
      <c r="K784" s="6" t="str">
        <f>IFERROR(__xludf.DUMMYFUNCTION("""COMPUTED_VALUE"""),"sebastian.g2027@gi.edu.co")</f>
        <v>sebastian.g2027@gi.edu.co</v>
      </c>
      <c r="L784" s="6" t="str">
        <f>IFERROR(__xludf.DUMMYFUNCTION("""COMPUTED_VALUE"""),"TI")</f>
        <v>TI</v>
      </c>
      <c r="M784" s="6" t="str">
        <f>IFERROR(__xludf.DUMMYFUNCTION("""COMPUTED_VALUE"""),"Armenia")</f>
        <v>Armenia</v>
      </c>
      <c r="N784" s="6" t="str">
        <f>IFERROR(__xludf.DUMMYFUNCTION("""COMPUTED_VALUE"""),"M")</f>
        <v>M</v>
      </c>
      <c r="O784" s="6" t="str">
        <f>IFERROR(__xludf.DUMMYFUNCTION("""COMPUTED_VALUE"""),"ACTIVE")</f>
        <v>ACTIVE</v>
      </c>
      <c r="P784" s="6"/>
      <c r="Q784" s="6" t="str">
        <f>IFERROR(__xludf.DUMMYFUNCTION("""COMPUTED_VALUE"""),"Armenia")</f>
        <v>Armenia</v>
      </c>
      <c r="R784" s="12" t="str">
        <f>IFERROR(__xludf.DUMMYFUNCTION("""COMPUTED_VALUE"""),"Giem4582952*")</f>
        <v>Giem4582952*</v>
      </c>
      <c r="S784" s="6" t="str">
        <f>IFERROR(__xludf.DUMMYFUNCTION("""COMPUTED_VALUE"""),"Gil Sánchez Sebastián ")</f>
        <v>Gil Sánchez Sebastián </v>
      </c>
      <c r="T784" s="6" t="str">
        <f>IFERROR(__xludf.DUMMYFUNCTION("""COMPUTED_VALUE"""),"JUAN ESTEBAN GIL CHAVARRIA")</f>
        <v>JUAN ESTEBAN GIL CHAVARRIA</v>
      </c>
      <c r="U784" s="12" t="str">
        <f>IFERROR(__xludf.DUMMYFUNCTION("""COMPUTED_VALUE"""),"71216519")</f>
        <v>71216519</v>
      </c>
      <c r="V784" s="6">
        <f>IFERROR(__xludf.DUMMYFUNCTION("""COMPUTED_VALUE"""),3.176401187E9)</f>
        <v>3176401187</v>
      </c>
      <c r="W784" s="6" t="str">
        <f>IFERROR(__xludf.DUMMYFUNCTION("""COMPUTED_VALUE"""),"juanesgil@hotmail.com")</f>
        <v>juanesgil@hotmail.com</v>
      </c>
      <c r="X784" s="12" t="str">
        <f>IFERROR(__xludf.DUMMYFUNCTION("""COMPUTED_VALUE"""),"O+")</f>
        <v>O+</v>
      </c>
      <c r="Y784" s="12" t="str">
        <f>IFERROR(__xludf.DUMMYFUNCTION("""COMPUTED_VALUE"""),"12")</f>
        <v>12</v>
      </c>
      <c r="Z784" s="12">
        <f>IFERROR(__xludf.DUMMYFUNCTION("""COMPUTED_VALUE"""),103335.0)</f>
        <v>103335</v>
      </c>
      <c r="AA784" s="6" t="str">
        <f>IFERROR(__xludf.DUMMYFUNCTION("""COMPUTED_VALUE"""),"SURA")</f>
        <v>SURA</v>
      </c>
      <c r="AB784" s="6" t="str">
        <f>IFERROR(__xludf.DUMMYFUNCTION("""COMPUTED_VALUE"""),"EMI")</f>
        <v>EMI</v>
      </c>
      <c r="AC784" s="6"/>
      <c r="AD784" s="12" t="str">
        <f>IFERROR(__xludf.DUMMYFUNCTION("""COMPUTED_VALUE"""),"12")</f>
        <v>12</v>
      </c>
      <c r="AE784" s="12">
        <f>IFERROR(__xludf.DUMMYFUNCTION("""COMPUTED_VALUE"""),1.345281637E9)</f>
        <v>1345281637</v>
      </c>
      <c r="AF784" s="12" t="str">
        <f>IFERROR(__xludf.DUMMYFUNCTION("""COMPUTED_VALUE"""),"0687273363")</f>
        <v>0687273363</v>
      </c>
      <c r="AG784" s="12" t="str">
        <f>IFERROR(__xludf.DUMMYFUNCTION("""COMPUTED_VALUE"""),"Ángela")</f>
        <v>Ángela</v>
      </c>
      <c r="AH784" s="12" t="str">
        <f>IFERROR(__xludf.DUMMYFUNCTION("""COMPUTED_VALUE"""),"Patricia")</f>
        <v>Patricia</v>
      </c>
      <c r="AI784" s="6" t="str">
        <f>IFERROR(__xludf.DUMMYFUNCTION("""COMPUTED_VALUE"""),"Sánchez Murillo")</f>
        <v>Sánchez Murillo</v>
      </c>
      <c r="AJ784" s="6" t="str">
        <f>IFERROR(__xludf.DUMMYFUNCTION("""COMPUTED_VALUE"""),"paticosanmu@hotmail.com")</f>
        <v>paticosanmu@hotmail.com</v>
      </c>
      <c r="AK784" s="6" t="str">
        <f>IFERROR(__xludf.DUMMYFUNCTION("""COMPUTED_VALUE"""),"Ing Civil")</f>
        <v>Ing Civil</v>
      </c>
      <c r="AL784" s="6" t="str">
        <f>IFERROR(__xludf.DUMMYFUNCTION("""COMPUTED_VALUE"""),"Constructora 1A")</f>
        <v>Constructora 1A</v>
      </c>
      <c r="AM784" s="12" t="str">
        <f>IFERROR(__xludf.DUMMYFUNCTION("""COMPUTED_VALUE"""),"52983999")</f>
        <v>52983999</v>
      </c>
      <c r="AN784" s="12" t="str">
        <f>IFERROR(__xludf.DUMMYFUNCTION("""COMPUTED_VALUE"""),"3185896748")</f>
        <v>3185896748</v>
      </c>
      <c r="AO784" s="6" t="str">
        <f>IFERROR(__xludf.DUMMYFUNCTION("""COMPUTED_VALUE"""),"Madre")</f>
        <v>Madre</v>
      </c>
      <c r="AP784" s="6" t="str">
        <f>IFERROR(__xludf.DUMMYFUNCTION("""COMPUTED_VALUE"""),"Estudiante(s): Gil Sánchez")</f>
        <v>Estudiante(s): Gil Sánchez</v>
      </c>
      <c r="AQ784" s="6" t="str">
        <f>IFERROR(__xludf.DUMMYFUNCTION("""COMPUTED_VALUE"""),"103337*Gi")</f>
        <v>103337*Gi</v>
      </c>
      <c r="AR784" s="6" t="str">
        <f>IFERROR(__xludf.DUMMYFUNCTION("""COMPUTED_VALUE"""),"Juan")</f>
        <v>Juan</v>
      </c>
      <c r="AS784" s="6" t="str">
        <f>IFERROR(__xludf.DUMMYFUNCTION("""COMPUTED_VALUE"""),"Esteban")</f>
        <v>Esteban</v>
      </c>
      <c r="AT784" s="6" t="str">
        <f>IFERROR(__xludf.DUMMYFUNCTION("""COMPUTED_VALUE"""),"Gil Chavarría")</f>
        <v>Gil Chavarría</v>
      </c>
      <c r="AU784" s="6" t="str">
        <f>IFERROR(__xludf.DUMMYFUNCTION("""COMPUTED_VALUE"""),"juanesgil@hotmail.com")</f>
        <v>juanesgil@hotmail.com</v>
      </c>
      <c r="AV784" s="6" t="str">
        <f>IFERROR(__xludf.DUMMYFUNCTION("""COMPUTED_VALUE"""),"ing civil")</f>
        <v>ing civil</v>
      </c>
      <c r="AW784" s="6" t="str">
        <f>IFERROR(__xludf.DUMMYFUNCTION("""COMPUTED_VALUE"""),"INVIAS")</f>
        <v>INVIAS</v>
      </c>
      <c r="AX784" s="12" t="str">
        <f>IFERROR(__xludf.DUMMYFUNCTION("""COMPUTED_VALUE"""),"71216519")</f>
        <v>71216519</v>
      </c>
      <c r="AY784" s="12" t="str">
        <f>IFERROR(__xludf.DUMMYFUNCTION("""COMPUTED_VALUE"""),"3176401187")</f>
        <v>3176401187</v>
      </c>
      <c r="AZ784" s="6" t="str">
        <f>IFERROR(__xludf.DUMMYFUNCTION("""COMPUTED_VALUE"""),"Padre")</f>
        <v>Padre</v>
      </c>
      <c r="BA784" s="6" t="str">
        <f>IFERROR(__xludf.DUMMYFUNCTION("""COMPUTED_VALUE"""),"AMPARO MURILLO BOTERO")</f>
        <v>AMPARO MURILLO BOTERO</v>
      </c>
      <c r="BB784" s="6">
        <f>IFERROR(__xludf.DUMMYFUNCTION("""COMPUTED_VALUE"""),3.108819978E9)</f>
        <v>3108819978</v>
      </c>
      <c r="BC784" s="6" t="str">
        <f>IFERROR(__xludf.DUMMYFUNCTION("""COMPUTED_VALUE"""),"Abuelo(a)")</f>
        <v>Abuelo(a)</v>
      </c>
      <c r="BD784" s="12" t="str">
        <f>IFERROR(__xludf.DUMMYFUNCTION("""COMPUTED_VALUE"""),"gil0003")</f>
        <v>gil0003</v>
      </c>
      <c r="BE784" s="6"/>
      <c r="BF784" s="6"/>
      <c r="BG784" s="6">
        <f>IFERROR(__xludf.DUMMYFUNCTION("""COMPUTED_VALUE"""),2027.0)</f>
        <v>2027</v>
      </c>
      <c r="BH784" s="15">
        <f>IFERROR(__xludf.DUMMYFUNCTION("""COMPUTED_VALUE"""),46210.487129629626)</f>
        <v>46210.48713</v>
      </c>
      <c r="BI784" s="6">
        <f>IFERROR(__xludf.DUMMYFUNCTION("""COMPUTED_VALUE"""),785.0)</f>
        <v>785</v>
      </c>
      <c r="BJ784" s="6"/>
      <c r="BK784" s="6"/>
      <c r="BL784" s="6" t="str">
        <f>IFERROR(__xludf.DUMMYFUNCTION("""COMPUTED_VALUE"""),"GISGIL0003")</f>
        <v>GISGIL0003</v>
      </c>
      <c r="BM784" s="6"/>
      <c r="BN784" s="6"/>
      <c r="BO784" s="6"/>
      <c r="BP784" s="6"/>
      <c r="BQ784" s="6"/>
      <c r="BR784" s="6"/>
      <c r="BS784" s="6"/>
      <c r="BT784" s="6"/>
      <c r="BU784" s="6" t="str">
        <f>IFERROR(__xludf.DUMMYFUNCTION("""COMPUTED_VALUE"""),"SI")</f>
        <v>SI</v>
      </c>
      <c r="BV784" s="6" t="str">
        <f>IFERROR(__xludf.DUMMYFUNCTION("""COMPUTED_VALUE"""),"sebastian.g2027")</f>
        <v>sebastian.g2027</v>
      </c>
      <c r="BW784" s="6"/>
      <c r="BX784" s="6"/>
      <c r="BY784" s="6"/>
      <c r="BZ784" s="6"/>
    </row>
    <row r="785">
      <c r="A785" s="12">
        <f>IFERROR(__xludf.DUMMYFUNCTION("""COMPUTED_VALUE"""),1.089605779E9)</f>
        <v>1089605779</v>
      </c>
      <c r="B785" s="6">
        <f>IFERROR(__xludf.DUMMYFUNCTION("""COMPUTED_VALUE"""),19.0)</f>
        <v>19</v>
      </c>
      <c r="C785" s="6" t="str">
        <f>IFERROR(__xludf.DUMMYFUNCTION("""COMPUTED_VALUE"""),"Salomé")</f>
        <v>Salomé</v>
      </c>
      <c r="D785" s="6"/>
      <c r="E785" s="6" t="str">
        <f>IFERROR(__xludf.DUMMYFUNCTION("""COMPUTED_VALUE"""),"Giraldo Arias")</f>
        <v>Giraldo Arias</v>
      </c>
      <c r="F785" s="6" t="str">
        <f>IFERROR(__xludf.DUMMYFUNCTION("""COMPUTED_VALUE"""),"Los Ocobos Parque Residencial Casa E4 - Calle 31 Nte No20 - 10")</f>
        <v>Los Ocobos Parque Residencial Casa E4 - Calle 31 Nte No20 - 10</v>
      </c>
      <c r="G785" s="12" t="str">
        <f>IFERROR(__xludf.DUMMYFUNCTION("""COMPUTED_VALUE"""),"2009")</f>
        <v>2009</v>
      </c>
      <c r="H785" s="6" t="str">
        <f>IFERROR(__xludf.DUMMYFUNCTION("""COMPUTED_VALUE"""),"Mayo")</f>
        <v>Mayo</v>
      </c>
      <c r="I785" s="12" t="str">
        <f>IFERROR(__xludf.DUMMYFUNCTION("""COMPUTED_VALUE"""),"21")</f>
        <v>21</v>
      </c>
      <c r="J785" s="6" t="str">
        <f>IFERROR(__xludf.DUMMYFUNCTION("""COMPUTED_VALUE"""),"Pereira")</f>
        <v>Pereira</v>
      </c>
      <c r="K785" s="6" t="str">
        <f>IFERROR(__xludf.DUMMYFUNCTION("""COMPUTED_VALUE"""),"salome.g2027@gi.edu.co")</f>
        <v>salome.g2027@gi.edu.co</v>
      </c>
      <c r="L785" s="6" t="str">
        <f>IFERROR(__xludf.DUMMYFUNCTION("""COMPUTED_VALUE"""),"TI")</f>
        <v>TI</v>
      </c>
      <c r="M785" s="6" t="str">
        <f>IFERROR(__xludf.DUMMYFUNCTION("""COMPUTED_VALUE"""),"Armenia")</f>
        <v>Armenia</v>
      </c>
      <c r="N785" s="6" t="str">
        <f>IFERROR(__xludf.DUMMYFUNCTION("""COMPUTED_VALUE"""),"F")</f>
        <v>F</v>
      </c>
      <c r="O785" s="6" t="str">
        <f>IFERROR(__xludf.DUMMYFUNCTION("""COMPUTED_VALUE"""),"ACTIVE")</f>
        <v>ACTIVE</v>
      </c>
      <c r="P785" s="6"/>
      <c r="Q785" s="6" t="str">
        <f>IFERROR(__xludf.DUMMYFUNCTION("""COMPUTED_VALUE"""),"Armenia")</f>
        <v>Armenia</v>
      </c>
      <c r="R785" s="12" t="str">
        <f>IFERROR(__xludf.DUMMYFUNCTION("""COMPUTED_VALUE"""),"Gi6798ets8*")</f>
        <v>Gi6798ets8*</v>
      </c>
      <c r="S785" s="6" t="str">
        <f>IFERROR(__xludf.DUMMYFUNCTION("""COMPUTED_VALUE"""),"Giraldo Arias Salomé ")</f>
        <v>Giraldo Arias Salomé </v>
      </c>
      <c r="T785" s="6" t="str">
        <f>IFERROR(__xludf.DUMMYFUNCTION("""COMPUTED_VALUE"""),"ÁNGELA MARIA ARIAS CIFUENTES")</f>
        <v>ÁNGELA MARIA ARIAS CIFUENTES</v>
      </c>
      <c r="U785" s="12" t="str">
        <f>IFERROR(__xludf.DUMMYFUNCTION("""COMPUTED_VALUE"""),"30394871")</f>
        <v>30394871</v>
      </c>
      <c r="V785" s="6">
        <f>IFERROR(__xludf.DUMMYFUNCTION("""COMPUTED_VALUE"""),3.128432747E9)</f>
        <v>3128432747</v>
      </c>
      <c r="W785" s="6" t="str">
        <f>IFERROR(__xludf.DUMMYFUNCTION("""COMPUTED_VALUE"""),"angelarias_007@hotmail.com")</f>
        <v>angelarias_007@hotmail.com</v>
      </c>
      <c r="X785" s="12" t="str">
        <f>IFERROR(__xludf.DUMMYFUNCTION("""COMPUTED_VALUE"""),"O+")</f>
        <v>O+</v>
      </c>
      <c r="Y785" s="12" t="str">
        <f>IFERROR(__xludf.DUMMYFUNCTION("""COMPUTED_VALUE"""),"12")</f>
        <v>12</v>
      </c>
      <c r="Z785" s="12">
        <f>IFERROR(__xludf.DUMMYFUNCTION("""COMPUTED_VALUE"""),103120.0)</f>
        <v>103120</v>
      </c>
      <c r="AA785" s="6" t="str">
        <f>IFERROR(__xludf.DUMMYFUNCTION("""COMPUTED_VALUE"""),"SURA")</f>
        <v>SURA</v>
      </c>
      <c r="AB785" s="6" t="str">
        <f>IFERROR(__xludf.DUMMYFUNCTION("""COMPUTED_VALUE"""),"COOMEVA PREPAGADA (HUMANIZAR)")</f>
        <v>COOMEVA PREPAGADA (HUMANIZAR)</v>
      </c>
      <c r="AC785" s="12" t="str">
        <f>IFERROR(__xludf.DUMMYFUNCTION("""COMPUTED_VALUE"""),"Algún antibiótico")</f>
        <v>Algún antibiótico</v>
      </c>
      <c r="AD785" s="12" t="str">
        <f>IFERROR(__xludf.DUMMYFUNCTION("""COMPUTED_VALUE"""),"12")</f>
        <v>12</v>
      </c>
      <c r="AE785" s="12">
        <f>IFERROR(__xludf.DUMMYFUNCTION("""COMPUTED_VALUE"""),1.345281523E9)</f>
        <v>1345281523</v>
      </c>
      <c r="AF785" s="12" t="str">
        <f>IFERROR(__xludf.DUMMYFUNCTION("""COMPUTED_VALUE"""),"0690909027")</f>
        <v>0690909027</v>
      </c>
      <c r="AG785" s="12" t="str">
        <f>IFERROR(__xludf.DUMMYFUNCTION("""COMPUTED_VALUE"""),"Ángela")</f>
        <v>Ángela</v>
      </c>
      <c r="AH785" s="12" t="str">
        <f>IFERROR(__xludf.DUMMYFUNCTION("""COMPUTED_VALUE"""),"María")</f>
        <v>María</v>
      </c>
      <c r="AI785" s="6" t="str">
        <f>IFERROR(__xludf.DUMMYFUNCTION("""COMPUTED_VALUE"""),"Arias Cifuentes")</f>
        <v>Arias Cifuentes</v>
      </c>
      <c r="AJ785" s="6" t="str">
        <f>IFERROR(__xludf.DUMMYFUNCTION("""COMPUTED_VALUE"""),"angelarias4143@gmail.com")</f>
        <v>angelarias4143@gmail.com</v>
      </c>
      <c r="AK785" s="6" t="str">
        <f>IFERROR(__xludf.DUMMYFUNCTION("""COMPUTED_VALUE"""),"Diseñadora Industrial")</f>
        <v>Diseñadora Industrial</v>
      </c>
      <c r="AL785" s="6" t="str">
        <f>IFERROR(__xludf.DUMMYFUNCTION("""COMPUTED_VALUE"""),"Industrias Zenner S.A.")</f>
        <v>Industrias Zenner S.A.</v>
      </c>
      <c r="AM785" s="12" t="str">
        <f>IFERROR(__xludf.DUMMYFUNCTION("""COMPUTED_VALUE"""),"30394871")</f>
        <v>30394871</v>
      </c>
      <c r="AN785" s="12" t="str">
        <f>IFERROR(__xludf.DUMMYFUNCTION("""COMPUTED_VALUE"""),"3128432747")</f>
        <v>3128432747</v>
      </c>
      <c r="AO785" s="6" t="str">
        <f>IFERROR(__xludf.DUMMYFUNCTION("""COMPUTED_VALUE"""),"Madre")</f>
        <v>Madre</v>
      </c>
      <c r="AP785" s="6" t="str">
        <f>IFERROR(__xludf.DUMMYFUNCTION("""COMPUTED_VALUE"""),"Estudiante(s): Giraldo Arias")</f>
        <v>Estudiante(s): Giraldo Arias</v>
      </c>
      <c r="AQ785" s="6" t="str">
        <f>IFERROR(__xludf.DUMMYFUNCTION("""COMPUTED_VALUE"""),"103120*Gi")</f>
        <v>103120*Gi</v>
      </c>
      <c r="AR785" s="6" t="str">
        <f>IFERROR(__xludf.DUMMYFUNCTION("""COMPUTED_VALUE"""),"Cesar")</f>
        <v>Cesar</v>
      </c>
      <c r="AS785" s="6" t="str">
        <f>IFERROR(__xludf.DUMMYFUNCTION("""COMPUTED_VALUE"""),"Augusto")</f>
        <v>Augusto</v>
      </c>
      <c r="AT785" s="6" t="str">
        <f>IFERROR(__xludf.DUMMYFUNCTION("""COMPUTED_VALUE"""),"Giraldo Cruz")</f>
        <v>Giraldo Cruz</v>
      </c>
      <c r="AU785" s="6" t="str">
        <f>IFERROR(__xludf.DUMMYFUNCTION("""COMPUTED_VALUE"""),"cexaraugusto@hotmail.com")</f>
        <v>cexaraugusto@hotmail.com</v>
      </c>
      <c r="AV785" s="6" t="str">
        <f>IFERROR(__xludf.DUMMYFUNCTION("""COMPUTED_VALUE"""),"Contador Publico")</f>
        <v>Contador Publico</v>
      </c>
      <c r="AW785" s="6" t="str">
        <f>IFERROR(__xludf.DUMMYFUNCTION("""COMPUTED_VALUE"""),"Universidad Gran Colombia")</f>
        <v>Universidad Gran Colombia</v>
      </c>
      <c r="AX785" s="12" t="str">
        <f>IFERROR(__xludf.DUMMYFUNCTION("""COMPUTED_VALUE"""),"18492119")</f>
        <v>18492119</v>
      </c>
      <c r="AY785" s="12" t="str">
        <f>IFERROR(__xludf.DUMMYFUNCTION("""COMPUTED_VALUE"""),"3152678556")</f>
        <v>3152678556</v>
      </c>
      <c r="AZ785" s="6" t="str">
        <f>IFERROR(__xludf.DUMMYFUNCTION("""COMPUTED_VALUE"""),"Padre")</f>
        <v>Padre</v>
      </c>
      <c r="BA785" s="6"/>
      <c r="BB785" s="6"/>
      <c r="BC785" s="6"/>
      <c r="BD785" s="12" t="str">
        <f>IFERROR(__xludf.DUMMYFUNCTION("""COMPUTED_VALUE"""),"gir0007")</f>
        <v>gir0007</v>
      </c>
      <c r="BE785" s="6"/>
      <c r="BF785" s="6"/>
      <c r="BG785" s="6">
        <f>IFERROR(__xludf.DUMMYFUNCTION("""COMPUTED_VALUE"""),2027.0)</f>
        <v>2027</v>
      </c>
      <c r="BH785" s="15">
        <f>IFERROR(__xludf.DUMMYFUNCTION("""COMPUTED_VALUE"""),46212.61208333333)</f>
        <v>46212.61208</v>
      </c>
      <c r="BI785" s="6">
        <f>IFERROR(__xludf.DUMMYFUNCTION("""COMPUTED_VALUE"""),786.0)</f>
        <v>786</v>
      </c>
      <c r="BJ785" s="6"/>
      <c r="BK785" s="6"/>
      <c r="BL785" s="6" t="str">
        <f>IFERROR(__xludf.DUMMYFUNCTION("""COMPUTED_VALUE"""),"GISGIR0007")</f>
        <v>GISGIR0007</v>
      </c>
      <c r="BM785" s="6"/>
      <c r="BN785" s="6"/>
      <c r="BO785" s="6"/>
      <c r="BP785" s="6"/>
      <c r="BQ785" s="6"/>
      <c r="BR785" s="6"/>
      <c r="BS785" s="6"/>
      <c r="BT785" s="6"/>
      <c r="BU785" s="6" t="str">
        <f>IFERROR(__xludf.DUMMYFUNCTION("""COMPUTED_VALUE"""),"NO")</f>
        <v>NO</v>
      </c>
      <c r="BV785" s="6" t="str">
        <f>IFERROR(__xludf.DUMMYFUNCTION("""COMPUTED_VALUE"""),"salome.g2027")</f>
        <v>salome.g2027</v>
      </c>
      <c r="BW785" s="6"/>
      <c r="BX785" s="6"/>
      <c r="BY785" s="6"/>
      <c r="BZ785" s="6"/>
    </row>
    <row r="786">
      <c r="A786" s="12">
        <f>IFERROR(__xludf.DUMMYFUNCTION("""COMPUTED_VALUE"""),1.090276149E9)</f>
        <v>1090276149</v>
      </c>
      <c r="B786" s="6">
        <f>IFERROR(__xludf.DUMMYFUNCTION("""COMPUTED_VALUE"""),20.0)</f>
        <v>20</v>
      </c>
      <c r="C786" s="6" t="str">
        <f>IFERROR(__xludf.DUMMYFUNCTION("""COMPUTED_VALUE"""),"Mariana")</f>
        <v>Mariana</v>
      </c>
      <c r="D786" s="6"/>
      <c r="E786" s="6" t="str">
        <f>IFERROR(__xludf.DUMMYFUNCTION("""COMPUTED_VALUE"""),"Giraldo Muñoz")</f>
        <v>Giraldo Muñoz</v>
      </c>
      <c r="F786" s="6" t="str">
        <f>IFERROR(__xludf.DUMMYFUNCTION("""COMPUTED_VALUE"""),"Conjunto Residencial La Primavera Manzana 7 Casa 13 - Cra 14 No54Nte 10")</f>
        <v>Conjunto Residencial La Primavera Manzana 7 Casa 13 - Cra 14 No54Nte 10</v>
      </c>
      <c r="G786" s="12" t="str">
        <f>IFERROR(__xludf.DUMMYFUNCTION("""COMPUTED_VALUE"""),"2009")</f>
        <v>2009</v>
      </c>
      <c r="H786" s="6" t="str">
        <f>IFERROR(__xludf.DUMMYFUNCTION("""COMPUTED_VALUE"""),"Septiembre")</f>
        <v>Septiembre</v>
      </c>
      <c r="I786" s="12" t="str">
        <f>IFERROR(__xludf.DUMMYFUNCTION("""COMPUTED_VALUE"""),"28")</f>
        <v>28</v>
      </c>
      <c r="J786" s="6" t="str">
        <f>IFERROR(__xludf.DUMMYFUNCTION("""COMPUTED_VALUE"""),"Armenia")</f>
        <v>Armenia</v>
      </c>
      <c r="K786" s="6" t="str">
        <f>IFERROR(__xludf.DUMMYFUNCTION("""COMPUTED_VALUE"""),"mariana.g2027@gi.edu.co")</f>
        <v>mariana.g2027@gi.edu.co</v>
      </c>
      <c r="L786" s="6" t="str">
        <f>IFERROR(__xludf.DUMMYFUNCTION("""COMPUTED_VALUE"""),"TI")</f>
        <v>TI</v>
      </c>
      <c r="M786" s="6" t="str">
        <f>IFERROR(__xludf.DUMMYFUNCTION("""COMPUTED_VALUE"""),"Armenia")</f>
        <v>Armenia</v>
      </c>
      <c r="N786" s="6" t="str">
        <f>IFERROR(__xludf.DUMMYFUNCTION("""COMPUTED_VALUE"""),"F")</f>
        <v>F</v>
      </c>
      <c r="O786" s="6" t="str">
        <f>IFERROR(__xludf.DUMMYFUNCTION("""COMPUTED_VALUE"""),"INACTIVE")</f>
        <v>INACTIVE</v>
      </c>
      <c r="P786" s="6"/>
      <c r="Q786" s="6" t="str">
        <f>IFERROR(__xludf.DUMMYFUNCTION("""COMPUTED_VALUE"""),"Armenia")</f>
        <v>Armenia</v>
      </c>
      <c r="R786" s="12" t="str">
        <f>IFERROR(__xludf.DUMMYFUNCTION("""COMPUTED_VALUE"""),"Gi2928ers*")</f>
        <v>Gi2928ers*</v>
      </c>
      <c r="S786" s="6" t="str">
        <f>IFERROR(__xludf.DUMMYFUNCTION("""COMPUTED_VALUE"""),"Giraldo Muñoz Mariana ")</f>
        <v>Giraldo Muñoz Mariana </v>
      </c>
      <c r="T786" s="6" t="str">
        <f>IFERROR(__xludf.DUMMYFUNCTION("""COMPUTED_VALUE"""),"ALEXANDRA MUÑOZ BEDOYA")</f>
        <v>ALEXANDRA MUÑOZ BEDOYA</v>
      </c>
      <c r="U786" s="12" t="str">
        <f>IFERROR(__xludf.DUMMYFUNCTION("""COMPUTED_VALUE"""),"41959798")</f>
        <v>41959798</v>
      </c>
      <c r="V786" s="6">
        <f>IFERROR(__xludf.DUMMYFUNCTION("""COMPUTED_VALUE"""),3.188780914E9)</f>
        <v>3188780914</v>
      </c>
      <c r="W786" s="6" t="str">
        <f>IFERROR(__xludf.DUMMYFUNCTION("""COMPUTED_VALUE"""),"alexandramunozbedoya@gmail.com")</f>
        <v>alexandramunozbedoya@gmail.com</v>
      </c>
      <c r="X786" s="12" t="str">
        <f>IFERROR(__xludf.DUMMYFUNCTION("""COMPUTED_VALUE"""),"A+")</f>
        <v>A+</v>
      </c>
      <c r="Y786" s="12" t="str">
        <f>IFERROR(__xludf.DUMMYFUNCTION("""COMPUTED_VALUE"""),"12")</f>
        <v>12</v>
      </c>
      <c r="Z786" s="12">
        <f>IFERROR(__xludf.DUMMYFUNCTION("""COMPUTED_VALUE"""),120027.0)</f>
        <v>120027</v>
      </c>
      <c r="AA786" s="6" t="str">
        <f>IFERROR(__xludf.DUMMYFUNCTION("""COMPUTED_VALUE"""),"SANITAS")</f>
        <v>SANITAS</v>
      </c>
      <c r="AB786" s="6" t="str">
        <f>IFERROR(__xludf.DUMMYFUNCTION("""COMPUTED_VALUE"""),"EMI")</f>
        <v>EMI</v>
      </c>
      <c r="AC786" s="12" t="str">
        <f>IFERROR(__xludf.DUMMYFUNCTION("""COMPUTED_VALUE"""),"Ranitidina")</f>
        <v>Ranitidina</v>
      </c>
      <c r="AD786" s="12" t="str">
        <f>IFERROR(__xludf.DUMMYFUNCTION("""COMPUTED_VALUE"""),"12")</f>
        <v>12</v>
      </c>
      <c r="AE786" s="12">
        <f>IFERROR(__xludf.DUMMYFUNCTION("""COMPUTED_VALUE"""),1.345282024E9)</f>
        <v>1345282024</v>
      </c>
      <c r="AF786" s="12" t="str">
        <f>IFERROR(__xludf.DUMMYFUNCTION("""COMPUTED_VALUE"""),"0652055731")</f>
        <v>0652055731</v>
      </c>
      <c r="AG786" s="12" t="str">
        <f>IFERROR(__xludf.DUMMYFUNCTION("""COMPUTED_VALUE"""),"Alexandra")</f>
        <v>Alexandra</v>
      </c>
      <c r="AH786" s="6"/>
      <c r="AI786" s="6" t="str">
        <f>IFERROR(__xludf.DUMMYFUNCTION("""COMPUTED_VALUE"""),"Muñoz Bedoya")</f>
        <v>Muñoz Bedoya</v>
      </c>
      <c r="AJ786" s="6" t="str">
        <f>IFERROR(__xludf.DUMMYFUNCTION("""COMPUTED_VALUE"""),"alexandramunozbedoya@gmail.com")</f>
        <v>alexandramunozbedoya@gmail.com</v>
      </c>
      <c r="AK786" s="6"/>
      <c r="AL786" s="6"/>
      <c r="AM786" s="12" t="str">
        <f>IFERROR(__xludf.DUMMYFUNCTION("""COMPUTED_VALUE"""),"41959798")</f>
        <v>41959798</v>
      </c>
      <c r="AN786" s="12" t="str">
        <f>IFERROR(__xludf.DUMMYFUNCTION("""COMPUTED_VALUE"""),"3188780914")</f>
        <v>3188780914</v>
      </c>
      <c r="AO786" s="6" t="str">
        <f>IFERROR(__xludf.DUMMYFUNCTION("""COMPUTED_VALUE"""),"Madre")</f>
        <v>Madre</v>
      </c>
      <c r="AP786" s="6" t="str">
        <f>IFERROR(__xludf.DUMMYFUNCTION("""COMPUTED_VALUE"""),"Estudiante(s): Giraldo Muñoz")</f>
        <v>Estudiante(s): Giraldo Muñoz</v>
      </c>
      <c r="AQ786" s="6" t="str">
        <f>IFERROR(__xludf.DUMMYFUNCTION("""COMPUTED_VALUE"""),"120027*Gi")</f>
        <v>120027*Gi</v>
      </c>
      <c r="AR786" s="6" t="str">
        <f>IFERROR(__xludf.DUMMYFUNCTION("""COMPUTED_VALUE"""),"Bernardo")</f>
        <v>Bernardo</v>
      </c>
      <c r="AS786" s="6"/>
      <c r="AT786" s="6" t="str">
        <f>IFERROR(__xludf.DUMMYFUNCTION("""COMPUTED_VALUE"""),"Giraldo Zuluaga")</f>
        <v>Giraldo Zuluaga</v>
      </c>
      <c r="AU786" s="6" t="str">
        <f>IFERROR(__xludf.DUMMYFUNCTION("""COMPUTED_VALUE"""),"bernardogiraldozuluaga@gmail.com")</f>
        <v>bernardogiraldozuluaga@gmail.com</v>
      </c>
      <c r="AV786" s="6" t="str">
        <f>IFERROR(__xludf.DUMMYFUNCTION("""COMPUTED_VALUE"""),"Comerciante")</f>
        <v>Comerciante</v>
      </c>
      <c r="AW786" s="6" t="str">
        <f>IFERROR(__xludf.DUMMYFUNCTION("""COMPUTED_VALUE"""),"Quesera Granada")</f>
        <v>Quesera Granada</v>
      </c>
      <c r="AX786" s="12" t="str">
        <f>IFERROR(__xludf.DUMMYFUNCTION("""COMPUTED_VALUE"""),"4376230")</f>
        <v>4376230</v>
      </c>
      <c r="AY786" s="12" t="str">
        <f>IFERROR(__xludf.DUMMYFUNCTION("""COMPUTED_VALUE"""),"3187957531")</f>
        <v>3187957531</v>
      </c>
      <c r="AZ786" s="6" t="str">
        <f>IFERROR(__xludf.DUMMYFUNCTION("""COMPUTED_VALUE"""),"Padre")</f>
        <v>Padre</v>
      </c>
      <c r="BA786" s="6"/>
      <c r="BB786" s="6"/>
      <c r="BC786" s="6"/>
      <c r="BD786" s="12" t="str">
        <f>IFERROR(__xludf.DUMMYFUNCTION("""COMPUTED_VALUE"""),"gir0003")</f>
        <v>gir0003</v>
      </c>
      <c r="BE786" s="6" t="str">
        <f>IFERROR(__xludf.DUMMYFUNCTION("""COMPUTED_VALUE"""),"FALTAN FIRMAS")</f>
        <v>FALTAN FIRMAS</v>
      </c>
      <c r="BF786" s="6"/>
      <c r="BG786" s="6">
        <f>IFERROR(__xludf.DUMMYFUNCTION("""COMPUTED_VALUE"""),2027.0)</f>
        <v>2027</v>
      </c>
      <c r="BH786" s="15">
        <f>IFERROR(__xludf.DUMMYFUNCTION("""COMPUTED_VALUE"""),46211.78636574074)</f>
        <v>46211.78637</v>
      </c>
      <c r="BI786" s="6">
        <f>IFERROR(__xludf.DUMMYFUNCTION("""COMPUTED_VALUE"""),787.0)</f>
        <v>787</v>
      </c>
      <c r="BJ786" s="6"/>
      <c r="BK786" s="6"/>
      <c r="BL786" s="6" t="str">
        <f>IFERROR(__xludf.DUMMYFUNCTION("""COMPUTED_VALUE"""),"GISGIR0003")</f>
        <v>GISGIR0003</v>
      </c>
      <c r="BM786" s="6"/>
      <c r="BN786" s="6"/>
      <c r="BO786" s="6"/>
      <c r="BP786" s="6"/>
      <c r="BQ786" s="6"/>
      <c r="BR786" s="6"/>
      <c r="BS786" s="6"/>
      <c r="BT786" s="6"/>
      <c r="BU786" s="6" t="str">
        <f>IFERROR(__xludf.DUMMYFUNCTION("""COMPUTED_VALUE"""),"SI")</f>
        <v>SI</v>
      </c>
      <c r="BV786" s="6" t="str">
        <f>IFERROR(__xludf.DUMMYFUNCTION("""COMPUTED_VALUE"""),"mariana.g2027")</f>
        <v>mariana.g2027</v>
      </c>
      <c r="BW786" s="6"/>
      <c r="BX786" s="6"/>
      <c r="BY786" s="6"/>
      <c r="BZ786" s="6"/>
    </row>
    <row r="787">
      <c r="A787" s="12">
        <f>IFERROR(__xludf.DUMMYFUNCTION("""COMPUTED_VALUE"""),1.034994162E9)</f>
        <v>1034994162</v>
      </c>
      <c r="B787" s="6">
        <f>IFERROR(__xludf.DUMMYFUNCTION("""COMPUTED_VALUE"""),21.0)</f>
        <v>21</v>
      </c>
      <c r="C787" s="6" t="str">
        <f>IFERROR(__xludf.DUMMYFUNCTION("""COMPUTED_VALUE"""),"Adelaida")</f>
        <v>Adelaida</v>
      </c>
      <c r="D787" s="6"/>
      <c r="E787" s="6" t="str">
        <f>IFERROR(__xludf.DUMMYFUNCTION("""COMPUTED_VALUE"""),"Gómez Echeverry")</f>
        <v>Gómez Echeverry</v>
      </c>
      <c r="F787" s="6" t="str">
        <f>IFERROR(__xludf.DUMMYFUNCTION("""COMPUTED_VALUE"""),"Quintas De San Julian Casa 13 Cra 13 No24Nte 00 - COINCA")</f>
        <v>Quintas De San Julian Casa 13 Cra 13 No24Nte 00 - COINCA</v>
      </c>
      <c r="G787" s="12" t="str">
        <f>IFERROR(__xludf.DUMMYFUNCTION("""COMPUTED_VALUE"""),"2009")</f>
        <v>2009</v>
      </c>
      <c r="H787" s="6" t="str">
        <f>IFERROR(__xludf.DUMMYFUNCTION("""COMPUTED_VALUE"""),"Febrero")</f>
        <v>Febrero</v>
      </c>
      <c r="I787" s="12" t="str">
        <f>IFERROR(__xludf.DUMMYFUNCTION("""COMPUTED_VALUE"""),"18")</f>
        <v>18</v>
      </c>
      <c r="J787" s="6" t="str">
        <f>IFERROR(__xludf.DUMMYFUNCTION("""COMPUTED_VALUE"""),"Medellín")</f>
        <v>Medellín</v>
      </c>
      <c r="K787" s="6" t="str">
        <f>IFERROR(__xludf.DUMMYFUNCTION("""COMPUTED_VALUE"""),"adelaida.g2026@gi.edu.co")</f>
        <v>adelaida.g2026@gi.edu.co</v>
      </c>
      <c r="L787" s="6" t="str">
        <f>IFERROR(__xludf.DUMMYFUNCTION("""COMPUTED_VALUE"""),"TI")</f>
        <v>TI</v>
      </c>
      <c r="M787" s="6" t="str">
        <f>IFERROR(__xludf.DUMMYFUNCTION("""COMPUTED_VALUE"""),"Armenia")</f>
        <v>Armenia</v>
      </c>
      <c r="N787" s="6" t="str">
        <f>IFERROR(__xludf.DUMMYFUNCTION("""COMPUTED_VALUE"""),"F")</f>
        <v>F</v>
      </c>
      <c r="O787" s="6" t="str">
        <f>IFERROR(__xludf.DUMMYFUNCTION("""COMPUTED_VALUE"""),"ACTIVE")</f>
        <v>ACTIVE</v>
      </c>
      <c r="P787" s="6"/>
      <c r="Q787" s="6" t="str">
        <f>IFERROR(__xludf.DUMMYFUNCTION("""COMPUTED_VALUE"""),"Armenia")</f>
        <v>Armenia</v>
      </c>
      <c r="R787" s="12" t="str">
        <f>IFERROR(__xludf.DUMMYFUNCTION("""COMPUTED_VALUE"""),"Gi65823d99*")</f>
        <v>Gi65823d99*</v>
      </c>
      <c r="S787" s="6" t="str">
        <f>IFERROR(__xludf.DUMMYFUNCTION("""COMPUTED_VALUE"""),"Gómez Echeverry Adelaida ")</f>
        <v>Gómez Echeverry Adelaida </v>
      </c>
      <c r="T787" s="6" t="str">
        <f>IFERROR(__xludf.DUMMYFUNCTION("""COMPUTED_VALUE"""),"LUISA FERNANDA ECHEVERRY ÁLVAREZ")</f>
        <v>LUISA FERNANDA ECHEVERRY ÁLVAREZ</v>
      </c>
      <c r="U787" s="12" t="str">
        <f>IFERROR(__xludf.DUMMYFUNCTION("""COMPUTED_VALUE"""),"41949353")</f>
        <v>41949353</v>
      </c>
      <c r="V787" s="6">
        <f>IFERROR(__xludf.DUMMYFUNCTION("""COMPUTED_VALUE"""),3.105003628E9)</f>
        <v>3105003628</v>
      </c>
      <c r="W787" s="6" t="str">
        <f>IFERROR(__xludf.DUMMYFUNCTION("""COMPUTED_VALUE"""),"echeverri.luisa@gmail.com")</f>
        <v>echeverri.luisa@gmail.com</v>
      </c>
      <c r="X787" s="12" t="str">
        <f>IFERROR(__xludf.DUMMYFUNCTION("""COMPUTED_VALUE"""),"O+")</f>
        <v>O+</v>
      </c>
      <c r="Y787" s="12" t="str">
        <f>IFERROR(__xludf.DUMMYFUNCTION("""COMPUTED_VALUE"""),"12")</f>
        <v>12</v>
      </c>
      <c r="Z787" s="12">
        <f>IFERROR(__xludf.DUMMYFUNCTION("""COMPUTED_VALUE"""),102697.0)</f>
        <v>102697</v>
      </c>
      <c r="AA787" s="6" t="str">
        <f>IFERROR(__xludf.DUMMYFUNCTION("""COMPUTED_VALUE"""),"SURA")</f>
        <v>SURA</v>
      </c>
      <c r="AB787" s="6" t="str">
        <f>IFERROR(__xludf.DUMMYFUNCTION("""COMPUTED_VALUE"""),"EMI")</f>
        <v>EMI</v>
      </c>
      <c r="AC787" s="6"/>
      <c r="AD787" s="12" t="str">
        <f>IFERROR(__xludf.DUMMYFUNCTION("""COMPUTED_VALUE"""),"12")</f>
        <v>12</v>
      </c>
      <c r="AE787" s="12">
        <f>IFERROR(__xludf.DUMMYFUNCTION("""COMPUTED_VALUE"""),1.345281359E9)</f>
        <v>1345281359</v>
      </c>
      <c r="AF787" s="12" t="str">
        <f>IFERROR(__xludf.DUMMYFUNCTION("""COMPUTED_VALUE"""),"0685532051")</f>
        <v>0685532051</v>
      </c>
      <c r="AG787" s="12" t="str">
        <f>IFERROR(__xludf.DUMMYFUNCTION("""COMPUTED_VALUE"""),"Luisa")</f>
        <v>Luisa</v>
      </c>
      <c r="AH787" s="12" t="str">
        <f>IFERROR(__xludf.DUMMYFUNCTION("""COMPUTED_VALUE"""),"Fernanda")</f>
        <v>Fernanda</v>
      </c>
      <c r="AI787" s="6" t="str">
        <f>IFERROR(__xludf.DUMMYFUNCTION("""COMPUTED_VALUE"""),"Echeverry Álvarez")</f>
        <v>Echeverry Álvarez</v>
      </c>
      <c r="AJ787" s="6" t="str">
        <f>IFERROR(__xludf.DUMMYFUNCTION("""COMPUTED_VALUE"""),"echeverri.luisa@gmail.com")</f>
        <v>echeverri.luisa@gmail.com</v>
      </c>
      <c r="AK787" s="6" t="str">
        <f>IFERROR(__xludf.DUMMYFUNCTION("""COMPUTED_VALUE"""),"publicidad")</f>
        <v>publicidad</v>
      </c>
      <c r="AL787" s="6" t="str">
        <f>IFERROR(__xludf.DUMMYFUNCTION("""COMPUTED_VALUE"""),"joyeria brieva")</f>
        <v>joyeria brieva</v>
      </c>
      <c r="AM787" s="12" t="str">
        <f>IFERROR(__xludf.DUMMYFUNCTION("""COMPUTED_VALUE"""),"41949353")</f>
        <v>41949353</v>
      </c>
      <c r="AN787" s="12" t="str">
        <f>IFERROR(__xludf.DUMMYFUNCTION("""COMPUTED_VALUE"""),"3105003628")</f>
        <v>3105003628</v>
      </c>
      <c r="AO787" s="6" t="str">
        <f>IFERROR(__xludf.DUMMYFUNCTION("""COMPUTED_VALUE"""),"Madre")</f>
        <v>Madre</v>
      </c>
      <c r="AP787" s="6" t="str">
        <f>IFERROR(__xludf.DUMMYFUNCTION("""COMPUTED_VALUE"""),"Estudiante(s): Gómez Echeverry")</f>
        <v>Estudiante(s): Gómez Echeverry</v>
      </c>
      <c r="AQ787" s="6" t="str">
        <f>IFERROR(__xludf.DUMMYFUNCTION("""COMPUTED_VALUE"""),"102697*Gi")</f>
        <v>102697*Gi</v>
      </c>
      <c r="AR787" s="6" t="str">
        <f>IFERROR(__xludf.DUMMYFUNCTION("""COMPUTED_VALUE"""),"Javier")</f>
        <v>Javier</v>
      </c>
      <c r="AS787" s="6" t="str">
        <f>IFERROR(__xludf.DUMMYFUNCTION("""COMPUTED_VALUE"""),"Alberto")</f>
        <v>Alberto</v>
      </c>
      <c r="AT787" s="6" t="str">
        <f>IFERROR(__xludf.DUMMYFUNCTION("""COMPUTED_VALUE"""),"Gómez Gómez")</f>
        <v>Gómez Gómez</v>
      </c>
      <c r="AU787" s="6" t="str">
        <f>IFERROR(__xludf.DUMMYFUNCTION("""COMPUTED_VALUE"""),"echeverri.luisa@gmail.com")</f>
        <v>echeverri.luisa@gmail.com</v>
      </c>
      <c r="AV787" s="6"/>
      <c r="AW787" s="6"/>
      <c r="AX787" s="12" t="str">
        <f>IFERROR(__xludf.DUMMYFUNCTION("""COMPUTED_VALUE"""),"71788305")</f>
        <v>71788305</v>
      </c>
      <c r="AY787" s="12" t="str">
        <f>IFERROR(__xludf.DUMMYFUNCTION("""COMPUTED_VALUE"""),"3147270597")</f>
        <v>3147270597</v>
      </c>
      <c r="AZ787" s="6" t="str">
        <f>IFERROR(__xludf.DUMMYFUNCTION("""COMPUTED_VALUE"""),"Padre")</f>
        <v>Padre</v>
      </c>
      <c r="BA787" s="6"/>
      <c r="BB787" s="6"/>
      <c r="BC787" s="6"/>
      <c r="BD787" s="12" t="str">
        <f>IFERROR(__xludf.DUMMYFUNCTION("""COMPUTED_VALUE"""),"gme0014")</f>
        <v>gme0014</v>
      </c>
      <c r="BE787" s="6"/>
      <c r="BF787" s="6"/>
      <c r="BG787" s="6">
        <f>IFERROR(__xludf.DUMMYFUNCTION("""COMPUTED_VALUE"""),2027.0)</f>
        <v>2027</v>
      </c>
      <c r="BH787" s="15">
        <f>IFERROR(__xludf.DUMMYFUNCTION("""COMPUTED_VALUE"""),46212.35884259259)</f>
        <v>46212.35884</v>
      </c>
      <c r="BI787" s="6">
        <f>IFERROR(__xludf.DUMMYFUNCTION("""COMPUTED_VALUE"""),788.0)</f>
        <v>788</v>
      </c>
      <c r="BJ787" s="6"/>
      <c r="BK787" s="6"/>
      <c r="BL787" s="6" t="str">
        <f>IFERROR(__xludf.DUMMYFUNCTION("""COMPUTED_VALUE"""),"GISGME0014")</f>
        <v>GISGME0014</v>
      </c>
      <c r="BM787" s="6"/>
      <c r="BN787" s="6"/>
      <c r="BO787" s="6"/>
      <c r="BP787" s="6"/>
      <c r="BQ787" s="6"/>
      <c r="BR787" s="6"/>
      <c r="BS787" s="6"/>
      <c r="BT787" s="6"/>
      <c r="BU787" s="6" t="str">
        <f>IFERROR(__xludf.DUMMYFUNCTION("""COMPUTED_VALUE"""),"SI")</f>
        <v>SI</v>
      </c>
      <c r="BV787" s="6" t="str">
        <f>IFERROR(__xludf.DUMMYFUNCTION("""COMPUTED_VALUE"""),"adelaida.g2026")</f>
        <v>adelaida.g2026</v>
      </c>
      <c r="BW787" s="6"/>
      <c r="BX787" s="6"/>
      <c r="BY787" s="6"/>
      <c r="BZ787" s="6"/>
    </row>
    <row r="788">
      <c r="A788" s="12">
        <f>IFERROR(__xludf.DUMMYFUNCTION("""COMPUTED_VALUE"""),1.092854115E9)</f>
        <v>1092854115</v>
      </c>
      <c r="B788" s="6">
        <f>IFERROR(__xludf.DUMMYFUNCTION("""COMPUTED_VALUE"""),22.0)</f>
        <v>22</v>
      </c>
      <c r="C788" s="6" t="str">
        <f>IFERROR(__xludf.DUMMYFUNCTION("""COMPUTED_VALUE"""),"Ana")</f>
        <v>Ana</v>
      </c>
      <c r="D788" s="6" t="str">
        <f>IFERROR(__xludf.DUMMYFUNCTION("""COMPUTED_VALUE"""),"Lucía")</f>
        <v>Lucía</v>
      </c>
      <c r="E788" s="6" t="str">
        <f>IFERROR(__xludf.DUMMYFUNCTION("""COMPUTED_VALUE"""),"González Galvis")</f>
        <v>González Galvis</v>
      </c>
      <c r="F788" s="6" t="str">
        <f>IFERROR(__xludf.DUMMYFUNCTION("""COMPUTED_VALUE"""),"Condominio Pradera Boreal Casa 3 - Km. 5 Via Armenia Pereira")</f>
        <v>Condominio Pradera Boreal Casa 3 - Km. 5 Via Armenia Pereira</v>
      </c>
      <c r="G788" s="12" t="str">
        <f>IFERROR(__xludf.DUMMYFUNCTION("""COMPUTED_VALUE"""),"2009")</f>
        <v>2009</v>
      </c>
      <c r="H788" s="6" t="str">
        <f>IFERROR(__xludf.DUMMYFUNCTION("""COMPUTED_VALUE"""),"Marzo")</f>
        <v>Marzo</v>
      </c>
      <c r="I788" s="12" t="str">
        <f>IFERROR(__xludf.DUMMYFUNCTION("""COMPUTED_VALUE"""),"3")</f>
        <v>3</v>
      </c>
      <c r="J788" s="6" t="str">
        <f>IFERROR(__xludf.DUMMYFUNCTION("""COMPUTED_VALUE"""),"Armenia")</f>
        <v>Armenia</v>
      </c>
      <c r="K788" s="6" t="str">
        <f>IFERROR(__xludf.DUMMYFUNCTION("""COMPUTED_VALUE"""),"ana.g2027@gi.edu.co")</f>
        <v>ana.g2027@gi.edu.co</v>
      </c>
      <c r="L788" s="6" t="str">
        <f>IFERROR(__xludf.DUMMYFUNCTION("""COMPUTED_VALUE"""),"TI")</f>
        <v>TI</v>
      </c>
      <c r="M788" s="6" t="str">
        <f>IFERROR(__xludf.DUMMYFUNCTION("""COMPUTED_VALUE"""),"Salento")</f>
        <v>Salento</v>
      </c>
      <c r="N788" s="6" t="str">
        <f>IFERROR(__xludf.DUMMYFUNCTION("""COMPUTED_VALUE"""),"F")</f>
        <v>F</v>
      </c>
      <c r="O788" s="6" t="str">
        <f>IFERROR(__xludf.DUMMYFUNCTION("""COMPUTED_VALUE"""),"INACTIVE")</f>
        <v>INACTIVE</v>
      </c>
      <c r="P788" s="6"/>
      <c r="Q788" s="6" t="str">
        <f>IFERROR(__xludf.DUMMYFUNCTION("""COMPUTED_VALUE"""),"Armenia")</f>
        <v>Armenia</v>
      </c>
      <c r="R788" s="12" t="str">
        <f>IFERROR(__xludf.DUMMYFUNCTION("""COMPUTED_VALUE"""),"Gij3t6p*")</f>
        <v>Gij3t6p*</v>
      </c>
      <c r="S788" s="6" t="str">
        <f>IFERROR(__xludf.DUMMYFUNCTION("""COMPUTED_VALUE"""),"González Galvis Ana Lucía")</f>
        <v>González Galvis Ana Lucía</v>
      </c>
      <c r="T788" s="6" t="str">
        <f>IFERROR(__xludf.DUMMYFUNCTION("""COMPUTED_VALUE"""),"JAIRO GONZALEZ MONTOYA")</f>
        <v>JAIRO GONZALEZ MONTOYA</v>
      </c>
      <c r="U788" s="12" t="str">
        <f>IFERROR(__xludf.DUMMYFUNCTION("""COMPUTED_VALUE"""),"7561436")</f>
        <v>7561436</v>
      </c>
      <c r="V788" s="6">
        <f>IFERROR(__xludf.DUMMYFUNCTION("""COMPUTED_VALUE"""),3.104147319E9)</f>
        <v>3104147319</v>
      </c>
      <c r="W788" s="6" t="str">
        <f>IFERROR(__xludf.DUMMYFUNCTION("""COMPUTED_VALUE"""),"jagomos1@hotmail.com")</f>
        <v>jagomos1@hotmail.com</v>
      </c>
      <c r="X788" s="12" t="str">
        <f>IFERROR(__xludf.DUMMYFUNCTION("""COMPUTED_VALUE"""),"B+")</f>
        <v>B+</v>
      </c>
      <c r="Y788" s="12" t="str">
        <f>IFERROR(__xludf.DUMMYFUNCTION("""COMPUTED_VALUE"""),"12")</f>
        <v>12</v>
      </c>
      <c r="Z788" s="12">
        <f>IFERROR(__xludf.DUMMYFUNCTION("""COMPUTED_VALUE"""),120309.0)</f>
        <v>120309</v>
      </c>
      <c r="AA788" s="6" t="str">
        <f>IFERROR(__xludf.DUMMYFUNCTION("""COMPUTED_VALUE"""),"SURA")</f>
        <v>SURA</v>
      </c>
      <c r="AB788" s="6"/>
      <c r="AC788" s="6"/>
      <c r="AD788" s="12" t="str">
        <f>IFERROR(__xludf.DUMMYFUNCTION("""COMPUTED_VALUE"""),"12")</f>
        <v>12</v>
      </c>
      <c r="AE788" s="12">
        <f>IFERROR(__xludf.DUMMYFUNCTION("""COMPUTED_VALUE"""),1.345282303E9)</f>
        <v>1345282303</v>
      </c>
      <c r="AF788" s="12" t="str">
        <f>IFERROR(__xludf.DUMMYFUNCTION("""COMPUTED_VALUE"""),"0708553971")</f>
        <v>0708553971</v>
      </c>
      <c r="AG788" s="12" t="str">
        <f>IFERROR(__xludf.DUMMYFUNCTION("""COMPUTED_VALUE"""),"Claudia")</f>
        <v>Claudia</v>
      </c>
      <c r="AH788" s="12" t="str">
        <f>IFERROR(__xludf.DUMMYFUNCTION("""COMPUTED_VALUE"""),"Marcela")</f>
        <v>Marcela</v>
      </c>
      <c r="AI788" s="6" t="str">
        <f>IFERROR(__xludf.DUMMYFUNCTION("""COMPUTED_VALUE"""),"Galvis Bedoya")</f>
        <v>Galvis Bedoya</v>
      </c>
      <c r="AJ788" s="6" t="str">
        <f>IFERROR(__xludf.DUMMYFUNCTION("""COMPUTED_VALUE"""),"marcela.galvis2302@gmail.com")</f>
        <v>marcela.galvis2302@gmail.com</v>
      </c>
      <c r="AK788" s="6" t="str">
        <f>IFERROR(__xludf.DUMMYFUNCTION("""COMPUTED_VALUE"""),"Diseñadora Arquitectónica")</f>
        <v>Diseñadora Arquitectónica</v>
      </c>
      <c r="AL788" s="6"/>
      <c r="AM788" s="12" t="str">
        <f>IFERROR(__xludf.DUMMYFUNCTION("""COMPUTED_VALUE"""),"41943116")</f>
        <v>41943116</v>
      </c>
      <c r="AN788" s="12" t="str">
        <f>IFERROR(__xludf.DUMMYFUNCTION("""COMPUTED_VALUE"""),"3217595489")</f>
        <v>3217595489</v>
      </c>
      <c r="AO788" s="6" t="str">
        <f>IFERROR(__xludf.DUMMYFUNCTION("""COMPUTED_VALUE"""),"Madre")</f>
        <v>Madre</v>
      </c>
      <c r="AP788" s="6" t="str">
        <f>IFERROR(__xludf.DUMMYFUNCTION("""COMPUTED_VALUE"""),"Estudiante(s): González Galvis")</f>
        <v>Estudiante(s): González Galvis</v>
      </c>
      <c r="AQ788" s="6" t="str">
        <f>IFERROR(__xludf.DUMMYFUNCTION("""COMPUTED_VALUE"""),"120309*Gi")</f>
        <v>120309*Gi</v>
      </c>
      <c r="AR788" s="6" t="str">
        <f>IFERROR(__xludf.DUMMYFUNCTION("""COMPUTED_VALUE"""),"Jairo")</f>
        <v>Jairo</v>
      </c>
      <c r="AS788" s="6"/>
      <c r="AT788" s="6" t="str">
        <f>IFERROR(__xludf.DUMMYFUNCTION("""COMPUTED_VALUE"""),"González Montoya")</f>
        <v>González Montoya</v>
      </c>
      <c r="AU788" s="6" t="str">
        <f>IFERROR(__xludf.DUMMYFUNCTION("""COMPUTED_VALUE"""),"jagomos1@hotmail.com")</f>
        <v>jagomos1@hotmail.com</v>
      </c>
      <c r="AV788" s="6" t="str">
        <f>IFERROR(__xludf.DUMMYFUNCTION("""COMPUTED_VALUE"""),"Abogado")</f>
        <v>Abogado</v>
      </c>
      <c r="AW788" s="6"/>
      <c r="AX788" s="12" t="str">
        <f>IFERROR(__xludf.DUMMYFUNCTION("""COMPUTED_VALUE"""),"7561436")</f>
        <v>7561436</v>
      </c>
      <c r="AY788" s="12" t="str">
        <f>IFERROR(__xludf.DUMMYFUNCTION("""COMPUTED_VALUE"""),"3104147319")</f>
        <v>3104147319</v>
      </c>
      <c r="AZ788" s="6" t="str">
        <f>IFERROR(__xludf.DUMMYFUNCTION("""COMPUTED_VALUE"""),"Padre")</f>
        <v>Padre</v>
      </c>
      <c r="BA788" s="6"/>
      <c r="BB788" s="6"/>
      <c r="BC788" s="6"/>
      <c r="BD788" s="12" t="str">
        <f>IFERROR(__xludf.DUMMYFUNCTION("""COMPUTED_VALUE"""),"gal0007")</f>
        <v>gal0007</v>
      </c>
      <c r="BE788" s="6" t="str">
        <f>IFERROR(__xludf.DUMMYFUNCTION("""COMPUTED_VALUE"""),"FALTAN FIRMAS")</f>
        <v>FALTAN FIRMAS</v>
      </c>
      <c r="BF788" s="6"/>
      <c r="BG788" s="6">
        <f>IFERROR(__xludf.DUMMYFUNCTION("""COMPUTED_VALUE"""),2027.0)</f>
        <v>2027</v>
      </c>
      <c r="BH788" s="15">
        <f>IFERROR(__xludf.DUMMYFUNCTION("""COMPUTED_VALUE"""),46209.88414351852)</f>
        <v>46209.88414</v>
      </c>
      <c r="BI788" s="6">
        <f>IFERROR(__xludf.DUMMYFUNCTION("""COMPUTED_VALUE"""),789.0)</f>
        <v>789</v>
      </c>
      <c r="BJ788" s="6" t="str">
        <f>IFERROR(__xludf.DUMMYFUNCTION("""COMPUTED_VALUE"""),"SIMAT: Trastornos específicos de aprendizaje escolar (Noviembre 13/2024 )")</f>
        <v>SIMAT: Trastornos específicos de aprendizaje escolar (Noviembre 13/2024 )</v>
      </c>
      <c r="BK788" s="6"/>
      <c r="BL788" s="6" t="str">
        <f>IFERROR(__xludf.DUMMYFUNCTION("""COMPUTED_VALUE"""),"GISGAL0007")</f>
        <v>GISGAL0007</v>
      </c>
      <c r="BM788" s="6"/>
      <c r="BN788" s="6"/>
      <c r="BO788" s="6"/>
      <c r="BP788" s="6"/>
      <c r="BQ788" s="6"/>
      <c r="BR788" s="6"/>
      <c r="BS788" s="6"/>
      <c r="BT788" s="6"/>
      <c r="BU788" s="6" t="str">
        <f>IFERROR(__xludf.DUMMYFUNCTION("""COMPUTED_VALUE"""),"SI")</f>
        <v>SI</v>
      </c>
      <c r="BV788" s="6" t="str">
        <f>IFERROR(__xludf.DUMMYFUNCTION("""COMPUTED_VALUE"""),"ana.g2027")</f>
        <v>ana.g2027</v>
      </c>
      <c r="BW788" s="6"/>
      <c r="BX788" s="6"/>
      <c r="BY788" s="6"/>
      <c r="BZ788" s="6"/>
    </row>
    <row r="789">
      <c r="A789" s="12">
        <f>IFERROR(__xludf.DUMMYFUNCTION("""COMPUTED_VALUE"""),1.125271229E9)</f>
        <v>1125271229</v>
      </c>
      <c r="B789" s="6">
        <f>IFERROR(__xludf.DUMMYFUNCTION("""COMPUTED_VALUE"""),23.0)</f>
        <v>23</v>
      </c>
      <c r="C789" s="6" t="str">
        <f>IFERROR(__xludf.DUMMYFUNCTION("""COMPUTED_VALUE"""),"Sofía")</f>
        <v>Sofía</v>
      </c>
      <c r="D789" s="6"/>
      <c r="E789" s="6" t="str">
        <f>IFERROR(__xludf.DUMMYFUNCTION("""COMPUTED_VALUE"""),"González Rodríguez")</f>
        <v>González Rodríguez</v>
      </c>
      <c r="F789" s="6" t="str">
        <f>IFERROR(__xludf.DUMMYFUNCTION("""COMPUTED_VALUE"""),"Edificio Prive Apto 1002 - Cra 10 11Nte - 40 La Castellana")</f>
        <v>Edificio Prive Apto 1002 - Cra 10 11Nte - 40 La Castellana</v>
      </c>
      <c r="G789" s="12" t="str">
        <f>IFERROR(__xludf.DUMMYFUNCTION("""COMPUTED_VALUE"""),"2008")</f>
        <v>2008</v>
      </c>
      <c r="H789" s="6" t="str">
        <f>IFERROR(__xludf.DUMMYFUNCTION("""COMPUTED_VALUE"""),"Noviembre")</f>
        <v>Noviembre</v>
      </c>
      <c r="I789" s="12" t="str">
        <f>IFERROR(__xludf.DUMMYFUNCTION("""COMPUTED_VALUE"""),"13")</f>
        <v>13</v>
      </c>
      <c r="J789" s="6" t="str">
        <f>IFERROR(__xludf.DUMMYFUNCTION("""COMPUTED_VALUE"""),"Barcelona")</f>
        <v>Barcelona</v>
      </c>
      <c r="K789" s="6" t="str">
        <f>IFERROR(__xludf.DUMMYFUNCTION("""COMPUTED_VALUE"""),"sofia.gr2027@gi.edu.co")</f>
        <v>sofia.gr2027@gi.edu.co</v>
      </c>
      <c r="L789" s="6" t="str">
        <f>IFERROR(__xludf.DUMMYFUNCTION("""COMPUTED_VALUE"""),"TI")</f>
        <v>TI</v>
      </c>
      <c r="M789" s="6" t="str">
        <f>IFERROR(__xludf.DUMMYFUNCTION("""COMPUTED_VALUE"""),"Armenia")</f>
        <v>Armenia</v>
      </c>
      <c r="N789" s="6" t="str">
        <f>IFERROR(__xludf.DUMMYFUNCTION("""COMPUTED_VALUE"""),"F")</f>
        <v>F</v>
      </c>
      <c r="O789" s="6" t="str">
        <f>IFERROR(__xludf.DUMMYFUNCTION("""COMPUTED_VALUE"""),"ACTIVE")</f>
        <v>ACTIVE</v>
      </c>
      <c r="P789" s="6"/>
      <c r="Q789" s="6" t="str">
        <f>IFERROR(__xludf.DUMMYFUNCTION("""COMPUTED_VALUE"""),"Armenia")</f>
        <v>Armenia</v>
      </c>
      <c r="R789" s="12" t="str">
        <f>IFERROR(__xludf.DUMMYFUNCTION("""COMPUTED_VALUE"""),"Gidn6d92gt*")</f>
        <v>Gidn6d92gt*</v>
      </c>
      <c r="S789" s="6" t="str">
        <f>IFERROR(__xludf.DUMMYFUNCTION("""COMPUTED_VALUE"""),"González Rodríguez Sofía ")</f>
        <v>González Rodríguez Sofía </v>
      </c>
      <c r="T789" s="6" t="str">
        <f>IFERROR(__xludf.DUMMYFUNCTION("""COMPUTED_VALUE"""),"SANDRA MILENA RODRÍGUEZ ALZATE")</f>
        <v>SANDRA MILENA RODRÍGUEZ ALZATE</v>
      </c>
      <c r="U789" s="12" t="str">
        <f>IFERROR(__xludf.DUMMYFUNCTION("""COMPUTED_VALUE"""),"41953292")</f>
        <v>41953292</v>
      </c>
      <c r="V789" s="6">
        <f>IFERROR(__xludf.DUMMYFUNCTION("""COMPUTED_VALUE"""),3.00319853E9)</f>
        <v>3003198530</v>
      </c>
      <c r="W789" s="6" t="str">
        <f>IFERROR(__xludf.DUMMYFUNCTION("""COMPUTED_VALUE"""),"samyta0502@gmail.com")</f>
        <v>samyta0502@gmail.com</v>
      </c>
      <c r="X789" s="12" t="str">
        <f>IFERROR(__xludf.DUMMYFUNCTION("""COMPUTED_VALUE"""),"A-")</f>
        <v>A-</v>
      </c>
      <c r="Y789" s="12" t="str">
        <f>IFERROR(__xludf.DUMMYFUNCTION("""COMPUTED_VALUE"""),"12")</f>
        <v>12</v>
      </c>
      <c r="Z789" s="12">
        <f>IFERROR(__xludf.DUMMYFUNCTION("""COMPUTED_VALUE"""),103409.0)</f>
        <v>103409</v>
      </c>
      <c r="AA789" s="6" t="str">
        <f>IFERROR(__xludf.DUMMYFUNCTION("""COMPUTED_VALUE"""),"SANITAS")</f>
        <v>SANITAS</v>
      </c>
      <c r="AB789" s="6" t="str">
        <f>IFERROR(__xludf.DUMMYFUNCTION("""COMPUTED_VALUE"""),"Medicina Prepagada Sura")</f>
        <v>Medicina Prepagada Sura</v>
      </c>
      <c r="AC789" s="6"/>
      <c r="AD789" s="12" t="str">
        <f>IFERROR(__xludf.DUMMYFUNCTION("""COMPUTED_VALUE"""),"12")</f>
        <v>12</v>
      </c>
      <c r="AE789" s="12">
        <f>IFERROR(__xludf.DUMMYFUNCTION("""COMPUTED_VALUE"""),1.345281633E9)</f>
        <v>1345281633</v>
      </c>
      <c r="AF789" s="12" t="str">
        <f>IFERROR(__xludf.DUMMYFUNCTION("""COMPUTED_VALUE"""),"0723202899")</f>
        <v>0723202899</v>
      </c>
      <c r="AG789" s="12" t="str">
        <f>IFERROR(__xludf.DUMMYFUNCTION("""COMPUTED_VALUE"""),"Sandra")</f>
        <v>Sandra</v>
      </c>
      <c r="AH789" s="12" t="str">
        <f>IFERROR(__xludf.DUMMYFUNCTION("""COMPUTED_VALUE"""),"Milena")</f>
        <v>Milena</v>
      </c>
      <c r="AI789" s="6" t="str">
        <f>IFERROR(__xludf.DUMMYFUNCTION("""COMPUTED_VALUE"""),"Rodríguez Alzate")</f>
        <v>Rodríguez Alzate</v>
      </c>
      <c r="AJ789" s="6" t="str">
        <f>IFERROR(__xludf.DUMMYFUNCTION("""COMPUTED_VALUE"""),"samyta0502@gmail.com")</f>
        <v>samyta0502@gmail.com</v>
      </c>
      <c r="AK789" s="6" t="str">
        <f>IFERROR(__xludf.DUMMYFUNCTION("""COMPUTED_VALUE"""),"Comerciante")</f>
        <v>Comerciante</v>
      </c>
      <c r="AL789" s="6"/>
      <c r="AM789" s="12" t="str">
        <f>IFERROR(__xludf.DUMMYFUNCTION("""COMPUTED_VALUE"""),"41953292")</f>
        <v>41953292</v>
      </c>
      <c r="AN789" s="12" t="str">
        <f>IFERROR(__xludf.DUMMYFUNCTION("""COMPUTED_VALUE"""),"3003198530")</f>
        <v>3003198530</v>
      </c>
      <c r="AO789" s="6" t="str">
        <f>IFERROR(__xludf.DUMMYFUNCTION("""COMPUTED_VALUE"""),"Madre")</f>
        <v>Madre</v>
      </c>
      <c r="AP789" s="6" t="str">
        <f>IFERROR(__xludf.DUMMYFUNCTION("""COMPUTED_VALUE"""),"Estudiante(s): González Rodríguez")</f>
        <v>Estudiante(s): González Rodríguez</v>
      </c>
      <c r="AQ789" s="6" t="str">
        <f>IFERROR(__xludf.DUMMYFUNCTION("""COMPUTED_VALUE"""),"103409*Gi")</f>
        <v>103409*Gi</v>
      </c>
      <c r="AR789" s="6"/>
      <c r="AS789" s="6"/>
      <c r="AT789" s="6"/>
      <c r="AU789" s="6"/>
      <c r="AV789" s="6"/>
      <c r="AW789" s="6"/>
      <c r="AX789" s="6"/>
      <c r="AY789" s="6"/>
      <c r="AZ789" s="6" t="str">
        <f>IFERROR(__xludf.DUMMYFUNCTION("""COMPUTED_VALUE"""),"Padre")</f>
        <v>Padre</v>
      </c>
      <c r="BA789" s="6"/>
      <c r="BB789" s="6"/>
      <c r="BC789" s="6"/>
      <c r="BD789" s="12" t="str">
        <f>IFERROR(__xludf.DUMMYFUNCTION("""COMPUTED_VALUE"""),"gon0008")</f>
        <v>gon0008</v>
      </c>
      <c r="BE789" s="6"/>
      <c r="BF789" s="6"/>
      <c r="BG789" s="6">
        <f>IFERROR(__xludf.DUMMYFUNCTION("""COMPUTED_VALUE"""),2027.0)</f>
        <v>2027</v>
      </c>
      <c r="BH789" s="15">
        <f>IFERROR(__xludf.DUMMYFUNCTION("""COMPUTED_VALUE"""),46213.44935185185)</f>
        <v>46213.44935</v>
      </c>
      <c r="BI789" s="6">
        <f>IFERROR(__xludf.DUMMYFUNCTION("""COMPUTED_VALUE"""),790.0)</f>
        <v>790</v>
      </c>
      <c r="BJ789" s="6"/>
      <c r="BK789" s="6"/>
      <c r="BL789" s="6" t="str">
        <f>IFERROR(__xludf.DUMMYFUNCTION("""COMPUTED_VALUE"""),"GISGON0008")</f>
        <v>GISGON0008</v>
      </c>
      <c r="BM789" s="6"/>
      <c r="BN789" s="6"/>
      <c r="BO789" s="6"/>
      <c r="BP789" s="6"/>
      <c r="BQ789" s="6"/>
      <c r="BR789" s="6"/>
      <c r="BS789" s="6"/>
      <c r="BT789" s="6"/>
      <c r="BU789" s="6" t="str">
        <f>IFERROR(__xludf.DUMMYFUNCTION("""COMPUTED_VALUE"""),"SI")</f>
        <v>SI</v>
      </c>
      <c r="BV789" s="6" t="str">
        <f>IFERROR(__xludf.DUMMYFUNCTION("""COMPUTED_VALUE"""),"sofia.gr2027")</f>
        <v>sofia.gr2027</v>
      </c>
      <c r="BW789" s="6"/>
      <c r="BX789" s="6"/>
      <c r="BY789" s="6"/>
      <c r="BZ789" s="6"/>
    </row>
    <row r="790">
      <c r="A790" s="12">
        <f>IFERROR(__xludf.DUMMYFUNCTION("""COMPUTED_VALUE"""),1.091885838E9)</f>
        <v>1091885838</v>
      </c>
      <c r="B790" s="6">
        <f>IFERROR(__xludf.DUMMYFUNCTION("""COMPUTED_VALUE"""),24.0)</f>
        <v>24</v>
      </c>
      <c r="C790" s="6" t="str">
        <f>IFERROR(__xludf.DUMMYFUNCTION("""COMPUTED_VALUE"""),"Lucía")</f>
        <v>Lucía</v>
      </c>
      <c r="D790" s="6"/>
      <c r="E790" s="6" t="str">
        <f>IFERROR(__xludf.DUMMYFUNCTION("""COMPUTED_VALUE"""),"Hoyos Uribe")</f>
        <v>Hoyos Uribe</v>
      </c>
      <c r="F790" s="6" t="str">
        <f>IFERROR(__xludf.DUMMYFUNCTION("""COMPUTED_VALUE"""),"Cra 9 13Nte - 30 - Edificio Puerto Mont")</f>
        <v>Cra 9 13Nte - 30 - Edificio Puerto Mont</v>
      </c>
      <c r="G790" s="12" t="str">
        <f>IFERROR(__xludf.DUMMYFUNCTION("""COMPUTED_VALUE"""),"2008")</f>
        <v>2008</v>
      </c>
      <c r="H790" s="6" t="str">
        <f>IFERROR(__xludf.DUMMYFUNCTION("""COMPUTED_VALUE"""),"Diciembre")</f>
        <v>Diciembre</v>
      </c>
      <c r="I790" s="12" t="str">
        <f>IFERROR(__xludf.DUMMYFUNCTION("""COMPUTED_VALUE"""),"15")</f>
        <v>15</v>
      </c>
      <c r="J790" s="6" t="str">
        <f>IFERROR(__xludf.DUMMYFUNCTION("""COMPUTED_VALUE"""),"Armenia")</f>
        <v>Armenia</v>
      </c>
      <c r="K790" s="6" t="str">
        <f>IFERROR(__xludf.DUMMYFUNCTION("""COMPUTED_VALUE"""),"lucia.h2027@gi.edu.co")</f>
        <v>lucia.h2027@gi.edu.co</v>
      </c>
      <c r="L790" s="6" t="str">
        <f>IFERROR(__xludf.DUMMYFUNCTION("""COMPUTED_VALUE"""),"TI")</f>
        <v>TI</v>
      </c>
      <c r="M790" s="6" t="str">
        <f>IFERROR(__xludf.DUMMYFUNCTION("""COMPUTED_VALUE"""),"Armenia")</f>
        <v>Armenia</v>
      </c>
      <c r="N790" s="6" t="str">
        <f>IFERROR(__xludf.DUMMYFUNCTION("""COMPUTED_VALUE"""),"F")</f>
        <v>F</v>
      </c>
      <c r="O790" s="6" t="str">
        <f>IFERROR(__xludf.DUMMYFUNCTION("""COMPUTED_VALUE"""),"ACTIVE")</f>
        <v>ACTIVE</v>
      </c>
      <c r="P790" s="6"/>
      <c r="Q790" s="6" t="str">
        <f>IFERROR(__xludf.DUMMYFUNCTION("""COMPUTED_VALUE"""),"Armenia")</f>
        <v>Armenia</v>
      </c>
      <c r="R790" s="12" t="str">
        <f>IFERROR(__xludf.DUMMYFUNCTION("""COMPUTED_VALUE"""),"Gi24739589*")</f>
        <v>Gi24739589*</v>
      </c>
      <c r="S790" s="6" t="str">
        <f>IFERROR(__xludf.DUMMYFUNCTION("""COMPUTED_VALUE"""),"Hoyos Uribe Lucía ")</f>
        <v>Hoyos Uribe Lucía </v>
      </c>
      <c r="T790" s="6" t="str">
        <f>IFERROR(__xludf.DUMMYFUNCTION("""COMPUTED_VALUE"""),"JUAN DIEGO HOYOS LOZANO")</f>
        <v>JUAN DIEGO HOYOS LOZANO</v>
      </c>
      <c r="U790" s="12" t="str">
        <f>IFERROR(__xludf.DUMMYFUNCTION("""COMPUTED_VALUE"""),"9731179")</f>
        <v>9731179</v>
      </c>
      <c r="V790" s="6">
        <f>IFERROR(__xludf.DUMMYFUNCTION("""COMPUTED_VALUE"""),3.164095526E9)</f>
        <v>3164095526</v>
      </c>
      <c r="W790" s="6" t="str">
        <f>IFERROR(__xludf.DUMMYFUNCTION("""COMPUTED_VALUE"""),"mariauribeg@hotmail.com")</f>
        <v>mariauribeg@hotmail.com</v>
      </c>
      <c r="X790" s="12" t="str">
        <f>IFERROR(__xludf.DUMMYFUNCTION("""COMPUTED_VALUE"""),"O+")</f>
        <v>O+</v>
      </c>
      <c r="Y790" s="12" t="str">
        <f>IFERROR(__xludf.DUMMYFUNCTION("""COMPUTED_VALUE"""),"12")</f>
        <v>12</v>
      </c>
      <c r="Z790" s="12">
        <f>IFERROR(__xludf.DUMMYFUNCTION("""COMPUTED_VALUE"""),102841.0)</f>
        <v>102841</v>
      </c>
      <c r="AA790" s="6" t="str">
        <f>IFERROR(__xludf.DUMMYFUNCTION("""COMPUTED_VALUE"""),"SURA")</f>
        <v>SURA</v>
      </c>
      <c r="AB790" s="6"/>
      <c r="AC790" s="6"/>
      <c r="AD790" s="12" t="str">
        <f>IFERROR(__xludf.DUMMYFUNCTION("""COMPUTED_VALUE"""),"12")</f>
        <v>12</v>
      </c>
      <c r="AE790" s="12">
        <f>IFERROR(__xludf.DUMMYFUNCTION("""COMPUTED_VALUE"""),1.345281386E9)</f>
        <v>1345281386</v>
      </c>
      <c r="AF790" s="12" t="str">
        <f>IFERROR(__xludf.DUMMYFUNCTION("""COMPUTED_VALUE"""),"0672310435")</f>
        <v>0672310435</v>
      </c>
      <c r="AG790" s="12" t="str">
        <f>IFERROR(__xludf.DUMMYFUNCTION("""COMPUTED_VALUE"""),"Maria")</f>
        <v>Maria</v>
      </c>
      <c r="AH790" s="12" t="str">
        <f>IFERROR(__xludf.DUMMYFUNCTION("""COMPUTED_VALUE"""),"Isabel")</f>
        <v>Isabel</v>
      </c>
      <c r="AI790" s="6" t="str">
        <f>IFERROR(__xludf.DUMMYFUNCTION("""COMPUTED_VALUE"""),"Uribe")</f>
        <v>Uribe</v>
      </c>
      <c r="AJ790" s="6" t="str">
        <f>IFERROR(__xludf.DUMMYFUNCTION("""COMPUTED_VALUE"""),"mariauribeg@hotmail.com")</f>
        <v>mariauribeg@hotmail.com</v>
      </c>
      <c r="AK790" s="6"/>
      <c r="AL790" s="6"/>
      <c r="AM790" s="12" t="str">
        <f>IFERROR(__xludf.DUMMYFUNCTION("""COMPUTED_VALUE"""),"41938975")</f>
        <v>41938975</v>
      </c>
      <c r="AN790" s="12" t="str">
        <f>IFERROR(__xludf.DUMMYFUNCTION("""COMPUTED_VALUE"""),"3105385300")</f>
        <v>3105385300</v>
      </c>
      <c r="AO790" s="6" t="str">
        <f>IFERROR(__xludf.DUMMYFUNCTION("""COMPUTED_VALUE"""),"Madre")</f>
        <v>Madre</v>
      </c>
      <c r="AP790" s="6" t="str">
        <f>IFERROR(__xludf.DUMMYFUNCTION("""COMPUTED_VALUE"""),"Estudiante(s): Hoyos Uribe")</f>
        <v>Estudiante(s): Hoyos Uribe</v>
      </c>
      <c r="AQ790" s="6" t="str">
        <f>IFERROR(__xludf.DUMMYFUNCTION("""COMPUTED_VALUE"""),"102841*Gi")</f>
        <v>102841*Gi</v>
      </c>
      <c r="AR790" s="6" t="str">
        <f>IFERROR(__xludf.DUMMYFUNCTION("""COMPUTED_VALUE"""),"Juan")</f>
        <v>Juan</v>
      </c>
      <c r="AS790" s="6" t="str">
        <f>IFERROR(__xludf.DUMMYFUNCTION("""COMPUTED_VALUE"""),"Diego")</f>
        <v>Diego</v>
      </c>
      <c r="AT790" s="6" t="str">
        <f>IFERROR(__xludf.DUMMYFUNCTION("""COMPUTED_VALUE"""),"Hoyos Lozano")</f>
        <v>Hoyos Lozano</v>
      </c>
      <c r="AU790" s="6" t="str">
        <f>IFERROR(__xludf.DUMMYFUNCTION("""COMPUTED_VALUE"""),"mariauribeg@hotmail.com")</f>
        <v>mariauribeg@hotmail.com</v>
      </c>
      <c r="AV790" s="6" t="str">
        <f>IFERROR(__xludf.DUMMYFUNCTION("""COMPUTED_VALUE"""),"Ganadero")</f>
        <v>Ganadero</v>
      </c>
      <c r="AW790" s="6" t="str">
        <f>IFERROR(__xludf.DUMMYFUNCTION("""COMPUTED_VALUE"""),"Independiente")</f>
        <v>Independiente</v>
      </c>
      <c r="AX790" s="12" t="str">
        <f>IFERROR(__xludf.DUMMYFUNCTION("""COMPUTED_VALUE"""),"9731179")</f>
        <v>9731179</v>
      </c>
      <c r="AY790" s="12" t="str">
        <f>IFERROR(__xludf.DUMMYFUNCTION("""COMPUTED_VALUE"""),"3164095526")</f>
        <v>3164095526</v>
      </c>
      <c r="AZ790" s="6" t="str">
        <f>IFERROR(__xludf.DUMMYFUNCTION("""COMPUTED_VALUE"""),"Padre")</f>
        <v>Padre</v>
      </c>
      <c r="BA790" s="6"/>
      <c r="BB790" s="6"/>
      <c r="BC790" s="6"/>
      <c r="BD790" s="12" t="str">
        <f>IFERROR(__xludf.DUMMYFUNCTION("""COMPUTED_VALUE"""),"hoy0003")</f>
        <v>hoy0003</v>
      </c>
      <c r="BE790" s="6"/>
      <c r="BF790" s="6"/>
      <c r="BG790" s="6">
        <f>IFERROR(__xludf.DUMMYFUNCTION("""COMPUTED_VALUE"""),2027.0)</f>
        <v>2027</v>
      </c>
      <c r="BH790" s="15">
        <f>IFERROR(__xludf.DUMMYFUNCTION("""COMPUTED_VALUE"""),46205.25859953704)</f>
        <v>46205.2586</v>
      </c>
      <c r="BI790" s="6">
        <f>IFERROR(__xludf.DUMMYFUNCTION("""COMPUTED_VALUE"""),791.0)</f>
        <v>791</v>
      </c>
      <c r="BJ790" s="6"/>
      <c r="BK790" s="6"/>
      <c r="BL790" s="6" t="str">
        <f>IFERROR(__xludf.DUMMYFUNCTION("""COMPUTED_VALUE"""),"GISHOY0003")</f>
        <v>GISHOY0003</v>
      </c>
      <c r="BM790" s="6"/>
      <c r="BN790" s="6"/>
      <c r="BO790" s="6"/>
      <c r="BP790" s="6"/>
      <c r="BQ790" s="6"/>
      <c r="BR790" s="6"/>
      <c r="BS790" s="6"/>
      <c r="BT790" s="6"/>
      <c r="BU790" s="6" t="str">
        <f>IFERROR(__xludf.DUMMYFUNCTION("""COMPUTED_VALUE"""),"SI")</f>
        <v>SI</v>
      </c>
      <c r="BV790" s="6" t="str">
        <f>IFERROR(__xludf.DUMMYFUNCTION("""COMPUTED_VALUE"""),"lucia.h2027")</f>
        <v>lucia.h2027</v>
      </c>
      <c r="BW790" s="6"/>
      <c r="BX790" s="6"/>
      <c r="BY790" s="6"/>
      <c r="BZ790" s="6"/>
    </row>
    <row r="791">
      <c r="A791" s="12">
        <f>IFERROR(__xludf.DUMMYFUNCTION("""COMPUTED_VALUE"""),1.030100059E9)</f>
        <v>1030100059</v>
      </c>
      <c r="B791" s="6">
        <f>IFERROR(__xludf.DUMMYFUNCTION("""COMPUTED_VALUE"""),25.0)</f>
        <v>25</v>
      </c>
      <c r="C791" s="6" t="str">
        <f>IFERROR(__xludf.DUMMYFUNCTION("""COMPUTED_VALUE"""),"Sofía")</f>
        <v>Sofía</v>
      </c>
      <c r="D791" s="6"/>
      <c r="E791" s="6" t="str">
        <f>IFERROR(__xludf.DUMMYFUNCTION("""COMPUTED_VALUE"""),"Jaramillo Luna")</f>
        <v>Jaramillo Luna</v>
      </c>
      <c r="F791" s="6" t="str">
        <f>IFERROR(__xludf.DUMMYFUNCTION("""COMPUTED_VALUE"""),"Conjunto Reservas Del Bosque Casa 22 – Km 1.5 Via Armenia Circasia")</f>
        <v>Conjunto Reservas Del Bosque Casa 22 – Km 1.5 Via Armenia Circasia</v>
      </c>
      <c r="G791" s="12" t="str">
        <f>IFERROR(__xludf.DUMMYFUNCTION("""COMPUTED_VALUE"""),"2009")</f>
        <v>2009</v>
      </c>
      <c r="H791" s="6" t="str">
        <f>IFERROR(__xludf.DUMMYFUNCTION("""COMPUTED_VALUE"""),"Abril")</f>
        <v>Abril</v>
      </c>
      <c r="I791" s="12" t="str">
        <f>IFERROR(__xludf.DUMMYFUNCTION("""COMPUTED_VALUE"""),"1")</f>
        <v>1</v>
      </c>
      <c r="J791" s="6" t="str">
        <f>IFERROR(__xludf.DUMMYFUNCTION("""COMPUTED_VALUE"""),"Armenia")</f>
        <v>Armenia</v>
      </c>
      <c r="K791" s="6" t="str">
        <f>IFERROR(__xludf.DUMMYFUNCTION("""COMPUTED_VALUE"""),"sofia.j2027@gi.edu.co")</f>
        <v>sofia.j2027@gi.edu.co</v>
      </c>
      <c r="L791" s="6" t="str">
        <f>IFERROR(__xludf.DUMMYFUNCTION("""COMPUTED_VALUE"""),"TI")</f>
        <v>TI</v>
      </c>
      <c r="M791" s="6" t="str">
        <f>IFERROR(__xludf.DUMMYFUNCTION("""COMPUTED_VALUE"""),"Armenia")</f>
        <v>Armenia</v>
      </c>
      <c r="N791" s="6" t="str">
        <f>IFERROR(__xludf.DUMMYFUNCTION("""COMPUTED_VALUE"""),"F")</f>
        <v>F</v>
      </c>
      <c r="O791" s="6" t="str">
        <f>IFERROR(__xludf.DUMMYFUNCTION("""COMPUTED_VALUE"""),"ACTIVE")</f>
        <v>ACTIVE</v>
      </c>
      <c r="P791" s="6"/>
      <c r="Q791" s="6" t="str">
        <f>IFERROR(__xludf.DUMMYFUNCTION("""COMPUTED_VALUE"""),"Armenia")</f>
        <v>Armenia</v>
      </c>
      <c r="R791" s="12" t="str">
        <f>IFERROR(__xludf.DUMMYFUNCTION("""COMPUTED_VALUE"""),"Gi20345789*")</f>
        <v>Gi20345789*</v>
      </c>
      <c r="S791" s="6" t="str">
        <f>IFERROR(__xludf.DUMMYFUNCTION("""COMPUTED_VALUE"""),"Jaramillo Luna Sofía ")</f>
        <v>Jaramillo Luna Sofía </v>
      </c>
      <c r="T791" s="6" t="str">
        <f>IFERROR(__xludf.DUMMYFUNCTION("""COMPUTED_VALUE"""),"LUIS MIGUEL JARAMILLO MEJIA")</f>
        <v>LUIS MIGUEL JARAMILLO MEJIA</v>
      </c>
      <c r="U791" s="12" t="str">
        <f>IFERROR(__xludf.DUMMYFUNCTION("""COMPUTED_VALUE"""),"7559742")</f>
        <v>7559742</v>
      </c>
      <c r="V791" s="6">
        <f>IFERROR(__xludf.DUMMYFUNCTION("""COMPUTED_VALUE"""),3.176680333E9)</f>
        <v>3176680333</v>
      </c>
      <c r="W791" s="6" t="str">
        <f>IFERROR(__xludf.DUMMYFUNCTION("""COMPUTED_VALUE"""),"lmjm01@hotmail.com")</f>
        <v>lmjm01@hotmail.com</v>
      </c>
      <c r="X791" s="12" t="str">
        <f>IFERROR(__xludf.DUMMYFUNCTION("""COMPUTED_VALUE"""),"B-")</f>
        <v>B-</v>
      </c>
      <c r="Y791" s="12" t="str">
        <f>IFERROR(__xludf.DUMMYFUNCTION("""COMPUTED_VALUE"""),"12")</f>
        <v>12</v>
      </c>
      <c r="Z791" s="12">
        <f>IFERROR(__xludf.DUMMYFUNCTION("""COMPUTED_VALUE"""),102696.0)</f>
        <v>102696</v>
      </c>
      <c r="AA791" s="6" t="str">
        <f>IFERROR(__xludf.DUMMYFUNCTION("""COMPUTED_VALUE"""),"SANITAS")</f>
        <v>SANITAS</v>
      </c>
      <c r="AB791" s="6" t="str">
        <f>IFERROR(__xludf.DUMMYFUNCTION("""COMPUTED_VALUE"""),"EMI")</f>
        <v>EMI</v>
      </c>
      <c r="AC791" s="6"/>
      <c r="AD791" s="12" t="str">
        <f>IFERROR(__xludf.DUMMYFUNCTION("""COMPUTED_VALUE"""),"12")</f>
        <v>12</v>
      </c>
      <c r="AE791" s="12">
        <f>IFERROR(__xludf.DUMMYFUNCTION("""COMPUTED_VALUE"""),1.345281367E9)</f>
        <v>1345281367</v>
      </c>
      <c r="AF791" s="12" t="str">
        <f>IFERROR(__xludf.DUMMYFUNCTION("""COMPUTED_VALUE"""),"0687708051")</f>
        <v>0687708051</v>
      </c>
      <c r="AG791" s="12" t="str">
        <f>IFERROR(__xludf.DUMMYFUNCTION("""COMPUTED_VALUE"""),"Judith")</f>
        <v>Judith</v>
      </c>
      <c r="AH791" s="12" t="str">
        <f>IFERROR(__xludf.DUMMYFUNCTION("""COMPUTED_VALUE"""),"Emilce")</f>
        <v>Emilce</v>
      </c>
      <c r="AI791" s="6" t="str">
        <f>IFERROR(__xludf.DUMMYFUNCTION("""COMPUTED_VALUE"""),"Luna Silebi")</f>
        <v>Luna Silebi</v>
      </c>
      <c r="AJ791" s="6" t="str">
        <f>IFERROR(__xludf.DUMMYFUNCTION("""COMPUTED_VALUE"""),"yudyluna@hotmail.com")</f>
        <v>yudyluna@hotmail.com</v>
      </c>
      <c r="AK791" s="6" t="str">
        <f>IFERROR(__xludf.DUMMYFUNCTION("""COMPUTED_VALUE"""),"INSTRUMENTADORA QUIRURGICA")</f>
        <v>INSTRUMENTADORA QUIRURGICA</v>
      </c>
      <c r="AL791" s="6"/>
      <c r="AM791" s="12" t="str">
        <f>IFERROR(__xludf.DUMMYFUNCTION("""COMPUTED_VALUE"""),"32614383")</f>
        <v>32614383</v>
      </c>
      <c r="AN791" s="12" t="str">
        <f>IFERROR(__xludf.DUMMYFUNCTION("""COMPUTED_VALUE"""),"3156917632")</f>
        <v>3156917632</v>
      </c>
      <c r="AO791" s="6" t="str">
        <f>IFERROR(__xludf.DUMMYFUNCTION("""COMPUTED_VALUE"""),"Madre")</f>
        <v>Madre</v>
      </c>
      <c r="AP791" s="6" t="str">
        <f>IFERROR(__xludf.DUMMYFUNCTION("""COMPUTED_VALUE"""),"Estudiante(s): Jaramillo Luna")</f>
        <v>Estudiante(s): Jaramillo Luna</v>
      </c>
      <c r="AQ791" s="6" t="str">
        <f>IFERROR(__xludf.DUMMYFUNCTION("""COMPUTED_VALUE"""),"102696*Gi")</f>
        <v>102696*Gi</v>
      </c>
      <c r="AR791" s="6" t="str">
        <f>IFERROR(__xludf.DUMMYFUNCTION("""COMPUTED_VALUE"""),"Luis")</f>
        <v>Luis</v>
      </c>
      <c r="AS791" s="6" t="str">
        <f>IFERROR(__xludf.DUMMYFUNCTION("""COMPUTED_VALUE"""),"Miguel")</f>
        <v>Miguel</v>
      </c>
      <c r="AT791" s="6" t="str">
        <f>IFERROR(__xludf.DUMMYFUNCTION("""COMPUTED_VALUE"""),"Jaramillo Mejía")</f>
        <v>Jaramillo Mejía</v>
      </c>
      <c r="AU791" s="6" t="str">
        <f>IFERROR(__xludf.DUMMYFUNCTION("""COMPUTED_VALUE"""),"lmjm01@hotmail.com")</f>
        <v>lmjm01@hotmail.com</v>
      </c>
      <c r="AV791" s="6" t="str">
        <f>IFERROR(__xludf.DUMMYFUNCTION("""COMPUTED_VALUE"""),"Administrador de Empresas")</f>
        <v>Administrador de Empresas</v>
      </c>
      <c r="AW791" s="6" t="str">
        <f>IFERROR(__xludf.DUMMYFUNCTION("""COMPUTED_VALUE"""),"Independiente")</f>
        <v>Independiente</v>
      </c>
      <c r="AX791" s="12" t="str">
        <f>IFERROR(__xludf.DUMMYFUNCTION("""COMPUTED_VALUE"""),"7559742")</f>
        <v>7559742</v>
      </c>
      <c r="AY791" s="12" t="str">
        <f>IFERROR(__xludf.DUMMYFUNCTION("""COMPUTED_VALUE"""),"3176680333")</f>
        <v>3176680333</v>
      </c>
      <c r="AZ791" s="6" t="str">
        <f>IFERROR(__xludf.DUMMYFUNCTION("""COMPUTED_VALUE"""),"Padre")</f>
        <v>Padre</v>
      </c>
      <c r="BA791" s="6"/>
      <c r="BB791" s="6"/>
      <c r="BC791" s="6"/>
      <c r="BD791" s="12" t="str">
        <f>IFERROR(__xludf.DUMMYFUNCTION("""COMPUTED_VALUE"""),"jar0017")</f>
        <v>jar0017</v>
      </c>
      <c r="BE791" s="6"/>
      <c r="BF791" s="6"/>
      <c r="BG791" s="6">
        <f>IFERROR(__xludf.DUMMYFUNCTION("""COMPUTED_VALUE"""),2027.0)</f>
        <v>2027</v>
      </c>
      <c r="BH791" s="15">
        <f>IFERROR(__xludf.DUMMYFUNCTION("""COMPUTED_VALUE"""),46205.25859953704)</f>
        <v>46205.2586</v>
      </c>
      <c r="BI791" s="6">
        <f>IFERROR(__xludf.DUMMYFUNCTION("""COMPUTED_VALUE"""),792.0)</f>
        <v>792</v>
      </c>
      <c r="BJ791" s="6" t="str">
        <f>IFERROR(__xludf.DUMMYFUNCTION("""COMPUTED_VALUE"""),"SIMAT: trastorno por déficit de atención con o sin hiperactividad (Nov 13 2024)")</f>
        <v>SIMAT: trastorno por déficit de atención con o sin hiperactividad (Nov 13 2024)</v>
      </c>
      <c r="BK791" s="6"/>
      <c r="BL791" s="6" t="str">
        <f>IFERROR(__xludf.DUMMYFUNCTION("""COMPUTED_VALUE"""),"GISJAR0017")</f>
        <v>GISJAR0017</v>
      </c>
      <c r="BM791" s="6"/>
      <c r="BN791" s="6"/>
      <c r="BO791" s="6"/>
      <c r="BP791" s="6"/>
      <c r="BQ791" s="6"/>
      <c r="BR791" s="6"/>
      <c r="BS791" s="6"/>
      <c r="BT791" s="6"/>
      <c r="BU791" s="6" t="str">
        <f>IFERROR(__xludf.DUMMYFUNCTION("""COMPUTED_VALUE"""),"SI")</f>
        <v>SI</v>
      </c>
      <c r="BV791" s="6" t="str">
        <f>IFERROR(__xludf.DUMMYFUNCTION("""COMPUTED_VALUE"""),"sofia.j2027")</f>
        <v>sofia.j2027</v>
      </c>
      <c r="BW791" s="6"/>
      <c r="BX791" s="6"/>
      <c r="BY791" s="6"/>
      <c r="BZ791" s="6"/>
    </row>
    <row r="792">
      <c r="A792" s="12">
        <f>IFERROR(__xludf.DUMMYFUNCTION("""COMPUTED_VALUE"""),1.014872283E9)</f>
        <v>1014872283</v>
      </c>
      <c r="B792" s="6">
        <f>IFERROR(__xludf.DUMMYFUNCTION("""COMPUTED_VALUE"""),26.0)</f>
        <v>26</v>
      </c>
      <c r="C792" s="6" t="str">
        <f>IFERROR(__xludf.DUMMYFUNCTION("""COMPUTED_VALUE"""),"Mariana")</f>
        <v>Mariana</v>
      </c>
      <c r="D792" s="6"/>
      <c r="E792" s="6" t="str">
        <f>IFERROR(__xludf.DUMMYFUNCTION("""COMPUTED_VALUE"""),"Jaramillo Mora")</f>
        <v>Jaramillo Mora</v>
      </c>
      <c r="F792" s="6" t="str">
        <f>IFERROR(__xludf.DUMMYFUNCTION("""COMPUTED_VALUE"""),"Lagos de Iraka Casa 90 - Km 7 Via Armenia - El Caimo")</f>
        <v>Lagos de Iraka Casa 90 - Km 7 Via Armenia - El Caimo</v>
      </c>
      <c r="G792" s="12" t="str">
        <f>IFERROR(__xludf.DUMMYFUNCTION("""COMPUTED_VALUE"""),"2009")</f>
        <v>2009</v>
      </c>
      <c r="H792" s="6" t="str">
        <f>IFERROR(__xludf.DUMMYFUNCTION("""COMPUTED_VALUE"""),"Septiembre")</f>
        <v>Septiembre</v>
      </c>
      <c r="I792" s="12" t="str">
        <f>IFERROR(__xludf.DUMMYFUNCTION("""COMPUTED_VALUE"""),"25")</f>
        <v>25</v>
      </c>
      <c r="J792" s="6" t="str">
        <f>IFERROR(__xludf.DUMMYFUNCTION("""COMPUTED_VALUE"""),"Armenia")</f>
        <v>Armenia</v>
      </c>
      <c r="K792" s="6" t="str">
        <f>IFERROR(__xludf.DUMMYFUNCTION("""COMPUTED_VALUE"""),"mariana.j2027@gi.edu.co")</f>
        <v>mariana.j2027@gi.edu.co</v>
      </c>
      <c r="L792" s="6" t="str">
        <f>IFERROR(__xludf.DUMMYFUNCTION("""COMPUTED_VALUE"""),"TI")</f>
        <v>TI</v>
      </c>
      <c r="M792" s="6" t="str">
        <f>IFERROR(__xludf.DUMMYFUNCTION("""COMPUTED_VALUE"""),"Bogotá D.C.")</f>
        <v>Bogotá D.C.</v>
      </c>
      <c r="N792" s="6" t="str">
        <f>IFERROR(__xludf.DUMMYFUNCTION("""COMPUTED_VALUE"""),"F")</f>
        <v>F</v>
      </c>
      <c r="O792" s="6" t="str">
        <f>IFERROR(__xludf.DUMMYFUNCTION("""COMPUTED_VALUE"""),"ACTIVE")</f>
        <v>ACTIVE</v>
      </c>
      <c r="P792" s="6"/>
      <c r="Q792" s="6" t="str">
        <f>IFERROR(__xludf.DUMMYFUNCTION("""COMPUTED_VALUE"""),"Armenia")</f>
        <v>Armenia</v>
      </c>
      <c r="R792" s="12" t="str">
        <f>IFERROR(__xludf.DUMMYFUNCTION("""COMPUTED_VALUE"""),"Giu7h6g5f*")</f>
        <v>Giu7h6g5f*</v>
      </c>
      <c r="S792" s="6" t="str">
        <f>IFERROR(__xludf.DUMMYFUNCTION("""COMPUTED_VALUE"""),"Jaramillo Mora Mariana ")</f>
        <v>Jaramillo Mora Mariana </v>
      </c>
      <c r="T792" s="6" t="str">
        <f>IFERROR(__xludf.DUMMYFUNCTION("""COMPUTED_VALUE"""),"ANDRÉS JARAMILLO HOYOS")</f>
        <v>ANDRÉS JARAMILLO HOYOS</v>
      </c>
      <c r="U792" s="12" t="str">
        <f>IFERROR(__xludf.DUMMYFUNCTION("""COMPUTED_VALUE"""),"7562626")</f>
        <v>7562626</v>
      </c>
      <c r="V792" s="6">
        <f>IFERROR(__xludf.DUMMYFUNCTION("""COMPUTED_VALUE"""),3.10575206E9)</f>
        <v>3105752060</v>
      </c>
      <c r="W792" s="6" t="str">
        <f>IFERROR(__xludf.DUMMYFUNCTION("""COMPUTED_VALUE"""),"ajaramillo@esguerra.com")</f>
        <v>ajaramillo@esguerra.com</v>
      </c>
      <c r="X792" s="12" t="str">
        <f>IFERROR(__xludf.DUMMYFUNCTION("""COMPUTED_VALUE"""),"A-")</f>
        <v>A-</v>
      </c>
      <c r="Y792" s="12" t="str">
        <f>IFERROR(__xludf.DUMMYFUNCTION("""COMPUTED_VALUE"""),"12")</f>
        <v>12</v>
      </c>
      <c r="Z792" s="12">
        <f>IFERROR(__xludf.DUMMYFUNCTION("""COMPUTED_VALUE"""),103599.0)</f>
        <v>103599</v>
      </c>
      <c r="AA792" s="6" t="str">
        <f>IFERROR(__xludf.DUMMYFUNCTION("""COMPUTED_VALUE"""),"SANITAS")</f>
        <v>SANITAS</v>
      </c>
      <c r="AB792" s="6" t="str">
        <f>IFERROR(__xludf.DUMMYFUNCTION("""COMPUTED_VALUE"""),"MedPlus")</f>
        <v>MedPlus</v>
      </c>
      <c r="AC792" s="12" t="str">
        <f>IFERROR(__xludf.DUMMYFUNCTION("""COMPUTED_VALUE"""),"Picadura de Zancundo")</f>
        <v>Picadura de Zancundo</v>
      </c>
      <c r="AD792" s="12" t="str">
        <f>IFERROR(__xludf.DUMMYFUNCTION("""COMPUTED_VALUE"""),"12")</f>
        <v>12</v>
      </c>
      <c r="AE792" s="12">
        <f>IFERROR(__xludf.DUMMYFUNCTION("""COMPUTED_VALUE"""),1.34528179E9)</f>
        <v>1345281790</v>
      </c>
      <c r="AF792" s="12" t="str">
        <f>IFERROR(__xludf.DUMMYFUNCTION("""COMPUTED_VALUE"""),"0695645219")</f>
        <v>0695645219</v>
      </c>
      <c r="AG792" s="12" t="str">
        <f>IFERROR(__xludf.DUMMYFUNCTION("""COMPUTED_VALUE"""),"Lina")</f>
        <v>Lina</v>
      </c>
      <c r="AH792" s="12" t="str">
        <f>IFERROR(__xludf.DUMMYFUNCTION("""COMPUTED_VALUE"""),"Fernanda")</f>
        <v>Fernanda</v>
      </c>
      <c r="AI792" s="6" t="str">
        <f>IFERROR(__xludf.DUMMYFUNCTION("""COMPUTED_VALUE"""),"Mora Ceballos")</f>
        <v>Mora Ceballos</v>
      </c>
      <c r="AJ792" s="6" t="str">
        <f>IFERROR(__xludf.DUMMYFUNCTION("""COMPUTED_VALUE"""),"ajaramillo@esguerrajhr.com")</f>
        <v>ajaramillo@esguerrajhr.com</v>
      </c>
      <c r="AK792" s="6" t="str">
        <f>IFERROR(__xludf.DUMMYFUNCTION("""COMPUTED_VALUE"""),"ingeniera civil")</f>
        <v>ingeniera civil</v>
      </c>
      <c r="AL792" s="6"/>
      <c r="AM792" s="12" t="str">
        <f>IFERROR(__xludf.DUMMYFUNCTION("""COMPUTED_VALUE"""),"41936405")</f>
        <v>41936405</v>
      </c>
      <c r="AN792" s="12" t="str">
        <f>IFERROR(__xludf.DUMMYFUNCTION("""COMPUTED_VALUE"""),"3108148814")</f>
        <v>3108148814</v>
      </c>
      <c r="AO792" s="6" t="str">
        <f>IFERROR(__xludf.DUMMYFUNCTION("""COMPUTED_VALUE"""),"Madre")</f>
        <v>Madre</v>
      </c>
      <c r="AP792" s="6" t="str">
        <f>IFERROR(__xludf.DUMMYFUNCTION("""COMPUTED_VALUE"""),"Estudiante(s): Jaramillo Mora")</f>
        <v>Estudiante(s): Jaramillo Mora</v>
      </c>
      <c r="AQ792" s="6" t="str">
        <f>IFERROR(__xludf.DUMMYFUNCTION("""COMPUTED_VALUE"""),"103598*Gi")</f>
        <v>103598*Gi</v>
      </c>
      <c r="AR792" s="6" t="str">
        <f>IFERROR(__xludf.DUMMYFUNCTION("""COMPUTED_VALUE"""),"Andrés")</f>
        <v>Andrés</v>
      </c>
      <c r="AS792" s="6"/>
      <c r="AT792" s="6" t="str">
        <f>IFERROR(__xludf.DUMMYFUNCTION("""COMPUTED_VALUE"""),"Jaramillo Hoyos")</f>
        <v>Jaramillo Hoyos</v>
      </c>
      <c r="AU792" s="6" t="str">
        <f>IFERROR(__xludf.DUMMYFUNCTION("""COMPUTED_VALUE"""),"ajaramillo@esguerrajhr.com")</f>
        <v>ajaramillo@esguerrajhr.com</v>
      </c>
      <c r="AV792" s="6" t="str">
        <f>IFERROR(__xludf.DUMMYFUNCTION("""COMPUTED_VALUE"""),"Abogado")</f>
        <v>Abogado</v>
      </c>
      <c r="AW792" s="6" t="str">
        <f>IFERROR(__xludf.DUMMYFUNCTION("""COMPUTED_VALUE"""),"Esguerra Asesores Judiricos")</f>
        <v>Esguerra Asesores Judiricos</v>
      </c>
      <c r="AX792" s="12" t="str">
        <f>IFERROR(__xludf.DUMMYFUNCTION("""COMPUTED_VALUE"""),"7562626")</f>
        <v>7562626</v>
      </c>
      <c r="AY792" s="12" t="str">
        <f>IFERROR(__xludf.DUMMYFUNCTION("""COMPUTED_VALUE"""),"3105752060")</f>
        <v>3105752060</v>
      </c>
      <c r="AZ792" s="6" t="str">
        <f>IFERROR(__xludf.DUMMYFUNCTION("""COMPUTED_VALUE"""),"Padre")</f>
        <v>Padre</v>
      </c>
      <c r="BA792" s="6"/>
      <c r="BB792" s="6"/>
      <c r="BC792" s="6"/>
      <c r="BD792" s="12" t="str">
        <f>IFERROR(__xludf.DUMMYFUNCTION("""COMPUTED_VALUE"""),"jar0021")</f>
        <v>jar0021</v>
      </c>
      <c r="BE792" s="6"/>
      <c r="BF792" s="6"/>
      <c r="BG792" s="6">
        <f>IFERROR(__xludf.DUMMYFUNCTION("""COMPUTED_VALUE"""),2027.0)</f>
        <v>2027</v>
      </c>
      <c r="BH792" s="15">
        <f>IFERROR(__xludf.DUMMYFUNCTION("""COMPUTED_VALUE"""),46211.32063657408)</f>
        <v>46211.32064</v>
      </c>
      <c r="BI792" s="6">
        <f>IFERROR(__xludf.DUMMYFUNCTION("""COMPUTED_VALUE"""),793.0)</f>
        <v>793</v>
      </c>
      <c r="BJ792" s="6"/>
      <c r="BK792" s="6"/>
      <c r="BL792" s="6" t="str">
        <f>IFERROR(__xludf.DUMMYFUNCTION("""COMPUTED_VALUE"""),"GISJAR0021")</f>
        <v>GISJAR0021</v>
      </c>
      <c r="BM792" s="6"/>
      <c r="BN792" s="6"/>
      <c r="BO792" s="6" t="str">
        <f>IFERROR(__xludf.DUMMYFUNCTION("""COMPUTED_VALUE"""),"XC_SEC_Futbol_F")</f>
        <v>XC_SEC_Futbol_F</v>
      </c>
      <c r="BP792" s="6"/>
      <c r="BQ792" s="6" t="str">
        <f>IFERROR(__xludf.DUMMYFUNCTION("""COMPUTED_VALUE"""),"XC_SEC_Futbol_F")</f>
        <v>XC_SEC_Futbol_F</v>
      </c>
      <c r="BR792" s="6" t="str">
        <f>IFERROR(__xludf.DUMMYFUNCTION("""COMPUTED_VALUE"""),"XC_SEC_Futbol_F")</f>
        <v>XC_SEC_Futbol_F</v>
      </c>
      <c r="BS792" s="6"/>
      <c r="BT792" s="6" t="str">
        <f>IFERROR(__xludf.DUMMYFUNCTION("""COMPUTED_VALUE"""),"XC_SEC_Futbol_F")</f>
        <v>XC_SEC_Futbol_F</v>
      </c>
      <c r="BU792" s="6" t="str">
        <f>IFERROR(__xludf.DUMMYFUNCTION("""COMPUTED_VALUE"""),"SI")</f>
        <v>SI</v>
      </c>
      <c r="BV792" s="6" t="str">
        <f>IFERROR(__xludf.DUMMYFUNCTION("""COMPUTED_VALUE"""),"mariana.j2027")</f>
        <v>mariana.j2027</v>
      </c>
      <c r="BW792" s="6"/>
      <c r="BX792" s="6"/>
      <c r="BY792" s="6"/>
      <c r="BZ792" s="6"/>
    </row>
    <row r="793">
      <c r="A793" s="12">
        <f>IFERROR(__xludf.DUMMYFUNCTION("""COMPUTED_VALUE"""),1.092854397E9)</f>
        <v>1092854397</v>
      </c>
      <c r="B793" s="6">
        <f>IFERROR(__xludf.DUMMYFUNCTION("""COMPUTED_VALUE"""),27.0)</f>
        <v>27</v>
      </c>
      <c r="C793" s="6" t="str">
        <f>IFERROR(__xludf.DUMMYFUNCTION("""COMPUTED_VALUE"""),"Manuela")</f>
        <v>Manuela</v>
      </c>
      <c r="D793" s="6"/>
      <c r="E793" s="6" t="str">
        <f>IFERROR(__xludf.DUMMYFUNCTION("""COMPUTED_VALUE"""),"Jiménez Mejía")</f>
        <v>Jiménez Mejía</v>
      </c>
      <c r="F793" s="6" t="str">
        <f>IFERROR(__xludf.DUMMYFUNCTION("""COMPUTED_VALUE"""),"Edificio La Castellana Torre 1 Apto 303 - Cra 13 No9ANte - 58 La Castellana detrás de KOKORIKO")</f>
        <v>Edificio La Castellana Torre 1 Apto 303 - Cra 13 No9ANte - 58 La Castellana detrás de KOKORIKO</v>
      </c>
      <c r="G793" s="12" t="str">
        <f>IFERROR(__xludf.DUMMYFUNCTION("""COMPUTED_VALUE"""),"2009")</f>
        <v>2009</v>
      </c>
      <c r="H793" s="6" t="str">
        <f>IFERROR(__xludf.DUMMYFUNCTION("""COMPUTED_VALUE"""),"Octubre")</f>
        <v>Octubre</v>
      </c>
      <c r="I793" s="12" t="str">
        <f>IFERROR(__xludf.DUMMYFUNCTION("""COMPUTED_VALUE"""),"28")</f>
        <v>28</v>
      </c>
      <c r="J793" s="6" t="str">
        <f>IFERROR(__xludf.DUMMYFUNCTION("""COMPUTED_VALUE"""),"Armenia")</f>
        <v>Armenia</v>
      </c>
      <c r="K793" s="6" t="str">
        <f>IFERROR(__xludf.DUMMYFUNCTION("""COMPUTED_VALUE"""),"manuela.j2027@gi.edu.co")</f>
        <v>manuela.j2027@gi.edu.co</v>
      </c>
      <c r="L793" s="6" t="str">
        <f>IFERROR(__xludf.DUMMYFUNCTION("""COMPUTED_VALUE"""),"TI")</f>
        <v>TI</v>
      </c>
      <c r="M793" s="6" t="str">
        <f>IFERROR(__xludf.DUMMYFUNCTION("""COMPUTED_VALUE"""),"Armenia")</f>
        <v>Armenia</v>
      </c>
      <c r="N793" s="6" t="str">
        <f>IFERROR(__xludf.DUMMYFUNCTION("""COMPUTED_VALUE"""),"F")</f>
        <v>F</v>
      </c>
      <c r="O793" s="6" t="str">
        <f>IFERROR(__xludf.DUMMYFUNCTION("""COMPUTED_VALUE"""),"INACTIVE")</f>
        <v>INACTIVE</v>
      </c>
      <c r="P793" s="6"/>
      <c r="Q793" s="6" t="str">
        <f>IFERROR(__xludf.DUMMYFUNCTION("""COMPUTED_VALUE"""),"Armenia")</f>
        <v>Armenia</v>
      </c>
      <c r="R793" s="12" t="str">
        <f>IFERROR(__xludf.DUMMYFUNCTION("""COMPUTED_VALUE"""),"Gifsdag354*")</f>
        <v>Gifsdag354*</v>
      </c>
      <c r="S793" s="6" t="str">
        <f>IFERROR(__xludf.DUMMYFUNCTION("""COMPUTED_VALUE"""),"Jiménez Mejía Manuela ")</f>
        <v>Jiménez Mejía Manuela </v>
      </c>
      <c r="T793" s="6" t="str">
        <f>IFERROR(__xludf.DUMMYFUNCTION("""COMPUTED_VALUE"""),"MARIA ISABEL MEJIA GUTIERREZ")</f>
        <v>MARIA ISABEL MEJIA GUTIERREZ</v>
      </c>
      <c r="U793" s="12" t="str">
        <f>IFERROR(__xludf.DUMMYFUNCTION("""COMPUTED_VALUE"""),"41957884")</f>
        <v>41957884</v>
      </c>
      <c r="V793" s="6" t="str">
        <f>IFERROR(__xludf.DUMMYFUNCTION("""COMPUTED_VALUE""")," =+1 9415772357")</f>
        <v> =+1 9415772357</v>
      </c>
      <c r="W793" s="6" t="str">
        <f>IFERROR(__xludf.DUMMYFUNCTION("""COMPUTED_VALUE"""),"mariaisabelmejiagutierrez0@gmail.com")</f>
        <v>mariaisabelmejiagutierrez0@gmail.com</v>
      </c>
      <c r="X793" s="12" t="str">
        <f>IFERROR(__xludf.DUMMYFUNCTION("""COMPUTED_VALUE"""),"O+")</f>
        <v>O+</v>
      </c>
      <c r="Y793" s="12" t="str">
        <f>IFERROR(__xludf.DUMMYFUNCTION("""COMPUTED_VALUE"""),"12")</f>
        <v>12</v>
      </c>
      <c r="Z793" s="12" t="str">
        <f>IFERROR(__xludf.DUMMYFUNCTION("""COMPUTED_VALUE"""),"103125")</f>
        <v>103125</v>
      </c>
      <c r="AA793" s="6" t="str">
        <f>IFERROR(__xludf.DUMMYFUNCTION("""COMPUTED_VALUE"""),"SURA")</f>
        <v>SURA</v>
      </c>
      <c r="AB793" s="6"/>
      <c r="AC793" s="12" t="str">
        <f>IFERROR(__xludf.DUMMYFUNCTION("""COMPUTED_VALUE"""),"Renitis")</f>
        <v>Renitis</v>
      </c>
      <c r="AD793" s="12" t="str">
        <f>IFERROR(__xludf.DUMMYFUNCTION("""COMPUTED_VALUE"""),"12")</f>
        <v>12</v>
      </c>
      <c r="AE793" s="12">
        <f>IFERROR(__xludf.DUMMYFUNCTION("""COMPUTED_VALUE"""),1.345281529E9)</f>
        <v>1345281529</v>
      </c>
      <c r="AF793" s="12" t="str">
        <f>IFERROR(__xludf.DUMMYFUNCTION("""COMPUTED_VALUE"""),"0676949427")</f>
        <v>0676949427</v>
      </c>
      <c r="AG793" s="12" t="str">
        <f>IFERROR(__xludf.DUMMYFUNCTION("""COMPUTED_VALUE"""),"María")</f>
        <v>María</v>
      </c>
      <c r="AH793" s="12" t="str">
        <f>IFERROR(__xludf.DUMMYFUNCTION("""COMPUTED_VALUE"""),"Isabel")</f>
        <v>Isabel</v>
      </c>
      <c r="AI793" s="6" t="str">
        <f>IFERROR(__xludf.DUMMYFUNCTION("""COMPUTED_VALUE"""),"Mejía Gutierrez")</f>
        <v>Mejía Gutierrez</v>
      </c>
      <c r="AJ793" s="6" t="str">
        <f>IFERROR(__xludf.DUMMYFUNCTION("""COMPUTED_VALUE"""),"mariaisabelmejiagutierrez0@gmail.com")</f>
        <v>mariaisabelmejiagutierrez0@gmail.com</v>
      </c>
      <c r="AK793" s="6" t="str">
        <f>IFERROR(__xludf.DUMMYFUNCTION("""COMPUTED_VALUE"""),"Comerciante")</f>
        <v>Comerciante</v>
      </c>
      <c r="AL793" s="6"/>
      <c r="AM793" s="12" t="str">
        <f>IFERROR(__xludf.DUMMYFUNCTION("""COMPUTED_VALUE"""),"41957884")</f>
        <v>41957884</v>
      </c>
      <c r="AN793" s="12" t="str">
        <f>IFERROR(__xludf.DUMMYFUNCTION("""COMPUTED_VALUE"""),"=+1 9415772357")</f>
        <v>=+1 9415772357</v>
      </c>
      <c r="AO793" s="6" t="str">
        <f>IFERROR(__xludf.DUMMYFUNCTION("""COMPUTED_VALUE"""),"Madre")</f>
        <v>Madre</v>
      </c>
      <c r="AP793" s="6" t="str">
        <f>IFERROR(__xludf.DUMMYFUNCTION("""COMPUTED_VALUE"""),"Estudiante(s): Jiménez Mejía")</f>
        <v>Estudiante(s): Jiménez Mejía</v>
      </c>
      <c r="AQ793" s="6" t="str">
        <f>IFERROR(__xludf.DUMMYFUNCTION("""COMPUTED_VALUE"""),"103125*Gi")</f>
        <v>103125*Gi</v>
      </c>
      <c r="AR793" s="6" t="str">
        <f>IFERROR(__xludf.DUMMYFUNCTION("""COMPUTED_VALUE"""),"Mauricio")</f>
        <v>Mauricio</v>
      </c>
      <c r="AS793" s="6"/>
      <c r="AT793" s="6" t="str">
        <f>IFERROR(__xludf.DUMMYFUNCTION("""COMPUTED_VALUE"""),"Jiménez Mesa")</f>
        <v>Jiménez Mesa</v>
      </c>
      <c r="AU793" s="6" t="str">
        <f>IFERROR(__xludf.DUMMYFUNCTION("""COMPUTED_VALUE"""),"maurojimenezmesa@hotmail.com")</f>
        <v>maurojimenezmesa@hotmail.com</v>
      </c>
      <c r="AV793" s="6" t="str">
        <f>IFERROR(__xludf.DUMMYFUNCTION("""COMPUTED_VALUE"""),"Comerciante")</f>
        <v>Comerciante</v>
      </c>
      <c r="AW793" s="6" t="str">
        <f>IFERROR(__xludf.DUMMYFUNCTION("""COMPUTED_VALUE"""),"Cafetero")</f>
        <v>Cafetero</v>
      </c>
      <c r="AX793" s="12" t="str">
        <f>IFERROR(__xludf.DUMMYFUNCTION("""COMPUTED_VALUE"""),"89009116")</f>
        <v>89009116</v>
      </c>
      <c r="AY793" s="12" t="str">
        <f>IFERROR(__xludf.DUMMYFUNCTION("""COMPUTED_VALUE"""),"3164469365")</f>
        <v>3164469365</v>
      </c>
      <c r="AZ793" s="6" t="str">
        <f>IFERROR(__xludf.DUMMYFUNCTION("""COMPUTED_VALUE"""),"Padre")</f>
        <v>Padre</v>
      </c>
      <c r="BA793" s="6"/>
      <c r="BB793" s="6"/>
      <c r="BC793" s="6"/>
      <c r="BD793" s="12" t="str">
        <f>IFERROR(__xludf.DUMMYFUNCTION("""COMPUTED_VALUE"""),"jim0005")</f>
        <v>jim0005</v>
      </c>
      <c r="BE793" s="6" t="str">
        <f>IFERROR(__xludf.DUMMYFUNCTION("""COMPUTED_VALUE"""),"FALTAN FIRMAS")</f>
        <v>FALTAN FIRMAS</v>
      </c>
      <c r="BF793" s="6"/>
      <c r="BG793" s="6">
        <f>IFERROR(__xludf.DUMMYFUNCTION("""COMPUTED_VALUE"""),2027.0)</f>
        <v>2027</v>
      </c>
      <c r="BH793" s="15">
        <f>IFERROR(__xludf.DUMMYFUNCTION("""COMPUTED_VALUE"""),46239.57450231481)</f>
        <v>46239.5745</v>
      </c>
      <c r="BI793" s="6">
        <f>IFERROR(__xludf.DUMMYFUNCTION("""COMPUTED_VALUE"""),794.0)</f>
        <v>794</v>
      </c>
      <c r="BJ793" s="6"/>
      <c r="BK793" s="6"/>
      <c r="BL793" s="6" t="str">
        <f>IFERROR(__xludf.DUMMYFUNCTION("""COMPUTED_VALUE"""),"GISJIM0005")</f>
        <v>GISJIM0005</v>
      </c>
      <c r="BM793" s="6"/>
      <c r="BN793" s="6"/>
      <c r="BO793" s="6"/>
      <c r="BP793" s="6"/>
      <c r="BQ793" s="6"/>
      <c r="BR793" s="6"/>
      <c r="BS793" s="6"/>
      <c r="BT793" s="6"/>
      <c r="BU793" s="6" t="str">
        <f>IFERROR(__xludf.DUMMYFUNCTION("""COMPUTED_VALUE"""),"SI")</f>
        <v>SI</v>
      </c>
      <c r="BV793" s="6" t="str">
        <f>IFERROR(__xludf.DUMMYFUNCTION("""COMPUTED_VALUE"""),"manuela.j2027")</f>
        <v>manuela.j2027</v>
      </c>
      <c r="BW793" s="6"/>
      <c r="BX793" s="6"/>
      <c r="BY793" s="6"/>
      <c r="BZ793" s="6"/>
    </row>
    <row r="794">
      <c r="A794" s="12">
        <f>IFERROR(__xludf.DUMMYFUNCTION("""COMPUTED_VALUE"""),1.090275983E9)</f>
        <v>1090275983</v>
      </c>
      <c r="B794" s="6">
        <f>IFERROR(__xludf.DUMMYFUNCTION("""COMPUTED_VALUE"""),28.0)</f>
        <v>28</v>
      </c>
      <c r="C794" s="6" t="str">
        <f>IFERROR(__xludf.DUMMYFUNCTION("""COMPUTED_VALUE"""),"Luciana")</f>
        <v>Luciana</v>
      </c>
      <c r="D794" s="6"/>
      <c r="E794" s="6" t="str">
        <f>IFERROR(__xludf.DUMMYFUNCTION("""COMPUTED_VALUE"""),"López Piedrahita")</f>
        <v>López Piedrahita</v>
      </c>
      <c r="F794" s="6" t="str">
        <f>IFERROR(__xludf.DUMMYFUNCTION("""COMPUTED_VALUE"""),"Condominio Campestre La Reserva Casa 9 - Cra 5 No10Nte - 25 Av Centenario")</f>
        <v>Condominio Campestre La Reserva Casa 9 - Cra 5 No10Nte - 25 Av Centenario</v>
      </c>
      <c r="G794" s="12" t="str">
        <f>IFERROR(__xludf.DUMMYFUNCTION("""COMPUTED_VALUE"""),"2009")</f>
        <v>2009</v>
      </c>
      <c r="H794" s="6" t="str">
        <f>IFERROR(__xludf.DUMMYFUNCTION("""COMPUTED_VALUE"""),"Julio")</f>
        <v>Julio</v>
      </c>
      <c r="I794" s="12" t="str">
        <f>IFERROR(__xludf.DUMMYFUNCTION("""COMPUTED_VALUE"""),"4")</f>
        <v>4</v>
      </c>
      <c r="J794" s="6" t="str">
        <f>IFERROR(__xludf.DUMMYFUNCTION("""COMPUTED_VALUE"""),"Armenia")</f>
        <v>Armenia</v>
      </c>
      <c r="K794" s="6" t="str">
        <f>IFERROR(__xludf.DUMMYFUNCTION("""COMPUTED_VALUE"""),"luciana.l2027@gi.edu.co")</f>
        <v>luciana.l2027@gi.edu.co</v>
      </c>
      <c r="L794" s="6" t="str">
        <f>IFERROR(__xludf.DUMMYFUNCTION("""COMPUTED_VALUE"""),"TI")</f>
        <v>TI</v>
      </c>
      <c r="M794" s="6" t="str">
        <f>IFERROR(__xludf.DUMMYFUNCTION("""COMPUTED_VALUE"""),"Armenia")</f>
        <v>Armenia</v>
      </c>
      <c r="N794" s="6" t="str">
        <f>IFERROR(__xludf.DUMMYFUNCTION("""COMPUTED_VALUE"""),"F")</f>
        <v>F</v>
      </c>
      <c r="O794" s="6" t="str">
        <f>IFERROR(__xludf.DUMMYFUNCTION("""COMPUTED_VALUE"""),"ACTIVE")</f>
        <v>ACTIVE</v>
      </c>
      <c r="P794" s="6"/>
      <c r="Q794" s="6" t="str">
        <f>IFERROR(__xludf.DUMMYFUNCTION("""COMPUTED_VALUE"""),"Armenia")</f>
        <v>Armenia</v>
      </c>
      <c r="R794" s="12" t="str">
        <f>IFERROR(__xludf.DUMMYFUNCTION("""COMPUTED_VALUE"""),"Gi27r42669*")</f>
        <v>Gi27r42669*</v>
      </c>
      <c r="S794" s="6" t="str">
        <f>IFERROR(__xludf.DUMMYFUNCTION("""COMPUTED_VALUE"""),"López Piedrahita Luciana ")</f>
        <v>López Piedrahita Luciana </v>
      </c>
      <c r="T794" s="6" t="str">
        <f>IFERROR(__xludf.DUMMYFUNCTION("""COMPUTED_VALUE"""),"MARIA CECILIA PIEDRAHITA MARTINEZ")</f>
        <v>MARIA CECILIA PIEDRAHITA MARTINEZ</v>
      </c>
      <c r="U794" s="12" t="str">
        <f>IFERROR(__xludf.DUMMYFUNCTION("""COMPUTED_VALUE"""),"41947863")</f>
        <v>41947863</v>
      </c>
      <c r="V794" s="6">
        <f>IFERROR(__xludf.DUMMYFUNCTION("""COMPUTED_VALUE"""),3.21644405E9)</f>
        <v>3216444050</v>
      </c>
      <c r="W794" s="6" t="str">
        <f>IFERROR(__xludf.DUMMYFUNCTION("""COMPUTED_VALUE"""),"macepi80@hotmail.com")</f>
        <v>macepi80@hotmail.com</v>
      </c>
      <c r="X794" s="12" t="str">
        <f>IFERROR(__xludf.DUMMYFUNCTION("""COMPUTED_VALUE"""),"O+")</f>
        <v>O+</v>
      </c>
      <c r="Y794" s="12" t="str">
        <f>IFERROR(__xludf.DUMMYFUNCTION("""COMPUTED_VALUE"""),"12")</f>
        <v>12</v>
      </c>
      <c r="Z794" s="12">
        <f>IFERROR(__xludf.DUMMYFUNCTION("""COMPUTED_VALUE"""),102840.0)</f>
        <v>102840</v>
      </c>
      <c r="AA794" s="6" t="str">
        <f>IFERROR(__xludf.DUMMYFUNCTION("""COMPUTED_VALUE"""),"SURA")</f>
        <v>SURA</v>
      </c>
      <c r="AB794" s="6" t="str">
        <f>IFERROR(__xludf.DUMMYFUNCTION("""COMPUTED_VALUE"""),"EMI")</f>
        <v>EMI</v>
      </c>
      <c r="AC794" s="6"/>
      <c r="AD794" s="12" t="str">
        <f>IFERROR(__xludf.DUMMYFUNCTION("""COMPUTED_VALUE"""),"12")</f>
        <v>12</v>
      </c>
      <c r="AE794" s="12">
        <f>IFERROR(__xludf.DUMMYFUNCTION("""COMPUTED_VALUE"""),1.345281385E9)</f>
        <v>1345281385</v>
      </c>
      <c r="AF794" s="12" t="str">
        <f>IFERROR(__xludf.DUMMYFUNCTION("""COMPUTED_VALUE"""),"0681508755")</f>
        <v>0681508755</v>
      </c>
      <c r="AG794" s="12" t="str">
        <f>IFERROR(__xludf.DUMMYFUNCTION("""COMPUTED_VALUE"""),"María")</f>
        <v>María</v>
      </c>
      <c r="AH794" s="12" t="str">
        <f>IFERROR(__xludf.DUMMYFUNCTION("""COMPUTED_VALUE"""),"Cecilia")</f>
        <v>Cecilia</v>
      </c>
      <c r="AI794" s="6" t="str">
        <f>IFERROR(__xludf.DUMMYFUNCTION("""COMPUTED_VALUE"""),"Piedrahita Martínez")</f>
        <v>Piedrahita Martínez</v>
      </c>
      <c r="AJ794" s="6" t="str">
        <f>IFERROR(__xludf.DUMMYFUNCTION("""COMPUTED_VALUE"""),"macepi80@hotmail.com")</f>
        <v>macepi80@hotmail.com</v>
      </c>
      <c r="AK794" s="6" t="str">
        <f>IFERROR(__xludf.DUMMYFUNCTION("""COMPUTED_VALUE"""),"Administradora de empresas")</f>
        <v>Administradora de empresas</v>
      </c>
      <c r="AL794" s="6"/>
      <c r="AM794" s="12" t="str">
        <f>IFERROR(__xludf.DUMMYFUNCTION("""COMPUTED_VALUE"""),"41947863")</f>
        <v>41947863</v>
      </c>
      <c r="AN794" s="12" t="str">
        <f>IFERROR(__xludf.DUMMYFUNCTION("""COMPUTED_VALUE"""),"3216444050")</f>
        <v>3216444050</v>
      </c>
      <c r="AO794" s="6" t="str">
        <f>IFERROR(__xludf.DUMMYFUNCTION("""COMPUTED_VALUE"""),"Madre")</f>
        <v>Madre</v>
      </c>
      <c r="AP794" s="6" t="str">
        <f>IFERROR(__xludf.DUMMYFUNCTION("""COMPUTED_VALUE"""),"Estudiante(s): López Piedrahita")</f>
        <v>Estudiante(s): López Piedrahita</v>
      </c>
      <c r="AQ794" s="6" t="str">
        <f>IFERROR(__xludf.DUMMYFUNCTION("""COMPUTED_VALUE"""),"102840*Gi")</f>
        <v>102840*Gi</v>
      </c>
      <c r="AR794" s="6" t="str">
        <f>IFERROR(__xludf.DUMMYFUNCTION("""COMPUTED_VALUE"""),"Germán")</f>
        <v>Germán</v>
      </c>
      <c r="AS794" s="6" t="str">
        <f>IFERROR(__xludf.DUMMYFUNCTION("""COMPUTED_VALUE"""),"Alberto")</f>
        <v>Alberto</v>
      </c>
      <c r="AT794" s="6" t="str">
        <f>IFERROR(__xludf.DUMMYFUNCTION("""COMPUTED_VALUE"""),"López Agudelo")</f>
        <v>López Agudelo</v>
      </c>
      <c r="AU794" s="6" t="str">
        <f>IFERROR(__xludf.DUMMYFUNCTION("""COMPUTED_VALUE"""),"macepi80@hotmail.com")</f>
        <v>macepi80@hotmail.com</v>
      </c>
      <c r="AV794" s="6" t="str">
        <f>IFERROR(__xludf.DUMMYFUNCTION("""COMPUTED_VALUE"""),"arquitecto")</f>
        <v>arquitecto</v>
      </c>
      <c r="AW794" s="6" t="str">
        <f>IFERROR(__xludf.DUMMYFUNCTION("""COMPUTED_VALUE"""),"Grupo Hermón")</f>
        <v>Grupo Hermón</v>
      </c>
      <c r="AX794" s="12" t="str">
        <f>IFERROR(__xludf.DUMMYFUNCTION("""COMPUTED_VALUE"""),"4376557")</f>
        <v>4376557</v>
      </c>
      <c r="AY794" s="12" t="str">
        <f>IFERROR(__xludf.DUMMYFUNCTION("""COMPUTED_VALUE"""),"3158819556")</f>
        <v>3158819556</v>
      </c>
      <c r="AZ794" s="6" t="str">
        <f>IFERROR(__xludf.DUMMYFUNCTION("""COMPUTED_VALUE"""),"Padre")</f>
        <v>Padre</v>
      </c>
      <c r="BA794" s="6"/>
      <c r="BB794" s="6"/>
      <c r="BC794" s="6"/>
      <c r="BD794" s="12" t="str">
        <f>IFERROR(__xludf.DUMMYFUNCTION("""COMPUTED_VALUE"""),"lop0003")</f>
        <v>lop0003</v>
      </c>
      <c r="BE794" s="6"/>
      <c r="BF794" s="6"/>
      <c r="BG794" s="6">
        <f>IFERROR(__xludf.DUMMYFUNCTION("""COMPUTED_VALUE"""),2027.0)</f>
        <v>2027</v>
      </c>
      <c r="BH794" s="15">
        <f>IFERROR(__xludf.DUMMYFUNCTION("""COMPUTED_VALUE"""),46204.46346064815)</f>
        <v>46204.46346</v>
      </c>
      <c r="BI794" s="6">
        <f>IFERROR(__xludf.DUMMYFUNCTION("""COMPUTED_VALUE"""),795.0)</f>
        <v>795</v>
      </c>
      <c r="BJ794" s="6"/>
      <c r="BK794" s="6"/>
      <c r="BL794" s="6" t="str">
        <f>IFERROR(__xludf.DUMMYFUNCTION("""COMPUTED_VALUE"""),"GISLOP0003")</f>
        <v>GISLOP0003</v>
      </c>
      <c r="BM794" s="6"/>
      <c r="BN794" s="6"/>
      <c r="BO794" s="6"/>
      <c r="BP794" s="6"/>
      <c r="BQ794" s="6"/>
      <c r="BR794" s="6"/>
      <c r="BS794" s="6"/>
      <c r="BT794" s="6"/>
      <c r="BU794" s="6" t="str">
        <f>IFERROR(__xludf.DUMMYFUNCTION("""COMPUTED_VALUE"""),"NO")</f>
        <v>NO</v>
      </c>
      <c r="BV794" s="6" t="str">
        <f>IFERROR(__xludf.DUMMYFUNCTION("""COMPUTED_VALUE"""),"luciana.l2027")</f>
        <v>luciana.l2027</v>
      </c>
      <c r="BW794" s="6"/>
      <c r="BX794" s="6"/>
      <c r="BY794" s="6"/>
      <c r="BZ794" s="6"/>
    </row>
    <row r="795">
      <c r="A795" s="12">
        <f>IFERROR(__xludf.DUMMYFUNCTION("""COMPUTED_VALUE"""),1.032878304E9)</f>
        <v>1032878304</v>
      </c>
      <c r="B795" s="6">
        <f>IFERROR(__xludf.DUMMYFUNCTION("""COMPUTED_VALUE"""),29.0)</f>
        <v>29</v>
      </c>
      <c r="C795" s="6" t="str">
        <f>IFERROR(__xludf.DUMMYFUNCTION("""COMPUTED_VALUE"""),"Isabela")</f>
        <v>Isabela</v>
      </c>
      <c r="D795" s="6"/>
      <c r="E795" s="6" t="str">
        <f>IFERROR(__xludf.DUMMYFUNCTION("""COMPUTED_VALUE"""),"Mejía Barrios")</f>
        <v>Mejía Barrios</v>
      </c>
      <c r="F795" s="6" t="str">
        <f>IFERROR(__xludf.DUMMYFUNCTION("""COMPUTED_VALUE"""),"Cra 12 No12Nte - 73 Apto 602 - La Castellana")</f>
        <v>Cra 12 No12Nte - 73 Apto 602 - La Castellana</v>
      </c>
      <c r="G795" s="12" t="str">
        <f>IFERROR(__xludf.DUMMYFUNCTION("""COMPUTED_VALUE"""),"2009")</f>
        <v>2009</v>
      </c>
      <c r="H795" s="6" t="str">
        <f>IFERROR(__xludf.DUMMYFUNCTION("""COMPUTED_VALUE"""),"Septiembre")</f>
        <v>Septiembre</v>
      </c>
      <c r="I795" s="12" t="str">
        <f>IFERROR(__xludf.DUMMYFUNCTION("""COMPUTED_VALUE"""),"16")</f>
        <v>16</v>
      </c>
      <c r="J795" s="6" t="str">
        <f>IFERROR(__xludf.DUMMYFUNCTION("""COMPUTED_VALUE"""),"Bogotá D.C.")</f>
        <v>Bogotá D.C.</v>
      </c>
      <c r="K795" s="6" t="str">
        <f>IFERROR(__xludf.DUMMYFUNCTION("""COMPUTED_VALUE"""),"isabela.m2027@gi.edu.co")</f>
        <v>isabela.m2027@gi.edu.co</v>
      </c>
      <c r="L795" s="6" t="str">
        <f>IFERROR(__xludf.DUMMYFUNCTION("""COMPUTED_VALUE"""),"TI")</f>
        <v>TI</v>
      </c>
      <c r="M795" s="6" t="str">
        <f>IFERROR(__xludf.DUMMYFUNCTION("""COMPUTED_VALUE"""),"Armenia")</f>
        <v>Armenia</v>
      </c>
      <c r="N795" s="6" t="str">
        <f>IFERROR(__xludf.DUMMYFUNCTION("""COMPUTED_VALUE"""),"F")</f>
        <v>F</v>
      </c>
      <c r="O795" s="6" t="str">
        <f>IFERROR(__xludf.DUMMYFUNCTION("""COMPUTED_VALUE"""),"ACTIVE")</f>
        <v>ACTIVE</v>
      </c>
      <c r="P795" s="6"/>
      <c r="Q795" s="6" t="str">
        <f>IFERROR(__xludf.DUMMYFUNCTION("""COMPUTED_VALUE"""),"Armenia")</f>
        <v>Armenia</v>
      </c>
      <c r="R795" s="12" t="str">
        <f>IFERROR(__xludf.DUMMYFUNCTION("""COMPUTED_VALUE"""),"Gi67823c29*")</f>
        <v>Gi67823c29*</v>
      </c>
      <c r="S795" s="6" t="str">
        <f>IFERROR(__xludf.DUMMYFUNCTION("""COMPUTED_VALUE"""),"Mejía Barrios Isabela ")</f>
        <v>Mejía Barrios Isabela </v>
      </c>
      <c r="T795" s="6" t="str">
        <f>IFERROR(__xludf.DUMMYFUNCTION("""COMPUTED_VALUE"""),"ALEJANDRO MEJIA MOLINA")</f>
        <v>ALEJANDRO MEJIA MOLINA</v>
      </c>
      <c r="U795" s="12" t="str">
        <f>IFERROR(__xludf.DUMMYFUNCTION("""COMPUTED_VALUE"""),"98554709")</f>
        <v>98554709</v>
      </c>
      <c r="V795" s="6">
        <f>IFERROR(__xludf.DUMMYFUNCTION("""COMPUTED_VALUE"""),3.133598917E9)</f>
        <v>3133598917</v>
      </c>
      <c r="W795" s="6" t="str">
        <f>IFERROR(__xludf.DUMMYFUNCTION("""COMPUTED_VALUE"""),"a.mejiam@hotmail.com")</f>
        <v>a.mejiam@hotmail.com</v>
      </c>
      <c r="X795" s="12" t="str">
        <f>IFERROR(__xludf.DUMMYFUNCTION("""COMPUTED_VALUE"""),"O+")</f>
        <v>O+</v>
      </c>
      <c r="Y795" s="12" t="str">
        <f>IFERROR(__xludf.DUMMYFUNCTION("""COMPUTED_VALUE"""),"12")</f>
        <v>12</v>
      </c>
      <c r="Z795" s="12">
        <f>IFERROR(__xludf.DUMMYFUNCTION("""COMPUTED_VALUE"""),102687.0)</f>
        <v>102687</v>
      </c>
      <c r="AA795" s="6" t="str">
        <f>IFERROR(__xludf.DUMMYFUNCTION("""COMPUTED_VALUE"""),"SURA")</f>
        <v>SURA</v>
      </c>
      <c r="AB795" s="6" t="str">
        <f>IFERROR(__xludf.DUMMYFUNCTION("""COMPUTED_VALUE"""),"EMI")</f>
        <v>EMI</v>
      </c>
      <c r="AC795" s="6"/>
      <c r="AD795" s="12" t="str">
        <f>IFERROR(__xludf.DUMMYFUNCTION("""COMPUTED_VALUE"""),"12")</f>
        <v>12</v>
      </c>
      <c r="AE795" s="12">
        <f>IFERROR(__xludf.DUMMYFUNCTION("""COMPUTED_VALUE"""),1.345281345E9)</f>
        <v>1345281345</v>
      </c>
      <c r="AF795" s="12" t="str">
        <f>IFERROR(__xludf.DUMMYFUNCTION("""COMPUTED_VALUE"""),"0652212963")</f>
        <v>0652212963</v>
      </c>
      <c r="AG795" s="12" t="str">
        <f>IFERROR(__xludf.DUMMYFUNCTION("""COMPUTED_VALUE"""),"Catalina")</f>
        <v>Catalina</v>
      </c>
      <c r="AH795" s="6"/>
      <c r="AI795" s="6" t="str">
        <f>IFERROR(__xludf.DUMMYFUNCTION("""COMPUTED_VALUE"""),"Barrios Páez")</f>
        <v>Barrios Páez</v>
      </c>
      <c r="AJ795" s="6" t="str">
        <f>IFERROR(__xludf.DUMMYFUNCTION("""COMPUTED_VALUE"""),"catalina_barrios@hotmail.com")</f>
        <v>catalina_barrios@hotmail.com</v>
      </c>
      <c r="AK795" s="6" t="str">
        <f>IFERROR(__xludf.DUMMYFUNCTION("""COMPUTED_VALUE"""),"COMUNICADORA SOCIAL")</f>
        <v>COMUNICADORA SOCIAL</v>
      </c>
      <c r="AL795" s="6" t="str">
        <f>IFERROR(__xludf.DUMMYFUNCTION("""COMPUTED_VALUE"""),"INDEPENDIENTE")</f>
        <v>INDEPENDIENTE</v>
      </c>
      <c r="AM795" s="12" t="str">
        <f>IFERROR(__xludf.DUMMYFUNCTION("""COMPUTED_VALUE"""),"41942089")</f>
        <v>41942089</v>
      </c>
      <c r="AN795" s="12" t="str">
        <f>IFERROR(__xludf.DUMMYFUNCTION("""COMPUTED_VALUE"""),"3104263838")</f>
        <v>3104263838</v>
      </c>
      <c r="AO795" s="6" t="str">
        <f>IFERROR(__xludf.DUMMYFUNCTION("""COMPUTED_VALUE"""),"Madre")</f>
        <v>Madre</v>
      </c>
      <c r="AP795" s="6" t="str">
        <f>IFERROR(__xludf.DUMMYFUNCTION("""COMPUTED_VALUE"""),"Estudiante(s): Mejía Barrios")</f>
        <v>Estudiante(s): Mejía Barrios</v>
      </c>
      <c r="AQ795" s="6" t="str">
        <f>IFERROR(__xludf.DUMMYFUNCTION("""COMPUTED_VALUE"""),"102144*Gi")</f>
        <v>102144*Gi</v>
      </c>
      <c r="AR795" s="6" t="str">
        <f>IFERROR(__xludf.DUMMYFUNCTION("""COMPUTED_VALUE"""),"Alejandro")</f>
        <v>Alejandro</v>
      </c>
      <c r="AS795" s="6"/>
      <c r="AT795" s="6" t="str">
        <f>IFERROR(__xludf.DUMMYFUNCTION("""COMPUTED_VALUE"""),"Mejía Molina")</f>
        <v>Mejía Molina</v>
      </c>
      <c r="AU795" s="6" t="str">
        <f>IFERROR(__xludf.DUMMYFUNCTION("""COMPUTED_VALUE"""),"a.mejiam@hotmail.com")</f>
        <v>a.mejiam@hotmail.com</v>
      </c>
      <c r="AV795" s="6" t="str">
        <f>IFERROR(__xludf.DUMMYFUNCTION("""COMPUTED_VALUE"""),"Administrador de Empresas")</f>
        <v>Administrador de Empresas</v>
      </c>
      <c r="AW795" s="6" t="str">
        <f>IFERROR(__xludf.DUMMYFUNCTION("""COMPUTED_VALUE"""),"Independiente")</f>
        <v>Independiente</v>
      </c>
      <c r="AX795" s="12" t="str">
        <f>IFERROR(__xludf.DUMMYFUNCTION("""COMPUTED_VALUE"""),"98554709")</f>
        <v>98554709</v>
      </c>
      <c r="AY795" s="12" t="str">
        <f>IFERROR(__xludf.DUMMYFUNCTION("""COMPUTED_VALUE"""),"3133598917")</f>
        <v>3133598917</v>
      </c>
      <c r="AZ795" s="6" t="str">
        <f>IFERROR(__xludf.DUMMYFUNCTION("""COMPUTED_VALUE"""),"Padre")</f>
        <v>Padre</v>
      </c>
      <c r="BA795" s="6"/>
      <c r="BB795" s="6"/>
      <c r="BC795" s="6"/>
      <c r="BD795" s="12" t="str">
        <f>IFERROR(__xludf.DUMMYFUNCTION("""COMPUTED_VALUE"""),"mej0003")</f>
        <v>mej0003</v>
      </c>
      <c r="BE795" s="6"/>
      <c r="BF795" s="6"/>
      <c r="BG795" s="6">
        <f>IFERROR(__xludf.DUMMYFUNCTION("""COMPUTED_VALUE"""),2027.0)</f>
        <v>2027</v>
      </c>
      <c r="BH795" s="15">
        <f>IFERROR(__xludf.DUMMYFUNCTION("""COMPUTED_VALUE"""),46209.19296296296)</f>
        <v>46209.19296</v>
      </c>
      <c r="BI795" s="6">
        <f>IFERROR(__xludf.DUMMYFUNCTION("""COMPUTED_VALUE"""),796.0)</f>
        <v>796</v>
      </c>
      <c r="BJ795" s="6"/>
      <c r="BK795" s="6"/>
      <c r="BL795" s="6" t="str">
        <f>IFERROR(__xludf.DUMMYFUNCTION("""COMPUTED_VALUE"""),"GISMEJ0003")</f>
        <v>GISMEJ0003</v>
      </c>
      <c r="BM795" s="6"/>
      <c r="BN795" s="6"/>
      <c r="BO795" s="6"/>
      <c r="BP795" s="6"/>
      <c r="BQ795" s="6"/>
      <c r="BR795" s="6"/>
      <c r="BS795" s="6"/>
      <c r="BT795" s="6"/>
      <c r="BU795" s="6" t="str">
        <f>IFERROR(__xludf.DUMMYFUNCTION("""COMPUTED_VALUE"""),"NO")</f>
        <v>NO</v>
      </c>
      <c r="BV795" s="6" t="str">
        <f>IFERROR(__xludf.DUMMYFUNCTION("""COMPUTED_VALUE"""),"isabela.m2027")</f>
        <v>isabela.m2027</v>
      </c>
      <c r="BW795" s="6"/>
      <c r="BX795" s="6"/>
      <c r="BY795" s="6"/>
      <c r="BZ795" s="6"/>
    </row>
    <row r="796">
      <c r="A796" s="12">
        <f>IFERROR(__xludf.DUMMYFUNCTION("""COMPUTED_VALUE"""),1.084606567E9)</f>
        <v>1084606567</v>
      </c>
      <c r="B796" s="6">
        <f>IFERROR(__xludf.DUMMYFUNCTION("""COMPUTED_VALUE"""),30.0)</f>
        <v>30</v>
      </c>
      <c r="C796" s="6" t="str">
        <f>IFERROR(__xludf.DUMMYFUNCTION("""COMPUTED_VALUE"""),"Tomás")</f>
        <v>Tomás</v>
      </c>
      <c r="D796" s="6"/>
      <c r="E796" s="6" t="str">
        <f>IFERROR(__xludf.DUMMYFUNCTION("""COMPUTED_VALUE"""),"Mejía Ceballos")</f>
        <v>Mejía Ceballos</v>
      </c>
      <c r="F796" s="6" t="str">
        <f>IFERROR(__xludf.DUMMYFUNCTION("""COMPUTED_VALUE"""),"Conjunto Hacienda El Cabrero Casa 31 - Km 9 Via Armenia-La Tebaida")</f>
        <v>Conjunto Hacienda El Cabrero Casa 31 - Km 9 Via Armenia-La Tebaida</v>
      </c>
      <c r="G796" s="12" t="str">
        <f>IFERROR(__xludf.DUMMYFUNCTION("""COMPUTED_VALUE"""),"2009")</f>
        <v>2009</v>
      </c>
      <c r="H796" s="6" t="str">
        <f>IFERROR(__xludf.DUMMYFUNCTION("""COMPUTED_VALUE"""),"Febrero")</f>
        <v>Febrero</v>
      </c>
      <c r="I796" s="12" t="str">
        <f>IFERROR(__xludf.DUMMYFUNCTION("""COMPUTED_VALUE"""),"26")</f>
        <v>26</v>
      </c>
      <c r="J796" s="6" t="str">
        <f>IFERROR(__xludf.DUMMYFUNCTION("""COMPUTED_VALUE"""),"Santa Marta")</f>
        <v>Santa Marta</v>
      </c>
      <c r="K796" s="6" t="str">
        <f>IFERROR(__xludf.DUMMYFUNCTION("""COMPUTED_VALUE"""),"tomas.m2027@gi.edu.co")</f>
        <v>tomas.m2027@gi.edu.co</v>
      </c>
      <c r="L796" s="6" t="str">
        <f>IFERROR(__xludf.DUMMYFUNCTION("""COMPUTED_VALUE"""),"TI")</f>
        <v>TI</v>
      </c>
      <c r="M796" s="6" t="str">
        <f>IFERROR(__xludf.DUMMYFUNCTION("""COMPUTED_VALUE"""),"Cali")</f>
        <v>Cali</v>
      </c>
      <c r="N796" s="6" t="str">
        <f>IFERROR(__xludf.DUMMYFUNCTION("""COMPUTED_VALUE"""),"M")</f>
        <v>M</v>
      </c>
      <c r="O796" s="6" t="str">
        <f>IFERROR(__xludf.DUMMYFUNCTION("""COMPUTED_VALUE"""),"INACTIVE")</f>
        <v>INACTIVE</v>
      </c>
      <c r="P796" s="6"/>
      <c r="Q796" s="6" t="str">
        <f>IFERROR(__xludf.DUMMYFUNCTION("""COMPUTED_VALUE"""),"La Tebaida")</f>
        <v>La Tebaida</v>
      </c>
      <c r="R796" s="12" t="str">
        <f>IFERROR(__xludf.DUMMYFUNCTION("""COMPUTED_VALUE"""),"Giy675rty6*")</f>
        <v>Giy675rty6*</v>
      </c>
      <c r="S796" s="6" t="str">
        <f>IFERROR(__xludf.DUMMYFUNCTION("""COMPUTED_VALUE"""),"Mejía Ceballos Tomás ")</f>
        <v>Mejía Ceballos Tomás </v>
      </c>
      <c r="T796" s="6" t="str">
        <f>IFERROR(__xludf.DUMMYFUNCTION("""COMPUTED_VALUE"""),"MARIA CLARA CEBALLOS SANCHEZ")</f>
        <v>MARIA CLARA CEBALLOS SANCHEZ</v>
      </c>
      <c r="U796" s="12" t="str">
        <f>IFERROR(__xludf.DUMMYFUNCTION("""COMPUTED_VALUE"""),"67002116")</f>
        <v>67002116</v>
      </c>
      <c r="V796" s="6">
        <f>IFERROR(__xludf.DUMMYFUNCTION("""COMPUTED_VALUE"""),3.148115958E9)</f>
        <v>3148115958</v>
      </c>
      <c r="W796" s="6" t="str">
        <f>IFERROR(__xludf.DUMMYFUNCTION("""COMPUTED_VALUE"""),"platanillos@live.com")</f>
        <v>platanillos@live.com</v>
      </c>
      <c r="X796" s="12" t="str">
        <f>IFERROR(__xludf.DUMMYFUNCTION("""COMPUTED_VALUE"""),"O-")</f>
        <v>O-</v>
      </c>
      <c r="Y796" s="12" t="str">
        <f>IFERROR(__xludf.DUMMYFUNCTION("""COMPUTED_VALUE"""),"12")</f>
        <v>12</v>
      </c>
      <c r="Z796" s="12">
        <f>IFERROR(__xludf.DUMMYFUNCTION("""COMPUTED_VALUE"""),103640.0)</f>
        <v>103640</v>
      </c>
      <c r="AA796" s="6" t="str">
        <f>IFERROR(__xludf.DUMMYFUNCTION("""COMPUTED_VALUE"""),"COOMEVA")</f>
        <v>COOMEVA</v>
      </c>
      <c r="AB796" s="6" t="str">
        <f>IFERROR(__xludf.DUMMYFUNCTION("""COMPUTED_VALUE"""),"EMI")</f>
        <v>EMI</v>
      </c>
      <c r="AC796" s="6"/>
      <c r="AD796" s="12" t="str">
        <f>IFERROR(__xludf.DUMMYFUNCTION("""COMPUTED_VALUE"""),"12")</f>
        <v>12</v>
      </c>
      <c r="AE796" s="12">
        <f>IFERROR(__xludf.DUMMYFUNCTION("""COMPUTED_VALUE"""),1.345281817E9)</f>
        <v>1345281817</v>
      </c>
      <c r="AF796" s="12" t="str">
        <f>IFERROR(__xludf.DUMMYFUNCTION("""COMPUTED_VALUE"""),"0687937235")</f>
        <v>0687937235</v>
      </c>
      <c r="AG796" s="12" t="str">
        <f>IFERROR(__xludf.DUMMYFUNCTION("""COMPUTED_VALUE"""),"María")</f>
        <v>María</v>
      </c>
      <c r="AH796" s="12" t="str">
        <f>IFERROR(__xludf.DUMMYFUNCTION("""COMPUTED_VALUE"""),"Clara")</f>
        <v>Clara</v>
      </c>
      <c r="AI796" s="6" t="str">
        <f>IFERROR(__xludf.DUMMYFUNCTION("""COMPUTED_VALUE"""),"Ceballos Sánchez")</f>
        <v>Ceballos Sánchez</v>
      </c>
      <c r="AJ796" s="6" t="str">
        <f>IFERROR(__xludf.DUMMYFUNCTION("""COMPUTED_VALUE"""),"mariac.ceballos@plantarsas.com")</f>
        <v>mariac.ceballos@plantarsas.com</v>
      </c>
      <c r="AK796" s="6"/>
      <c r="AL796" s="6" t="str">
        <f>IFERROR(__xludf.DUMMYFUNCTION("""COMPUTED_VALUE"""),"PLATANILLOS")</f>
        <v>PLATANILLOS</v>
      </c>
      <c r="AM796" s="12" t="str">
        <f>IFERROR(__xludf.DUMMYFUNCTION("""COMPUTED_VALUE"""),"67002116")</f>
        <v>67002116</v>
      </c>
      <c r="AN796" s="12" t="str">
        <f>IFERROR(__xludf.DUMMYFUNCTION("""COMPUTED_VALUE"""),"3148115958")</f>
        <v>3148115958</v>
      </c>
      <c r="AO796" s="6" t="str">
        <f>IFERROR(__xludf.DUMMYFUNCTION("""COMPUTED_VALUE"""),"Madre")</f>
        <v>Madre</v>
      </c>
      <c r="AP796" s="6" t="str">
        <f>IFERROR(__xludf.DUMMYFUNCTION("""COMPUTED_VALUE"""),"Estudiante(s): Mejía Ceballos")</f>
        <v>Estudiante(s): Mejía Ceballos</v>
      </c>
      <c r="AQ796" s="6" t="str">
        <f>IFERROR(__xludf.DUMMYFUNCTION("""COMPUTED_VALUE"""),"103640*Gi")</f>
        <v>103640*Gi</v>
      </c>
      <c r="AR796" s="6" t="str">
        <f>IFERROR(__xludf.DUMMYFUNCTION("""COMPUTED_VALUE"""),"William")</f>
        <v>William</v>
      </c>
      <c r="AS796" s="6"/>
      <c r="AT796" s="6" t="str">
        <f>IFERROR(__xludf.DUMMYFUNCTION("""COMPUTED_VALUE"""),"Mejía Gutiérrez")</f>
        <v>Mejía Gutiérrez</v>
      </c>
      <c r="AU796" s="6" t="str">
        <f>IFERROR(__xludf.DUMMYFUNCTION("""COMPUTED_VALUE"""),"william.mejia@plantarsas.com")</f>
        <v>william.mejia@plantarsas.com</v>
      </c>
      <c r="AV796" s="6" t="str">
        <f>IFERROR(__xludf.DUMMYFUNCTION("""COMPUTED_VALUE"""),"Comerciante")</f>
        <v>Comerciante</v>
      </c>
      <c r="AW796" s="6" t="str">
        <f>IFERROR(__xludf.DUMMYFUNCTION("""COMPUTED_VALUE"""),"Platanillos")</f>
        <v>Platanillos</v>
      </c>
      <c r="AX796" s="12" t="str">
        <f>IFERROR(__xludf.DUMMYFUNCTION("""COMPUTED_VALUE"""),"16697741")</f>
        <v>16697741</v>
      </c>
      <c r="AY796" s="12" t="str">
        <f>IFERROR(__xludf.DUMMYFUNCTION("""COMPUTED_VALUE"""),"3128331493")</f>
        <v>3128331493</v>
      </c>
      <c r="AZ796" s="6" t="str">
        <f>IFERROR(__xludf.DUMMYFUNCTION("""COMPUTED_VALUE"""),"Padre")</f>
        <v>Padre</v>
      </c>
      <c r="BA796" s="6"/>
      <c r="BB796" s="6"/>
      <c r="BC796" s="6"/>
      <c r="BD796" s="12" t="str">
        <f>IFERROR(__xludf.DUMMYFUNCTION("""COMPUTED_VALUE"""),"mej0020")</f>
        <v>mej0020</v>
      </c>
      <c r="BE796" s="6" t="str">
        <f>IFERROR(__xludf.DUMMYFUNCTION("""COMPUTED_VALUE"""),"FALTAN FIRMAS")</f>
        <v>FALTAN FIRMAS</v>
      </c>
      <c r="BF796" s="6"/>
      <c r="BG796" s="6">
        <f>IFERROR(__xludf.DUMMYFUNCTION("""COMPUTED_VALUE"""),2027.0)</f>
        <v>2027</v>
      </c>
      <c r="BH796" s="15">
        <f>IFERROR(__xludf.DUMMYFUNCTION("""COMPUTED_VALUE"""),46212.757731481484)</f>
        <v>46212.75773</v>
      </c>
      <c r="BI796" s="6">
        <f>IFERROR(__xludf.DUMMYFUNCTION("""COMPUTED_VALUE"""),797.0)</f>
        <v>797</v>
      </c>
      <c r="BJ796" s="6"/>
      <c r="BK796" s="6"/>
      <c r="BL796" s="6" t="str">
        <f>IFERROR(__xludf.DUMMYFUNCTION("""COMPUTED_VALUE"""),"GISMEJ0020")</f>
        <v>GISMEJ0020</v>
      </c>
      <c r="BM796" s="6"/>
      <c r="BN796" s="6"/>
      <c r="BO796" s="6"/>
      <c r="BP796" s="6"/>
      <c r="BQ796" s="6"/>
      <c r="BR796" s="6"/>
      <c r="BS796" s="6"/>
      <c r="BT796" s="6"/>
      <c r="BU796" s="6" t="str">
        <f>IFERROR(__xludf.DUMMYFUNCTION("""COMPUTED_VALUE"""),"SI")</f>
        <v>SI</v>
      </c>
      <c r="BV796" s="6" t="str">
        <f>IFERROR(__xludf.DUMMYFUNCTION("""COMPUTED_VALUE"""),"tomas.m2027")</f>
        <v>tomas.m2027</v>
      </c>
      <c r="BW796" s="6"/>
      <c r="BX796" s="6"/>
      <c r="BY796" s="6"/>
      <c r="BZ796" s="6"/>
    </row>
    <row r="797">
      <c r="A797" s="12" t="str">
        <f>IFERROR(__xludf.DUMMYFUNCTION("""COMPUTED_VALUE"""),"1094988089")</f>
        <v>1094988089</v>
      </c>
      <c r="B797" s="6">
        <f>IFERROR(__xludf.DUMMYFUNCTION("""COMPUTED_VALUE"""),31.0)</f>
        <v>31</v>
      </c>
      <c r="C797" s="6" t="str">
        <f>IFERROR(__xludf.DUMMYFUNCTION("""COMPUTED_VALUE"""),"Esteban")</f>
        <v>Esteban</v>
      </c>
      <c r="D797" s="6" t="str">
        <f>IFERROR(__xludf.DUMMYFUNCTION("""COMPUTED_VALUE"""),"Andrés")</f>
        <v>Andrés</v>
      </c>
      <c r="E797" s="6" t="str">
        <f>IFERROR(__xludf.DUMMYFUNCTION("""COMPUTED_VALUE"""),"Milan")</f>
        <v>Milan</v>
      </c>
      <c r="F797" s="6" t="str">
        <f>IFERROR(__xludf.DUMMYFUNCTION("""COMPUTED_VALUE"""),"Condominio Arboretum Torre 2 Apto 802 - Calle 27 Nte No5 00 Av Centenario")</f>
        <v>Condominio Arboretum Torre 2 Apto 802 - Calle 27 Nte No5 00 Av Centenario</v>
      </c>
      <c r="G797" s="12" t="str">
        <f>IFERROR(__xludf.DUMMYFUNCTION("""COMPUTED_VALUE"""),"2008")</f>
        <v>2008</v>
      </c>
      <c r="H797" s="6" t="str">
        <f>IFERROR(__xludf.DUMMYFUNCTION("""COMPUTED_VALUE"""),"Octubre")</f>
        <v>Octubre</v>
      </c>
      <c r="I797" s="12" t="str">
        <f>IFERROR(__xludf.DUMMYFUNCTION("""COMPUTED_VALUE"""),"23")</f>
        <v>23</v>
      </c>
      <c r="J797" s="6" t="str">
        <f>IFERROR(__xludf.DUMMYFUNCTION("""COMPUTED_VALUE"""),"Guam")</f>
        <v>Guam</v>
      </c>
      <c r="K797" s="6" t="str">
        <f>IFERROR(__xludf.DUMMYFUNCTION("""COMPUTED_VALUE"""),"esteban.m2027@gi.edu.co")</f>
        <v>esteban.m2027@gi.edu.co</v>
      </c>
      <c r="L797" s="6" t="str">
        <f>IFERROR(__xludf.DUMMYFUNCTION("""COMPUTED_VALUE"""),"TI")</f>
        <v>TI</v>
      </c>
      <c r="M797" s="6" t="str">
        <f>IFERROR(__xludf.DUMMYFUNCTION("""COMPUTED_VALUE"""),"Armenia")</f>
        <v>Armenia</v>
      </c>
      <c r="N797" s="6" t="str">
        <f>IFERROR(__xludf.DUMMYFUNCTION("""COMPUTED_VALUE"""),"M")</f>
        <v>M</v>
      </c>
      <c r="O797" s="6" t="str">
        <f>IFERROR(__xludf.DUMMYFUNCTION("""COMPUTED_VALUE"""),"ACTIVE")</f>
        <v>ACTIVE</v>
      </c>
      <c r="P797" s="6"/>
      <c r="Q797" s="6" t="str">
        <f>IFERROR(__xludf.DUMMYFUNCTION("""COMPUTED_VALUE"""),"Armenia")</f>
        <v>Armenia</v>
      </c>
      <c r="R797" s="12" t="str">
        <f>IFERROR(__xludf.DUMMYFUNCTION("""COMPUTED_VALUE"""),"Gimx66g3*")</f>
        <v>Gimx66g3*</v>
      </c>
      <c r="S797" s="6" t="str">
        <f>IFERROR(__xludf.DUMMYFUNCTION("""COMPUTED_VALUE"""),"Milan Esteban Andrés")</f>
        <v>Milan Esteban Andrés</v>
      </c>
      <c r="T797" s="6" t="str">
        <f>IFERROR(__xludf.DUMMYFUNCTION("""COMPUTED_VALUE"""),"ANGEL MANUEL MILAN OTERO")</f>
        <v>ANGEL MANUEL MILAN OTERO</v>
      </c>
      <c r="U797" s="12" t="str">
        <f>IFERROR(__xludf.DUMMYFUNCTION("""COMPUTED_VALUE"""),"561133096")</f>
        <v>561133096</v>
      </c>
      <c r="V797" s="6" t="str">
        <f>IFERROR(__xludf.DUMMYFUNCTION("""COMPUTED_VALUE"""),"3132228474")</f>
        <v>3132228474</v>
      </c>
      <c r="W797" s="6" t="str">
        <f>IFERROR(__xludf.DUMMYFUNCTION("""COMPUTED_VALUE"""),"mafecitaw@hotmail.com")</f>
        <v>mafecitaw@hotmail.com</v>
      </c>
      <c r="X797" s="12" t="str">
        <f>IFERROR(__xludf.DUMMYFUNCTION("""COMPUTED_VALUE"""),"O+")</f>
        <v>O+</v>
      </c>
      <c r="Y797" s="12" t="str">
        <f>IFERROR(__xludf.DUMMYFUNCTION("""COMPUTED_VALUE"""),"12")</f>
        <v>12</v>
      </c>
      <c r="Z797" s="12">
        <f>IFERROR(__xludf.DUMMYFUNCTION("""COMPUTED_VALUE"""),120531.0)</f>
        <v>120531</v>
      </c>
      <c r="AA797" s="6" t="str">
        <f>IFERROR(__xludf.DUMMYFUNCTION("""COMPUTED_VALUE"""),"OTRA")</f>
        <v>OTRA</v>
      </c>
      <c r="AB797" s="6"/>
      <c r="AC797" s="6"/>
      <c r="AD797" s="12" t="str">
        <f>IFERROR(__xludf.DUMMYFUNCTION("""COMPUTED_VALUE"""),"12")</f>
        <v>12</v>
      </c>
      <c r="AE797" s="6" t="str">
        <f>IFERROR(__xludf.DUMMYFUNCTION("""COMPUTED_VALUE"""),"1345282530")</f>
        <v>1345282530</v>
      </c>
      <c r="AF797" s="6"/>
      <c r="AG797" s="12" t="str">
        <f>IFERROR(__xludf.DUMMYFUNCTION("""COMPUTED_VALUE"""),"María")</f>
        <v>María</v>
      </c>
      <c r="AH797" s="12" t="str">
        <f>IFERROR(__xludf.DUMMYFUNCTION("""COMPUTED_VALUE"""),"Fernanda")</f>
        <v>Fernanda</v>
      </c>
      <c r="AI797" s="6" t="str">
        <f>IFERROR(__xludf.DUMMYFUNCTION("""COMPUTED_VALUE"""),"Díaz Wagner")</f>
        <v>Díaz Wagner</v>
      </c>
      <c r="AJ797" s="6" t="str">
        <f>IFERROR(__xludf.DUMMYFUNCTION("""COMPUTED_VALUE"""),"mafepaisita@outlook.com")</f>
        <v>mafepaisita@outlook.com</v>
      </c>
      <c r="AK797" s="6" t="str">
        <f>IFERROR(__xludf.DUMMYFUNCTION("""COMPUTED_VALUE"""),"Independiente")</f>
        <v>Independiente</v>
      </c>
      <c r="AL797" s="6" t="str">
        <f>IFERROR(__xludf.DUMMYFUNCTION("""COMPUTED_VALUE"""),"Property Manangement")</f>
        <v>Property Manangement</v>
      </c>
      <c r="AM797" s="12" t="str">
        <f>IFERROR(__xludf.DUMMYFUNCTION("""COMPUTED_VALUE"""),"24332586")</f>
        <v>24332586</v>
      </c>
      <c r="AN797" s="12" t="str">
        <f>IFERROR(__xludf.DUMMYFUNCTION("""COMPUTED_VALUE"""),"3132241107")</f>
        <v>3132241107</v>
      </c>
      <c r="AO797" s="6" t="str">
        <f>IFERROR(__xludf.DUMMYFUNCTION("""COMPUTED_VALUE"""),"Madre")</f>
        <v>Madre</v>
      </c>
      <c r="AP797" s="6" t="str">
        <f>IFERROR(__xludf.DUMMYFUNCTION("""COMPUTED_VALUE"""),"Estudiante(s): Milan")</f>
        <v>Estudiante(s): Milan</v>
      </c>
      <c r="AQ797" s="6" t="str">
        <f>IFERROR(__xludf.DUMMYFUNCTION("""COMPUTED_VALUE"""),"120530*Gi")</f>
        <v>120530*Gi</v>
      </c>
      <c r="AR797" s="6" t="str">
        <f>IFERROR(__xludf.DUMMYFUNCTION("""COMPUTED_VALUE"""),"Ángel")</f>
        <v>Ángel</v>
      </c>
      <c r="AS797" s="6" t="str">
        <f>IFERROR(__xludf.DUMMYFUNCTION("""COMPUTED_VALUE"""),"Manuel")</f>
        <v>Manuel</v>
      </c>
      <c r="AT797" s="6" t="str">
        <f>IFERROR(__xludf.DUMMYFUNCTION("""COMPUTED_VALUE"""),"Milán Otero")</f>
        <v>Milán Otero</v>
      </c>
      <c r="AU797" s="6" t="str">
        <f>IFERROR(__xludf.DUMMYFUNCTION("""COMPUTED_VALUE"""),"mafecitaw@hotmail.com")</f>
        <v>mafecitaw@hotmail.com</v>
      </c>
      <c r="AV797" s="6" t="str">
        <f>IFERROR(__xludf.DUMMYFUNCTION("""COMPUTED_VALUE"""),"US Military")</f>
        <v>US Military</v>
      </c>
      <c r="AW797" s="6" t="str">
        <f>IFERROR(__xludf.DUMMYFUNCTION("""COMPUTED_VALUE"""),"NATO")</f>
        <v>NATO</v>
      </c>
      <c r="AX797" s="12" t="str">
        <f>IFERROR(__xludf.DUMMYFUNCTION("""COMPUTED_VALUE"""),"8115933")</f>
        <v>8115933</v>
      </c>
      <c r="AY797" s="12" t="str">
        <f>IFERROR(__xludf.DUMMYFUNCTION("""COMPUTED_VALUE"""),"3132228474")</f>
        <v>3132228474</v>
      </c>
      <c r="AZ797" s="6" t="str">
        <f>IFERROR(__xludf.DUMMYFUNCTION("""COMPUTED_VALUE"""),"Padre")</f>
        <v>Padre</v>
      </c>
      <c r="BA797" s="6"/>
      <c r="BB797" s="6"/>
      <c r="BC797" s="6"/>
      <c r="BD797" s="12" t="str">
        <f>IFERROR(__xludf.DUMMYFUNCTION("""COMPUTED_VALUE"""),"mil0001")</f>
        <v>mil0001</v>
      </c>
      <c r="BE797" s="6"/>
      <c r="BF797" s="6"/>
      <c r="BG797" s="6">
        <f>IFERROR(__xludf.DUMMYFUNCTION("""COMPUTED_VALUE"""),2027.0)</f>
        <v>2027</v>
      </c>
      <c r="BH797" s="15">
        <f>IFERROR(__xludf.DUMMYFUNCTION("""COMPUTED_VALUE"""),46204.55064814815)</f>
        <v>46204.55065</v>
      </c>
      <c r="BI797" s="6">
        <f>IFERROR(__xludf.DUMMYFUNCTION("""COMPUTED_VALUE"""),798.0)</f>
        <v>798</v>
      </c>
      <c r="BJ797" s="6"/>
      <c r="BK797" s="6"/>
      <c r="BL797" s="6" t="str">
        <f>IFERROR(__xludf.DUMMYFUNCTION("""COMPUTED_VALUE"""),"GISMIL0001")</f>
        <v>GISMIL0001</v>
      </c>
      <c r="BM797" s="6"/>
      <c r="BN797" s="6"/>
      <c r="BO797" s="6"/>
      <c r="BP797" s="6"/>
      <c r="BQ797" s="6"/>
      <c r="BR797" s="6"/>
      <c r="BS797" s="6"/>
      <c r="BT797" s="6"/>
      <c r="BU797" s="6" t="str">
        <f>IFERROR(__xludf.DUMMYFUNCTION("""COMPUTED_VALUE"""),"SI")</f>
        <v>SI</v>
      </c>
      <c r="BV797" s="6" t="str">
        <f>IFERROR(__xludf.DUMMYFUNCTION("""COMPUTED_VALUE"""),"esteban.m2027")</f>
        <v>esteban.m2027</v>
      </c>
      <c r="BW797" s="6"/>
      <c r="BX797" s="6"/>
      <c r="BY797" s="6"/>
      <c r="BZ797" s="6"/>
    </row>
    <row r="798">
      <c r="A798" s="12">
        <f>IFERROR(__xludf.DUMMYFUNCTION("""COMPUTED_VALUE"""),1.125578431E9)</f>
        <v>1125578431</v>
      </c>
      <c r="B798" s="6">
        <f>IFERROR(__xludf.DUMMYFUNCTION("""COMPUTED_VALUE"""),32.0)</f>
        <v>32</v>
      </c>
      <c r="C798" s="6" t="str">
        <f>IFERROR(__xludf.DUMMYFUNCTION("""COMPUTED_VALUE"""),"Isabela")</f>
        <v>Isabela</v>
      </c>
      <c r="D798" s="6"/>
      <c r="E798" s="6" t="str">
        <f>IFERROR(__xludf.DUMMYFUNCTION("""COMPUTED_VALUE"""),"Miranda Morales")</f>
        <v>Miranda Morales</v>
      </c>
      <c r="F798" s="6" t="str">
        <f>IFERROR(__xludf.DUMMYFUNCTION("""COMPUTED_VALUE"""),"Condominio Cedro Negro - Km 6 Via Circasia Vereda El Congal")</f>
        <v>Condominio Cedro Negro - Km 6 Via Circasia Vereda El Congal</v>
      </c>
      <c r="G798" s="12" t="str">
        <f>IFERROR(__xludf.DUMMYFUNCTION("""COMPUTED_VALUE"""),"2009")</f>
        <v>2009</v>
      </c>
      <c r="H798" s="6" t="str">
        <f>IFERROR(__xludf.DUMMYFUNCTION("""COMPUTED_VALUE"""),"Agosto")</f>
        <v>Agosto</v>
      </c>
      <c r="I798" s="12" t="str">
        <f>IFERROR(__xludf.DUMMYFUNCTION("""COMPUTED_VALUE"""),"27")</f>
        <v>27</v>
      </c>
      <c r="J798" s="6" t="str">
        <f>IFERROR(__xludf.DUMMYFUNCTION("""COMPUTED_VALUE"""),"Brisbane")</f>
        <v>Brisbane</v>
      </c>
      <c r="K798" s="6" t="str">
        <f>IFERROR(__xludf.DUMMYFUNCTION("""COMPUTED_VALUE"""),"isabelam.m2027@gi.edu.co")</f>
        <v>isabelam.m2027@gi.edu.co</v>
      </c>
      <c r="L798" s="6" t="str">
        <f>IFERROR(__xludf.DUMMYFUNCTION("""COMPUTED_VALUE"""),"TI")</f>
        <v>TI</v>
      </c>
      <c r="M798" s="6" t="str">
        <f>IFERROR(__xludf.DUMMYFUNCTION("""COMPUTED_VALUE"""),"Armenia")</f>
        <v>Armenia</v>
      </c>
      <c r="N798" s="6" t="str">
        <f>IFERROR(__xludf.DUMMYFUNCTION("""COMPUTED_VALUE"""),"F")</f>
        <v>F</v>
      </c>
      <c r="O798" s="6" t="str">
        <f>IFERROR(__xludf.DUMMYFUNCTION("""COMPUTED_VALUE"""),"ACTIVE")</f>
        <v>ACTIVE</v>
      </c>
      <c r="P798" s="6"/>
      <c r="Q798" s="6" t="str">
        <f>IFERROR(__xludf.DUMMYFUNCTION("""COMPUTED_VALUE"""),"Circasia")</f>
        <v>Circasia</v>
      </c>
      <c r="R798" s="12" t="str">
        <f>IFERROR(__xludf.DUMMYFUNCTION("""COMPUTED_VALUE"""),"Gi4ndr3a28*")</f>
        <v>Gi4ndr3a28*</v>
      </c>
      <c r="S798" s="6" t="str">
        <f>IFERROR(__xludf.DUMMYFUNCTION("""COMPUTED_VALUE"""),"Miranda Morales Isabela ")</f>
        <v>Miranda Morales Isabela </v>
      </c>
      <c r="T798" s="6" t="str">
        <f>IFERROR(__xludf.DUMMYFUNCTION("""COMPUTED_VALUE"""),"CESAR MAURICIO MIRANDA SARMIENTO")</f>
        <v>CESAR MAURICIO MIRANDA SARMIENTO</v>
      </c>
      <c r="U798" s="12" t="str">
        <f>IFERROR(__xludf.DUMMYFUNCTION("""COMPUTED_VALUE"""),"80417921")</f>
        <v>80417921</v>
      </c>
      <c r="V798" s="6">
        <f>IFERROR(__xludf.DUMMYFUNCTION("""COMPUTED_VALUE"""),3.134094053E9)</f>
        <v>3134094053</v>
      </c>
      <c r="W798" s="6" t="str">
        <f>IFERROR(__xludf.DUMMYFUNCTION("""COMPUTED_VALUE"""),"mauriciomirandasarmiento@yahoo.com")</f>
        <v>mauriciomirandasarmiento@yahoo.com</v>
      </c>
      <c r="X798" s="12" t="str">
        <f>IFERROR(__xludf.DUMMYFUNCTION("""COMPUTED_VALUE"""),"O+")</f>
        <v>O+</v>
      </c>
      <c r="Y798" s="12" t="str">
        <f>IFERROR(__xludf.DUMMYFUNCTION("""COMPUTED_VALUE"""),"12")</f>
        <v>12</v>
      </c>
      <c r="Z798" s="12">
        <f>IFERROR(__xludf.DUMMYFUNCTION("""COMPUTED_VALUE"""),103396.0)</f>
        <v>103396</v>
      </c>
      <c r="AA798" s="6" t="str">
        <f>IFERROR(__xludf.DUMMYFUNCTION("""COMPUTED_VALUE"""),"OTRA")</f>
        <v>OTRA</v>
      </c>
      <c r="AB798" s="6" t="str">
        <f>IFERROR(__xludf.DUMMYFUNCTION("""COMPUTED_VALUE"""),"Colsanitas - Medicina Prepagada")</f>
        <v>Colsanitas - Medicina Prepagada</v>
      </c>
      <c r="AC798" s="12" t="str">
        <f>IFERROR(__xludf.DUMMYFUNCTION("""COMPUTED_VALUE"""),"Tomate de árbol y Carne de Cerdo")</f>
        <v>Tomate de árbol y Carne de Cerdo</v>
      </c>
      <c r="AD798" s="12" t="str">
        <f>IFERROR(__xludf.DUMMYFUNCTION("""COMPUTED_VALUE"""),"12")</f>
        <v>12</v>
      </c>
      <c r="AE798" s="12">
        <f>IFERROR(__xludf.DUMMYFUNCTION("""COMPUTED_VALUE"""),1.34528166E9)</f>
        <v>1345281660</v>
      </c>
      <c r="AF798" s="12" t="str">
        <f>IFERROR(__xludf.DUMMYFUNCTION("""COMPUTED_VALUE"""),"0677680483")</f>
        <v>0677680483</v>
      </c>
      <c r="AG798" s="12" t="str">
        <f>IFERROR(__xludf.DUMMYFUNCTION("""COMPUTED_VALUE"""),"Claudia")</f>
        <v>Claudia</v>
      </c>
      <c r="AH798" s="6"/>
      <c r="AI798" s="6" t="str">
        <f>IFERROR(__xludf.DUMMYFUNCTION("""COMPUTED_VALUE"""),"Morales Medina")</f>
        <v>Morales Medina</v>
      </c>
      <c r="AJ798" s="6" t="str">
        <f>IFERROR(__xludf.DUMMYFUNCTION("""COMPUTED_VALUE"""),"clausakura2014@gmail.com")</f>
        <v>clausakura2014@gmail.com</v>
      </c>
      <c r="AK798" s="6" t="str">
        <f>IFERROR(__xludf.DUMMYFUNCTION("""COMPUTED_VALUE"""),"PERIODISTA")</f>
        <v>PERIODISTA</v>
      </c>
      <c r="AL798" s="6"/>
      <c r="AM798" s="12" t="str">
        <f>IFERROR(__xludf.DUMMYFUNCTION("""COMPUTED_VALUE"""),"30385304")</f>
        <v>30385304</v>
      </c>
      <c r="AN798" s="12" t="str">
        <f>IFERROR(__xludf.DUMMYFUNCTION("""COMPUTED_VALUE"""),"3214493033")</f>
        <v>3214493033</v>
      </c>
      <c r="AO798" s="6" t="str">
        <f>IFERROR(__xludf.DUMMYFUNCTION("""COMPUTED_VALUE"""),"Madre")</f>
        <v>Madre</v>
      </c>
      <c r="AP798" s="6" t="str">
        <f>IFERROR(__xludf.DUMMYFUNCTION("""COMPUTED_VALUE"""),"Estudiante(s): Miranda Morales")</f>
        <v>Estudiante(s): Miranda Morales</v>
      </c>
      <c r="AQ798" s="6" t="str">
        <f>IFERROR(__xludf.DUMMYFUNCTION("""COMPUTED_VALUE"""),"103396*Gi")</f>
        <v>103396*Gi</v>
      </c>
      <c r="AR798" s="6" t="str">
        <f>IFERROR(__xludf.DUMMYFUNCTION("""COMPUTED_VALUE"""),"Mauricio")</f>
        <v>Mauricio</v>
      </c>
      <c r="AS798" s="6"/>
      <c r="AT798" s="6" t="str">
        <f>IFERROR(__xludf.DUMMYFUNCTION("""COMPUTED_VALUE"""),"Miranda Sarmiento")</f>
        <v>Miranda Sarmiento</v>
      </c>
      <c r="AU798" s="6" t="str">
        <f>IFERROR(__xludf.DUMMYFUNCTION("""COMPUTED_VALUE"""),"mauriciomirandasarmiento@yahoo.com")</f>
        <v>mauriciomirandasarmiento@yahoo.com</v>
      </c>
      <c r="AV798" s="6"/>
      <c r="AW798" s="6"/>
      <c r="AX798" s="12" t="str">
        <f>IFERROR(__xludf.DUMMYFUNCTION("""COMPUTED_VALUE"""),"80417921")</f>
        <v>80417921</v>
      </c>
      <c r="AY798" s="12" t="str">
        <f>IFERROR(__xludf.DUMMYFUNCTION("""COMPUTED_VALUE"""),"3134094053")</f>
        <v>3134094053</v>
      </c>
      <c r="AZ798" s="6" t="str">
        <f>IFERROR(__xludf.DUMMYFUNCTION("""COMPUTED_VALUE"""),"Padre")</f>
        <v>Padre</v>
      </c>
      <c r="BA798" s="6"/>
      <c r="BB798" s="6"/>
      <c r="BC798" s="6"/>
      <c r="BD798" s="12" t="str">
        <f>IFERROR(__xludf.DUMMYFUNCTION("""COMPUTED_VALUE"""),"mir0001")</f>
        <v>mir0001</v>
      </c>
      <c r="BE798" s="6"/>
      <c r="BF798" s="6"/>
      <c r="BG798" s="6">
        <f>IFERROR(__xludf.DUMMYFUNCTION("""COMPUTED_VALUE"""),2027.0)</f>
        <v>2027</v>
      </c>
      <c r="BH798" s="15">
        <f>IFERROR(__xludf.DUMMYFUNCTION("""COMPUTED_VALUE"""),46210.66869212963)</f>
        <v>46210.66869</v>
      </c>
      <c r="BI798" s="6">
        <f>IFERROR(__xludf.DUMMYFUNCTION("""COMPUTED_VALUE"""),799.0)</f>
        <v>799</v>
      </c>
      <c r="BJ798" s="6"/>
      <c r="BK798" s="6"/>
      <c r="BL798" s="6" t="str">
        <f>IFERROR(__xludf.DUMMYFUNCTION("""COMPUTED_VALUE"""),"GISMIR0001")</f>
        <v>GISMIR0001</v>
      </c>
      <c r="BM798" s="6"/>
      <c r="BN798" s="6"/>
      <c r="BO798" s="6" t="str">
        <f>IFERROR(__xludf.DUMMYFUNCTION("""COMPUTED_VALUE"""),"XC_HS_Voleibol_F")</f>
        <v>XC_HS_Voleibol_F</v>
      </c>
      <c r="BP798" s="6"/>
      <c r="BQ798" s="6" t="str">
        <f>IFERROR(__xludf.DUMMYFUNCTION("""COMPUTED_VALUE"""),"XC_HS_Voleibol_F")</f>
        <v>XC_HS_Voleibol_F</v>
      </c>
      <c r="BR798" s="6" t="str">
        <f>IFERROR(__xludf.DUMMYFUNCTION("""COMPUTED_VALUE"""),"XC_HS_Voleibol_F")</f>
        <v>XC_HS_Voleibol_F</v>
      </c>
      <c r="BS798" s="6"/>
      <c r="BT798" s="6" t="str">
        <f>IFERROR(__xludf.DUMMYFUNCTION("""COMPUTED_VALUE"""),"XC_HS_Voleibol_F")</f>
        <v>XC_HS_Voleibol_F</v>
      </c>
      <c r="BU798" s="6" t="str">
        <f>IFERROR(__xludf.DUMMYFUNCTION("""COMPUTED_VALUE"""),"SI")</f>
        <v>SI</v>
      </c>
      <c r="BV798" s="6" t="str">
        <f>IFERROR(__xludf.DUMMYFUNCTION("""COMPUTED_VALUE"""),"isabelam.m2027")</f>
        <v>isabelam.m2027</v>
      </c>
      <c r="BW798" s="6"/>
      <c r="BX798" s="6"/>
      <c r="BY798" s="6"/>
      <c r="BZ798" s="6"/>
    </row>
    <row r="799">
      <c r="A799" s="12">
        <f>IFERROR(__xludf.DUMMYFUNCTION("""COMPUTED_VALUE"""),1.090275851E9)</f>
        <v>1090275851</v>
      </c>
      <c r="B799" s="6">
        <f>IFERROR(__xludf.DUMMYFUNCTION("""COMPUTED_VALUE"""),33.0)</f>
        <v>33</v>
      </c>
      <c r="C799" s="6" t="str">
        <f>IFERROR(__xludf.DUMMYFUNCTION("""COMPUTED_VALUE"""),"Luciana")</f>
        <v>Luciana</v>
      </c>
      <c r="D799" s="6"/>
      <c r="E799" s="6" t="str">
        <f>IFERROR(__xludf.DUMMYFUNCTION("""COMPUTED_VALUE"""),"Montoya Amaya")</f>
        <v>Montoya Amaya</v>
      </c>
      <c r="F799" s="6" t="str">
        <f>IFERROR(__xludf.DUMMYFUNCTION("""COMPUTED_VALUE"""),"Edificio Quimbaya Apto 605 - Cra 12 No14Nte - 41 La Castellana")</f>
        <v>Edificio Quimbaya Apto 605 - Cra 12 No14Nte - 41 La Castellana</v>
      </c>
      <c r="G799" s="12" t="str">
        <f>IFERROR(__xludf.DUMMYFUNCTION("""COMPUTED_VALUE"""),"2009")</f>
        <v>2009</v>
      </c>
      <c r="H799" s="6" t="str">
        <f>IFERROR(__xludf.DUMMYFUNCTION("""COMPUTED_VALUE"""),"Abril")</f>
        <v>Abril</v>
      </c>
      <c r="I799" s="12" t="str">
        <f>IFERROR(__xludf.DUMMYFUNCTION("""COMPUTED_VALUE"""),"9")</f>
        <v>9</v>
      </c>
      <c r="J799" s="6" t="str">
        <f>IFERROR(__xludf.DUMMYFUNCTION("""COMPUTED_VALUE"""),"Armenia")</f>
        <v>Armenia</v>
      </c>
      <c r="K799" s="6" t="str">
        <f>IFERROR(__xludf.DUMMYFUNCTION("""COMPUTED_VALUE"""),"luciana.m2027@gi.edu.co")</f>
        <v>luciana.m2027@gi.edu.co</v>
      </c>
      <c r="L799" s="6" t="str">
        <f>IFERROR(__xludf.DUMMYFUNCTION("""COMPUTED_VALUE"""),"TI")</f>
        <v>TI</v>
      </c>
      <c r="M799" s="6" t="str">
        <f>IFERROR(__xludf.DUMMYFUNCTION("""COMPUTED_VALUE"""),"Armenia")</f>
        <v>Armenia</v>
      </c>
      <c r="N799" s="6" t="str">
        <f>IFERROR(__xludf.DUMMYFUNCTION("""COMPUTED_VALUE"""),"F")</f>
        <v>F</v>
      </c>
      <c r="O799" s="6" t="str">
        <f>IFERROR(__xludf.DUMMYFUNCTION("""COMPUTED_VALUE"""),"INACTIVE")</f>
        <v>INACTIVE</v>
      </c>
      <c r="P799" s="6"/>
      <c r="Q799" s="6" t="str">
        <f>IFERROR(__xludf.DUMMYFUNCTION("""COMPUTED_VALUE"""),"Armenia")</f>
        <v>Armenia</v>
      </c>
      <c r="R799" s="12" t="str">
        <f>IFERROR(__xludf.DUMMYFUNCTION("""COMPUTED_VALUE"""),"Gi2d4f5c6b*")</f>
        <v>Gi2d4f5c6b*</v>
      </c>
      <c r="S799" s="6" t="str">
        <f>IFERROR(__xludf.DUMMYFUNCTION("""COMPUTED_VALUE"""),"Montoya Amaya Luciana ")</f>
        <v>Montoya Amaya Luciana </v>
      </c>
      <c r="T799" s="6" t="str">
        <f>IFERROR(__xludf.DUMMYFUNCTION("""COMPUTED_VALUE"""),"DOLLY ELIZABETH AMAYA BERMUDEZ")</f>
        <v>DOLLY ELIZABETH AMAYA BERMUDEZ</v>
      </c>
      <c r="U799" s="12" t="str">
        <f>IFERROR(__xludf.DUMMYFUNCTION("""COMPUTED_VALUE"""),"51945255")</f>
        <v>51945255</v>
      </c>
      <c r="V799" s="6">
        <f>IFERROR(__xludf.DUMMYFUNCTION("""COMPUTED_VALUE"""),3.113677226E9)</f>
        <v>3113677226</v>
      </c>
      <c r="W799" s="6" t="str">
        <f>IFERROR(__xludf.DUMMYFUNCTION("""COMPUTED_VALUE"""),"doelamber@gmail.com")</f>
        <v>doelamber@gmail.com</v>
      </c>
      <c r="X799" s="12" t="str">
        <f>IFERROR(__xludf.DUMMYFUNCTION("""COMPUTED_VALUE"""),"A+")</f>
        <v>A+</v>
      </c>
      <c r="Y799" s="12" t="str">
        <f>IFERROR(__xludf.DUMMYFUNCTION("""COMPUTED_VALUE"""),"12")</f>
        <v>12</v>
      </c>
      <c r="Z799" s="12">
        <f>IFERROR(__xludf.DUMMYFUNCTION("""COMPUTED_VALUE"""),102967.0)</f>
        <v>102967</v>
      </c>
      <c r="AA799" s="6" t="str">
        <f>IFERROR(__xludf.DUMMYFUNCTION("""COMPUTED_VALUE"""),"SURA")</f>
        <v>SURA</v>
      </c>
      <c r="AB799" s="6"/>
      <c r="AC799" s="12" t="str">
        <f>IFERROR(__xludf.DUMMYFUNCTION("""COMPUTED_VALUE"""),"Respiratorias")</f>
        <v>Respiratorias</v>
      </c>
      <c r="AD799" s="12" t="str">
        <f>IFERROR(__xludf.DUMMYFUNCTION("""COMPUTED_VALUE"""),"12")</f>
        <v>12</v>
      </c>
      <c r="AE799" s="12">
        <f>IFERROR(__xludf.DUMMYFUNCTION("""COMPUTED_VALUE"""),1.345281437E9)</f>
        <v>1345281437</v>
      </c>
      <c r="AF799" s="12" t="str">
        <f>IFERROR(__xludf.DUMMYFUNCTION("""COMPUTED_VALUE"""),"0676438195")</f>
        <v>0676438195</v>
      </c>
      <c r="AG799" s="12" t="str">
        <f>IFERROR(__xludf.DUMMYFUNCTION("""COMPUTED_VALUE"""),"Dolly")</f>
        <v>Dolly</v>
      </c>
      <c r="AH799" s="12" t="str">
        <f>IFERROR(__xludf.DUMMYFUNCTION("""COMPUTED_VALUE"""),"Elizabeth")</f>
        <v>Elizabeth</v>
      </c>
      <c r="AI799" s="6" t="str">
        <f>IFERROR(__xludf.DUMMYFUNCTION("""COMPUTED_VALUE"""),"Amaya Bermúdez")</f>
        <v>Amaya Bermúdez</v>
      </c>
      <c r="AJ799" s="6" t="str">
        <f>IFERROR(__xludf.DUMMYFUNCTION("""COMPUTED_VALUE"""),"doelamber@gmail.com")</f>
        <v>doelamber@gmail.com</v>
      </c>
      <c r="AK799" s="6" t="str">
        <f>IFERROR(__xludf.DUMMYFUNCTION("""COMPUTED_VALUE"""),"MÉDICO")</f>
        <v>MÉDICO</v>
      </c>
      <c r="AL799" s="6" t="str">
        <f>IFERROR(__xludf.DUMMYFUNCTION("""COMPUTED_VALUE"""),"Corporación Universitaria Empresarial Alexander von Humboldt")</f>
        <v>Corporación Universitaria Empresarial Alexander von Humboldt</v>
      </c>
      <c r="AM799" s="12" t="str">
        <f>IFERROR(__xludf.DUMMYFUNCTION("""COMPUTED_VALUE"""),"51945255")</f>
        <v>51945255</v>
      </c>
      <c r="AN799" s="12" t="str">
        <f>IFERROR(__xludf.DUMMYFUNCTION("""COMPUTED_VALUE"""),"3113677226")</f>
        <v>3113677226</v>
      </c>
      <c r="AO799" s="6" t="str">
        <f>IFERROR(__xludf.DUMMYFUNCTION("""COMPUTED_VALUE"""),"Madre")</f>
        <v>Madre</v>
      </c>
      <c r="AP799" s="6" t="str">
        <f>IFERROR(__xludf.DUMMYFUNCTION("""COMPUTED_VALUE"""),"Estudiante(s): Montoya Amaya")</f>
        <v>Estudiante(s): Montoya Amaya</v>
      </c>
      <c r="AQ799" s="6" t="str">
        <f>IFERROR(__xludf.DUMMYFUNCTION("""COMPUTED_VALUE"""),"102233*Gi")</f>
        <v>102233*Gi</v>
      </c>
      <c r="AR799" s="6" t="str">
        <f>IFERROR(__xludf.DUMMYFUNCTION("""COMPUTED_VALUE"""),"Jaime")</f>
        <v>Jaime</v>
      </c>
      <c r="AS799" s="6" t="str">
        <f>IFERROR(__xludf.DUMMYFUNCTION("""COMPUTED_VALUE"""),"Fernando")</f>
        <v>Fernando</v>
      </c>
      <c r="AT799" s="6" t="str">
        <f>IFERROR(__xludf.DUMMYFUNCTION("""COMPUTED_VALUE"""),"Montoya Barreto")</f>
        <v>Montoya Barreto</v>
      </c>
      <c r="AU799" s="6" t="str">
        <f>IFERROR(__xludf.DUMMYFUNCTION("""COMPUTED_VALUE"""),"montoyabarretojaimefernando@gmail.com")</f>
        <v>montoyabarretojaimefernando@gmail.com</v>
      </c>
      <c r="AV799" s="6" t="str">
        <f>IFERROR(__xludf.DUMMYFUNCTION("""COMPUTED_VALUE"""),"MEDICO GINECÓLOGO")</f>
        <v>MEDICO GINECÓLOGO</v>
      </c>
      <c r="AW799" s="6" t="str">
        <f>IFERROR(__xludf.DUMMYFUNCTION("""COMPUTED_VALUE"""),"CLÍNICA CENTRAL DEL QUINDIO")</f>
        <v>CLÍNICA CENTRAL DEL QUINDIO</v>
      </c>
      <c r="AX799" s="12" t="str">
        <f>IFERROR(__xludf.DUMMYFUNCTION("""COMPUTED_VALUE"""),"18386117")</f>
        <v>18386117</v>
      </c>
      <c r="AY799" s="12" t="str">
        <f>IFERROR(__xludf.DUMMYFUNCTION("""COMPUTED_VALUE"""),"3104559343")</f>
        <v>3104559343</v>
      </c>
      <c r="AZ799" s="6" t="str">
        <f>IFERROR(__xludf.DUMMYFUNCTION("""COMPUTED_VALUE"""),"Padre")</f>
        <v>Padre</v>
      </c>
      <c r="BA799" s="6" t="str">
        <f>IFERROR(__xludf.DUMMYFUNCTION("""COMPUTED_VALUE"""),"MARÍA JOSÉ MONTOYA AMAYA")</f>
        <v>MARÍA JOSÉ MONTOYA AMAYA</v>
      </c>
      <c r="BB799" s="6">
        <f>IFERROR(__xludf.DUMMYFUNCTION("""COMPUTED_VALUE"""),3.146535532E9)</f>
        <v>3146535532</v>
      </c>
      <c r="BC799" s="6" t="str">
        <f>IFERROR(__xludf.DUMMYFUNCTION("""COMPUTED_VALUE"""),"Otro")</f>
        <v>Otro</v>
      </c>
      <c r="BD799" s="12" t="str">
        <f>IFERROR(__xludf.DUMMYFUNCTION("""COMPUTED_VALUE"""),"mon0006")</f>
        <v>mon0006</v>
      </c>
      <c r="BE799" s="6" t="str">
        <f>IFERROR(__xludf.DUMMYFUNCTION("""COMPUTED_VALUE"""),"FALTAN FIRMAS")</f>
        <v>FALTAN FIRMAS</v>
      </c>
      <c r="BF799" s="6"/>
      <c r="BG799" s="6">
        <f>IFERROR(__xludf.DUMMYFUNCTION("""COMPUTED_VALUE"""),2027.0)</f>
        <v>2027</v>
      </c>
      <c r="BH799" s="15">
        <f>IFERROR(__xludf.DUMMYFUNCTION("""COMPUTED_VALUE"""),46209.910358796296)</f>
        <v>46209.91036</v>
      </c>
      <c r="BI799" s="6">
        <f>IFERROR(__xludf.DUMMYFUNCTION("""COMPUTED_VALUE"""),800.0)</f>
        <v>800</v>
      </c>
      <c r="BJ799" s="6" t="str">
        <f>IFERROR(__xludf.DUMMYFUNCTION("""COMPUTED_VALUE"""),"Feb 28/2023 Se retira la novedad porque superó la barrera
DANE: Hipoacúsia mixta
SIMAT: Auditiva usuario del castellano """)</f>
        <v>Feb 28/2023 Se retira la novedad porque superó la barrera
DANE: Hipoacúsia mixta
SIMAT: Auditiva usuario del castellano "</v>
      </c>
      <c r="BK799" s="6"/>
      <c r="BL799" s="6" t="str">
        <f>IFERROR(__xludf.DUMMYFUNCTION("""COMPUTED_VALUE"""),"GISMON0006")</f>
        <v>GISMON0006</v>
      </c>
      <c r="BM799" s="6"/>
      <c r="BN799" s="6"/>
      <c r="BO799" s="6"/>
      <c r="BP799" s="6"/>
      <c r="BQ799" s="6"/>
      <c r="BR799" s="6"/>
      <c r="BS799" s="6"/>
      <c r="BT799" s="6"/>
      <c r="BU799" s="6" t="str">
        <f>IFERROR(__xludf.DUMMYFUNCTION("""COMPUTED_VALUE"""),"SI")</f>
        <v>SI</v>
      </c>
      <c r="BV799" s="6" t="str">
        <f>IFERROR(__xludf.DUMMYFUNCTION("""COMPUTED_VALUE"""),"luciana.m2027")</f>
        <v>luciana.m2027</v>
      </c>
      <c r="BW799" s="6"/>
      <c r="BX799" s="6"/>
      <c r="BY799" s="6"/>
      <c r="BZ799" s="6"/>
    </row>
    <row r="800">
      <c r="A800" s="12">
        <f>IFERROR(__xludf.DUMMYFUNCTION("""COMPUTED_VALUE"""),1.091886138E9)</f>
        <v>1091886138</v>
      </c>
      <c r="B800" s="6">
        <f>IFERROR(__xludf.DUMMYFUNCTION("""COMPUTED_VALUE"""),34.0)</f>
        <v>34</v>
      </c>
      <c r="C800" s="6" t="str">
        <f>IFERROR(__xludf.DUMMYFUNCTION("""COMPUTED_VALUE"""),"Salomé")</f>
        <v>Salomé</v>
      </c>
      <c r="D800" s="6"/>
      <c r="E800" s="6" t="str">
        <f>IFERROR(__xludf.DUMMYFUNCTION("""COMPUTED_VALUE"""),"Naranjo Portela")</f>
        <v>Naranjo Portela</v>
      </c>
      <c r="F800" s="6" t="str">
        <f>IFERROR(__xludf.DUMMYFUNCTION("""COMPUTED_VALUE"""),"Condominio Samarkanda Campestre Casa 12 - Km. 2 Via Pereira")</f>
        <v>Condominio Samarkanda Campestre Casa 12 - Km. 2 Via Pereira</v>
      </c>
      <c r="G800" s="12" t="str">
        <f>IFERROR(__xludf.DUMMYFUNCTION("""COMPUTED_VALUE"""),"2009")</f>
        <v>2009</v>
      </c>
      <c r="H800" s="6" t="str">
        <f>IFERROR(__xludf.DUMMYFUNCTION("""COMPUTED_VALUE"""),"Agosto")</f>
        <v>Agosto</v>
      </c>
      <c r="I800" s="12" t="str">
        <f>IFERROR(__xludf.DUMMYFUNCTION("""COMPUTED_VALUE"""),"26")</f>
        <v>26</v>
      </c>
      <c r="J800" s="6" t="str">
        <f>IFERROR(__xludf.DUMMYFUNCTION("""COMPUTED_VALUE"""),"Armenia")</f>
        <v>Armenia</v>
      </c>
      <c r="K800" s="6" t="str">
        <f>IFERROR(__xludf.DUMMYFUNCTION("""COMPUTED_VALUE"""),"salome.n2027@gi.edu.co")</f>
        <v>salome.n2027@gi.edu.co</v>
      </c>
      <c r="L800" s="6" t="str">
        <f>IFERROR(__xludf.DUMMYFUNCTION("""COMPUTED_VALUE"""),"TI")</f>
        <v>TI</v>
      </c>
      <c r="M800" s="6" t="str">
        <f>IFERROR(__xludf.DUMMYFUNCTION("""COMPUTED_VALUE"""),"Armenia")</f>
        <v>Armenia</v>
      </c>
      <c r="N800" s="6" t="str">
        <f>IFERROR(__xludf.DUMMYFUNCTION("""COMPUTED_VALUE"""),"F")</f>
        <v>F</v>
      </c>
      <c r="O800" s="6" t="str">
        <f>IFERROR(__xludf.DUMMYFUNCTION("""COMPUTED_VALUE"""),"INACTIVE")</f>
        <v>INACTIVE</v>
      </c>
      <c r="P800" s="6"/>
      <c r="Q800" s="6" t="str">
        <f>IFERROR(__xludf.DUMMYFUNCTION("""COMPUTED_VALUE"""),"Armenia")</f>
        <v>Armenia</v>
      </c>
      <c r="R800" s="12" t="str">
        <f>IFERROR(__xludf.DUMMYFUNCTION("""COMPUTED_VALUE"""),"Gi23587999*")</f>
        <v>Gi23587999*</v>
      </c>
      <c r="S800" s="6" t="str">
        <f>IFERROR(__xludf.DUMMYFUNCTION("""COMPUTED_VALUE"""),"Naranjo Portela Salomé ")</f>
        <v>Naranjo Portela Salomé </v>
      </c>
      <c r="T800" s="6" t="str">
        <f>IFERROR(__xludf.DUMMYFUNCTION("""COMPUTED_VALUE"""),"HOOVER NARANJO ARIAS")</f>
        <v>HOOVER NARANJO ARIAS</v>
      </c>
      <c r="U800" s="12" t="str">
        <f>IFERROR(__xludf.DUMMYFUNCTION("""COMPUTED_VALUE"""),"18494826")</f>
        <v>18494826</v>
      </c>
      <c r="V800" s="6">
        <f>IFERROR(__xludf.DUMMYFUNCTION("""COMPUTED_VALUE"""),3.182868818E9)</f>
        <v>3182868818</v>
      </c>
      <c r="W800" s="6" t="str">
        <f>IFERROR(__xludf.DUMMYFUNCTION("""COMPUTED_VALUE"""),"mahoo28@hotmail.com")</f>
        <v>mahoo28@hotmail.com</v>
      </c>
      <c r="X800" s="12" t="str">
        <f>IFERROR(__xludf.DUMMYFUNCTION("""COMPUTED_VALUE"""),"O+")</f>
        <v>O+</v>
      </c>
      <c r="Y800" s="12" t="str">
        <f>IFERROR(__xludf.DUMMYFUNCTION("""COMPUTED_VALUE"""),"12")</f>
        <v>12</v>
      </c>
      <c r="Z800" s="12">
        <f>IFERROR(__xludf.DUMMYFUNCTION("""COMPUTED_VALUE"""),102691.0)</f>
        <v>102691</v>
      </c>
      <c r="AA800" s="6" t="str">
        <f>IFERROR(__xludf.DUMMYFUNCTION("""COMPUTED_VALUE"""),"SURA")</f>
        <v>SURA</v>
      </c>
      <c r="AB800" s="6" t="str">
        <f>IFERROR(__xludf.DUMMYFUNCTION("""COMPUTED_VALUE"""),"Poliza Salud Global Suramericana/EMI")</f>
        <v>Poliza Salud Global Suramericana/EMI</v>
      </c>
      <c r="AC800" s="12" t="str">
        <f>IFERROR(__xludf.DUMMYFUNCTION("""COMPUTED_VALUE"""),"frio, pelo de algunos animales, polvo.")</f>
        <v>frio, pelo de algunos animales, polvo.</v>
      </c>
      <c r="AD800" s="12" t="str">
        <f>IFERROR(__xludf.DUMMYFUNCTION("""COMPUTED_VALUE"""),"12")</f>
        <v>12</v>
      </c>
      <c r="AE800" s="12">
        <f>IFERROR(__xludf.DUMMYFUNCTION("""COMPUTED_VALUE"""),1.345281331E9)</f>
        <v>1345281331</v>
      </c>
      <c r="AF800" s="12" t="str">
        <f>IFERROR(__xludf.DUMMYFUNCTION("""COMPUTED_VALUE"""),"0694794787")</f>
        <v>0694794787</v>
      </c>
      <c r="AG800" s="12" t="str">
        <f>IFERROR(__xludf.DUMMYFUNCTION("""COMPUTED_VALUE"""),"Mallerlyn")</f>
        <v>Mallerlyn</v>
      </c>
      <c r="AH800" s="6"/>
      <c r="AI800" s="6" t="str">
        <f>IFERROR(__xludf.DUMMYFUNCTION("""COMPUTED_VALUE"""),"Portela Franco")</f>
        <v>Portela Franco</v>
      </c>
      <c r="AJ800" s="6" t="str">
        <f>IFERROR(__xludf.DUMMYFUNCTION("""COMPUTED_VALUE"""),"mahoo28@hotmail.com")</f>
        <v>mahoo28@hotmail.com</v>
      </c>
      <c r="AK800" s="6" t="str">
        <f>IFERROR(__xludf.DUMMYFUNCTION("""COMPUTED_VALUE"""),"Abogada")</f>
        <v>Abogada</v>
      </c>
      <c r="AL800" s="6" t="str">
        <f>IFERROR(__xludf.DUMMYFUNCTION("""COMPUTED_VALUE"""),"TUCM S.A")</f>
        <v>TUCM S.A</v>
      </c>
      <c r="AM800" s="12" t="str">
        <f>IFERROR(__xludf.DUMMYFUNCTION("""COMPUTED_VALUE"""),"41939978")</f>
        <v>41939978</v>
      </c>
      <c r="AN800" s="12" t="str">
        <f>IFERROR(__xludf.DUMMYFUNCTION("""COMPUTED_VALUE"""),"3187371315")</f>
        <v>3187371315</v>
      </c>
      <c r="AO800" s="6" t="str">
        <f>IFERROR(__xludf.DUMMYFUNCTION("""COMPUTED_VALUE"""),"Madre")</f>
        <v>Madre</v>
      </c>
      <c r="AP800" s="6" t="str">
        <f>IFERROR(__xludf.DUMMYFUNCTION("""COMPUTED_VALUE"""),"Estudiante(s): Naranjo Portela")</f>
        <v>Estudiante(s): Naranjo Portela</v>
      </c>
      <c r="AQ800" s="6" t="str">
        <f>IFERROR(__xludf.DUMMYFUNCTION("""COMPUTED_VALUE"""),"102691*Gi")</f>
        <v>102691*Gi</v>
      </c>
      <c r="AR800" s="6" t="str">
        <f>IFERROR(__xludf.DUMMYFUNCTION("""COMPUTED_VALUE"""),"Hoover")</f>
        <v>Hoover</v>
      </c>
      <c r="AS800" s="6"/>
      <c r="AT800" s="6" t="str">
        <f>IFERROR(__xludf.DUMMYFUNCTION("""COMPUTED_VALUE"""),"Naranjo Arias")</f>
        <v>Naranjo Arias</v>
      </c>
      <c r="AU800" s="6" t="str">
        <f>IFERROR(__xludf.DUMMYFUNCTION("""COMPUTED_VALUE"""),"hnaranjoarias@gmail.com")</f>
        <v>hnaranjoarias@gmail.com</v>
      </c>
      <c r="AV800" s="6" t="str">
        <f>IFERROR(__xludf.DUMMYFUNCTION("""COMPUTED_VALUE"""),"Comerciante")</f>
        <v>Comerciante</v>
      </c>
      <c r="AW800" s="6" t="str">
        <f>IFERROR(__xludf.DUMMYFUNCTION("""COMPUTED_VALUE"""),"Familiar")</f>
        <v>Familiar</v>
      </c>
      <c r="AX800" s="12" t="str">
        <f>IFERROR(__xludf.DUMMYFUNCTION("""COMPUTED_VALUE"""),"18494826")</f>
        <v>18494826</v>
      </c>
      <c r="AY800" s="12" t="str">
        <f>IFERROR(__xludf.DUMMYFUNCTION("""COMPUTED_VALUE"""),"3182868818")</f>
        <v>3182868818</v>
      </c>
      <c r="AZ800" s="6" t="str">
        <f>IFERROR(__xludf.DUMMYFUNCTION("""COMPUTED_VALUE"""),"Padre")</f>
        <v>Padre</v>
      </c>
      <c r="BA800" s="6"/>
      <c r="BB800" s="6"/>
      <c r="BC800" s="6"/>
      <c r="BD800" s="12" t="str">
        <f>IFERROR(__xludf.DUMMYFUNCTION("""COMPUTED_VALUE"""),"nar0002")</f>
        <v>nar0002</v>
      </c>
      <c r="BE800" s="6" t="str">
        <f>IFERROR(__xludf.DUMMYFUNCTION("""COMPUTED_VALUE"""),"FALTAN FIRMAS")</f>
        <v>FALTAN FIRMAS</v>
      </c>
      <c r="BF800" s="6"/>
      <c r="BG800" s="6">
        <f>IFERROR(__xludf.DUMMYFUNCTION("""COMPUTED_VALUE"""),2027.0)</f>
        <v>2027</v>
      </c>
      <c r="BH800" s="15">
        <f>IFERROR(__xludf.DUMMYFUNCTION("""COMPUTED_VALUE"""),46211.39618055556)</f>
        <v>46211.39618</v>
      </c>
      <c r="BI800" s="6">
        <f>IFERROR(__xludf.DUMMYFUNCTION("""COMPUTED_VALUE"""),801.0)</f>
        <v>801</v>
      </c>
      <c r="BJ800" s="6"/>
      <c r="BK800" s="6"/>
      <c r="BL800" s="6" t="str">
        <f>IFERROR(__xludf.DUMMYFUNCTION("""COMPUTED_VALUE"""),"GISNAR0002")</f>
        <v>GISNAR0002</v>
      </c>
      <c r="BM800" s="6"/>
      <c r="BN800" s="6"/>
      <c r="BO800" s="6"/>
      <c r="BP800" s="6"/>
      <c r="BQ800" s="6"/>
      <c r="BR800" s="6"/>
      <c r="BS800" s="6"/>
      <c r="BT800" s="6"/>
      <c r="BU800" s="6" t="str">
        <f>IFERROR(__xludf.DUMMYFUNCTION("""COMPUTED_VALUE"""),"SI")</f>
        <v>SI</v>
      </c>
      <c r="BV800" s="6" t="str">
        <f>IFERROR(__xludf.DUMMYFUNCTION("""COMPUTED_VALUE"""),"salome.n2027")</f>
        <v>salome.n2027</v>
      </c>
      <c r="BW800" s="6"/>
      <c r="BX800" s="6"/>
      <c r="BY800" s="6"/>
      <c r="BZ800" s="6"/>
    </row>
    <row r="801">
      <c r="A801" s="12">
        <f>IFERROR(__xludf.DUMMYFUNCTION("""COMPUTED_VALUE"""),1.091204547E9)</f>
        <v>1091204547</v>
      </c>
      <c r="B801" s="6">
        <f>IFERROR(__xludf.DUMMYFUNCTION("""COMPUTED_VALUE"""),35.0)</f>
        <v>35</v>
      </c>
      <c r="C801" s="6" t="str">
        <f>IFERROR(__xludf.DUMMYFUNCTION("""COMPUTED_VALUE"""),"Catalina")</f>
        <v>Catalina</v>
      </c>
      <c r="D801" s="6"/>
      <c r="E801" s="6" t="str">
        <f>IFERROR(__xludf.DUMMYFUNCTION("""COMPUTED_VALUE"""),"Ocampo Ángel")</f>
        <v>Ocampo Ángel</v>
      </c>
      <c r="F801" s="6" t="str">
        <f>IFERROR(__xludf.DUMMYFUNCTION("""COMPUTED_VALUE"""),"Km 3 vía Caimo cristales los tulipanes")</f>
        <v>Km 3 vía Caimo cristales los tulipanes</v>
      </c>
      <c r="G801" s="12" t="str">
        <f>IFERROR(__xludf.DUMMYFUNCTION("""COMPUTED_VALUE"""),"2009")</f>
        <v>2009</v>
      </c>
      <c r="H801" s="6" t="str">
        <f>IFERROR(__xludf.DUMMYFUNCTION("""COMPUTED_VALUE"""),"Mayo")</f>
        <v>Mayo</v>
      </c>
      <c r="I801" s="12" t="str">
        <f>IFERROR(__xludf.DUMMYFUNCTION("""COMPUTED_VALUE"""),"10")</f>
        <v>10</v>
      </c>
      <c r="J801" s="6" t="str">
        <f>IFERROR(__xludf.DUMMYFUNCTION("""COMPUTED_VALUE"""),"Armenia")</f>
        <v>Armenia</v>
      </c>
      <c r="K801" s="6" t="str">
        <f>IFERROR(__xludf.DUMMYFUNCTION("""COMPUTED_VALUE"""),"catalina.o2027@gi.edu.co")</f>
        <v>catalina.o2027@gi.edu.co</v>
      </c>
      <c r="L801" s="6" t="str">
        <f>IFERROR(__xludf.DUMMYFUNCTION("""COMPUTED_VALUE"""),"TI")</f>
        <v>TI</v>
      </c>
      <c r="M801" s="6" t="str">
        <f>IFERROR(__xludf.DUMMYFUNCTION("""COMPUTED_VALUE"""),"Armenia")</f>
        <v>Armenia</v>
      </c>
      <c r="N801" s="6" t="str">
        <f>IFERROR(__xludf.DUMMYFUNCTION("""COMPUTED_VALUE"""),"F")</f>
        <v>F</v>
      </c>
      <c r="O801" s="6" t="str">
        <f>IFERROR(__xludf.DUMMYFUNCTION("""COMPUTED_VALUE"""),"ACTIVE")</f>
        <v>ACTIVE</v>
      </c>
      <c r="P801" s="6"/>
      <c r="Q801" s="6" t="str">
        <f>IFERROR(__xludf.DUMMYFUNCTION("""COMPUTED_VALUE"""),"Armenia")</f>
        <v>Armenia</v>
      </c>
      <c r="R801" s="12" t="str">
        <f>IFERROR(__xludf.DUMMYFUNCTION("""COMPUTED_VALUE"""),"Gi97693219*")</f>
        <v>Gi97693219*</v>
      </c>
      <c r="S801" s="6" t="str">
        <f>IFERROR(__xludf.DUMMYFUNCTION("""COMPUTED_VALUE"""),"Ocampo Ángel Catalina ")</f>
        <v>Ocampo Ángel Catalina </v>
      </c>
      <c r="T801" s="6" t="str">
        <f>IFERROR(__xludf.DUMMYFUNCTION("""COMPUTED_VALUE"""),"MÓNICA ÁNGEL BOTERO")</f>
        <v>MÓNICA ÁNGEL BOTERO</v>
      </c>
      <c r="U801" s="12" t="str">
        <f>IFERROR(__xludf.DUMMYFUNCTION("""COMPUTED_VALUE"""),"41935253")</f>
        <v>41935253</v>
      </c>
      <c r="V801" s="6">
        <f>IFERROR(__xludf.DUMMYFUNCTION("""COMPUTED_VALUE"""),3.136490456E9)</f>
        <v>3136490456</v>
      </c>
      <c r="W801" s="6" t="str">
        <f>IFERROR(__xludf.DUMMYFUNCTION("""COMPUTED_VALUE"""),"moniangel@yahoo.com")</f>
        <v>moniangel@yahoo.com</v>
      </c>
      <c r="X801" s="12" t="str">
        <f>IFERROR(__xludf.DUMMYFUNCTION("""COMPUTED_VALUE"""),"O+")</f>
        <v>O+</v>
      </c>
      <c r="Y801" s="12" t="str">
        <f>IFERROR(__xludf.DUMMYFUNCTION("""COMPUTED_VALUE"""),"12")</f>
        <v>12</v>
      </c>
      <c r="Z801" s="12">
        <f>IFERROR(__xludf.DUMMYFUNCTION("""COMPUTED_VALUE"""),102063.0)</f>
        <v>102063</v>
      </c>
      <c r="AA801" s="6" t="str">
        <f>IFERROR(__xludf.DUMMYFUNCTION("""COMPUTED_VALUE"""),"SURA")</f>
        <v>SURA</v>
      </c>
      <c r="AB801" s="6" t="str">
        <f>IFERROR(__xludf.DUMMYFUNCTION("""COMPUTED_VALUE"""),"Salud global")</f>
        <v>Salud global</v>
      </c>
      <c r="AC801" s="6"/>
      <c r="AD801" s="12" t="str">
        <f>IFERROR(__xludf.DUMMYFUNCTION("""COMPUTED_VALUE"""),"12")</f>
        <v>12</v>
      </c>
      <c r="AE801" s="12">
        <f>IFERROR(__xludf.DUMMYFUNCTION("""COMPUTED_VALUE"""),1.345281261E9)</f>
        <v>1345281261</v>
      </c>
      <c r="AF801" s="12" t="str">
        <f>IFERROR(__xludf.DUMMYFUNCTION("""COMPUTED_VALUE"""),"0681688851")</f>
        <v>0681688851</v>
      </c>
      <c r="AG801" s="12" t="str">
        <f>IFERROR(__xludf.DUMMYFUNCTION("""COMPUTED_VALUE"""),"Mónica")</f>
        <v>Mónica</v>
      </c>
      <c r="AH801" s="6"/>
      <c r="AI801" s="6" t="str">
        <f>IFERROR(__xludf.DUMMYFUNCTION("""COMPUTED_VALUE"""),"Ángel Botero")</f>
        <v>Ángel Botero</v>
      </c>
      <c r="AJ801" s="6" t="str">
        <f>IFERROR(__xludf.DUMMYFUNCTION("""COMPUTED_VALUE"""),"moniangel@yahoo.com")</f>
        <v>moniangel@yahoo.com</v>
      </c>
      <c r="AK801" s="6" t="str">
        <f>IFERROR(__xludf.DUMMYFUNCTION("""COMPUTED_VALUE"""),"Administradora Empresas")</f>
        <v>Administradora Empresas</v>
      </c>
      <c r="AL801" s="6" t="str">
        <f>IFERROR(__xludf.DUMMYFUNCTION("""COMPUTED_VALUE"""),"Moto experiencia")</f>
        <v>Moto experiencia</v>
      </c>
      <c r="AM801" s="12" t="str">
        <f>IFERROR(__xludf.DUMMYFUNCTION("""COMPUTED_VALUE"""),"41935253")</f>
        <v>41935253</v>
      </c>
      <c r="AN801" s="12" t="str">
        <f>IFERROR(__xludf.DUMMYFUNCTION("""COMPUTED_VALUE"""),"3136490456")</f>
        <v>3136490456</v>
      </c>
      <c r="AO801" s="6" t="str">
        <f>IFERROR(__xludf.DUMMYFUNCTION("""COMPUTED_VALUE"""),"Madre")</f>
        <v>Madre</v>
      </c>
      <c r="AP801" s="6" t="str">
        <f>IFERROR(__xludf.DUMMYFUNCTION("""COMPUTED_VALUE"""),"Estudiante(s): Ocampo Ángel")</f>
        <v>Estudiante(s): Ocampo Ángel</v>
      </c>
      <c r="AQ801" s="6" t="str">
        <f>IFERROR(__xludf.DUMMYFUNCTION("""COMPUTED_VALUE"""),"102236*Gi")</f>
        <v>102236*Gi</v>
      </c>
      <c r="AR801" s="6" t="str">
        <f>IFERROR(__xludf.DUMMYFUNCTION("""COMPUTED_VALUE"""),"Luis")</f>
        <v>Luis</v>
      </c>
      <c r="AS801" s="6" t="str">
        <f>IFERROR(__xludf.DUMMYFUNCTION("""COMPUTED_VALUE"""),"Fernando")</f>
        <v>Fernando</v>
      </c>
      <c r="AT801" s="6" t="str">
        <f>IFERROR(__xludf.DUMMYFUNCTION("""COMPUTED_VALUE"""),"Ocampo Maya")</f>
        <v>Ocampo Maya</v>
      </c>
      <c r="AU801" s="6" t="str">
        <f>IFERROR(__xludf.DUMMYFUNCTION("""COMPUTED_VALUE"""),"luisocampomaya@gmail.com")</f>
        <v>luisocampomaya@gmail.com</v>
      </c>
      <c r="AV801" s="6" t="str">
        <f>IFERROR(__xludf.DUMMYFUNCTION("""COMPUTED_VALUE"""),"Economista")</f>
        <v>Economista</v>
      </c>
      <c r="AW801" s="6" t="str">
        <f>IFERROR(__xludf.DUMMYFUNCTION("""COMPUTED_VALUE"""),"Servicol sas")</f>
        <v>Servicol sas</v>
      </c>
      <c r="AX801" s="12" t="str">
        <f>IFERROR(__xludf.DUMMYFUNCTION("""COMPUTED_VALUE"""),"7563577")</f>
        <v>7563577</v>
      </c>
      <c r="AY801" s="12" t="str">
        <f>IFERROR(__xludf.DUMMYFUNCTION("""COMPUTED_VALUE"""),"3104559493")</f>
        <v>3104559493</v>
      </c>
      <c r="AZ801" s="6" t="str">
        <f>IFERROR(__xludf.DUMMYFUNCTION("""COMPUTED_VALUE"""),"Padre")</f>
        <v>Padre</v>
      </c>
      <c r="BA801" s="6"/>
      <c r="BB801" s="6"/>
      <c r="BC801" s="6"/>
      <c r="BD801" s="12" t="str">
        <f>IFERROR(__xludf.DUMMYFUNCTION("""COMPUTED_VALUE"""),"oca0002")</f>
        <v>oca0002</v>
      </c>
      <c r="BE801" s="6"/>
      <c r="BF801" s="6"/>
      <c r="BG801" s="6">
        <f>IFERROR(__xludf.DUMMYFUNCTION("""COMPUTED_VALUE"""),2027.0)</f>
        <v>2027</v>
      </c>
      <c r="BH801" s="15">
        <f>IFERROR(__xludf.DUMMYFUNCTION("""COMPUTED_VALUE"""),46207.5300462963)</f>
        <v>46207.53005</v>
      </c>
      <c r="BI801" s="6">
        <f>IFERROR(__xludf.DUMMYFUNCTION("""COMPUTED_VALUE"""),802.0)</f>
        <v>802</v>
      </c>
      <c r="BJ801" s="6"/>
      <c r="BK801" s="6"/>
      <c r="BL801" s="6" t="str">
        <f>IFERROR(__xludf.DUMMYFUNCTION("""COMPUTED_VALUE"""),"GISOCA0002")</f>
        <v>GISOCA0002</v>
      </c>
      <c r="BM801" s="6"/>
      <c r="BN801" s="6"/>
      <c r="BO801" s="6" t="str">
        <f>IFERROR(__xludf.DUMMYFUNCTION("""COMPUTED_VALUE"""),"XC_HS_Voleibol_F")</f>
        <v>XC_HS_Voleibol_F</v>
      </c>
      <c r="BP801" s="6"/>
      <c r="BQ801" s="6" t="str">
        <f>IFERROR(__xludf.DUMMYFUNCTION("""COMPUTED_VALUE"""),"XC_HS_Voleibol_F")</f>
        <v>XC_HS_Voleibol_F</v>
      </c>
      <c r="BR801" s="6" t="str">
        <f>IFERROR(__xludf.DUMMYFUNCTION("""COMPUTED_VALUE"""),"XC_HS_Voleibol_F")</f>
        <v>XC_HS_Voleibol_F</v>
      </c>
      <c r="BS801" s="6"/>
      <c r="BT801" s="6" t="str">
        <f>IFERROR(__xludf.DUMMYFUNCTION("""COMPUTED_VALUE"""),"XC_HS_Voleibol_F")</f>
        <v>XC_HS_Voleibol_F</v>
      </c>
      <c r="BU801" s="6" t="str">
        <f>IFERROR(__xludf.DUMMYFUNCTION("""COMPUTED_VALUE"""),"SI")</f>
        <v>SI</v>
      </c>
      <c r="BV801" s="6" t="str">
        <f>IFERROR(__xludf.DUMMYFUNCTION("""COMPUTED_VALUE"""),"catalina.o2027")</f>
        <v>catalina.o2027</v>
      </c>
      <c r="BW801" s="6"/>
      <c r="BX801" s="6"/>
      <c r="BY801" s="6"/>
      <c r="BZ801" s="6"/>
    </row>
    <row r="802">
      <c r="A802" s="12">
        <f>IFERROR(__xludf.DUMMYFUNCTION("""COMPUTED_VALUE"""),1.098309058E9)</f>
        <v>1098309058</v>
      </c>
      <c r="B802" s="6">
        <f>IFERROR(__xludf.DUMMYFUNCTION("""COMPUTED_VALUE"""),36.0)</f>
        <v>36</v>
      </c>
      <c r="C802" s="6" t="str">
        <f>IFERROR(__xludf.DUMMYFUNCTION("""COMPUTED_VALUE"""),"Juan")</f>
        <v>Juan</v>
      </c>
      <c r="D802" s="6" t="str">
        <f>IFERROR(__xludf.DUMMYFUNCTION("""COMPUTED_VALUE"""),"Manuel")</f>
        <v>Manuel</v>
      </c>
      <c r="E802" s="6" t="str">
        <f>IFERROR(__xludf.DUMMYFUNCTION("""COMPUTED_VALUE"""),"Ospina Chica")</f>
        <v>Ospina Chica</v>
      </c>
      <c r="F802" s="6" t="str">
        <f>IFERROR(__xludf.DUMMYFUNCTION("""COMPUTED_VALUE"""),"San Jose de Circasia - Calle 6 No10 - 40")</f>
        <v>San Jose de Circasia - Calle 6 No10 - 40</v>
      </c>
      <c r="G802" s="12" t="str">
        <f>IFERROR(__xludf.DUMMYFUNCTION("""COMPUTED_VALUE"""),"2009")</f>
        <v>2009</v>
      </c>
      <c r="H802" s="6" t="str">
        <f>IFERROR(__xludf.DUMMYFUNCTION("""COMPUTED_VALUE"""),"Julio")</f>
        <v>Julio</v>
      </c>
      <c r="I802" s="12" t="str">
        <f>IFERROR(__xludf.DUMMYFUNCTION("""COMPUTED_VALUE"""),"11")</f>
        <v>11</v>
      </c>
      <c r="J802" s="6" t="str">
        <f>IFERROR(__xludf.DUMMYFUNCTION("""COMPUTED_VALUE"""),"Circasia")</f>
        <v>Circasia</v>
      </c>
      <c r="K802" s="6" t="str">
        <f>IFERROR(__xludf.DUMMYFUNCTION("""COMPUTED_VALUE"""),"juan.o2027@gi.edu.co")</f>
        <v>juan.o2027@gi.edu.co</v>
      </c>
      <c r="L802" s="6" t="str">
        <f>IFERROR(__xludf.DUMMYFUNCTION("""COMPUTED_VALUE"""),"TI")</f>
        <v>TI</v>
      </c>
      <c r="M802" s="6" t="str">
        <f>IFERROR(__xludf.DUMMYFUNCTION("""COMPUTED_VALUE"""),"Circacia")</f>
        <v>Circacia</v>
      </c>
      <c r="N802" s="6" t="str">
        <f>IFERROR(__xludf.DUMMYFUNCTION("""COMPUTED_VALUE"""),"M")</f>
        <v>M</v>
      </c>
      <c r="O802" s="6" t="str">
        <f>IFERROR(__xludf.DUMMYFUNCTION("""COMPUTED_VALUE"""),"ACTIVE")</f>
        <v>ACTIVE</v>
      </c>
      <c r="P802" s="6"/>
      <c r="Q802" s="6" t="str">
        <f>IFERROR(__xludf.DUMMYFUNCTION("""COMPUTED_VALUE"""),"Circasia")</f>
        <v>Circasia</v>
      </c>
      <c r="R802" s="12" t="str">
        <f>IFERROR(__xludf.DUMMYFUNCTION("""COMPUTED_VALUE"""),"Gi465dteg*")</f>
        <v>Gi465dteg*</v>
      </c>
      <c r="S802" s="6" t="str">
        <f>IFERROR(__xludf.DUMMYFUNCTION("""COMPUTED_VALUE"""),"Ospina Chica Juan Manuel")</f>
        <v>Ospina Chica Juan Manuel</v>
      </c>
      <c r="T802" s="6" t="str">
        <f>IFERROR(__xludf.DUMMYFUNCTION("""COMPUTED_VALUE"""),"JORGE ALBERTO OSPINA RAMIREZ")</f>
        <v>JORGE ALBERTO OSPINA RAMIREZ</v>
      </c>
      <c r="U802" s="12" t="str">
        <f>IFERROR(__xludf.DUMMYFUNCTION("""COMPUTED_VALUE"""),"18492758")</f>
        <v>18492758</v>
      </c>
      <c r="V802" s="6">
        <f>IFERROR(__xludf.DUMMYFUNCTION("""COMPUTED_VALUE"""),3.206784534E9)</f>
        <v>3206784534</v>
      </c>
      <c r="W802" s="6" t="str">
        <f>IFERROR(__xludf.DUMMYFUNCTION("""COMPUTED_VALUE"""),"ospinaj22@gmail.com")</f>
        <v>ospinaj22@gmail.com</v>
      </c>
      <c r="X802" s="12" t="str">
        <f>IFERROR(__xludf.DUMMYFUNCTION("""COMPUTED_VALUE"""),"A+")</f>
        <v>A+</v>
      </c>
      <c r="Y802" s="12" t="str">
        <f>IFERROR(__xludf.DUMMYFUNCTION("""COMPUTED_VALUE"""),"12")</f>
        <v>12</v>
      </c>
      <c r="Z802" s="12">
        <f>IFERROR(__xludf.DUMMYFUNCTION("""COMPUTED_VALUE"""),103417.0)</f>
        <v>103417</v>
      </c>
      <c r="AA802" s="6" t="str">
        <f>IFERROR(__xludf.DUMMYFUNCTION("""COMPUTED_VALUE"""),"SANITAS")</f>
        <v>SANITAS</v>
      </c>
      <c r="AB802" s="6"/>
      <c r="AC802" s="6"/>
      <c r="AD802" s="12" t="str">
        <f>IFERROR(__xludf.DUMMYFUNCTION("""COMPUTED_VALUE"""),"12")</f>
        <v>12</v>
      </c>
      <c r="AE802" s="12">
        <f>IFERROR(__xludf.DUMMYFUNCTION("""COMPUTED_VALUE"""),1.345281681E9)</f>
        <v>1345281681</v>
      </c>
      <c r="AF802" s="12" t="str">
        <f>IFERROR(__xludf.DUMMYFUNCTION("""COMPUTED_VALUE"""),"1305931515")</f>
        <v>1305931515</v>
      </c>
      <c r="AG802" s="12" t="str">
        <f>IFERROR(__xludf.DUMMYFUNCTION("""COMPUTED_VALUE"""),"Liliana")</f>
        <v>Liliana</v>
      </c>
      <c r="AH802" s="12" t="str">
        <f>IFERROR(__xludf.DUMMYFUNCTION("""COMPUTED_VALUE"""),"Patricia")</f>
        <v>Patricia</v>
      </c>
      <c r="AI802" s="6" t="str">
        <f>IFERROR(__xludf.DUMMYFUNCTION("""COMPUTED_VALUE"""),"Chica Muñoz")</f>
        <v>Chica Muñoz</v>
      </c>
      <c r="AJ802" s="6" t="str">
        <f>IFERROR(__xludf.DUMMYFUNCTION("""COMPUTED_VALUE"""),"nany_31402@yahoo.es")</f>
        <v>nany_31402@yahoo.es</v>
      </c>
      <c r="AK802" s="6"/>
      <c r="AL802" s="6"/>
      <c r="AM802" s="12">
        <f>IFERROR(__xludf.DUMMYFUNCTION("""COMPUTED_VALUE"""),2.4606028E7)</f>
        <v>24606028</v>
      </c>
      <c r="AN802" s="12" t="str">
        <f>IFERROR(__xludf.DUMMYFUNCTION("""COMPUTED_VALUE"""),"3137837590")</f>
        <v>3137837590</v>
      </c>
      <c r="AO802" s="6" t="str">
        <f>IFERROR(__xludf.DUMMYFUNCTION("""COMPUTED_VALUE"""),"Madre")</f>
        <v>Madre</v>
      </c>
      <c r="AP802" s="6" t="str">
        <f>IFERROR(__xludf.DUMMYFUNCTION("""COMPUTED_VALUE"""),"Estudiante(s): Ospina Chica")</f>
        <v>Estudiante(s): Ospina Chica</v>
      </c>
      <c r="AQ802" s="6" t="str">
        <f>IFERROR(__xludf.DUMMYFUNCTION("""COMPUTED_VALUE"""),"103417*Gi")</f>
        <v>103417*Gi</v>
      </c>
      <c r="AR802" s="6" t="str">
        <f>IFERROR(__xludf.DUMMYFUNCTION("""COMPUTED_VALUE"""),"Jorge")</f>
        <v>Jorge</v>
      </c>
      <c r="AS802" s="6" t="str">
        <f>IFERROR(__xludf.DUMMYFUNCTION("""COMPUTED_VALUE"""),"Alberto")</f>
        <v>Alberto</v>
      </c>
      <c r="AT802" s="6" t="str">
        <f>IFERROR(__xludf.DUMMYFUNCTION("""COMPUTED_VALUE"""),"Ospina Ramírez")</f>
        <v>Ospina Ramírez</v>
      </c>
      <c r="AU802" s="6" t="str">
        <f>IFERROR(__xludf.DUMMYFUNCTION("""COMPUTED_VALUE"""),"ospinaj22@gmail.com")</f>
        <v>ospinaj22@gmail.com</v>
      </c>
      <c r="AV802" s="6" t="str">
        <f>IFERROR(__xludf.DUMMYFUNCTION("""COMPUTED_VALUE"""),"DOCENTE")</f>
        <v>DOCENTE</v>
      </c>
      <c r="AW802" s="6" t="str">
        <f>IFERROR(__xludf.DUMMYFUNCTION("""COMPUTED_VALUE"""),"FUNDACION GIMNASIO INGLES")</f>
        <v>FUNDACION GIMNASIO INGLES</v>
      </c>
      <c r="AX802" s="12">
        <f>IFERROR(__xludf.DUMMYFUNCTION("""COMPUTED_VALUE"""),1.8492758E7)</f>
        <v>18492758</v>
      </c>
      <c r="AY802" s="12" t="str">
        <f>IFERROR(__xludf.DUMMYFUNCTION("""COMPUTED_VALUE"""),"3206784534")</f>
        <v>3206784534</v>
      </c>
      <c r="AZ802" s="6" t="str">
        <f>IFERROR(__xludf.DUMMYFUNCTION("""COMPUTED_VALUE"""),"Padre")</f>
        <v>Padre</v>
      </c>
      <c r="BA802" s="6"/>
      <c r="BB802" s="6"/>
      <c r="BC802" s="6"/>
      <c r="BD802" s="12" t="str">
        <f>IFERROR(__xludf.DUMMYFUNCTION("""COMPUTED_VALUE"""),"osp0007")</f>
        <v>osp0007</v>
      </c>
      <c r="BE802" s="6"/>
      <c r="BF802" s="6"/>
      <c r="BG802" s="6">
        <f>IFERROR(__xludf.DUMMYFUNCTION("""COMPUTED_VALUE"""),2027.0)</f>
        <v>2027</v>
      </c>
      <c r="BH802" s="15">
        <f>IFERROR(__xludf.DUMMYFUNCTION("""COMPUTED_VALUE"""),46212.68289351852)</f>
        <v>46212.68289</v>
      </c>
      <c r="BI802" s="6">
        <f>IFERROR(__xludf.DUMMYFUNCTION("""COMPUTED_VALUE"""),803.0)</f>
        <v>803</v>
      </c>
      <c r="BJ802" s="6"/>
      <c r="BK802" s="6"/>
      <c r="BL802" s="6" t="str">
        <f>IFERROR(__xludf.DUMMYFUNCTION("""COMPUTED_VALUE"""),"GISOSP0007")</f>
        <v>GISOSP0007</v>
      </c>
      <c r="BM802" s="6"/>
      <c r="BN802" s="6"/>
      <c r="BO802" s="6"/>
      <c r="BP802" s="6"/>
      <c r="BQ802" s="6"/>
      <c r="BR802" s="6"/>
      <c r="BS802" s="6"/>
      <c r="BT802" s="6"/>
      <c r="BU802" s="6" t="str">
        <f>IFERROR(__xludf.DUMMYFUNCTION("""COMPUTED_VALUE"""),"NO")</f>
        <v>NO</v>
      </c>
      <c r="BV802" s="6" t="str">
        <f>IFERROR(__xludf.DUMMYFUNCTION("""COMPUTED_VALUE"""),"juan.o2027")</f>
        <v>juan.o2027</v>
      </c>
      <c r="BW802" s="6"/>
      <c r="BX802" s="6"/>
      <c r="BY802" s="6"/>
      <c r="BZ802" s="6"/>
    </row>
    <row r="803">
      <c r="A803" s="12">
        <f>IFERROR(__xludf.DUMMYFUNCTION("""COMPUTED_VALUE"""),1.092854019E9)</f>
        <v>1092854019</v>
      </c>
      <c r="B803" s="6">
        <f>IFERROR(__xludf.DUMMYFUNCTION("""COMPUTED_VALUE"""),37.0)</f>
        <v>37</v>
      </c>
      <c r="C803" s="6" t="str">
        <f>IFERROR(__xludf.DUMMYFUNCTION("""COMPUTED_VALUE"""),"Juanita")</f>
        <v>Juanita</v>
      </c>
      <c r="D803" s="6"/>
      <c r="E803" s="6" t="str">
        <f>IFERROR(__xludf.DUMMYFUNCTION("""COMPUTED_VALUE"""),"Pareja Urrea")</f>
        <v>Pareja Urrea</v>
      </c>
      <c r="F803" s="6" t="str">
        <f>IFERROR(__xludf.DUMMYFUNCTION("""COMPUTED_VALUE"""),"Vereda el Rhin Casa el Ranchito - Sector Parque de Recreacion")</f>
        <v>Vereda el Rhin Casa el Ranchito - Sector Parque de Recreacion</v>
      </c>
      <c r="G803" s="12" t="str">
        <f>IFERROR(__xludf.DUMMYFUNCTION("""COMPUTED_VALUE"""),"2008")</f>
        <v>2008</v>
      </c>
      <c r="H803" s="6" t="str">
        <f>IFERROR(__xludf.DUMMYFUNCTION("""COMPUTED_VALUE"""),"Diciembre")</f>
        <v>Diciembre</v>
      </c>
      <c r="I803" s="12" t="str">
        <f>IFERROR(__xludf.DUMMYFUNCTION("""COMPUTED_VALUE"""),"17")</f>
        <v>17</v>
      </c>
      <c r="J803" s="6" t="str">
        <f>IFERROR(__xludf.DUMMYFUNCTION("""COMPUTED_VALUE"""),"Armenia")</f>
        <v>Armenia</v>
      </c>
      <c r="K803" s="6" t="str">
        <f>IFERROR(__xludf.DUMMYFUNCTION("""COMPUTED_VALUE"""),"juanita.p2027@gi.edu.co")</f>
        <v>juanita.p2027@gi.edu.co</v>
      </c>
      <c r="L803" s="6" t="str">
        <f>IFERROR(__xludf.DUMMYFUNCTION("""COMPUTED_VALUE"""),"TI")</f>
        <v>TI</v>
      </c>
      <c r="M803" s="6" t="str">
        <f>IFERROR(__xludf.DUMMYFUNCTION("""COMPUTED_VALUE"""),"Armenia")</f>
        <v>Armenia</v>
      </c>
      <c r="N803" s="6" t="str">
        <f>IFERROR(__xludf.DUMMYFUNCTION("""COMPUTED_VALUE"""),"F")</f>
        <v>F</v>
      </c>
      <c r="O803" s="6" t="str">
        <f>IFERROR(__xludf.DUMMYFUNCTION("""COMPUTED_VALUE"""),"ACTIVE")</f>
        <v>ACTIVE</v>
      </c>
      <c r="P803" s="6"/>
      <c r="Q803" s="6" t="str">
        <f>IFERROR(__xludf.DUMMYFUNCTION("""COMPUTED_VALUE"""),"Armenia")</f>
        <v>Armenia</v>
      </c>
      <c r="R803" s="12" t="str">
        <f>IFERROR(__xludf.DUMMYFUNCTION("""COMPUTED_VALUE"""),"Gi12r72439*")</f>
        <v>Gi12r72439*</v>
      </c>
      <c r="S803" s="6" t="str">
        <f>IFERROR(__xludf.DUMMYFUNCTION("""COMPUTED_VALUE"""),"Pareja Urrea Juanita ")</f>
        <v>Pareja Urrea Juanita </v>
      </c>
      <c r="T803" s="6" t="str">
        <f>IFERROR(__xludf.DUMMYFUNCTION("""COMPUTED_VALUE"""),"CESAR AUGUSTO PAREJA GIRALDO")</f>
        <v>CESAR AUGUSTO PAREJA GIRALDO</v>
      </c>
      <c r="U803" s="12" t="str">
        <f>IFERROR(__xludf.DUMMYFUNCTION("""COMPUTED_VALUE"""),"89001504")</f>
        <v>89001504</v>
      </c>
      <c r="V803" s="6">
        <f>IFERROR(__xludf.DUMMYFUNCTION("""COMPUTED_VALUE"""),3.16876198E9)</f>
        <v>3168761980</v>
      </c>
      <c r="W803" s="6" t="str">
        <f>IFERROR(__xludf.DUMMYFUNCTION("""COMPUTED_VALUE"""),"glorisvicu16@hotmail.com")</f>
        <v>glorisvicu16@hotmail.com</v>
      </c>
      <c r="X803" s="12" t="str">
        <f>IFERROR(__xludf.DUMMYFUNCTION("""COMPUTED_VALUE"""),"O-")</f>
        <v>O-</v>
      </c>
      <c r="Y803" s="12" t="str">
        <f>IFERROR(__xludf.DUMMYFUNCTION("""COMPUTED_VALUE"""),"12")</f>
        <v>12</v>
      </c>
      <c r="Z803" s="12">
        <f>IFERROR(__xludf.DUMMYFUNCTION("""COMPUTED_VALUE"""),102869.0)</f>
        <v>102869</v>
      </c>
      <c r="AA803" s="6" t="str">
        <f>IFERROR(__xludf.DUMMYFUNCTION("""COMPUTED_VALUE"""),"SURA")</f>
        <v>SURA</v>
      </c>
      <c r="AB803" s="6"/>
      <c r="AC803" s="12" t="str">
        <f>IFERROR(__xludf.DUMMYFUNCTION("""COMPUTED_VALUE"""),"Alergia al polvo y no puede exponerse al sol por periodos muy largos")</f>
        <v>Alergia al polvo y no puede exponerse al sol por periodos muy largos</v>
      </c>
      <c r="AD803" s="12" t="str">
        <f>IFERROR(__xludf.DUMMYFUNCTION("""COMPUTED_VALUE"""),"12")</f>
        <v>12</v>
      </c>
      <c r="AE803" s="12">
        <f>IFERROR(__xludf.DUMMYFUNCTION("""COMPUTED_VALUE"""),1.345281407E9)</f>
        <v>1345281407</v>
      </c>
      <c r="AF803" s="12" t="str">
        <f>IFERROR(__xludf.DUMMYFUNCTION("""COMPUTED_VALUE"""),"0696235475")</f>
        <v>0696235475</v>
      </c>
      <c r="AG803" s="12" t="str">
        <f>IFERROR(__xludf.DUMMYFUNCTION("""COMPUTED_VALUE"""),"Victoria")</f>
        <v>Victoria</v>
      </c>
      <c r="AH803" s="6"/>
      <c r="AI803" s="6" t="str">
        <f>IFERROR(__xludf.DUMMYFUNCTION("""COMPUTED_VALUE"""),"Urrea Ceballos")</f>
        <v>Urrea Ceballos</v>
      </c>
      <c r="AJ803" s="6" t="str">
        <f>IFERROR(__xludf.DUMMYFUNCTION("""COMPUTED_VALUE"""),"victoriaurrea83@gmail.com")</f>
        <v>victoriaurrea83@gmail.com</v>
      </c>
      <c r="AK803" s="6" t="str">
        <f>IFERROR(__xludf.DUMMYFUNCTION("""COMPUTED_VALUE"""),"AGRICULTURA - Psicologa")</f>
        <v>AGRICULTURA - Psicologa</v>
      </c>
      <c r="AL803" s="6"/>
      <c r="AM803" s="12" t="str">
        <f>IFERROR(__xludf.DUMMYFUNCTION("""COMPUTED_VALUE"""),"41942689")</f>
        <v>41942689</v>
      </c>
      <c r="AN803" s="12" t="str">
        <f>IFERROR(__xludf.DUMMYFUNCTION("""COMPUTED_VALUE"""),"3168761980")</f>
        <v>3168761980</v>
      </c>
      <c r="AO803" s="6" t="str">
        <f>IFERROR(__xludf.DUMMYFUNCTION("""COMPUTED_VALUE"""),"Madre")</f>
        <v>Madre</v>
      </c>
      <c r="AP803" s="6" t="str">
        <f>IFERROR(__xludf.DUMMYFUNCTION("""COMPUTED_VALUE"""),"Estudiante(s): Pareja Urrea")</f>
        <v>Estudiante(s): Pareja Urrea</v>
      </c>
      <c r="AQ803" s="6" t="str">
        <f>IFERROR(__xludf.DUMMYFUNCTION("""COMPUTED_VALUE"""),"102869*Gi")</f>
        <v>102869*Gi</v>
      </c>
      <c r="AR803" s="6" t="str">
        <f>IFERROR(__xludf.DUMMYFUNCTION("""COMPUTED_VALUE"""),"César")</f>
        <v>César</v>
      </c>
      <c r="AS803" s="6" t="str">
        <f>IFERROR(__xludf.DUMMYFUNCTION("""COMPUTED_VALUE"""),"Augusto")</f>
        <v>Augusto</v>
      </c>
      <c r="AT803" s="6" t="str">
        <f>IFERROR(__xludf.DUMMYFUNCTION("""COMPUTED_VALUE"""),"Pareja Giraldo")</f>
        <v>Pareja Giraldo</v>
      </c>
      <c r="AU803" s="6" t="str">
        <f>IFERROR(__xludf.DUMMYFUNCTION("""COMPUTED_VALUE"""),"andreita553@hotmail.com")</f>
        <v>andreita553@hotmail.com</v>
      </c>
      <c r="AV803" s="6"/>
      <c r="AW803" s="6" t="str">
        <f>IFERROR(__xludf.DUMMYFUNCTION("""COMPUTED_VALUE"""),"Independiente")</f>
        <v>Independiente</v>
      </c>
      <c r="AX803" s="12" t="str">
        <f>IFERROR(__xludf.DUMMYFUNCTION("""COMPUTED_VALUE"""),"89001504")</f>
        <v>89001504</v>
      </c>
      <c r="AY803" s="6">
        <f>IFERROR(__xludf.DUMMYFUNCTION("""COMPUTED_VALUE"""),3.16876198E9)</f>
        <v>3168761980</v>
      </c>
      <c r="AZ803" s="6" t="str">
        <f>IFERROR(__xludf.DUMMYFUNCTION("""COMPUTED_VALUE"""),"Padre")</f>
        <v>Padre</v>
      </c>
      <c r="BA803" s="6"/>
      <c r="BB803" s="6"/>
      <c r="BC803" s="6"/>
      <c r="BD803" s="12" t="str">
        <f>IFERROR(__xludf.DUMMYFUNCTION("""COMPUTED_VALUE"""),"par0003")</f>
        <v>par0003</v>
      </c>
      <c r="BE803" s="6" t="str">
        <f>IFERROR(__xludf.DUMMYFUNCTION("""COMPUTED_VALUE""")," ")</f>
        <v> </v>
      </c>
      <c r="BF803" s="6"/>
      <c r="BG803" s="6">
        <f>IFERROR(__xludf.DUMMYFUNCTION("""COMPUTED_VALUE"""),2027.0)</f>
        <v>2027</v>
      </c>
      <c r="BH803" s="15">
        <f>IFERROR(__xludf.DUMMYFUNCTION("""COMPUTED_VALUE"""),46219.533125)</f>
        <v>46219.53313</v>
      </c>
      <c r="BI803" s="6">
        <f>IFERROR(__xludf.DUMMYFUNCTION("""COMPUTED_VALUE"""),804.0)</f>
        <v>804</v>
      </c>
      <c r="BJ803" s="6"/>
      <c r="BK803" s="6"/>
      <c r="BL803" s="6" t="str">
        <f>IFERROR(__xludf.DUMMYFUNCTION("""COMPUTED_VALUE"""),"GISPAR0003")</f>
        <v>GISPAR0003</v>
      </c>
      <c r="BM803" s="6"/>
      <c r="BN803" s="6"/>
      <c r="BO803" s="6"/>
      <c r="BP803" s="6"/>
      <c r="BQ803" s="6"/>
      <c r="BR803" s="6"/>
      <c r="BS803" s="6"/>
      <c r="BT803" s="6"/>
      <c r="BU803" s="6" t="str">
        <f>IFERROR(__xludf.DUMMYFUNCTION("""COMPUTED_VALUE"""),"SI")</f>
        <v>SI</v>
      </c>
      <c r="BV803" s="6" t="str">
        <f>IFERROR(__xludf.DUMMYFUNCTION("""COMPUTED_VALUE"""),"juanita.p2027")</f>
        <v>juanita.p2027</v>
      </c>
      <c r="BW803" s="6"/>
      <c r="BX803" s="6"/>
      <c r="BY803" s="6"/>
      <c r="BZ803" s="6"/>
    </row>
    <row r="804">
      <c r="A804" s="12">
        <f>IFERROR(__xludf.DUMMYFUNCTION("""COMPUTED_VALUE"""),1.092854102E9)</f>
        <v>1092854102</v>
      </c>
      <c r="B804" s="6">
        <f>IFERROR(__xludf.DUMMYFUNCTION("""COMPUTED_VALUE"""),38.0)</f>
        <v>38</v>
      </c>
      <c r="C804" s="6" t="str">
        <f>IFERROR(__xludf.DUMMYFUNCTION("""COMPUTED_VALUE"""),"Juan")</f>
        <v>Juan</v>
      </c>
      <c r="D804" s="6"/>
      <c r="E804" s="6" t="str">
        <f>IFERROR(__xludf.DUMMYFUNCTION("""COMPUTED_VALUE"""),"Restrepo Barahona")</f>
        <v>Restrepo Barahona</v>
      </c>
      <c r="F804" s="6" t="str">
        <f>IFERROR(__xludf.DUMMYFUNCTION("""COMPUTED_VALUE"""),"Colina Del Parque Casa B5 - Cra 11 9Nte - 01 La Castellana")</f>
        <v>Colina Del Parque Casa B5 - Cra 11 9Nte - 01 La Castellana</v>
      </c>
      <c r="G804" s="12" t="str">
        <f>IFERROR(__xludf.DUMMYFUNCTION("""COMPUTED_VALUE"""),"2009")</f>
        <v>2009</v>
      </c>
      <c r="H804" s="6" t="str">
        <f>IFERROR(__xludf.DUMMYFUNCTION("""COMPUTED_VALUE"""),"Marzo")</f>
        <v>Marzo</v>
      </c>
      <c r="I804" s="12" t="str">
        <f>IFERROR(__xludf.DUMMYFUNCTION("""COMPUTED_VALUE"""),"16")</f>
        <v>16</v>
      </c>
      <c r="J804" s="6" t="str">
        <f>IFERROR(__xludf.DUMMYFUNCTION("""COMPUTED_VALUE"""),"Armenia")</f>
        <v>Armenia</v>
      </c>
      <c r="K804" s="6" t="str">
        <f>IFERROR(__xludf.DUMMYFUNCTION("""COMPUTED_VALUE"""),"juan.r2027@gi.edu.co")</f>
        <v>juan.r2027@gi.edu.co</v>
      </c>
      <c r="L804" s="6" t="str">
        <f>IFERROR(__xludf.DUMMYFUNCTION("""COMPUTED_VALUE"""),"TI")</f>
        <v>TI</v>
      </c>
      <c r="M804" s="6" t="str">
        <f>IFERROR(__xludf.DUMMYFUNCTION("""COMPUTED_VALUE"""),"Armenia")</f>
        <v>Armenia</v>
      </c>
      <c r="N804" s="6" t="str">
        <f>IFERROR(__xludf.DUMMYFUNCTION("""COMPUTED_VALUE"""),"M")</f>
        <v>M</v>
      </c>
      <c r="O804" s="6" t="str">
        <f>IFERROR(__xludf.DUMMYFUNCTION("""COMPUTED_VALUE"""),"INACTIVE")</f>
        <v>INACTIVE</v>
      </c>
      <c r="P804" s="6"/>
      <c r="Q804" s="6" t="str">
        <f>IFERROR(__xludf.DUMMYFUNCTION("""COMPUTED_VALUE"""),"Armenia")</f>
        <v>Armenia</v>
      </c>
      <c r="R804" s="12" t="str">
        <f>IFERROR(__xludf.DUMMYFUNCTION("""COMPUTED_VALUE"""),"Giedcr5746*")</f>
        <v>Giedcr5746*</v>
      </c>
      <c r="S804" s="6" t="str">
        <f>IFERROR(__xludf.DUMMYFUNCTION("""COMPUTED_VALUE"""),"Restrepo Barahona Juan ")</f>
        <v>Restrepo Barahona Juan </v>
      </c>
      <c r="T804" s="6" t="str">
        <f>IFERROR(__xludf.DUMMYFUNCTION("""COMPUTED_VALUE"""),"JORGE MARIO RESTREPO RESTREPO")</f>
        <v>JORGE MARIO RESTREPO RESTREPO</v>
      </c>
      <c r="U804" s="12" t="str">
        <f>IFERROR(__xludf.DUMMYFUNCTION("""COMPUTED_VALUE"""),"9732604")</f>
        <v>9732604</v>
      </c>
      <c r="V804" s="6">
        <f>IFERROR(__xludf.DUMMYFUNCTION("""COMPUTED_VALUE"""),3.174037077E9)</f>
        <v>3174037077</v>
      </c>
      <c r="W804" s="6" t="str">
        <f>IFERROR(__xludf.DUMMYFUNCTION("""COMPUTED_VALUE"""),"restreporestrepo@gmail.com")</f>
        <v>restreporestrepo@gmail.com</v>
      </c>
      <c r="X804" s="12" t="str">
        <f>IFERROR(__xludf.DUMMYFUNCTION("""COMPUTED_VALUE"""),"O-")</f>
        <v>O-</v>
      </c>
      <c r="Y804" s="12" t="str">
        <f>IFERROR(__xludf.DUMMYFUNCTION("""COMPUTED_VALUE"""),"12")</f>
        <v>12</v>
      </c>
      <c r="Z804" s="12">
        <f>IFERROR(__xludf.DUMMYFUNCTION("""COMPUTED_VALUE"""),103043.0)</f>
        <v>103043</v>
      </c>
      <c r="AA804" s="6" t="str">
        <f>IFERROR(__xludf.DUMMYFUNCTION("""COMPUTED_VALUE"""),"SURA")</f>
        <v>SURA</v>
      </c>
      <c r="AB804" s="6" t="str">
        <f>IFERROR(__xludf.DUMMYFUNCTION("""COMPUTED_VALUE"""),"coomeva prepagada")</f>
        <v>coomeva prepagada</v>
      </c>
      <c r="AC804" s="12" t="str">
        <f>IFERROR(__xludf.DUMMYFUNCTION("""COMPUTED_VALUE"""),"Renitis - Clavulin")</f>
        <v>Renitis - Clavulin</v>
      </c>
      <c r="AD804" s="12" t="str">
        <f>IFERROR(__xludf.DUMMYFUNCTION("""COMPUTED_VALUE"""),"12")</f>
        <v>12</v>
      </c>
      <c r="AE804" s="12">
        <f>IFERROR(__xludf.DUMMYFUNCTION("""COMPUTED_VALUE"""),1.345281472E9)</f>
        <v>1345281472</v>
      </c>
      <c r="AF804" s="12" t="str">
        <f>IFERROR(__xludf.DUMMYFUNCTION("""COMPUTED_VALUE"""),"0690355171")</f>
        <v>0690355171</v>
      </c>
      <c r="AG804" s="12" t="str">
        <f>IFERROR(__xludf.DUMMYFUNCTION("""COMPUTED_VALUE"""),"Diana")</f>
        <v>Diana</v>
      </c>
      <c r="AH804" s="6"/>
      <c r="AI804" s="6" t="str">
        <f>IFERROR(__xludf.DUMMYFUNCTION("""COMPUTED_VALUE"""),"Barahona Meza")</f>
        <v>Barahona Meza</v>
      </c>
      <c r="AJ804" s="6" t="str">
        <f>IFERROR(__xludf.DUMMYFUNCTION("""COMPUTED_VALUE"""),"diana490@gmail.com")</f>
        <v>diana490@gmail.com</v>
      </c>
      <c r="AK804" s="6" t="str">
        <f>IFERROR(__xludf.DUMMYFUNCTION("""COMPUTED_VALUE"""),"Abogada")</f>
        <v>Abogada</v>
      </c>
      <c r="AL804" s="6" t="str">
        <f>IFERROR(__xludf.DUMMYFUNCTION("""COMPUTED_VALUE"""),"Alcaldia")</f>
        <v>Alcaldia</v>
      </c>
      <c r="AM804" s="12" t="str">
        <f>IFERROR(__xludf.DUMMYFUNCTION("""COMPUTED_VALUE"""),"41949809")</f>
        <v>41949809</v>
      </c>
      <c r="AN804" s="12" t="str">
        <f>IFERROR(__xludf.DUMMYFUNCTION("""COMPUTED_VALUE"""),"3185779016")</f>
        <v>3185779016</v>
      </c>
      <c r="AO804" s="6" t="str">
        <f>IFERROR(__xludf.DUMMYFUNCTION("""COMPUTED_VALUE"""),"Madre")</f>
        <v>Madre</v>
      </c>
      <c r="AP804" s="6" t="str">
        <f>IFERROR(__xludf.DUMMYFUNCTION("""COMPUTED_VALUE"""),"Estudiante(s): Restrepo Barahona")</f>
        <v>Estudiante(s): Restrepo Barahona</v>
      </c>
      <c r="AQ804" s="6" t="str">
        <f>IFERROR(__xludf.DUMMYFUNCTION("""COMPUTED_VALUE"""),"103043*Gi")</f>
        <v>103043*Gi</v>
      </c>
      <c r="AR804" s="6" t="str">
        <f>IFERROR(__xludf.DUMMYFUNCTION("""COMPUTED_VALUE"""),"Jorge")</f>
        <v>Jorge</v>
      </c>
      <c r="AS804" s="6" t="str">
        <f>IFERROR(__xludf.DUMMYFUNCTION("""COMPUTED_VALUE"""),"Mario")</f>
        <v>Mario</v>
      </c>
      <c r="AT804" s="6" t="str">
        <f>IFERROR(__xludf.DUMMYFUNCTION("""COMPUTED_VALUE"""),"Restrepo Restrepo")</f>
        <v>Restrepo Restrepo</v>
      </c>
      <c r="AU804" s="6" t="str">
        <f>IFERROR(__xludf.DUMMYFUNCTION("""COMPUTED_VALUE"""),"restreporestrepo@gmail.com")</f>
        <v>restreporestrepo@gmail.com</v>
      </c>
      <c r="AV804" s="6" t="str">
        <f>IFERROR(__xludf.DUMMYFUNCTION("""COMPUTED_VALUE"""),"Arquitecto")</f>
        <v>Arquitecto</v>
      </c>
      <c r="AW804" s="6" t="str">
        <f>IFERROR(__xludf.DUMMYFUNCTION("""COMPUTED_VALUE"""),"Estudio de Arquitectura jmrsas")</f>
        <v>Estudio de Arquitectura jmrsas</v>
      </c>
      <c r="AX804" s="12" t="str">
        <f>IFERROR(__xludf.DUMMYFUNCTION("""COMPUTED_VALUE"""),"9732604")</f>
        <v>9732604</v>
      </c>
      <c r="AY804" s="12" t="str">
        <f>IFERROR(__xludf.DUMMYFUNCTION("""COMPUTED_VALUE"""),"3174037077")</f>
        <v>3174037077</v>
      </c>
      <c r="AZ804" s="6" t="str">
        <f>IFERROR(__xludf.DUMMYFUNCTION("""COMPUTED_VALUE"""),"Padre")</f>
        <v>Padre</v>
      </c>
      <c r="BA804" s="6"/>
      <c r="BB804" s="6"/>
      <c r="BC804" s="6"/>
      <c r="BD804" s="12" t="str">
        <f>IFERROR(__xludf.DUMMYFUNCTION("""COMPUTED_VALUE"""),"res0004")</f>
        <v>res0004</v>
      </c>
      <c r="BE804" s="6" t="str">
        <f>IFERROR(__xludf.DUMMYFUNCTION("""COMPUTED_VALUE"""),"FALTAN FIRMAS")</f>
        <v>FALTAN FIRMAS</v>
      </c>
      <c r="BF804" s="6"/>
      <c r="BG804" s="6">
        <f>IFERROR(__xludf.DUMMYFUNCTION("""COMPUTED_VALUE"""),2027.0)</f>
        <v>2027</v>
      </c>
      <c r="BH804" s="15">
        <f>IFERROR(__xludf.DUMMYFUNCTION("""COMPUTED_VALUE"""),46209.55269675926)</f>
        <v>46209.5527</v>
      </c>
      <c r="BI804" s="6">
        <f>IFERROR(__xludf.DUMMYFUNCTION("""COMPUTED_VALUE"""),805.0)</f>
        <v>805</v>
      </c>
      <c r="BJ804" s="6"/>
      <c r="BK804" s="6"/>
      <c r="BL804" s="6" t="str">
        <f>IFERROR(__xludf.DUMMYFUNCTION("""COMPUTED_VALUE"""),"GISRES0004")</f>
        <v>GISRES0004</v>
      </c>
      <c r="BM804" s="6"/>
      <c r="BN804" s="6"/>
      <c r="BO804" s="6"/>
      <c r="BP804" s="6"/>
      <c r="BQ804" s="6"/>
      <c r="BR804" s="6"/>
      <c r="BS804" s="6"/>
      <c r="BT804" s="6"/>
      <c r="BU804" s="6" t="str">
        <f>IFERROR(__xludf.DUMMYFUNCTION("""COMPUTED_VALUE"""),"SI")</f>
        <v>SI</v>
      </c>
      <c r="BV804" s="6" t="str">
        <f>IFERROR(__xludf.DUMMYFUNCTION("""COMPUTED_VALUE"""),"juan.r2027")</f>
        <v>juan.r2027</v>
      </c>
      <c r="BW804" s="6"/>
      <c r="BX804" s="6"/>
      <c r="BY804" s="6"/>
      <c r="BZ804" s="6"/>
    </row>
    <row r="805">
      <c r="A805" s="12">
        <f>IFERROR(__xludf.DUMMYFUNCTION("""COMPUTED_VALUE"""),1.092854028E9)</f>
        <v>1092854028</v>
      </c>
      <c r="B805" s="6">
        <f>IFERROR(__xludf.DUMMYFUNCTION("""COMPUTED_VALUE"""),39.0)</f>
        <v>39</v>
      </c>
      <c r="C805" s="6" t="str">
        <f>IFERROR(__xludf.DUMMYFUNCTION("""COMPUTED_VALUE"""),"Sara")</f>
        <v>Sara</v>
      </c>
      <c r="D805" s="6"/>
      <c r="E805" s="6" t="str">
        <f>IFERROR(__xludf.DUMMYFUNCTION("""COMPUTED_VALUE"""),"Restrepo Mejía")</f>
        <v>Restrepo Mejía</v>
      </c>
      <c r="F805" s="6" t="str">
        <f>IFERROR(__xludf.DUMMYFUNCTION("""COMPUTED_VALUE"""),"Condominio Jordan Campestre Casa 36 - Cra 6 13Nte - 30 Av Centenario")</f>
        <v>Condominio Jordan Campestre Casa 36 - Cra 6 13Nte - 30 Av Centenario</v>
      </c>
      <c r="G805" s="12" t="str">
        <f>IFERROR(__xludf.DUMMYFUNCTION("""COMPUTED_VALUE"""),"2009")</f>
        <v>2009</v>
      </c>
      <c r="H805" s="6" t="str">
        <f>IFERROR(__xludf.DUMMYFUNCTION("""COMPUTED_VALUE"""),"Febrero")</f>
        <v>Febrero</v>
      </c>
      <c r="I805" s="12" t="str">
        <f>IFERROR(__xludf.DUMMYFUNCTION("""COMPUTED_VALUE"""),"5")</f>
        <v>5</v>
      </c>
      <c r="J805" s="6" t="str">
        <f>IFERROR(__xludf.DUMMYFUNCTION("""COMPUTED_VALUE"""),"Armenia")</f>
        <v>Armenia</v>
      </c>
      <c r="K805" s="6" t="str">
        <f>IFERROR(__xludf.DUMMYFUNCTION("""COMPUTED_VALUE"""),"sara.r2027@gi.edu.co")</f>
        <v>sara.r2027@gi.edu.co</v>
      </c>
      <c r="L805" s="6" t="str">
        <f>IFERROR(__xludf.DUMMYFUNCTION("""COMPUTED_VALUE"""),"TI")</f>
        <v>TI</v>
      </c>
      <c r="M805" s="6" t="str">
        <f>IFERROR(__xludf.DUMMYFUNCTION("""COMPUTED_VALUE"""),"Armenia")</f>
        <v>Armenia</v>
      </c>
      <c r="N805" s="6" t="str">
        <f>IFERROR(__xludf.DUMMYFUNCTION("""COMPUTED_VALUE"""),"F")</f>
        <v>F</v>
      </c>
      <c r="O805" s="6" t="str">
        <f>IFERROR(__xludf.DUMMYFUNCTION("""COMPUTED_VALUE"""),"ACTIVE")</f>
        <v>ACTIVE</v>
      </c>
      <c r="P805" s="6"/>
      <c r="Q805" s="6" t="str">
        <f>IFERROR(__xludf.DUMMYFUNCTION("""COMPUTED_VALUE"""),"Armenia")</f>
        <v>Armenia</v>
      </c>
      <c r="R805" s="12" t="str">
        <f>IFERROR(__xludf.DUMMYFUNCTION("""COMPUTED_VALUE"""),"Gi39088r*")</f>
        <v>Gi39088r*</v>
      </c>
      <c r="S805" s="6" t="str">
        <f>IFERROR(__xludf.DUMMYFUNCTION("""COMPUTED_VALUE"""),"Restrepo Mejía Sara ")</f>
        <v>Restrepo Mejía Sara </v>
      </c>
      <c r="T805" s="6" t="str">
        <f>IFERROR(__xludf.DUMMYFUNCTION("""COMPUTED_VALUE"""),"EDUARDO RESTREPO SAENZ")</f>
        <v>EDUARDO RESTREPO SAENZ</v>
      </c>
      <c r="U805" s="12" t="str">
        <f>IFERROR(__xludf.DUMMYFUNCTION("""COMPUTED_VALUE"""),"89009102")</f>
        <v>89009102</v>
      </c>
      <c r="V805" s="6">
        <f>IFERROR(__xludf.DUMMYFUNCTION("""COMPUTED_VALUE"""),3.155774855E9)</f>
        <v>3155774855</v>
      </c>
      <c r="W805" s="6" t="str">
        <f>IFERROR(__xludf.DUMMYFUNCTION("""COMPUTED_VALUE"""),"edorestrepo@gmail.com")</f>
        <v>edorestrepo@gmail.com</v>
      </c>
      <c r="X805" s="12" t="str">
        <f>IFERROR(__xludf.DUMMYFUNCTION("""COMPUTED_VALUE"""),"A+")</f>
        <v>A+</v>
      </c>
      <c r="Y805" s="12" t="str">
        <f>IFERROR(__xludf.DUMMYFUNCTION("""COMPUTED_VALUE"""),"12")</f>
        <v>12</v>
      </c>
      <c r="Z805" s="12">
        <f>IFERROR(__xludf.DUMMYFUNCTION("""COMPUTED_VALUE"""),103908.0)</f>
        <v>103908</v>
      </c>
      <c r="AA805" s="6" t="str">
        <f>IFERROR(__xludf.DUMMYFUNCTION("""COMPUTED_VALUE"""),"SANITAS")</f>
        <v>SANITAS</v>
      </c>
      <c r="AB805" s="6" t="str">
        <f>IFERROR(__xludf.DUMMYFUNCTION("""COMPUTED_VALUE"""),"EMI")</f>
        <v>EMI</v>
      </c>
      <c r="AC805" s="12" t="str">
        <f>IFERROR(__xludf.DUMMYFUNCTION("""COMPUTED_VALUE"""),"Plasil y doxiciclina")</f>
        <v>Plasil y doxiciclina</v>
      </c>
      <c r="AD805" s="12" t="str">
        <f>IFERROR(__xludf.DUMMYFUNCTION("""COMPUTED_VALUE"""),"12")</f>
        <v>12</v>
      </c>
      <c r="AE805" s="12">
        <f>IFERROR(__xludf.DUMMYFUNCTION("""COMPUTED_VALUE"""),1.345281961E9)</f>
        <v>1345281961</v>
      </c>
      <c r="AF805" s="12" t="str">
        <f>IFERROR(__xludf.DUMMYFUNCTION("""COMPUTED_VALUE"""),"0696591971")</f>
        <v>0696591971</v>
      </c>
      <c r="AG805" s="12" t="str">
        <f>IFERROR(__xludf.DUMMYFUNCTION("""COMPUTED_VALUE"""),"Catalina")</f>
        <v>Catalina</v>
      </c>
      <c r="AH805" s="6"/>
      <c r="AI805" s="6" t="str">
        <f>IFERROR(__xludf.DUMMYFUNCTION("""COMPUTED_VALUE"""),"Mejia Mejia")</f>
        <v>Mejia Mejia</v>
      </c>
      <c r="AJ805" s="6" t="str">
        <f>IFERROR(__xludf.DUMMYFUNCTION("""COMPUTED_VALUE"""),"catamejiamejia@gmail.com")</f>
        <v>catamejiamejia@gmail.com</v>
      </c>
      <c r="AK805" s="6" t="str">
        <f>IFERROR(__xludf.DUMMYFUNCTION("""COMPUTED_VALUE"""),"AMA DE CASA")</f>
        <v>AMA DE CASA</v>
      </c>
      <c r="AL805" s="6"/>
      <c r="AM805" s="12" t="str">
        <f>IFERROR(__xludf.DUMMYFUNCTION("""COMPUTED_VALUE"""),"41948311")</f>
        <v>41948311</v>
      </c>
      <c r="AN805" s="12" t="str">
        <f>IFERROR(__xludf.DUMMYFUNCTION("""COMPUTED_VALUE"""),"3164703383")</f>
        <v>3164703383</v>
      </c>
      <c r="AO805" s="6" t="str">
        <f>IFERROR(__xludf.DUMMYFUNCTION("""COMPUTED_VALUE"""),"Madre")</f>
        <v>Madre</v>
      </c>
      <c r="AP805" s="6" t="str">
        <f>IFERROR(__xludf.DUMMYFUNCTION("""COMPUTED_VALUE"""),"Estudiante(s): Restrepo Mejía")</f>
        <v>Estudiante(s): Restrepo Mejía</v>
      </c>
      <c r="AQ805" s="6" t="str">
        <f>IFERROR(__xludf.DUMMYFUNCTION("""COMPUTED_VALUE"""),"103908*Gi")</f>
        <v>103908*Gi</v>
      </c>
      <c r="AR805" s="6" t="str">
        <f>IFERROR(__xludf.DUMMYFUNCTION("""COMPUTED_VALUE"""),"Eduardo")</f>
        <v>Eduardo</v>
      </c>
      <c r="AS805" s="6"/>
      <c r="AT805" s="6" t="str">
        <f>IFERROR(__xludf.DUMMYFUNCTION("""COMPUTED_VALUE"""),"Restrepo Saenz")</f>
        <v>Restrepo Saenz</v>
      </c>
      <c r="AU805" s="6" t="str">
        <f>IFERROR(__xludf.DUMMYFUNCTION("""COMPUTED_VALUE"""),"edorestrepo@gmail.com")</f>
        <v>edorestrepo@gmail.com</v>
      </c>
      <c r="AV805" s="6" t="str">
        <f>IFERROR(__xludf.DUMMYFUNCTION("""COMPUTED_VALUE"""),"INGENIERO AGROINDUSTRIAL")</f>
        <v>INGENIERO AGROINDUSTRIAL</v>
      </c>
      <c r="AW805" s="6" t="str">
        <f>IFERROR(__xludf.DUMMYFUNCTION("""COMPUTED_VALUE"""),"RACAFE &amp; CIA SCA")</f>
        <v>RACAFE &amp; CIA SCA</v>
      </c>
      <c r="AX805" s="12" t="str">
        <f>IFERROR(__xludf.DUMMYFUNCTION("""COMPUTED_VALUE"""),"89009102")</f>
        <v>89009102</v>
      </c>
      <c r="AY805" s="12" t="str">
        <f>IFERROR(__xludf.DUMMYFUNCTION("""COMPUTED_VALUE"""),"3155774855")</f>
        <v>3155774855</v>
      </c>
      <c r="AZ805" s="6" t="str">
        <f>IFERROR(__xludf.DUMMYFUNCTION("""COMPUTED_VALUE"""),"Padre")</f>
        <v>Padre</v>
      </c>
      <c r="BA805" s="6"/>
      <c r="BB805" s="6"/>
      <c r="BC805" s="6"/>
      <c r="BD805" s="12" t="str">
        <f>IFERROR(__xludf.DUMMYFUNCTION("""COMPUTED_VALUE"""),"res0008")</f>
        <v>res0008</v>
      </c>
      <c r="BE805" s="6"/>
      <c r="BF805" s="6"/>
      <c r="BG805" s="6">
        <f>IFERROR(__xludf.DUMMYFUNCTION("""COMPUTED_VALUE"""),2027.0)</f>
        <v>2027</v>
      </c>
      <c r="BH805" s="15">
        <f>IFERROR(__xludf.DUMMYFUNCTION("""COMPUTED_VALUE"""),46206.72493055555)</f>
        <v>46206.72493</v>
      </c>
      <c r="BI805" s="6">
        <f>IFERROR(__xludf.DUMMYFUNCTION("""COMPUTED_VALUE"""),806.0)</f>
        <v>806</v>
      </c>
      <c r="BJ805" s="6"/>
      <c r="BK805" s="6"/>
      <c r="BL805" s="6" t="str">
        <f>IFERROR(__xludf.DUMMYFUNCTION("""COMPUTED_VALUE"""),"GISRES0008")</f>
        <v>GISRES0008</v>
      </c>
      <c r="BM805" s="6"/>
      <c r="BN805" s="6"/>
      <c r="BO805" s="6" t="str">
        <f>IFERROR(__xludf.DUMMYFUNCTION("""COMPUTED_VALUE"""),"XC_SEC_Futbol_F")</f>
        <v>XC_SEC_Futbol_F</v>
      </c>
      <c r="BP805" s="6"/>
      <c r="BQ805" s="6" t="str">
        <f>IFERROR(__xludf.DUMMYFUNCTION("""COMPUTED_VALUE"""),"XC_SEC_Futbol_F")</f>
        <v>XC_SEC_Futbol_F</v>
      </c>
      <c r="BR805" s="6" t="str">
        <f>IFERROR(__xludf.DUMMYFUNCTION("""COMPUTED_VALUE"""),"XC_SEC_Futbol_F")</f>
        <v>XC_SEC_Futbol_F</v>
      </c>
      <c r="BS805" s="6"/>
      <c r="BT805" s="6" t="str">
        <f>IFERROR(__xludf.DUMMYFUNCTION("""COMPUTED_VALUE"""),"XC_SEC_Futbol_F")</f>
        <v>XC_SEC_Futbol_F</v>
      </c>
      <c r="BU805" s="6" t="str">
        <f>IFERROR(__xludf.DUMMYFUNCTION("""COMPUTED_VALUE"""),"SI")</f>
        <v>SI</v>
      </c>
      <c r="BV805" s="6" t="str">
        <f>IFERROR(__xludf.DUMMYFUNCTION("""COMPUTED_VALUE"""),"sara.r2027")</f>
        <v>sara.r2027</v>
      </c>
      <c r="BW805" s="6"/>
      <c r="BX805" s="6"/>
      <c r="BY805" s="6"/>
      <c r="BZ805" s="6"/>
    </row>
    <row r="806">
      <c r="A806" s="12">
        <f>IFERROR(__xludf.DUMMYFUNCTION("""COMPUTED_VALUE"""),1.089606588E9)</f>
        <v>1089606588</v>
      </c>
      <c r="B806" s="6">
        <f>IFERROR(__xludf.DUMMYFUNCTION("""COMPUTED_VALUE"""),40.0)</f>
        <v>40</v>
      </c>
      <c r="C806" s="6" t="str">
        <f>IFERROR(__xludf.DUMMYFUNCTION("""COMPUTED_VALUE"""),"Antonio")</f>
        <v>Antonio</v>
      </c>
      <c r="D806" s="6"/>
      <c r="E806" s="6" t="str">
        <f>IFERROR(__xludf.DUMMYFUNCTION("""COMPUTED_VALUE"""),"Rivera Sánchez")</f>
        <v>Rivera Sánchez</v>
      </c>
      <c r="F806" s="6" t="str">
        <f>IFERROR(__xludf.DUMMYFUNCTION("""COMPUTED_VALUE"""),"Cra 10 No11Nte - 12 Apto 402 - La Castellana")</f>
        <v>Cra 10 No11Nte - 12 Apto 402 - La Castellana</v>
      </c>
      <c r="G806" s="12" t="str">
        <f>IFERROR(__xludf.DUMMYFUNCTION("""COMPUTED_VALUE"""),"2009")</f>
        <v>2009</v>
      </c>
      <c r="H806" s="6" t="str">
        <f>IFERROR(__xludf.DUMMYFUNCTION("""COMPUTED_VALUE"""),"Agosto")</f>
        <v>Agosto</v>
      </c>
      <c r="I806" s="12" t="str">
        <f>IFERROR(__xludf.DUMMYFUNCTION("""COMPUTED_VALUE"""),"10")</f>
        <v>10</v>
      </c>
      <c r="J806" s="6" t="str">
        <f>IFERROR(__xludf.DUMMYFUNCTION("""COMPUTED_VALUE"""),"Pereira")</f>
        <v>Pereira</v>
      </c>
      <c r="K806" s="6" t="str">
        <f>IFERROR(__xludf.DUMMYFUNCTION("""COMPUTED_VALUE"""),"antonio.r2027@gi.edu.co")</f>
        <v>antonio.r2027@gi.edu.co</v>
      </c>
      <c r="L806" s="6" t="str">
        <f>IFERROR(__xludf.DUMMYFUNCTION("""COMPUTED_VALUE"""),"TI")</f>
        <v>TI</v>
      </c>
      <c r="M806" s="6" t="str">
        <f>IFERROR(__xludf.DUMMYFUNCTION("""COMPUTED_VALUE"""),"Armenia")</f>
        <v>Armenia</v>
      </c>
      <c r="N806" s="6" t="str">
        <f>IFERROR(__xludf.DUMMYFUNCTION("""COMPUTED_VALUE"""),"M")</f>
        <v>M</v>
      </c>
      <c r="O806" s="6" t="str">
        <f>IFERROR(__xludf.DUMMYFUNCTION("""COMPUTED_VALUE"""),"ACTIVE")</f>
        <v>ACTIVE</v>
      </c>
      <c r="P806" s="6"/>
      <c r="Q806" s="6" t="str">
        <f>IFERROR(__xludf.DUMMYFUNCTION("""COMPUTED_VALUE"""),"Armenia")</f>
        <v>Armenia</v>
      </c>
      <c r="R806" s="12" t="str">
        <f>IFERROR(__xludf.DUMMYFUNCTION("""COMPUTED_VALUE"""),"Gir8s4rpb*")</f>
        <v>Gir8s4rpb*</v>
      </c>
      <c r="S806" s="6" t="str">
        <f>IFERROR(__xludf.DUMMYFUNCTION("""COMPUTED_VALUE"""),"Rivera Sánchez Antonio ")</f>
        <v>Rivera Sánchez Antonio </v>
      </c>
      <c r="T806" s="6" t="str">
        <f>IFERROR(__xludf.DUMMYFUNCTION("""COMPUTED_VALUE"""),"CARLOS RIVERA FLOREZ")</f>
        <v>CARLOS RIVERA FLOREZ</v>
      </c>
      <c r="U806" s="12" t="str">
        <f>IFERROR(__xludf.DUMMYFUNCTION("""COMPUTED_VALUE"""),"76321018")</f>
        <v>76321018</v>
      </c>
      <c r="V806" s="6">
        <f>IFERROR(__xludf.DUMMYFUNCTION("""COMPUTED_VALUE"""),3.138060654E9)</f>
        <v>3138060654</v>
      </c>
      <c r="W806" s="6" t="str">
        <f>IFERROR(__xludf.DUMMYFUNCTION("""COMPUTED_VALUE"""),"carlos.rivera72@hotmail.com")</f>
        <v>carlos.rivera72@hotmail.com</v>
      </c>
      <c r="X806" s="12" t="str">
        <f>IFERROR(__xludf.DUMMYFUNCTION("""COMPUTED_VALUE"""),"A+")</f>
        <v>A+</v>
      </c>
      <c r="Y806" s="12" t="str">
        <f>IFERROR(__xludf.DUMMYFUNCTION("""COMPUTED_VALUE"""),"12")</f>
        <v>12</v>
      </c>
      <c r="Z806" s="12">
        <f>IFERROR(__xludf.DUMMYFUNCTION("""COMPUTED_VALUE"""),120109.0)</f>
        <v>120109</v>
      </c>
      <c r="AA806" s="6" t="str">
        <f>IFERROR(__xludf.DUMMYFUNCTION("""COMPUTED_VALUE"""),"SURA")</f>
        <v>SURA</v>
      </c>
      <c r="AB806" s="6"/>
      <c r="AC806" s="6"/>
      <c r="AD806" s="12" t="str">
        <f>IFERROR(__xludf.DUMMYFUNCTION("""COMPUTED_VALUE"""),"12")</f>
        <v>12</v>
      </c>
      <c r="AE806" s="12">
        <f>IFERROR(__xludf.DUMMYFUNCTION("""COMPUTED_VALUE"""),1.345282069E9)</f>
        <v>1345282069</v>
      </c>
      <c r="AF806" s="12" t="str">
        <f>IFERROR(__xludf.DUMMYFUNCTION("""COMPUTED_VALUE"""),"0682136595")</f>
        <v>0682136595</v>
      </c>
      <c r="AG806" s="6"/>
      <c r="AH806" s="6"/>
      <c r="AI806" s="6"/>
      <c r="AJ806" s="6"/>
      <c r="AK806" s="6"/>
      <c r="AL806" s="6"/>
      <c r="AM806" s="6"/>
      <c r="AN806" s="6"/>
      <c r="AO806" s="6" t="str">
        <f>IFERROR(__xludf.DUMMYFUNCTION("""COMPUTED_VALUE"""),"Madre")</f>
        <v>Madre</v>
      </c>
      <c r="AP806" s="6" t="str">
        <f>IFERROR(__xludf.DUMMYFUNCTION("""COMPUTED_VALUE"""),"Estudiante(s): Rivera Sánchez")</f>
        <v>Estudiante(s): Rivera Sánchez</v>
      </c>
      <c r="AQ806" s="6" t="str">
        <f>IFERROR(__xludf.DUMMYFUNCTION("""COMPUTED_VALUE"""),"120109*Gi")</f>
        <v>120109*Gi</v>
      </c>
      <c r="AR806" s="6" t="str">
        <f>IFERROR(__xludf.DUMMYFUNCTION("""COMPUTED_VALUE"""),"Carlos")</f>
        <v>Carlos</v>
      </c>
      <c r="AS806" s="6"/>
      <c r="AT806" s="6" t="str">
        <f>IFERROR(__xludf.DUMMYFUNCTION("""COMPUTED_VALUE"""),"Rivera Flórez")</f>
        <v>Rivera Flórez</v>
      </c>
      <c r="AU806" s="6" t="str">
        <f>IFERROR(__xludf.DUMMYFUNCTION("""COMPUTED_VALUE"""),"carlos.rivera72@hotmail.com")</f>
        <v>carlos.rivera72@hotmail.com</v>
      </c>
      <c r="AV806" s="6" t="str">
        <f>IFERROR(__xludf.DUMMYFUNCTION("""COMPUTED_VALUE"""),"ingeniero")</f>
        <v>ingeniero</v>
      </c>
      <c r="AW806" s="6" t="str">
        <f>IFERROR(__xludf.DUMMYFUNCTION("""COMPUTED_VALUE"""),"YAMAHA DEL CAFE")</f>
        <v>YAMAHA DEL CAFE</v>
      </c>
      <c r="AX806" s="12" t="str">
        <f>IFERROR(__xludf.DUMMYFUNCTION("""COMPUTED_VALUE"""),"76321018")</f>
        <v>76321018</v>
      </c>
      <c r="AY806" s="12" t="str">
        <f>IFERROR(__xludf.DUMMYFUNCTION("""COMPUTED_VALUE"""),"3138060654")</f>
        <v>3138060654</v>
      </c>
      <c r="AZ806" s="6" t="str">
        <f>IFERROR(__xludf.DUMMYFUNCTION("""COMPUTED_VALUE"""),"Padre")</f>
        <v>Padre</v>
      </c>
      <c r="BA806" s="6"/>
      <c r="BB806" s="6"/>
      <c r="BC806" s="6"/>
      <c r="BD806" s="12" t="str">
        <f>IFERROR(__xludf.DUMMYFUNCTION("""COMPUTED_VALUE"""),"riv0002")</f>
        <v>riv0002</v>
      </c>
      <c r="BE806" s="6"/>
      <c r="BF806" s="6"/>
      <c r="BG806" s="6">
        <f>IFERROR(__xludf.DUMMYFUNCTION("""COMPUTED_VALUE"""),2027.0)</f>
        <v>2027</v>
      </c>
      <c r="BH806" s="15">
        <f>IFERROR(__xludf.DUMMYFUNCTION("""COMPUTED_VALUE"""),46253.44357638889)</f>
        <v>46253.44358</v>
      </c>
      <c r="BI806" s="6">
        <f>IFERROR(__xludf.DUMMYFUNCTION("""COMPUTED_VALUE"""),807.0)</f>
        <v>807</v>
      </c>
      <c r="BJ806" s="6"/>
      <c r="BK806" s="6"/>
      <c r="BL806" s="6" t="str">
        <f>IFERROR(__xludf.DUMMYFUNCTION("""COMPUTED_VALUE"""),"GISRIV0002")</f>
        <v>GISRIV0002</v>
      </c>
      <c r="BM806" s="6"/>
      <c r="BN806" s="6"/>
      <c r="BO806" s="6"/>
      <c r="BP806" s="6"/>
      <c r="BQ806" s="6"/>
      <c r="BR806" s="6"/>
      <c r="BS806" s="6"/>
      <c r="BT806" s="6"/>
      <c r="BU806" s="6" t="str">
        <f>IFERROR(__xludf.DUMMYFUNCTION("""COMPUTED_VALUE"""),"SI")</f>
        <v>SI</v>
      </c>
      <c r="BV806" s="6" t="str">
        <f>IFERROR(__xludf.DUMMYFUNCTION("""COMPUTED_VALUE"""),"antonio.r2027")</f>
        <v>antonio.r2027</v>
      </c>
      <c r="BW806" s="6"/>
      <c r="BX806" s="6"/>
      <c r="BY806" s="6"/>
      <c r="BZ806" s="6"/>
    </row>
    <row r="807">
      <c r="A807" s="12">
        <f>IFERROR(__xludf.DUMMYFUNCTION("""COMPUTED_VALUE"""),1.108336273E9)</f>
        <v>1108336273</v>
      </c>
      <c r="B807" s="6">
        <f>IFERROR(__xludf.DUMMYFUNCTION("""COMPUTED_VALUE"""),41.0)</f>
        <v>41</v>
      </c>
      <c r="C807" s="6" t="str">
        <f>IFERROR(__xludf.DUMMYFUNCTION("""COMPUTED_VALUE"""),"Ángel")</f>
        <v>Ángel</v>
      </c>
      <c r="D807" s="6" t="str">
        <f>IFERROR(__xludf.DUMMYFUNCTION("""COMPUTED_VALUE"""),"Samuel")</f>
        <v>Samuel</v>
      </c>
      <c r="E807" s="6" t="str">
        <f>IFERROR(__xludf.DUMMYFUNCTION("""COMPUTED_VALUE"""),"Rojas Ortíz")</f>
        <v>Rojas Ortíz</v>
      </c>
      <c r="F807" s="6" t="str">
        <f>IFERROR(__xludf.DUMMYFUNCTION("""COMPUTED_VALUE"""),"Condominio Cedro Negro Casa 32 - Km 6 Via Circasia Vereda El Congal")</f>
        <v>Condominio Cedro Negro Casa 32 - Km 6 Via Circasia Vereda El Congal</v>
      </c>
      <c r="G807" s="12" t="str">
        <f>IFERROR(__xludf.DUMMYFUNCTION("""COMPUTED_VALUE"""),"2008")</f>
        <v>2008</v>
      </c>
      <c r="H807" s="6" t="str">
        <f>IFERROR(__xludf.DUMMYFUNCTION("""COMPUTED_VALUE"""),"Noviembre")</f>
        <v>Noviembre</v>
      </c>
      <c r="I807" s="12" t="str">
        <f>IFERROR(__xludf.DUMMYFUNCTION("""COMPUTED_VALUE"""),"28")</f>
        <v>28</v>
      </c>
      <c r="J807" s="6" t="str">
        <f>IFERROR(__xludf.DUMMYFUNCTION("""COMPUTED_VALUE"""),"Cali")</f>
        <v>Cali</v>
      </c>
      <c r="K807" s="6" t="str">
        <f>IFERROR(__xludf.DUMMYFUNCTION("""COMPUTED_VALUE"""),"angel.o2027@gi.edu.co")</f>
        <v>angel.o2027@gi.edu.co</v>
      </c>
      <c r="L807" s="6" t="str">
        <f>IFERROR(__xludf.DUMMYFUNCTION("""COMPUTED_VALUE"""),"TI")</f>
        <v>TI</v>
      </c>
      <c r="M807" s="6" t="str">
        <f>IFERROR(__xludf.DUMMYFUNCTION("""COMPUTED_VALUE"""),"Cali")</f>
        <v>Cali</v>
      </c>
      <c r="N807" s="6" t="str">
        <f>IFERROR(__xludf.DUMMYFUNCTION("""COMPUTED_VALUE"""),"M")</f>
        <v>M</v>
      </c>
      <c r="O807" s="6" t="str">
        <f>IFERROR(__xludf.DUMMYFUNCTION("""COMPUTED_VALUE"""),"INACTIVE")</f>
        <v>INACTIVE</v>
      </c>
      <c r="P807" s="6"/>
      <c r="Q807" s="6" t="str">
        <f>IFERROR(__xludf.DUMMYFUNCTION("""COMPUTED_VALUE"""),"Circasia")</f>
        <v>Circasia</v>
      </c>
      <c r="R807" s="12" t="str">
        <f>IFERROR(__xludf.DUMMYFUNCTION("""COMPUTED_VALUE"""),"Gituyh456f*")</f>
        <v>Gituyh456f*</v>
      </c>
      <c r="S807" s="6" t="str">
        <f>IFERROR(__xludf.DUMMYFUNCTION("""COMPUTED_VALUE"""),"Rojas Ortíz Ángel Samuel")</f>
        <v>Rojas Ortíz Ángel Samuel</v>
      </c>
      <c r="T807" s="6" t="str">
        <f>IFERROR(__xludf.DUMMYFUNCTION("""COMPUTED_VALUE"""),"ÁNGEL HUGO ROJAS SANDOVAL")</f>
        <v>ÁNGEL HUGO ROJAS SANDOVAL</v>
      </c>
      <c r="U807" s="12" t="str">
        <f>IFERROR(__xludf.DUMMYFUNCTION("""COMPUTED_VALUE"""),"79051641")</f>
        <v>79051641</v>
      </c>
      <c r="V807" s="6">
        <f>IFERROR(__xludf.DUMMYFUNCTION("""COMPUTED_VALUE"""),3.102886308E9)</f>
        <v>3102886308</v>
      </c>
      <c r="W807" s="6" t="str">
        <f>IFERROR(__xludf.DUMMYFUNCTION("""COMPUTED_VALUE"""),"angel.rojas1641@gmail.com")</f>
        <v>angel.rojas1641@gmail.com</v>
      </c>
      <c r="X807" s="12" t="str">
        <f>IFERROR(__xludf.DUMMYFUNCTION("""COMPUTED_VALUE"""),"O+")</f>
        <v>O+</v>
      </c>
      <c r="Y807" s="12" t="str">
        <f>IFERROR(__xludf.DUMMYFUNCTION("""COMPUTED_VALUE"""),"12")</f>
        <v>12</v>
      </c>
      <c r="Z807" s="12">
        <f>IFERROR(__xludf.DUMMYFUNCTION("""COMPUTED_VALUE"""),102985.0)</f>
        <v>102985</v>
      </c>
      <c r="AA807" s="6" t="str">
        <f>IFERROR(__xludf.DUMMYFUNCTION("""COMPUTED_VALUE"""),"OTRA")</f>
        <v>OTRA</v>
      </c>
      <c r="AB807" s="6" t="str">
        <f>IFERROR(__xludf.DUMMYFUNCTION("""COMPUTED_VALUE"""),"Coomeva")</f>
        <v>Coomeva</v>
      </c>
      <c r="AC807" s="6"/>
      <c r="AD807" s="12" t="str">
        <f>IFERROR(__xludf.DUMMYFUNCTION("""COMPUTED_VALUE"""),"12")</f>
        <v>12</v>
      </c>
      <c r="AE807" s="12">
        <f>IFERROR(__xludf.DUMMYFUNCTION("""COMPUTED_VALUE"""),1.345281452E9)</f>
        <v>1345281452</v>
      </c>
      <c r="AF807" s="12" t="str">
        <f>IFERROR(__xludf.DUMMYFUNCTION("""COMPUTED_VALUE"""),"0681135731")</f>
        <v>0681135731</v>
      </c>
      <c r="AG807" s="12" t="str">
        <f>IFERROR(__xludf.DUMMYFUNCTION("""COMPUTED_VALUE"""),"Martha")</f>
        <v>Martha</v>
      </c>
      <c r="AH807" s="12" t="str">
        <f>IFERROR(__xludf.DUMMYFUNCTION("""COMPUTED_VALUE"""),"Isabel")</f>
        <v>Isabel</v>
      </c>
      <c r="AI807" s="6" t="str">
        <f>IFERROR(__xludf.DUMMYFUNCTION("""COMPUTED_VALUE"""),"Ortíz Ocampo")</f>
        <v>Ortíz Ocampo</v>
      </c>
      <c r="AJ807" s="6" t="str">
        <f>IFERROR(__xludf.DUMMYFUNCTION("""COMPUTED_VALUE"""),"marthaisabel26@hotmail.com")</f>
        <v>marthaisabel26@hotmail.com</v>
      </c>
      <c r="AK807" s="6" t="str">
        <f>IFERROR(__xludf.DUMMYFUNCTION("""COMPUTED_VALUE"""),"ABOGADA")</f>
        <v>ABOGADA</v>
      </c>
      <c r="AL807" s="6"/>
      <c r="AM807" s="12" t="str">
        <f>IFERROR(__xludf.DUMMYFUNCTION("""COMPUTED_VALUE"""),"66921056")</f>
        <v>66921056</v>
      </c>
      <c r="AN807" s="12" t="str">
        <f>IFERROR(__xludf.DUMMYFUNCTION("""COMPUTED_VALUE"""),"3226035342")</f>
        <v>3226035342</v>
      </c>
      <c r="AO807" s="6" t="str">
        <f>IFERROR(__xludf.DUMMYFUNCTION("""COMPUTED_VALUE"""),"Madre")</f>
        <v>Madre</v>
      </c>
      <c r="AP807" s="6" t="str">
        <f>IFERROR(__xludf.DUMMYFUNCTION("""COMPUTED_VALUE"""),"Estudiante(s): Rojas Ortíz")</f>
        <v>Estudiante(s): Rojas Ortíz</v>
      </c>
      <c r="AQ807" s="6" t="str">
        <f>IFERROR(__xludf.DUMMYFUNCTION("""COMPUTED_VALUE"""),"102985*Gi")</f>
        <v>102985*Gi</v>
      </c>
      <c r="AR807" s="6" t="str">
        <f>IFERROR(__xludf.DUMMYFUNCTION("""COMPUTED_VALUE"""),"Ángel")</f>
        <v>Ángel</v>
      </c>
      <c r="AS807" s="6" t="str">
        <f>IFERROR(__xludf.DUMMYFUNCTION("""COMPUTED_VALUE"""),"Hugo")</f>
        <v>Hugo</v>
      </c>
      <c r="AT807" s="6" t="str">
        <f>IFERROR(__xludf.DUMMYFUNCTION("""COMPUTED_VALUE"""),"Rojas Sandoval")</f>
        <v>Rojas Sandoval</v>
      </c>
      <c r="AU807" s="6" t="str">
        <f>IFERROR(__xludf.DUMMYFUNCTION("""COMPUTED_VALUE"""),"angel.rojas1641@gmail.com")</f>
        <v>angel.rojas1641@gmail.com</v>
      </c>
      <c r="AV807" s="6"/>
      <c r="AW807" s="6"/>
      <c r="AX807" s="12" t="str">
        <f>IFERROR(__xludf.DUMMYFUNCTION("""COMPUTED_VALUE"""),"79051641")</f>
        <v>79051641</v>
      </c>
      <c r="AY807" s="12" t="str">
        <f>IFERROR(__xludf.DUMMYFUNCTION("""COMPUTED_VALUE"""),"3102886308")</f>
        <v>3102886308</v>
      </c>
      <c r="AZ807" s="6" t="str">
        <f>IFERROR(__xludf.DUMMYFUNCTION("""COMPUTED_VALUE"""),"Padre")</f>
        <v>Padre</v>
      </c>
      <c r="BA807" s="6"/>
      <c r="BB807" s="6"/>
      <c r="BC807" s="6"/>
      <c r="BD807" s="12" t="str">
        <f>IFERROR(__xludf.DUMMYFUNCTION("""COMPUTED_VALUE"""),"gut0008")</f>
        <v>gut0008</v>
      </c>
      <c r="BE807" s="6" t="str">
        <f>IFERROR(__xludf.DUMMYFUNCTION("""COMPUTED_VALUE"""),"FALTAN FIRMAS")</f>
        <v>FALTAN FIRMAS</v>
      </c>
      <c r="BF807" s="6"/>
      <c r="BG807" s="6">
        <f>IFERROR(__xludf.DUMMYFUNCTION("""COMPUTED_VALUE"""),2027.0)</f>
        <v>2027</v>
      </c>
      <c r="BH807" s="15">
        <f>IFERROR(__xludf.DUMMYFUNCTION("""COMPUTED_VALUE"""),46204.77726851852)</f>
        <v>46204.77727</v>
      </c>
      <c r="BI807" s="6">
        <f>IFERROR(__xludf.DUMMYFUNCTION("""COMPUTED_VALUE"""),808.0)</f>
        <v>808</v>
      </c>
      <c r="BJ807" s="6"/>
      <c r="BK807" s="6"/>
      <c r="BL807" s="6" t="str">
        <f>IFERROR(__xludf.DUMMYFUNCTION("""COMPUTED_VALUE"""),"GISGUT0008")</f>
        <v>GISGUT0008</v>
      </c>
      <c r="BM807" s="6"/>
      <c r="BN807" s="6"/>
      <c r="BO807" s="6"/>
      <c r="BP807" s="6"/>
      <c r="BQ807" s="6"/>
      <c r="BR807" s="6"/>
      <c r="BS807" s="6"/>
      <c r="BT807" s="6"/>
      <c r="BU807" s="6" t="str">
        <f>IFERROR(__xludf.DUMMYFUNCTION("""COMPUTED_VALUE"""),"SI")</f>
        <v>SI</v>
      </c>
      <c r="BV807" s="6" t="str">
        <f>IFERROR(__xludf.DUMMYFUNCTION("""COMPUTED_VALUE"""),"angel.o2027")</f>
        <v>angel.o2027</v>
      </c>
      <c r="BW807" s="6"/>
      <c r="BX807" s="6"/>
      <c r="BY807" s="6"/>
      <c r="BZ807" s="6"/>
    </row>
    <row r="808">
      <c r="A808" s="12">
        <f>IFERROR(__xludf.DUMMYFUNCTION("""COMPUTED_VALUE"""),1.097501878E9)</f>
        <v>1097501878</v>
      </c>
      <c r="B808" s="6">
        <f>IFERROR(__xludf.DUMMYFUNCTION("""COMPUTED_VALUE"""),42.0)</f>
        <v>42</v>
      </c>
      <c r="C808" s="6" t="str">
        <f>IFERROR(__xludf.DUMMYFUNCTION("""COMPUTED_VALUE"""),"Gerónimo")</f>
        <v>Gerónimo</v>
      </c>
      <c r="D808" s="6"/>
      <c r="E808" s="6" t="str">
        <f>IFERROR(__xludf.DUMMYFUNCTION("""COMPUTED_VALUE"""),"Ruíz Aristizábal")</f>
        <v>Ruíz Aristizábal</v>
      </c>
      <c r="F808" s="6" t="str">
        <f>IFERROR(__xludf.DUMMYFUNCTION("""COMPUTED_VALUE"""),"Torre Austral Apto 508 - Calle 37Nte No19 - 02")</f>
        <v>Torre Austral Apto 508 - Calle 37Nte No19 - 02</v>
      </c>
      <c r="G808" s="12" t="str">
        <f>IFERROR(__xludf.DUMMYFUNCTION("""COMPUTED_VALUE"""),"2009")</f>
        <v>2009</v>
      </c>
      <c r="H808" s="6" t="str">
        <f>IFERROR(__xludf.DUMMYFUNCTION("""COMPUTED_VALUE"""),"Diciembre")</f>
        <v>Diciembre</v>
      </c>
      <c r="I808" s="12" t="str">
        <f>IFERROR(__xludf.DUMMYFUNCTION("""COMPUTED_VALUE"""),"11")</f>
        <v>11</v>
      </c>
      <c r="J808" s="6" t="str">
        <f>IFERROR(__xludf.DUMMYFUNCTION("""COMPUTED_VALUE"""),"Bucaramanga")</f>
        <v>Bucaramanga</v>
      </c>
      <c r="K808" s="6" t="str">
        <f>IFERROR(__xludf.DUMMYFUNCTION("""COMPUTED_VALUE"""),"geronimo.r2027@gi.edu.co")</f>
        <v>geronimo.r2027@gi.edu.co</v>
      </c>
      <c r="L808" s="6" t="str">
        <f>IFERROR(__xludf.DUMMYFUNCTION("""COMPUTED_VALUE"""),"TI")</f>
        <v>TI</v>
      </c>
      <c r="M808" s="6" t="str">
        <f>IFERROR(__xludf.DUMMYFUNCTION("""COMPUTED_VALUE"""),"Armenia")</f>
        <v>Armenia</v>
      </c>
      <c r="N808" s="6" t="str">
        <f>IFERROR(__xludf.DUMMYFUNCTION("""COMPUTED_VALUE"""),"M")</f>
        <v>M</v>
      </c>
      <c r="O808" s="6" t="str">
        <f>IFERROR(__xludf.DUMMYFUNCTION("""COMPUTED_VALUE"""),"ACTIVE")</f>
        <v>ACTIVE</v>
      </c>
      <c r="P808" s="6"/>
      <c r="Q808" s="6" t="str">
        <f>IFERROR(__xludf.DUMMYFUNCTION("""COMPUTED_VALUE"""),"Armenia")</f>
        <v>Armenia</v>
      </c>
      <c r="R808" s="12" t="str">
        <f>IFERROR(__xludf.DUMMYFUNCTION("""COMPUTED_VALUE"""),"Gicgertuy5*")</f>
        <v>Gicgertuy5*</v>
      </c>
      <c r="S808" s="6" t="str">
        <f>IFERROR(__xludf.DUMMYFUNCTION("""COMPUTED_VALUE"""),"Ruíz Aristizábal Gerónimo ")</f>
        <v>Ruíz Aristizábal Gerónimo </v>
      </c>
      <c r="T808" s="6" t="str">
        <f>IFERROR(__xludf.DUMMYFUNCTION("""COMPUTED_VALUE"""),"LUIS FERNANDO RUIZ ARIAS")</f>
        <v>LUIS FERNANDO RUIZ ARIAS</v>
      </c>
      <c r="U808" s="12" t="str">
        <f>IFERROR(__xludf.DUMMYFUNCTION("""COMPUTED_VALUE"""),"89004699")</f>
        <v>89004699</v>
      </c>
      <c r="V808" s="6">
        <f>IFERROR(__xludf.DUMMYFUNCTION("""COMPUTED_VALUE"""),3.203050251E9)</f>
        <v>3203050251</v>
      </c>
      <c r="W808" s="6" t="str">
        <f>IFERROR(__xludf.DUMMYFUNCTION("""COMPUTED_VALUE"""),"fernando.ruizarias@hotmail.com")</f>
        <v>fernando.ruizarias@hotmail.com</v>
      </c>
      <c r="X808" s="12" t="str">
        <f>IFERROR(__xludf.DUMMYFUNCTION("""COMPUTED_VALUE"""),"O+")</f>
        <v>O+</v>
      </c>
      <c r="Y808" s="12" t="str">
        <f>IFERROR(__xludf.DUMMYFUNCTION("""COMPUTED_VALUE"""),"12")</f>
        <v>12</v>
      </c>
      <c r="Z808" s="12">
        <f>IFERROR(__xludf.DUMMYFUNCTION("""COMPUTED_VALUE"""),103487.0)</f>
        <v>103487</v>
      </c>
      <c r="AA808" s="6" t="str">
        <f>IFERROR(__xludf.DUMMYFUNCTION("""COMPUTED_VALUE"""),"OTRA")</f>
        <v>OTRA</v>
      </c>
      <c r="AB808" s="6" t="str">
        <f>IFERROR(__xludf.DUMMYFUNCTION("""COMPUTED_VALUE"""),"Medicina Prepagada")</f>
        <v>Medicina Prepagada</v>
      </c>
      <c r="AC808" s="12" t="str">
        <f>IFERROR(__xludf.DUMMYFUNCTION("""COMPUTED_VALUE"""),"Antibiótico Clauvulanato, dermatitis alérgica .")</f>
        <v>Antibiótico Clauvulanato, dermatitis alérgica .</v>
      </c>
      <c r="AD808" s="12" t="str">
        <f>IFERROR(__xludf.DUMMYFUNCTION("""COMPUTED_VALUE"""),"12")</f>
        <v>12</v>
      </c>
      <c r="AE808" s="12">
        <f>IFERROR(__xludf.DUMMYFUNCTION("""COMPUTED_VALUE"""),1.345281713E9)</f>
        <v>1345281713</v>
      </c>
      <c r="AF808" s="12" t="str">
        <f>IFERROR(__xludf.DUMMYFUNCTION("""COMPUTED_VALUE"""),"0692010755")</f>
        <v>0692010755</v>
      </c>
      <c r="AG808" s="12" t="str">
        <f>IFERROR(__xludf.DUMMYFUNCTION("""COMPUTED_VALUE"""),"Leila")</f>
        <v>Leila</v>
      </c>
      <c r="AH808" s="12" t="str">
        <f>IFERROR(__xludf.DUMMYFUNCTION("""COMPUTED_VALUE"""),"Marcela")</f>
        <v>Marcela</v>
      </c>
      <c r="AI808" s="6" t="str">
        <f>IFERROR(__xludf.DUMMYFUNCTION("""COMPUTED_VALUE"""),"Aristizabal Londoño")</f>
        <v>Aristizabal Londoño</v>
      </c>
      <c r="AJ808" s="6" t="str">
        <f>IFERROR(__xludf.DUMMYFUNCTION("""COMPUTED_VALUE"""),"marcelaaristizabalon@hotmail.com")</f>
        <v>marcelaaristizabalon@hotmail.com</v>
      </c>
      <c r="AK808" s="6" t="str">
        <f>IFERROR(__xludf.DUMMYFUNCTION("""COMPUTED_VALUE"""),"Contador Publico")</f>
        <v>Contador Publico</v>
      </c>
      <c r="AL808" s="6"/>
      <c r="AM808" s="12" t="str">
        <f>IFERROR(__xludf.DUMMYFUNCTION("""COMPUTED_VALUE"""),"41945107")</f>
        <v>41945107</v>
      </c>
      <c r="AN808" s="12" t="str">
        <f>IFERROR(__xludf.DUMMYFUNCTION("""COMPUTED_VALUE"""),"3108303378")</f>
        <v>3108303378</v>
      </c>
      <c r="AO808" s="6" t="str">
        <f>IFERROR(__xludf.DUMMYFUNCTION("""COMPUTED_VALUE"""),"Madre")</f>
        <v>Madre</v>
      </c>
      <c r="AP808" s="6" t="str">
        <f>IFERROR(__xludf.DUMMYFUNCTION("""COMPUTED_VALUE"""),"Estudiante(s): Ruíz Aristizábal")</f>
        <v>Estudiante(s): Ruíz Aristizábal</v>
      </c>
      <c r="AQ808" s="6" t="str">
        <f>IFERROR(__xludf.DUMMYFUNCTION("""COMPUTED_VALUE"""),"103487*Gi")</f>
        <v>103487*Gi</v>
      </c>
      <c r="AR808" s="6" t="str">
        <f>IFERROR(__xludf.DUMMYFUNCTION("""COMPUTED_VALUE"""),"Luis")</f>
        <v>Luis</v>
      </c>
      <c r="AS808" s="6" t="str">
        <f>IFERROR(__xludf.DUMMYFUNCTION("""COMPUTED_VALUE"""),"Fernando")</f>
        <v>Fernando</v>
      </c>
      <c r="AT808" s="6" t="str">
        <f>IFERROR(__xludf.DUMMYFUNCTION("""COMPUTED_VALUE"""),"Ruíz Arias")</f>
        <v>Ruíz Arias</v>
      </c>
      <c r="AU808" s="6" t="str">
        <f>IFERROR(__xludf.DUMMYFUNCTION("""COMPUTED_VALUE"""),"fernando.ruizarias@hotmail.com")</f>
        <v>fernando.ruizarias@hotmail.com</v>
      </c>
      <c r="AV808" s="6" t="str">
        <f>IFERROR(__xludf.DUMMYFUNCTION("""COMPUTED_VALUE"""),"Oficial Ejército")</f>
        <v>Oficial Ejército</v>
      </c>
      <c r="AW808" s="6" t="str">
        <f>IFERROR(__xludf.DUMMYFUNCTION("""COMPUTED_VALUE"""),"Grupo de Energia de Bogota")</f>
        <v>Grupo de Energia de Bogota</v>
      </c>
      <c r="AX808" s="12" t="str">
        <f>IFERROR(__xludf.DUMMYFUNCTION("""COMPUTED_VALUE"""),"89004699")</f>
        <v>89004699</v>
      </c>
      <c r="AY808" s="12" t="str">
        <f>IFERROR(__xludf.DUMMYFUNCTION("""COMPUTED_VALUE"""),"3203050251")</f>
        <v>3203050251</v>
      </c>
      <c r="AZ808" s="6" t="str">
        <f>IFERROR(__xludf.DUMMYFUNCTION("""COMPUTED_VALUE"""),"Padre")</f>
        <v>Padre</v>
      </c>
      <c r="BA808" s="6"/>
      <c r="BB808" s="6"/>
      <c r="BC808" s="6"/>
      <c r="BD808" s="12" t="str">
        <f>IFERROR(__xludf.DUMMYFUNCTION("""COMPUTED_VALUE"""),"rui0002")</f>
        <v>rui0002</v>
      </c>
      <c r="BE808" s="6"/>
      <c r="BF808" s="6"/>
      <c r="BG808" s="6">
        <f>IFERROR(__xludf.DUMMYFUNCTION("""COMPUTED_VALUE"""),2027.0)</f>
        <v>2027</v>
      </c>
      <c r="BH808" s="15">
        <f>IFERROR(__xludf.DUMMYFUNCTION("""COMPUTED_VALUE"""),46207.51619212963)</f>
        <v>46207.51619</v>
      </c>
      <c r="BI808" s="6">
        <f>IFERROR(__xludf.DUMMYFUNCTION("""COMPUTED_VALUE"""),809.0)</f>
        <v>809</v>
      </c>
      <c r="BJ808" s="6" t="str">
        <f>IFERROR(__xludf.DUMMYFUNCTION("""COMPUTED_VALUE"""),"SIMAT: trastorno por déficit de atención con o sin hiperactividad (Nov 13 2024)")</f>
        <v>SIMAT: trastorno por déficit de atención con o sin hiperactividad (Nov 13 2024)</v>
      </c>
      <c r="BK808" s="6"/>
      <c r="BL808" s="6" t="str">
        <f>IFERROR(__xludf.DUMMYFUNCTION("""COMPUTED_VALUE"""),"GISRUI0002")</f>
        <v>GISRUI0002</v>
      </c>
      <c r="BM808" s="6"/>
      <c r="BN808" s="6"/>
      <c r="BO808" s="6" t="str">
        <f>IFERROR(__xludf.DUMMYFUNCTION("""COMPUTED_VALUE"""),"XC_HS_Futbol_M")</f>
        <v>XC_HS_Futbol_M</v>
      </c>
      <c r="BP808" s="6"/>
      <c r="BQ808" s="6" t="str">
        <f>IFERROR(__xludf.DUMMYFUNCTION("""COMPUTED_VALUE"""),"XC_HS_Futbol_M")</f>
        <v>XC_HS_Futbol_M</v>
      </c>
      <c r="BR808" s="6" t="str">
        <f>IFERROR(__xludf.DUMMYFUNCTION("""COMPUTED_VALUE"""),"XC_HS_Futbol_M")</f>
        <v>XC_HS_Futbol_M</v>
      </c>
      <c r="BS808" s="6"/>
      <c r="BT808" s="6" t="str">
        <f>IFERROR(__xludf.DUMMYFUNCTION("""COMPUTED_VALUE"""),"XC_HS_Futbol_M")</f>
        <v>XC_HS_Futbol_M</v>
      </c>
      <c r="BU808" s="6" t="str">
        <f>IFERROR(__xludf.DUMMYFUNCTION("""COMPUTED_VALUE"""),"NO")</f>
        <v>NO</v>
      </c>
      <c r="BV808" s="6" t="str">
        <f>IFERROR(__xludf.DUMMYFUNCTION("""COMPUTED_VALUE"""),"geronimo.r2027")</f>
        <v>geronimo.r2027</v>
      </c>
      <c r="BW808" s="6"/>
      <c r="BX808" s="6"/>
      <c r="BY808" s="6"/>
      <c r="BZ808" s="6"/>
    </row>
    <row r="809">
      <c r="A809" s="12" t="str">
        <f>IFERROR(__xludf.DUMMYFUNCTION("""COMPUTED_VALUE"""),"1033103283")</f>
        <v>1033103283</v>
      </c>
      <c r="B809" s="6">
        <f>IFERROR(__xludf.DUMMYFUNCTION("""COMPUTED_VALUE"""),43.0)</f>
        <v>43</v>
      </c>
      <c r="C809" s="6" t="str">
        <f>IFERROR(__xludf.DUMMYFUNCTION("""COMPUTED_VALUE"""),"Andrés")</f>
        <v>Andrés</v>
      </c>
      <c r="D809" s="6" t="str">
        <f>IFERROR(__xludf.DUMMYFUNCTION("""COMPUTED_VALUE"""),"Felipe")</f>
        <v>Felipe</v>
      </c>
      <c r="E809" s="6" t="str">
        <f>IFERROR(__xludf.DUMMYFUNCTION("""COMPUTED_VALUE"""),"Ruíz Ortíz")</f>
        <v>Ruíz Ortíz</v>
      </c>
      <c r="F809" s="6" t="str">
        <f>IFERROR(__xludf.DUMMYFUNCTION("""COMPUTED_VALUE"""),"Torre Alameda 19 - Getsemani Cra 19 No36Nte - 38")</f>
        <v>Torre Alameda 19 - Getsemani Cra 19 No36Nte - 38</v>
      </c>
      <c r="G809" s="12" t="str">
        <f>IFERROR(__xludf.DUMMYFUNCTION("""COMPUTED_VALUE"""),"2008")</f>
        <v>2008</v>
      </c>
      <c r="H809" s="6" t="str">
        <f>IFERROR(__xludf.DUMMYFUNCTION("""COMPUTED_VALUE"""),"Junio")</f>
        <v>Junio</v>
      </c>
      <c r="I809" s="12" t="str">
        <f>IFERROR(__xludf.DUMMYFUNCTION("""COMPUTED_VALUE"""),"11")</f>
        <v>11</v>
      </c>
      <c r="J809" s="6" t="str">
        <f>IFERROR(__xludf.DUMMYFUNCTION("""COMPUTED_VALUE"""),"Bogotá D.C.")</f>
        <v>Bogotá D.C.</v>
      </c>
      <c r="K809" s="6" t="str">
        <f>IFERROR(__xludf.DUMMYFUNCTION("""COMPUTED_VALUE"""),"andresf.r2027@gi.edu.co")</f>
        <v>andresf.r2027@gi.edu.co</v>
      </c>
      <c r="L809" s="6" t="str">
        <f>IFERROR(__xludf.DUMMYFUNCTION("""COMPUTED_VALUE"""),"TI")</f>
        <v>TI</v>
      </c>
      <c r="M809" s="6" t="str">
        <f>IFERROR(__xludf.DUMMYFUNCTION("""COMPUTED_VALUE"""),"Bogotá D.C.")</f>
        <v>Bogotá D.C.</v>
      </c>
      <c r="N809" s="6" t="str">
        <f>IFERROR(__xludf.DUMMYFUNCTION("""COMPUTED_VALUE"""),"M")</f>
        <v>M</v>
      </c>
      <c r="O809" s="6" t="str">
        <f>IFERROR(__xludf.DUMMYFUNCTION("""COMPUTED_VALUE"""),"ACTIVE")</f>
        <v>ACTIVE</v>
      </c>
      <c r="P809" s="6"/>
      <c r="Q809" s="6" t="str">
        <f>IFERROR(__xludf.DUMMYFUNCTION("""COMPUTED_VALUE"""),"Armenia")</f>
        <v>Armenia</v>
      </c>
      <c r="R809" s="12" t="str">
        <f>IFERROR(__xludf.DUMMYFUNCTION("""COMPUTED_VALUE"""),"Gid49jfty*")</f>
        <v>Gid49jfty*</v>
      </c>
      <c r="S809" s="6" t="str">
        <f>IFERROR(__xludf.DUMMYFUNCTION("""COMPUTED_VALUE"""),"Ruíz Ortíz Andrés Felipe")</f>
        <v>Ruíz Ortíz Andrés Felipe</v>
      </c>
      <c r="T809" s="6" t="str">
        <f>IFERROR(__xludf.DUMMYFUNCTION("""COMPUTED_VALUE"""),"NORBERTO RUIZ ARIZA")</f>
        <v>NORBERTO RUIZ ARIZA</v>
      </c>
      <c r="U809" s="12" t="str">
        <f>IFERROR(__xludf.DUMMYFUNCTION("""COMPUTED_VALUE"""),"19122053")</f>
        <v>19122053</v>
      </c>
      <c r="V809" s="6">
        <f>IFERROR(__xludf.DUMMYFUNCTION("""COMPUTED_VALUE"""),3.235906075E9)</f>
        <v>3235906075</v>
      </c>
      <c r="W809" s="6" t="str">
        <f>IFERROR(__xludf.DUMMYFUNCTION("""COMPUTED_VALUE"""),"nruiz51@hotmail.com")</f>
        <v>nruiz51@hotmail.com</v>
      </c>
      <c r="X809" s="12" t="str">
        <f>IFERROR(__xludf.DUMMYFUNCTION("""COMPUTED_VALUE"""),"A+")</f>
        <v>A+</v>
      </c>
      <c r="Y809" s="12" t="str">
        <f>IFERROR(__xludf.DUMMYFUNCTION("""COMPUTED_VALUE"""),"12")</f>
        <v>12</v>
      </c>
      <c r="Z809" s="12">
        <f>IFERROR(__xludf.DUMMYFUNCTION("""COMPUTED_VALUE"""),120101.0)</f>
        <v>120101</v>
      </c>
      <c r="AA809" s="6" t="str">
        <f>IFERROR(__xludf.DUMMYFUNCTION("""COMPUTED_VALUE"""),"SANITAS")</f>
        <v>SANITAS</v>
      </c>
      <c r="AB809" s="6"/>
      <c r="AC809" s="12" t="str">
        <f>IFERROR(__xludf.DUMMYFUNCTION("""COMPUTED_VALUE"""),"Lacteos")</f>
        <v>Lacteos</v>
      </c>
      <c r="AD809" s="12" t="str">
        <f>IFERROR(__xludf.DUMMYFUNCTION("""COMPUTED_VALUE"""),"12")</f>
        <v>12</v>
      </c>
      <c r="AE809" s="12">
        <f>IFERROR(__xludf.DUMMYFUNCTION("""COMPUTED_VALUE"""),1.345282074E9)</f>
        <v>1345282074</v>
      </c>
      <c r="AF809" s="12" t="str">
        <f>IFERROR(__xludf.DUMMYFUNCTION("""COMPUTED_VALUE"""),"0672844595")</f>
        <v>0672844595</v>
      </c>
      <c r="AG809" s="12" t="str">
        <f>IFERROR(__xludf.DUMMYFUNCTION("""COMPUTED_VALUE"""),"Elcy")</f>
        <v>Elcy</v>
      </c>
      <c r="AH809" s="6"/>
      <c r="AI809" s="6" t="str">
        <f>IFERROR(__xludf.DUMMYFUNCTION("""COMPUTED_VALUE"""),"Ortíz Ruíz")</f>
        <v>Ortíz Ruíz</v>
      </c>
      <c r="AJ809" s="6" t="str">
        <f>IFERROR(__xludf.DUMMYFUNCTION("""COMPUTED_VALUE"""),"florelcita@hotmail.com")</f>
        <v>florelcita@hotmail.com</v>
      </c>
      <c r="AK809" s="6" t="str">
        <f>IFERROR(__xludf.DUMMYFUNCTION("""COMPUTED_VALUE"""),"Docente")</f>
        <v>Docente</v>
      </c>
      <c r="AL809" s="6" t="str">
        <f>IFERROR(__xludf.DUMMYFUNCTION("""COMPUTED_VALUE"""),"hogar")</f>
        <v>hogar</v>
      </c>
      <c r="AM809" s="12" t="str">
        <f>IFERROR(__xludf.DUMMYFUNCTION("""COMPUTED_VALUE"""),"65714079")</f>
        <v>65714079</v>
      </c>
      <c r="AN809" s="12" t="str">
        <f>IFERROR(__xludf.DUMMYFUNCTION("""COMPUTED_VALUE"""),"3042004879")</f>
        <v>3042004879</v>
      </c>
      <c r="AO809" s="6" t="str">
        <f>IFERROR(__xludf.DUMMYFUNCTION("""COMPUTED_VALUE"""),"Madre")</f>
        <v>Madre</v>
      </c>
      <c r="AP809" s="6" t="str">
        <f>IFERROR(__xludf.DUMMYFUNCTION("""COMPUTED_VALUE"""),"Estudiante(s): Ruíz Ortíz")</f>
        <v>Estudiante(s): Ruíz Ortíz</v>
      </c>
      <c r="AQ809" s="6" t="str">
        <f>IFERROR(__xludf.DUMMYFUNCTION("""COMPUTED_VALUE"""),"120101*Gi")</f>
        <v>120101*Gi</v>
      </c>
      <c r="AR809" s="6" t="str">
        <f>IFERROR(__xludf.DUMMYFUNCTION("""COMPUTED_VALUE"""),"Norberto")</f>
        <v>Norberto</v>
      </c>
      <c r="AS809" s="6"/>
      <c r="AT809" s="6" t="str">
        <f>IFERROR(__xludf.DUMMYFUNCTION("""COMPUTED_VALUE"""),"Ruíz Ariza")</f>
        <v>Ruíz Ariza</v>
      </c>
      <c r="AU809" s="6" t="str">
        <f>IFERROR(__xludf.DUMMYFUNCTION("""COMPUTED_VALUE"""),"nruiz51@hotmail.com")</f>
        <v>nruiz51@hotmail.com</v>
      </c>
      <c r="AV809" s="6" t="str">
        <f>IFERROR(__xludf.DUMMYFUNCTION("""COMPUTED_VALUE"""),"comerciante")</f>
        <v>comerciante</v>
      </c>
      <c r="AW809" s="6" t="str">
        <f>IFERROR(__xludf.DUMMYFUNCTION("""COMPUTED_VALUE"""),"independiente")</f>
        <v>independiente</v>
      </c>
      <c r="AX809" s="12" t="str">
        <f>IFERROR(__xludf.DUMMYFUNCTION("""COMPUTED_VALUE"""),"19122053")</f>
        <v>19122053</v>
      </c>
      <c r="AY809" s="12" t="str">
        <f>IFERROR(__xludf.DUMMYFUNCTION("""COMPUTED_VALUE"""),"3235906075")</f>
        <v>3235906075</v>
      </c>
      <c r="AZ809" s="6" t="str">
        <f>IFERROR(__xludf.DUMMYFUNCTION("""COMPUTED_VALUE"""),"Padre")</f>
        <v>Padre</v>
      </c>
      <c r="BA809" s="6" t="str">
        <f>IFERROR(__xludf.DUMMYFUNCTION("""COMPUTED_VALUE"""),"ANGELICA MARIA RUIZ ORTIZ")</f>
        <v>ANGELICA MARIA RUIZ ORTIZ</v>
      </c>
      <c r="BB809" s="6">
        <f>IFERROR(__xludf.DUMMYFUNCTION("""COMPUTED_VALUE"""),3.042004879E9)</f>
        <v>3042004879</v>
      </c>
      <c r="BC809" s="6" t="str">
        <f>IFERROR(__xludf.DUMMYFUNCTION("""COMPUTED_VALUE"""),"Otro")</f>
        <v>Otro</v>
      </c>
      <c r="BD809" s="12" t="str">
        <f>IFERROR(__xludf.DUMMYFUNCTION("""COMPUTED_VALUE"""),"rui0001")</f>
        <v>rui0001</v>
      </c>
      <c r="BE809" s="6"/>
      <c r="BF809" s="6"/>
      <c r="BG809" s="6">
        <f>IFERROR(__xludf.DUMMYFUNCTION("""COMPUTED_VALUE"""),2027.0)</f>
        <v>2027</v>
      </c>
      <c r="BH809" s="15">
        <f>IFERROR(__xludf.DUMMYFUNCTION("""COMPUTED_VALUE"""),46208.40387731481)</f>
        <v>46208.40388</v>
      </c>
      <c r="BI809" s="6">
        <f>IFERROR(__xludf.DUMMYFUNCTION("""COMPUTED_VALUE"""),810.0)</f>
        <v>810</v>
      </c>
      <c r="BJ809" s="6"/>
      <c r="BK809" s="6"/>
      <c r="BL809" s="6" t="str">
        <f>IFERROR(__xludf.DUMMYFUNCTION("""COMPUTED_VALUE"""),"GISRUI0001")</f>
        <v>GISRUI0001</v>
      </c>
      <c r="BM809" s="6"/>
      <c r="BN809" s="6"/>
      <c r="BO809" s="6"/>
      <c r="BP809" s="6"/>
      <c r="BQ809" s="6"/>
      <c r="BR809" s="6"/>
      <c r="BS809" s="6"/>
      <c r="BT809" s="6"/>
      <c r="BU809" s="6" t="str">
        <f>IFERROR(__xludf.DUMMYFUNCTION("""COMPUTED_VALUE"""),"SI")</f>
        <v>SI</v>
      </c>
      <c r="BV809" s="6" t="str">
        <f>IFERROR(__xludf.DUMMYFUNCTION("""COMPUTED_VALUE"""),"andresf.r2027")</f>
        <v>andresf.r2027</v>
      </c>
      <c r="BW809" s="6"/>
      <c r="BX809" s="6"/>
      <c r="BY809" s="6"/>
      <c r="BZ809" s="6"/>
    </row>
    <row r="810">
      <c r="A810" s="12">
        <f>IFERROR(__xludf.DUMMYFUNCTION("""COMPUTED_VALUE"""),1.011325615E9)</f>
        <v>1011325615</v>
      </c>
      <c r="B810" s="6">
        <f>IFERROR(__xludf.DUMMYFUNCTION("""COMPUTED_VALUE"""),44.0)</f>
        <v>44</v>
      </c>
      <c r="C810" s="6" t="str">
        <f>IFERROR(__xludf.DUMMYFUNCTION("""COMPUTED_VALUE"""),"Dalia")</f>
        <v>Dalia</v>
      </c>
      <c r="D810" s="6"/>
      <c r="E810" s="6" t="str">
        <f>IFERROR(__xludf.DUMMYFUNCTION("""COMPUTED_VALUE"""),"Rupert Vargas")</f>
        <v>Rupert Vargas</v>
      </c>
      <c r="F810" s="6" t="str">
        <f>IFERROR(__xludf.DUMMYFUNCTION("""COMPUTED_VALUE"""),"Condominio Cedro Negro Casa 18 - Km 6 Via Circasia Vereda El Congal")</f>
        <v>Condominio Cedro Negro Casa 18 - Km 6 Via Circasia Vereda El Congal</v>
      </c>
      <c r="G810" s="12" t="str">
        <f>IFERROR(__xludf.DUMMYFUNCTION("""COMPUTED_VALUE"""),"2009")</f>
        <v>2009</v>
      </c>
      <c r="H810" s="6" t="str">
        <f>IFERROR(__xludf.DUMMYFUNCTION("""COMPUTED_VALUE"""),"Mayo")</f>
        <v>Mayo</v>
      </c>
      <c r="I810" s="12" t="str">
        <f>IFERROR(__xludf.DUMMYFUNCTION("""COMPUTED_VALUE"""),"16")</f>
        <v>16</v>
      </c>
      <c r="J810" s="6" t="str">
        <f>IFERROR(__xludf.DUMMYFUNCTION("""COMPUTED_VALUE"""),"Usaquén")</f>
        <v>Usaquén</v>
      </c>
      <c r="K810" s="6" t="str">
        <f>IFERROR(__xludf.DUMMYFUNCTION("""COMPUTED_VALUE"""),"dalia.r2027@gi.edu.co")</f>
        <v>dalia.r2027@gi.edu.co</v>
      </c>
      <c r="L810" s="6" t="str">
        <f>IFERROR(__xludf.DUMMYFUNCTION("""COMPUTED_VALUE"""),"TI")</f>
        <v>TI</v>
      </c>
      <c r="M810" s="6" t="str">
        <f>IFERROR(__xludf.DUMMYFUNCTION("""COMPUTED_VALUE"""),"Circasia")</f>
        <v>Circasia</v>
      </c>
      <c r="N810" s="6" t="str">
        <f>IFERROR(__xludf.DUMMYFUNCTION("""COMPUTED_VALUE"""),"F")</f>
        <v>F</v>
      </c>
      <c r="O810" s="6" t="str">
        <f>IFERROR(__xludf.DUMMYFUNCTION("""COMPUTED_VALUE"""),"ACTIVE")</f>
        <v>ACTIVE</v>
      </c>
      <c r="P810" s="6"/>
      <c r="Q810" s="6" t="str">
        <f>IFERROR(__xludf.DUMMYFUNCTION("""COMPUTED_VALUE"""),"Circasia")</f>
        <v>Circasia</v>
      </c>
      <c r="R810" s="12" t="str">
        <f>IFERROR(__xludf.DUMMYFUNCTION("""COMPUTED_VALUE"""),"Giy6ur3*")</f>
        <v>Giy6ur3*</v>
      </c>
      <c r="S810" s="6" t="str">
        <f>IFERROR(__xludf.DUMMYFUNCTION("""COMPUTED_VALUE"""),"Rupert Vargas Dalia ")</f>
        <v>Rupert Vargas Dalia </v>
      </c>
      <c r="T810" s="6" t="str">
        <f>IFERROR(__xludf.DUMMYFUNCTION("""COMPUTED_VALUE"""),"BERTRAM ERIK RUPERT")</f>
        <v>BERTRAM ERIK RUPERT</v>
      </c>
      <c r="U810" s="12" t="str">
        <f>IFERROR(__xludf.DUMMYFUNCTION("""COMPUTED_VALUE"""),"325274")</f>
        <v>325274</v>
      </c>
      <c r="V810" s="6">
        <f>IFERROR(__xludf.DUMMYFUNCTION("""COMPUTED_VALUE"""),3.123510753E9)</f>
        <v>3123510753</v>
      </c>
      <c r="W810" s="6" t="str">
        <f>IFERROR(__xludf.DUMMYFUNCTION("""COMPUTED_VALUE"""),"erikcolombia@hotmail.com")</f>
        <v>erikcolombia@hotmail.com</v>
      </c>
      <c r="X810" s="12" t="str">
        <f>IFERROR(__xludf.DUMMYFUNCTION("""COMPUTED_VALUE"""),"A+")</f>
        <v>A+</v>
      </c>
      <c r="Y810" s="12" t="str">
        <f>IFERROR(__xludf.DUMMYFUNCTION("""COMPUTED_VALUE"""),"12")</f>
        <v>12</v>
      </c>
      <c r="Z810" s="12">
        <f>IFERROR(__xludf.DUMMYFUNCTION("""COMPUTED_VALUE"""),120471.0)</f>
        <v>120471</v>
      </c>
      <c r="AA810" s="6" t="str">
        <f>IFERROR(__xludf.DUMMYFUNCTION("""COMPUTED_VALUE"""),"SANITAS")</f>
        <v>SANITAS</v>
      </c>
      <c r="AB810" s="6"/>
      <c r="AC810" s="6"/>
      <c r="AD810" s="12" t="str">
        <f>IFERROR(__xludf.DUMMYFUNCTION("""COMPUTED_VALUE"""),"12")</f>
        <v>12</v>
      </c>
      <c r="AE810" s="12" t="str">
        <f>IFERROR(__xludf.DUMMYFUNCTION("""COMPUTED_VALUE"""),"1345282431")</f>
        <v>1345282431</v>
      </c>
      <c r="AF810" s="12" t="str">
        <f>IFERROR(__xludf.DUMMYFUNCTION("""COMPUTED_VALUE"""),"0243605075")</f>
        <v>0243605075</v>
      </c>
      <c r="AG810" s="12" t="str">
        <f>IFERROR(__xludf.DUMMYFUNCTION("""COMPUTED_VALUE"""),"Patricia")</f>
        <v>Patricia</v>
      </c>
      <c r="AH810" s="6"/>
      <c r="AI810" s="6" t="str">
        <f>IFERROR(__xludf.DUMMYFUNCTION("""COMPUTED_VALUE"""),"Vargas Rivera")</f>
        <v>Vargas Rivera</v>
      </c>
      <c r="AJ810" s="6" t="str">
        <f>IFERROR(__xludf.DUMMYFUNCTION("""COMPUTED_VALUE"""),"patovargasr@hotmail.com")</f>
        <v>patovargasr@hotmail.com</v>
      </c>
      <c r="AK810" s="6" t="str">
        <f>IFERROR(__xludf.DUMMYFUNCTION("""COMPUTED_VALUE"""),"Ortodontista")</f>
        <v>Ortodontista</v>
      </c>
      <c r="AL810" s="6" t="str">
        <f>IFERROR(__xludf.DUMMYFUNCTION("""COMPUTED_VALUE"""),"Finca Hotel el Palmar")</f>
        <v>Finca Hotel el Palmar</v>
      </c>
      <c r="AM810" s="12" t="str">
        <f>IFERROR(__xludf.DUMMYFUNCTION("""COMPUTED_VALUE"""),"52622191")</f>
        <v>52622191</v>
      </c>
      <c r="AN810" s="12" t="str">
        <f>IFERROR(__xludf.DUMMYFUNCTION("""COMPUTED_VALUE"""),"3108830677")</f>
        <v>3108830677</v>
      </c>
      <c r="AO810" s="6" t="str">
        <f>IFERROR(__xludf.DUMMYFUNCTION("""COMPUTED_VALUE"""),"Madre")</f>
        <v>Madre</v>
      </c>
      <c r="AP810" s="6" t="str">
        <f>IFERROR(__xludf.DUMMYFUNCTION("""COMPUTED_VALUE"""),"Estudiante(s): Rupert Vargas")</f>
        <v>Estudiante(s): Rupert Vargas</v>
      </c>
      <c r="AQ810" s="6" t="str">
        <f>IFERROR(__xludf.DUMMYFUNCTION("""COMPUTED_VALUE"""),"120418*Gi")</f>
        <v>120418*Gi</v>
      </c>
      <c r="AR810" s="6" t="str">
        <f>IFERROR(__xludf.DUMMYFUNCTION("""COMPUTED_VALUE"""),"Bertram")</f>
        <v>Bertram</v>
      </c>
      <c r="AS810" s="6" t="str">
        <f>IFERROR(__xludf.DUMMYFUNCTION("""COMPUTED_VALUE"""),"Erik")</f>
        <v>Erik</v>
      </c>
      <c r="AT810" s="6" t="str">
        <f>IFERROR(__xludf.DUMMYFUNCTION("""COMPUTED_VALUE"""),"Rupert")</f>
        <v>Rupert</v>
      </c>
      <c r="AU810" s="6" t="str">
        <f>IFERROR(__xludf.DUMMYFUNCTION("""COMPUTED_VALUE"""),"erikcolombia@hotmail.com")</f>
        <v>erikcolombia@hotmail.com</v>
      </c>
      <c r="AV810" s="6" t="str">
        <f>IFERROR(__xludf.DUMMYFUNCTION("""COMPUTED_VALUE"""),"Ingeniero Mecanico")</f>
        <v>Ingeniero Mecanico</v>
      </c>
      <c r="AW810" s="6" t="str">
        <f>IFERROR(__xludf.DUMMYFUNCTION("""COMPUTED_VALUE"""),"DE UNA Colombia Tours")</f>
        <v>DE UNA Colombia Tours</v>
      </c>
      <c r="AX810" s="12" t="str">
        <f>IFERROR(__xludf.DUMMYFUNCTION("""COMPUTED_VALUE"""),"325274")</f>
        <v>325274</v>
      </c>
      <c r="AY810" s="12">
        <f>IFERROR(__xludf.DUMMYFUNCTION("""COMPUTED_VALUE"""),3.123510753E9)</f>
        <v>3123510753</v>
      </c>
      <c r="AZ810" s="6" t="str">
        <f>IFERROR(__xludf.DUMMYFUNCTION("""COMPUTED_VALUE"""),"Padre")</f>
        <v>Padre</v>
      </c>
      <c r="BA810" s="6"/>
      <c r="BB810" s="6"/>
      <c r="BC810" s="6"/>
      <c r="BD810" s="12" t="str">
        <f>IFERROR(__xludf.DUMMYFUNCTION("""COMPUTED_VALUE"""),"rup0001")</f>
        <v>rup0001</v>
      </c>
      <c r="BE810" s="6"/>
      <c r="BF810" s="6"/>
      <c r="BG810" s="6">
        <f>IFERROR(__xludf.DUMMYFUNCTION("""COMPUTED_VALUE"""),2027.0)</f>
        <v>2027</v>
      </c>
      <c r="BH810" s="15">
        <f>IFERROR(__xludf.DUMMYFUNCTION("""COMPUTED_VALUE"""),46204.468877314815)</f>
        <v>46204.46888</v>
      </c>
      <c r="BI810" s="6">
        <f>IFERROR(__xludf.DUMMYFUNCTION("""COMPUTED_VALUE"""),811.0)</f>
        <v>811</v>
      </c>
      <c r="BJ810" s="6"/>
      <c r="BK810" s="6"/>
      <c r="BL810" s="6" t="str">
        <f>IFERROR(__xludf.DUMMYFUNCTION("""COMPUTED_VALUE"""),"GISRUP0001")</f>
        <v>GISRUP0001</v>
      </c>
      <c r="BM810" s="6"/>
      <c r="BN810" s="6"/>
      <c r="BO810" s="6"/>
      <c r="BP810" s="6"/>
      <c r="BQ810" s="6"/>
      <c r="BR810" s="6"/>
      <c r="BS810" s="6"/>
      <c r="BT810" s="6"/>
      <c r="BU810" s="6" t="str">
        <f>IFERROR(__xludf.DUMMYFUNCTION("""COMPUTED_VALUE"""),"SI")</f>
        <v>SI</v>
      </c>
      <c r="BV810" s="6" t="str">
        <f>IFERROR(__xludf.DUMMYFUNCTION("""COMPUTED_VALUE"""),"dalia.r2027")</f>
        <v>dalia.r2027</v>
      </c>
      <c r="BW810" s="6"/>
      <c r="BX810" s="6"/>
      <c r="BY810" s="6"/>
      <c r="BZ810" s="6"/>
    </row>
    <row r="811">
      <c r="A811" s="12">
        <f>IFERROR(__xludf.DUMMYFUNCTION("""COMPUTED_VALUE"""),1.014871421E9)</f>
        <v>1014871421</v>
      </c>
      <c r="B811" s="6">
        <f>IFERROR(__xludf.DUMMYFUNCTION("""COMPUTED_VALUE"""),45.0)</f>
        <v>45</v>
      </c>
      <c r="C811" s="6" t="str">
        <f>IFERROR(__xludf.DUMMYFUNCTION("""COMPUTED_VALUE"""),"Antonia")</f>
        <v>Antonia</v>
      </c>
      <c r="D811" s="6"/>
      <c r="E811" s="6" t="str">
        <f>IFERROR(__xludf.DUMMYFUNCTION("""COMPUTED_VALUE"""),"Valencia Castrillón")</f>
        <v>Valencia Castrillón</v>
      </c>
      <c r="F811" s="6" t="str">
        <f>IFERROR(__xludf.DUMMYFUNCTION("""COMPUTED_VALUE"""),"Parque Residencial Altos Del Rio Casa 38 - Calle 41 No36 - 110")</f>
        <v>Parque Residencial Altos Del Rio Casa 38 - Calle 41 No36 - 110</v>
      </c>
      <c r="G811" s="12" t="str">
        <f>IFERROR(__xludf.DUMMYFUNCTION("""COMPUTED_VALUE"""),"2009")</f>
        <v>2009</v>
      </c>
      <c r="H811" s="6" t="str">
        <f>IFERROR(__xludf.DUMMYFUNCTION("""COMPUTED_VALUE"""),"Agosto")</f>
        <v>Agosto</v>
      </c>
      <c r="I811" s="12" t="str">
        <f>IFERROR(__xludf.DUMMYFUNCTION("""COMPUTED_VALUE"""),"23")</f>
        <v>23</v>
      </c>
      <c r="J811" s="6" t="str">
        <f>IFERROR(__xludf.DUMMYFUNCTION("""COMPUTED_VALUE"""),"Bogotá D.C.")</f>
        <v>Bogotá D.C.</v>
      </c>
      <c r="K811" s="6" t="str">
        <f>IFERROR(__xludf.DUMMYFUNCTION("""COMPUTED_VALUE"""),"antonia.v2027@gi.edu.co")</f>
        <v>antonia.v2027@gi.edu.co</v>
      </c>
      <c r="L811" s="6" t="str">
        <f>IFERROR(__xludf.DUMMYFUNCTION("""COMPUTED_VALUE"""),"TI")</f>
        <v>TI</v>
      </c>
      <c r="M811" s="6" t="str">
        <f>IFERROR(__xludf.DUMMYFUNCTION("""COMPUTED_VALUE"""),"Bogotá D.C.")</f>
        <v>Bogotá D.C.</v>
      </c>
      <c r="N811" s="6" t="str">
        <f>IFERROR(__xludf.DUMMYFUNCTION("""COMPUTED_VALUE"""),"F")</f>
        <v>F</v>
      </c>
      <c r="O811" s="6" t="str">
        <f>IFERROR(__xludf.DUMMYFUNCTION("""COMPUTED_VALUE"""),"ACTIVE")</f>
        <v>ACTIVE</v>
      </c>
      <c r="P811" s="6"/>
      <c r="Q811" s="6" t="str">
        <f>IFERROR(__xludf.DUMMYFUNCTION("""COMPUTED_VALUE"""),"Calarcá")</f>
        <v>Calarcá</v>
      </c>
      <c r="R811" s="12" t="str">
        <f>IFERROR(__xludf.DUMMYFUNCTION("""COMPUTED_VALUE"""),"Gibr342kjh88*")</f>
        <v>Gibr342kjh88*</v>
      </c>
      <c r="S811" s="6" t="str">
        <f>IFERROR(__xludf.DUMMYFUNCTION("""COMPUTED_VALUE"""),"Valencia Castrillón Antonia ")</f>
        <v>Valencia Castrillón Antonia </v>
      </c>
      <c r="T811" s="6" t="str">
        <f>IFERROR(__xludf.DUMMYFUNCTION("""COMPUTED_VALUE"""),"RAMIRO AUGUSTO VALENCIA ACEVEDO")</f>
        <v>RAMIRO AUGUSTO VALENCIA ACEVEDO</v>
      </c>
      <c r="U811" s="12" t="str">
        <f>IFERROR(__xludf.DUMMYFUNCTION("""COMPUTED_VALUE"""),"71799442")</f>
        <v>71799442</v>
      </c>
      <c r="V811" s="6">
        <f>IFERROR(__xludf.DUMMYFUNCTION("""COMPUTED_VALUE"""),3.113090088E9)</f>
        <v>3113090088</v>
      </c>
      <c r="W811" s="6" t="str">
        <f>IFERROR(__xludf.DUMMYFUNCTION("""COMPUTED_VALUE"""),"ramirovalencia@gmail.com")</f>
        <v>ramirovalencia@gmail.com</v>
      </c>
      <c r="X811" s="12" t="str">
        <f>IFERROR(__xludf.DUMMYFUNCTION("""COMPUTED_VALUE"""),"O-")</f>
        <v>O-</v>
      </c>
      <c r="Y811" s="12" t="str">
        <f>IFERROR(__xludf.DUMMYFUNCTION("""COMPUTED_VALUE"""),"12")</f>
        <v>12</v>
      </c>
      <c r="Z811" s="12">
        <f>IFERROR(__xludf.DUMMYFUNCTION("""COMPUTED_VALUE"""),103838.0)</f>
        <v>103838</v>
      </c>
      <c r="AA811" s="6" t="str">
        <f>IFERROR(__xludf.DUMMYFUNCTION("""COMPUTED_VALUE"""),"SURA")</f>
        <v>SURA</v>
      </c>
      <c r="AB811" s="6" t="str">
        <f>IFERROR(__xludf.DUMMYFUNCTION("""COMPUTED_VALUE"""),"EMI")</f>
        <v>EMI</v>
      </c>
      <c r="AC811" s="6"/>
      <c r="AD811" s="12" t="str">
        <f>IFERROR(__xludf.DUMMYFUNCTION("""COMPUTED_VALUE"""),"12")</f>
        <v>12</v>
      </c>
      <c r="AE811" s="12">
        <f>IFERROR(__xludf.DUMMYFUNCTION("""COMPUTED_VALUE"""),1.345281928E9)</f>
        <v>1345281928</v>
      </c>
      <c r="AF811" s="12" t="str">
        <f>IFERROR(__xludf.DUMMYFUNCTION("""COMPUTED_VALUE"""),"0673334307")</f>
        <v>0673334307</v>
      </c>
      <c r="AG811" s="12" t="str">
        <f>IFERROR(__xludf.DUMMYFUNCTION("""COMPUTED_VALUE"""),"Paula")</f>
        <v>Paula</v>
      </c>
      <c r="AH811" s="12" t="str">
        <f>IFERROR(__xludf.DUMMYFUNCTION("""COMPUTED_VALUE"""),"Andrea")</f>
        <v>Andrea</v>
      </c>
      <c r="AI811" s="6" t="str">
        <f>IFERROR(__xludf.DUMMYFUNCTION("""COMPUTED_VALUE"""),"Castrillón Londoño")</f>
        <v>Castrillón Londoño</v>
      </c>
      <c r="AJ811" s="6" t="str">
        <f>IFERROR(__xludf.DUMMYFUNCTION("""COMPUTED_VALUE"""),"pacastrillon@sura.com.co")</f>
        <v>pacastrillon@sura.com.co</v>
      </c>
      <c r="AK811" s="6" t="str">
        <f>IFERROR(__xludf.DUMMYFUNCTION("""COMPUTED_VALUE"""),"Admon de Empresas")</f>
        <v>Admon de Empresas</v>
      </c>
      <c r="AL811" s="6" t="str">
        <f>IFERROR(__xludf.DUMMYFUNCTION("""COMPUTED_VALUE"""),"Sura")</f>
        <v>Sura</v>
      </c>
      <c r="AM811" s="12" t="str">
        <f>IFERROR(__xludf.DUMMYFUNCTION("""COMPUTED_VALUE"""),"43614011")</f>
        <v>43614011</v>
      </c>
      <c r="AN811" s="12" t="str">
        <f>IFERROR(__xludf.DUMMYFUNCTION("""COMPUTED_VALUE"""),"3125855033")</f>
        <v>3125855033</v>
      </c>
      <c r="AO811" s="6" t="str">
        <f>IFERROR(__xludf.DUMMYFUNCTION("""COMPUTED_VALUE"""),"Madre")</f>
        <v>Madre</v>
      </c>
      <c r="AP811" s="6" t="str">
        <f>IFERROR(__xludf.DUMMYFUNCTION("""COMPUTED_VALUE"""),"Estudiante(s): Valencia Castrillón")</f>
        <v>Estudiante(s): Valencia Castrillón</v>
      </c>
      <c r="AQ811" s="6" t="str">
        <f>IFERROR(__xludf.DUMMYFUNCTION("""COMPUTED_VALUE"""),"103838*Gi")</f>
        <v>103838*Gi</v>
      </c>
      <c r="AR811" s="6" t="str">
        <f>IFERROR(__xludf.DUMMYFUNCTION("""COMPUTED_VALUE"""),"Ramiro")</f>
        <v>Ramiro</v>
      </c>
      <c r="AS811" s="6" t="str">
        <f>IFERROR(__xludf.DUMMYFUNCTION("""COMPUTED_VALUE"""),"Augusto")</f>
        <v>Augusto</v>
      </c>
      <c r="AT811" s="6" t="str">
        <f>IFERROR(__xludf.DUMMYFUNCTION("""COMPUTED_VALUE"""),"Valencia Acevedo")</f>
        <v>Valencia Acevedo</v>
      </c>
      <c r="AU811" s="6" t="str">
        <f>IFERROR(__xludf.DUMMYFUNCTION("""COMPUTED_VALUE"""),"ramirovalencia@gmail.com")</f>
        <v>ramirovalencia@gmail.com</v>
      </c>
      <c r="AV811" s="6" t="str">
        <f>IFERROR(__xludf.DUMMYFUNCTION("""COMPUTED_VALUE"""),"Arquitecto")</f>
        <v>Arquitecto</v>
      </c>
      <c r="AW811" s="6" t="str">
        <f>IFERROR(__xludf.DUMMYFUNCTION("""COMPUTED_VALUE"""),"Gerenciar")</f>
        <v>Gerenciar</v>
      </c>
      <c r="AX811" s="12" t="str">
        <f>IFERROR(__xludf.DUMMYFUNCTION("""COMPUTED_VALUE"""),"71799442")</f>
        <v>71799442</v>
      </c>
      <c r="AY811" s="12" t="str">
        <f>IFERROR(__xludf.DUMMYFUNCTION("""COMPUTED_VALUE"""),"3113090088")</f>
        <v>3113090088</v>
      </c>
      <c r="AZ811" s="6" t="str">
        <f>IFERROR(__xludf.DUMMYFUNCTION("""COMPUTED_VALUE"""),"Padre")</f>
        <v>Padre</v>
      </c>
      <c r="BA811" s="6"/>
      <c r="BB811" s="6"/>
      <c r="BC811" s="6"/>
      <c r="BD811" s="12" t="str">
        <f>IFERROR(__xludf.DUMMYFUNCTION("""COMPUTED_VALUE"""),"val0009")</f>
        <v>val0009</v>
      </c>
      <c r="BE811" s="6"/>
      <c r="BF811" s="6"/>
      <c r="BG811" s="6">
        <f>IFERROR(__xludf.DUMMYFUNCTION("""COMPUTED_VALUE"""),2027.0)</f>
        <v>2027</v>
      </c>
      <c r="BH811" s="15">
        <f>IFERROR(__xludf.DUMMYFUNCTION("""COMPUTED_VALUE"""),46211.472453703704)</f>
        <v>46211.47245</v>
      </c>
      <c r="BI811" s="6">
        <f>IFERROR(__xludf.DUMMYFUNCTION("""COMPUTED_VALUE"""),812.0)</f>
        <v>812</v>
      </c>
      <c r="BJ811" s="6"/>
      <c r="BK811" s="6"/>
      <c r="BL811" s="6" t="str">
        <f>IFERROR(__xludf.DUMMYFUNCTION("""COMPUTED_VALUE"""),"GISVAL0009")</f>
        <v>GISVAL0009</v>
      </c>
      <c r="BM811" s="6"/>
      <c r="BN811" s="6"/>
      <c r="BO811" s="6"/>
      <c r="BP811" s="6"/>
      <c r="BQ811" s="6"/>
      <c r="BR811" s="6"/>
      <c r="BS811" s="6"/>
      <c r="BT811" s="6"/>
      <c r="BU811" s="6" t="str">
        <f>IFERROR(__xludf.DUMMYFUNCTION("""COMPUTED_VALUE"""),"SI")</f>
        <v>SI</v>
      </c>
      <c r="BV811" s="6" t="str">
        <f>IFERROR(__xludf.DUMMYFUNCTION("""COMPUTED_VALUE"""),"antonia.v2027")</f>
        <v>antonia.v2027</v>
      </c>
      <c r="BW811" s="6"/>
      <c r="BX811" s="6"/>
      <c r="BY811" s="6"/>
      <c r="BZ811" s="6"/>
    </row>
    <row r="812">
      <c r="A812" s="12">
        <f>IFERROR(__xludf.DUMMYFUNCTION("""COMPUTED_VALUE"""),1.034520297E9)</f>
        <v>1034520297</v>
      </c>
      <c r="B812" s="6">
        <f>IFERROR(__xludf.DUMMYFUNCTION("""COMPUTED_VALUE"""),46.0)</f>
        <v>46</v>
      </c>
      <c r="C812" s="6" t="str">
        <f>IFERROR(__xludf.DUMMYFUNCTION("""COMPUTED_VALUE"""),"Zara")</f>
        <v>Zara</v>
      </c>
      <c r="D812" s="6"/>
      <c r="E812" s="6" t="str">
        <f>IFERROR(__xludf.DUMMYFUNCTION("""COMPUTED_VALUE"""),"Vargas Jiménez")</f>
        <v>Vargas Jiménez</v>
      </c>
      <c r="F812" s="6" t="str">
        <f>IFERROR(__xludf.DUMMYFUNCTION("""COMPUTED_VALUE"""),"Condominio Hacienda Horizontes Casa 15 - Km 3 Via Circasia Vereda la Florida")</f>
        <v>Condominio Hacienda Horizontes Casa 15 - Km 3 Via Circasia Vereda la Florida</v>
      </c>
      <c r="G812" s="12" t="str">
        <f>IFERROR(__xludf.DUMMYFUNCTION("""COMPUTED_VALUE"""),"2009")</f>
        <v>2009</v>
      </c>
      <c r="H812" s="6" t="str">
        <f>IFERROR(__xludf.DUMMYFUNCTION("""COMPUTED_VALUE"""),"Abril")</f>
        <v>Abril</v>
      </c>
      <c r="I812" s="12" t="str">
        <f>IFERROR(__xludf.DUMMYFUNCTION("""COMPUTED_VALUE"""),"15")</f>
        <v>15</v>
      </c>
      <c r="J812" s="6" t="str">
        <f>IFERROR(__xludf.DUMMYFUNCTION("""COMPUTED_VALUE"""),"Bogotá D.C.")</f>
        <v>Bogotá D.C.</v>
      </c>
      <c r="K812" s="6" t="str">
        <f>IFERROR(__xludf.DUMMYFUNCTION("""COMPUTED_VALUE"""),"zara.v2027@gi.edu.co")</f>
        <v>zara.v2027@gi.edu.co</v>
      </c>
      <c r="L812" s="6" t="str">
        <f>IFERROR(__xludf.DUMMYFUNCTION("""COMPUTED_VALUE"""),"TI")</f>
        <v>TI</v>
      </c>
      <c r="M812" s="6" t="str">
        <f>IFERROR(__xludf.DUMMYFUNCTION("""COMPUTED_VALUE"""),"Armenia")</f>
        <v>Armenia</v>
      </c>
      <c r="N812" s="6" t="str">
        <f>IFERROR(__xludf.DUMMYFUNCTION("""COMPUTED_VALUE"""),"F")</f>
        <v>F</v>
      </c>
      <c r="O812" s="6" t="str">
        <f>IFERROR(__xludf.DUMMYFUNCTION("""COMPUTED_VALUE"""),"INACTIVE")</f>
        <v>INACTIVE</v>
      </c>
      <c r="P812" s="6"/>
      <c r="Q812" s="6" t="str">
        <f>IFERROR(__xludf.DUMMYFUNCTION("""COMPUTED_VALUE"""),"Bogotá D.C.")</f>
        <v>Bogotá D.C.</v>
      </c>
      <c r="R812" s="12" t="str">
        <f>IFERROR(__xludf.DUMMYFUNCTION("""COMPUTED_VALUE"""),"Gis4l8m36y*")</f>
        <v>Gis4l8m36y*</v>
      </c>
      <c r="S812" s="6" t="str">
        <f>IFERROR(__xludf.DUMMYFUNCTION("""COMPUTED_VALUE"""),"Vargas Jiménez Zara ")</f>
        <v>Vargas Jiménez Zara </v>
      </c>
      <c r="T812" s="6" t="str">
        <f>IFERROR(__xludf.DUMMYFUNCTION("""COMPUTED_VALUE"""),"MARÍA MAGDALENA JIMÉNEZ USECHE")</f>
        <v>MARÍA MAGDALENA JIMÉNEZ USECHE</v>
      </c>
      <c r="U812" s="12" t="str">
        <f>IFERROR(__xludf.DUMMYFUNCTION("""COMPUTED_VALUE"""),"52738577")</f>
        <v>52738577</v>
      </c>
      <c r="V812" s="6">
        <f>IFERROR(__xludf.DUMMYFUNCTION("""COMPUTED_VALUE"""),3.204256709E9)</f>
        <v>3204256709</v>
      </c>
      <c r="W812" s="6" t="str">
        <f>IFERROR(__xludf.DUMMYFUNCTION("""COMPUTED_VALUE"""),"mamajius@gmail.com")</f>
        <v>mamajius@gmail.com</v>
      </c>
      <c r="X812" s="12" t="str">
        <f>IFERROR(__xludf.DUMMYFUNCTION("""COMPUTED_VALUE"""),"O+")</f>
        <v>O+</v>
      </c>
      <c r="Y812" s="12" t="str">
        <f>IFERROR(__xludf.DUMMYFUNCTION("""COMPUTED_VALUE"""),"12")</f>
        <v>12</v>
      </c>
      <c r="Z812" s="12">
        <f>IFERROR(__xludf.DUMMYFUNCTION("""COMPUTED_VALUE"""),103399.0)</f>
        <v>103399</v>
      </c>
      <c r="AA812" s="6" t="str">
        <f>IFERROR(__xludf.DUMMYFUNCTION("""COMPUTED_VALUE"""),"SURA")</f>
        <v>SURA</v>
      </c>
      <c r="AB812" s="6"/>
      <c r="AC812" s="12" t="str">
        <f>IFERROR(__xludf.DUMMYFUNCTION("""COMPUTED_VALUE"""),"acaros y tabaco cerdo y embutidos")</f>
        <v>acaros y tabaco cerdo y embutidos</v>
      </c>
      <c r="AD812" s="12" t="str">
        <f>IFERROR(__xludf.DUMMYFUNCTION("""COMPUTED_VALUE"""),"12")</f>
        <v>12</v>
      </c>
      <c r="AE812" s="12">
        <f>IFERROR(__xludf.DUMMYFUNCTION("""COMPUTED_VALUE"""),1.345281669E9)</f>
        <v>1345281669</v>
      </c>
      <c r="AF812" s="12" t="str">
        <f>IFERROR(__xludf.DUMMYFUNCTION("""COMPUTED_VALUE"""),"0691583667")</f>
        <v>0691583667</v>
      </c>
      <c r="AG812" s="12" t="str">
        <f>IFERROR(__xludf.DUMMYFUNCTION("""COMPUTED_VALUE"""),"María")</f>
        <v>María</v>
      </c>
      <c r="AH812" s="12" t="str">
        <f>IFERROR(__xludf.DUMMYFUNCTION("""COMPUTED_VALUE"""),"Magdalena")</f>
        <v>Magdalena</v>
      </c>
      <c r="AI812" s="6" t="str">
        <f>IFERROR(__xludf.DUMMYFUNCTION("""COMPUTED_VALUE"""),"Jiménez Useche")</f>
        <v>Jiménez Useche</v>
      </c>
      <c r="AJ812" s="6" t="str">
        <f>IFERROR(__xludf.DUMMYFUNCTION("""COMPUTED_VALUE"""),"mamajius@gmail.com")</f>
        <v>mamajius@gmail.com</v>
      </c>
      <c r="AK812" s="6" t="str">
        <f>IFERROR(__xludf.DUMMYFUNCTION("""COMPUTED_VALUE"""),"ABOGADA")</f>
        <v>ABOGADA</v>
      </c>
      <c r="AL812" s="6"/>
      <c r="AM812" s="12" t="str">
        <f>IFERROR(__xludf.DUMMYFUNCTION("""COMPUTED_VALUE"""),"52738577")</f>
        <v>52738577</v>
      </c>
      <c r="AN812" s="12" t="str">
        <f>IFERROR(__xludf.DUMMYFUNCTION("""COMPUTED_VALUE"""),"3204256709")</f>
        <v>3204256709</v>
      </c>
      <c r="AO812" s="6" t="str">
        <f>IFERROR(__xludf.DUMMYFUNCTION("""COMPUTED_VALUE"""),"Madre")</f>
        <v>Madre</v>
      </c>
      <c r="AP812" s="6" t="str">
        <f>IFERROR(__xludf.DUMMYFUNCTION("""COMPUTED_VALUE"""),"Estudiante(s): Vargas Jiménez")</f>
        <v>Estudiante(s): Vargas Jiménez</v>
      </c>
      <c r="AQ812" s="6" t="str">
        <f>IFERROR(__xludf.DUMMYFUNCTION("""COMPUTED_VALUE"""),"103399*Gi")</f>
        <v>103399*Gi</v>
      </c>
      <c r="AR812" s="6" t="str">
        <f>IFERROR(__xludf.DUMMYFUNCTION("""COMPUTED_VALUE"""),"Javier")</f>
        <v>Javier</v>
      </c>
      <c r="AS812" s="6"/>
      <c r="AT812" s="6" t="str">
        <f>IFERROR(__xludf.DUMMYFUNCTION("""COMPUTED_VALUE"""),"Vargas Moreno")</f>
        <v>Vargas Moreno</v>
      </c>
      <c r="AU812" s="6" t="str">
        <f>IFERROR(__xludf.DUMMYFUNCTION("""COMPUTED_VALUE"""),"javamo64@gmail.com")</f>
        <v>javamo64@gmail.com</v>
      </c>
      <c r="AV812" s="6"/>
      <c r="AW812" s="6"/>
      <c r="AX812" s="12" t="str">
        <f>IFERROR(__xludf.DUMMYFUNCTION("""COMPUTED_VALUE"""),"7220256")</f>
        <v>7220256</v>
      </c>
      <c r="AY812" s="12" t="str">
        <f>IFERROR(__xludf.DUMMYFUNCTION("""COMPUTED_VALUE"""),"3212325159")</f>
        <v>3212325159</v>
      </c>
      <c r="AZ812" s="6" t="str">
        <f>IFERROR(__xludf.DUMMYFUNCTION("""COMPUTED_VALUE"""),"Padre")</f>
        <v>Padre</v>
      </c>
      <c r="BA812" s="6" t="str">
        <f>IFERROR(__xludf.DUMMYFUNCTION("""COMPUTED_VALUE"""),"Emilia Useche Antivar (Abuela)")</f>
        <v>Emilia Useche Antivar (Abuela)</v>
      </c>
      <c r="BB812" s="6">
        <f>IFERROR(__xludf.DUMMYFUNCTION("""COMPUTED_VALUE"""),3.204256709E9)</f>
        <v>3204256709</v>
      </c>
      <c r="BC812" s="6" t="str">
        <f>IFERROR(__xludf.DUMMYFUNCTION("""COMPUTED_VALUE"""),"Bogotá")</f>
        <v>Bogotá</v>
      </c>
      <c r="BD812" s="12" t="str">
        <f>IFERROR(__xludf.DUMMYFUNCTION("""COMPUTED_VALUE"""),"var0006")</f>
        <v>var0006</v>
      </c>
      <c r="BE812" s="6" t="str">
        <f>IFERROR(__xludf.DUMMYFUNCTION("""COMPUTED_VALUE"""),"FALTAN FIRMAS")</f>
        <v>FALTAN FIRMAS</v>
      </c>
      <c r="BF812" s="6"/>
      <c r="BG812" s="6">
        <f>IFERROR(__xludf.DUMMYFUNCTION("""COMPUTED_VALUE"""),2027.0)</f>
        <v>2027</v>
      </c>
      <c r="BH812" s="15">
        <f>IFERROR(__xludf.DUMMYFUNCTION("""COMPUTED_VALUE"""),46237.65681712963)</f>
        <v>46237.65682</v>
      </c>
      <c r="BI812" s="6">
        <f>IFERROR(__xludf.DUMMYFUNCTION("""COMPUTED_VALUE"""),813.0)</f>
        <v>813</v>
      </c>
      <c r="BJ812" s="6"/>
      <c r="BK812" s="6"/>
      <c r="BL812" s="6" t="str">
        <f>IFERROR(__xludf.DUMMYFUNCTION("""COMPUTED_VALUE"""),"GISVAR0006")</f>
        <v>GISVAR0006</v>
      </c>
      <c r="BM812" s="6"/>
      <c r="BN812" s="6"/>
      <c r="BO812" s="6"/>
      <c r="BP812" s="6"/>
      <c r="BQ812" s="6"/>
      <c r="BR812" s="6"/>
      <c r="BS812" s="6"/>
      <c r="BT812" s="6"/>
      <c r="BU812" s="6" t="str">
        <f>IFERROR(__xludf.DUMMYFUNCTION("""COMPUTED_VALUE"""),"SI")</f>
        <v>SI</v>
      </c>
      <c r="BV812" s="6" t="str">
        <f>IFERROR(__xludf.DUMMYFUNCTION("""COMPUTED_VALUE"""),"zara.v2027")</f>
        <v>zara.v2027</v>
      </c>
      <c r="BW812" s="6"/>
      <c r="BX812" s="6"/>
      <c r="BY812" s="6"/>
      <c r="BZ812" s="6"/>
    </row>
    <row r="813">
      <c r="A813" s="12">
        <f>IFERROR(__xludf.DUMMYFUNCTION("""COMPUTED_VALUE"""),1.014872373E9)</f>
        <v>1014872373</v>
      </c>
      <c r="B813" s="6">
        <f>IFERROR(__xludf.DUMMYFUNCTION("""COMPUTED_VALUE"""),47.0)</f>
        <v>47</v>
      </c>
      <c r="C813" s="6" t="str">
        <f>IFERROR(__xludf.DUMMYFUNCTION("""COMPUTED_VALUE"""),"María")</f>
        <v>María</v>
      </c>
      <c r="D813" s="6" t="str">
        <f>IFERROR(__xludf.DUMMYFUNCTION("""COMPUTED_VALUE"""),"Adelaida")</f>
        <v>Adelaida</v>
      </c>
      <c r="E813" s="6" t="str">
        <f>IFERROR(__xludf.DUMMYFUNCTION("""COMPUTED_VALUE"""),"Varón Quiroga")</f>
        <v>Varón Quiroga</v>
      </c>
      <c r="F813" s="6" t="str">
        <f>IFERROR(__xludf.DUMMYFUNCTION("""COMPUTED_VALUE"""),"Lagos de Iraka Casa 91 - Km 7 Via Armenia - El Caimo")</f>
        <v>Lagos de Iraka Casa 91 - Km 7 Via Armenia - El Caimo</v>
      </c>
      <c r="G813" s="12" t="str">
        <f>IFERROR(__xludf.DUMMYFUNCTION("""COMPUTED_VALUE"""),"2009")</f>
        <v>2009</v>
      </c>
      <c r="H813" s="6" t="str">
        <f>IFERROR(__xludf.DUMMYFUNCTION("""COMPUTED_VALUE"""),"Septiembre")</f>
        <v>Septiembre</v>
      </c>
      <c r="I813" s="12" t="str">
        <f>IFERROR(__xludf.DUMMYFUNCTION("""COMPUTED_VALUE"""),"29")</f>
        <v>29</v>
      </c>
      <c r="J813" s="6" t="str">
        <f>IFERROR(__xludf.DUMMYFUNCTION("""COMPUTED_VALUE"""),"Bogotá D.C.")</f>
        <v>Bogotá D.C.</v>
      </c>
      <c r="K813" s="6" t="str">
        <f>IFERROR(__xludf.DUMMYFUNCTION("""COMPUTED_VALUE"""),"adelaida.v2027@gi.edu.co")</f>
        <v>adelaida.v2027@gi.edu.co</v>
      </c>
      <c r="L813" s="6" t="str">
        <f>IFERROR(__xludf.DUMMYFUNCTION("""COMPUTED_VALUE"""),"TI")</f>
        <v>TI</v>
      </c>
      <c r="M813" s="6" t="str">
        <f>IFERROR(__xludf.DUMMYFUNCTION("""COMPUTED_VALUE"""),"Bogotá D.C.")</f>
        <v>Bogotá D.C.</v>
      </c>
      <c r="N813" s="6" t="str">
        <f>IFERROR(__xludf.DUMMYFUNCTION("""COMPUTED_VALUE"""),"F")</f>
        <v>F</v>
      </c>
      <c r="O813" s="6" t="str">
        <f>IFERROR(__xludf.DUMMYFUNCTION("""COMPUTED_VALUE"""),"INACTIVE")</f>
        <v>INACTIVE</v>
      </c>
      <c r="P813" s="6"/>
      <c r="Q813" s="6" t="str">
        <f>IFERROR(__xludf.DUMMYFUNCTION("""COMPUTED_VALUE"""),"Armenia")</f>
        <v>Armenia</v>
      </c>
      <c r="R813" s="12" t="str">
        <f>IFERROR(__xludf.DUMMYFUNCTION("""COMPUTED_VALUE"""),"GizWHeD*")</f>
        <v>GizWHeD*</v>
      </c>
      <c r="S813" s="6" t="str">
        <f>IFERROR(__xludf.DUMMYFUNCTION("""COMPUTED_VALUE"""),"Varón Quiroga María Adelaida")</f>
        <v>Varón Quiroga María Adelaida</v>
      </c>
      <c r="T813" s="6" t="str">
        <f>IFERROR(__xludf.DUMMYFUNCTION("""COMPUTED_VALUE"""),"JUAN PABLO VARÓN ECHEVERRÍA")</f>
        <v>JUAN PABLO VARÓN ECHEVERRÍA</v>
      </c>
      <c r="U813" s="12" t="str">
        <f>IFERROR(__xludf.DUMMYFUNCTION("""COMPUTED_VALUE"""),"80503697")</f>
        <v>80503697</v>
      </c>
      <c r="V813" s="6">
        <f>IFERROR(__xludf.DUMMYFUNCTION("""COMPUTED_VALUE"""),3.114527789E9)</f>
        <v>3114527789</v>
      </c>
      <c r="W813" s="6" t="str">
        <f>IFERROR(__xludf.DUMMYFUNCTION("""COMPUTED_VALUE"""),"jpvaron@yahoo.com")</f>
        <v>jpvaron@yahoo.com</v>
      </c>
      <c r="X813" s="12" t="str">
        <f>IFERROR(__xludf.DUMMYFUNCTION("""COMPUTED_VALUE"""),"O+")</f>
        <v>O+</v>
      </c>
      <c r="Y813" s="12" t="str">
        <f>IFERROR(__xludf.DUMMYFUNCTION("""COMPUTED_VALUE"""),"12")</f>
        <v>12</v>
      </c>
      <c r="Z813" s="12">
        <f>IFERROR(__xludf.DUMMYFUNCTION("""COMPUTED_VALUE"""),120159.0)</f>
        <v>120159</v>
      </c>
      <c r="AA813" s="6" t="str">
        <f>IFERROR(__xludf.DUMMYFUNCTION("""COMPUTED_VALUE"""),"SANITAS")</f>
        <v>SANITAS</v>
      </c>
      <c r="AB813" s="6"/>
      <c r="AC813" s="6"/>
      <c r="AD813" s="12" t="str">
        <f>IFERROR(__xludf.DUMMYFUNCTION("""COMPUTED_VALUE"""),"12")</f>
        <v>12</v>
      </c>
      <c r="AE813" s="12">
        <f>IFERROR(__xludf.DUMMYFUNCTION("""COMPUTED_VALUE"""),1.345282155E9)</f>
        <v>1345282155</v>
      </c>
      <c r="AF813" s="12" t="str">
        <f>IFERROR(__xludf.DUMMYFUNCTION("""COMPUTED_VALUE"""),"0706056259")</f>
        <v>0706056259</v>
      </c>
      <c r="AG813" s="12" t="str">
        <f>IFERROR(__xludf.DUMMYFUNCTION("""COMPUTED_VALUE"""),"María")</f>
        <v>María</v>
      </c>
      <c r="AH813" s="12" t="str">
        <f>IFERROR(__xludf.DUMMYFUNCTION("""COMPUTED_VALUE"""),"Ximena")</f>
        <v>Ximena</v>
      </c>
      <c r="AI813" s="6" t="str">
        <f>IFERROR(__xludf.DUMMYFUNCTION("""COMPUTED_VALUE"""),"Quiroga Arroyave")</f>
        <v>Quiroga Arroyave</v>
      </c>
      <c r="AJ813" s="6" t="str">
        <f>IFERROR(__xludf.DUMMYFUNCTION("""COMPUTED_VALUE"""),"ximequiroga@hotmail.com")</f>
        <v>ximequiroga@hotmail.com</v>
      </c>
      <c r="AK813" s="6" t="str">
        <f>IFERROR(__xludf.DUMMYFUNCTION("""COMPUTED_VALUE"""),"abogacia")</f>
        <v>abogacia</v>
      </c>
      <c r="AL813" s="6"/>
      <c r="AM813" s="12" t="str">
        <f>IFERROR(__xludf.DUMMYFUNCTION("""COMPUTED_VALUE"""),"52258977")</f>
        <v>52258977</v>
      </c>
      <c r="AN813" s="12" t="str">
        <f>IFERROR(__xludf.DUMMYFUNCTION("""COMPUTED_VALUE"""),"3112546180")</f>
        <v>3112546180</v>
      </c>
      <c r="AO813" s="6" t="str">
        <f>IFERROR(__xludf.DUMMYFUNCTION("""COMPUTED_VALUE"""),"Madre")</f>
        <v>Madre</v>
      </c>
      <c r="AP813" s="6" t="str">
        <f>IFERROR(__xludf.DUMMYFUNCTION("""COMPUTED_VALUE"""),"Estudiante(s): Varón Quiroga")</f>
        <v>Estudiante(s): Varón Quiroga</v>
      </c>
      <c r="AQ813" s="6" t="str">
        <f>IFERROR(__xludf.DUMMYFUNCTION("""COMPUTED_VALUE"""),"120143*Gi")</f>
        <v>120143*Gi</v>
      </c>
      <c r="AR813" s="6" t="str">
        <f>IFERROR(__xludf.DUMMYFUNCTION("""COMPUTED_VALUE"""),"Juan")</f>
        <v>Juan</v>
      </c>
      <c r="AS813" s="6" t="str">
        <f>IFERROR(__xludf.DUMMYFUNCTION("""COMPUTED_VALUE"""),"Pablo")</f>
        <v>Pablo</v>
      </c>
      <c r="AT813" s="6" t="str">
        <f>IFERROR(__xludf.DUMMYFUNCTION("""COMPUTED_VALUE"""),"Varón Echeverría")</f>
        <v>Varón Echeverría</v>
      </c>
      <c r="AU813" s="6" t="str">
        <f>IFERROR(__xludf.DUMMYFUNCTION("""COMPUTED_VALUE"""),"jpvaron@yahoo.com")</f>
        <v>jpvaron@yahoo.com</v>
      </c>
      <c r="AV813" s="6" t="str">
        <f>IFERROR(__xludf.DUMMYFUNCTION("""COMPUTED_VALUE"""),"economista")</f>
        <v>economista</v>
      </c>
      <c r="AW813" s="6" t="str">
        <f>IFERROR(__xludf.DUMMYFUNCTION("""COMPUTED_VALUE"""),"Synergy Envestmens")</f>
        <v>Synergy Envestmens</v>
      </c>
      <c r="AX813" s="12" t="str">
        <f>IFERROR(__xludf.DUMMYFUNCTION("""COMPUTED_VALUE"""),"80503697")</f>
        <v>80503697</v>
      </c>
      <c r="AY813" s="12" t="str">
        <f>IFERROR(__xludf.DUMMYFUNCTION("""COMPUTED_VALUE"""),"3114527789")</f>
        <v>3114527789</v>
      </c>
      <c r="AZ813" s="6" t="str">
        <f>IFERROR(__xludf.DUMMYFUNCTION("""COMPUTED_VALUE"""),"Padre")</f>
        <v>Padre</v>
      </c>
      <c r="BA813" s="6"/>
      <c r="BB813" s="6"/>
      <c r="BC813" s="6"/>
      <c r="BD813" s="12" t="str">
        <f>IFERROR(__xludf.DUMMYFUNCTION("""COMPUTED_VALUE"""),"var0003")</f>
        <v>var0003</v>
      </c>
      <c r="BE813" s="6" t="str">
        <f>IFERROR(__xludf.DUMMYFUNCTION("""COMPUTED_VALUE"""),"FALTAN FIRMAS")</f>
        <v>FALTAN FIRMAS</v>
      </c>
      <c r="BF813" s="6"/>
      <c r="BG813" s="6">
        <f>IFERROR(__xludf.DUMMYFUNCTION("""COMPUTED_VALUE"""),2027.0)</f>
        <v>2027</v>
      </c>
      <c r="BH813" s="15">
        <f>IFERROR(__xludf.DUMMYFUNCTION("""COMPUTED_VALUE"""),46212.83756944445)</f>
        <v>46212.83757</v>
      </c>
      <c r="BI813" s="6">
        <f>IFERROR(__xludf.DUMMYFUNCTION("""COMPUTED_VALUE"""),814.0)</f>
        <v>814</v>
      </c>
      <c r="BJ813" s="6"/>
      <c r="BK813" s="6"/>
      <c r="BL813" s="6" t="str">
        <f>IFERROR(__xludf.DUMMYFUNCTION("""COMPUTED_VALUE"""),"GISVAR0003")</f>
        <v>GISVAR0003</v>
      </c>
      <c r="BM813" s="6"/>
      <c r="BN813" s="6"/>
      <c r="BO813" s="6"/>
      <c r="BP813" s="6"/>
      <c r="BQ813" s="6"/>
      <c r="BR813" s="6"/>
      <c r="BS813" s="6"/>
      <c r="BT813" s="6"/>
      <c r="BU813" s="6" t="str">
        <f>IFERROR(__xludf.DUMMYFUNCTION("""COMPUTED_VALUE"""),"SI")</f>
        <v>SI</v>
      </c>
      <c r="BV813" s="6" t="str">
        <f>IFERROR(__xludf.DUMMYFUNCTION("""COMPUTED_VALUE"""),"adelaida.v2027")</f>
        <v>adelaida.v2027</v>
      </c>
      <c r="BW813" s="6"/>
      <c r="BX813" s="6"/>
      <c r="BY813" s="6"/>
      <c r="BZ813" s="6"/>
    </row>
    <row r="814">
      <c r="A814" s="12">
        <f>IFERROR(__xludf.DUMMYFUNCTION("""COMPUTED_VALUE"""),1.092853939E9)</f>
        <v>1092853939</v>
      </c>
      <c r="B814" s="6">
        <f>IFERROR(__xludf.DUMMYFUNCTION("""COMPUTED_VALUE"""),48.0)</f>
        <v>48</v>
      </c>
      <c r="C814" s="6" t="str">
        <f>IFERROR(__xludf.DUMMYFUNCTION("""COMPUTED_VALUE"""),"Martín")</f>
        <v>Martín</v>
      </c>
      <c r="D814" s="6"/>
      <c r="E814" s="6" t="str">
        <f>IFERROR(__xludf.DUMMYFUNCTION("""COMPUTED_VALUE"""),"Vélez Heredia")</f>
        <v>Vélez Heredia</v>
      </c>
      <c r="F814" s="6" t="str">
        <f>IFERROR(__xludf.DUMMYFUNCTION("""COMPUTED_VALUE"""),"Edificio Torre Alicante Apto 802 - Cra 11 No12Nte - 60 La Castellana")</f>
        <v>Edificio Torre Alicante Apto 802 - Cra 11 No12Nte - 60 La Castellana</v>
      </c>
      <c r="G814" s="12" t="str">
        <f>IFERROR(__xludf.DUMMYFUNCTION("""COMPUTED_VALUE"""),"2008")</f>
        <v>2008</v>
      </c>
      <c r="H814" s="6" t="str">
        <f>IFERROR(__xludf.DUMMYFUNCTION("""COMPUTED_VALUE"""),"Diciembre")</f>
        <v>Diciembre</v>
      </c>
      <c r="I814" s="12" t="str">
        <f>IFERROR(__xludf.DUMMYFUNCTION("""COMPUTED_VALUE"""),"12")</f>
        <v>12</v>
      </c>
      <c r="J814" s="6" t="str">
        <f>IFERROR(__xludf.DUMMYFUNCTION("""COMPUTED_VALUE"""),"Armenia")</f>
        <v>Armenia</v>
      </c>
      <c r="K814" s="6" t="str">
        <f>IFERROR(__xludf.DUMMYFUNCTION("""COMPUTED_VALUE"""),"martin.v2027@gi.edu.co")</f>
        <v>martin.v2027@gi.edu.co</v>
      </c>
      <c r="L814" s="6" t="str">
        <f>IFERROR(__xludf.DUMMYFUNCTION("""COMPUTED_VALUE"""),"TI")</f>
        <v>TI</v>
      </c>
      <c r="M814" s="6" t="str">
        <f>IFERROR(__xludf.DUMMYFUNCTION("""COMPUTED_VALUE"""),"Armenia")</f>
        <v>Armenia</v>
      </c>
      <c r="N814" s="6" t="str">
        <f>IFERROR(__xludf.DUMMYFUNCTION("""COMPUTED_VALUE"""),"M")</f>
        <v>M</v>
      </c>
      <c r="O814" s="6" t="str">
        <f>IFERROR(__xludf.DUMMYFUNCTION("""COMPUTED_VALUE"""),"INACTIVE")</f>
        <v>INACTIVE</v>
      </c>
      <c r="P814" s="6"/>
      <c r="Q814" s="6" t="str">
        <f>IFERROR(__xludf.DUMMYFUNCTION("""COMPUTED_VALUE"""),"Armenia")</f>
        <v>Armenia</v>
      </c>
      <c r="R814" s="12" t="str">
        <f>IFERROR(__xludf.DUMMYFUNCTION("""COMPUTED_VALUE"""),"Gi2r133329*")</f>
        <v>Gi2r133329*</v>
      </c>
      <c r="S814" s="6" t="str">
        <f>IFERROR(__xludf.DUMMYFUNCTION("""COMPUTED_VALUE"""),"Vélez Heredia Martín ")</f>
        <v>Vélez Heredia Martín </v>
      </c>
      <c r="T814" s="6" t="str">
        <f>IFERROR(__xludf.DUMMYFUNCTION("""COMPUTED_VALUE"""),"ANA MARÍA HEREDIA BOTERO")</f>
        <v>ANA MARÍA HEREDIA BOTERO</v>
      </c>
      <c r="U814" s="12" t="str">
        <f>IFERROR(__xludf.DUMMYFUNCTION("""COMPUTED_VALUE"""),"30393736")</f>
        <v>30393736</v>
      </c>
      <c r="V814" s="6">
        <f>IFERROR(__xludf.DUMMYFUNCTION("""COMPUTED_VALUE"""),3.168781317E9)</f>
        <v>3168781317</v>
      </c>
      <c r="W814" s="6" t="str">
        <f>IFERROR(__xludf.DUMMYFUNCTION("""COMPUTED_VALUE"""),"anahebo2003@hotmail.com")</f>
        <v>anahebo2003@hotmail.com</v>
      </c>
      <c r="X814" s="12" t="str">
        <f>IFERROR(__xludf.DUMMYFUNCTION("""COMPUTED_VALUE"""),"O-")</f>
        <v>O-</v>
      </c>
      <c r="Y814" s="12" t="str">
        <f>IFERROR(__xludf.DUMMYFUNCTION("""COMPUTED_VALUE"""),"12")</f>
        <v>12</v>
      </c>
      <c r="Z814" s="12">
        <f>IFERROR(__xludf.DUMMYFUNCTION("""COMPUTED_VALUE"""),102094.0)</f>
        <v>102094</v>
      </c>
      <c r="AA814" s="6" t="str">
        <f>IFERROR(__xludf.DUMMYFUNCTION("""COMPUTED_VALUE"""),"SANITAS")</f>
        <v>SANITAS</v>
      </c>
      <c r="AB814" s="6" t="str">
        <f>IFERROR(__xludf.DUMMYFUNCTION("""COMPUTED_VALUE"""),"EMI")</f>
        <v>EMI</v>
      </c>
      <c r="AC814" s="6"/>
      <c r="AD814" s="12" t="str">
        <f>IFERROR(__xludf.DUMMYFUNCTION("""COMPUTED_VALUE"""),"12")</f>
        <v>12</v>
      </c>
      <c r="AE814" s="12">
        <f>IFERROR(__xludf.DUMMYFUNCTION("""COMPUTED_VALUE"""),1.345281245E9)</f>
        <v>1345281245</v>
      </c>
      <c r="AF814" s="12" t="str">
        <f>IFERROR(__xludf.DUMMYFUNCTION("""COMPUTED_VALUE"""),"0651154003")</f>
        <v>0651154003</v>
      </c>
      <c r="AG814" s="12" t="str">
        <f>IFERROR(__xludf.DUMMYFUNCTION("""COMPUTED_VALUE"""),"Ana")</f>
        <v>Ana</v>
      </c>
      <c r="AH814" s="12" t="str">
        <f>IFERROR(__xludf.DUMMYFUNCTION("""COMPUTED_VALUE"""),"María")</f>
        <v>María</v>
      </c>
      <c r="AI814" s="6" t="str">
        <f>IFERROR(__xludf.DUMMYFUNCTION("""COMPUTED_VALUE"""),"Heredia Botero")</f>
        <v>Heredia Botero</v>
      </c>
      <c r="AJ814" s="6" t="str">
        <f>IFERROR(__xludf.DUMMYFUNCTION("""COMPUTED_VALUE"""),"anahebo2003@hotmail.com")</f>
        <v>anahebo2003@hotmail.com</v>
      </c>
      <c r="AK814" s="6" t="str">
        <f>IFERROR(__xludf.DUMMYFUNCTION("""COMPUTED_VALUE"""),"Mercadeo")</f>
        <v>Mercadeo</v>
      </c>
      <c r="AL814" s="6" t="str">
        <f>IFERROR(__xludf.DUMMYFUNCTION("""COMPUTED_VALUE"""),"Tigo")</f>
        <v>Tigo</v>
      </c>
      <c r="AM814" s="12" t="str">
        <f>IFERROR(__xludf.DUMMYFUNCTION("""COMPUTED_VALUE"""),"30393736")</f>
        <v>30393736</v>
      </c>
      <c r="AN814" s="12" t="str">
        <f>IFERROR(__xludf.DUMMYFUNCTION("""COMPUTED_VALUE"""),"3168781317")</f>
        <v>3168781317</v>
      </c>
      <c r="AO814" s="6" t="str">
        <f>IFERROR(__xludf.DUMMYFUNCTION("""COMPUTED_VALUE"""),"Madre")</f>
        <v>Madre</v>
      </c>
      <c r="AP814" s="6" t="str">
        <f>IFERROR(__xludf.DUMMYFUNCTION("""COMPUTED_VALUE"""),"Estudiante(s): Vélez Heredia")</f>
        <v>Estudiante(s): Vélez Heredia</v>
      </c>
      <c r="AQ814" s="6" t="str">
        <f>IFERROR(__xludf.DUMMYFUNCTION("""COMPUTED_VALUE"""),"102094*Gi")</f>
        <v>102094*Gi</v>
      </c>
      <c r="AR814" s="6" t="str">
        <f>IFERROR(__xludf.DUMMYFUNCTION("""COMPUTED_VALUE"""),"Rubén")</f>
        <v>Rubén</v>
      </c>
      <c r="AS814" s="6" t="str">
        <f>IFERROR(__xludf.DUMMYFUNCTION("""COMPUTED_VALUE"""),"Darío")</f>
        <v>Darío</v>
      </c>
      <c r="AT814" s="6" t="str">
        <f>IFERROR(__xludf.DUMMYFUNCTION("""COMPUTED_VALUE"""),"Vélez Villegas")</f>
        <v>Vélez Villegas</v>
      </c>
      <c r="AU814" s="6" t="str">
        <f>IFERROR(__xludf.DUMMYFUNCTION("""COMPUTED_VALUE"""),"rudave@hotmail.com")</f>
        <v>rudave@hotmail.com</v>
      </c>
      <c r="AV814" s="6" t="str">
        <f>IFERROR(__xludf.DUMMYFUNCTION("""COMPUTED_VALUE"""),"Avicultor")</f>
        <v>Avicultor</v>
      </c>
      <c r="AW814" s="6"/>
      <c r="AX814" s="12" t="str">
        <f>IFERROR(__xludf.DUMMYFUNCTION("""COMPUTED_VALUE"""),"89008021")</f>
        <v>89008021</v>
      </c>
      <c r="AY814" s="12" t="str">
        <f>IFERROR(__xludf.DUMMYFUNCTION("""COMPUTED_VALUE"""),"3154763112")</f>
        <v>3154763112</v>
      </c>
      <c r="AZ814" s="6" t="str">
        <f>IFERROR(__xludf.DUMMYFUNCTION("""COMPUTED_VALUE"""),"Padre")</f>
        <v>Padre</v>
      </c>
      <c r="BA814" s="6"/>
      <c r="BB814" s="6"/>
      <c r="BC814" s="6"/>
      <c r="BD814" s="12" t="str">
        <f>IFERROR(__xludf.DUMMYFUNCTION("""COMPUTED_VALUE"""),"vle0001")</f>
        <v>vle0001</v>
      </c>
      <c r="BE814" s="6" t="str">
        <f>IFERROR(__xludf.DUMMYFUNCTION("""COMPUTED_VALUE"""),"FALTAN FIRMAS")</f>
        <v>FALTAN FIRMAS</v>
      </c>
      <c r="BF814" s="6"/>
      <c r="BG814" s="6">
        <f>IFERROR(__xludf.DUMMYFUNCTION("""COMPUTED_VALUE"""),2027.0)</f>
        <v>2027</v>
      </c>
      <c r="BH814" s="15">
        <f>IFERROR(__xludf.DUMMYFUNCTION("""COMPUTED_VALUE"""),46203.957349537035)</f>
        <v>46203.95735</v>
      </c>
      <c r="BI814" s="6">
        <f>IFERROR(__xludf.DUMMYFUNCTION("""COMPUTED_VALUE"""),815.0)</f>
        <v>815</v>
      </c>
      <c r="BJ814" s="6"/>
      <c r="BK814" s="6"/>
      <c r="BL814" s="6" t="str">
        <f>IFERROR(__xludf.DUMMYFUNCTION("""COMPUTED_VALUE"""),"GISVLE0001")</f>
        <v>GISVLE0001</v>
      </c>
      <c r="BM814" s="6"/>
      <c r="BN814" s="6"/>
      <c r="BO814" s="6"/>
      <c r="BP814" s="6"/>
      <c r="BQ814" s="6"/>
      <c r="BR814" s="6"/>
      <c r="BS814" s="6"/>
      <c r="BT814" s="6"/>
      <c r="BU814" s="6" t="str">
        <f>IFERROR(__xludf.DUMMYFUNCTION("""COMPUTED_VALUE"""),"SI")</f>
        <v>SI</v>
      </c>
      <c r="BV814" s="6" t="str">
        <f>IFERROR(__xludf.DUMMYFUNCTION("""COMPUTED_VALUE"""),"martin.v2027")</f>
        <v>martin.v2027</v>
      </c>
      <c r="BW814" s="6"/>
      <c r="BX814" s="6"/>
      <c r="BY814" s="6"/>
      <c r="BZ814" s="6"/>
    </row>
    <row r="815">
      <c r="A815" s="12">
        <f>IFERROR(__xludf.DUMMYFUNCTION("""COMPUTED_VALUE"""),1.125348467E9)</f>
        <v>1125348467</v>
      </c>
      <c r="B815" s="6">
        <f>IFERROR(__xludf.DUMMYFUNCTION("""COMPUTED_VALUE"""),49.0)</f>
        <v>49</v>
      </c>
      <c r="C815" s="6" t="str">
        <f>IFERROR(__xludf.DUMMYFUNCTION("""COMPUTED_VALUE"""),"Arturo")</f>
        <v>Arturo</v>
      </c>
      <c r="D815" s="6"/>
      <c r="E815" s="6" t="str">
        <f>IFERROR(__xludf.DUMMYFUNCTION("""COMPUTED_VALUE"""),"Wilson Duque")</f>
        <v>Wilson Duque</v>
      </c>
      <c r="F815" s="6" t="str">
        <f>IFERROR(__xludf.DUMMYFUNCTION("""COMPUTED_VALUE"""),"Edificio Kalua Apto 901 - Cra 6 No31Nte - 53 San Diego  Av Centenario")</f>
        <v>Edificio Kalua Apto 901 - Cra 6 No31Nte - 53 San Diego  Av Centenario</v>
      </c>
      <c r="G815" s="12" t="str">
        <f>IFERROR(__xludf.DUMMYFUNCTION("""COMPUTED_VALUE"""),"2009")</f>
        <v>2009</v>
      </c>
      <c r="H815" s="6" t="str">
        <f>IFERROR(__xludf.DUMMYFUNCTION("""COMPUTED_VALUE"""),"Junio")</f>
        <v>Junio</v>
      </c>
      <c r="I815" s="12" t="str">
        <f>IFERROR(__xludf.DUMMYFUNCTION("""COMPUTED_VALUE"""),"5")</f>
        <v>5</v>
      </c>
      <c r="J815" s="6" t="str">
        <f>IFERROR(__xludf.DUMMYFUNCTION("""COMPUTED_VALUE"""),"San Borja")</f>
        <v>San Borja</v>
      </c>
      <c r="K815" s="6" t="str">
        <f>IFERROR(__xludf.DUMMYFUNCTION("""COMPUTED_VALUE"""),"arturo.w2027@gi.edu.co")</f>
        <v>arturo.w2027@gi.edu.co</v>
      </c>
      <c r="L815" s="6" t="str">
        <f>IFERROR(__xludf.DUMMYFUNCTION("""COMPUTED_VALUE"""),"TI")</f>
        <v>TI</v>
      </c>
      <c r="M815" s="6" t="str">
        <f>IFERROR(__xludf.DUMMYFUNCTION("""COMPUTED_VALUE"""),"Colombia")</f>
        <v>Colombia</v>
      </c>
      <c r="N815" s="6" t="str">
        <f>IFERROR(__xludf.DUMMYFUNCTION("""COMPUTED_VALUE"""),"M")</f>
        <v>M</v>
      </c>
      <c r="O815" s="6" t="str">
        <f>IFERROR(__xludf.DUMMYFUNCTION("""COMPUTED_VALUE"""),"INACTIVE")</f>
        <v>INACTIVE</v>
      </c>
      <c r="P815" s="6"/>
      <c r="Q815" s="6" t="str">
        <f>IFERROR(__xludf.DUMMYFUNCTION("""COMPUTED_VALUE"""),"Armenia")</f>
        <v>Armenia</v>
      </c>
      <c r="R815" s="12" t="str">
        <f>IFERROR(__xludf.DUMMYFUNCTION("""COMPUTED_VALUE"""),"Giver973k*")</f>
        <v>Giver973k*</v>
      </c>
      <c r="S815" s="6" t="str">
        <f>IFERROR(__xludf.DUMMYFUNCTION("""COMPUTED_VALUE"""),"Wilson Duque Arturo ")</f>
        <v>Wilson Duque Arturo </v>
      </c>
      <c r="T815" s="6" t="str">
        <f>IFERROR(__xludf.DUMMYFUNCTION("""COMPUTED_VALUE"""),"MARTHA INÉS DUQUE BAENA")</f>
        <v>MARTHA INÉS DUQUE BAENA</v>
      </c>
      <c r="U815" s="12" t="str">
        <f>IFERROR(__xludf.DUMMYFUNCTION("""COMPUTED_VALUE"""),"43639348")</f>
        <v>43639348</v>
      </c>
      <c r="V815" s="6">
        <f>IFERROR(__xludf.DUMMYFUNCTION("""COMPUTED_VALUE"""),3.125702458E9)</f>
        <v>3125702458</v>
      </c>
      <c r="W815" s="6" t="str">
        <f>IFERROR(__xludf.DUMMYFUNCTION("""COMPUTED_VALUE"""),"marthaines@hotmail.com")</f>
        <v>marthaines@hotmail.com</v>
      </c>
      <c r="X815" s="12" t="str">
        <f>IFERROR(__xludf.DUMMYFUNCTION("""COMPUTED_VALUE"""),"O-")</f>
        <v>O-</v>
      </c>
      <c r="Y815" s="12" t="str">
        <f>IFERROR(__xludf.DUMMYFUNCTION("""COMPUTED_VALUE"""),"12")</f>
        <v>12</v>
      </c>
      <c r="Z815" s="12">
        <f>IFERROR(__xludf.DUMMYFUNCTION("""COMPUTED_VALUE"""),120236.0)</f>
        <v>120236</v>
      </c>
      <c r="AA815" s="6" t="str">
        <f>IFERROR(__xludf.DUMMYFUNCTION("""COMPUTED_VALUE"""),"SURA")</f>
        <v>SURA</v>
      </c>
      <c r="AB815" s="6"/>
      <c r="AC815" s="12" t="str">
        <f>IFERROR(__xludf.DUMMYFUNCTION("""COMPUTED_VALUE"""),"Algunos bloqueadores solares")</f>
        <v>Algunos bloqueadores solares</v>
      </c>
      <c r="AD815" s="12" t="str">
        <f>IFERROR(__xludf.DUMMYFUNCTION("""COMPUTED_VALUE"""),"12")</f>
        <v>12</v>
      </c>
      <c r="AE815" s="12">
        <f>IFERROR(__xludf.DUMMYFUNCTION("""COMPUTED_VALUE"""),1.34528222E9)</f>
        <v>1345282220</v>
      </c>
      <c r="AF815" s="12" t="str">
        <f>IFERROR(__xludf.DUMMYFUNCTION("""COMPUTED_VALUE"""),"0672813155")</f>
        <v>0672813155</v>
      </c>
      <c r="AG815" s="12" t="str">
        <f>IFERROR(__xludf.DUMMYFUNCTION("""COMPUTED_VALUE"""),"Martha")</f>
        <v>Martha</v>
      </c>
      <c r="AH815" s="12" t="str">
        <f>IFERROR(__xludf.DUMMYFUNCTION("""COMPUTED_VALUE"""),"Inés")</f>
        <v>Inés</v>
      </c>
      <c r="AI815" s="6" t="str">
        <f>IFERROR(__xludf.DUMMYFUNCTION("""COMPUTED_VALUE"""),"Duque Baena")</f>
        <v>Duque Baena</v>
      </c>
      <c r="AJ815" s="6" t="str">
        <f>IFERROR(__xludf.DUMMYFUNCTION("""COMPUTED_VALUE"""),"marthaines@hotmail.com")</f>
        <v>marthaines@hotmail.com</v>
      </c>
      <c r="AK815" s="6" t="str">
        <f>IFERROR(__xludf.DUMMYFUNCTION("""COMPUTED_VALUE"""),"Administradora de negocios")</f>
        <v>Administradora de negocios</v>
      </c>
      <c r="AL815" s="6" t="str">
        <f>IFERROR(__xludf.DUMMYFUNCTION("""COMPUTED_VALUE"""),"Defensoría del Pueblo")</f>
        <v>Defensoría del Pueblo</v>
      </c>
      <c r="AM815" s="12" t="str">
        <f>IFERROR(__xludf.DUMMYFUNCTION("""COMPUTED_VALUE"""),"43639348")</f>
        <v>43639348</v>
      </c>
      <c r="AN815" s="12" t="str">
        <f>IFERROR(__xludf.DUMMYFUNCTION("""COMPUTED_VALUE"""),"3125702458")</f>
        <v>3125702458</v>
      </c>
      <c r="AO815" s="6" t="str">
        <f>IFERROR(__xludf.DUMMYFUNCTION("""COMPUTED_VALUE"""),"Madre")</f>
        <v>Madre</v>
      </c>
      <c r="AP815" s="6" t="str">
        <f>IFERROR(__xludf.DUMMYFUNCTION("""COMPUTED_VALUE"""),"Estudiante(s): Wilson Duque")</f>
        <v>Estudiante(s): Wilson Duque</v>
      </c>
      <c r="AQ815" s="6" t="str">
        <f>IFERROR(__xludf.DUMMYFUNCTION("""COMPUTED_VALUE"""),"120236*Gi")</f>
        <v>120236*Gi</v>
      </c>
      <c r="AR815" s="6" t="str">
        <f>IFERROR(__xludf.DUMMYFUNCTION("""COMPUTED_VALUE"""),"Richard")</f>
        <v>Richard</v>
      </c>
      <c r="AS815" s="6"/>
      <c r="AT815" s="6" t="str">
        <f>IFERROR(__xludf.DUMMYFUNCTION("""COMPUTED_VALUE"""),"Wilson Ferrer")</f>
        <v>Wilson Ferrer</v>
      </c>
      <c r="AU815" s="6" t="str">
        <f>IFERROR(__xludf.DUMMYFUNCTION("""COMPUTED_VALUE"""),"dolmen.edificaciones@gmail.com")</f>
        <v>dolmen.edificaciones@gmail.com</v>
      </c>
      <c r="AV815" s="6" t="str">
        <f>IFERROR(__xludf.DUMMYFUNCTION("""COMPUTED_VALUE"""),"Ingeniero civil")</f>
        <v>Ingeniero civil</v>
      </c>
      <c r="AW815" s="6" t="str">
        <f>IFERROR(__xludf.DUMMYFUNCTION("""COMPUTED_VALUE"""),"Dolmen Edificaciones")</f>
        <v>Dolmen Edificaciones</v>
      </c>
      <c r="AX815" s="12" t="str">
        <f>IFERROR(__xludf.DUMMYFUNCTION("""COMPUTED_VALUE"""),"7790539")</f>
        <v>7790539</v>
      </c>
      <c r="AY815" s="12" t="str">
        <f>IFERROR(__xludf.DUMMYFUNCTION("""COMPUTED_VALUE"""),"3143613009")</f>
        <v>3143613009</v>
      </c>
      <c r="AZ815" s="6" t="str">
        <f>IFERROR(__xludf.DUMMYFUNCTION("""COMPUTED_VALUE"""),"Padre")</f>
        <v>Padre</v>
      </c>
      <c r="BA815" s="6" t="str">
        <f>IFERROR(__xludf.DUMMYFUNCTION("""COMPUTED_VALUE"""),"MARÍA FERNANDA DUQUE BAENA")</f>
        <v>MARÍA FERNANDA DUQUE BAENA</v>
      </c>
      <c r="BB815" s="6">
        <f>IFERROR(__xludf.DUMMYFUNCTION("""COMPUTED_VALUE"""),3.104141378E9)</f>
        <v>3104141378</v>
      </c>
      <c r="BC815" s="6" t="str">
        <f>IFERROR(__xludf.DUMMYFUNCTION("""COMPUTED_VALUE"""),"Madre")</f>
        <v>Madre</v>
      </c>
      <c r="BD815" s="12" t="str">
        <f>IFERROR(__xludf.DUMMYFUNCTION("""COMPUTED_VALUE"""),"wil0002")</f>
        <v>wil0002</v>
      </c>
      <c r="BE815" s="6" t="str">
        <f>IFERROR(__xludf.DUMMYFUNCTION("""COMPUTED_VALUE"""),"FALTAN FIRMAS")</f>
        <v>FALTAN FIRMAS</v>
      </c>
      <c r="BF815" s="6"/>
      <c r="BG815" s="6">
        <f>IFERROR(__xludf.DUMMYFUNCTION("""COMPUTED_VALUE"""),2027.0)</f>
        <v>2027</v>
      </c>
      <c r="BH815" s="15">
        <f>IFERROR(__xludf.DUMMYFUNCTION("""COMPUTED_VALUE"""),46209.6840625)</f>
        <v>46209.68406</v>
      </c>
      <c r="BI815" s="6">
        <f>IFERROR(__xludf.DUMMYFUNCTION("""COMPUTED_VALUE"""),816.0)</f>
        <v>816</v>
      </c>
      <c r="BJ815" s="6"/>
      <c r="BK815" s="6"/>
      <c r="BL815" s="6" t="str">
        <f>IFERROR(__xludf.DUMMYFUNCTION("""COMPUTED_VALUE"""),"GISWIL0002")</f>
        <v>GISWIL0002</v>
      </c>
      <c r="BM815" s="6"/>
      <c r="BN815" s="6"/>
      <c r="BO815" s="6"/>
      <c r="BP815" s="6"/>
      <c r="BQ815" s="6"/>
      <c r="BR815" s="6"/>
      <c r="BS815" s="6"/>
      <c r="BT815" s="6"/>
      <c r="BU815" s="6" t="str">
        <f>IFERROR(__xludf.DUMMYFUNCTION("""COMPUTED_VALUE"""),"NO")</f>
        <v>NO</v>
      </c>
      <c r="BV815" s="6" t="str">
        <f>IFERROR(__xludf.DUMMYFUNCTION("""COMPUTED_VALUE"""),"arturo.w2027")</f>
        <v>arturo.w2027</v>
      </c>
      <c r="BW815" s="6"/>
      <c r="BX815" s="6"/>
      <c r="BY815" s="6"/>
      <c r="BZ815" s="6"/>
    </row>
    <row r="816">
      <c r="A816" s="12">
        <f>IFERROR(__xludf.DUMMYFUNCTION("""COMPUTED_VALUE"""),1.125351145E9)</f>
        <v>1125351145</v>
      </c>
      <c r="B816" s="6">
        <f>IFERROR(__xludf.DUMMYFUNCTION("""COMPUTED_VALUE"""),50.0)</f>
        <v>50</v>
      </c>
      <c r="C816" s="6" t="str">
        <f>IFERROR(__xludf.DUMMYFUNCTION("""COMPUTED_VALUE"""),"Blanca")</f>
        <v>Blanca</v>
      </c>
      <c r="D816" s="6" t="str">
        <f>IFERROR(__xludf.DUMMYFUNCTION("""COMPUTED_VALUE"""),"Rubby")</f>
        <v>Rubby</v>
      </c>
      <c r="E816" s="6" t="str">
        <f>IFERROR(__xludf.DUMMYFUNCTION("""COMPUTED_VALUE"""),"Zuluaga Cáceres")</f>
        <v>Zuluaga Cáceres</v>
      </c>
      <c r="F816" s="6" t="str">
        <f>IFERROR(__xludf.DUMMYFUNCTION("""COMPUTED_VALUE"""),"Apartamentos Terra Torre 1 Apto 103 - Cra 10 No11Nte - 05 La Castellana")</f>
        <v>Apartamentos Terra Torre 1 Apto 103 - Cra 10 No11Nte - 05 La Castellana</v>
      </c>
      <c r="G816" s="12" t="str">
        <f>IFERROR(__xludf.DUMMYFUNCTION("""COMPUTED_VALUE"""),"2009")</f>
        <v>2009</v>
      </c>
      <c r="H816" s="6" t="str">
        <f>IFERROR(__xludf.DUMMYFUNCTION("""COMPUTED_VALUE"""),"Febrero")</f>
        <v>Febrero</v>
      </c>
      <c r="I816" s="12" t="str">
        <f>IFERROR(__xludf.DUMMYFUNCTION("""COMPUTED_VALUE"""),"21")</f>
        <v>21</v>
      </c>
      <c r="J816" s="6" t="str">
        <f>IFERROR(__xludf.DUMMYFUNCTION("""COMPUTED_VALUE"""),"Santiago de Surco")</f>
        <v>Santiago de Surco</v>
      </c>
      <c r="K816" s="6" t="str">
        <f>IFERROR(__xludf.DUMMYFUNCTION("""COMPUTED_VALUE"""),"blanca.z2027@gi.edu.co")</f>
        <v>blanca.z2027@gi.edu.co</v>
      </c>
      <c r="L816" s="6" t="str">
        <f>IFERROR(__xludf.DUMMYFUNCTION("""COMPUTED_VALUE"""),"TI")</f>
        <v>TI</v>
      </c>
      <c r="M816" s="6" t="str">
        <f>IFERROR(__xludf.DUMMYFUNCTION("""COMPUTED_VALUE"""),"Bogotá D.C.")</f>
        <v>Bogotá D.C.</v>
      </c>
      <c r="N816" s="6" t="str">
        <f>IFERROR(__xludf.DUMMYFUNCTION("""COMPUTED_VALUE"""),"F")</f>
        <v>F</v>
      </c>
      <c r="O816" s="6" t="str">
        <f>IFERROR(__xludf.DUMMYFUNCTION("""COMPUTED_VALUE"""),"INACTIVE")</f>
        <v>INACTIVE</v>
      </c>
      <c r="P816" s="6"/>
      <c r="Q816" s="6" t="str">
        <f>IFERROR(__xludf.DUMMYFUNCTION("""COMPUTED_VALUE"""),"Armenia")</f>
        <v>Armenia</v>
      </c>
      <c r="R816" s="12" t="str">
        <f>IFERROR(__xludf.DUMMYFUNCTION("""COMPUTED_VALUE"""),"Gi48bt427*")</f>
        <v>Gi48bt427*</v>
      </c>
      <c r="S816" s="6" t="str">
        <f>IFERROR(__xludf.DUMMYFUNCTION("""COMPUTED_VALUE"""),"Zuluaga Cáceres Blanca Rubby")</f>
        <v>Zuluaga Cáceres Blanca Rubby</v>
      </c>
      <c r="T816" s="6" t="str">
        <f>IFERROR(__xludf.DUMMYFUNCTION("""COMPUTED_VALUE"""),"LUIS ARNOLDO ZULUAGA ZULUAGA")</f>
        <v>LUIS ARNOLDO ZULUAGA ZULUAGA</v>
      </c>
      <c r="U816" s="12" t="str">
        <f>IFERROR(__xludf.DUMMYFUNCTION("""COMPUTED_VALUE"""),"7516544")</f>
        <v>7516544</v>
      </c>
      <c r="V816" s="6">
        <f>IFERROR(__xludf.DUMMYFUNCTION("""COMPUTED_VALUE"""),3.138430296E9)</f>
        <v>3138430296</v>
      </c>
      <c r="W816" s="6" t="str">
        <f>IFERROR(__xludf.DUMMYFUNCTION("""COMPUTED_VALUE"""),"arnoldozuluaga@cerroccopane.com")</f>
        <v>arnoldozuluaga@cerroccopane.com</v>
      </c>
      <c r="X816" s="12" t="str">
        <f>IFERROR(__xludf.DUMMYFUNCTION("""COMPUTED_VALUE"""),"O+")</f>
        <v>O+</v>
      </c>
      <c r="Y816" s="12" t="str">
        <f>IFERROR(__xludf.DUMMYFUNCTION("""COMPUTED_VALUE"""),"12")</f>
        <v>12</v>
      </c>
      <c r="Z816" s="12">
        <f>IFERROR(__xludf.DUMMYFUNCTION("""COMPUTED_VALUE"""),120015.0)</f>
        <v>120015</v>
      </c>
      <c r="AA816" s="6" t="str">
        <f>IFERROR(__xludf.DUMMYFUNCTION("""COMPUTED_VALUE"""),"SANITAS")</f>
        <v>SANITAS</v>
      </c>
      <c r="AB816" s="6"/>
      <c r="AC816" s="6"/>
      <c r="AD816" s="12" t="str">
        <f>IFERROR(__xludf.DUMMYFUNCTION("""COMPUTED_VALUE"""),"12")</f>
        <v>12</v>
      </c>
      <c r="AE816" s="12">
        <f>IFERROR(__xludf.DUMMYFUNCTION("""COMPUTED_VALUE"""),1.34528202E9)</f>
        <v>1345282020</v>
      </c>
      <c r="AF816" s="12" t="str">
        <f>IFERROR(__xludf.DUMMYFUNCTION("""COMPUTED_VALUE"""),"0689061171")</f>
        <v>0689061171</v>
      </c>
      <c r="AG816" s="12" t="str">
        <f>IFERROR(__xludf.DUMMYFUNCTION("""COMPUTED_VALUE"""),"Carla")</f>
        <v>Carla</v>
      </c>
      <c r="AH816" s="12" t="str">
        <f>IFERROR(__xludf.DUMMYFUNCTION("""COMPUTED_VALUE"""),"Fiorella")</f>
        <v>Fiorella</v>
      </c>
      <c r="AI816" s="6" t="str">
        <f>IFERROR(__xludf.DUMMYFUNCTION("""COMPUTED_VALUE"""),"Cáceres Quispe")</f>
        <v>Cáceres Quispe</v>
      </c>
      <c r="AJ816" s="6" t="str">
        <f>IFERROR(__xludf.DUMMYFUNCTION("""COMPUTED_VALUE"""),"fiorelladezuluaga@hotmail.es")</f>
        <v>fiorelladezuluaga@hotmail.es</v>
      </c>
      <c r="AK816" s="6" t="str">
        <f>IFERROR(__xludf.DUMMYFUNCTION("""COMPUTED_VALUE"""),"Educadora")</f>
        <v>Educadora</v>
      </c>
      <c r="AL816" s="6"/>
      <c r="AM816" s="12" t="str">
        <f>IFERROR(__xludf.DUMMYFUNCTION("""COMPUTED_VALUE"""),"1144762")</f>
        <v>1144762</v>
      </c>
      <c r="AN816" s="12" t="str">
        <f>IFERROR(__xludf.DUMMYFUNCTION("""COMPUTED_VALUE"""),"3228511860")</f>
        <v>3228511860</v>
      </c>
      <c r="AO816" s="6" t="str">
        <f>IFERROR(__xludf.DUMMYFUNCTION("""COMPUTED_VALUE"""),"Madre")</f>
        <v>Madre</v>
      </c>
      <c r="AP816" s="6" t="str">
        <f>IFERROR(__xludf.DUMMYFUNCTION("""COMPUTED_VALUE"""),"Estudiante(s): Zuluaga Cáceres")</f>
        <v>Estudiante(s): Zuluaga Cáceres</v>
      </c>
      <c r="AQ816" s="6" t="str">
        <f>IFERROR(__xludf.DUMMYFUNCTION("""COMPUTED_VALUE"""),"120014*Gi")</f>
        <v>120014*Gi</v>
      </c>
      <c r="AR816" s="6" t="str">
        <f>IFERROR(__xludf.DUMMYFUNCTION("""COMPUTED_VALUE"""),"Luis")</f>
        <v>Luis</v>
      </c>
      <c r="AS816" s="6" t="str">
        <f>IFERROR(__xludf.DUMMYFUNCTION("""COMPUTED_VALUE"""),"Arnoldo")</f>
        <v>Arnoldo</v>
      </c>
      <c r="AT816" s="6" t="str">
        <f>IFERROR(__xludf.DUMMYFUNCTION("""COMPUTED_VALUE"""),"Zuluaga Zuluaga")</f>
        <v>Zuluaga Zuluaga</v>
      </c>
      <c r="AU816" s="6" t="str">
        <f>IFERROR(__xludf.DUMMYFUNCTION("""COMPUTED_VALUE"""),"arnoldozuluaga@cerroccopane.com")</f>
        <v>arnoldozuluaga@cerroccopane.com</v>
      </c>
      <c r="AV816" s="6" t="str">
        <f>IFERROR(__xludf.DUMMYFUNCTION("""COMPUTED_VALUE"""),"Administración de Empresas")</f>
        <v>Administración de Empresas</v>
      </c>
      <c r="AW816" s="6" t="str">
        <f>IFERROR(__xludf.DUMMYFUNCTION("""COMPUTED_VALUE"""),"cerroccopane")</f>
        <v>cerroccopane</v>
      </c>
      <c r="AX816" s="12" t="str">
        <f>IFERROR(__xludf.DUMMYFUNCTION("""COMPUTED_VALUE"""),"7516544")</f>
        <v>7516544</v>
      </c>
      <c r="AY816" s="12" t="str">
        <f>IFERROR(__xludf.DUMMYFUNCTION("""COMPUTED_VALUE"""),"3138430296")</f>
        <v>3138430296</v>
      </c>
      <c r="AZ816" s="6" t="str">
        <f>IFERROR(__xludf.DUMMYFUNCTION("""COMPUTED_VALUE"""),"Padre")</f>
        <v>Padre</v>
      </c>
      <c r="BA816" s="6"/>
      <c r="BB816" s="6"/>
      <c r="BC816" s="6"/>
      <c r="BD816" s="12" t="str">
        <f>IFERROR(__xludf.DUMMYFUNCTION("""COMPUTED_VALUE"""),"zul0009")</f>
        <v>zul0009</v>
      </c>
      <c r="BE816" s="6" t="str">
        <f>IFERROR(__xludf.DUMMYFUNCTION("""COMPUTED_VALUE"""),"FALTAN FIRMAS")</f>
        <v>FALTAN FIRMAS</v>
      </c>
      <c r="BF816" s="6"/>
      <c r="BG816" s="6">
        <f>IFERROR(__xludf.DUMMYFUNCTION("""COMPUTED_VALUE"""),2027.0)</f>
        <v>2027</v>
      </c>
      <c r="BH816" s="15">
        <f>IFERROR(__xludf.DUMMYFUNCTION("""COMPUTED_VALUE"""),46212.11383101852)</f>
        <v>46212.11383</v>
      </c>
      <c r="BI816" s="6">
        <f>IFERROR(__xludf.DUMMYFUNCTION("""COMPUTED_VALUE"""),817.0)</f>
        <v>817</v>
      </c>
      <c r="BJ816" s="6"/>
      <c r="BK816" s="6"/>
      <c r="BL816" s="6" t="str">
        <f>IFERROR(__xludf.DUMMYFUNCTION("""COMPUTED_VALUE"""),"GISZUL0009")</f>
        <v>GISZUL0009</v>
      </c>
      <c r="BM816" s="6"/>
      <c r="BN816" s="6"/>
      <c r="BO816" s="6"/>
      <c r="BP816" s="6"/>
      <c r="BQ816" s="6"/>
      <c r="BR816" s="6"/>
      <c r="BS816" s="6"/>
      <c r="BT816" s="6"/>
      <c r="BU816" s="6" t="str">
        <f>IFERROR(__xludf.DUMMYFUNCTION("""COMPUTED_VALUE"""),"SI")</f>
        <v>SI</v>
      </c>
      <c r="BV816" s="6" t="str">
        <f>IFERROR(__xludf.DUMMYFUNCTION("""COMPUTED_VALUE"""),"blanca.z2027")</f>
        <v>blanca.z2027</v>
      </c>
      <c r="BW816" s="6"/>
      <c r="BX816" s="6"/>
      <c r="BY816" s="6"/>
      <c r="BZ816" s="6"/>
    </row>
    <row r="817">
      <c r="A817" s="12">
        <f>IFERROR(__xludf.DUMMYFUNCTION("""COMPUTED_VALUE"""),1.150685207E9)</f>
        <v>1150685207</v>
      </c>
      <c r="B817" s="6">
        <f>IFERROR(__xludf.DUMMYFUNCTION("""COMPUTED_VALUE"""),51.0)</f>
        <v>51</v>
      </c>
      <c r="C817" s="6" t="str">
        <f>IFERROR(__xludf.DUMMYFUNCTION("""COMPUTED_VALUE"""),"Yara")</f>
        <v>Yara</v>
      </c>
      <c r="D817" s="6"/>
      <c r="E817" s="6" t="str">
        <f>IFERROR(__xludf.DUMMYFUNCTION("""COMPUTED_VALUE"""),"Zuluaga López")</f>
        <v>Zuluaga López</v>
      </c>
      <c r="F817" s="6" t="str">
        <f>IFERROR(__xludf.DUMMYFUNCTION("""COMPUTED_VALUE"""),"Calle 24Nte No5 - 07 - Av Centenario")</f>
        <v>Calle 24Nte No5 - 07 - Av Centenario</v>
      </c>
      <c r="G817" s="12" t="str">
        <f>IFERROR(__xludf.DUMMYFUNCTION("""COMPUTED_VALUE"""),"2008")</f>
        <v>2008</v>
      </c>
      <c r="H817" s="6" t="str">
        <f>IFERROR(__xludf.DUMMYFUNCTION("""COMPUTED_VALUE"""),"Octubre")</f>
        <v>Octubre</v>
      </c>
      <c r="I817" s="12" t="str">
        <f>IFERROR(__xludf.DUMMYFUNCTION("""COMPUTED_VALUE"""),"21")</f>
        <v>21</v>
      </c>
      <c r="J817" s="6" t="str">
        <f>IFERROR(__xludf.DUMMYFUNCTION("""COMPUTED_VALUE"""),"Cali")</f>
        <v>Cali</v>
      </c>
      <c r="K817" s="6" t="str">
        <f>IFERROR(__xludf.DUMMYFUNCTION("""COMPUTED_VALUE"""),"yara.z2027@gi.edu.co")</f>
        <v>yara.z2027@gi.edu.co</v>
      </c>
      <c r="L817" s="6" t="str">
        <f>IFERROR(__xludf.DUMMYFUNCTION("""COMPUTED_VALUE"""),"TI")</f>
        <v>TI</v>
      </c>
      <c r="M817" s="6" t="str">
        <f>IFERROR(__xludf.DUMMYFUNCTION("""COMPUTED_VALUE"""),"Cali")</f>
        <v>Cali</v>
      </c>
      <c r="N817" s="6" t="str">
        <f>IFERROR(__xludf.DUMMYFUNCTION("""COMPUTED_VALUE"""),"F")</f>
        <v>F</v>
      </c>
      <c r="O817" s="6" t="str">
        <f>IFERROR(__xludf.DUMMYFUNCTION("""COMPUTED_VALUE"""),"ACTIVE")</f>
        <v>ACTIVE</v>
      </c>
      <c r="P817" s="6"/>
      <c r="Q817" s="6" t="str">
        <f>IFERROR(__xludf.DUMMYFUNCTION("""COMPUTED_VALUE"""),"Armenia")</f>
        <v>Armenia</v>
      </c>
      <c r="R817" s="12" t="str">
        <f>IFERROR(__xludf.DUMMYFUNCTION("""COMPUTED_VALUE"""),"Gis894nh9*")</f>
        <v>Gis894nh9*</v>
      </c>
      <c r="S817" s="6" t="str">
        <f>IFERROR(__xludf.DUMMYFUNCTION("""COMPUTED_VALUE"""),"Zuluaga López Yara ")</f>
        <v>Zuluaga López Yara </v>
      </c>
      <c r="T817" s="6" t="str">
        <f>IFERROR(__xludf.DUMMYFUNCTION("""COMPUTED_VALUE"""),"ARLEY ANTONIO ZULUAGA GIRALDO")</f>
        <v>ARLEY ANTONIO ZULUAGA GIRALDO</v>
      </c>
      <c r="U817" s="12" t="str">
        <f>IFERROR(__xludf.DUMMYFUNCTION("""COMPUTED_VALUE"""),"94379372")</f>
        <v>94379372</v>
      </c>
      <c r="V817" s="6">
        <f>IFERROR(__xludf.DUMMYFUNCTION("""COMPUTED_VALUE"""),3.225397384E9)</f>
        <v>3225397384</v>
      </c>
      <c r="W817" s="6" t="str">
        <f>IFERROR(__xludf.DUMMYFUNCTION("""COMPUTED_VALUE"""),"zuluaga1772@gmail.com")</f>
        <v>zuluaga1772@gmail.com</v>
      </c>
      <c r="X817" s="12" t="str">
        <f>IFERROR(__xludf.DUMMYFUNCTION("""COMPUTED_VALUE"""),"A+")</f>
        <v>A+</v>
      </c>
      <c r="Y817" s="12" t="str">
        <f>IFERROR(__xludf.DUMMYFUNCTION("""COMPUTED_VALUE"""),"12")</f>
        <v>12</v>
      </c>
      <c r="Z817" s="12">
        <f>IFERROR(__xludf.DUMMYFUNCTION("""COMPUTED_VALUE"""),120100.0)</f>
        <v>120100</v>
      </c>
      <c r="AA817" s="6" t="str">
        <f>IFERROR(__xludf.DUMMYFUNCTION("""COMPUTED_VALUE"""),"OTRA")</f>
        <v>OTRA</v>
      </c>
      <c r="AB817" s="6"/>
      <c r="AC817" s="12" t="str">
        <f>IFERROR(__xludf.DUMMYFUNCTION("""COMPUTED_VALUE"""),"Ketflex")</f>
        <v>Ketflex</v>
      </c>
      <c r="AD817" s="12" t="str">
        <f>IFERROR(__xludf.DUMMYFUNCTION("""COMPUTED_VALUE"""),"12")</f>
        <v>12</v>
      </c>
      <c r="AE817" s="12">
        <f>IFERROR(__xludf.DUMMYFUNCTION("""COMPUTED_VALUE"""),1.345282072E9)</f>
        <v>1345282072</v>
      </c>
      <c r="AF817" s="12" t="str">
        <f>IFERROR(__xludf.DUMMYFUNCTION("""COMPUTED_VALUE"""),"0688968627")</f>
        <v>0688968627</v>
      </c>
      <c r="AG817" s="12" t="str">
        <f>IFERROR(__xludf.DUMMYFUNCTION("""COMPUTED_VALUE"""),"Doreley")</f>
        <v>Doreley</v>
      </c>
      <c r="AH817" s="6"/>
      <c r="AI817" s="6" t="str">
        <f>IFERROR(__xludf.DUMMYFUNCTION("""COMPUTED_VALUE"""),"López Toro")</f>
        <v>López Toro</v>
      </c>
      <c r="AJ817" s="6" t="str">
        <f>IFERROR(__xludf.DUMMYFUNCTION("""COMPUTED_VALUE"""),"doreley19@hotmail.com")</f>
        <v>doreley19@hotmail.com</v>
      </c>
      <c r="AK817" s="6" t="str">
        <f>IFERROR(__xludf.DUMMYFUNCTION("""COMPUTED_VALUE"""),"comerciante")</f>
        <v>comerciante</v>
      </c>
      <c r="AL817" s="6" t="str">
        <f>IFERROR(__xludf.DUMMYFUNCTION("""COMPUTED_VALUE"""),"la casa del pandebono")</f>
        <v>la casa del pandebono</v>
      </c>
      <c r="AM817" s="12" t="str">
        <f>IFERROR(__xludf.DUMMYFUNCTION("""COMPUTED_VALUE"""),"29670680")</f>
        <v>29670680</v>
      </c>
      <c r="AN817" s="12" t="str">
        <f>IFERROR(__xludf.DUMMYFUNCTION("""COMPUTED_VALUE"""),"3218007466")</f>
        <v>3218007466</v>
      </c>
      <c r="AO817" s="6" t="str">
        <f>IFERROR(__xludf.DUMMYFUNCTION("""COMPUTED_VALUE"""),"Madre")</f>
        <v>Madre</v>
      </c>
      <c r="AP817" s="6" t="str">
        <f>IFERROR(__xludf.DUMMYFUNCTION("""COMPUTED_VALUE"""),"Estudiante(s): Zuluaga López")</f>
        <v>Estudiante(s): Zuluaga López</v>
      </c>
      <c r="AQ817" s="6" t="str">
        <f>IFERROR(__xludf.DUMMYFUNCTION("""COMPUTED_VALUE"""),"120099*Gi")</f>
        <v>120099*Gi</v>
      </c>
      <c r="AR817" s="6" t="str">
        <f>IFERROR(__xludf.DUMMYFUNCTION("""COMPUTED_VALUE"""),"Arley")</f>
        <v>Arley</v>
      </c>
      <c r="AS817" s="6" t="str">
        <f>IFERROR(__xludf.DUMMYFUNCTION("""COMPUTED_VALUE"""),"Antonio")</f>
        <v>Antonio</v>
      </c>
      <c r="AT817" s="6" t="str">
        <f>IFERROR(__xludf.DUMMYFUNCTION("""COMPUTED_VALUE"""),"Zuluaga Giraldo")</f>
        <v>Zuluaga Giraldo</v>
      </c>
      <c r="AU817" s="6" t="str">
        <f>IFERROR(__xludf.DUMMYFUNCTION("""COMPUTED_VALUE"""),"zuluaga1772@gmail.com")</f>
        <v>zuluaga1772@gmail.com</v>
      </c>
      <c r="AV817" s="6" t="str">
        <f>IFERROR(__xludf.DUMMYFUNCTION("""COMPUTED_VALUE"""),"comerciante")</f>
        <v>comerciante</v>
      </c>
      <c r="AW817" s="6" t="str">
        <f>IFERROR(__xludf.DUMMYFUNCTION("""COMPUTED_VALUE"""),"panaderia peter pan san jose")</f>
        <v>panaderia peter pan san jose</v>
      </c>
      <c r="AX817" s="12" t="str">
        <f>IFERROR(__xludf.DUMMYFUNCTION("""COMPUTED_VALUE"""),"94379372")</f>
        <v>94379372</v>
      </c>
      <c r="AY817" s="12" t="str">
        <f>IFERROR(__xludf.DUMMYFUNCTION("""COMPUTED_VALUE"""),"3225397384")</f>
        <v>3225397384</v>
      </c>
      <c r="AZ817" s="6" t="str">
        <f>IFERROR(__xludf.DUMMYFUNCTION("""COMPUTED_VALUE"""),"Padre")</f>
        <v>Padre</v>
      </c>
      <c r="BA817" s="6"/>
      <c r="BB817" s="6"/>
      <c r="BC817" s="6"/>
      <c r="BD817" s="12" t="str">
        <f>IFERROR(__xludf.DUMMYFUNCTION("""COMPUTED_VALUE"""),"zul0001")</f>
        <v>zul0001</v>
      </c>
      <c r="BE817" s="6"/>
      <c r="BF817" s="6"/>
      <c r="BG817" s="6">
        <f>IFERROR(__xludf.DUMMYFUNCTION("""COMPUTED_VALUE"""),2027.0)</f>
        <v>2027</v>
      </c>
      <c r="BH817" s="15">
        <f>IFERROR(__xludf.DUMMYFUNCTION("""COMPUTED_VALUE"""),46205.52542824074)</f>
        <v>46205.52543</v>
      </c>
      <c r="BI817" s="6">
        <f>IFERROR(__xludf.DUMMYFUNCTION("""COMPUTED_VALUE"""),818.0)</f>
        <v>818</v>
      </c>
      <c r="BJ817" s="6"/>
      <c r="BK817" s="6"/>
      <c r="BL817" s="6" t="str">
        <f>IFERROR(__xludf.DUMMYFUNCTION("""COMPUTED_VALUE"""),"GISZUL0001")</f>
        <v>GISZUL0001</v>
      </c>
      <c r="BM817" s="6"/>
      <c r="BN817" s="6"/>
      <c r="BO817" s="6"/>
      <c r="BP817" s="6"/>
      <c r="BQ817" s="6"/>
      <c r="BR817" s="6"/>
      <c r="BS817" s="6"/>
      <c r="BT817" s="6"/>
      <c r="BU817" s="6" t="str">
        <f>IFERROR(__xludf.DUMMYFUNCTION("""COMPUTED_VALUE"""),"SI")</f>
        <v>SI</v>
      </c>
      <c r="BV817" s="6" t="str">
        <f>IFERROR(__xludf.DUMMYFUNCTION("""COMPUTED_VALUE"""),"yara.z2027")</f>
        <v>yara.z2027</v>
      </c>
      <c r="BW817" s="6"/>
      <c r="BX817" s="6"/>
      <c r="BY817" s="6"/>
      <c r="B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 t="str">
        <f>IFERROR(__xludf.DUMMYFUNCTION("""COMPUTED_VALUE"""),"Madre")</f>
        <v>Madre</v>
      </c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 t="str">
        <f>IFERROR(__xludf.DUMMYFUNCTION("""COMPUTED_VALUE"""),"Padre")</f>
        <v>Padre</v>
      </c>
      <c r="BA818" s="6"/>
      <c r="BB818" s="6"/>
      <c r="BC818" s="6"/>
      <c r="BD818" s="6"/>
      <c r="BE818" s="6"/>
      <c r="BF818" s="6"/>
      <c r="BG818" s="6"/>
      <c r="BH818" s="6"/>
      <c r="BI818" s="6">
        <f>IFERROR(__xludf.DUMMYFUNCTION("""COMPUTED_VALUE"""),819.0)</f>
        <v>819</v>
      </c>
      <c r="BJ818" s="6"/>
      <c r="BK818" s="6"/>
      <c r="BL818" s="6"/>
      <c r="BM818" s="6"/>
      <c r="BN818" s="6"/>
      <c r="BO818" s="6"/>
      <c r="BP818" s="6"/>
      <c r="BQ818" s="6"/>
      <c r="BR818" s="6"/>
      <c r="BS818" s="6"/>
      <c r="BT818" s="6"/>
      <c r="BU818" s="6"/>
      <c r="BV818" s="6"/>
      <c r="BW818" s="6"/>
      <c r="BX818" s="6"/>
      <c r="BY818" s="6"/>
      <c r="B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  <c r="BM819" s="6"/>
      <c r="BN819" s="6"/>
      <c r="BO819" s="6"/>
      <c r="BP819" s="6"/>
      <c r="BQ819" s="6"/>
      <c r="BR819" s="6"/>
      <c r="BS819" s="6"/>
      <c r="BT819" s="6"/>
      <c r="BU819" s="6"/>
      <c r="BV819" s="6"/>
      <c r="BW819" s="6"/>
      <c r="BX819" s="6"/>
      <c r="BY819" s="6"/>
      <c r="B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>
        <f>IFERROR(__xludf.DUMMYFUNCTION("""COMPUTED_VALUE"""),359.0)</f>
        <v>359</v>
      </c>
      <c r="O820" s="6">
        <f>IFERROR(__xludf.DUMMYFUNCTION("""COMPUTED_VALUE"""),193.0)</f>
        <v>193</v>
      </c>
      <c r="P820" s="12">
        <f>IFERROR(__xludf.DUMMYFUNCTION("""COMPUTED_VALUE"""),191.0)</f>
        <v>191</v>
      </c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  <c r="BM820" s="6"/>
      <c r="BN820" s="6"/>
      <c r="BO820" s="6"/>
      <c r="BP820" s="6"/>
      <c r="BQ820" s="6"/>
      <c r="BR820" s="6"/>
      <c r="BS820" s="6"/>
      <c r="BT820" s="6"/>
      <c r="BU820" s="6"/>
      <c r="BV820" s="6"/>
      <c r="BW820" s="6"/>
      <c r="BX820" s="6"/>
      <c r="BY820" s="6"/>
      <c r="BZ820" s="6"/>
    </row>
    <row r="821">
      <c r="A821" s="6" t="str">
        <f>IFERROR(__xludf.DUMMYFUNCTION("""COMPUTED_VALUE"""),"TOTAL ST")</f>
        <v>TOTAL ST</v>
      </c>
      <c r="B821" s="12">
        <f>IFERROR(__xludf.DUMMYFUNCTION("""COMPUTED_VALUE"""),787.0)</f>
        <v>787</v>
      </c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>
        <f>IFERROR(__xludf.DUMMYFUNCTION("""COMPUTED_VALUE"""),344.0)</f>
        <v>344</v>
      </c>
      <c r="O821" s="6">
        <f>IFERROR(__xludf.DUMMYFUNCTION("""COMPUTED_VALUE"""),594.0)</f>
        <v>594</v>
      </c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12">
        <f>IFERROR(__xludf.DUMMYFUNCTION("""COMPUTED_VALUE"""),785.0)</f>
        <v>785</v>
      </c>
      <c r="BI821" s="6"/>
      <c r="BJ821" s="6"/>
      <c r="BK821" s="6"/>
      <c r="BL821" s="6"/>
      <c r="BM821" s="6"/>
      <c r="BN821" s="6"/>
      <c r="BO821" s="6"/>
      <c r="BP821" s="6"/>
      <c r="BQ821" s="6"/>
      <c r="BR821" s="6"/>
      <c r="BS821" s="6"/>
      <c r="BT821" s="6"/>
      <c r="BU821" s="6"/>
      <c r="BV821" s="6"/>
      <c r="BW821" s="6"/>
      <c r="BX821" s="6"/>
      <c r="BY821" s="6"/>
      <c r="BZ821" s="6"/>
    </row>
    <row r="822">
      <c r="A822" s="6" t="str">
        <f>IFERROR(__xludf.DUMMYFUNCTION("""COMPUTED_VALUE"""),"*")</f>
        <v>*</v>
      </c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  <c r="BM822" s="6"/>
      <c r="BN822" s="6"/>
      <c r="BO822" s="6"/>
      <c r="BP822" s="6"/>
      <c r="BQ822" s="6"/>
      <c r="BR822" s="6"/>
      <c r="BS822" s="6"/>
      <c r="BT822" s="6"/>
      <c r="BU822" s="6"/>
      <c r="BV822" s="6"/>
      <c r="BW822" s="6"/>
      <c r="BX822" s="6"/>
      <c r="BY822" s="6"/>
      <c r="B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  <c r="BP823" s="6"/>
      <c r="BQ823" s="6"/>
      <c r="BR823" s="6"/>
      <c r="BS823" s="6"/>
      <c r="BT823" s="6"/>
      <c r="BU823" s="6"/>
      <c r="BV823" s="6"/>
      <c r="BW823" s="6"/>
      <c r="BX823" s="6"/>
      <c r="BY823" s="6"/>
      <c r="BZ823" s="6"/>
    </row>
    <row r="824">
      <c r="A824" s="6" t="str">
        <f>IFERROR(__xludf.DUMMYFUNCTION("""COMPUTED_VALUE"""),"*")</f>
        <v>*</v>
      </c>
      <c r="B824" s="6"/>
      <c r="C824" s="6" t="str">
        <f>IFERROR(__xludf.DUMMYFUNCTION("""COMPUTED_VALUE"""),"ESTUDIANTE")</f>
        <v>ESTUDIANTE</v>
      </c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  <c r="BQ824" s="6"/>
      <c r="BR824" s="6"/>
      <c r="BS824" s="6"/>
      <c r="BT824" s="6"/>
      <c r="BU824" s="6"/>
      <c r="BV824" s="6"/>
      <c r="BW824" s="6"/>
      <c r="BX824" s="6"/>
      <c r="BY824" s="6"/>
      <c r="BZ824" s="6"/>
    </row>
    <row r="825">
      <c r="A825" s="6" t="str">
        <f>IFERROR(__xludf.DUMMYFUNCTION("""COMPUTED_VALUE"""),"3R HERMANITO")</f>
        <v>3R HERMANITO</v>
      </c>
      <c r="B825" s="6" t="str">
        <f>IFERROR(__xludf.DUMMYFUNCTION("""COMPUTED_VALUE"""),"K3")</f>
        <v>K3</v>
      </c>
      <c r="C825" s="6" t="str">
        <f>IFERROR(__xludf.DUMMYFUNCTION("""COMPUTED_VALUE"""),"Samuel Mejía Marín")</f>
        <v>Samuel Mejía Marín</v>
      </c>
      <c r="D825" s="6" t="str">
        <f>IFERROR(__xludf.DUMMYFUNCTION("""COMPUTED_VALUE"""),"K3")</f>
        <v>K3</v>
      </c>
      <c r="E825" s="6" t="str">
        <f>IFERROR(__xludf.DUMMYFUNCTION("""COMPUTED_VALUE"""),"Samuel Mejía Marín")</f>
        <v>Samuel Mejía Marín</v>
      </c>
      <c r="F825" s="6"/>
      <c r="G825" s="6"/>
      <c r="H825" s="6"/>
      <c r="I825" s="6"/>
      <c r="J825" s="6"/>
      <c r="K825" s="12" t="str">
        <f>IFERROR(__xludf.DUMMYFUNCTION("""COMPUTED_VALUE"""),"samuel.m2041@gi.edu.co")</f>
        <v>samuel.m2041@gi.edu.co</v>
      </c>
      <c r="L825" s="6"/>
      <c r="M825" s="6"/>
      <c r="N825" s="6" t="str">
        <f>IFERROR(__xludf.DUMMYFUNCTION("""COMPUTED_VALUE"""),"M")</f>
        <v>M</v>
      </c>
      <c r="O825" s="6" t="str">
        <f>IFERROR(__xludf.DUMMYFUNCTION("""COMPUTED_VALUE"""),"INACTIVE")</f>
        <v>INACTIVE</v>
      </c>
      <c r="P825" s="6" t="str">
        <f>IFERROR(__xludf.DUMMYFUNCTION("""COMPUTED_VALUE"""),"3erHermano")</f>
        <v>3erHermano</v>
      </c>
      <c r="Q825" s="6"/>
      <c r="R825" s="12" t="str">
        <f>IFERROR(__xludf.DUMMYFUNCTION("""COMPUTED_VALUE"""),"GiH3Tk7C*")</f>
        <v>GiH3Tk7C*</v>
      </c>
      <c r="S825" s="6" t="str">
        <f>IFERROR(__xludf.DUMMYFUNCTION("""COMPUTED_VALUE"""),"Samuel Mejía Marín Samuel Mejía Marín K3")</f>
        <v>Samuel Mejía Marín Samuel Mejía Marín K3</v>
      </c>
      <c r="T825" s="6" t="str">
        <f>IFERROR(__xludf.DUMMYFUNCTION("""COMPUTED_VALUE"""),"NATHALIA ANDREA MARIN SALAZAR")</f>
        <v>NATHALIA ANDREA MARIN SALAZAR</v>
      </c>
      <c r="U825" s="12" t="str">
        <f>IFERROR(__xludf.DUMMYFUNCTION("""COMPUTED_VALUE"""),"1020757715")</f>
        <v>1020757715</v>
      </c>
      <c r="V825" s="6">
        <f>IFERROR(__xludf.DUMMYFUNCTION("""COMPUTED_VALUE"""),3.116875545E9)</f>
        <v>3116875545</v>
      </c>
      <c r="W825" s="6" t="str">
        <f>IFERROR(__xludf.DUMMYFUNCTION("""COMPUTED_VALUE"""),"tomaguas326@gmail.com")</f>
        <v>tomaguas326@gmail.com</v>
      </c>
      <c r="X825" s="6"/>
      <c r="Y825" s="6" t="str">
        <f>IFERROR(__xludf.DUMMYFUNCTION("""COMPUTED_VALUE"""),"K3")</f>
        <v>K3</v>
      </c>
      <c r="Z825" s="6"/>
      <c r="AA825" s="6" t="str">
        <f>IFERROR(__xludf.DUMMYFUNCTION("""COMPUTED_VALUE"""),"SURA")</f>
        <v>SURA</v>
      </c>
      <c r="AB825" s="6"/>
      <c r="AC825" s="6"/>
      <c r="AD825" s="6" t="str">
        <f>IFERROR(__xludf.DUMMYFUNCTION("""COMPUTED_VALUE"""),"K3B")</f>
        <v>K3B</v>
      </c>
      <c r="AE825" s="12" t="str">
        <f>IFERROR(__xludf.DUMMYFUNCTION("""COMPUTED_VALUE"""),"1345282630")</f>
        <v>1345282630</v>
      </c>
      <c r="AF825" s="12" t="str">
        <f>IFERROR(__xludf.DUMMYFUNCTION("""COMPUTED_VALUE"""),"1345282630")</f>
        <v>1345282630</v>
      </c>
      <c r="AG825" s="12" t="str">
        <f>IFERROR(__xludf.DUMMYFUNCTION("""COMPUTED_VALUE"""),"Nathalia")</f>
        <v>Nathalia</v>
      </c>
      <c r="AH825" s="12" t="str">
        <f>IFERROR(__xludf.DUMMYFUNCTION("""COMPUTED_VALUE"""),"Andrea")</f>
        <v>Andrea</v>
      </c>
      <c r="AI825" s="6" t="str">
        <f>IFERROR(__xludf.DUMMYFUNCTION("""COMPUTED_VALUE"""),"Marín Salazar")</f>
        <v>Marín Salazar</v>
      </c>
      <c r="AJ825" s="6" t="str">
        <f>IFERROR(__xludf.DUMMYFUNCTION("""COMPUTED_VALUE"""),"nataliamarinsalazar@gmail.com")</f>
        <v>nataliamarinsalazar@gmail.com</v>
      </c>
      <c r="AK825" s="6" t="str">
        <f>IFERROR(__xludf.DUMMYFUNCTION("""COMPUTED_VALUE"""),"Diseñadora de moda")</f>
        <v>Diseñadora de moda</v>
      </c>
      <c r="AL825" s="6"/>
      <c r="AM825" s="12" t="str">
        <f>IFERROR(__xludf.DUMMYFUNCTION("""COMPUTED_VALUE"""),"1020757715")</f>
        <v>1020757715</v>
      </c>
      <c r="AN825" s="12" t="str">
        <f>IFERROR(__xludf.DUMMYFUNCTION("""COMPUTED_VALUE"""),"3116875545")</f>
        <v>3116875545</v>
      </c>
      <c r="AO825" s="6" t="str">
        <f>IFERROR(__xludf.DUMMYFUNCTION("""COMPUTED_VALUE"""),"Madre")</f>
        <v>Madre</v>
      </c>
      <c r="AP825" s="6" t="str">
        <f>IFERROR(__xludf.DUMMYFUNCTION("""COMPUTED_VALUE"""),"Estudiante(s): Mejía Marín")</f>
        <v>Estudiante(s): Mejía Marín</v>
      </c>
      <c r="AQ825" s="6" t="str">
        <f>IFERROR(__xludf.DUMMYFUNCTION("""COMPUTED_VALUE"""),"103969*Gi")</f>
        <v>103969*Gi</v>
      </c>
      <c r="AR825" s="6" t="str">
        <f>IFERROR(__xludf.DUMMYFUNCTION("""COMPUTED_VALUE"""),"Ronald")</f>
        <v>Ronald</v>
      </c>
      <c r="AS825" s="6" t="str">
        <f>IFERROR(__xludf.DUMMYFUNCTION("""COMPUTED_VALUE"""),"Jaime")</f>
        <v>Jaime</v>
      </c>
      <c r="AT825" s="6" t="str">
        <f>IFERROR(__xludf.DUMMYFUNCTION("""COMPUTED_VALUE"""),"Mejía")</f>
        <v>Mejía</v>
      </c>
      <c r="AU825" s="6" t="str">
        <f>IFERROR(__xludf.DUMMYFUNCTION("""COMPUTED_VALUE"""),"rm032603@gmail.com")</f>
        <v>rm032603@gmail.com</v>
      </c>
      <c r="AV825" s="6" t="str">
        <f>IFERROR(__xludf.DUMMYFUNCTION("""COMPUTED_VALUE"""),"Administrador de empresas")</f>
        <v>Administrador de empresas</v>
      </c>
      <c r="AW825" s="6" t="str">
        <f>IFERROR(__xludf.DUMMYFUNCTION("""COMPUTED_VALUE"""),"Top trucking")</f>
        <v>Top trucking</v>
      </c>
      <c r="AX825" s="12" t="str">
        <f>IFERROR(__xludf.DUMMYFUNCTION("""COMPUTED_VALUE"""),"1094885055")</f>
        <v>1094885055</v>
      </c>
      <c r="AY825" s="12" t="str">
        <f>IFERROR(__xludf.DUMMYFUNCTION("""COMPUTED_VALUE"""),"3108753452")</f>
        <v>3108753452</v>
      </c>
      <c r="AZ825" s="6" t="str">
        <f>IFERROR(__xludf.DUMMYFUNCTION("""COMPUTED_VALUE"""),"Padre")</f>
        <v>Padre</v>
      </c>
      <c r="BA825" s="6"/>
      <c r="BB825" s="6"/>
      <c r="BC825" s="6"/>
      <c r="BD825" s="12" t="str">
        <f>IFERROR(__xludf.DUMMYFUNCTION("""COMPUTED_VALUE"""),"mej0021")</f>
        <v>mej0021</v>
      </c>
      <c r="BE825" s="6" t="str">
        <f>IFERROR(__xludf.DUMMYFUNCTION("""COMPUTED_VALUE"""),"NUEVO(A)")</f>
        <v>NUEVO(A)</v>
      </c>
      <c r="BF825" s="6"/>
      <c r="BG825" s="6">
        <f>IFERROR(__xludf.DUMMYFUNCTION("""COMPUTED_VALUE"""),2041.0)</f>
        <v>2041</v>
      </c>
      <c r="BH825" s="6"/>
      <c r="BI825" s="6"/>
      <c r="BJ825" s="6"/>
      <c r="BK825" s="6"/>
      <c r="BL825" s="6" t="str">
        <f>IFERROR(__xludf.DUMMYFUNCTION("""COMPUTED_VALUE"""),"GISMEJ0021")</f>
        <v>GISMEJ0021</v>
      </c>
      <c r="BM825" s="6"/>
      <c r="BN825" s="6"/>
      <c r="BO825" s="6"/>
      <c r="BP825" s="6"/>
      <c r="BQ825" s="6"/>
      <c r="BR825" s="6"/>
      <c r="BS825" s="6"/>
      <c r="BT825" s="6"/>
      <c r="BU825" s="6"/>
      <c r="BV825" s="12" t="str">
        <f>IFERROR(__xludf.DUMMYFUNCTION("""COMPUTED_VALUE"""),"samuel.m2041")</f>
        <v>samuel.m2041</v>
      </c>
      <c r="BW825" s="6"/>
      <c r="BX825" s="6"/>
      <c r="BY825" s="6"/>
      <c r="BZ825" s="6"/>
    </row>
  </sheetData>
  <hyperlinks>
    <hyperlink r:id="rId1" ref="AM1"/>
    <hyperlink r:id="rId2" ref="AX1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31.5" customHeight="1">
      <c r="A1" s="4" t="str">
        <f>IFERROR(__xludf.DUMMYFUNCTION("IMPORTRANGE(""1QzJaJdMf6GDqhaJByNU55x9jlym8vWhKyn3UxMRG0cA"",""Novedades_Diarias!A1:BZ"")"),"NovedadID")</f>
        <v>NovedadID</v>
      </c>
      <c r="B1" s="4" t="str">
        <f>IFERROR(__xludf.DUMMYFUNCTION("""COMPUTED_VALUE"""),"StudentID")</f>
        <v>StudentID</v>
      </c>
      <c r="C1" s="4" t="str">
        <f>IFERROR(__xludf.DUMMYFUNCTION("""COMPUTED_VALUE"""),"Novedad_de_Salida_Diaria")</f>
        <v>Novedad_de_Salida_Diaria</v>
      </c>
      <c r="D1" s="4" t="str">
        <f>IFERROR(__xludf.DUMMYFUNCTION("""COMPUTED_VALUE"""),"Se_AusentaCon_Tipo")</f>
        <v>Se_AusentaCon_Tipo</v>
      </c>
      <c r="E1" s="4" t="str">
        <f>IFERROR(__xludf.DUMMYFUNCTION("""COMPUTED_VALUE"""),"Se ausenta con")</f>
        <v>Se ausenta con</v>
      </c>
      <c r="F1" s="4" t="str">
        <f>IFERROR(__xludf.DUMMYFUNCTION("""COMPUTED_VALUE"""),"Se ausenta con Otro")</f>
        <v>Se ausenta con Otro</v>
      </c>
      <c r="G1" s="4" t="str">
        <f>IFERROR(__xludf.DUMMYFUNCTION("""COMPUTED_VALUE"""),"Grado_Estudiante_Snap")</f>
        <v>Grado_Estudiante_Snap</v>
      </c>
      <c r="H1" s="4" t="str">
        <f>IFERROR(__xludf.DUMMYFUNCTION("""COMPUTED_VALUE"""),"Nombre_Estudiante_Snap")</f>
        <v>Nombre_Estudiante_Snap</v>
      </c>
      <c r="I1" s="4" t="str">
        <f>IFERROR(__xludf.DUMMYFUNCTION("""COMPUTED_VALUE"""),"Foto_Estudiante_Snap")</f>
        <v>Foto_Estudiante_Snap</v>
      </c>
      <c r="J1" s="4" t="str">
        <f>IFERROR(__xludf.DUMMYFUNCTION("""COMPUTED_VALUE"""),"FechaHora")</f>
        <v>FechaHora</v>
      </c>
      <c r="K1" s="4" t="str">
        <f>IFERROR(__xludf.DUMMYFUNCTION("""COMPUTED_VALUE"""),"RegistradoPor")</f>
        <v>RegistradoPor</v>
      </c>
      <c r="L1" s="4" t="str">
        <f>IFERROR(__xludf.DUMMYFUNCTION("""COMPUTED_VALUE"""),"ScanCode")</f>
        <v>ScanCode</v>
      </c>
      <c r="M1" s="4" t="str">
        <f>IFERROR(__xludf.DUMMYFUNCTION("""COMPUTED_VALUE"""),"Fecha_Creacion
")</f>
        <v>Fecha_Creacion
</v>
      </c>
      <c r="N1" s="4" t="str">
        <f>IFERROR(__xludf.DUMMYFUNCTION("""COMPUTED_VALUE"""),"Estado")</f>
        <v>Estado</v>
      </c>
      <c r="O1" s="4" t="str">
        <f>IFERROR(__xludf.DUMMYFUNCTION("""COMPUTED_VALUE"""),"EjecutadoEn")</f>
        <v>EjecutadoEn</v>
      </c>
      <c r="P1" s="4" t="str">
        <f>IFERROR(__xludf.DUMMYFUNCTION("""COMPUTED_VALUE"""),"Verifico Salida")</f>
        <v>Verifico Salida</v>
      </c>
      <c r="Q1" s="4" t="str">
        <f>IFERROR(__xludf.DUMMYFUNCTION("""COMPUTED_VALUE"""),"Ejecuta la Novedad")</f>
        <v>Ejecuta la Novedad</v>
      </c>
      <c r="R1" s="4" t="str">
        <f>IFERROR(__xludf.DUMMYFUNCTION("""COMPUTED_VALUE"""),"Tipo de Novedad")</f>
        <v>Tipo de Novedad</v>
      </c>
      <c r="S1" s="4" t="str">
        <f>IFERROR(__xludf.DUMMYFUNCTION("""COMPUTED_VALUE"""),"Regresa_Al_Colegio")</f>
        <v>Regresa_Al_Colegio</v>
      </c>
      <c r="T1" s="4" t="str">
        <f>IFERROR(__xludf.DUMMYFUNCTION("""COMPUTED_VALUE"""),"Hora_Estimada_Regreso")</f>
        <v>Hora_Estimada_Regreso</v>
      </c>
      <c r="U1" s="4" t="str">
        <f>IFERROR(__xludf.DUMMYFUNCTION("""COMPUTED_VALUE"""),"Flujo_Novedad")</f>
        <v>Flujo_Novedad</v>
      </c>
      <c r="V1" s="4" t="str">
        <f>IFERROR(__xludf.DUMMYFUNCTION("""COMPUTED_VALUE"""),"Fecha_Novedad")</f>
        <v>Fecha_Novedad</v>
      </c>
      <c r="W1" s="4"/>
      <c r="X1" s="4"/>
      <c r="Y1" s="4"/>
      <c r="Z1" s="4"/>
    </row>
    <row r="2">
      <c r="A2" s="6" t="str">
        <f>IFERROR(__xludf.DUMMYFUNCTION("""COMPUTED_VALUE"""),"7bd99ded")</f>
        <v>7bd99ded</v>
      </c>
      <c r="B2" s="7" t="str">
        <f>IFERROR(__xludf.DUMMYFUNCTION("""COMPUTED_VALUE"""),"1345281817")</f>
        <v>1345281817</v>
      </c>
      <c r="C2" s="6" t="str">
        <f>IFERROR(__xludf.DUMMYFUNCTION("""COMPUTED_VALUE"""),"De e asistir a una radiografía")</f>
        <v>De e asistir a una radiografía</v>
      </c>
      <c r="D2" s="6"/>
      <c r="E2" s="6" t="str">
        <f>IFERROR(__xludf.DUMMYFUNCTION("""COMPUTED_VALUE"""),"Sole caminando del colegio con autorización de la mamá")</f>
        <v>Sole caminando del colegio con autorización de la mamá</v>
      </c>
      <c r="F2" s="6"/>
      <c r="G2" s="6" t="str">
        <f>IFERROR(__xludf.DUMMYFUNCTION("""COMPUTED_VALUE"""),"11")</f>
        <v>11</v>
      </c>
      <c r="H2" s="6" t="str">
        <f>IFERROR(__xludf.DUMMYFUNCTION("""COMPUTED_VALUE"""),"Mejía Ceballos Tomás")</f>
        <v>Mejía Ceballos Tomás</v>
      </c>
      <c r="I2" s="6"/>
      <c r="J2" s="8">
        <f>IFERROR(__xludf.DUMMYFUNCTION("""COMPUTED_VALUE"""),46051.604166666664)</f>
        <v>46051.60417</v>
      </c>
      <c r="K2" s="6" t="str">
        <f>IFERROR(__xludf.DUMMYFUNCTION("""COMPUTED_VALUE"""),"albayl@gi.edu.co")</f>
        <v>albayl@gi.edu.co</v>
      </c>
      <c r="L2" s="6" t="str">
        <f>IFERROR(__xludf.DUMMYFUNCTION("""COMPUTED_VALUE"""),"1345281817")</f>
        <v>1345281817</v>
      </c>
      <c r="M2" s="9">
        <f>IFERROR(__xludf.DUMMYFUNCTION("""COMPUTED_VALUE"""),46051.53506944444)</f>
        <v>46051.53507</v>
      </c>
      <c r="N2" s="6" t="str">
        <f>IFERROR(__xludf.DUMMYFUNCTION("""COMPUTED_VALUE"""),"Pendiente")</f>
        <v>Pendiente</v>
      </c>
      <c r="O2" s="6"/>
      <c r="P2" s="10">
        <f>IFERROR(__xludf.DUMMYFUNCTION("""COMPUTED_VALUE"""),46051.53506944444)</f>
        <v>46051.53507</v>
      </c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 t="str">
        <f>IFERROR(__xludf.DUMMYFUNCTION("""COMPUTED_VALUE"""),"7c0b3ae7")</f>
        <v>7c0b3ae7</v>
      </c>
      <c r="B3" s="7" t="str">
        <f>IFERROR(__xludf.DUMMYFUNCTION("""COMPUTED_VALUE"""),"1345281585")</f>
        <v>1345281585</v>
      </c>
      <c r="C3" s="6" t="str">
        <f>IFERROR(__xludf.DUMMYFUNCTION("""COMPUTED_VALUE"""),"Entrenamiento deportivo")</f>
        <v>Entrenamiento deportivo</v>
      </c>
      <c r="D3" s="6"/>
      <c r="E3" s="6" t="str">
        <f>IFERROR(__xludf.DUMMYFUNCTION("""COMPUTED_VALUE"""),"Ecuardo- papá")</f>
        <v>Ecuardo- papá</v>
      </c>
      <c r="F3" s="6"/>
      <c r="G3" s="6" t="str">
        <f>IFERROR(__xludf.DUMMYFUNCTION("""COMPUTED_VALUE"""),"7")</f>
        <v>7</v>
      </c>
      <c r="H3" s="6" t="str">
        <f>IFERROR(__xludf.DUMMYFUNCTION("""COMPUTED_VALUE"""),"Herrera Cardona Emilio")</f>
        <v>Herrera Cardona Emilio</v>
      </c>
      <c r="I3" s="6"/>
      <c r="J3" s="8">
        <f>IFERROR(__xludf.DUMMYFUNCTION("""COMPUTED_VALUE"""),46051.5375)</f>
        <v>46051.5375</v>
      </c>
      <c r="K3" s="6" t="str">
        <f>IFERROR(__xludf.DUMMYFUNCTION("""COMPUTED_VALUE"""),"albayl@gi.edu.co")</f>
        <v>albayl@gi.edu.co</v>
      </c>
      <c r="L3" s="6" t="str">
        <f>IFERROR(__xludf.DUMMYFUNCTION("""COMPUTED_VALUE"""),"1345281585")</f>
        <v>1345281585</v>
      </c>
      <c r="M3" s="9">
        <f>IFERROR(__xludf.DUMMYFUNCTION("""COMPUTED_VALUE"""),46051.537314814814)</f>
        <v>46051.53731</v>
      </c>
      <c r="N3" s="6" t="str">
        <f>IFERROR(__xludf.DUMMYFUNCTION("""COMPUTED_VALUE"""),"Pendiente")</f>
        <v>Pendiente</v>
      </c>
      <c r="O3" s="6"/>
      <c r="P3" s="10">
        <f>IFERROR(__xludf.DUMMYFUNCTION("""COMPUTED_VALUE"""),46051.537314814814)</f>
        <v>46051.53731</v>
      </c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 t="str">
        <f>IFERROR(__xludf.DUMMYFUNCTION("""COMPUTED_VALUE"""),"a6f29aed")</f>
        <v>a6f29aed</v>
      </c>
      <c r="B4" s="7" t="str">
        <f>IFERROR(__xludf.DUMMYFUNCTION("""COMPUTED_VALUE"""),"1345282462")</f>
        <v>1345282462</v>
      </c>
      <c r="C4" s="6" t="str">
        <f>IFERROR(__xludf.DUMMYFUNCTION("""COMPUTED_VALUE"""),"Evento familiar")</f>
        <v>Evento familiar</v>
      </c>
      <c r="D4" s="6"/>
      <c r="E4" s="6" t="str">
        <f>IFERROR(__xludf.DUMMYFUNCTION("""COMPUTED_VALUE"""),"Maria Fernanda Varón- mamá")</f>
        <v>Maria Fernanda Varón- mamá</v>
      </c>
      <c r="F4" s="6"/>
      <c r="G4" s="6" t="str">
        <f>IFERROR(__xludf.DUMMYFUNCTION("""COMPUTED_VALUE"""),"10")</f>
        <v>10</v>
      </c>
      <c r="H4" s="6" t="str">
        <f>IFERROR(__xludf.DUMMYFUNCTION("""COMPUTED_VALUE"""),"Correal Varón Manuela")</f>
        <v>Correal Varón Manuela</v>
      </c>
      <c r="I4" s="6"/>
      <c r="J4" s="8">
        <f>IFERROR(__xludf.DUMMYFUNCTION("""COMPUTED_VALUE"""),46051.56290509259)</f>
        <v>46051.56291</v>
      </c>
      <c r="K4" s="6" t="str">
        <f>IFERROR(__xludf.DUMMYFUNCTION("""COMPUTED_VALUE"""),"albayl@gi.edu.co")</f>
        <v>albayl@gi.edu.co</v>
      </c>
      <c r="L4" s="6" t="str">
        <f>IFERROR(__xludf.DUMMYFUNCTION("""COMPUTED_VALUE"""),"1345282462")</f>
        <v>1345282462</v>
      </c>
      <c r="M4" s="9">
        <f>IFERROR(__xludf.DUMMYFUNCTION("""COMPUTED_VALUE"""),46051.55211805556)</f>
        <v>46051.55212</v>
      </c>
      <c r="N4" s="6" t="str">
        <f>IFERROR(__xludf.DUMMYFUNCTION("""COMPUTED_VALUE"""),"Pendiente")</f>
        <v>Pendiente</v>
      </c>
      <c r="O4" s="6"/>
      <c r="P4" s="10">
        <f>IFERROR(__xludf.DUMMYFUNCTION("""COMPUTED_VALUE"""),46051.55211805556)</f>
        <v>46051.55212</v>
      </c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 t="str">
        <f>IFERROR(__xludf.DUMMYFUNCTION("""COMPUTED_VALUE"""),"88c690b4")</f>
        <v>88c690b4</v>
      </c>
      <c r="B5" s="7">
        <f>IFERROR(__xludf.DUMMYFUNCTION("""COMPUTED_VALUE"""),1.345282496E9)</f>
        <v>1345282496</v>
      </c>
      <c r="C5" s="6" t="str">
        <f>IFERROR(__xludf.DUMMYFUNCTION("""COMPUTED_VALUE"""),"ok")</f>
        <v>ok</v>
      </c>
      <c r="D5" s="6"/>
      <c r="E5" s="6"/>
      <c r="F5" s="6" t="str">
        <f>IFERROR(__xludf.DUMMYFUNCTION("""COMPUTED_VALUE"""),"mobre de persona")</f>
        <v>mobre de persona</v>
      </c>
      <c r="G5" s="6" t="str">
        <f>IFERROR(__xludf.DUMMYFUNCTION("""COMPUTED_VALUE"""),"K3")</f>
        <v>K3</v>
      </c>
      <c r="H5" s="6" t="str">
        <f>IFERROR(__xludf.DUMMYFUNCTION("""COMPUTED_VALUE"""),"Devia Mellán Pedro")</f>
        <v>Devia Mellán Pedro</v>
      </c>
      <c r="I5" s="13" t="str">
        <f>IFERROR(__xludf.DUMMYFUNCTION("""COMPUTED_VALUE"""),"https://www.appsheet.com/image/getimageurl?appName=Lector_Placas-745737628-25-08-10&amp;tableName=Demograficos&amp;fileName=Demograficos_Images%2F1345282496.Foto_Estudiante.182402.jpg&amp;appVersion=1.001094&amp;signature=3d51a53af94875f5a071b8c3e743e6d2e940d8254292a3e25"&amp;"2d29d32a515618f")</f>
        <v>https://www.appsheet.com/image/getimageurl?appName=Lector_Placas-745737628-25-08-10&amp;tableName=Demograficos&amp;fileName=Demograficos_Images%2F1345282496.Foto_Estudiante.182402.jpg&amp;appVersion=1.001094&amp;signature=3d51a53af94875f5a071b8c3e743e6d2e940d8254292a3e252d29d32a515618f</v>
      </c>
      <c r="J5" s="8">
        <f>IFERROR(__xludf.DUMMYFUNCTION("""COMPUTED_VALUE"""),46235.486805555556)</f>
        <v>46235.48681</v>
      </c>
      <c r="K5" s="6" t="str">
        <f>IFERROR(__xludf.DUMMYFUNCTION("""COMPUTED_VALUE"""),"nilsons@gi.edu.co")</f>
        <v>nilsons@gi.edu.co</v>
      </c>
      <c r="L5" s="6">
        <f>IFERROR(__xludf.DUMMYFUNCTION("""COMPUTED_VALUE"""),1.345282496E9)</f>
        <v>1345282496</v>
      </c>
      <c r="M5" s="9">
        <f>IFERROR(__xludf.DUMMYFUNCTION("""COMPUTED_VALUE"""),46235.486805555556)</f>
        <v>46235.48681</v>
      </c>
      <c r="N5" s="6" t="str">
        <f>IFERROR(__xludf.DUMMYFUNCTION("""COMPUTED_VALUE"""),"Pendiente")</f>
        <v>Pendiente</v>
      </c>
      <c r="O5" s="6"/>
      <c r="P5" s="6"/>
      <c r="Q5" s="6"/>
      <c r="R5" s="6" t="str">
        <f>IFERROR(__xludf.DUMMYFUNCTION("""COMPUTED_VALUE"""),"Cita en la gobernación (pasaporte/visa)")</f>
        <v>Cita en la gobernación (pasaporte/visa)</v>
      </c>
      <c r="S5" s="6" t="b">
        <f>IFERROR(__xludf.DUMMYFUNCTION("""COMPUTED_VALUE"""),TRUE)</f>
        <v>1</v>
      </c>
      <c r="T5" s="14">
        <f>IFERROR(__xludf.DUMMYFUNCTION("""COMPUTED_VALUE"""),0.528912037037037)</f>
        <v>0.528912037</v>
      </c>
      <c r="U5" s="6" t="str">
        <f>IFERROR(__xludf.DUMMYFUNCTION("""COMPUTED_VALUE"""),"Salida temprano")</f>
        <v>Salida temprano</v>
      </c>
      <c r="V5" s="6"/>
      <c r="W5" s="6"/>
      <c r="X5" s="6"/>
      <c r="Y5" s="6"/>
      <c r="Z5" s="6"/>
    </row>
    <row r="6">
      <c r="A6" s="6" t="str">
        <f>IFERROR(__xludf.DUMMYFUNCTION("""COMPUTED_VALUE"""),"c15071f8")</f>
        <v>c15071f8</v>
      </c>
      <c r="B6" s="7">
        <f>IFERROR(__xludf.DUMMYFUNCTION("""COMPUTED_VALUE"""),1.345282548E9)</f>
        <v>1345282548</v>
      </c>
      <c r="C6" s="6" t="str">
        <f>IFERROR(__xludf.DUMMYFUNCTION("""COMPUTED_VALUE"""),"ok")</f>
        <v>ok</v>
      </c>
      <c r="D6" s="6"/>
      <c r="E6" s="6"/>
      <c r="F6" s="6" t="str">
        <f>IFERROR(__xludf.DUMMYFUNCTION("""COMPUTED_VALUE"""),"mobre de persona")</f>
        <v>mobre de persona</v>
      </c>
      <c r="G6" s="6" t="str">
        <f>IFERROR(__xludf.DUMMYFUNCTION("""COMPUTED_VALUE"""),"K4")</f>
        <v>K4</v>
      </c>
      <c r="H6" s="6" t="str">
        <f>IFERROR(__xludf.DUMMYFUNCTION("""COMPUTED_VALUE"""),"Maya Botero Juan")</f>
        <v>Maya Botero Juan</v>
      </c>
      <c r="I6" s="13" t="str">
        <f>IFERROR(__xludf.DUMMYFUNCTION("""COMPUTED_VALUE"""),"https://www.appsheet.com/image/getimageurl?appName=Lector_Placas-745737628-25-08-10&amp;tableName=Demograficos&amp;fileName=Demograficos_Images%2F1345282548.Foto_Estudiante.183504.jpg&amp;appVersion=1.001094&amp;signature=114a3e43ce0f604513fc6b6a2081699a048d1fd92b18c6c20"&amp;"032d25bd9cb07e9")</f>
        <v>https://www.appsheet.com/image/getimageurl?appName=Lector_Placas-745737628-25-08-10&amp;tableName=Demograficos&amp;fileName=Demograficos_Images%2F1345282548.Foto_Estudiante.183504.jpg&amp;appVersion=1.001094&amp;signature=114a3e43ce0f604513fc6b6a2081699a048d1fd92b18c6c20032d25bd9cb07e9</v>
      </c>
      <c r="J6" s="8">
        <f>IFERROR(__xludf.DUMMYFUNCTION("""COMPUTED_VALUE"""),46235.486805555556)</f>
        <v>46235.48681</v>
      </c>
      <c r="K6" s="6" t="str">
        <f>IFERROR(__xludf.DUMMYFUNCTION("""COMPUTED_VALUE"""),"nilsons@gi.edu.co")</f>
        <v>nilsons@gi.edu.co</v>
      </c>
      <c r="L6" s="6">
        <f>IFERROR(__xludf.DUMMYFUNCTION("""COMPUTED_VALUE"""),1.345282548E9)</f>
        <v>1345282548</v>
      </c>
      <c r="M6" s="9">
        <f>IFERROR(__xludf.DUMMYFUNCTION("""COMPUTED_VALUE"""),46235.486805555556)</f>
        <v>46235.48681</v>
      </c>
      <c r="N6" s="6" t="str">
        <f>IFERROR(__xludf.DUMMYFUNCTION("""COMPUTED_VALUE"""),"Pendiente")</f>
        <v>Pendiente</v>
      </c>
      <c r="O6" s="6"/>
      <c r="P6" s="6"/>
      <c r="Q6" s="6"/>
      <c r="R6" s="6" t="str">
        <f>IFERROR(__xludf.DUMMYFUNCTION("""COMPUTED_VALUE"""),"Cita en la gobernación (pasaporte/visa)")</f>
        <v>Cita en la gobernación (pasaporte/visa)</v>
      </c>
      <c r="S6" s="6" t="b">
        <f>IFERROR(__xludf.DUMMYFUNCTION("""COMPUTED_VALUE"""),TRUE)</f>
        <v>1</v>
      </c>
      <c r="T6" s="14">
        <f>IFERROR(__xludf.DUMMYFUNCTION("""COMPUTED_VALUE"""),0.528912037037037)</f>
        <v>0.528912037</v>
      </c>
      <c r="U6" s="6" t="str">
        <f>IFERROR(__xludf.DUMMYFUNCTION("""COMPUTED_VALUE"""),"Salida temprano")</f>
        <v>Salida temprano</v>
      </c>
      <c r="V6" s="6"/>
      <c r="W6" s="6"/>
      <c r="X6" s="6"/>
      <c r="Y6" s="6"/>
      <c r="Z6" s="6"/>
    </row>
    <row r="7">
      <c r="A7" s="6" t="str">
        <f>IFERROR(__xludf.DUMMYFUNCTION("""COMPUTED_VALUE"""),"5a17f419")</f>
        <v>5a17f419</v>
      </c>
      <c r="B7" s="7">
        <f>IFERROR(__xludf.DUMMYFUNCTION("""COMPUTED_VALUE"""),1.345282515E9)</f>
        <v>1345282515</v>
      </c>
      <c r="C7" s="6" t="str">
        <f>IFERROR(__xludf.DUMMYFUNCTION("""COMPUTED_VALUE"""),"ok")</f>
        <v>ok</v>
      </c>
      <c r="D7" s="6"/>
      <c r="E7" s="6"/>
      <c r="F7" s="6" t="str">
        <f>IFERROR(__xludf.DUMMYFUNCTION("""COMPUTED_VALUE"""),"mobre de persona")</f>
        <v>mobre de persona</v>
      </c>
      <c r="G7" s="6" t="str">
        <f>IFERROR(__xludf.DUMMYFUNCTION("""COMPUTED_VALUE"""),"K4")</f>
        <v>K4</v>
      </c>
      <c r="H7" s="6" t="str">
        <f>IFERROR(__xludf.DUMMYFUNCTION("""COMPUTED_VALUE"""),"González Restrepo Emilia")</f>
        <v>González Restrepo Emilia</v>
      </c>
      <c r="I7" s="13" t="str">
        <f>IFERROR(__xludf.DUMMYFUNCTION("""COMPUTED_VALUE"""),"https://www.appsheet.com/image/getimageurl?appName=Lector_Placas-745737628-25-08-10&amp;tableName=Demograficos&amp;fileName=Demograficos_Images%2F1345282515.Foto_Estudiante.182930.jpg&amp;appVersion=1.001094&amp;signature=d16760e09ba396601f774c29ae3d3ed5f3be43c8dfca361e5"&amp;"64ff13bda33c129")</f>
        <v>https://www.appsheet.com/image/getimageurl?appName=Lector_Placas-745737628-25-08-10&amp;tableName=Demograficos&amp;fileName=Demograficos_Images%2F1345282515.Foto_Estudiante.182930.jpg&amp;appVersion=1.001094&amp;signature=d16760e09ba396601f774c29ae3d3ed5f3be43c8dfca361e564ff13bda33c129</v>
      </c>
      <c r="J7" s="8">
        <f>IFERROR(__xludf.DUMMYFUNCTION("""COMPUTED_VALUE"""),46235.486805555556)</f>
        <v>46235.48681</v>
      </c>
      <c r="K7" s="6" t="str">
        <f>IFERROR(__xludf.DUMMYFUNCTION("""COMPUTED_VALUE"""),"nilsons@gi.edu.co")</f>
        <v>nilsons@gi.edu.co</v>
      </c>
      <c r="L7" s="6">
        <f>IFERROR(__xludf.DUMMYFUNCTION("""COMPUTED_VALUE"""),1.345282515E9)</f>
        <v>1345282515</v>
      </c>
      <c r="M7" s="9">
        <f>IFERROR(__xludf.DUMMYFUNCTION("""COMPUTED_VALUE"""),46235.486805555556)</f>
        <v>46235.48681</v>
      </c>
      <c r="N7" s="6" t="str">
        <f>IFERROR(__xludf.DUMMYFUNCTION("""COMPUTED_VALUE"""),"Pendiente")</f>
        <v>Pendiente</v>
      </c>
      <c r="O7" s="6"/>
      <c r="P7" s="6"/>
      <c r="Q7" s="6"/>
      <c r="R7" s="6" t="str">
        <f>IFERROR(__xludf.DUMMYFUNCTION("""COMPUTED_VALUE"""),"Cita en la gobernación (pasaporte/visa)")</f>
        <v>Cita en la gobernación (pasaporte/visa)</v>
      </c>
      <c r="S7" s="6" t="b">
        <f>IFERROR(__xludf.DUMMYFUNCTION("""COMPUTED_VALUE"""),TRUE)</f>
        <v>1</v>
      </c>
      <c r="T7" s="14">
        <f>IFERROR(__xludf.DUMMYFUNCTION("""COMPUTED_VALUE"""),0.528912037037037)</f>
        <v>0.528912037</v>
      </c>
      <c r="U7" s="6" t="str">
        <f>IFERROR(__xludf.DUMMYFUNCTION("""COMPUTED_VALUE"""),"Salida temprano")</f>
        <v>Salida temprano</v>
      </c>
      <c r="V7" s="6"/>
      <c r="W7" s="6"/>
      <c r="X7" s="6"/>
      <c r="Y7" s="6"/>
      <c r="Z7" s="6"/>
    </row>
    <row r="8">
      <c r="A8" s="6" t="str">
        <f>IFERROR(__xludf.DUMMYFUNCTION("""COMPUTED_VALUE"""),"03edcfdf")</f>
        <v>03edcfdf</v>
      </c>
      <c r="B8" s="7" t="str">
        <f>IFERROR(__xludf.DUMMYFUNCTION("""COMPUTED_VALUE"""),"1345282041")</f>
        <v>1345282041</v>
      </c>
      <c r="C8" s="6" t="str">
        <f>IFERROR(__xludf.DUMMYFUNCTION("""COMPUTED_VALUE"""),"Cita medica")</f>
        <v>Cita medica</v>
      </c>
      <c r="D8" s="6"/>
      <c r="E8" s="6"/>
      <c r="F8" s="6" t="str">
        <f>IFERROR(__xludf.DUMMYFUNCTION("""COMPUTED_VALUE"""),"lina laverde")</f>
        <v>lina laverde</v>
      </c>
      <c r="G8" s="6" t="str">
        <f>IFERROR(__xludf.DUMMYFUNCTION("""COMPUTED_VALUE"""),"8")</f>
        <v>8</v>
      </c>
      <c r="H8" s="6" t="str">
        <f>IFERROR(__xludf.DUMMYFUNCTION("""COMPUTED_VALUE"""),"Molina Agudelo Thiago Emmanuel")</f>
        <v>Molina Agudelo Thiago Emmanuel</v>
      </c>
      <c r="I8" s="6" t="str">
        <f>IFERROR(__xludf.DUMMYFUNCTION("""COMPUTED_VALUE"""),"Demograficos_Images/1345282041.Foto_Estudiante.191455.jpg")</f>
        <v>Demograficos_Images/1345282041.Foto_Estudiante.191455.jpg</v>
      </c>
      <c r="J8" s="8">
        <f>IFERROR(__xludf.DUMMYFUNCTION("""COMPUTED_VALUE"""),46238.458333333336)</f>
        <v>46238.45833</v>
      </c>
      <c r="K8" s="6" t="str">
        <f>IFERROR(__xludf.DUMMYFUNCTION("""COMPUTED_VALUE"""),"primaria@gi.edu.co")</f>
        <v>primaria@gi.edu.co</v>
      </c>
      <c r="L8" s="6" t="str">
        <f>IFERROR(__xludf.DUMMYFUNCTION("""COMPUTED_VALUE"""),"1345282041")</f>
        <v>1345282041</v>
      </c>
      <c r="M8" s="9">
        <f>IFERROR(__xludf.DUMMYFUNCTION("""COMPUTED_VALUE"""),46238.39818287037)</f>
        <v>46238.39818</v>
      </c>
      <c r="N8" s="6" t="str">
        <f>IFERROR(__xludf.DUMMYFUNCTION("""COMPUTED_VALUE"""),"Pendiente")</f>
        <v>Pendiente</v>
      </c>
      <c r="O8" s="6"/>
      <c r="P8" s="10">
        <f>IFERROR(__xludf.DUMMYFUNCTION("""COMPUTED_VALUE"""),46238.39818287037)</f>
        <v>46238.39818</v>
      </c>
      <c r="Q8" s="6"/>
      <c r="R8" s="6" t="str">
        <f>IFERROR(__xludf.DUMMYFUNCTION("""COMPUTED_VALUE"""),"Diligencias con los papás")</f>
        <v>Diligencias con los papás</v>
      </c>
      <c r="S8" s="6" t="b">
        <f>IFERROR(__xludf.DUMMYFUNCTION("""COMPUTED_VALUE"""),FALSE)</f>
        <v>0</v>
      </c>
      <c r="T8" s="6"/>
      <c r="U8" s="6" t="str">
        <f>IFERROR(__xludf.DUMMYFUNCTION("""COMPUTED_VALUE"""),"Salida temprano")</f>
        <v>Salida temprano</v>
      </c>
      <c r="V8" s="6"/>
      <c r="W8" s="6"/>
      <c r="X8" s="6"/>
      <c r="Y8" s="6"/>
      <c r="Z8" s="6"/>
    </row>
    <row r="9">
      <c r="A9" s="6" t="str">
        <f>IFERROR(__xludf.DUMMYFUNCTION("""COMPUTED_VALUE"""),"1b66d8cb")</f>
        <v>1b66d8cb</v>
      </c>
      <c r="B9" s="7" t="str">
        <f>IFERROR(__xludf.DUMMYFUNCTION("""COMPUTED_VALUE"""),"1345281663")</f>
        <v>1345281663</v>
      </c>
      <c r="C9" s="6" t="str">
        <f>IFERROR(__xludf.DUMMYFUNCTION("""COMPUTED_VALUE"""),"Prueba salida temprano")</f>
        <v>Prueba salida temprano</v>
      </c>
      <c r="D9" s="6" t="str">
        <f>IFERROR(__xludf.DUMMYFUNCTION("""COMPUTED_VALUE"""),"Padre")</f>
        <v>Padre</v>
      </c>
      <c r="E9" s="6" t="str">
        <f>IFERROR(__xludf.DUMMYFUNCTION("""COMPUTED_VALUE"""),"Padre: Andrés  Botero Gómez")</f>
        <v>Padre: Andrés  Botero Gómez</v>
      </c>
      <c r="F9" s="6"/>
      <c r="G9" s="6" t="str">
        <f>IFERROR(__xludf.DUMMYFUNCTION("""COMPUTED_VALUE"""),"7")</f>
        <v>7</v>
      </c>
      <c r="H9" s="6" t="str">
        <f>IFERROR(__xludf.DUMMYFUNCTION("""COMPUTED_VALUE"""),"Botero Martínez Paloma")</f>
        <v>Botero Martínez Paloma</v>
      </c>
      <c r="I9" s="6" t="str">
        <f>IFERROR(__xludf.DUMMYFUNCTION("""COMPUTED_VALUE"""),"Demograficos_Images/1345281663.Foto_Estudiante.182318.jpg")</f>
        <v>Demograficos_Images/1345281663.Foto_Estudiante.182318.jpg</v>
      </c>
      <c r="J9" s="8">
        <f>IFERROR(__xludf.DUMMYFUNCTION("""COMPUTED_VALUE"""),46250.55694444444)</f>
        <v>46250.55694</v>
      </c>
      <c r="K9" s="6" t="str">
        <f>IFERROR(__xludf.DUMMYFUNCTION("""COMPUTED_VALUE"""),"nilsons@gi.edu.co")</f>
        <v>nilsons@gi.edu.co</v>
      </c>
      <c r="L9" s="6" t="str">
        <f>IFERROR(__xludf.DUMMYFUNCTION("""COMPUTED_VALUE"""),"1345281663")</f>
        <v>1345281663</v>
      </c>
      <c r="M9" s="9">
        <f>IFERROR(__xludf.DUMMYFUNCTION("""COMPUTED_VALUE"""),46250.55678240741)</f>
        <v>46250.55678</v>
      </c>
      <c r="N9" s="6" t="str">
        <f>IFERROR(__xludf.DUMMYFUNCTION("""COMPUTED_VALUE"""),"Pendiente")</f>
        <v>Pendiente</v>
      </c>
      <c r="O9" s="6"/>
      <c r="P9" s="10">
        <f>IFERROR(__xludf.DUMMYFUNCTION("""COMPUTED_VALUE"""),46248.55678240741)</f>
        <v>46248.55678</v>
      </c>
      <c r="Q9" s="6"/>
      <c r="R9" s="6" t="str">
        <f>IFERROR(__xludf.DUMMYFUNCTION("""COMPUTED_VALUE"""),"Cita médica")</f>
        <v>Cita médica</v>
      </c>
      <c r="S9" s="6" t="b">
        <f>IFERROR(__xludf.DUMMYFUNCTION("""COMPUTED_VALUE"""),FALSE)</f>
        <v>0</v>
      </c>
      <c r="T9" s="6"/>
      <c r="U9" s="6" t="str">
        <f>IFERROR(__xludf.DUMMYFUNCTION("""COMPUTED_VALUE"""),"Salida temprano")</f>
        <v>Salida temprano</v>
      </c>
      <c r="V9" s="6"/>
      <c r="W9" s="6"/>
      <c r="X9" s="6"/>
      <c r="Y9" s="6"/>
      <c r="Z9" s="6"/>
    </row>
    <row r="10">
      <c r="A10" s="6" t="str">
        <f>IFERROR(__xludf.DUMMYFUNCTION("""COMPUTED_VALUE"""),"e72351f9")</f>
        <v>e72351f9</v>
      </c>
      <c r="B10" s="7" t="str">
        <f>IFERROR(__xludf.DUMMYFUNCTION("""COMPUTED_VALUE"""),"1345281718")</f>
        <v>1345281718</v>
      </c>
      <c r="C10" s="6" t="str">
        <f>IFERROR(__xludf.DUMMYFUNCTION("""COMPUTED_VALUE"""),"Prueba  llegada tarde")</f>
        <v>Prueba  llegada tarde</v>
      </c>
      <c r="D10" s="6"/>
      <c r="E10" s="6"/>
      <c r="F10" s="6"/>
      <c r="G10" s="6" t="str">
        <f>IFERROR(__xludf.DUMMYFUNCTION("""COMPUTED_VALUE"""),"8")</f>
        <v>8</v>
      </c>
      <c r="H10" s="6" t="str">
        <f>IFERROR(__xludf.DUMMYFUNCTION("""COMPUTED_VALUE"""),"Urrego Oquendo Luciana")</f>
        <v>Urrego Oquendo Luciana</v>
      </c>
      <c r="I10" s="6" t="str">
        <f>IFERROR(__xludf.DUMMYFUNCTION("""COMPUTED_VALUE"""),"Demograficos_Images/1345281718.Foto_Estudiante.185130.jpg")</f>
        <v>Demograficos_Images/1345281718.Foto_Estudiante.185130.jpg</v>
      </c>
      <c r="J10" s="8">
        <f>IFERROR(__xludf.DUMMYFUNCTION("""COMPUTED_VALUE"""),46250.39097222222)</f>
        <v>46250.39097</v>
      </c>
      <c r="K10" s="6" t="str">
        <f>IFERROR(__xludf.DUMMYFUNCTION("""COMPUTED_VALUE"""),"nilsons@gi.edu.co")</f>
        <v>nilsons@gi.edu.co</v>
      </c>
      <c r="L10" s="6" t="str">
        <f>IFERROR(__xludf.DUMMYFUNCTION("""COMPUTED_VALUE"""),"1345281718")</f>
        <v>1345281718</v>
      </c>
      <c r="M10" s="9">
        <f>IFERROR(__xludf.DUMMYFUNCTION("""COMPUTED_VALUE"""),46250.55814814815)</f>
        <v>46250.55815</v>
      </c>
      <c r="N10" s="6" t="str">
        <f>IFERROR(__xludf.DUMMYFUNCTION("""COMPUTED_VALUE"""),"Pendiente")</f>
        <v>Pendiente</v>
      </c>
      <c r="O10" s="6"/>
      <c r="P10" s="10">
        <f>IFERROR(__xludf.DUMMYFUNCTION("""COMPUTED_VALUE"""),46248.55814814815)</f>
        <v>46248.55815</v>
      </c>
      <c r="Q10" s="6"/>
      <c r="R10" s="6" t="str">
        <f>IFERROR(__xludf.DUMMYFUNCTION("""COMPUTED_VALUE"""),"GI- Olimpiadas math")</f>
        <v>GI- Olimpiadas math</v>
      </c>
      <c r="S10" s="6"/>
      <c r="T10" s="6"/>
      <c r="U10" s="6" t="str">
        <f>IFERROR(__xludf.DUMMYFUNCTION("""COMPUTED_VALUE"""),"Llegada tarde")</f>
        <v>Llegada tarde</v>
      </c>
      <c r="V10" s="6"/>
      <c r="W10" s="6"/>
      <c r="X10" s="6"/>
      <c r="Y10" s="6"/>
      <c r="Z10" s="6"/>
    </row>
    <row r="11">
      <c r="A11" s="6" t="str">
        <f>IFERROR(__xludf.DUMMYFUNCTION("""COMPUTED_VALUE"""),"4c50f596")</f>
        <v>4c50f596</v>
      </c>
      <c r="B11" s="7" t="str">
        <f>IFERROR(__xludf.DUMMYFUNCTION("""COMPUTED_VALUE"""),"1345282063")</f>
        <v>1345282063</v>
      </c>
      <c r="C11" s="6" t="str">
        <f>IFERROR(__xludf.DUMMYFUNCTION("""COMPUTED_VALUE"""),"hoy no se va en ruta. La recogemos a las 3:00pm. Gracias")</f>
        <v>hoy no se va en ruta. La recogemos a las 3:00pm. Gracias</v>
      </c>
      <c r="D11" s="6" t="str">
        <f>IFERROR(__xludf.DUMMYFUNCTION("""COMPUTED_VALUE"""),"Madre")</f>
        <v>Madre</v>
      </c>
      <c r="E11" s="6" t="str">
        <f>IFERROR(__xludf.DUMMYFUNCTION("""COMPUTED_VALUE"""),"Madre: Isabel Cristina Lezama Velásquez")</f>
        <v>Madre: Isabel Cristina Lezama Velásquez</v>
      </c>
      <c r="F11" s="6"/>
      <c r="G11" s="6" t="str">
        <f>IFERROR(__xludf.DUMMYFUNCTION("""COMPUTED_VALUE"""),"4")</f>
        <v>4</v>
      </c>
      <c r="H11" s="6" t="str">
        <f>IFERROR(__xludf.DUMMYFUNCTION("""COMPUTED_VALUE"""),"Granobles Lezama Antonia")</f>
        <v>Granobles Lezama Antonia</v>
      </c>
      <c r="I11" s="6" t="str">
        <f>IFERROR(__xludf.DUMMYFUNCTION("""COMPUTED_VALUE"""),"Demograficos_Images/1345282063.Foto_Estudiante.140825.jpg")</f>
        <v>Demograficos_Images/1345282063.Foto_Estudiante.140825.jpg</v>
      </c>
      <c r="J11" s="8">
        <f>IFERROR(__xludf.DUMMYFUNCTION("""COMPUTED_VALUE"""),46252.625)</f>
        <v>46252.625</v>
      </c>
      <c r="K11" s="6" t="str">
        <f>IFERROR(__xludf.DUMMYFUNCTION("""COMPUTED_VALUE"""),"primaria@gi.edu.co")</f>
        <v>primaria@gi.edu.co</v>
      </c>
      <c r="L11" s="6" t="str">
        <f>IFERROR(__xludf.DUMMYFUNCTION("""COMPUTED_VALUE"""),"1345282063")</f>
        <v>1345282063</v>
      </c>
      <c r="M11" s="9">
        <f>IFERROR(__xludf.DUMMYFUNCTION("""COMPUTED_VALUE"""),46252.397835648146)</f>
        <v>46252.39784</v>
      </c>
      <c r="N11" s="6" t="str">
        <f>IFERROR(__xludf.DUMMYFUNCTION("""COMPUTED_VALUE"""),"Pendiente")</f>
        <v>Pendiente</v>
      </c>
      <c r="O11" s="6"/>
      <c r="P11" s="10">
        <f>IFERROR(__xludf.DUMMYFUNCTION("""COMPUTED_VALUE"""),46252.397835648146)</f>
        <v>46252.39784</v>
      </c>
      <c r="Q11" s="6"/>
      <c r="R11" s="6" t="str">
        <f>IFERROR(__xludf.DUMMYFUNCTION("""COMPUTED_VALUE"""),"Familiar (celebraciones, encuentros, despedidas, eucaristias)")</f>
        <v>Familiar (celebraciones, encuentros, despedidas, eucaristias)</v>
      </c>
      <c r="S11" s="6" t="b">
        <f>IFERROR(__xludf.DUMMYFUNCTION("""COMPUTED_VALUE"""),FALSE)</f>
        <v>0</v>
      </c>
      <c r="T11" s="6"/>
      <c r="U11" s="6" t="str">
        <f>IFERROR(__xludf.DUMMYFUNCTION("""COMPUTED_VALUE"""),"Salida temprano")</f>
        <v>Salida temprano</v>
      </c>
      <c r="V11" s="6"/>
      <c r="W11" s="6"/>
      <c r="X11" s="6"/>
      <c r="Y11" s="6"/>
      <c r="Z11" s="6"/>
    </row>
    <row r="12">
      <c r="A12" s="6" t="str">
        <f>IFERROR(__xludf.DUMMYFUNCTION("""COMPUTED_VALUE"""),"8299f27b")</f>
        <v>8299f27b</v>
      </c>
      <c r="B12" s="7" t="str">
        <f>IFERROR(__xludf.DUMMYFUNCTION("""COMPUTED_VALUE"""),"1345281916")</f>
        <v>1345281916</v>
      </c>
      <c r="C12" s="6" t="str">
        <f>IFERROR(__xludf.DUMMYFUNCTION("""COMPUTED_VALUE"""),"sale temprano")</f>
        <v>sale temprano</v>
      </c>
      <c r="D12" s="6" t="str">
        <f>IFERROR(__xludf.DUMMYFUNCTION("""COMPUTED_VALUE"""),"Madre")</f>
        <v>Madre</v>
      </c>
      <c r="E12" s="6" t="str">
        <f>IFERROR(__xludf.DUMMYFUNCTION("""COMPUTED_VALUE"""),"Madre: Anna Karina Suárez Cuadros")</f>
        <v>Madre: Anna Karina Suárez Cuadros</v>
      </c>
      <c r="F12" s="6"/>
      <c r="G12" s="6" t="str">
        <f>IFERROR(__xludf.DUMMYFUNCTION("""COMPUTED_VALUE"""),"5")</f>
        <v>5</v>
      </c>
      <c r="H12" s="6" t="str">
        <f>IFERROR(__xludf.DUMMYFUNCTION("""COMPUTED_VALUE"""),"Carvajal Suárez Gabriel Andrés")</f>
        <v>Carvajal Suárez Gabriel Andrés</v>
      </c>
      <c r="I12" s="6" t="str">
        <f>IFERROR(__xludf.DUMMYFUNCTION("""COMPUTED_VALUE"""),"Demograficos_Images/1345281916.Foto_Estudiante.142917.jpg")</f>
        <v>Demograficos_Images/1345281916.Foto_Estudiante.142917.jpg</v>
      </c>
      <c r="J12" s="8">
        <f>IFERROR(__xludf.DUMMYFUNCTION("""COMPUTED_VALUE"""),46252.59375)</f>
        <v>46252.59375</v>
      </c>
      <c r="K12" s="6" t="str">
        <f>IFERROR(__xludf.DUMMYFUNCTION("""COMPUTED_VALUE"""),"primaria@gi.edu.co")</f>
        <v>primaria@gi.edu.co</v>
      </c>
      <c r="L12" s="6" t="str">
        <f>IFERROR(__xludf.DUMMYFUNCTION("""COMPUTED_VALUE"""),"1345281916")</f>
        <v>1345281916</v>
      </c>
      <c r="M12" s="9">
        <f>IFERROR(__xludf.DUMMYFUNCTION("""COMPUTED_VALUE"""),46252.444016203706)</f>
        <v>46252.44402</v>
      </c>
      <c r="N12" s="6" t="str">
        <f>IFERROR(__xludf.DUMMYFUNCTION("""COMPUTED_VALUE"""),"Pendiente")</f>
        <v>Pendiente</v>
      </c>
      <c r="O12" s="6"/>
      <c r="P12" s="10">
        <f>IFERROR(__xludf.DUMMYFUNCTION("""COMPUTED_VALUE"""),46252.444016203706)</f>
        <v>46252.44402</v>
      </c>
      <c r="Q12" s="6"/>
      <c r="R12" s="6" t="str">
        <f>IFERROR(__xludf.DUMMYFUNCTION("""COMPUTED_VALUE"""),"Familiar (celebraciones, encuentros, despedidas, eucaristias)")</f>
        <v>Familiar (celebraciones, encuentros, despedidas, eucaristias)</v>
      </c>
      <c r="S12" s="6" t="b">
        <f>IFERROR(__xludf.DUMMYFUNCTION("""COMPUTED_VALUE"""),FALSE)</f>
        <v>0</v>
      </c>
      <c r="T12" s="6"/>
      <c r="U12" s="6" t="str">
        <f>IFERROR(__xludf.DUMMYFUNCTION("""COMPUTED_VALUE"""),"Salida temprano")</f>
        <v>Salida temprano</v>
      </c>
      <c r="V12" s="6"/>
      <c r="W12" s="6"/>
      <c r="X12" s="6"/>
      <c r="Y12" s="6"/>
      <c r="Z12" s="6"/>
    </row>
    <row r="13">
      <c r="A13" s="6" t="str">
        <f>IFERROR(__xludf.DUMMYFUNCTION("""COMPUTED_VALUE"""),"e976645f")</f>
        <v>e976645f</v>
      </c>
      <c r="B13" s="7" t="str">
        <f>IFERROR(__xludf.DUMMYFUNCTION("""COMPUTED_VALUE"""),"1345282231")</f>
        <v>1345282231</v>
      </c>
      <c r="C13" s="6" t="str">
        <f>IFERROR(__xludf.DUMMYFUNCTION("""COMPUTED_VALUE"""),"Simón Padilla sale con la mamá de Thiago Serna")</f>
        <v>Simón Padilla sale con la mamá de Thiago Serna</v>
      </c>
      <c r="D13" s="6"/>
      <c r="E13" s="6"/>
      <c r="F13" s="6" t="str">
        <f>IFERROR(__xludf.DUMMYFUNCTION("""COMPUTED_VALUE"""),"Simón Padilla sale con la mamá de Thiago Serna")</f>
        <v>Simón Padilla sale con la mamá de Thiago Serna</v>
      </c>
      <c r="G13" s="6" t="str">
        <f>IFERROR(__xludf.DUMMYFUNCTION("""COMPUTED_VALUE"""),"4")</f>
        <v>4</v>
      </c>
      <c r="H13" s="6" t="str">
        <f>IFERROR(__xludf.DUMMYFUNCTION("""COMPUTED_VALUE"""),"Padilla Valencia Simón")</f>
        <v>Padilla Valencia Simón</v>
      </c>
      <c r="I13" s="6" t="str">
        <f>IFERROR(__xludf.DUMMYFUNCTION("""COMPUTED_VALUE"""),"Demograficos_Images/1345282231.Foto_Estudiante.141200.jpg")</f>
        <v>Demograficos_Images/1345282231.Foto_Estudiante.141200.jpg</v>
      </c>
      <c r="J13" s="8">
        <f>IFERROR(__xludf.DUMMYFUNCTION("""COMPUTED_VALUE"""),46252.625)</f>
        <v>46252.625</v>
      </c>
      <c r="K13" s="6" t="str">
        <f>IFERROR(__xludf.DUMMYFUNCTION("""COMPUTED_VALUE"""),"primaria@gi.edu.co")</f>
        <v>primaria@gi.edu.co</v>
      </c>
      <c r="L13" s="6" t="str">
        <f>IFERROR(__xludf.DUMMYFUNCTION("""COMPUTED_VALUE"""),"1345282231")</f>
        <v>1345282231</v>
      </c>
      <c r="M13" s="9">
        <f>IFERROR(__xludf.DUMMYFUNCTION("""COMPUTED_VALUE"""),46252.45332175926)</f>
        <v>46252.45332</v>
      </c>
      <c r="N13" s="6" t="str">
        <f>IFERROR(__xludf.DUMMYFUNCTION("""COMPUTED_VALUE"""),"Pendiente")</f>
        <v>Pendiente</v>
      </c>
      <c r="O13" s="6"/>
      <c r="P13" s="10">
        <f>IFERROR(__xludf.DUMMYFUNCTION("""COMPUTED_VALUE"""),46252.45332175926)</f>
        <v>46252.45332</v>
      </c>
      <c r="Q13" s="6"/>
      <c r="R13" s="6" t="str">
        <f>IFERROR(__xludf.DUMMYFUNCTION("""COMPUTED_VALUE"""),"Familiar (celebraciones, encuentros, despedidas, eucaristias)")</f>
        <v>Familiar (celebraciones, encuentros, despedidas, eucaristias)</v>
      </c>
      <c r="S13" s="6" t="b">
        <f>IFERROR(__xludf.DUMMYFUNCTION("""COMPUTED_VALUE"""),FALSE)</f>
        <v>0</v>
      </c>
      <c r="T13" s="6"/>
      <c r="U13" s="6" t="str">
        <f>IFERROR(__xludf.DUMMYFUNCTION("""COMPUTED_VALUE"""),"Salida temprano")</f>
        <v>Salida temprano</v>
      </c>
      <c r="V13" s="6"/>
      <c r="W13" s="6"/>
      <c r="X13" s="6"/>
      <c r="Y13" s="6"/>
      <c r="Z13" s="6"/>
    </row>
    <row r="14">
      <c r="A14" s="6" t="str">
        <f>IFERROR(__xludf.DUMMYFUNCTION("""COMPUTED_VALUE"""),"de0cd15a")</f>
        <v>de0cd15a</v>
      </c>
      <c r="B14" s="7" t="str">
        <f>IFERROR(__xludf.DUMMYFUNCTION("""COMPUTED_VALUE"""),"1345282501")</f>
        <v>1345282501</v>
      </c>
      <c r="C14" s="6" t="str">
        <f>IFERROR(__xludf.DUMMYFUNCTION("""COMPUTED_VALUE"""),"Recogen temprano")</f>
        <v>Recogen temprano</v>
      </c>
      <c r="D14" s="6" t="str">
        <f>IFERROR(__xludf.DUMMYFUNCTION("""COMPUTED_VALUE"""),"Padre")</f>
        <v>Padre</v>
      </c>
      <c r="E14" s="6" t="str">
        <f>IFERROR(__xludf.DUMMYFUNCTION("""COMPUTED_VALUE"""),"Padre: Federico  Duque del Río")</f>
        <v>Padre: Federico  Duque del Río</v>
      </c>
      <c r="F14" s="6"/>
      <c r="G14" s="6" t="str">
        <f>IFERROR(__xludf.DUMMYFUNCTION("""COMPUTED_VALUE"""),"K4")</f>
        <v>K4</v>
      </c>
      <c r="H14" s="6" t="str">
        <f>IFERROR(__xludf.DUMMYFUNCTION("""COMPUTED_VALUE"""),"Duque Pinilla Joaquín")</f>
        <v>Duque Pinilla Joaquín</v>
      </c>
      <c r="I14" s="6" t="str">
        <f>IFERROR(__xludf.DUMMYFUNCTION("""COMPUTED_VALUE"""),"Demograficos_Images/1345282505.Foto_Estudiante.184800.jpg")</f>
        <v>Demograficos_Images/1345282505.Foto_Estudiante.184800.jpg</v>
      </c>
      <c r="J14" s="8">
        <f>IFERROR(__xludf.DUMMYFUNCTION("""COMPUTED_VALUE"""),46252.5625)</f>
        <v>46252.5625</v>
      </c>
      <c r="K14" s="6" t="str">
        <f>IFERROR(__xludf.DUMMYFUNCTION("""COMPUTED_VALUE"""),"kinder@gi.edu.co")</f>
        <v>kinder@gi.edu.co</v>
      </c>
      <c r="L14" s="6" t="str">
        <f>IFERROR(__xludf.DUMMYFUNCTION("""COMPUTED_VALUE"""),"1345282501")</f>
        <v>1345282501</v>
      </c>
      <c r="M14" s="9">
        <f>IFERROR(__xludf.DUMMYFUNCTION("""COMPUTED_VALUE"""),46252.47054398148)</f>
        <v>46252.47054</v>
      </c>
      <c r="N14" s="6" t="str">
        <f>IFERROR(__xludf.DUMMYFUNCTION("""COMPUTED_VALUE"""),"Pendiente")</f>
        <v>Pendiente</v>
      </c>
      <c r="O14" s="6"/>
      <c r="P14" s="10">
        <f>IFERROR(__xludf.DUMMYFUNCTION("""COMPUTED_VALUE"""),46252.47054398148)</f>
        <v>46252.47054</v>
      </c>
      <c r="Q14" s="6"/>
      <c r="R14" s="6" t="str">
        <f>IFERROR(__xludf.DUMMYFUNCTION("""COMPUTED_VALUE"""),"Prescolar")</f>
        <v>Prescolar</v>
      </c>
      <c r="S14" s="6" t="b">
        <f>IFERROR(__xludf.DUMMYFUNCTION("""COMPUTED_VALUE"""),FALSE)</f>
        <v>0</v>
      </c>
      <c r="T14" s="6"/>
      <c r="U14" s="6" t="str">
        <f>IFERROR(__xludf.DUMMYFUNCTION("""COMPUTED_VALUE"""),"Salida temprano")</f>
        <v>Salida temprano</v>
      </c>
      <c r="V14" s="6"/>
      <c r="W14" s="6"/>
      <c r="X14" s="6"/>
      <c r="Y14" s="6"/>
      <c r="Z14" s="6"/>
    </row>
    <row r="15">
      <c r="A15" s="6" t="str">
        <f>IFERROR(__xludf.DUMMYFUNCTION("""COMPUTED_VALUE"""),"64eeb558")</f>
        <v>64eeb558</v>
      </c>
      <c r="B15" s="7" t="str">
        <f>IFERROR(__xludf.DUMMYFUNCTION("""COMPUTED_VALUE"""),"1345282477")</f>
        <v>1345282477</v>
      </c>
      <c r="C15" s="6" t="str">
        <f>IFERROR(__xludf.DUMMYFUNCTION("""COMPUTED_VALUE"""),"RECOGE LA ABUELA")</f>
        <v>RECOGE LA ABUELA</v>
      </c>
      <c r="D15" s="6"/>
      <c r="E15" s="6"/>
      <c r="F15" s="6" t="str">
        <f>IFERROR(__xludf.DUMMYFUNCTION("""COMPUTED_VALUE"""),"LUZ MARÍA ARCILA")</f>
        <v>LUZ MARÍA ARCILA</v>
      </c>
      <c r="G15" s="6" t="str">
        <f>IFERROR(__xludf.DUMMYFUNCTION("""COMPUTED_VALUE"""),"K4")</f>
        <v>K4</v>
      </c>
      <c r="H15" s="6" t="str">
        <f>IFERROR(__xludf.DUMMYFUNCTION("""COMPUTED_VALUE"""),"Arango Murillas Irene")</f>
        <v>Arango Murillas Irene</v>
      </c>
      <c r="I15" s="6" t="str">
        <f>IFERROR(__xludf.DUMMYFUNCTION("""COMPUTED_VALUE"""),"Demograficos_Images/1345282477.Foto_Estudiante.194121.jpg")</f>
        <v>Demograficos_Images/1345282477.Foto_Estudiante.194121.jpg</v>
      </c>
      <c r="J15" s="8">
        <f>IFERROR(__xludf.DUMMYFUNCTION("""COMPUTED_VALUE"""),46252.604166666664)</f>
        <v>46252.60417</v>
      </c>
      <c r="K15" s="6" t="str">
        <f>IFERROR(__xludf.DUMMYFUNCTION("""COMPUTED_VALUE"""),"kinder@gi.edu.co")</f>
        <v>kinder@gi.edu.co</v>
      </c>
      <c r="L15" s="6" t="str">
        <f>IFERROR(__xludf.DUMMYFUNCTION("""COMPUTED_VALUE"""),"1345282477")</f>
        <v>1345282477</v>
      </c>
      <c r="M15" s="9">
        <f>IFERROR(__xludf.DUMMYFUNCTION("""COMPUTED_VALUE"""),46252.477175925924)</f>
        <v>46252.47718</v>
      </c>
      <c r="N15" s="6" t="str">
        <f>IFERROR(__xludf.DUMMYFUNCTION("""COMPUTED_VALUE"""),"Pendiente")</f>
        <v>Pendiente</v>
      </c>
      <c r="O15" s="6"/>
      <c r="P15" s="10">
        <f>IFERROR(__xludf.DUMMYFUNCTION("""COMPUTED_VALUE"""),46252.477175925924)</f>
        <v>46252.47718</v>
      </c>
      <c r="Q15" s="6"/>
      <c r="R15" s="6" t="str">
        <f>IFERROR(__xludf.DUMMYFUNCTION("""COMPUTED_VALUE"""),"No hay reporte sobre el motivo de la ausencia")</f>
        <v>No hay reporte sobre el motivo de la ausencia</v>
      </c>
      <c r="S15" s="6" t="b">
        <f>IFERROR(__xludf.DUMMYFUNCTION("""COMPUTED_VALUE"""),FALSE)</f>
        <v>0</v>
      </c>
      <c r="T15" s="6"/>
      <c r="U15" s="6" t="str">
        <f>IFERROR(__xludf.DUMMYFUNCTION("""COMPUTED_VALUE"""),"Salida temprano")</f>
        <v>Salida temprano</v>
      </c>
      <c r="V15" s="6"/>
      <c r="W15" s="6"/>
      <c r="X15" s="6"/>
      <c r="Y15" s="6"/>
      <c r="Z15" s="6"/>
    </row>
    <row r="16">
      <c r="A16" s="6" t="str">
        <f>IFERROR(__xludf.DUMMYFUNCTION("""COMPUTED_VALUE"""),"0eb0f6b8")</f>
        <v>0eb0f6b8</v>
      </c>
      <c r="B16" s="7" t="str">
        <f>IFERROR(__xludf.DUMMYFUNCTION("""COMPUTED_VALUE"""),"1345281681")</f>
        <v>1345281681</v>
      </c>
      <c r="C16" s="6" t="str">
        <f>IFERROR(__xludf.DUMMYFUNCTION("""COMPUTED_VALUE"""),"El papá informa que tendrá un entrenamiento especial durante esta semana")</f>
        <v>El papá informa que tendrá un entrenamiento especial durante esta semana</v>
      </c>
      <c r="D16" s="6" t="str">
        <f>IFERROR(__xludf.DUMMYFUNCTION("""COMPUTED_VALUE"""),"Padre")</f>
        <v>Padre</v>
      </c>
      <c r="E16" s="6" t="str">
        <f>IFERROR(__xludf.DUMMYFUNCTION("""COMPUTED_VALUE"""),"Padre: Jorge Alberto Ospina Ramírez")</f>
        <v>Padre: Jorge Alberto Ospina Ramírez</v>
      </c>
      <c r="F16" s="6"/>
      <c r="G16" s="6" t="str">
        <f>IFERROR(__xludf.DUMMYFUNCTION("""COMPUTED_VALUE"""),"12")</f>
        <v>12</v>
      </c>
      <c r="H16" s="6" t="str">
        <f>IFERROR(__xludf.DUMMYFUNCTION("""COMPUTED_VALUE"""),"Ospina Chica Juan Manuel")</f>
        <v>Ospina Chica Juan Manuel</v>
      </c>
      <c r="I16" s="6" t="str">
        <f>IFERROR(__xludf.DUMMYFUNCTION("""COMPUTED_VALUE"""),"Demograficos_Images/1345281681.Foto_Estudiante.133642.jpg")</f>
        <v>Demograficos_Images/1345281681.Foto_Estudiante.133642.jpg</v>
      </c>
      <c r="J16" s="8">
        <f>IFERROR(__xludf.DUMMYFUNCTION("""COMPUTED_VALUE"""),46252.53125)</f>
        <v>46252.53125</v>
      </c>
      <c r="K16" s="6" t="str">
        <f>IFERROR(__xludf.DUMMYFUNCTION("""COMPUTED_VALUE"""),"secundaria@gi.edu.co")</f>
        <v>secundaria@gi.edu.co</v>
      </c>
      <c r="L16" s="6" t="str">
        <f>IFERROR(__xludf.DUMMYFUNCTION("""COMPUTED_VALUE"""),"1345281681")</f>
        <v>1345281681</v>
      </c>
      <c r="M16" s="9">
        <f>IFERROR(__xludf.DUMMYFUNCTION("""COMPUTED_VALUE"""),46252.48017361111)</f>
        <v>46252.48017</v>
      </c>
      <c r="N16" s="6" t="str">
        <f>IFERROR(__xludf.DUMMYFUNCTION("""COMPUTED_VALUE"""),"Pendiente")</f>
        <v>Pendiente</v>
      </c>
      <c r="O16" s="6"/>
      <c r="P16" s="10">
        <f>IFERROR(__xludf.DUMMYFUNCTION("""COMPUTED_VALUE"""),46252.48017361111)</f>
        <v>46252.48017</v>
      </c>
      <c r="Q16" s="6"/>
      <c r="R16" s="6" t="str">
        <f>IFERROR(__xludf.DUMMYFUNCTION("""COMPUTED_VALUE"""),"Diligencias con los papás")</f>
        <v>Diligencias con los papás</v>
      </c>
      <c r="S16" s="6" t="b">
        <f>IFERROR(__xludf.DUMMYFUNCTION("""COMPUTED_VALUE"""),FALSE)</f>
        <v>0</v>
      </c>
      <c r="T16" s="6"/>
      <c r="U16" s="6" t="str">
        <f>IFERROR(__xludf.DUMMYFUNCTION("""COMPUTED_VALUE"""),"Salida temprano")</f>
        <v>Salida temprano</v>
      </c>
      <c r="V16" s="6"/>
      <c r="W16" s="6"/>
      <c r="X16" s="6"/>
      <c r="Y16" s="6"/>
      <c r="Z16" s="6"/>
    </row>
    <row r="17">
      <c r="A17" s="6" t="str">
        <f>IFERROR(__xludf.DUMMYFUNCTION("""COMPUTED_VALUE"""),"642632fa")</f>
        <v>642632fa</v>
      </c>
      <c r="B17" s="7" t="str">
        <f>IFERROR(__xludf.DUMMYFUNCTION("""COMPUTED_VALUE"""),"1345282230")</f>
        <v>1345282230</v>
      </c>
      <c r="C17" s="6" t="str">
        <f>IFERROR(__xludf.DUMMYFUNCTION("""COMPUTED_VALUE"""),"Zoe Padilla sale con la mam de paulina")</f>
        <v>Zoe Padilla sale con la mam de paulina</v>
      </c>
      <c r="D17" s="6"/>
      <c r="E17" s="6"/>
      <c r="F17" s="6" t="str">
        <f>IFERROR(__xludf.DUMMYFUNCTION("""COMPUTED_VALUE"""),"Zoe Padilla sale con la mam de paulina")</f>
        <v>Zoe Padilla sale con la mam de paulina</v>
      </c>
      <c r="G17" s="6" t="str">
        <f>IFERROR(__xludf.DUMMYFUNCTION("""COMPUTED_VALUE"""),"3")</f>
        <v>3</v>
      </c>
      <c r="H17" s="6" t="str">
        <f>IFERROR(__xludf.DUMMYFUNCTION("""COMPUTED_VALUE"""),"Padilla Valencia Zoe")</f>
        <v>Padilla Valencia Zoe</v>
      </c>
      <c r="I17" s="6" t="str">
        <f>IFERROR(__xludf.DUMMYFUNCTION("""COMPUTED_VALUE"""),"Demograficos_Images/1345282230.Foto_Estudiante.135310.jpg")</f>
        <v>Demograficos_Images/1345282230.Foto_Estudiante.135310.jpg</v>
      </c>
      <c r="J17" s="8">
        <f>IFERROR(__xludf.DUMMYFUNCTION("""COMPUTED_VALUE"""),46252.625)</f>
        <v>46252.625</v>
      </c>
      <c r="K17" s="6" t="str">
        <f>IFERROR(__xludf.DUMMYFUNCTION("""COMPUTED_VALUE"""),"primaria@gi.edu.co")</f>
        <v>primaria@gi.edu.co</v>
      </c>
      <c r="L17" s="6" t="str">
        <f>IFERROR(__xludf.DUMMYFUNCTION("""COMPUTED_VALUE"""),"1345282230")</f>
        <v>1345282230</v>
      </c>
      <c r="M17" s="9">
        <f>IFERROR(__xludf.DUMMYFUNCTION("""COMPUTED_VALUE"""),46252.45415509259)</f>
        <v>46252.45416</v>
      </c>
      <c r="N17" s="6" t="str">
        <f>IFERROR(__xludf.DUMMYFUNCTION("""COMPUTED_VALUE"""),"Pendiente")</f>
        <v>Pendiente</v>
      </c>
      <c r="O17" s="6"/>
      <c r="P17" s="10">
        <f>IFERROR(__xludf.DUMMYFUNCTION("""COMPUTED_VALUE"""),46252.45415509259)</f>
        <v>46252.45416</v>
      </c>
      <c r="Q17" s="6"/>
      <c r="R17" s="6" t="str">
        <f>IFERROR(__xludf.DUMMYFUNCTION("""COMPUTED_VALUE"""),"Familiar (celebraciones, encuentros, despedidas, eucaristias)")</f>
        <v>Familiar (celebraciones, encuentros, despedidas, eucaristias)</v>
      </c>
      <c r="S17" s="6" t="b">
        <f>IFERROR(__xludf.DUMMYFUNCTION("""COMPUTED_VALUE"""),FALSE)</f>
        <v>0</v>
      </c>
      <c r="T17" s="6"/>
      <c r="U17" s="6" t="str">
        <f>IFERROR(__xludf.DUMMYFUNCTION("""COMPUTED_VALUE"""),"Salida temprano")</f>
        <v>Salida temprano</v>
      </c>
      <c r="V17" s="6"/>
      <c r="W17" s="6"/>
      <c r="X17" s="6"/>
      <c r="Y17" s="6"/>
      <c r="Z17" s="6"/>
    </row>
    <row r="18">
      <c r="A18" s="6" t="str">
        <f>IFERROR(__xludf.DUMMYFUNCTION("""COMPUTED_VALUE"""),"99247d96")</f>
        <v>99247d96</v>
      </c>
      <c r="B18" s="7" t="str">
        <f>IFERROR(__xludf.DUMMYFUNCTION("""COMPUTED_VALUE"""),"1345281863")</f>
        <v>1345281863</v>
      </c>
      <c r="C18" s="6" t="str">
        <f>IFERROR(__xludf.DUMMYFUNCTION("""COMPUTED_VALUE"""),"no ruta, lo recogen")</f>
        <v>no ruta, lo recogen</v>
      </c>
      <c r="D18" s="6" t="str">
        <f>IFERROR(__xludf.DUMMYFUNCTION("""COMPUTED_VALUE"""),"Madre")</f>
        <v>Madre</v>
      </c>
      <c r="E18" s="6" t="str">
        <f>IFERROR(__xludf.DUMMYFUNCTION("""COMPUTED_VALUE"""),"Madre: Jessica  Sanint Orozco")</f>
        <v>Madre: Jessica  Sanint Orozco</v>
      </c>
      <c r="F18" s="6"/>
      <c r="G18" s="6" t="str">
        <f>IFERROR(__xludf.DUMMYFUNCTION("""COMPUTED_VALUE"""),"5")</f>
        <v>5</v>
      </c>
      <c r="H18" s="6" t="str">
        <f>IFERROR(__xludf.DUMMYFUNCTION("""COMPUTED_VALUE"""),"Lezama Sanint Matias")</f>
        <v>Lezama Sanint Matias</v>
      </c>
      <c r="I18" s="6" t="str">
        <f>IFERROR(__xludf.DUMMYFUNCTION("""COMPUTED_VALUE"""),"Demograficos_Images/1345281863.Foto_Estudiante.143332.jpg")</f>
        <v>Demograficos_Images/1345281863.Foto_Estudiante.143332.jpg</v>
      </c>
      <c r="J18" s="8">
        <f>IFERROR(__xludf.DUMMYFUNCTION("""COMPUTED_VALUE"""),46252.625)</f>
        <v>46252.625</v>
      </c>
      <c r="K18" s="6" t="str">
        <f>IFERROR(__xludf.DUMMYFUNCTION("""COMPUTED_VALUE"""),"primaria@gi.edu.co")</f>
        <v>primaria@gi.edu.co</v>
      </c>
      <c r="L18" s="6" t="str">
        <f>IFERROR(__xludf.DUMMYFUNCTION("""COMPUTED_VALUE"""),"1345281863")</f>
        <v>1345281863</v>
      </c>
      <c r="M18" s="9">
        <f>IFERROR(__xludf.DUMMYFUNCTION("""COMPUTED_VALUE"""),46252.48236111111)</f>
        <v>46252.48236</v>
      </c>
      <c r="N18" s="6" t="str">
        <f>IFERROR(__xludf.DUMMYFUNCTION("""COMPUTED_VALUE"""),"Pendiente")</f>
        <v>Pendiente</v>
      </c>
      <c r="O18" s="6"/>
      <c r="P18" s="10">
        <f>IFERROR(__xludf.DUMMYFUNCTION("""COMPUTED_VALUE"""),46252.48236111111)</f>
        <v>46252.48236</v>
      </c>
      <c r="Q18" s="6"/>
      <c r="R18" s="6" t="str">
        <f>IFERROR(__xludf.DUMMYFUNCTION("""COMPUTED_VALUE"""),"Familiar (celebraciones, encuentros, despedidas, eucaristias)")</f>
        <v>Familiar (celebraciones, encuentros, despedidas, eucaristias)</v>
      </c>
      <c r="S18" s="6" t="b">
        <f>IFERROR(__xludf.DUMMYFUNCTION("""COMPUTED_VALUE"""),FALSE)</f>
        <v>0</v>
      </c>
      <c r="T18" s="6"/>
      <c r="U18" s="6" t="str">
        <f>IFERROR(__xludf.DUMMYFUNCTION("""COMPUTED_VALUE"""),"Salida temprano")</f>
        <v>Salida temprano</v>
      </c>
      <c r="V18" s="6"/>
      <c r="W18" s="6"/>
      <c r="X18" s="6"/>
      <c r="Y18" s="6"/>
      <c r="Z18" s="6"/>
    </row>
    <row r="19">
      <c r="A19" s="6" t="str">
        <f>IFERROR(__xludf.DUMMYFUNCTION("""COMPUTED_VALUE"""),"7a332556")</f>
        <v>7a332556</v>
      </c>
      <c r="B19" s="7" t="str">
        <f>IFERROR(__xludf.DUMMYFUNCTION("""COMPUTED_VALUE"""),"1345282589")</f>
        <v>1345282589</v>
      </c>
      <c r="C19" s="6" t="str">
        <f>IFERROR(__xludf.DUMMYFUNCTION("""COMPUTED_VALUE"""),"SALIDA TEMPRANO")</f>
        <v>SALIDA TEMPRANO</v>
      </c>
      <c r="D19" s="6" t="str">
        <f>IFERROR(__xludf.DUMMYFUNCTION("""COMPUTED_VALUE"""),"Padre")</f>
        <v>Padre</v>
      </c>
      <c r="E19" s="6" t="str">
        <f>IFERROR(__xludf.DUMMYFUNCTION("""COMPUTED_VALUE"""),"Padre: Daniel Esteban Bermúdez López")</f>
        <v>Padre: Daniel Esteban Bermúdez López</v>
      </c>
      <c r="F19" s="6"/>
      <c r="G19" s="6" t="str">
        <f>IFERROR(__xludf.DUMMYFUNCTION("""COMPUTED_VALUE"""),"PV")</f>
        <v>PV</v>
      </c>
      <c r="H19" s="6" t="str">
        <f>IFERROR(__xludf.DUMMYFUNCTION("""COMPUTED_VALUE"""),"Bermúdez Querubín Juan Antonio")</f>
        <v>Bermúdez Querubín Juan Antonio</v>
      </c>
      <c r="I19" s="6"/>
      <c r="J19" s="8">
        <f>IFERROR(__xludf.DUMMYFUNCTION("""COMPUTED_VALUE"""),46252.489583333336)</f>
        <v>46252.48958</v>
      </c>
      <c r="K19" s="6" t="str">
        <f>IFERROR(__xludf.DUMMYFUNCTION("""COMPUTED_VALUE"""),"kinder@gi.edu.co")</f>
        <v>kinder@gi.edu.co</v>
      </c>
      <c r="L19" s="6" t="str">
        <f>IFERROR(__xludf.DUMMYFUNCTION("""COMPUTED_VALUE"""),"1345282589")</f>
        <v>1345282589</v>
      </c>
      <c r="M19" s="9">
        <f>IFERROR(__xludf.DUMMYFUNCTION("""COMPUTED_VALUE"""),46252.47908564815)</f>
        <v>46252.47909</v>
      </c>
      <c r="N19" s="6" t="str">
        <f>IFERROR(__xludf.DUMMYFUNCTION("""COMPUTED_VALUE"""),"Pendiente")</f>
        <v>Pendiente</v>
      </c>
      <c r="O19" s="6"/>
      <c r="P19" s="10">
        <f>IFERROR(__xludf.DUMMYFUNCTION("""COMPUTED_VALUE"""),46252.47908564815)</f>
        <v>46252.47909</v>
      </c>
      <c r="Q19" s="6"/>
      <c r="R19" s="6" t="str">
        <f>IFERROR(__xludf.DUMMYFUNCTION("""COMPUTED_VALUE"""),"Prescolar")</f>
        <v>Prescolar</v>
      </c>
      <c r="S19" s="6" t="b">
        <f>IFERROR(__xludf.DUMMYFUNCTION("""COMPUTED_VALUE"""),FALSE)</f>
        <v>0</v>
      </c>
      <c r="T19" s="6"/>
      <c r="U19" s="6" t="str">
        <f>IFERROR(__xludf.DUMMYFUNCTION("""COMPUTED_VALUE"""),"Salida temprano")</f>
        <v>Salida temprano</v>
      </c>
      <c r="V19" s="6"/>
      <c r="W19" s="6"/>
      <c r="X19" s="6"/>
      <c r="Y19" s="6"/>
      <c r="Z19" s="6"/>
    </row>
    <row r="20">
      <c r="A20" s="6" t="str">
        <f>IFERROR(__xludf.DUMMYFUNCTION("""COMPUTED_VALUE"""),"a32e5b5e")</f>
        <v>a32e5b5e</v>
      </c>
      <c r="B20" s="7" t="str">
        <f>IFERROR(__xludf.DUMMYFUNCTION("""COMPUTED_VALUE"""),"1345282587")</f>
        <v>1345282587</v>
      </c>
      <c r="C20" s="6" t="str">
        <f>IFERROR(__xludf.DUMMYFUNCTION("""COMPUTED_VALUE"""),"PÁRVULOS")</f>
        <v>PÁRVULOS</v>
      </c>
      <c r="D20" s="6" t="str">
        <f>IFERROR(__xludf.DUMMYFUNCTION("""COMPUTED_VALUE"""),"Padre")</f>
        <v>Padre</v>
      </c>
      <c r="E20" s="6" t="str">
        <f>IFERROR(__xludf.DUMMYFUNCTION("""COMPUTED_VALUE"""),"Padre: Daniel Gutiérrez Agudelo")</f>
        <v>Padre: Daniel Gutiérrez Agudelo</v>
      </c>
      <c r="F20" s="6"/>
      <c r="G20" s="6" t="str">
        <f>IFERROR(__xludf.DUMMYFUNCTION("""COMPUTED_VALUE"""),"PV")</f>
        <v>PV</v>
      </c>
      <c r="H20" s="6" t="str">
        <f>IFERROR(__xludf.DUMMYFUNCTION("""COMPUTED_VALUE"""),"Gutiérrez Botero Gabriel")</f>
        <v>Gutiérrez Botero Gabriel</v>
      </c>
      <c r="I20" s="6"/>
      <c r="J20" s="8">
        <f>IFERROR(__xludf.DUMMYFUNCTION("""COMPUTED_VALUE"""),46252.493055555555)</f>
        <v>46252.49306</v>
      </c>
      <c r="K20" s="6" t="str">
        <f>IFERROR(__xludf.DUMMYFUNCTION("""COMPUTED_VALUE"""),"kinder@gi.edu.co")</f>
        <v>kinder@gi.edu.co</v>
      </c>
      <c r="L20" s="6" t="str">
        <f>IFERROR(__xludf.DUMMYFUNCTION("""COMPUTED_VALUE"""),"1345282587")</f>
        <v>1345282587</v>
      </c>
      <c r="M20" s="9">
        <f>IFERROR(__xludf.DUMMYFUNCTION("""COMPUTED_VALUE"""),46252.49349537037)</f>
        <v>46252.4935</v>
      </c>
      <c r="N20" s="6" t="str">
        <f>IFERROR(__xludf.DUMMYFUNCTION("""COMPUTED_VALUE"""),"Pendiente")</f>
        <v>Pendiente</v>
      </c>
      <c r="O20" s="6"/>
      <c r="P20" s="10">
        <f>IFERROR(__xludf.DUMMYFUNCTION("""COMPUTED_VALUE"""),46252.49349537037)</f>
        <v>46252.4935</v>
      </c>
      <c r="Q20" s="6"/>
      <c r="R20" s="6" t="str">
        <f>IFERROR(__xludf.DUMMYFUNCTION("""COMPUTED_VALUE"""),"Prescolar")</f>
        <v>Prescolar</v>
      </c>
      <c r="S20" s="6" t="b">
        <f>IFERROR(__xludf.DUMMYFUNCTION("""COMPUTED_VALUE"""),FALSE)</f>
        <v>0</v>
      </c>
      <c r="T20" s="6"/>
      <c r="U20" s="6" t="str">
        <f>IFERROR(__xludf.DUMMYFUNCTION("""COMPUTED_VALUE"""),"Salida temprano")</f>
        <v>Salida temprano</v>
      </c>
      <c r="V20" s="6"/>
      <c r="W20" s="6"/>
      <c r="X20" s="6"/>
      <c r="Y20" s="6"/>
      <c r="Z20" s="6"/>
    </row>
    <row r="21">
      <c r="A21" s="6" t="str">
        <f>IFERROR(__xludf.DUMMYFUNCTION("""COMPUTED_VALUE"""),"5cd40404")</f>
        <v>5cd40404</v>
      </c>
      <c r="B21" s="7" t="str">
        <f>IFERROR(__xludf.DUMMYFUNCTION("""COMPUTED_VALUE"""),"1345282595")</f>
        <v>1345282595</v>
      </c>
      <c r="C21" s="6" t="str">
        <f>IFERROR(__xludf.DUMMYFUNCTION("""COMPUTED_VALUE"""),"SALIDA TEMPRANO PÁRVULOS")</f>
        <v>SALIDA TEMPRANO PÁRVULOS</v>
      </c>
      <c r="D21" s="6" t="str">
        <f>IFERROR(__xludf.DUMMYFUNCTION("""COMPUTED_VALUE"""),"Madre")</f>
        <v>Madre</v>
      </c>
      <c r="E21" s="6" t="str">
        <f>IFERROR(__xludf.DUMMYFUNCTION("""COMPUTED_VALUE"""),"Madre: Andrea Catalina Muñoz  Diaz")</f>
        <v>Madre: Andrea Catalina Muñoz  Diaz</v>
      </c>
      <c r="F21" s="6"/>
      <c r="G21" s="6" t="str">
        <f>IFERROR(__xludf.DUMMYFUNCTION("""COMPUTED_VALUE"""),"PV")</f>
        <v>PV</v>
      </c>
      <c r="H21" s="6" t="str">
        <f>IFERROR(__xludf.DUMMYFUNCTION("""COMPUTED_VALUE"""),"Izquierdo Muñoz Noah")</f>
        <v>Izquierdo Muñoz Noah</v>
      </c>
      <c r="I21" s="6"/>
      <c r="J21" s="8">
        <f>IFERROR(__xludf.DUMMYFUNCTION("""COMPUTED_VALUE"""),46252.49444444444)</f>
        <v>46252.49444</v>
      </c>
      <c r="K21" s="6" t="str">
        <f>IFERROR(__xludf.DUMMYFUNCTION("""COMPUTED_VALUE"""),"kinder@gi.edu.co")</f>
        <v>kinder@gi.edu.co</v>
      </c>
      <c r="L21" s="6" t="str">
        <f>IFERROR(__xludf.DUMMYFUNCTION("""COMPUTED_VALUE"""),"1345282595")</f>
        <v>1345282595</v>
      </c>
      <c r="M21" s="9">
        <f>IFERROR(__xludf.DUMMYFUNCTION("""COMPUTED_VALUE"""),46252.49481481482)</f>
        <v>46252.49481</v>
      </c>
      <c r="N21" s="6" t="str">
        <f>IFERROR(__xludf.DUMMYFUNCTION("""COMPUTED_VALUE"""),"Pendiente")</f>
        <v>Pendiente</v>
      </c>
      <c r="O21" s="6"/>
      <c r="P21" s="10">
        <f>IFERROR(__xludf.DUMMYFUNCTION("""COMPUTED_VALUE"""),46252.49481481482)</f>
        <v>46252.49481</v>
      </c>
      <c r="Q21" s="6"/>
      <c r="R21" s="6" t="str">
        <f>IFERROR(__xludf.DUMMYFUNCTION("""COMPUTED_VALUE"""),"Prescolar")</f>
        <v>Prescolar</v>
      </c>
      <c r="S21" s="6" t="b">
        <f>IFERROR(__xludf.DUMMYFUNCTION("""COMPUTED_VALUE"""),FALSE)</f>
        <v>0</v>
      </c>
      <c r="T21" s="6"/>
      <c r="U21" s="6" t="str">
        <f>IFERROR(__xludf.DUMMYFUNCTION("""COMPUTED_VALUE"""),"Salida temprano")</f>
        <v>Salida temprano</v>
      </c>
      <c r="V21" s="6"/>
      <c r="W21" s="6"/>
      <c r="X21" s="6"/>
      <c r="Y21" s="6"/>
      <c r="Z21" s="6"/>
    </row>
    <row r="22">
      <c r="A22" s="6" t="str">
        <f>IFERROR(__xludf.DUMMYFUNCTION("""COMPUTED_VALUE"""),"ad4212bc")</f>
        <v>ad4212bc</v>
      </c>
      <c r="B22" s="7" t="str">
        <f>IFERROR(__xludf.DUMMYFUNCTION("""COMPUTED_VALUE"""),"1345282579")</f>
        <v>1345282579</v>
      </c>
      <c r="C22" s="6" t="str">
        <f>IFERROR(__xludf.DUMMYFUNCTION("""COMPUTED_VALUE"""),"RECOGEN TEMPRANO")</f>
        <v>RECOGEN TEMPRANO</v>
      </c>
      <c r="D22" s="6" t="str">
        <f>IFERROR(__xludf.DUMMYFUNCTION("""COMPUTED_VALUE"""),"Madre")</f>
        <v>Madre</v>
      </c>
      <c r="E22" s="6" t="str">
        <f>IFERROR(__xludf.DUMMYFUNCTION("""COMPUTED_VALUE"""),"Madre: Emiliana Marín Cantor")</f>
        <v>Madre: Emiliana Marín Cantor</v>
      </c>
      <c r="F22" s="6"/>
      <c r="G22" s="6" t="str">
        <f>IFERROR(__xludf.DUMMYFUNCTION("""COMPUTED_VALUE"""),"K4")</f>
        <v>K4</v>
      </c>
      <c r="H22" s="6" t="str">
        <f>IFERROR(__xludf.DUMMYFUNCTION("""COMPUTED_VALUE"""),"Marín Cantor Emiliana")</f>
        <v>Marín Cantor Emiliana</v>
      </c>
      <c r="I22" s="6" t="str">
        <f>IFERROR(__xludf.DUMMYFUNCTION("""COMPUTED_VALUE"""),"Demograficos_Images/1345282579.Foto_Estudiante.165233.jpg")</f>
        <v>Demograficos_Images/1345282579.Foto_Estudiante.165233.jpg</v>
      </c>
      <c r="J22" s="8">
        <f>IFERROR(__xludf.DUMMYFUNCTION("""COMPUTED_VALUE"""),46252.59375)</f>
        <v>46252.59375</v>
      </c>
      <c r="K22" s="6" t="str">
        <f>IFERROR(__xludf.DUMMYFUNCTION("""COMPUTED_VALUE"""),"kinder@gi.edu.co")</f>
        <v>kinder@gi.edu.co</v>
      </c>
      <c r="L22" s="6" t="str">
        <f>IFERROR(__xludf.DUMMYFUNCTION("""COMPUTED_VALUE"""),"1345282579")</f>
        <v>1345282579</v>
      </c>
      <c r="M22" s="9">
        <f>IFERROR(__xludf.DUMMYFUNCTION("""COMPUTED_VALUE"""),46252.495729166665)</f>
        <v>46252.49573</v>
      </c>
      <c r="N22" s="6" t="str">
        <f>IFERROR(__xludf.DUMMYFUNCTION("""COMPUTED_VALUE"""),"Pendiente")</f>
        <v>Pendiente</v>
      </c>
      <c r="O22" s="6"/>
      <c r="P22" s="10">
        <f>IFERROR(__xludf.DUMMYFUNCTION("""COMPUTED_VALUE"""),46252.495729166665)</f>
        <v>46252.49573</v>
      </c>
      <c r="Q22" s="6"/>
      <c r="R22" s="6" t="str">
        <f>IFERROR(__xludf.DUMMYFUNCTION("""COMPUTED_VALUE"""),"Sin información")</f>
        <v>Sin información</v>
      </c>
      <c r="S22" s="6" t="b">
        <f>IFERROR(__xludf.DUMMYFUNCTION("""COMPUTED_VALUE"""),FALSE)</f>
        <v>0</v>
      </c>
      <c r="T22" s="6"/>
      <c r="U22" s="6" t="str">
        <f>IFERROR(__xludf.DUMMYFUNCTION("""COMPUTED_VALUE"""),"Salida temprano")</f>
        <v>Salida temprano</v>
      </c>
      <c r="V22" s="6"/>
      <c r="W22" s="6"/>
      <c r="X22" s="6"/>
      <c r="Y22" s="6"/>
      <c r="Z22" s="6"/>
    </row>
    <row r="23">
      <c r="A23" s="6" t="str">
        <f>IFERROR(__xludf.DUMMYFUNCTION("""COMPUTED_VALUE"""),"c5bbf7e9")</f>
        <v>c5bbf7e9</v>
      </c>
      <c r="B23" s="7" t="str">
        <f>IFERROR(__xludf.DUMMYFUNCTION("""COMPUTED_VALUE"""),"1345281559")</f>
        <v>1345281559</v>
      </c>
      <c r="C23" s="6" t="str">
        <f>IFERROR(__xludf.DUMMYFUNCTION("""COMPUTED_VALUE"""),"cita médica por dolor de hombro")</f>
        <v>cita médica por dolor de hombro</v>
      </c>
      <c r="D23" s="6" t="str">
        <f>IFERROR(__xludf.DUMMYFUNCTION("""COMPUTED_VALUE"""),"Madre")</f>
        <v>Madre</v>
      </c>
      <c r="E23" s="6" t="str">
        <f>IFERROR(__xludf.DUMMYFUNCTION("""COMPUTED_VALUE"""),"Madre: Claudia Lucero Palacio Velásquez")</f>
        <v>Madre: Claudia Lucero Palacio Velásquez</v>
      </c>
      <c r="F23" s="6"/>
      <c r="G23" s="6" t="str">
        <f>IFERROR(__xludf.DUMMYFUNCTION("""COMPUTED_VALUE"""),"9")</f>
        <v>9</v>
      </c>
      <c r="H23" s="6" t="str">
        <f>IFERROR(__xludf.DUMMYFUNCTION("""COMPUTED_VALUE"""),"Trujillo Palacio Valeria")</f>
        <v>Trujillo Palacio Valeria</v>
      </c>
      <c r="I23" s="6" t="str">
        <f>IFERROR(__xludf.DUMMYFUNCTION("""COMPUTED_VALUE"""),"Demograficos_Images/1345281559.Foto_Estudiante.185200.jpg")</f>
        <v>Demograficos_Images/1345281559.Foto_Estudiante.185200.jpg</v>
      </c>
      <c r="J23" s="8">
        <f>IFERROR(__xludf.DUMMYFUNCTION("""COMPUTED_VALUE"""),46252.50069444445)</f>
        <v>46252.50069</v>
      </c>
      <c r="K23" s="6" t="str">
        <f>IFERROR(__xludf.DUMMYFUNCTION("""COMPUTED_VALUE"""),"secundaria@gi.edu.co")</f>
        <v>secundaria@gi.edu.co</v>
      </c>
      <c r="L23" s="6" t="str">
        <f>IFERROR(__xludf.DUMMYFUNCTION("""COMPUTED_VALUE"""),"1345281559")</f>
        <v>1345281559</v>
      </c>
      <c r="M23" s="9">
        <f>IFERROR(__xludf.DUMMYFUNCTION("""COMPUTED_VALUE"""),46252.500925925924)</f>
        <v>46252.50093</v>
      </c>
      <c r="N23" s="6" t="str">
        <f>IFERROR(__xludf.DUMMYFUNCTION("""COMPUTED_VALUE"""),"Pendiente")</f>
        <v>Pendiente</v>
      </c>
      <c r="O23" s="6"/>
      <c r="P23" s="10">
        <f>IFERROR(__xludf.DUMMYFUNCTION("""COMPUTED_VALUE"""),46252.500925925924)</f>
        <v>46252.50093</v>
      </c>
      <c r="Q23" s="6"/>
      <c r="R23" s="6" t="str">
        <f>IFERROR(__xludf.DUMMYFUNCTION("""COMPUTED_VALUE"""),"Cita médica")</f>
        <v>Cita médica</v>
      </c>
      <c r="S23" s="6" t="b">
        <f>IFERROR(__xludf.DUMMYFUNCTION("""COMPUTED_VALUE"""),FALSE)</f>
        <v>0</v>
      </c>
      <c r="T23" s="6"/>
      <c r="U23" s="6" t="str">
        <f>IFERROR(__xludf.DUMMYFUNCTION("""COMPUTED_VALUE"""),"Salida temprano")</f>
        <v>Salida temprano</v>
      </c>
      <c r="V23" s="6"/>
      <c r="W23" s="6"/>
      <c r="X23" s="6"/>
      <c r="Y23" s="6"/>
      <c r="Z23" s="6"/>
    </row>
    <row r="24">
      <c r="A24" s="6" t="str">
        <f>IFERROR(__xludf.DUMMYFUNCTION("""COMPUTED_VALUE"""),"4c11641c")</f>
        <v>4c11641c</v>
      </c>
      <c r="B24" s="7" t="str">
        <f>IFERROR(__xludf.DUMMYFUNCTION("""COMPUTED_VALUE"""),"1345282591")</f>
        <v>1345282591</v>
      </c>
      <c r="C24" s="6" t="str">
        <f>IFERROR(__xludf.DUMMYFUNCTION("""COMPUTED_VALUE"""),"SALIDA TEMPRANO PÁRVULO")</f>
        <v>SALIDA TEMPRANO PÁRVULO</v>
      </c>
      <c r="D24" s="6" t="str">
        <f>IFERROR(__xludf.DUMMYFUNCTION("""COMPUTED_VALUE"""),"Madre")</f>
        <v>Madre</v>
      </c>
      <c r="E24" s="6" t="str">
        <f>IFERROR(__xludf.DUMMYFUNCTION("""COMPUTED_VALUE"""),"Madre: Daniela  Aray Lizarazo")</f>
        <v>Madre: Daniela  Aray Lizarazo</v>
      </c>
      <c r="F24" s="6"/>
      <c r="G24" s="6" t="str">
        <f>IFERROR(__xludf.DUMMYFUNCTION("""COMPUTED_VALUE"""),"PV")</f>
        <v>PV</v>
      </c>
      <c r="H24" s="6" t="str">
        <f>IFERROR(__xludf.DUMMYFUNCTION("""COMPUTED_VALUE"""),"Henao Aray Luciano")</f>
        <v>Henao Aray Luciano</v>
      </c>
      <c r="I24" s="6"/>
      <c r="J24" s="8">
        <f>IFERROR(__xludf.DUMMYFUNCTION("""COMPUTED_VALUE"""),46252.49652777778)</f>
        <v>46252.49653</v>
      </c>
      <c r="K24" s="6" t="str">
        <f>IFERROR(__xludf.DUMMYFUNCTION("""COMPUTED_VALUE"""),"kinder@gi.edu.co")</f>
        <v>kinder@gi.edu.co</v>
      </c>
      <c r="L24" s="6" t="str">
        <f>IFERROR(__xludf.DUMMYFUNCTION("""COMPUTED_VALUE"""),"1345282591")</f>
        <v>1345282591</v>
      </c>
      <c r="M24" s="9">
        <f>IFERROR(__xludf.DUMMYFUNCTION("""COMPUTED_VALUE"""),46252.496458333335)</f>
        <v>46252.49646</v>
      </c>
      <c r="N24" s="6" t="str">
        <f>IFERROR(__xludf.DUMMYFUNCTION("""COMPUTED_VALUE"""),"Pendiente")</f>
        <v>Pendiente</v>
      </c>
      <c r="O24" s="6"/>
      <c r="P24" s="10">
        <f>IFERROR(__xludf.DUMMYFUNCTION("""COMPUTED_VALUE"""),46252.496458333335)</f>
        <v>46252.49646</v>
      </c>
      <c r="Q24" s="6"/>
      <c r="R24" s="6" t="str">
        <f>IFERROR(__xludf.DUMMYFUNCTION("""COMPUTED_VALUE"""),"Sin información")</f>
        <v>Sin información</v>
      </c>
      <c r="S24" s="6" t="b">
        <f>IFERROR(__xludf.DUMMYFUNCTION("""COMPUTED_VALUE"""),FALSE)</f>
        <v>0</v>
      </c>
      <c r="T24" s="6"/>
      <c r="U24" s="6" t="str">
        <f>IFERROR(__xludf.DUMMYFUNCTION("""COMPUTED_VALUE"""),"Salida temprano")</f>
        <v>Salida temprano</v>
      </c>
      <c r="V24" s="6"/>
      <c r="W24" s="6"/>
      <c r="X24" s="6"/>
      <c r="Y24" s="6"/>
      <c r="Z24" s="6"/>
    </row>
    <row r="25">
      <c r="A25" s="6" t="str">
        <f>IFERROR(__xludf.DUMMYFUNCTION("""COMPUTED_VALUE"""),"cc8302f0")</f>
        <v>cc8302f0</v>
      </c>
      <c r="B25" s="7" t="str">
        <f>IFERROR(__xludf.DUMMYFUNCTION("""COMPUTED_VALUE"""),"1345281741")</f>
        <v>1345281741</v>
      </c>
      <c r="C25" s="6" t="str">
        <f>IFERROR(__xludf.DUMMYFUNCTION("""COMPUTED_VALUE"""),"no utilizará el servicio de transporte")</f>
        <v>no utilizará el servicio de transporte</v>
      </c>
      <c r="D25" s="6" t="str">
        <f>IFERROR(__xludf.DUMMYFUNCTION("""COMPUTED_VALUE"""),"Padre")</f>
        <v>Padre</v>
      </c>
      <c r="E25" s="6" t="str">
        <f>IFERROR(__xludf.DUMMYFUNCTION("""COMPUTED_VALUE"""),"Padre: Héctor Ernesto Bueno Rincón")</f>
        <v>Padre: Héctor Ernesto Bueno Rincón</v>
      </c>
      <c r="F25" s="6"/>
      <c r="G25" s="6" t="str">
        <f>IFERROR(__xludf.DUMMYFUNCTION("""COMPUTED_VALUE"""),"7")</f>
        <v>7</v>
      </c>
      <c r="H25" s="6" t="str">
        <f>IFERROR(__xludf.DUMMYFUNCTION("""COMPUTED_VALUE"""),"Bueno Céspedes Dominick")</f>
        <v>Bueno Céspedes Dominick</v>
      </c>
      <c r="I25" s="6" t="str">
        <f>IFERROR(__xludf.DUMMYFUNCTION("""COMPUTED_VALUE"""),"Demograficos_Images/1345281741.Foto_Estudiante.182330.jpg")</f>
        <v>Demograficos_Images/1345281741.Foto_Estudiante.182330.jpg</v>
      </c>
      <c r="J25" s="8">
        <f>IFERROR(__xludf.DUMMYFUNCTION("""COMPUTED_VALUE"""),46252.631944444445)</f>
        <v>46252.63194</v>
      </c>
      <c r="K25" s="6" t="str">
        <f>IFERROR(__xludf.DUMMYFUNCTION("""COMPUTED_VALUE"""),"secundaria@gi.edu.co")</f>
        <v>secundaria@gi.edu.co</v>
      </c>
      <c r="L25" s="6" t="str">
        <f>IFERROR(__xludf.DUMMYFUNCTION("""COMPUTED_VALUE"""),"1345281741")</f>
        <v>1345281741</v>
      </c>
      <c r="M25" s="9">
        <f>IFERROR(__xludf.DUMMYFUNCTION("""COMPUTED_VALUE"""),46252.502071759256)</f>
        <v>46252.50207</v>
      </c>
      <c r="N25" s="6" t="str">
        <f>IFERROR(__xludf.DUMMYFUNCTION("""COMPUTED_VALUE"""),"Pendiente")</f>
        <v>Pendiente</v>
      </c>
      <c r="O25" s="6"/>
      <c r="P25" s="10">
        <f>IFERROR(__xludf.DUMMYFUNCTION("""COMPUTED_VALUE"""),46252.502071759256)</f>
        <v>46252.50207</v>
      </c>
      <c r="Q25" s="6"/>
      <c r="R25" s="6" t="str">
        <f>IFERROR(__xludf.DUMMYFUNCTION("""COMPUTED_VALUE"""),"Diligencias con los papás")</f>
        <v>Diligencias con los papás</v>
      </c>
      <c r="S25" s="6" t="b">
        <f>IFERROR(__xludf.DUMMYFUNCTION("""COMPUTED_VALUE"""),FALSE)</f>
        <v>0</v>
      </c>
      <c r="T25" s="6"/>
      <c r="U25" s="6" t="str">
        <f>IFERROR(__xludf.DUMMYFUNCTION("""COMPUTED_VALUE"""),"Ausencia todo el dia")</f>
        <v>Ausencia todo el dia</v>
      </c>
      <c r="V25" s="6"/>
      <c r="W25" s="6"/>
      <c r="X25" s="6"/>
      <c r="Y25" s="6"/>
      <c r="Z25" s="6"/>
    </row>
    <row r="26">
      <c r="A26" s="6" t="str">
        <f>IFERROR(__xludf.DUMMYFUNCTION("""COMPUTED_VALUE"""),"9743a84f")</f>
        <v>9743a84f</v>
      </c>
      <c r="B26" s="7" t="str">
        <f>IFERROR(__xludf.DUMMYFUNCTION("""COMPUTED_VALUE"""),"1345282582")</f>
        <v>1345282582</v>
      </c>
      <c r="C26" s="6" t="str">
        <f>IFERROR(__xludf.DUMMYFUNCTION("""COMPUTED_VALUE"""),"SALIDA TEMPRANO PÁRVULOS")</f>
        <v>SALIDA TEMPRANO PÁRVULOS</v>
      </c>
      <c r="D26" s="6" t="str">
        <f>IFERROR(__xludf.DUMMYFUNCTION("""COMPUTED_VALUE"""),"Madre")</f>
        <v>Madre</v>
      </c>
      <c r="E26" s="6" t="str">
        <f>IFERROR(__xludf.DUMMYFUNCTION("""COMPUTED_VALUE"""),"Madre: Melissa  Mora Martínez")</f>
        <v>Madre: Melissa  Mora Martínez</v>
      </c>
      <c r="F26" s="6"/>
      <c r="G26" s="6" t="str">
        <f>IFERROR(__xludf.DUMMYFUNCTION("""COMPUTED_VALUE"""),"PV")</f>
        <v>PV</v>
      </c>
      <c r="H26" s="6" t="str">
        <f>IFERROR(__xludf.DUMMYFUNCTION("""COMPUTED_VALUE"""),"Moreno Mora Cristina")</f>
        <v>Moreno Mora Cristina</v>
      </c>
      <c r="I26" s="6"/>
      <c r="J26" s="8">
        <f>IFERROR(__xludf.DUMMYFUNCTION("""COMPUTED_VALUE"""),46252.498611111114)</f>
        <v>46252.49861</v>
      </c>
      <c r="K26" s="6" t="str">
        <f>IFERROR(__xludf.DUMMYFUNCTION("""COMPUTED_VALUE"""),"kinder@gi.edu.co")</f>
        <v>kinder@gi.edu.co</v>
      </c>
      <c r="L26" s="6" t="str">
        <f>IFERROR(__xludf.DUMMYFUNCTION("""COMPUTED_VALUE"""),"1345282582")</f>
        <v>1345282582</v>
      </c>
      <c r="M26" s="9">
        <f>IFERROR(__xludf.DUMMYFUNCTION("""COMPUTED_VALUE"""),46252.49730324074)</f>
        <v>46252.4973</v>
      </c>
      <c r="N26" s="6" t="str">
        <f>IFERROR(__xludf.DUMMYFUNCTION("""COMPUTED_VALUE"""),"Pendiente")</f>
        <v>Pendiente</v>
      </c>
      <c r="O26" s="6"/>
      <c r="P26" s="10">
        <f>IFERROR(__xludf.DUMMYFUNCTION("""COMPUTED_VALUE"""),46252.49730324074)</f>
        <v>46252.4973</v>
      </c>
      <c r="Q26" s="6"/>
      <c r="R26" s="6" t="str">
        <f>IFERROR(__xludf.DUMMYFUNCTION("""COMPUTED_VALUE"""),"Sin información")</f>
        <v>Sin información</v>
      </c>
      <c r="S26" s="6" t="b">
        <f>IFERROR(__xludf.DUMMYFUNCTION("""COMPUTED_VALUE"""),FALSE)</f>
        <v>0</v>
      </c>
      <c r="T26" s="6"/>
      <c r="U26" s="6" t="str">
        <f>IFERROR(__xludf.DUMMYFUNCTION("""COMPUTED_VALUE"""),"Salida temprano")</f>
        <v>Salida temprano</v>
      </c>
      <c r="V26" s="6"/>
      <c r="W26" s="6"/>
      <c r="X26" s="6"/>
      <c r="Y26" s="6"/>
      <c r="Z26" s="6"/>
    </row>
    <row r="27">
      <c r="A27" s="6" t="str">
        <f>IFERROR(__xludf.DUMMYFUNCTION("""COMPUTED_VALUE"""),"0c485b79")</f>
        <v>0c485b79</v>
      </c>
      <c r="B27" s="7" t="str">
        <f>IFERROR(__xludf.DUMMYFUNCTION("""COMPUTED_VALUE"""),"1345282585")</f>
        <v>1345282585</v>
      </c>
      <c r="C27" s="6" t="str">
        <f>IFERROR(__xludf.DUMMYFUNCTION("""COMPUTED_VALUE"""),"SALIDA TEMPRANO PÁRVULOS")</f>
        <v>SALIDA TEMPRANO PÁRVULOS</v>
      </c>
      <c r="D27" s="6" t="str">
        <f>IFERROR(__xludf.DUMMYFUNCTION("""COMPUTED_VALUE"""),"Madre")</f>
        <v>Madre</v>
      </c>
      <c r="E27" s="6" t="str">
        <f>IFERROR(__xludf.DUMMYFUNCTION("""COMPUTED_VALUE"""),"Madre: Paola Marcela Castellanos Acevedo")</f>
        <v>Madre: Paola Marcela Castellanos Acevedo</v>
      </c>
      <c r="F27" s="6"/>
      <c r="G27" s="6" t="str">
        <f>IFERROR(__xludf.DUMMYFUNCTION("""COMPUTED_VALUE"""),"PV")</f>
        <v>PV</v>
      </c>
      <c r="H27" s="6" t="str">
        <f>IFERROR(__xludf.DUMMYFUNCTION("""COMPUTED_VALUE"""),"Londoño Castellanos Emma")</f>
        <v>Londoño Castellanos Emma</v>
      </c>
      <c r="I27" s="6"/>
      <c r="J27" s="8">
        <f>IFERROR(__xludf.DUMMYFUNCTION("""COMPUTED_VALUE"""),46252.498611111114)</f>
        <v>46252.49861</v>
      </c>
      <c r="K27" s="6" t="str">
        <f>IFERROR(__xludf.DUMMYFUNCTION("""COMPUTED_VALUE"""),"kinder@gi.edu.co")</f>
        <v>kinder@gi.edu.co</v>
      </c>
      <c r="L27" s="6" t="str">
        <f>IFERROR(__xludf.DUMMYFUNCTION("""COMPUTED_VALUE"""),"1345282585")</f>
        <v>1345282585</v>
      </c>
      <c r="M27" s="9">
        <f>IFERROR(__xludf.DUMMYFUNCTION("""COMPUTED_VALUE"""),46252.499074074076)</f>
        <v>46252.49907</v>
      </c>
      <c r="N27" s="6" t="str">
        <f>IFERROR(__xludf.DUMMYFUNCTION("""COMPUTED_VALUE"""),"Pendiente")</f>
        <v>Pendiente</v>
      </c>
      <c r="O27" s="6"/>
      <c r="P27" s="10">
        <f>IFERROR(__xludf.DUMMYFUNCTION("""COMPUTED_VALUE"""),46252.499074074076)</f>
        <v>46252.49907</v>
      </c>
      <c r="Q27" s="6"/>
      <c r="R27" s="6" t="str">
        <f>IFERROR(__xludf.DUMMYFUNCTION("""COMPUTED_VALUE"""),"Sin información")</f>
        <v>Sin información</v>
      </c>
      <c r="S27" s="6" t="b">
        <f>IFERROR(__xludf.DUMMYFUNCTION("""COMPUTED_VALUE"""),FALSE)</f>
        <v>0</v>
      </c>
      <c r="T27" s="6"/>
      <c r="U27" s="6" t="str">
        <f>IFERROR(__xludf.DUMMYFUNCTION("""COMPUTED_VALUE"""),"Salida temprano")</f>
        <v>Salida temprano</v>
      </c>
      <c r="V27" s="6"/>
      <c r="W27" s="6"/>
      <c r="X27" s="6"/>
      <c r="Y27" s="6"/>
      <c r="Z27" s="6"/>
    </row>
    <row r="28">
      <c r="A28" s="6" t="str">
        <f>IFERROR(__xludf.DUMMYFUNCTION("""COMPUTED_VALUE"""),"ff7e81ad")</f>
        <v>ff7e81ad</v>
      </c>
      <c r="B28" s="7" t="str">
        <f>IFERROR(__xludf.DUMMYFUNCTION("""COMPUTED_VALUE"""),"1345282620")</f>
        <v>1345282620</v>
      </c>
      <c r="C28" s="6" t="str">
        <f>IFERROR(__xludf.DUMMYFUNCTION("""COMPUTED_VALUE"""),"SALIDA TEMPRANO PÁRVULOS")</f>
        <v>SALIDA TEMPRANO PÁRVULOS</v>
      </c>
      <c r="D28" s="6" t="str">
        <f>IFERROR(__xludf.DUMMYFUNCTION("""COMPUTED_VALUE"""),"Madre")</f>
        <v>Madre</v>
      </c>
      <c r="E28" s="6" t="str">
        <f>IFERROR(__xludf.DUMMYFUNCTION("""COMPUTED_VALUE"""),"Madre: Sara  Botero Villegas")</f>
        <v>Madre: Sara  Botero Villegas</v>
      </c>
      <c r="F28" s="6"/>
      <c r="G28" s="6" t="str">
        <f>IFERROR(__xludf.DUMMYFUNCTION("""COMPUTED_VALUE"""),"PV")</f>
        <v>PV</v>
      </c>
      <c r="H28" s="6" t="str">
        <f>IFERROR(__xludf.DUMMYFUNCTION("""COMPUTED_VALUE"""),"Gutiérrez Botero Gabriela")</f>
        <v>Gutiérrez Botero Gabriela</v>
      </c>
      <c r="I28" s="6"/>
      <c r="J28" s="8">
        <f>IFERROR(__xludf.DUMMYFUNCTION("""COMPUTED_VALUE"""),46252.49930555555)</f>
        <v>46252.49931</v>
      </c>
      <c r="K28" s="6" t="str">
        <f>IFERROR(__xludf.DUMMYFUNCTION("""COMPUTED_VALUE"""),"kinder@gi.edu.co")</f>
        <v>kinder@gi.edu.co</v>
      </c>
      <c r="L28" s="6" t="str">
        <f>IFERROR(__xludf.DUMMYFUNCTION("""COMPUTED_VALUE"""),"1345282620")</f>
        <v>1345282620</v>
      </c>
      <c r="M28" s="9">
        <f>IFERROR(__xludf.DUMMYFUNCTION("""COMPUTED_VALUE"""),46252.49953703704)</f>
        <v>46252.49954</v>
      </c>
      <c r="N28" s="6" t="str">
        <f>IFERROR(__xludf.DUMMYFUNCTION("""COMPUTED_VALUE"""),"Pendiente")</f>
        <v>Pendiente</v>
      </c>
      <c r="O28" s="6"/>
      <c r="P28" s="10">
        <f>IFERROR(__xludf.DUMMYFUNCTION("""COMPUTED_VALUE"""),46252.49953703704)</f>
        <v>46252.49954</v>
      </c>
      <c r="Q28" s="6"/>
      <c r="R28" s="6" t="str">
        <f>IFERROR(__xludf.DUMMYFUNCTION("""COMPUTED_VALUE"""),"Sin información")</f>
        <v>Sin información</v>
      </c>
      <c r="S28" s="6" t="b">
        <f>IFERROR(__xludf.DUMMYFUNCTION("""COMPUTED_VALUE"""),FALSE)</f>
        <v>0</v>
      </c>
      <c r="T28" s="6"/>
      <c r="U28" s="6" t="str">
        <f>IFERROR(__xludf.DUMMYFUNCTION("""COMPUTED_VALUE"""),"Salida temprano")</f>
        <v>Salida temprano</v>
      </c>
      <c r="V28" s="6"/>
      <c r="W28" s="6"/>
      <c r="X28" s="6"/>
      <c r="Y28" s="6"/>
      <c r="Z28" s="6"/>
    </row>
    <row r="29">
      <c r="A29" s="6" t="str">
        <f>IFERROR(__xludf.DUMMYFUNCTION("""COMPUTED_VALUE"""),"5ba71cd3")</f>
        <v>5ba71cd3</v>
      </c>
      <c r="B29" s="7" t="str">
        <f>IFERROR(__xludf.DUMMYFUNCTION("""COMPUTED_VALUE"""),"1345282586")</f>
        <v>1345282586</v>
      </c>
      <c r="C29" s="6" t="str">
        <f>IFERROR(__xludf.DUMMYFUNCTION("""COMPUTED_VALUE"""),"SALIDA TEMPRANO PÁRVULOS")</f>
        <v>SALIDA TEMPRANO PÁRVULOS</v>
      </c>
      <c r="D29" s="6" t="str">
        <f>IFERROR(__xludf.DUMMYFUNCTION("""COMPUTED_VALUE"""),"Madre")</f>
        <v>Madre</v>
      </c>
      <c r="E29" s="6" t="str">
        <f>IFERROR(__xludf.DUMMYFUNCTION("""COMPUTED_VALUE"""),"Madre: Johanna Marcela González Calle")</f>
        <v>Madre: Johanna Marcela González Calle</v>
      </c>
      <c r="F29" s="6"/>
      <c r="G29" s="6" t="str">
        <f>IFERROR(__xludf.DUMMYFUNCTION("""COMPUTED_VALUE"""),"PV")</f>
        <v>PV</v>
      </c>
      <c r="H29" s="6" t="str">
        <f>IFERROR(__xludf.DUMMYFUNCTION("""COMPUTED_VALUE"""),"Alzate González Gabriel")</f>
        <v>Alzate González Gabriel</v>
      </c>
      <c r="I29" s="6"/>
      <c r="J29" s="8">
        <f>IFERROR(__xludf.DUMMYFUNCTION("""COMPUTED_VALUE"""),46252.5)</f>
        <v>46252.5</v>
      </c>
      <c r="K29" s="6" t="str">
        <f>IFERROR(__xludf.DUMMYFUNCTION("""COMPUTED_VALUE"""),"kinder@gi.edu.co")</f>
        <v>kinder@gi.edu.co</v>
      </c>
      <c r="L29" s="6" t="str">
        <f>IFERROR(__xludf.DUMMYFUNCTION("""COMPUTED_VALUE"""),"1345282586")</f>
        <v>1345282586</v>
      </c>
      <c r="M29" s="9">
        <f>IFERROR(__xludf.DUMMYFUNCTION("""COMPUTED_VALUE"""),46252.49998842592)</f>
        <v>46252.49999</v>
      </c>
      <c r="N29" s="6" t="str">
        <f>IFERROR(__xludf.DUMMYFUNCTION("""COMPUTED_VALUE"""),"Pendiente")</f>
        <v>Pendiente</v>
      </c>
      <c r="O29" s="6"/>
      <c r="P29" s="10">
        <f>IFERROR(__xludf.DUMMYFUNCTION("""COMPUTED_VALUE"""),46252.49998842592)</f>
        <v>46252.49999</v>
      </c>
      <c r="Q29" s="6"/>
      <c r="R29" s="6" t="str">
        <f>IFERROR(__xludf.DUMMYFUNCTION("""COMPUTED_VALUE"""),"Sin información")</f>
        <v>Sin información</v>
      </c>
      <c r="S29" s="6" t="b">
        <f>IFERROR(__xludf.DUMMYFUNCTION("""COMPUTED_VALUE"""),FALSE)</f>
        <v>0</v>
      </c>
      <c r="T29" s="6"/>
      <c r="U29" s="6" t="str">
        <f>IFERROR(__xludf.DUMMYFUNCTION("""COMPUTED_VALUE"""),"Salida temprano")</f>
        <v>Salida temprano</v>
      </c>
      <c r="V29" s="6"/>
      <c r="W29" s="6"/>
      <c r="X29" s="6"/>
      <c r="Y29" s="6"/>
      <c r="Z29" s="6"/>
    </row>
    <row r="30">
      <c r="A30" s="6" t="str">
        <f>IFERROR(__xludf.DUMMYFUNCTION("""COMPUTED_VALUE"""),"d7b0322c")</f>
        <v>d7b0322c</v>
      </c>
      <c r="B30" s="7" t="str">
        <f>IFERROR(__xludf.DUMMYFUNCTION("""COMPUTED_VALUE"""),"1345282593")</f>
        <v>1345282593</v>
      </c>
      <c r="C30" s="6" t="str">
        <f>IFERROR(__xludf.DUMMYFUNCTION("""COMPUTED_VALUE"""),"SALIDA TEMPRANO PÁRVULOS")</f>
        <v>SALIDA TEMPRANO PÁRVULOS</v>
      </c>
      <c r="D30" s="6" t="str">
        <f>IFERROR(__xludf.DUMMYFUNCTION("""COMPUTED_VALUE"""),"Padre")</f>
        <v>Padre</v>
      </c>
      <c r="E30" s="6" t="str">
        <f>IFERROR(__xludf.DUMMYFUNCTION("""COMPUTED_VALUE"""),"Padre: Alicia Janeth López Agreda")</f>
        <v>Padre: Alicia Janeth López Agreda</v>
      </c>
      <c r="F30" s="6"/>
      <c r="G30" s="6" t="str">
        <f>IFERROR(__xludf.DUMMYFUNCTION("""COMPUTED_VALUE"""),"PV")</f>
        <v>PV</v>
      </c>
      <c r="H30" s="6" t="str">
        <f>IFERROR(__xludf.DUMMYFUNCTION("""COMPUTED_VALUE"""),"López Ramírez Martina")</f>
        <v>López Ramírez Martina</v>
      </c>
      <c r="I30" s="6"/>
      <c r="J30" s="8">
        <f>IFERROR(__xludf.DUMMYFUNCTION("""COMPUTED_VALUE"""),46252.50277777778)</f>
        <v>46252.50278</v>
      </c>
      <c r="K30" s="6" t="str">
        <f>IFERROR(__xludf.DUMMYFUNCTION("""COMPUTED_VALUE"""),"kinder@gi.edu.co")</f>
        <v>kinder@gi.edu.co</v>
      </c>
      <c r="L30" s="6" t="str">
        <f>IFERROR(__xludf.DUMMYFUNCTION("""COMPUTED_VALUE"""),"1345282593")</f>
        <v>1345282593</v>
      </c>
      <c r="M30" s="9">
        <f>IFERROR(__xludf.DUMMYFUNCTION("""COMPUTED_VALUE"""),46252.502858796295)</f>
        <v>46252.50286</v>
      </c>
      <c r="N30" s="6" t="str">
        <f>IFERROR(__xludf.DUMMYFUNCTION("""COMPUTED_VALUE"""),"Pendiente")</f>
        <v>Pendiente</v>
      </c>
      <c r="O30" s="6"/>
      <c r="P30" s="10">
        <f>IFERROR(__xludf.DUMMYFUNCTION("""COMPUTED_VALUE"""),46252.502858796295)</f>
        <v>46252.50286</v>
      </c>
      <c r="Q30" s="6"/>
      <c r="R30" s="6" t="str">
        <f>IFERROR(__xludf.DUMMYFUNCTION("""COMPUTED_VALUE"""),"Sin excusa")</f>
        <v>Sin excusa</v>
      </c>
      <c r="S30" s="6" t="b">
        <f>IFERROR(__xludf.DUMMYFUNCTION("""COMPUTED_VALUE"""),FALSE)</f>
        <v>0</v>
      </c>
      <c r="T30" s="6"/>
      <c r="U30" s="6" t="str">
        <f>IFERROR(__xludf.DUMMYFUNCTION("""COMPUTED_VALUE"""),"Salida temprano")</f>
        <v>Salida temprano</v>
      </c>
      <c r="V30" s="6"/>
      <c r="W30" s="6"/>
      <c r="X30" s="6"/>
      <c r="Y30" s="6"/>
      <c r="Z30" s="6"/>
    </row>
    <row r="31">
      <c r="A31" s="6" t="str">
        <f>IFERROR(__xludf.DUMMYFUNCTION("""COMPUTED_VALUE"""),"c67758db")</f>
        <v>c67758db</v>
      </c>
      <c r="B31" s="7" t="str">
        <f>IFERROR(__xludf.DUMMYFUNCTION("""COMPUTED_VALUE"""),"1345282584")</f>
        <v>1345282584</v>
      </c>
      <c r="C31" s="6" t="str">
        <f>IFERROR(__xludf.DUMMYFUNCTION("""COMPUTED_VALUE"""),"SALIDA TEMPRANO PÁRVULOS")</f>
        <v>SALIDA TEMPRANO PÁRVULOS</v>
      </c>
      <c r="D31" s="6" t="str">
        <f>IFERROR(__xludf.DUMMYFUNCTION("""COMPUTED_VALUE"""),"Padre")</f>
        <v>Padre</v>
      </c>
      <c r="E31" s="6" t="str">
        <f>IFERROR(__xludf.DUMMYFUNCTION("""COMPUTED_VALUE"""),"Padre: Andrés Gómez Jaramillo")</f>
        <v>Padre: Andrés Gómez Jaramillo</v>
      </c>
      <c r="F31" s="6"/>
      <c r="G31" s="6" t="str">
        <f>IFERROR(__xludf.DUMMYFUNCTION("""COMPUTED_VALUE"""),"PV")</f>
        <v>PV</v>
      </c>
      <c r="H31" s="6" t="str">
        <f>IFERROR(__xludf.DUMMYFUNCTION("""COMPUTED_VALUE"""),"Gómez Gómez Elisa")</f>
        <v>Gómez Gómez Elisa</v>
      </c>
      <c r="I31" s="6"/>
      <c r="J31" s="8">
        <f>IFERROR(__xludf.DUMMYFUNCTION("""COMPUTED_VALUE"""),46252.50486111111)</f>
        <v>46252.50486</v>
      </c>
      <c r="K31" s="6" t="str">
        <f>IFERROR(__xludf.DUMMYFUNCTION("""COMPUTED_VALUE"""),"kinder@gi.edu.co")</f>
        <v>kinder@gi.edu.co</v>
      </c>
      <c r="L31" s="6" t="str">
        <f>IFERROR(__xludf.DUMMYFUNCTION("""COMPUTED_VALUE"""),"1345282584")</f>
        <v>1345282584</v>
      </c>
      <c r="M31" s="9">
        <f>IFERROR(__xludf.DUMMYFUNCTION("""COMPUTED_VALUE"""),46252.50467592593)</f>
        <v>46252.50468</v>
      </c>
      <c r="N31" s="6" t="str">
        <f>IFERROR(__xludf.DUMMYFUNCTION("""COMPUTED_VALUE"""),"Pendiente")</f>
        <v>Pendiente</v>
      </c>
      <c r="O31" s="6"/>
      <c r="P31" s="10">
        <f>IFERROR(__xludf.DUMMYFUNCTION("""COMPUTED_VALUE"""),46252.50467592593)</f>
        <v>46252.50468</v>
      </c>
      <c r="Q31" s="6"/>
      <c r="R31" s="6" t="str">
        <f>IFERROR(__xludf.DUMMYFUNCTION("""COMPUTED_VALUE"""),"GI- Salida temprano con autorización de sus padres")</f>
        <v>GI- Salida temprano con autorización de sus padres</v>
      </c>
      <c r="S31" s="6" t="b">
        <f>IFERROR(__xludf.DUMMYFUNCTION("""COMPUTED_VALUE"""),FALSE)</f>
        <v>0</v>
      </c>
      <c r="T31" s="6"/>
      <c r="U31" s="6" t="str">
        <f>IFERROR(__xludf.DUMMYFUNCTION("""COMPUTED_VALUE"""),"Salida temprano")</f>
        <v>Salida temprano</v>
      </c>
      <c r="V31" s="6"/>
      <c r="W31" s="6"/>
      <c r="X31" s="6"/>
      <c r="Y31" s="6"/>
      <c r="Z31" s="6"/>
    </row>
    <row r="32">
      <c r="A32" s="6" t="str">
        <f>IFERROR(__xludf.DUMMYFUNCTION("""COMPUTED_VALUE"""),"b44fa62e")</f>
        <v>b44fa62e</v>
      </c>
      <c r="B32" s="7" t="str">
        <f>IFERROR(__xludf.DUMMYFUNCTION("""COMPUTED_VALUE"""),"1345282606")</f>
        <v>1345282606</v>
      </c>
      <c r="C32" s="6" t="str">
        <f>IFERROR(__xludf.DUMMYFUNCTION("""COMPUTED_VALUE"""),"Salida con tercero autorizado por mamá")</f>
        <v>Salida con tercero autorizado por mamá</v>
      </c>
      <c r="D32" s="6"/>
      <c r="E32" s="6"/>
      <c r="F32" s="6" t="str">
        <f>IFERROR(__xludf.DUMMYFUNCTION("""COMPUTED_VALUE"""),"Ana María Londoño mamá de Valentino K5")</f>
        <v>Ana María Londoño mamá de Valentino K5</v>
      </c>
      <c r="G32" s="6" t="str">
        <f>IFERROR(__xludf.DUMMYFUNCTION("""COMPUTED_VALUE"""),"K4")</f>
        <v>K4</v>
      </c>
      <c r="H32" s="6" t="str">
        <f>IFERROR(__xludf.DUMMYFUNCTION("""COMPUTED_VALUE"""),"Urrea Cano Amalia")</f>
        <v>Urrea Cano Amalia</v>
      </c>
      <c r="I32" s="6"/>
      <c r="J32" s="8">
        <f>IFERROR(__xludf.DUMMYFUNCTION("""COMPUTED_VALUE"""),46252.604166666664)</f>
        <v>46252.60417</v>
      </c>
      <c r="K32" s="6" t="str">
        <f>IFERROR(__xludf.DUMMYFUNCTION("""COMPUTED_VALUE"""),"kinder@gi.edu.co")</f>
        <v>kinder@gi.edu.co</v>
      </c>
      <c r="L32" s="6" t="str">
        <f>IFERROR(__xludf.DUMMYFUNCTION("""COMPUTED_VALUE"""),"1345282606")</f>
        <v>1345282606</v>
      </c>
      <c r="M32" s="9">
        <f>IFERROR(__xludf.DUMMYFUNCTION("""COMPUTED_VALUE"""),46252.50530092593)</f>
        <v>46252.5053</v>
      </c>
      <c r="N32" s="6" t="str">
        <f>IFERROR(__xludf.DUMMYFUNCTION("""COMPUTED_VALUE"""),"Pendiente")</f>
        <v>Pendiente</v>
      </c>
      <c r="O32" s="6"/>
      <c r="P32" s="10">
        <f>IFERROR(__xludf.DUMMYFUNCTION("""COMPUTED_VALUE"""),46252.50530092593)</f>
        <v>46252.5053</v>
      </c>
      <c r="Q32" s="6"/>
      <c r="R32" s="6" t="str">
        <f>IFERROR(__xludf.DUMMYFUNCTION("""COMPUTED_VALUE"""),"GI- Salida temprano con autorización de sus padres")</f>
        <v>GI- Salida temprano con autorización de sus padres</v>
      </c>
      <c r="S32" s="6" t="b">
        <f>IFERROR(__xludf.DUMMYFUNCTION("""COMPUTED_VALUE"""),FALSE)</f>
        <v>0</v>
      </c>
      <c r="T32" s="6"/>
      <c r="U32" s="6" t="str">
        <f>IFERROR(__xludf.DUMMYFUNCTION("""COMPUTED_VALUE"""),"Salida temprano")</f>
        <v>Salida temprano</v>
      </c>
      <c r="V32" s="6"/>
      <c r="W32" s="6"/>
      <c r="X32" s="6"/>
      <c r="Y32" s="6"/>
      <c r="Z32" s="6"/>
    </row>
    <row r="33">
      <c r="A33" s="6" t="str">
        <f>IFERROR(__xludf.DUMMYFUNCTION("""COMPUTED_VALUE"""),"78d61a8d")</f>
        <v>78d61a8d</v>
      </c>
      <c r="B33" s="7" t="str">
        <f>IFERROR(__xludf.DUMMYFUNCTION("""COMPUTED_VALUE"""),"1345282362")</f>
        <v>1345282362</v>
      </c>
      <c r="C33" s="6" t="str">
        <f>IFERROR(__xludf.DUMMYFUNCTION("""COMPUTED_VALUE"""),"Sale con tercero, autorizado por la mamá")</f>
        <v>Sale con tercero, autorizado por la mamá</v>
      </c>
      <c r="D33" s="6"/>
      <c r="E33" s="6"/>
      <c r="F33" s="6" t="str">
        <f>IFERROR(__xludf.DUMMYFUNCTION("""COMPUTED_VALUE"""),"MARIA JOSE´GARCIA MAMA DE BELEN BOTERO")</f>
        <v>MARIA JOSE´GARCIA MAMA DE BELEN BOTERO</v>
      </c>
      <c r="G33" s="6" t="str">
        <f>IFERROR(__xludf.DUMMYFUNCTION("""COMPUTED_VALUE"""),"K5")</f>
        <v>K5</v>
      </c>
      <c r="H33" s="6" t="str">
        <f>IFERROR(__xludf.DUMMYFUNCTION("""COMPUTED_VALUE"""),"Izquierdo Muñoz Nina")</f>
        <v>Izquierdo Muñoz Nina</v>
      </c>
      <c r="I33" s="6" t="str">
        <f>IFERROR(__xludf.DUMMYFUNCTION("""COMPUTED_VALUE"""),"Demograficos_Images/1345282362.Foto_Estudiante.201242.jpg")</f>
        <v>Demograficos_Images/1345282362.Foto_Estudiante.201242.jpg</v>
      </c>
      <c r="J33" s="8">
        <f>IFERROR(__xludf.DUMMYFUNCTION("""COMPUTED_VALUE"""),46252.604166666664)</f>
        <v>46252.60417</v>
      </c>
      <c r="K33" s="6" t="str">
        <f>IFERROR(__xludf.DUMMYFUNCTION("""COMPUTED_VALUE"""),"kinder@gi.edu.co")</f>
        <v>kinder@gi.edu.co</v>
      </c>
      <c r="L33" s="6" t="str">
        <f>IFERROR(__xludf.DUMMYFUNCTION("""COMPUTED_VALUE"""),"1345282362")</f>
        <v>1345282362</v>
      </c>
      <c r="M33" s="9">
        <f>IFERROR(__xludf.DUMMYFUNCTION("""COMPUTED_VALUE"""),46252.50695601852)</f>
        <v>46252.50696</v>
      </c>
      <c r="N33" s="6" t="str">
        <f>IFERROR(__xludf.DUMMYFUNCTION("""COMPUTED_VALUE"""),"Pendiente")</f>
        <v>Pendiente</v>
      </c>
      <c r="O33" s="6"/>
      <c r="P33" s="10">
        <f>IFERROR(__xludf.DUMMYFUNCTION("""COMPUTED_VALUE"""),46252.50695601852)</f>
        <v>46252.50696</v>
      </c>
      <c r="Q33" s="6"/>
      <c r="R33" s="6" t="str">
        <f>IFERROR(__xludf.DUMMYFUNCTION("""COMPUTED_VALUE"""),"GI- Salida temprano con autorización de sus padres")</f>
        <v>GI- Salida temprano con autorización de sus padres</v>
      </c>
      <c r="S33" s="6" t="b">
        <f>IFERROR(__xludf.DUMMYFUNCTION("""COMPUTED_VALUE"""),FALSE)</f>
        <v>0</v>
      </c>
      <c r="T33" s="6"/>
      <c r="U33" s="6" t="str">
        <f>IFERROR(__xludf.DUMMYFUNCTION("""COMPUTED_VALUE"""),"Salida temprano")</f>
        <v>Salida temprano</v>
      </c>
      <c r="V33" s="6"/>
      <c r="W33" s="6"/>
      <c r="X33" s="6"/>
      <c r="Y33" s="6"/>
      <c r="Z33" s="6"/>
    </row>
    <row r="34">
      <c r="A34" s="6" t="str">
        <f>IFERROR(__xludf.DUMMYFUNCTION("""COMPUTED_VALUE"""),"80b6e437")</f>
        <v>80b6e437</v>
      </c>
      <c r="B34" s="7" t="str">
        <f>IFERROR(__xludf.DUMMYFUNCTION("""COMPUTED_VALUE"""),"1345282590")</f>
        <v>1345282590</v>
      </c>
      <c r="C34" s="6" t="str">
        <f>IFERROR(__xludf.DUMMYFUNCTION("""COMPUTED_VALUE"""),"SALIDA TEMPRANO PÁRVULOS")</f>
        <v>SALIDA TEMPRANO PÁRVULOS</v>
      </c>
      <c r="D34" s="6" t="str">
        <f>IFERROR(__xludf.DUMMYFUNCTION("""COMPUTED_VALUE"""),"Padre")</f>
        <v>Padre</v>
      </c>
      <c r="E34" s="6" t="str">
        <f>IFERROR(__xludf.DUMMYFUNCTION("""COMPUTED_VALUE"""),"Padre: Juan Pablo Ortiz León")</f>
        <v>Padre: Juan Pablo Ortiz León</v>
      </c>
      <c r="F34" s="6"/>
      <c r="G34" s="6" t="str">
        <f>IFERROR(__xludf.DUMMYFUNCTION("""COMPUTED_VALUE"""),"PV")</f>
        <v>PV</v>
      </c>
      <c r="H34" s="6" t="str">
        <f>IFERROR(__xludf.DUMMYFUNCTION("""COMPUTED_VALUE"""),"Ortíz Jones Leah Alexandrina")</f>
        <v>Ortíz Jones Leah Alexandrina</v>
      </c>
      <c r="I34" s="6"/>
      <c r="J34" s="8">
        <f>IFERROR(__xludf.DUMMYFUNCTION("""COMPUTED_VALUE"""),46252.509722222225)</f>
        <v>46252.50972</v>
      </c>
      <c r="K34" s="6" t="str">
        <f>IFERROR(__xludf.DUMMYFUNCTION("""COMPUTED_VALUE"""),"kinder@gi.edu.co")</f>
        <v>kinder@gi.edu.co</v>
      </c>
      <c r="L34" s="6" t="str">
        <f>IFERROR(__xludf.DUMMYFUNCTION("""COMPUTED_VALUE"""),"1345282590")</f>
        <v>1345282590</v>
      </c>
      <c r="M34" s="9">
        <f>IFERROR(__xludf.DUMMYFUNCTION("""COMPUTED_VALUE"""),46252.50974537037)</f>
        <v>46252.50975</v>
      </c>
      <c r="N34" s="6" t="str">
        <f>IFERROR(__xludf.DUMMYFUNCTION("""COMPUTED_VALUE"""),"Pendiente")</f>
        <v>Pendiente</v>
      </c>
      <c r="O34" s="6"/>
      <c r="P34" s="10">
        <f>IFERROR(__xludf.DUMMYFUNCTION("""COMPUTED_VALUE"""),46252.50974537037)</f>
        <v>46252.50975</v>
      </c>
      <c r="Q34" s="6"/>
      <c r="R34" s="6" t="str">
        <f>IFERROR(__xludf.DUMMYFUNCTION("""COMPUTED_VALUE"""),"GI- Salida temprano con autorización de sus padres")</f>
        <v>GI- Salida temprano con autorización de sus padres</v>
      </c>
      <c r="S34" s="6" t="b">
        <f>IFERROR(__xludf.DUMMYFUNCTION("""COMPUTED_VALUE"""),FALSE)</f>
        <v>0</v>
      </c>
      <c r="T34" s="6"/>
      <c r="U34" s="6" t="str">
        <f>IFERROR(__xludf.DUMMYFUNCTION("""COMPUTED_VALUE"""),"Salida temprano")</f>
        <v>Salida temprano</v>
      </c>
      <c r="V34" s="6"/>
      <c r="W34" s="6"/>
      <c r="X34" s="6"/>
      <c r="Y34" s="6"/>
      <c r="Z34" s="6"/>
    </row>
    <row r="35">
      <c r="A35" s="6" t="str">
        <f>IFERROR(__xludf.DUMMYFUNCTION("""COMPUTED_VALUE"""),"3eb4110d")</f>
        <v>3eb4110d</v>
      </c>
      <c r="B35" s="7" t="str">
        <f>IFERROR(__xludf.DUMMYFUNCTION("""COMPUTED_VALUE"""),"1345281927")</f>
        <v>1345281927</v>
      </c>
      <c r="C35" s="6" t="str">
        <f>IFERROR(__xludf.DUMMYFUNCTION("""COMPUTED_VALUE"""),"sale temprano a cita odontológica")</f>
        <v>sale temprano a cita odontológica</v>
      </c>
      <c r="D35" s="6" t="str">
        <f>IFERROR(__xludf.DUMMYFUNCTION("""COMPUTED_VALUE"""),"Padre")</f>
        <v>Padre</v>
      </c>
      <c r="E35" s="6" t="str">
        <f>IFERROR(__xludf.DUMMYFUNCTION("""COMPUTED_VALUE"""),"Padre: Luis Álvaro Guerrero Lara")</f>
        <v>Padre: Luis Álvaro Guerrero Lara</v>
      </c>
      <c r="F35" s="6"/>
      <c r="G35" s="6" t="str">
        <f>IFERROR(__xludf.DUMMYFUNCTION("""COMPUTED_VALUE"""),"7")</f>
        <v>7</v>
      </c>
      <c r="H35" s="6" t="str">
        <f>IFERROR(__xludf.DUMMYFUNCTION("""COMPUTED_VALUE"""),"Guerrero Ríos Emmanuel")</f>
        <v>Guerrero Ríos Emmanuel</v>
      </c>
      <c r="I35" s="6" t="str">
        <f>IFERROR(__xludf.DUMMYFUNCTION("""COMPUTED_VALUE"""),"Demograficos_Images/1345281927.Foto_Estudiante.182439.jpg")</f>
        <v>Demograficos_Images/1345281927.Foto_Estudiante.182439.jpg</v>
      </c>
      <c r="J35" s="8">
        <f>IFERROR(__xludf.DUMMYFUNCTION("""COMPUTED_VALUE"""),46252.541666666664)</f>
        <v>46252.54167</v>
      </c>
      <c r="K35" s="6" t="str">
        <f>IFERROR(__xludf.DUMMYFUNCTION("""COMPUTED_VALUE"""),"secundaria@gi.edu.co")</f>
        <v>secundaria@gi.edu.co</v>
      </c>
      <c r="L35" s="6" t="str">
        <f>IFERROR(__xludf.DUMMYFUNCTION("""COMPUTED_VALUE"""),"1345281927")</f>
        <v>1345281927</v>
      </c>
      <c r="M35" s="9">
        <f>IFERROR(__xludf.DUMMYFUNCTION("""COMPUTED_VALUE"""),46252.50369212963)</f>
        <v>46252.50369</v>
      </c>
      <c r="N35" s="6" t="str">
        <f>IFERROR(__xludf.DUMMYFUNCTION("""COMPUTED_VALUE"""),"Pendiente")</f>
        <v>Pendiente</v>
      </c>
      <c r="O35" s="6"/>
      <c r="P35" s="10">
        <f>IFERROR(__xludf.DUMMYFUNCTION("""COMPUTED_VALUE"""),46252.50369212963)</f>
        <v>46252.50369</v>
      </c>
      <c r="Q35" s="6"/>
      <c r="R35" s="6" t="str">
        <f>IFERROR(__xludf.DUMMYFUNCTION("""COMPUTED_VALUE"""),"Cita médica")</f>
        <v>Cita médica</v>
      </c>
      <c r="S35" s="6" t="b">
        <f>IFERROR(__xludf.DUMMYFUNCTION("""COMPUTED_VALUE"""),FALSE)</f>
        <v>0</v>
      </c>
      <c r="T35" s="6"/>
      <c r="U35" s="6" t="str">
        <f>IFERROR(__xludf.DUMMYFUNCTION("""COMPUTED_VALUE"""),"Salida temprano")</f>
        <v>Salida temprano</v>
      </c>
      <c r="V35" s="6"/>
      <c r="W35" s="6"/>
      <c r="X35" s="6"/>
      <c r="Y35" s="6"/>
      <c r="Z35" s="6"/>
    </row>
    <row r="36">
      <c r="A36" s="6" t="str">
        <f>IFERROR(__xludf.DUMMYFUNCTION("""COMPUTED_VALUE"""),"155bef1c")</f>
        <v>155bef1c</v>
      </c>
      <c r="B36" s="7" t="str">
        <f>IFERROR(__xludf.DUMMYFUNCTION("""COMPUTED_VALUE"""),"1345281951")</f>
        <v>1345281951</v>
      </c>
      <c r="C36" s="6" t="str">
        <f>IFERROR(__xludf.DUMMYFUNCTION("""COMPUTED_VALUE"""),"Nico sale con Ezequiel Rodrigue")</f>
        <v>Nico sale con Ezequiel Rodrigue</v>
      </c>
      <c r="D36" s="6"/>
      <c r="E36" s="6"/>
      <c r="F36" s="6" t="str">
        <f>IFERROR(__xludf.DUMMYFUNCTION("""COMPUTED_VALUE"""),"Nico sale con Ezequiel Rodrigue")</f>
        <v>Nico sale con Ezequiel Rodrigue</v>
      </c>
      <c r="G36" s="6" t="str">
        <f>IFERROR(__xludf.DUMMYFUNCTION("""COMPUTED_VALUE"""),"4")</f>
        <v>4</v>
      </c>
      <c r="H36" s="6" t="str">
        <f>IFERROR(__xludf.DUMMYFUNCTION("""COMPUTED_VALUE"""),"Gómez Bravo Nicolás")</f>
        <v>Gómez Bravo Nicolás</v>
      </c>
      <c r="I36" s="6" t="str">
        <f>IFERROR(__xludf.DUMMYFUNCTION("""COMPUTED_VALUE"""),"Demograficos_Images/1345281951.Foto_Estudiante.140815.jpg")</f>
        <v>Demograficos_Images/1345281951.Foto_Estudiante.140815.jpg</v>
      </c>
      <c r="J36" s="8">
        <f>IFERROR(__xludf.DUMMYFUNCTION("""COMPUTED_VALUE"""),46252.625)</f>
        <v>46252.625</v>
      </c>
      <c r="K36" s="6" t="str">
        <f>IFERROR(__xludf.DUMMYFUNCTION("""COMPUTED_VALUE"""),"primaria@gi.edu.co")</f>
        <v>primaria@gi.edu.co</v>
      </c>
      <c r="L36" s="6" t="str">
        <f>IFERROR(__xludf.DUMMYFUNCTION("""COMPUTED_VALUE"""),"1345281951")</f>
        <v>1345281951</v>
      </c>
      <c r="M36" s="9">
        <f>IFERROR(__xludf.DUMMYFUNCTION("""COMPUTED_VALUE"""),46252.51773148148)</f>
        <v>46252.51773</v>
      </c>
      <c r="N36" s="6" t="str">
        <f>IFERROR(__xludf.DUMMYFUNCTION("""COMPUTED_VALUE"""),"Pendiente")</f>
        <v>Pendiente</v>
      </c>
      <c r="O36" s="6"/>
      <c r="P36" s="10">
        <f>IFERROR(__xludf.DUMMYFUNCTION("""COMPUTED_VALUE"""),46252.51773148148)</f>
        <v>46252.51773</v>
      </c>
      <c r="Q36" s="6"/>
      <c r="R36" s="6" t="str">
        <f>IFERROR(__xludf.DUMMYFUNCTION("""COMPUTED_VALUE"""),"Familiar (celebraciones, encuentros, despedidas, eucaristias)")</f>
        <v>Familiar (celebraciones, encuentros, despedidas, eucaristias)</v>
      </c>
      <c r="S36" s="6" t="b">
        <f>IFERROR(__xludf.DUMMYFUNCTION("""COMPUTED_VALUE"""),FALSE)</f>
        <v>0</v>
      </c>
      <c r="T36" s="6"/>
      <c r="U36" s="6" t="str">
        <f>IFERROR(__xludf.DUMMYFUNCTION("""COMPUTED_VALUE"""),"Salida temprano")</f>
        <v>Salida temprano</v>
      </c>
      <c r="V36" s="6"/>
      <c r="W36" s="6"/>
      <c r="X36" s="6"/>
      <c r="Y36" s="6"/>
      <c r="Z36" s="6"/>
    </row>
    <row r="37">
      <c r="A37" s="6" t="str">
        <f>IFERROR(__xludf.DUMMYFUNCTION("""COMPUTED_VALUE"""),"207a693d")</f>
        <v>207a693d</v>
      </c>
      <c r="B37" s="7" t="str">
        <f>IFERROR(__xludf.DUMMYFUNCTION("""COMPUTED_VALUE"""),"1345282631")</f>
        <v>1345282631</v>
      </c>
      <c r="C37" s="6" t="str">
        <f>IFERROR(__xludf.DUMMYFUNCTION("""COMPUTED_VALUE"""),"Salida temprano")</f>
        <v>Salida temprano</v>
      </c>
      <c r="D37" s="6" t="str">
        <f>IFERROR(__xludf.DUMMYFUNCTION("""COMPUTED_VALUE"""),"Madre")</f>
        <v>Madre</v>
      </c>
      <c r="E37" s="6" t="str">
        <f>IFERROR(__xludf.DUMMYFUNCTION("""COMPUTED_VALUE"""),"Madre: Liz Janeth Arias López")</f>
        <v>Madre: Liz Janeth Arias López</v>
      </c>
      <c r="F37" s="6"/>
      <c r="G37" s="6" t="str">
        <f>IFERROR(__xludf.DUMMYFUNCTION("""COMPUTED_VALUE"""),"K4")</f>
        <v>K4</v>
      </c>
      <c r="H37" s="6" t="str">
        <f>IFERROR(__xludf.DUMMYFUNCTION("""COMPUTED_VALUE"""),"Bernal Arias Rosario")</f>
        <v>Bernal Arias Rosario</v>
      </c>
      <c r="I37" s="6"/>
      <c r="J37" s="8">
        <f>IFERROR(__xludf.DUMMYFUNCTION("""COMPUTED_VALUE"""),46252.5625)</f>
        <v>46252.5625</v>
      </c>
      <c r="K37" s="6" t="str">
        <f>IFERROR(__xludf.DUMMYFUNCTION("""COMPUTED_VALUE"""),"kinder@gi.edu.co")</f>
        <v>kinder@gi.edu.co</v>
      </c>
      <c r="L37" s="6" t="str">
        <f>IFERROR(__xludf.DUMMYFUNCTION("""COMPUTED_VALUE"""),"1345282631")</f>
        <v>1345282631</v>
      </c>
      <c r="M37" s="9">
        <f>IFERROR(__xludf.DUMMYFUNCTION("""COMPUTED_VALUE"""),46252.5125462963)</f>
        <v>46252.51255</v>
      </c>
      <c r="N37" s="6" t="str">
        <f>IFERROR(__xludf.DUMMYFUNCTION("""COMPUTED_VALUE"""),"Pendiente")</f>
        <v>Pendiente</v>
      </c>
      <c r="O37" s="6"/>
      <c r="P37" s="10">
        <f>IFERROR(__xludf.DUMMYFUNCTION("""COMPUTED_VALUE"""),46252.5125462963)</f>
        <v>46252.51255</v>
      </c>
      <c r="Q37" s="6"/>
      <c r="R37" s="6" t="str">
        <f>IFERROR(__xludf.DUMMYFUNCTION("""COMPUTED_VALUE"""),"GI- Salida temprano con autorización de sus padres")</f>
        <v>GI- Salida temprano con autorización de sus padres</v>
      </c>
      <c r="S37" s="6" t="b">
        <f>IFERROR(__xludf.DUMMYFUNCTION("""COMPUTED_VALUE"""),FALSE)</f>
        <v>0</v>
      </c>
      <c r="T37" s="6"/>
      <c r="U37" s="6" t="str">
        <f>IFERROR(__xludf.DUMMYFUNCTION("""COMPUTED_VALUE"""),"Salida temprano")</f>
        <v>Salida temprano</v>
      </c>
      <c r="V37" s="6"/>
      <c r="W37" s="6"/>
      <c r="X37" s="6"/>
      <c r="Y37" s="6"/>
      <c r="Z37" s="6"/>
    </row>
    <row r="38">
      <c r="A38" s="6" t="str">
        <f>IFERROR(__xludf.DUMMYFUNCTION("""COMPUTED_VALUE"""),"58f20a21")</f>
        <v>58f20a21</v>
      </c>
      <c r="B38" s="7">
        <f>IFERROR(__xludf.DUMMYFUNCTION("""COMPUTED_VALUE"""),1.345282198E9)</f>
        <v>1345282198</v>
      </c>
      <c r="C38" s="6" t="str">
        <f>IFERROR(__xludf.DUMMYFUNCTION("""COMPUTED_VALUE"""),"Emilia Castaño de primero y Paulina Castaño de cuarto con Paola Ruiz la mamá de Thiago de cuarto")</f>
        <v>Emilia Castaño de primero y Paulina Castaño de cuarto con Paola Ruiz la mamá de Thiago de cuarto</v>
      </c>
      <c r="D38" s="6"/>
      <c r="E38" s="6"/>
      <c r="F38" s="6" t="str">
        <f>IFERROR(__xludf.DUMMYFUNCTION("""COMPUTED_VALUE"""),"Emilia Castaño de primero y Paulina Castaño de cuarto con Paola Ruiz la mamá de Thiago de cuarto")</f>
        <v>Emilia Castaño de primero y Paulina Castaño de cuarto con Paola Ruiz la mamá de Thiago de cuarto</v>
      </c>
      <c r="G38" s="6">
        <f>IFERROR(__xludf.DUMMYFUNCTION("""COMPUTED_VALUE"""),1.0)</f>
        <v>1</v>
      </c>
      <c r="H38" s="6" t="str">
        <f>IFERROR(__xludf.DUMMYFUNCTION("""COMPUTED_VALUE"""),"Castaño Aristizábal Emilia")</f>
        <v>Castaño Aristizábal Emilia</v>
      </c>
      <c r="I38" s="13" t="str">
        <f>IFERROR(__xludf.DUMMYFUNCTION("""COMPUTED_VALUE"""),"https://www.appsheet.com/image/getimageurl?appName=Lector_Placas-745737628-25-08-10&amp;tableName=Demograficos&amp;fileName=Demograficos_Images%2F1345282285.Foto_Estudiante.202845.jpg&amp;appVersion=1.001101&amp;signature=8a02bf867f885230aa543e2200f0036f7884cc90be23b06d2"&amp;"93f07130d822b68")</f>
        <v>https://www.appsheet.com/image/getimageurl?appName=Lector_Placas-745737628-25-08-10&amp;tableName=Demograficos&amp;fileName=Demograficos_Images%2F1345282285.Foto_Estudiante.202845.jpg&amp;appVersion=1.001101&amp;signature=8a02bf867f885230aa543e2200f0036f7884cc90be23b06d293f07130d822b68</v>
      </c>
      <c r="J38" s="8">
        <f>IFERROR(__xludf.DUMMYFUNCTION("""COMPUTED_VALUE"""),46252.625)</f>
        <v>46252.625</v>
      </c>
      <c r="K38" s="6" t="str">
        <f>IFERROR(__xludf.DUMMYFUNCTION("""COMPUTED_VALUE"""),"primaria@gi.edu.co")</f>
        <v>primaria@gi.edu.co</v>
      </c>
      <c r="L38" s="6">
        <f>IFERROR(__xludf.DUMMYFUNCTION("""COMPUTED_VALUE"""),1.345282285E9)</f>
        <v>1345282285</v>
      </c>
      <c r="M38" s="9">
        <f>IFERROR(__xludf.DUMMYFUNCTION("""COMPUTED_VALUE"""),46252.51875)</f>
        <v>46252.51875</v>
      </c>
      <c r="N38" s="6" t="str">
        <f>IFERROR(__xludf.DUMMYFUNCTION("""COMPUTED_VALUE"""),"Pendiente")</f>
        <v>Pendiente</v>
      </c>
      <c r="O38" s="6"/>
      <c r="P38" s="6"/>
      <c r="Q38" s="6"/>
      <c r="R38" s="6" t="str">
        <f>IFERROR(__xludf.DUMMYFUNCTION("""COMPUTED_VALUE"""),"Familiar (celebraciones, encuentros, despedidas, eucaristias)")</f>
        <v>Familiar (celebraciones, encuentros, despedidas, eucaristias)</v>
      </c>
      <c r="S38" s="6" t="b">
        <f>IFERROR(__xludf.DUMMYFUNCTION("""COMPUTED_VALUE"""),FALSE)</f>
        <v>0</v>
      </c>
      <c r="T38" s="6"/>
      <c r="U38" s="6" t="str">
        <f>IFERROR(__xludf.DUMMYFUNCTION("""COMPUTED_VALUE"""),"Salida temprano")</f>
        <v>Salida temprano</v>
      </c>
      <c r="V38" s="6"/>
      <c r="W38" s="6"/>
      <c r="X38" s="6"/>
      <c r="Y38" s="6"/>
      <c r="Z38" s="6"/>
    </row>
    <row r="39">
      <c r="A39" s="6" t="str">
        <f>IFERROR(__xludf.DUMMYFUNCTION("""COMPUTED_VALUE"""),"577f1b59")</f>
        <v>577f1b59</v>
      </c>
      <c r="B39" s="7">
        <f>IFERROR(__xludf.DUMMYFUNCTION("""COMPUTED_VALUE"""),1.345282285E9)</f>
        <v>1345282285</v>
      </c>
      <c r="C39" s="6" t="str">
        <f>IFERROR(__xludf.DUMMYFUNCTION("""COMPUTED_VALUE"""),"Emilia Castaño de primero y Paulina Castaño de cuarto con Paola Ruiz la mamá de Thiago de cuarto")</f>
        <v>Emilia Castaño de primero y Paulina Castaño de cuarto con Paola Ruiz la mamá de Thiago de cuarto</v>
      </c>
      <c r="D39" s="6"/>
      <c r="E39" s="6"/>
      <c r="F39" s="6" t="str">
        <f>IFERROR(__xludf.DUMMYFUNCTION("""COMPUTED_VALUE"""),"Emilia Castaño de primero y Paulina Castaño de cuarto con Paola Ruiz la mamá de Thiago de cuarto")</f>
        <v>Emilia Castaño de primero y Paulina Castaño de cuarto con Paola Ruiz la mamá de Thiago de cuarto</v>
      </c>
      <c r="G39" s="6">
        <f>IFERROR(__xludf.DUMMYFUNCTION("""COMPUTED_VALUE"""),4.0)</f>
        <v>4</v>
      </c>
      <c r="H39" s="6" t="str">
        <f>IFERROR(__xludf.DUMMYFUNCTION("""COMPUTED_VALUE"""),"Castaño Aristizábal Paulina")</f>
        <v>Castaño Aristizábal Paulina</v>
      </c>
      <c r="I39" s="13" t="str">
        <f>IFERROR(__xludf.DUMMYFUNCTION("""COMPUTED_VALUE"""),"https://www.appsheet.com/image/getimageurl?appName=Lector_Placas-745737628-25-08-10&amp;tableName=Demograficos&amp;fileName=Demograficos_Images%2F1345282198.Foto_Estudiante.140659.jpg&amp;appVersion=1.001101&amp;signature=f28268cf5c1a4497ea13582d9e3c07ca7717ff62a7e9749ac"&amp;"04ce0ff40784dac")</f>
        <v>https://www.appsheet.com/image/getimageurl?appName=Lector_Placas-745737628-25-08-10&amp;tableName=Demograficos&amp;fileName=Demograficos_Images%2F1345282198.Foto_Estudiante.140659.jpg&amp;appVersion=1.001101&amp;signature=f28268cf5c1a4497ea13582d9e3c07ca7717ff62a7e9749ac04ce0ff40784dac</v>
      </c>
      <c r="J39" s="8">
        <f>IFERROR(__xludf.DUMMYFUNCTION("""COMPUTED_VALUE"""),46252.625)</f>
        <v>46252.625</v>
      </c>
      <c r="K39" s="6" t="str">
        <f>IFERROR(__xludf.DUMMYFUNCTION("""COMPUTED_VALUE"""),"primaria@gi.edu.co")</f>
        <v>primaria@gi.edu.co</v>
      </c>
      <c r="L39" s="6">
        <f>IFERROR(__xludf.DUMMYFUNCTION("""COMPUTED_VALUE"""),1.345282198E9)</f>
        <v>1345282198</v>
      </c>
      <c r="M39" s="9">
        <f>IFERROR(__xludf.DUMMYFUNCTION("""COMPUTED_VALUE"""),46252.51875)</f>
        <v>46252.51875</v>
      </c>
      <c r="N39" s="6" t="str">
        <f>IFERROR(__xludf.DUMMYFUNCTION("""COMPUTED_VALUE"""),"Pendiente")</f>
        <v>Pendiente</v>
      </c>
      <c r="O39" s="6"/>
      <c r="P39" s="6"/>
      <c r="Q39" s="6"/>
      <c r="R39" s="6" t="str">
        <f>IFERROR(__xludf.DUMMYFUNCTION("""COMPUTED_VALUE"""),"Familiar (celebraciones, encuentros, despedidas, eucaristias)")</f>
        <v>Familiar (celebraciones, encuentros, despedidas, eucaristias)</v>
      </c>
      <c r="S39" s="6" t="b">
        <f>IFERROR(__xludf.DUMMYFUNCTION("""COMPUTED_VALUE"""),FALSE)</f>
        <v>0</v>
      </c>
      <c r="T39" s="6"/>
      <c r="U39" s="6" t="str">
        <f>IFERROR(__xludf.DUMMYFUNCTION("""COMPUTED_VALUE"""),"Salida temprano")</f>
        <v>Salida temprano</v>
      </c>
      <c r="V39" s="6"/>
      <c r="W39" s="6"/>
      <c r="X39" s="6"/>
      <c r="Y39" s="6"/>
      <c r="Z39" s="6"/>
    </row>
    <row r="40">
      <c r="A40" s="6" t="str">
        <f>IFERROR(__xludf.DUMMYFUNCTION("""COMPUTED_VALUE"""),"bad66721")</f>
        <v>bad66721</v>
      </c>
      <c r="B40" s="7">
        <f>IFERROR(__xludf.DUMMYFUNCTION("""COMPUTED_VALUE"""),1.345282198E9)</f>
        <v>1345282198</v>
      </c>
      <c r="C40" s="6" t="str">
        <f>IFERROR(__xludf.DUMMYFUNCTION("""COMPUTED_VALUE"""),"Emilia Castaño de primero y Paulina Castaño de cuarto con Paola Ruiz la mamá de Thiago de cuarto")</f>
        <v>Emilia Castaño de primero y Paulina Castaño de cuarto con Paola Ruiz la mamá de Thiago de cuarto</v>
      </c>
      <c r="D40" s="6"/>
      <c r="E40" s="6"/>
      <c r="F40" s="6" t="str">
        <f>IFERROR(__xludf.DUMMYFUNCTION("""COMPUTED_VALUE"""),"Emilia Castaño de primero y Paulina Castaño de cuarto con Paola Ruiz la mamá de Thiago de cuarto")</f>
        <v>Emilia Castaño de primero y Paulina Castaño de cuarto con Paola Ruiz la mamá de Thiago de cuarto</v>
      </c>
      <c r="G40" s="6">
        <f>IFERROR(__xludf.DUMMYFUNCTION("""COMPUTED_VALUE"""),1.0)</f>
        <v>1</v>
      </c>
      <c r="H40" s="6" t="str">
        <f>IFERROR(__xludf.DUMMYFUNCTION("""COMPUTED_VALUE"""),"Castaño Aristizábal Emilia")</f>
        <v>Castaño Aristizábal Emilia</v>
      </c>
      <c r="I40" s="13" t="str">
        <f>IFERROR(__xludf.DUMMYFUNCTION("""COMPUTED_VALUE"""),"https://www.appsheet.com/image/getimageurl?appName=Lector_Placas-745737628-25-08-10&amp;tableName=Demograficos&amp;fileName=Demograficos_Images%2F1345282285.Foto_Estudiante.202845.jpg&amp;appVersion=1.001101&amp;signature=8a02bf867f885230aa543e2200f0036f7884cc90be23b06d2"&amp;"93f07130d822b68")</f>
        <v>https://www.appsheet.com/image/getimageurl?appName=Lector_Placas-745737628-25-08-10&amp;tableName=Demograficos&amp;fileName=Demograficos_Images%2F1345282285.Foto_Estudiante.202845.jpg&amp;appVersion=1.001101&amp;signature=8a02bf867f885230aa543e2200f0036f7884cc90be23b06d293f07130d822b68</v>
      </c>
      <c r="J40" s="8">
        <f>IFERROR(__xludf.DUMMYFUNCTION("""COMPUTED_VALUE"""),46252.625)</f>
        <v>46252.625</v>
      </c>
      <c r="K40" s="6" t="str">
        <f>IFERROR(__xludf.DUMMYFUNCTION("""COMPUTED_VALUE"""),"primaria@gi.edu.co")</f>
        <v>primaria@gi.edu.co</v>
      </c>
      <c r="L40" s="6">
        <f>IFERROR(__xludf.DUMMYFUNCTION("""COMPUTED_VALUE"""),1.345282285E9)</f>
        <v>1345282285</v>
      </c>
      <c r="M40" s="9">
        <f>IFERROR(__xludf.DUMMYFUNCTION("""COMPUTED_VALUE"""),46252.51875)</f>
        <v>46252.51875</v>
      </c>
      <c r="N40" s="6" t="str">
        <f>IFERROR(__xludf.DUMMYFUNCTION("""COMPUTED_VALUE"""),"Pendiente")</f>
        <v>Pendiente</v>
      </c>
      <c r="O40" s="6"/>
      <c r="P40" s="6"/>
      <c r="Q40" s="6"/>
      <c r="R40" s="6" t="str">
        <f>IFERROR(__xludf.DUMMYFUNCTION("""COMPUTED_VALUE"""),"Familiar (celebraciones, encuentros, despedidas, eucaristias)")</f>
        <v>Familiar (celebraciones, encuentros, despedidas, eucaristias)</v>
      </c>
      <c r="S40" s="6" t="b">
        <f>IFERROR(__xludf.DUMMYFUNCTION("""COMPUTED_VALUE"""),FALSE)</f>
        <v>0</v>
      </c>
      <c r="T40" s="6"/>
      <c r="U40" s="6" t="str">
        <f>IFERROR(__xludf.DUMMYFUNCTION("""COMPUTED_VALUE"""),"Salida temprano")</f>
        <v>Salida temprano</v>
      </c>
      <c r="V40" s="6"/>
      <c r="W40" s="6"/>
      <c r="X40" s="6"/>
      <c r="Y40" s="6"/>
      <c r="Z40" s="6"/>
    </row>
    <row r="41">
      <c r="A41" s="6" t="str">
        <f>IFERROR(__xludf.DUMMYFUNCTION("""COMPUTED_VALUE"""),"a403b730")</f>
        <v>a403b730</v>
      </c>
      <c r="B41" s="7">
        <f>IFERROR(__xludf.DUMMYFUNCTION("""COMPUTED_VALUE"""),1.345282285E9)</f>
        <v>1345282285</v>
      </c>
      <c r="C41" s="6" t="str">
        <f>IFERROR(__xludf.DUMMYFUNCTION("""COMPUTED_VALUE"""),"Emilia Castaño de primero y Paulina Castaño de cuarto con Paola Ruiz la mamá de Thiago de cuarto")</f>
        <v>Emilia Castaño de primero y Paulina Castaño de cuarto con Paola Ruiz la mamá de Thiago de cuarto</v>
      </c>
      <c r="D41" s="6"/>
      <c r="E41" s="6"/>
      <c r="F41" s="6" t="str">
        <f>IFERROR(__xludf.DUMMYFUNCTION("""COMPUTED_VALUE"""),"Emilia Castaño de primero y Paulina Castaño de cuarto con Paola Ruiz la mamá de Thiago de cuarto")</f>
        <v>Emilia Castaño de primero y Paulina Castaño de cuarto con Paola Ruiz la mamá de Thiago de cuarto</v>
      </c>
      <c r="G41" s="6">
        <f>IFERROR(__xludf.DUMMYFUNCTION("""COMPUTED_VALUE"""),4.0)</f>
        <v>4</v>
      </c>
      <c r="H41" s="6" t="str">
        <f>IFERROR(__xludf.DUMMYFUNCTION("""COMPUTED_VALUE"""),"Castaño Aristizábal Paulina")</f>
        <v>Castaño Aristizábal Paulina</v>
      </c>
      <c r="I41" s="13" t="str">
        <f>IFERROR(__xludf.DUMMYFUNCTION("""COMPUTED_VALUE"""),"https://www.appsheet.com/image/getimageurl?appName=Lector_Placas-745737628-25-08-10&amp;tableName=Demograficos&amp;fileName=Demograficos_Images%2F1345282198.Foto_Estudiante.140659.jpg&amp;appVersion=1.001101&amp;signature=f28268cf5c1a4497ea13582d9e3c07ca7717ff62a7e9749ac"&amp;"04ce0ff40784dac")</f>
        <v>https://www.appsheet.com/image/getimageurl?appName=Lector_Placas-745737628-25-08-10&amp;tableName=Demograficos&amp;fileName=Demograficos_Images%2F1345282198.Foto_Estudiante.140659.jpg&amp;appVersion=1.001101&amp;signature=f28268cf5c1a4497ea13582d9e3c07ca7717ff62a7e9749ac04ce0ff40784dac</v>
      </c>
      <c r="J41" s="8">
        <f>IFERROR(__xludf.DUMMYFUNCTION("""COMPUTED_VALUE"""),46252.625)</f>
        <v>46252.625</v>
      </c>
      <c r="K41" s="6" t="str">
        <f>IFERROR(__xludf.DUMMYFUNCTION("""COMPUTED_VALUE"""),"primaria@gi.edu.co")</f>
        <v>primaria@gi.edu.co</v>
      </c>
      <c r="L41" s="6">
        <f>IFERROR(__xludf.DUMMYFUNCTION("""COMPUTED_VALUE"""),1.345282198E9)</f>
        <v>1345282198</v>
      </c>
      <c r="M41" s="9">
        <f>IFERROR(__xludf.DUMMYFUNCTION("""COMPUTED_VALUE"""),46252.51875)</f>
        <v>46252.51875</v>
      </c>
      <c r="N41" s="6" t="str">
        <f>IFERROR(__xludf.DUMMYFUNCTION("""COMPUTED_VALUE"""),"Pendiente")</f>
        <v>Pendiente</v>
      </c>
      <c r="O41" s="6"/>
      <c r="P41" s="6"/>
      <c r="Q41" s="6"/>
      <c r="R41" s="6" t="str">
        <f>IFERROR(__xludf.DUMMYFUNCTION("""COMPUTED_VALUE"""),"Familiar (celebraciones, encuentros, despedidas, eucaristias)")</f>
        <v>Familiar (celebraciones, encuentros, despedidas, eucaristias)</v>
      </c>
      <c r="S41" s="6" t="b">
        <f>IFERROR(__xludf.DUMMYFUNCTION("""COMPUTED_VALUE"""),FALSE)</f>
        <v>0</v>
      </c>
      <c r="T41" s="6"/>
      <c r="U41" s="6" t="str">
        <f>IFERROR(__xludf.DUMMYFUNCTION("""COMPUTED_VALUE"""),"Salida temprano")</f>
        <v>Salida temprano</v>
      </c>
      <c r="V41" s="6"/>
      <c r="W41" s="6"/>
      <c r="X41" s="6"/>
      <c r="Y41" s="6"/>
      <c r="Z41" s="6"/>
    </row>
    <row r="42">
      <c r="A42" s="6" t="str">
        <f>IFERROR(__xludf.DUMMYFUNCTION("""COMPUTED_VALUE"""),"475c6476")</f>
        <v>475c6476</v>
      </c>
      <c r="B42" s="7" t="str">
        <f>IFERROR(__xludf.DUMMYFUNCTION("""COMPUTED_VALUE"""),"1345282475")</f>
        <v>1345282475</v>
      </c>
      <c r="C42" s="6" t="str">
        <f>IFERROR(__xludf.DUMMYFUNCTION("""COMPUTED_VALUE"""),"Salida temprano")</f>
        <v>Salida temprano</v>
      </c>
      <c r="D42" s="6" t="str">
        <f>IFERROR(__xludf.DUMMYFUNCTION("""COMPUTED_VALUE"""),"Madre")</f>
        <v>Madre</v>
      </c>
      <c r="E42" s="6" t="str">
        <f>IFERROR(__xludf.DUMMYFUNCTION("""COMPUTED_VALUE"""),"Madre: Daniela  Velásquez Botero")</f>
        <v>Madre: Daniela  Velásquez Botero</v>
      </c>
      <c r="F42" s="6"/>
      <c r="G42" s="6" t="str">
        <f>IFERROR(__xludf.DUMMYFUNCTION("""COMPUTED_VALUE"""),"K4")</f>
        <v>K4</v>
      </c>
      <c r="H42" s="6" t="str">
        <f>IFERROR(__xludf.DUMMYFUNCTION("""COMPUTED_VALUE"""),"Velásquez Velásquez Rebeca")</f>
        <v>Velásquez Velásquez Rebeca</v>
      </c>
      <c r="I42" s="6" t="str">
        <f>IFERROR(__xludf.DUMMYFUNCTION("""COMPUTED_VALUE"""),"Demograficos_Images/1345282475.Foto_Estudiante.195431.jpg")</f>
        <v>Demograficos_Images/1345282475.Foto_Estudiante.195431.jpg</v>
      </c>
      <c r="J42" s="8">
        <f>IFERROR(__xludf.DUMMYFUNCTION("""COMPUTED_VALUE"""),46252.53125)</f>
        <v>46252.53125</v>
      </c>
      <c r="K42" s="6" t="str">
        <f>IFERROR(__xludf.DUMMYFUNCTION("""COMPUTED_VALUE"""),"kinder@gi.edu.co")</f>
        <v>kinder@gi.edu.co</v>
      </c>
      <c r="L42" s="6" t="str">
        <f>IFERROR(__xludf.DUMMYFUNCTION("""COMPUTED_VALUE"""),"1345282475")</f>
        <v>1345282475</v>
      </c>
      <c r="M42" s="9">
        <f>IFERROR(__xludf.DUMMYFUNCTION("""COMPUTED_VALUE"""),46252.53163194445)</f>
        <v>46252.53163</v>
      </c>
      <c r="N42" s="6" t="str">
        <f>IFERROR(__xludf.DUMMYFUNCTION("""COMPUTED_VALUE"""),"Pendiente")</f>
        <v>Pendiente</v>
      </c>
      <c r="O42" s="6"/>
      <c r="P42" s="10">
        <f>IFERROR(__xludf.DUMMYFUNCTION("""COMPUTED_VALUE"""),46252.53163194445)</f>
        <v>46252.53163</v>
      </c>
      <c r="Q42" s="6"/>
      <c r="R42" s="6" t="str">
        <f>IFERROR(__xludf.DUMMYFUNCTION("""COMPUTED_VALUE"""),"GI- Salida temprano con autorización de sus padres")</f>
        <v>GI- Salida temprano con autorización de sus padres</v>
      </c>
      <c r="S42" s="6" t="b">
        <f>IFERROR(__xludf.DUMMYFUNCTION("""COMPUTED_VALUE"""),FALSE)</f>
        <v>0</v>
      </c>
      <c r="T42" s="6"/>
      <c r="U42" s="6" t="str">
        <f>IFERROR(__xludf.DUMMYFUNCTION("""COMPUTED_VALUE"""),"Salida temprano")</f>
        <v>Salida temprano</v>
      </c>
      <c r="V42" s="6"/>
      <c r="W42" s="6"/>
      <c r="X42" s="6"/>
      <c r="Y42" s="6"/>
      <c r="Z42" s="6"/>
    </row>
    <row r="43">
      <c r="A43" s="6" t="str">
        <f>IFERROR(__xludf.DUMMYFUNCTION("""COMPUTED_VALUE"""),"51c320f2")</f>
        <v>51c320f2</v>
      </c>
      <c r="B43" s="7" t="str">
        <f>IFERROR(__xludf.DUMMYFUNCTION("""COMPUTED_VALUE"""),"1345282490")</f>
        <v>1345282490</v>
      </c>
      <c r="C43" s="6" t="str">
        <f>IFERROR(__xludf.DUMMYFUNCTION("""COMPUTED_VALUE"""),"SALE CON TERCERO, AUTORIZA MAMÁ")</f>
        <v>SALE CON TERCERO, AUTORIZA MAMÁ</v>
      </c>
      <c r="D43" s="6"/>
      <c r="E43" s="6"/>
      <c r="F43" s="6" t="str">
        <f>IFERROR(__xludf.DUMMYFUNCTION("""COMPUTED_VALUE"""),"SALE CON PRIMA PALOMA LOPEZ DUARTE DE 8")</f>
        <v>SALE CON PRIMA PALOMA LOPEZ DUARTE DE 8</v>
      </c>
      <c r="G43" s="6" t="str">
        <f>IFERROR(__xludf.DUMMYFUNCTION("""COMPUTED_VALUE"""),"K3")</f>
        <v>K3</v>
      </c>
      <c r="H43" s="6" t="str">
        <f>IFERROR(__xludf.DUMMYFUNCTION("""COMPUTED_VALUE"""),"Cardona López Matías")</f>
        <v>Cardona López Matías</v>
      </c>
      <c r="I43" s="6" t="str">
        <f>IFERROR(__xludf.DUMMYFUNCTION("""COMPUTED_VALUE"""),"Demograficos_Images/1345282490.Foto_Estudiante.182155.jpg")</f>
        <v>Demograficos_Images/1345282490.Foto_Estudiante.182155.jpg</v>
      </c>
      <c r="J43" s="8">
        <f>IFERROR(__xludf.DUMMYFUNCTION("""COMPUTED_VALUE"""),46252.625)</f>
        <v>46252.625</v>
      </c>
      <c r="K43" s="6" t="str">
        <f>IFERROR(__xludf.DUMMYFUNCTION("""COMPUTED_VALUE"""),"kinder@gi.edu.co")</f>
        <v>kinder@gi.edu.co</v>
      </c>
      <c r="L43" s="6" t="str">
        <f>IFERROR(__xludf.DUMMYFUNCTION("""COMPUTED_VALUE"""),"1345282490")</f>
        <v>1345282490</v>
      </c>
      <c r="M43" s="9">
        <f>IFERROR(__xludf.DUMMYFUNCTION("""COMPUTED_VALUE"""),46252.55055555556)</f>
        <v>46252.55056</v>
      </c>
      <c r="N43" s="6" t="str">
        <f>IFERROR(__xludf.DUMMYFUNCTION("""COMPUTED_VALUE"""),"Pendiente")</f>
        <v>Pendiente</v>
      </c>
      <c r="O43" s="6"/>
      <c r="P43" s="10">
        <f>IFERROR(__xludf.DUMMYFUNCTION("""COMPUTED_VALUE"""),46252.55055555556)</f>
        <v>46252.55056</v>
      </c>
      <c r="Q43" s="6"/>
      <c r="R43" s="6" t="str">
        <f>IFERROR(__xludf.DUMMYFUNCTION("""COMPUTED_VALUE"""),"Prescolar")</f>
        <v>Prescolar</v>
      </c>
      <c r="S43" s="6" t="b">
        <f>IFERROR(__xludf.DUMMYFUNCTION("""COMPUTED_VALUE"""),FALSE)</f>
        <v>0</v>
      </c>
      <c r="T43" s="6"/>
      <c r="U43" s="6" t="str">
        <f>IFERROR(__xludf.DUMMYFUNCTION("""COMPUTED_VALUE"""),"Salida temprano")</f>
        <v>Salida temprano</v>
      </c>
      <c r="V43" s="6"/>
      <c r="W43" s="6"/>
      <c r="X43" s="6"/>
      <c r="Y43" s="6"/>
      <c r="Z43" s="6"/>
    </row>
    <row r="44">
      <c r="A44" s="6" t="str">
        <f>IFERROR(__xludf.DUMMYFUNCTION("""COMPUTED_VALUE"""),"7ac915da")</f>
        <v>7ac915da</v>
      </c>
      <c r="B44" s="7" t="str">
        <f>IFERROR(__xludf.DUMMYFUNCTION("""COMPUTED_VALUE"""),"1345282369")</f>
        <v>1345282369</v>
      </c>
      <c r="C44" s="6" t="str">
        <f>IFERROR(__xludf.DUMMYFUNCTION("""COMPUTED_VALUE"""),"enfermedad")</f>
        <v>enfermedad</v>
      </c>
      <c r="D44" s="6" t="str">
        <f>IFERROR(__xludf.DUMMYFUNCTION("""COMPUTED_VALUE"""),"Madre")</f>
        <v>Madre</v>
      </c>
      <c r="E44" s="6" t="str">
        <f>IFERROR(__xludf.DUMMYFUNCTION("""COMPUTED_VALUE"""),"Madre: Carolina  Arango Vallejo")</f>
        <v>Madre: Carolina  Arango Vallejo</v>
      </c>
      <c r="F44" s="6"/>
      <c r="G44" s="6" t="str">
        <f>IFERROR(__xludf.DUMMYFUNCTION("""COMPUTED_VALUE"""),"2")</f>
        <v>2</v>
      </c>
      <c r="H44" s="6" t="str">
        <f>IFERROR(__xludf.DUMMYFUNCTION("""COMPUTED_VALUE"""),"Pérez Arango Tomás")</f>
        <v>Pérez Arango Tomás</v>
      </c>
      <c r="I44" s="6" t="str">
        <f>IFERROR(__xludf.DUMMYFUNCTION("""COMPUTED_VALUE"""),"Demograficos_Images/1345282369.Foto_Estudiante.210312.jpg")</f>
        <v>Demograficos_Images/1345282369.Foto_Estudiante.210312.jpg</v>
      </c>
      <c r="J44" s="8">
        <f>IFERROR(__xludf.DUMMYFUNCTION("""COMPUTED_VALUE"""),46252.561111111114)</f>
        <v>46252.56111</v>
      </c>
      <c r="K44" s="6" t="str">
        <f>IFERROR(__xludf.DUMMYFUNCTION("""COMPUTED_VALUE"""),"enfermeria@gi.edu.co")</f>
        <v>enfermeria@gi.edu.co</v>
      </c>
      <c r="L44" s="6" t="str">
        <f>IFERROR(__xludf.DUMMYFUNCTION("""COMPUTED_VALUE"""),"1345282369")</f>
        <v>1345282369</v>
      </c>
      <c r="M44" s="9">
        <f>IFERROR(__xludf.DUMMYFUNCTION("""COMPUTED_VALUE"""),46252.56116898148)</f>
        <v>46252.56117</v>
      </c>
      <c r="N44" s="6" t="str">
        <f>IFERROR(__xludf.DUMMYFUNCTION("""COMPUTED_VALUE"""),"Pendiente")</f>
        <v>Pendiente</v>
      </c>
      <c r="O44" s="6"/>
      <c r="P44" s="10">
        <f>IFERROR(__xludf.DUMMYFUNCTION("""COMPUTED_VALUE"""),46252.56116898148)</f>
        <v>46252.56117</v>
      </c>
      <c r="Q44" s="6"/>
      <c r="R44" s="6" t="str">
        <f>IFERROR(__xludf.DUMMYFUNCTION("""COMPUTED_VALUE"""),"En la enfermería")</f>
        <v>En la enfermería</v>
      </c>
      <c r="S44" s="6"/>
      <c r="T44" s="6"/>
      <c r="U44" s="6" t="str">
        <f>IFERROR(__xludf.DUMMYFUNCTION("""COMPUTED_VALUE"""),"Salida temprano")</f>
        <v>Salida temprano</v>
      </c>
      <c r="V44" s="6"/>
      <c r="W44" s="6"/>
      <c r="X44" s="6"/>
      <c r="Y44" s="6"/>
      <c r="Z44" s="6"/>
    </row>
    <row r="45">
      <c r="A45" s="6" t="str">
        <f>IFERROR(__xludf.DUMMYFUNCTION("""COMPUTED_VALUE"""),"d64e7c29")</f>
        <v>d64e7c29</v>
      </c>
      <c r="B45" s="7" t="str">
        <f>IFERROR(__xludf.DUMMYFUNCTION("""COMPUTED_VALUE"""),"1345282567")</f>
        <v>1345282567</v>
      </c>
      <c r="C45" s="6" t="str">
        <f>IFERROR(__xludf.DUMMYFUNCTION("""COMPUTED_VALUE"""),"SALE CON PAPÁS")</f>
        <v>SALE CON PAPÁS</v>
      </c>
      <c r="D45" s="6" t="str">
        <f>IFERROR(__xludf.DUMMYFUNCTION("""COMPUTED_VALUE"""),"Padre")</f>
        <v>Padre</v>
      </c>
      <c r="E45" s="6" t="str">
        <f>IFERROR(__xludf.DUMMYFUNCTION("""COMPUTED_VALUE"""),"Padre: Jhon Marlio Gutiérrez Castañeda")</f>
        <v>Padre: Jhon Marlio Gutiérrez Castañeda</v>
      </c>
      <c r="F45" s="6"/>
      <c r="G45" s="6" t="str">
        <f>IFERROR(__xludf.DUMMYFUNCTION("""COMPUTED_VALUE"""),"PV")</f>
        <v>PV</v>
      </c>
      <c r="H45" s="6" t="str">
        <f>IFERROR(__xludf.DUMMYFUNCTION("""COMPUTED_VALUE"""),"Gutierrez Cortes Emmanuel")</f>
        <v>Gutierrez Cortes Emmanuel</v>
      </c>
      <c r="I45" s="6" t="str">
        <f>IFERROR(__xludf.DUMMYFUNCTION("""COMPUTED_VALUE"""),"Demograficos_Images/1345282567.Foto_Estudiante.121219.jpg")</f>
        <v>Demograficos_Images/1345282567.Foto_Estudiante.121219.jpg</v>
      </c>
      <c r="J45" s="8">
        <f>IFERROR(__xludf.DUMMYFUNCTION("""COMPUTED_VALUE"""),46252.563888888886)</f>
        <v>46252.56389</v>
      </c>
      <c r="K45" s="6" t="str">
        <f>IFERROR(__xludf.DUMMYFUNCTION("""COMPUTED_VALUE"""),"kinder@gi.edu.co")</f>
        <v>kinder@gi.edu.co</v>
      </c>
      <c r="L45" s="6" t="str">
        <f>IFERROR(__xludf.DUMMYFUNCTION("""COMPUTED_VALUE"""),"1345282567")</f>
        <v>1345282567</v>
      </c>
      <c r="M45" s="9">
        <f>IFERROR(__xludf.DUMMYFUNCTION("""COMPUTED_VALUE"""),46252.56417824074)</f>
        <v>46252.56418</v>
      </c>
      <c r="N45" s="6" t="str">
        <f>IFERROR(__xludf.DUMMYFUNCTION("""COMPUTED_VALUE"""),"Pendiente")</f>
        <v>Pendiente</v>
      </c>
      <c r="O45" s="6"/>
      <c r="P45" s="10">
        <f>IFERROR(__xludf.DUMMYFUNCTION("""COMPUTED_VALUE"""),46252.56417824074)</f>
        <v>46252.56418</v>
      </c>
      <c r="Q45" s="6"/>
      <c r="R45" s="6" t="str">
        <f>IFERROR(__xludf.DUMMYFUNCTION("""COMPUTED_VALUE"""),"GI- Salida temprano con autorización de sus padres")</f>
        <v>GI- Salida temprano con autorización de sus padres</v>
      </c>
      <c r="S45" s="6" t="b">
        <f>IFERROR(__xludf.DUMMYFUNCTION("""COMPUTED_VALUE"""),FALSE)</f>
        <v>0</v>
      </c>
      <c r="T45" s="6"/>
      <c r="U45" s="6" t="str">
        <f>IFERROR(__xludf.DUMMYFUNCTION("""COMPUTED_VALUE"""),"Salida temprano")</f>
        <v>Salida temprano</v>
      </c>
      <c r="V45" s="6"/>
      <c r="W45" s="6"/>
      <c r="X45" s="6"/>
      <c r="Y45" s="6"/>
      <c r="Z45" s="6"/>
    </row>
    <row r="46">
      <c r="A46" s="6" t="str">
        <f>IFERROR(__xludf.DUMMYFUNCTION("""COMPUTED_VALUE"""),"37b35f65")</f>
        <v>37b35f65</v>
      </c>
      <c r="B46" s="7" t="str">
        <f>IFERROR(__xludf.DUMMYFUNCTION("""COMPUTED_VALUE"""),"1345282278")</f>
        <v>1345282278</v>
      </c>
      <c r="C46" s="6" t="str">
        <f>IFERROR(__xludf.DUMMYFUNCTION("""COMPUTED_VALUE"""),"Sale con papas")</f>
        <v>Sale con papas</v>
      </c>
      <c r="D46" s="6" t="str">
        <f>IFERROR(__xludf.DUMMYFUNCTION("""COMPUTED_VALUE"""),"Padre")</f>
        <v>Padre</v>
      </c>
      <c r="E46" s="6" t="str">
        <f>IFERROR(__xludf.DUMMYFUNCTION("""COMPUTED_VALUE"""),"Padre: Oner Daniel Dorado Fuentes")</f>
        <v>Padre: Oner Daniel Dorado Fuentes</v>
      </c>
      <c r="F46" s="6"/>
      <c r="G46" s="6" t="str">
        <f>IFERROR(__xludf.DUMMYFUNCTION("""COMPUTED_VALUE"""),"K5")</f>
        <v>K5</v>
      </c>
      <c r="H46" s="6" t="str">
        <f>IFERROR(__xludf.DUMMYFUNCTION("""COMPUTED_VALUE"""),"Dorado Hincapié Salvador")</f>
        <v>Dorado Hincapié Salvador</v>
      </c>
      <c r="I46" s="6" t="str">
        <f>IFERROR(__xludf.DUMMYFUNCTION("""COMPUTED_VALUE"""),"Demograficos_Images/1345282278.Foto_Estudiante.195630.jpg")</f>
        <v>Demograficos_Images/1345282278.Foto_Estudiante.195630.jpg</v>
      </c>
      <c r="J46" s="8">
        <f>IFERROR(__xludf.DUMMYFUNCTION("""COMPUTED_VALUE"""),46252.572222222225)</f>
        <v>46252.57222</v>
      </c>
      <c r="K46" s="6" t="str">
        <f>IFERROR(__xludf.DUMMYFUNCTION("""COMPUTED_VALUE"""),"kinder@gi.edu.co")</f>
        <v>kinder@gi.edu.co</v>
      </c>
      <c r="L46" s="6" t="str">
        <f>IFERROR(__xludf.DUMMYFUNCTION("""COMPUTED_VALUE"""),"1345282278")</f>
        <v>1345282278</v>
      </c>
      <c r="M46" s="9">
        <f>IFERROR(__xludf.DUMMYFUNCTION("""COMPUTED_VALUE"""),46252.57225694445)</f>
        <v>46252.57226</v>
      </c>
      <c r="N46" s="6" t="str">
        <f>IFERROR(__xludf.DUMMYFUNCTION("""COMPUTED_VALUE"""),"Pendiente")</f>
        <v>Pendiente</v>
      </c>
      <c r="O46" s="6"/>
      <c r="P46" s="10">
        <f>IFERROR(__xludf.DUMMYFUNCTION("""COMPUTED_VALUE"""),46252.57225694445)</f>
        <v>46252.57226</v>
      </c>
      <c r="Q46" s="6"/>
      <c r="R46" s="6" t="str">
        <f>IFERROR(__xludf.DUMMYFUNCTION("""COMPUTED_VALUE"""),"GI- Salida temprano con autorización de sus padres")</f>
        <v>GI- Salida temprano con autorización de sus padres</v>
      </c>
      <c r="S46" s="6" t="b">
        <f>IFERROR(__xludf.DUMMYFUNCTION("""COMPUTED_VALUE"""),FALSE)</f>
        <v>0</v>
      </c>
      <c r="T46" s="6"/>
      <c r="U46" s="6" t="str">
        <f>IFERROR(__xludf.DUMMYFUNCTION("""COMPUTED_VALUE"""),"Salida temprano")</f>
        <v>Salida temprano</v>
      </c>
      <c r="V46" s="6"/>
      <c r="W46" s="6"/>
      <c r="X46" s="6"/>
      <c r="Y46" s="6"/>
      <c r="Z46" s="6"/>
    </row>
    <row r="47">
      <c r="A47" s="6" t="str">
        <f>IFERROR(__xludf.DUMMYFUNCTION("""COMPUTED_VALUE"""),"5bf01c95")</f>
        <v>5bf01c95</v>
      </c>
      <c r="B47" s="7" t="str">
        <f>IFERROR(__xludf.DUMMYFUNCTION("""COMPUTED_VALUE"""),"1345281490")</f>
        <v>1345281490</v>
      </c>
      <c r="C47" s="6" t="str">
        <f>IFERROR(__xludf.DUMMYFUNCTION("""COMPUTED_VALUE"""),"sale caminando autorizado con padre de familia")</f>
        <v>sale caminando autorizado con padre de familia</v>
      </c>
      <c r="D47" s="6"/>
      <c r="E47" s="6"/>
      <c r="F47" s="6" t="str">
        <f>IFERROR(__xludf.DUMMYFUNCTION("""COMPUTED_VALUE"""),"Sofia González")</f>
        <v>Sofia González</v>
      </c>
      <c r="G47" s="6" t="str">
        <f>IFERROR(__xludf.DUMMYFUNCTION("""COMPUTED_VALUE"""),"12")</f>
        <v>12</v>
      </c>
      <c r="H47" s="6" t="str">
        <f>IFERROR(__xludf.DUMMYFUNCTION("""COMPUTED_VALUE"""),"Álvarez Osorio Paulina")</f>
        <v>Álvarez Osorio Paulina</v>
      </c>
      <c r="I47" s="6" t="str">
        <f>IFERROR(__xludf.DUMMYFUNCTION("""COMPUTED_VALUE"""),"Demograficos_Images/1345281490.Foto_Estudiante.181412.jpg")</f>
        <v>Demograficos_Images/1345281490.Foto_Estudiante.181412.jpg</v>
      </c>
      <c r="J47" s="8">
        <f>IFERROR(__xludf.DUMMYFUNCTION("""COMPUTED_VALUE"""),46252.631944444445)</f>
        <v>46252.63194</v>
      </c>
      <c r="K47" s="6" t="str">
        <f>IFERROR(__xludf.DUMMYFUNCTION("""COMPUTED_VALUE"""),"secundaria@gi.edu.co")</f>
        <v>secundaria@gi.edu.co</v>
      </c>
      <c r="L47" s="6" t="str">
        <f>IFERROR(__xludf.DUMMYFUNCTION("""COMPUTED_VALUE"""),"1345281490")</f>
        <v>1345281490</v>
      </c>
      <c r="M47" s="9">
        <f>IFERROR(__xludf.DUMMYFUNCTION("""COMPUTED_VALUE"""),46252.570023148146)</f>
        <v>46252.57002</v>
      </c>
      <c r="N47" s="6" t="str">
        <f>IFERROR(__xludf.DUMMYFUNCTION("""COMPUTED_VALUE"""),"Pendiente")</f>
        <v>Pendiente</v>
      </c>
      <c r="O47" s="6"/>
      <c r="P47" s="10">
        <f>IFERROR(__xludf.DUMMYFUNCTION("""COMPUTED_VALUE"""),46252.570023148146)</f>
        <v>46252.57002</v>
      </c>
      <c r="Q47" s="6"/>
      <c r="R47" s="6" t="str">
        <f>IFERROR(__xludf.DUMMYFUNCTION("""COMPUTED_VALUE"""),"Secundaria")</f>
        <v>Secundaria</v>
      </c>
      <c r="S47" s="6" t="b">
        <f>IFERROR(__xludf.DUMMYFUNCTION("""COMPUTED_VALUE"""),FALSE)</f>
        <v>0</v>
      </c>
      <c r="T47" s="6"/>
      <c r="U47" s="6" t="str">
        <f>IFERROR(__xludf.DUMMYFUNCTION("""COMPUTED_VALUE"""),"Salida temprano")</f>
        <v>Salida temprano</v>
      </c>
      <c r="V47" s="6"/>
      <c r="W47" s="6"/>
      <c r="X47" s="6"/>
      <c r="Y47" s="6"/>
      <c r="Z47" s="6"/>
    </row>
    <row r="48">
      <c r="A48" s="6" t="str">
        <f>IFERROR(__xludf.DUMMYFUNCTION("""COMPUTED_VALUE"""),"cb64be49")</f>
        <v>cb64be49</v>
      </c>
      <c r="B48" s="7" t="str">
        <f>IFERROR(__xludf.DUMMYFUNCTION("""COMPUTED_VALUE"""),"1345282537")</f>
        <v>1345282537</v>
      </c>
      <c r="C48" s="6" t="str">
        <f>IFERROR(__xludf.DUMMYFUNCTION("""COMPUTED_VALUE"""),"NO RUTA, SALE CON LA MAMÁ")</f>
        <v>NO RUTA, SALE CON LA MAMÁ</v>
      </c>
      <c r="D48" s="6" t="str">
        <f>IFERROR(__xludf.DUMMYFUNCTION("""COMPUTED_VALUE"""),"Madre")</f>
        <v>Madre</v>
      </c>
      <c r="E48" s="6" t="str">
        <f>IFERROR(__xludf.DUMMYFUNCTION("""COMPUTED_VALUE"""),"Madre: Gisely Fernanda Rivera Montoya")</f>
        <v>Madre: Gisely Fernanda Rivera Montoya</v>
      </c>
      <c r="F48" s="6"/>
      <c r="G48" s="6" t="str">
        <f>IFERROR(__xludf.DUMMYFUNCTION("""COMPUTED_VALUE"""),"K4")</f>
        <v>K4</v>
      </c>
      <c r="H48" s="6" t="str">
        <f>IFERROR(__xludf.DUMMYFUNCTION("""COMPUTED_VALUE"""),"Vanegas Rivera María Emilia")</f>
        <v>Vanegas Rivera María Emilia</v>
      </c>
      <c r="I48" s="6" t="str">
        <f>IFERROR(__xludf.DUMMYFUNCTION("""COMPUTED_VALUE"""),"Demograficos_Images/1345282537.Foto_Estudiante.185115.jpg")</f>
        <v>Demograficos_Images/1345282537.Foto_Estudiante.185115.jpg</v>
      </c>
      <c r="J48" s="8">
        <f>IFERROR(__xludf.DUMMYFUNCTION("""COMPUTED_VALUE"""),46252.604166666664)</f>
        <v>46252.60417</v>
      </c>
      <c r="K48" s="6" t="str">
        <f>IFERROR(__xludf.DUMMYFUNCTION("""COMPUTED_VALUE"""),"kinder@gi.edu.co")</f>
        <v>kinder@gi.edu.co</v>
      </c>
      <c r="L48" s="6" t="str">
        <f>IFERROR(__xludf.DUMMYFUNCTION("""COMPUTED_VALUE"""),"1345282537")</f>
        <v>1345282537</v>
      </c>
      <c r="M48" s="9">
        <f>IFERROR(__xludf.DUMMYFUNCTION("""COMPUTED_VALUE"""),46252.584652777776)</f>
        <v>46252.58465</v>
      </c>
      <c r="N48" s="6" t="str">
        <f>IFERROR(__xludf.DUMMYFUNCTION("""COMPUTED_VALUE"""),"Pendiente")</f>
        <v>Pendiente</v>
      </c>
      <c r="O48" s="6"/>
      <c r="P48" s="10">
        <f>IFERROR(__xludf.DUMMYFUNCTION("""COMPUTED_VALUE"""),46252.584652777776)</f>
        <v>46252.58465</v>
      </c>
      <c r="Q48" s="6"/>
      <c r="R48" s="6" t="str">
        <f>IFERROR(__xludf.DUMMYFUNCTION("""COMPUTED_VALUE"""),"GI- Salida temprano con autorización de sus padres")</f>
        <v>GI- Salida temprano con autorización de sus padres</v>
      </c>
      <c r="S48" s="6" t="b">
        <f>IFERROR(__xludf.DUMMYFUNCTION("""COMPUTED_VALUE"""),FALSE)</f>
        <v>0</v>
      </c>
      <c r="T48" s="6"/>
      <c r="U48" s="6" t="str">
        <f>IFERROR(__xludf.DUMMYFUNCTION("""COMPUTED_VALUE"""),"Salida temprano")</f>
        <v>Salida temprano</v>
      </c>
      <c r="V48" s="6"/>
      <c r="W48" s="6"/>
      <c r="X48" s="6"/>
      <c r="Y48" s="6"/>
      <c r="Z48" s="6"/>
    </row>
    <row r="49">
      <c r="A49" s="6" t="str">
        <f>IFERROR(__xludf.DUMMYFUNCTION("""COMPUTED_VALUE"""),"ba5751d6")</f>
        <v>ba5751d6</v>
      </c>
      <c r="B49" s="7" t="str">
        <f>IFERROR(__xludf.DUMMYFUNCTION("""COMPUTED_VALUE"""),"1345281578")</f>
        <v>1345281578</v>
      </c>
      <c r="C49" s="6" t="str">
        <f>IFERROR(__xludf.DUMMYFUNCTION("""COMPUTED_VALUE"""),"El papá autoriza que Salga caminando")</f>
        <v>El papá autoriza que Salga caminando</v>
      </c>
      <c r="D49" s="6"/>
      <c r="E49" s="6"/>
      <c r="F49" s="6"/>
      <c r="G49" s="6" t="str">
        <f>IFERROR(__xludf.DUMMYFUNCTION("""COMPUTED_VALUE"""),"11")</f>
        <v>11</v>
      </c>
      <c r="H49" s="6" t="str">
        <f>IFERROR(__xludf.DUMMYFUNCTION("""COMPUTED_VALUE"""),"Burgos Valencia Juliana")</f>
        <v>Burgos Valencia Juliana</v>
      </c>
      <c r="I49" s="6" t="str">
        <f>IFERROR(__xludf.DUMMYFUNCTION("""COMPUTED_VALUE"""),"Demograficos_Images/1345281578.Foto_Estudiante.182659.jpg")</f>
        <v>Demograficos_Images/1345281578.Foto_Estudiante.182659.jpg</v>
      </c>
      <c r="J49" s="8">
        <f>IFERROR(__xludf.DUMMYFUNCTION("""COMPUTED_VALUE"""),46252.631944444445)</f>
        <v>46252.63194</v>
      </c>
      <c r="K49" s="6" t="str">
        <f>IFERROR(__xludf.DUMMYFUNCTION("""COMPUTED_VALUE"""),"secundaria@gi.edu.co")</f>
        <v>secundaria@gi.edu.co</v>
      </c>
      <c r="L49" s="6" t="str">
        <f>IFERROR(__xludf.DUMMYFUNCTION("""COMPUTED_VALUE"""),"1345281578")</f>
        <v>1345281578</v>
      </c>
      <c r="M49" s="9">
        <f>IFERROR(__xludf.DUMMYFUNCTION("""COMPUTED_VALUE"""),46252.59179398148)</f>
        <v>46252.59179</v>
      </c>
      <c r="N49" s="6" t="str">
        <f>IFERROR(__xludf.DUMMYFUNCTION("""COMPUTED_VALUE"""),"Pendiente")</f>
        <v>Pendiente</v>
      </c>
      <c r="O49" s="6"/>
      <c r="P49" s="10">
        <f>IFERROR(__xludf.DUMMYFUNCTION("""COMPUTED_VALUE"""),46252.59179398148)</f>
        <v>46252.59179</v>
      </c>
      <c r="Q49" s="6"/>
      <c r="R49" s="6" t="str">
        <f>IFERROR(__xludf.DUMMYFUNCTION("""COMPUTED_VALUE"""),"Secundaria")</f>
        <v>Secundaria</v>
      </c>
      <c r="S49" s="6" t="b">
        <f>IFERROR(__xludf.DUMMYFUNCTION("""COMPUTED_VALUE"""),FALSE)</f>
        <v>0</v>
      </c>
      <c r="T49" s="6"/>
      <c r="U49" s="6" t="str">
        <f>IFERROR(__xludf.DUMMYFUNCTION("""COMPUTED_VALUE"""),"Salida temprano")</f>
        <v>Salida temprano</v>
      </c>
      <c r="V49" s="6"/>
      <c r="W49" s="6"/>
      <c r="X49" s="6"/>
      <c r="Y49" s="6"/>
      <c r="Z49" s="6"/>
    </row>
    <row r="50">
      <c r="A50" s="6" t="str">
        <f>IFERROR(__xludf.DUMMYFUNCTION("""COMPUTED_VALUE"""),"efeb31ca")</f>
        <v>efeb31ca</v>
      </c>
      <c r="B50" s="7" t="str">
        <f>IFERROR(__xludf.DUMMYFUNCTION("""COMPUTED_VALUE"""),"1345282515")</f>
        <v>1345282515</v>
      </c>
      <c r="C50" s="6" t="str">
        <f>IFERROR(__xludf.DUMMYFUNCTION("""COMPUTED_VALUE"""),"Sale con tercero autorizado por mamá")</f>
        <v>Sale con tercero autorizado por mamá</v>
      </c>
      <c r="D50" s="6"/>
      <c r="E50" s="6"/>
      <c r="F50" s="6" t="str">
        <f>IFERROR(__xludf.DUMMYFUNCTION("""COMPUTED_VALUE"""),"María Alejandra mamá de emma lopez")</f>
        <v>María Alejandra mamá de emma lopez</v>
      </c>
      <c r="G50" s="6" t="str">
        <f>IFERROR(__xludf.DUMMYFUNCTION("""COMPUTED_VALUE"""),"K4")</f>
        <v>K4</v>
      </c>
      <c r="H50" s="6" t="str">
        <f>IFERROR(__xludf.DUMMYFUNCTION("""COMPUTED_VALUE"""),"González Restrepo Emilia")</f>
        <v>González Restrepo Emilia</v>
      </c>
      <c r="I50" s="6" t="str">
        <f>IFERROR(__xludf.DUMMYFUNCTION("""COMPUTED_VALUE"""),"Demograficos_Images/1345282515.Foto_Estudiante.182930.jpg")</f>
        <v>Demograficos_Images/1345282515.Foto_Estudiante.182930.jpg</v>
      </c>
      <c r="J50" s="8">
        <f>IFERROR(__xludf.DUMMYFUNCTION("""COMPUTED_VALUE"""),46252.604166666664)</f>
        <v>46252.60417</v>
      </c>
      <c r="K50" s="6" t="str">
        <f>IFERROR(__xludf.DUMMYFUNCTION("""COMPUTED_VALUE"""),"kinder@gi.edu.co")</f>
        <v>kinder@gi.edu.co</v>
      </c>
      <c r="L50" s="6" t="str">
        <f>IFERROR(__xludf.DUMMYFUNCTION("""COMPUTED_VALUE"""),"1345282515")</f>
        <v>1345282515</v>
      </c>
      <c r="M50" s="9">
        <f>IFERROR(__xludf.DUMMYFUNCTION("""COMPUTED_VALUE"""),46252.595659722225)</f>
        <v>46252.59566</v>
      </c>
      <c r="N50" s="6" t="str">
        <f>IFERROR(__xludf.DUMMYFUNCTION("""COMPUTED_VALUE"""),"Pendiente")</f>
        <v>Pendiente</v>
      </c>
      <c r="O50" s="6"/>
      <c r="P50" s="10">
        <f>IFERROR(__xludf.DUMMYFUNCTION("""COMPUTED_VALUE"""),46252.595659722225)</f>
        <v>46252.59566</v>
      </c>
      <c r="Q50" s="6"/>
      <c r="R50" s="6" t="str">
        <f>IFERROR(__xludf.DUMMYFUNCTION("""COMPUTED_VALUE"""),"GI- Salida temprano con autorización de sus padres")</f>
        <v>GI- Salida temprano con autorización de sus padres</v>
      </c>
      <c r="S50" s="6"/>
      <c r="T50" s="6"/>
      <c r="U50" s="6" t="str">
        <f>IFERROR(__xludf.DUMMYFUNCTION("""COMPUTED_VALUE"""),"Salida temprano")</f>
        <v>Salida temprano</v>
      </c>
      <c r="V50" s="6"/>
      <c r="W50" s="6"/>
      <c r="X50" s="6"/>
      <c r="Y50" s="6"/>
      <c r="Z50" s="6"/>
    </row>
    <row r="51">
      <c r="A51" s="6" t="str">
        <f>IFERROR(__xludf.DUMMYFUNCTION("""COMPUTED_VALUE"""),"b29a37fe")</f>
        <v>b29a37fe</v>
      </c>
      <c r="B51" s="7" t="str">
        <f>IFERROR(__xludf.DUMMYFUNCTION("""COMPUTED_VALUE"""),"1345281604")</f>
        <v>1345281604</v>
      </c>
      <c r="C51" s="6" t="str">
        <f>IFERROR(__xludf.DUMMYFUNCTION("""COMPUTED_VALUE"""),"La mamá autoriza que salga caminando")</f>
        <v>La mamá autoriza que salga caminando</v>
      </c>
      <c r="D51" s="6"/>
      <c r="E51" s="6"/>
      <c r="F51" s="6" t="str">
        <f>IFERROR(__xludf.DUMMYFUNCTION("""COMPUTED_VALUE"""),"Sale con Samuel Meza")</f>
        <v>Sale con Samuel Meza</v>
      </c>
      <c r="G51" s="6" t="str">
        <f>IFERROR(__xludf.DUMMYFUNCTION("""COMPUTED_VALUE"""),"10")</f>
        <v>10</v>
      </c>
      <c r="H51" s="6" t="str">
        <f>IFERROR(__xludf.DUMMYFUNCTION("""COMPUTED_VALUE"""),"Gil Botero Nicolás")</f>
        <v>Gil Botero Nicolás</v>
      </c>
      <c r="I51" s="6" t="str">
        <f>IFERROR(__xludf.DUMMYFUNCTION("""COMPUTED_VALUE"""),"Demograficos_Images/1345281604.Foto_Estudiante.184224.jpg")</f>
        <v>Demograficos_Images/1345281604.Foto_Estudiante.184224.jpg</v>
      </c>
      <c r="J51" s="8">
        <f>IFERROR(__xludf.DUMMYFUNCTION("""COMPUTED_VALUE"""),46252.631944444445)</f>
        <v>46252.63194</v>
      </c>
      <c r="K51" s="6" t="str">
        <f>IFERROR(__xludf.DUMMYFUNCTION("""COMPUTED_VALUE"""),"secundaria@gi.edu.co")</f>
        <v>secundaria@gi.edu.co</v>
      </c>
      <c r="L51" s="6" t="str">
        <f>IFERROR(__xludf.DUMMYFUNCTION("""COMPUTED_VALUE"""),"1345281604")</f>
        <v>1345281604</v>
      </c>
      <c r="M51" s="9">
        <f>IFERROR(__xludf.DUMMYFUNCTION("""COMPUTED_VALUE"""),46252.583032407405)</f>
        <v>46252.58303</v>
      </c>
      <c r="N51" s="6" t="str">
        <f>IFERROR(__xludf.DUMMYFUNCTION("""COMPUTED_VALUE"""),"Pendiente")</f>
        <v>Pendiente</v>
      </c>
      <c r="O51" s="6"/>
      <c r="P51" s="10">
        <f>IFERROR(__xludf.DUMMYFUNCTION("""COMPUTED_VALUE"""),46252.583032407405)</f>
        <v>46252.58303</v>
      </c>
      <c r="Q51" s="6"/>
      <c r="R51" s="6" t="str">
        <f>IFERROR(__xludf.DUMMYFUNCTION("""COMPUTED_VALUE"""),"Secundaria")</f>
        <v>Secundaria</v>
      </c>
      <c r="S51" s="6"/>
      <c r="T51" s="6"/>
      <c r="U51" s="6" t="str">
        <f>IFERROR(__xludf.DUMMYFUNCTION("""COMPUTED_VALUE"""),"Salida temprano")</f>
        <v>Salida temprano</v>
      </c>
      <c r="V51" s="6"/>
      <c r="W51" s="6"/>
      <c r="X51" s="6"/>
      <c r="Y51" s="6"/>
      <c r="Z51" s="6"/>
    </row>
    <row r="52">
      <c r="A52" s="6" t="str">
        <f>IFERROR(__xludf.DUMMYFUNCTION("""COMPUTED_VALUE"""),"36027b29")</f>
        <v>36027b29</v>
      </c>
      <c r="B52" s="7" t="str">
        <f>IFERROR(__xludf.DUMMYFUNCTION("""COMPUTED_VALUE"""),"1345281703")</f>
        <v>1345281703</v>
      </c>
      <c r="C52" s="6" t="str">
        <f>IFERROR(__xludf.DUMMYFUNCTION("""COMPUTED_VALUE"""),"salida temprano")</f>
        <v>salida temprano</v>
      </c>
      <c r="D52" s="6" t="str">
        <f>IFERROR(__xludf.DUMMYFUNCTION("""COMPUTED_VALUE"""),"Madre")</f>
        <v>Madre</v>
      </c>
      <c r="E52" s="6" t="str">
        <f>IFERROR(__xludf.DUMMYFUNCTION("""COMPUTED_VALUE"""),"Madre: Diana Carolina Trujillo Pineda")</f>
        <v>Madre: Diana Carolina Trujillo Pineda</v>
      </c>
      <c r="F52" s="6"/>
      <c r="G52" s="6" t="str">
        <f>IFERROR(__xludf.DUMMYFUNCTION("""COMPUTED_VALUE"""),"7")</f>
        <v>7</v>
      </c>
      <c r="H52" s="6" t="str">
        <f>IFERROR(__xludf.DUMMYFUNCTION("""COMPUTED_VALUE"""),"Marín Trujillo Sara Victoria")</f>
        <v>Marín Trujillo Sara Victoria</v>
      </c>
      <c r="I52" s="6" t="str">
        <f>IFERROR(__xludf.DUMMYFUNCTION("""COMPUTED_VALUE"""),"Demograficos_Images/1345281703.Foto_Estudiante.193734.jpg")</f>
        <v>Demograficos_Images/1345281703.Foto_Estudiante.193734.jpg</v>
      </c>
      <c r="J52" s="8">
        <f>IFERROR(__xludf.DUMMYFUNCTION("""COMPUTED_VALUE"""),46252.59861111111)</f>
        <v>46252.59861</v>
      </c>
      <c r="K52" s="6" t="str">
        <f>IFERROR(__xludf.DUMMYFUNCTION("""COMPUTED_VALUE"""),"secundaria@gi.edu.co")</f>
        <v>secundaria@gi.edu.co</v>
      </c>
      <c r="L52" s="6" t="str">
        <f>IFERROR(__xludf.DUMMYFUNCTION("""COMPUTED_VALUE"""),"1345281703")</f>
        <v>1345281703</v>
      </c>
      <c r="M52" s="9">
        <f>IFERROR(__xludf.DUMMYFUNCTION("""COMPUTED_VALUE"""),46252.59832175926)</f>
        <v>46252.59832</v>
      </c>
      <c r="N52" s="6" t="str">
        <f>IFERROR(__xludf.DUMMYFUNCTION("""COMPUTED_VALUE"""),"Pendiente")</f>
        <v>Pendiente</v>
      </c>
      <c r="O52" s="6"/>
      <c r="P52" s="10">
        <f>IFERROR(__xludf.DUMMYFUNCTION("""COMPUTED_VALUE"""),46252.59832175926)</f>
        <v>46252.59832</v>
      </c>
      <c r="Q52" s="6"/>
      <c r="R52" s="6" t="str">
        <f>IFERROR(__xludf.DUMMYFUNCTION("""COMPUTED_VALUE"""),"Diligencias con los papás")</f>
        <v>Diligencias con los papás</v>
      </c>
      <c r="S52" s="6" t="b">
        <f>IFERROR(__xludf.DUMMYFUNCTION("""COMPUTED_VALUE"""),FALSE)</f>
        <v>0</v>
      </c>
      <c r="T52" s="6"/>
      <c r="U52" s="6" t="str">
        <f>IFERROR(__xludf.DUMMYFUNCTION("""COMPUTED_VALUE"""),"Salida temprano")</f>
        <v>Salida temprano</v>
      </c>
      <c r="V52" s="6"/>
      <c r="W52" s="6"/>
      <c r="X52" s="6"/>
      <c r="Y52" s="6"/>
      <c r="Z52" s="6"/>
    </row>
    <row r="53">
      <c r="A53" s="6" t="str">
        <f>IFERROR(__xludf.DUMMYFUNCTION("""COMPUTED_VALUE"""),"d1a45fd4")</f>
        <v>d1a45fd4</v>
      </c>
      <c r="B53" s="7" t="str">
        <f>IFERROR(__xludf.DUMMYFUNCTION("""COMPUTED_VALUE"""),"1345281349")</f>
        <v>1345281349</v>
      </c>
      <c r="C53" s="6" t="str">
        <f>IFERROR(__xludf.DUMMYFUNCTION("""COMPUTED_VALUE"""),"sale con Jorge Mario restrepo papá de Simón y Juan restrepo")</f>
        <v>sale con Jorge Mario restrepo papá de Simón y Juan restrepo</v>
      </c>
      <c r="D53" s="6"/>
      <c r="E53" s="6"/>
      <c r="F53" s="6" t="str">
        <f>IFERROR(__xludf.DUMMYFUNCTION("""COMPUTED_VALUE"""),"sale con Jorge Mario restrepo papá de Simón y Juan restrepo")</f>
        <v>sale con Jorge Mario restrepo papá de Simón y Juan restrepo</v>
      </c>
      <c r="G53" s="6" t="str">
        <f>IFERROR(__xludf.DUMMYFUNCTION("""COMPUTED_VALUE"""),"11")</f>
        <v>11</v>
      </c>
      <c r="H53" s="6" t="str">
        <f>IFERROR(__xludf.DUMMYFUNCTION("""COMPUTED_VALUE"""),"Sáchica Suárez Pablo")</f>
        <v>Sáchica Suárez Pablo</v>
      </c>
      <c r="I53" s="6" t="str">
        <f>IFERROR(__xludf.DUMMYFUNCTION("""COMPUTED_VALUE"""),"Demograficos_Images/1345281349.Foto_Estudiante.181752.jpg")</f>
        <v>Demograficos_Images/1345281349.Foto_Estudiante.181752.jpg</v>
      </c>
      <c r="J53" s="8">
        <f>IFERROR(__xludf.DUMMYFUNCTION("""COMPUTED_VALUE"""),46252.63125)</f>
        <v>46252.63125</v>
      </c>
      <c r="K53" s="6" t="str">
        <f>IFERROR(__xludf.DUMMYFUNCTION("""COMPUTED_VALUE"""),"secundaria@gi.edu.co")</f>
        <v>secundaria@gi.edu.co</v>
      </c>
      <c r="L53" s="6" t="str">
        <f>IFERROR(__xludf.DUMMYFUNCTION("""COMPUTED_VALUE"""),"1345281349")</f>
        <v>1345281349</v>
      </c>
      <c r="M53" s="9">
        <f>IFERROR(__xludf.DUMMYFUNCTION("""COMPUTED_VALUE"""),46252.60391203704)</f>
        <v>46252.60391</v>
      </c>
      <c r="N53" s="6" t="str">
        <f>IFERROR(__xludf.DUMMYFUNCTION("""COMPUTED_VALUE"""),"Pendiente")</f>
        <v>Pendiente</v>
      </c>
      <c r="O53" s="6"/>
      <c r="P53" s="10">
        <f>IFERROR(__xludf.DUMMYFUNCTION("""COMPUTED_VALUE"""),46252.60391203704)</f>
        <v>46252.60391</v>
      </c>
      <c r="Q53" s="6"/>
      <c r="R53" s="6" t="str">
        <f>IFERROR(__xludf.DUMMYFUNCTION("""COMPUTED_VALUE"""),"Secundaria")</f>
        <v>Secundaria</v>
      </c>
      <c r="S53" s="6" t="b">
        <f>IFERROR(__xludf.DUMMYFUNCTION("""COMPUTED_VALUE"""),FALSE)</f>
        <v>0</v>
      </c>
      <c r="T53" s="6"/>
      <c r="U53" s="6" t="str">
        <f>IFERROR(__xludf.DUMMYFUNCTION("""COMPUTED_VALUE"""),"Salida temprano")</f>
        <v>Salida temprano</v>
      </c>
      <c r="V53" s="6"/>
      <c r="W53" s="6"/>
      <c r="X53" s="6"/>
      <c r="Y53" s="6"/>
      <c r="Z53" s="6"/>
    </row>
    <row r="54">
      <c r="A54" s="6" t="str">
        <f>IFERROR(__xludf.DUMMYFUNCTION("""COMPUTED_VALUE"""),"71595743")</f>
        <v>71595743</v>
      </c>
      <c r="B54" s="7" t="str">
        <f>IFERROR(__xludf.DUMMYFUNCTION("""COMPUTED_VALUE"""),"1345281638")</f>
        <v>1345281638</v>
      </c>
      <c r="C54" s="6" t="str">
        <f>IFERROR(__xludf.DUMMYFUNCTION("""COMPUTED_VALUE"""),"sale con Jorge Mario restrepo papá de Simón y Juan restrepo")</f>
        <v>sale con Jorge Mario restrepo papá de Simón y Juan restrepo</v>
      </c>
      <c r="D54" s="6"/>
      <c r="E54" s="6"/>
      <c r="F54" s="6" t="str">
        <f>IFERROR(__xludf.DUMMYFUNCTION("""COMPUTED_VALUE"""),"sale con Jorge Mario restrepo papá de Simón y Juan restrepo")</f>
        <v>sale con Jorge Mario restrepo papá de Simón y Juan restrepo</v>
      </c>
      <c r="G54" s="6" t="str">
        <f>IFERROR(__xludf.DUMMYFUNCTION("""COMPUTED_VALUE"""),"8")</f>
        <v>8</v>
      </c>
      <c r="H54" s="6" t="str">
        <f>IFERROR(__xludf.DUMMYFUNCTION("""COMPUTED_VALUE"""),"Sáchica Suárez Santiago")</f>
        <v>Sáchica Suárez Santiago</v>
      </c>
      <c r="I54" s="6" t="str">
        <f>IFERROR(__xludf.DUMMYFUNCTION("""COMPUTED_VALUE"""),"Demograficos_Images/1345281638.Foto_Estudiante.190934.jpg")</f>
        <v>Demograficos_Images/1345281638.Foto_Estudiante.190934.jpg</v>
      </c>
      <c r="J54" s="8">
        <f>IFERROR(__xludf.DUMMYFUNCTION("""COMPUTED_VALUE"""),46252.631944444445)</f>
        <v>46252.63194</v>
      </c>
      <c r="K54" s="6" t="str">
        <f>IFERROR(__xludf.DUMMYFUNCTION("""COMPUTED_VALUE"""),"secundaria@gi.edu.co")</f>
        <v>secundaria@gi.edu.co</v>
      </c>
      <c r="L54" s="6" t="str">
        <f>IFERROR(__xludf.DUMMYFUNCTION("""COMPUTED_VALUE"""),"1345281638")</f>
        <v>1345281638</v>
      </c>
      <c r="M54" s="9">
        <f>IFERROR(__xludf.DUMMYFUNCTION("""COMPUTED_VALUE"""),46252.605150462965)</f>
        <v>46252.60515</v>
      </c>
      <c r="N54" s="6" t="str">
        <f>IFERROR(__xludf.DUMMYFUNCTION("""COMPUTED_VALUE"""),"Pendiente")</f>
        <v>Pendiente</v>
      </c>
      <c r="O54" s="6"/>
      <c r="P54" s="10">
        <f>IFERROR(__xludf.DUMMYFUNCTION("""COMPUTED_VALUE"""),46252.605150462965)</f>
        <v>46252.60515</v>
      </c>
      <c r="Q54" s="6"/>
      <c r="R54" s="6" t="str">
        <f>IFERROR(__xludf.DUMMYFUNCTION("""COMPUTED_VALUE"""),"Secundaria")</f>
        <v>Secundaria</v>
      </c>
      <c r="S54" s="6" t="b">
        <f>IFERROR(__xludf.DUMMYFUNCTION("""COMPUTED_VALUE"""),FALSE)</f>
        <v>0</v>
      </c>
      <c r="T54" s="6"/>
      <c r="U54" s="6" t="str">
        <f>IFERROR(__xludf.DUMMYFUNCTION("""COMPUTED_VALUE"""),"Salida temprano")</f>
        <v>Salida temprano</v>
      </c>
      <c r="V54" s="6"/>
      <c r="W54" s="6"/>
      <c r="X54" s="6"/>
      <c r="Y54" s="6"/>
      <c r="Z54" s="6"/>
    </row>
    <row r="55">
      <c r="A55" s="6" t="str">
        <f>IFERROR(__xludf.DUMMYFUNCTION("""COMPUTED_VALUE"""),"eaa286ad")</f>
        <v>eaa286ad</v>
      </c>
      <c r="B55" s="7" t="str">
        <f>IFERROR(__xludf.DUMMYFUNCTION("""COMPUTED_VALUE"""),"1345281924")</f>
        <v>1345281924</v>
      </c>
      <c r="C55" s="6" t="str">
        <f>IFERROR(__xludf.DUMMYFUNCTION("""COMPUTED_VALUE"""),"A José Luis lo recoje hoy Natalia Ospina la mamá de Elisa castaño para que porfavor sepan mil gracias 🙏🏻🙏🏻🙏🏻")</f>
        <v>A José Luis lo recoje hoy Natalia Ospina la mamá de Elisa castaño para que porfavor sepan mil gracias 🙏🏻🙏🏻🙏🏻</v>
      </c>
      <c r="D55" s="6"/>
      <c r="E55" s="6"/>
      <c r="F55" s="6" t="str">
        <f>IFERROR(__xludf.DUMMYFUNCTION("""COMPUTED_VALUE"""),"A José Luis lo recoje hoy Natalia Ospina la mamá de Elisa castaño para que porfavor sepan mil gracias 🙏🏻🙏🏻🙏🏻")</f>
        <v>A José Luis lo recoje hoy Natalia Ospina la mamá de Elisa castaño para que porfavor sepan mil gracias 🙏🏻🙏🏻🙏🏻</v>
      </c>
      <c r="G55" s="6" t="str">
        <f>IFERROR(__xludf.DUMMYFUNCTION("""COMPUTED_VALUE"""),"5")</f>
        <v>5</v>
      </c>
      <c r="H55" s="6" t="str">
        <f>IFERROR(__xludf.DUMMYFUNCTION("""COMPUTED_VALUE"""),"Gallo Díaz José Luis")</f>
        <v>Gallo Díaz José Luis</v>
      </c>
      <c r="I55" s="6" t="str">
        <f>IFERROR(__xludf.DUMMYFUNCTION("""COMPUTED_VALUE"""),"Demograficos_Images/1345281924.Foto_Estudiante.143148.jpg")</f>
        <v>Demograficos_Images/1345281924.Foto_Estudiante.143148.jpg</v>
      </c>
      <c r="J55" s="8">
        <f>IFERROR(__xludf.DUMMYFUNCTION("""COMPUTED_VALUE"""),46252.64861111111)</f>
        <v>46252.64861</v>
      </c>
      <c r="K55" s="6" t="str">
        <f>IFERROR(__xludf.DUMMYFUNCTION("""COMPUTED_VALUE"""),"primaria@gi.edu.co")</f>
        <v>primaria@gi.edu.co</v>
      </c>
      <c r="L55" s="6" t="str">
        <f>IFERROR(__xludf.DUMMYFUNCTION("""COMPUTED_VALUE"""),"1345281924")</f>
        <v>1345281924</v>
      </c>
      <c r="M55" s="9">
        <f>IFERROR(__xludf.DUMMYFUNCTION("""COMPUTED_VALUE"""),46252.606527777774)</f>
        <v>46252.60653</v>
      </c>
      <c r="N55" s="6" t="str">
        <f>IFERROR(__xludf.DUMMYFUNCTION("""COMPUTED_VALUE"""),"Pendiente")</f>
        <v>Pendiente</v>
      </c>
      <c r="O55" s="6"/>
      <c r="P55" s="10">
        <f>IFERROR(__xludf.DUMMYFUNCTION("""COMPUTED_VALUE"""),46252.606527777774)</f>
        <v>46252.60653</v>
      </c>
      <c r="Q55" s="6"/>
      <c r="R55" s="6" t="str">
        <f>IFERROR(__xludf.DUMMYFUNCTION("""COMPUTED_VALUE"""),"Familiar (celebraciones, encuentros, despedidas, eucaristias)")</f>
        <v>Familiar (celebraciones, encuentros, despedidas, eucaristias)</v>
      </c>
      <c r="S55" s="6" t="b">
        <f>IFERROR(__xludf.DUMMYFUNCTION("""COMPUTED_VALUE"""),FALSE)</f>
        <v>0</v>
      </c>
      <c r="T55" s="6"/>
      <c r="U55" s="6" t="str">
        <f>IFERROR(__xludf.DUMMYFUNCTION("""COMPUTED_VALUE"""),"Salida temprano")</f>
        <v>Salida temprano</v>
      </c>
      <c r="V55" s="6"/>
      <c r="W55" s="6"/>
      <c r="X55" s="6"/>
      <c r="Y55" s="6"/>
      <c r="Z55" s="6"/>
    </row>
    <row r="56">
      <c r="A56" s="6" t="str">
        <f>IFERROR(__xludf.DUMMYFUNCTION("""COMPUTED_VALUE"""),"60ede3ed")</f>
        <v>60ede3ed</v>
      </c>
      <c r="B56" s="7" t="str">
        <f>IFERROR(__xludf.DUMMYFUNCTION("""COMPUTED_VALUE"""),"1345281726")</f>
        <v>1345281726</v>
      </c>
      <c r="C56" s="6" t="str">
        <f>IFERROR(__xludf.DUMMYFUNCTION("""COMPUTED_VALUE"""),"salida temprano a diligencia con la mamá")</f>
        <v>salida temprano a diligencia con la mamá</v>
      </c>
      <c r="D56" s="6" t="str">
        <f>IFERROR(__xludf.DUMMYFUNCTION("""COMPUTED_VALUE"""),"Madre")</f>
        <v>Madre</v>
      </c>
      <c r="E56" s="6" t="str">
        <f>IFERROR(__xludf.DUMMYFUNCTION("""COMPUTED_VALUE"""),"Madre: María Isabel López Zuluaga")</f>
        <v>Madre: María Isabel López Zuluaga</v>
      </c>
      <c r="F56" s="6"/>
      <c r="G56" s="6" t="str">
        <f>IFERROR(__xludf.DUMMYFUNCTION("""COMPUTED_VALUE"""),"8")</f>
        <v>8</v>
      </c>
      <c r="H56" s="6" t="str">
        <f>IFERROR(__xludf.DUMMYFUNCTION("""COMPUTED_VALUE"""),"Mora López Carlos Daniel")</f>
        <v>Mora López Carlos Daniel</v>
      </c>
      <c r="I56" s="6" t="str">
        <f>IFERROR(__xludf.DUMMYFUNCTION("""COMPUTED_VALUE"""),"Demograficos_Images/1345281726.Foto_Estudiante.191329.jpg")</f>
        <v>Demograficos_Images/1345281726.Foto_Estudiante.191329.jpg</v>
      </c>
      <c r="J56" s="8">
        <f>IFERROR(__xludf.DUMMYFUNCTION("""COMPUTED_VALUE"""),46252.61111111111)</f>
        <v>46252.61111</v>
      </c>
      <c r="K56" s="6" t="str">
        <f>IFERROR(__xludf.DUMMYFUNCTION("""COMPUTED_VALUE"""),"secundaria@gi.edu.co")</f>
        <v>secundaria@gi.edu.co</v>
      </c>
      <c r="L56" s="6" t="str">
        <f>IFERROR(__xludf.DUMMYFUNCTION("""COMPUTED_VALUE"""),"1345281726")</f>
        <v>1345281726</v>
      </c>
      <c r="M56" s="9">
        <f>IFERROR(__xludf.DUMMYFUNCTION("""COMPUTED_VALUE"""),46252.605891203704)</f>
        <v>46252.60589</v>
      </c>
      <c r="N56" s="6" t="str">
        <f>IFERROR(__xludf.DUMMYFUNCTION("""COMPUTED_VALUE"""),"Pendiente")</f>
        <v>Pendiente</v>
      </c>
      <c r="O56" s="6"/>
      <c r="P56" s="10">
        <f>IFERROR(__xludf.DUMMYFUNCTION("""COMPUTED_VALUE"""),46252.605891203704)</f>
        <v>46252.60589</v>
      </c>
      <c r="Q56" s="6"/>
      <c r="R56" s="6" t="str">
        <f>IFERROR(__xludf.DUMMYFUNCTION("""COMPUTED_VALUE"""),"Secundaria")</f>
        <v>Secundaria</v>
      </c>
      <c r="S56" s="6" t="b">
        <f>IFERROR(__xludf.DUMMYFUNCTION("""COMPUTED_VALUE"""),FALSE)</f>
        <v>0</v>
      </c>
      <c r="T56" s="6"/>
      <c r="U56" s="6" t="str">
        <f>IFERROR(__xludf.DUMMYFUNCTION("""COMPUTED_VALUE"""),"Salida temprano")</f>
        <v>Salida temprano</v>
      </c>
      <c r="V56" s="6"/>
      <c r="W56" s="6"/>
      <c r="X56" s="6"/>
      <c r="Y56" s="6"/>
      <c r="Z56" s="6"/>
    </row>
    <row r="57">
      <c r="A57" s="6" t="str">
        <f>IFERROR(__xludf.DUMMYFUNCTION("""COMPUTED_VALUE"""),"eede9bad")</f>
        <v>eede9bad</v>
      </c>
      <c r="B57" s="7" t="str">
        <f>IFERROR(__xludf.DUMMYFUNCTION("""COMPUTED_VALUE"""),"1345281766")</f>
        <v>1345281766</v>
      </c>
      <c r="C57" s="6" t="str">
        <f>IFERROR(__xludf.DUMMYFUNCTION("""COMPUTED_VALUE"""),"salida")</f>
        <v>salida</v>
      </c>
      <c r="D57" s="6"/>
      <c r="E57" s="6"/>
      <c r="F57" s="6" t="str">
        <f>IFERROR(__xludf.DUMMYFUNCTION("""COMPUTED_VALUE"""),"Lina Sanchez mamá Juan Pablo Jiménez 7°")</f>
        <v>Lina Sanchez mamá Juan Pablo Jiménez 7°</v>
      </c>
      <c r="G57" s="6" t="str">
        <f>IFERROR(__xludf.DUMMYFUNCTION("""COMPUTED_VALUE"""),"7")</f>
        <v>7</v>
      </c>
      <c r="H57" s="6" t="str">
        <f>IFERROR(__xludf.DUMMYFUNCTION("""COMPUTED_VALUE"""),"Orozco Nieto Thomas")</f>
        <v>Orozco Nieto Thomas</v>
      </c>
      <c r="I57" s="6" t="str">
        <f>IFERROR(__xludf.DUMMYFUNCTION("""COMPUTED_VALUE"""),"Demograficos_Images/1345281766.Foto_Estudiante.193606.jpg")</f>
        <v>Demograficos_Images/1345281766.Foto_Estudiante.193606.jpg</v>
      </c>
      <c r="J57" s="8">
        <f>IFERROR(__xludf.DUMMYFUNCTION("""COMPUTED_VALUE"""),46252.631944444445)</f>
        <v>46252.63194</v>
      </c>
      <c r="K57" s="6" t="str">
        <f>IFERROR(__xludf.DUMMYFUNCTION("""COMPUTED_VALUE"""),"secundaria@gi.edu.co")</f>
        <v>secundaria@gi.edu.co</v>
      </c>
      <c r="L57" s="6" t="str">
        <f>IFERROR(__xludf.DUMMYFUNCTION("""COMPUTED_VALUE"""),"1345281766")</f>
        <v>1345281766</v>
      </c>
      <c r="M57" s="9">
        <f>IFERROR(__xludf.DUMMYFUNCTION("""COMPUTED_VALUE"""),46252.61324074074)</f>
        <v>46252.61324</v>
      </c>
      <c r="N57" s="6" t="str">
        <f>IFERROR(__xludf.DUMMYFUNCTION("""COMPUTED_VALUE"""),"Pendiente")</f>
        <v>Pendiente</v>
      </c>
      <c r="O57" s="6"/>
      <c r="P57" s="10">
        <f>IFERROR(__xludf.DUMMYFUNCTION("""COMPUTED_VALUE"""),46252.61324074074)</f>
        <v>46252.61324</v>
      </c>
      <c r="Q57" s="6"/>
      <c r="R57" s="6" t="str">
        <f>IFERROR(__xludf.DUMMYFUNCTION("""COMPUTED_VALUE"""),"Secundaria")</f>
        <v>Secundaria</v>
      </c>
      <c r="S57" s="6" t="b">
        <f>IFERROR(__xludf.DUMMYFUNCTION("""COMPUTED_VALUE"""),FALSE)</f>
        <v>0</v>
      </c>
      <c r="T57" s="6"/>
      <c r="U57" s="6" t="str">
        <f>IFERROR(__xludf.DUMMYFUNCTION("""COMPUTED_VALUE"""),"Salida temprano")</f>
        <v>Salida temprano</v>
      </c>
      <c r="V57" s="6"/>
      <c r="W57" s="6"/>
      <c r="X57" s="6"/>
      <c r="Y57" s="6"/>
      <c r="Z57" s="6"/>
    </row>
    <row r="58">
      <c r="A58" s="6" t="str">
        <f>IFERROR(__xludf.DUMMYFUNCTION("""COMPUTED_VALUE"""),"bb596dbc")</f>
        <v>bb596dbc</v>
      </c>
      <c r="B58" s="7" t="str">
        <f>IFERROR(__xludf.DUMMYFUNCTION("""COMPUTED_VALUE"""),"1345281836")</f>
        <v>1345281836</v>
      </c>
      <c r="C58" s="6" t="str">
        <f>IFERROR(__xludf.DUMMYFUNCTION("""COMPUTED_VALUE"""),"salida")</f>
        <v>salida</v>
      </c>
      <c r="D58" s="6"/>
      <c r="E58" s="6"/>
      <c r="F58" s="6" t="str">
        <f>IFERROR(__xludf.DUMMYFUNCTION("""COMPUTED_VALUE"""),"Lina Sanchez mamá Juan Pablo Jiménez 7°")</f>
        <v>Lina Sanchez mamá Juan Pablo Jiménez 7°</v>
      </c>
      <c r="G58" s="6" t="str">
        <f>IFERROR(__xludf.DUMMYFUNCTION("""COMPUTED_VALUE"""),"6")</f>
        <v>6</v>
      </c>
      <c r="H58" s="6" t="str">
        <f>IFERROR(__xludf.DUMMYFUNCTION("""COMPUTED_VALUE"""),"Orozco Nieto Matheo")</f>
        <v>Orozco Nieto Matheo</v>
      </c>
      <c r="I58" s="6" t="str">
        <f>IFERROR(__xludf.DUMMYFUNCTION("""COMPUTED_VALUE"""),"Demograficos_Images/1345281836.Foto_Estudiante.181002.jpg")</f>
        <v>Demograficos_Images/1345281836.Foto_Estudiante.181002.jpg</v>
      </c>
      <c r="J58" s="8">
        <f>IFERROR(__xludf.DUMMYFUNCTION("""COMPUTED_VALUE"""),46252.631944444445)</f>
        <v>46252.63194</v>
      </c>
      <c r="K58" s="6" t="str">
        <f>IFERROR(__xludf.DUMMYFUNCTION("""COMPUTED_VALUE"""),"secundaria@gi.edu.co")</f>
        <v>secundaria@gi.edu.co</v>
      </c>
      <c r="L58" s="6" t="str">
        <f>IFERROR(__xludf.DUMMYFUNCTION("""COMPUTED_VALUE"""),"1345281836")</f>
        <v>1345281836</v>
      </c>
      <c r="M58" s="9">
        <f>IFERROR(__xludf.DUMMYFUNCTION("""COMPUTED_VALUE"""),46252.61753472222)</f>
        <v>46252.61753</v>
      </c>
      <c r="N58" s="6" t="str">
        <f>IFERROR(__xludf.DUMMYFUNCTION("""COMPUTED_VALUE"""),"Pendiente")</f>
        <v>Pendiente</v>
      </c>
      <c r="O58" s="6"/>
      <c r="P58" s="10">
        <f>IFERROR(__xludf.DUMMYFUNCTION("""COMPUTED_VALUE"""),46252.61753472222)</f>
        <v>46252.61753</v>
      </c>
      <c r="Q58" s="6"/>
      <c r="R58" s="6" t="str">
        <f>IFERROR(__xludf.DUMMYFUNCTION("""COMPUTED_VALUE"""),"GI- Salida temprano con autorización de sus padres")</f>
        <v>GI- Salida temprano con autorización de sus padres</v>
      </c>
      <c r="S58" s="6" t="b">
        <f>IFERROR(__xludf.DUMMYFUNCTION("""COMPUTED_VALUE"""),FALSE)</f>
        <v>0</v>
      </c>
      <c r="T58" s="6"/>
      <c r="U58" s="6" t="str">
        <f>IFERROR(__xludf.DUMMYFUNCTION("""COMPUTED_VALUE"""),"Salida temprano")</f>
        <v>Salida temprano</v>
      </c>
      <c r="V58" s="6"/>
      <c r="W58" s="6"/>
      <c r="X58" s="6"/>
      <c r="Y58" s="6"/>
      <c r="Z58" s="6"/>
    </row>
    <row r="59">
      <c r="A59" s="6" t="str">
        <f>IFERROR(__xludf.DUMMYFUNCTION("""COMPUTED_VALUE"""),"2fe851e3")</f>
        <v>2fe851e3</v>
      </c>
      <c r="B59" s="7" t="str">
        <f>IFERROR(__xludf.DUMMYFUNCTION("""COMPUTED_VALUE"""),"1345281556")</f>
        <v>1345281556</v>
      </c>
      <c r="C59" s="6" t="str">
        <f>IFERROR(__xludf.DUMMYFUNCTION("""COMPUTED_VALUE"""),"salida")</f>
        <v>salida</v>
      </c>
      <c r="D59" s="6"/>
      <c r="E59" s="6"/>
      <c r="F59" s="6" t="str">
        <f>IFERROR(__xludf.DUMMYFUNCTION("""COMPUTED_VALUE"""),"sale con Juanita Barrios")</f>
        <v>sale con Juanita Barrios</v>
      </c>
      <c r="G59" s="6" t="str">
        <f>IFERROR(__xludf.DUMMYFUNCTION("""COMPUTED_VALUE"""),"11")</f>
        <v>11</v>
      </c>
      <c r="H59" s="6" t="str">
        <f>IFERROR(__xludf.DUMMYFUNCTION("""COMPUTED_VALUE"""),"Uribe Castro Isabella")</f>
        <v>Uribe Castro Isabella</v>
      </c>
      <c r="I59" s="6" t="str">
        <f>IFERROR(__xludf.DUMMYFUNCTION("""COMPUTED_VALUE"""),"Demograficos_Images/1345281556.Foto_Estudiante.181555.jpg")</f>
        <v>Demograficos_Images/1345281556.Foto_Estudiante.181555.jpg</v>
      </c>
      <c r="J59" s="8">
        <f>IFERROR(__xludf.DUMMYFUNCTION("""COMPUTED_VALUE"""),46252.631944444445)</f>
        <v>46252.63194</v>
      </c>
      <c r="K59" s="6" t="str">
        <f>IFERROR(__xludf.DUMMYFUNCTION("""COMPUTED_VALUE"""),"secundaria@gi.edu.co")</f>
        <v>secundaria@gi.edu.co</v>
      </c>
      <c r="L59" s="6" t="str">
        <f>IFERROR(__xludf.DUMMYFUNCTION("""COMPUTED_VALUE"""),"1345281556")</f>
        <v>1345281556</v>
      </c>
      <c r="M59" s="9">
        <f>IFERROR(__xludf.DUMMYFUNCTION("""COMPUTED_VALUE"""),46252.61921296296)</f>
        <v>46252.61921</v>
      </c>
      <c r="N59" s="6" t="str">
        <f>IFERROR(__xludf.DUMMYFUNCTION("""COMPUTED_VALUE"""),"Pendiente")</f>
        <v>Pendiente</v>
      </c>
      <c r="O59" s="6"/>
      <c r="P59" s="10">
        <f>IFERROR(__xludf.DUMMYFUNCTION("""COMPUTED_VALUE"""),46252.61921296296)</f>
        <v>46252.61921</v>
      </c>
      <c r="Q59" s="6"/>
      <c r="R59" s="6" t="str">
        <f>IFERROR(__xludf.DUMMYFUNCTION("""COMPUTED_VALUE"""),"Secundaria")</f>
        <v>Secundaria</v>
      </c>
      <c r="S59" s="6" t="b">
        <f>IFERROR(__xludf.DUMMYFUNCTION("""COMPUTED_VALUE"""),FALSE)</f>
        <v>0</v>
      </c>
      <c r="T59" s="6"/>
      <c r="U59" s="6" t="str">
        <f>IFERROR(__xludf.DUMMYFUNCTION("""COMPUTED_VALUE"""),"Salida temprano")</f>
        <v>Salida temprano</v>
      </c>
      <c r="V59" s="6"/>
      <c r="W59" s="6"/>
      <c r="X59" s="6"/>
      <c r="Y59" s="6"/>
      <c r="Z59" s="6"/>
    </row>
    <row r="60">
      <c r="A60" s="6" t="str">
        <f>IFERROR(__xludf.DUMMYFUNCTION("""COMPUTED_VALUE"""),"fb6e4a12")</f>
        <v>fb6e4a12</v>
      </c>
      <c r="B60" s="7" t="str">
        <f>IFERROR(__xludf.DUMMYFUNCTION("""COMPUTED_VALUE"""),"1345281679")</f>
        <v>1345281679</v>
      </c>
      <c r="C60" s="6" t="str">
        <f>IFERROR(__xludf.DUMMYFUNCTION("""COMPUTED_VALUE"""),"salida")</f>
        <v>salida</v>
      </c>
      <c r="D60" s="6"/>
      <c r="E60" s="6"/>
      <c r="F60" s="6" t="str">
        <f>IFERROR(__xludf.DUMMYFUNCTION("""COMPUTED_VALUE"""),"sale con Juanita Barrios")</f>
        <v>sale con Juanita Barrios</v>
      </c>
      <c r="G60" s="6" t="str">
        <f>IFERROR(__xludf.DUMMYFUNCTION("""COMPUTED_VALUE"""),"8")</f>
        <v>8</v>
      </c>
      <c r="H60" s="6" t="str">
        <f>IFERROR(__xludf.DUMMYFUNCTION("""COMPUTED_VALUE"""),"Carvajal Castro Juan José")</f>
        <v>Carvajal Castro Juan José</v>
      </c>
      <c r="I60" s="6" t="str">
        <f>IFERROR(__xludf.DUMMYFUNCTION("""COMPUTED_VALUE"""),"Demograficos_Images/1345281679.Foto_Estudiante.192541.jpg")</f>
        <v>Demograficos_Images/1345281679.Foto_Estudiante.192541.jpg</v>
      </c>
      <c r="J60" s="8">
        <f>IFERROR(__xludf.DUMMYFUNCTION("""COMPUTED_VALUE"""),46252.631944444445)</f>
        <v>46252.63194</v>
      </c>
      <c r="K60" s="6" t="str">
        <f>IFERROR(__xludf.DUMMYFUNCTION("""COMPUTED_VALUE"""),"secundaria@gi.edu.co")</f>
        <v>secundaria@gi.edu.co</v>
      </c>
      <c r="L60" s="6" t="str">
        <f>IFERROR(__xludf.DUMMYFUNCTION("""COMPUTED_VALUE"""),"1345281679")</f>
        <v>1345281679</v>
      </c>
      <c r="M60" s="9">
        <f>IFERROR(__xludf.DUMMYFUNCTION("""COMPUTED_VALUE"""),46252.62039351852)</f>
        <v>46252.62039</v>
      </c>
      <c r="N60" s="6" t="str">
        <f>IFERROR(__xludf.DUMMYFUNCTION("""COMPUTED_VALUE"""),"Pendiente")</f>
        <v>Pendiente</v>
      </c>
      <c r="O60" s="6"/>
      <c r="P60" s="10">
        <f>IFERROR(__xludf.DUMMYFUNCTION("""COMPUTED_VALUE"""),46252.62039351852)</f>
        <v>46252.62039</v>
      </c>
      <c r="Q60" s="6"/>
      <c r="R60" s="6" t="str">
        <f>IFERROR(__xludf.DUMMYFUNCTION("""COMPUTED_VALUE"""),"Secundaria")</f>
        <v>Secundaria</v>
      </c>
      <c r="S60" s="6" t="b">
        <f>IFERROR(__xludf.DUMMYFUNCTION("""COMPUTED_VALUE"""),FALSE)</f>
        <v>0</v>
      </c>
      <c r="T60" s="6"/>
      <c r="U60" s="6" t="str">
        <f>IFERROR(__xludf.DUMMYFUNCTION("""COMPUTED_VALUE"""),"Salida temprano")</f>
        <v>Salida temprano</v>
      </c>
      <c r="V60" s="6"/>
      <c r="W60" s="6"/>
      <c r="X60" s="6"/>
      <c r="Y60" s="6"/>
      <c r="Z60" s="6"/>
    </row>
    <row r="61">
      <c r="A61" s="6" t="str">
        <f>IFERROR(__xludf.DUMMYFUNCTION("""COMPUTED_VALUE"""),"655a68b7")</f>
        <v>655a68b7</v>
      </c>
      <c r="B61" s="7" t="str">
        <f>IFERROR(__xludf.DUMMYFUNCTION("""COMPUTED_VALUE"""),"1345282127")</f>
        <v>1345282127</v>
      </c>
      <c r="C61" s="6" t="str">
        <f>IFERROR(__xludf.DUMMYFUNCTION("""COMPUTED_VALUE"""),"salida")</f>
        <v>salida</v>
      </c>
      <c r="D61" s="6"/>
      <c r="E61" s="6"/>
      <c r="F61" s="6" t="str">
        <f>IFERROR(__xludf.DUMMYFUNCTION("""COMPUTED_VALUE"""),"hermano simón Rodriguez")</f>
        <v>hermano simón Rodriguez</v>
      </c>
      <c r="G61" s="6" t="str">
        <f>IFERROR(__xludf.DUMMYFUNCTION("""COMPUTED_VALUE"""),"7")</f>
        <v>7</v>
      </c>
      <c r="H61" s="6" t="str">
        <f>IFERROR(__xludf.DUMMYFUNCTION("""COMPUTED_VALUE"""),"Rodríguez Giraldo Martín")</f>
        <v>Rodríguez Giraldo Martín</v>
      </c>
      <c r="I61" s="6" t="str">
        <f>IFERROR(__xludf.DUMMYFUNCTION("""COMPUTED_VALUE"""),"Demograficos_Images/1345282127.Foto_Estudiante.191005.jpg")</f>
        <v>Demograficos_Images/1345282127.Foto_Estudiante.191005.jpg</v>
      </c>
      <c r="J61" s="8">
        <f>IFERROR(__xludf.DUMMYFUNCTION("""COMPUTED_VALUE"""),46252.631944444445)</f>
        <v>46252.63194</v>
      </c>
      <c r="K61" s="6" t="str">
        <f>IFERROR(__xludf.DUMMYFUNCTION("""COMPUTED_VALUE"""),"secundaria@gi.edu.co")</f>
        <v>secundaria@gi.edu.co</v>
      </c>
      <c r="L61" s="6" t="str">
        <f>IFERROR(__xludf.DUMMYFUNCTION("""COMPUTED_VALUE"""),"1345282127")</f>
        <v>1345282127</v>
      </c>
      <c r="M61" s="9">
        <f>IFERROR(__xludf.DUMMYFUNCTION("""COMPUTED_VALUE"""),46252.62131944444)</f>
        <v>46252.62132</v>
      </c>
      <c r="N61" s="6" t="str">
        <f>IFERROR(__xludf.DUMMYFUNCTION("""COMPUTED_VALUE"""),"Pendiente")</f>
        <v>Pendiente</v>
      </c>
      <c r="O61" s="6"/>
      <c r="P61" s="10">
        <f>IFERROR(__xludf.DUMMYFUNCTION("""COMPUTED_VALUE"""),46252.62131944444)</f>
        <v>46252.62132</v>
      </c>
      <c r="Q61" s="6"/>
      <c r="R61" s="6" t="str">
        <f>IFERROR(__xludf.DUMMYFUNCTION("""COMPUTED_VALUE"""),"Secundaria")</f>
        <v>Secundaria</v>
      </c>
      <c r="S61" s="6" t="b">
        <f>IFERROR(__xludf.DUMMYFUNCTION("""COMPUTED_VALUE"""),FALSE)</f>
        <v>0</v>
      </c>
      <c r="T61" s="6"/>
      <c r="U61" s="6" t="str">
        <f>IFERROR(__xludf.DUMMYFUNCTION("""COMPUTED_VALUE"""),"Salida temprano")</f>
        <v>Salida temprano</v>
      </c>
      <c r="V61" s="6"/>
      <c r="W61" s="6"/>
      <c r="X61" s="6"/>
      <c r="Y61" s="6"/>
      <c r="Z61" s="6"/>
    </row>
    <row r="62">
      <c r="A62" s="6" t="str">
        <f>IFERROR(__xludf.DUMMYFUNCTION("""COMPUTED_VALUE"""),"512d6686")</f>
        <v>512d6686</v>
      </c>
      <c r="B62" s="7" t="str">
        <f>IFERROR(__xludf.DUMMYFUNCTION("""COMPUTED_VALUE"""),"1345282376")</f>
        <v>1345282376</v>
      </c>
      <c r="C62" s="6" t="str">
        <f>IFERROR(__xludf.DUMMYFUNCTION("""COMPUTED_VALUE"""),"Johana gonzales Mamá Elena Patiño")</f>
        <v>Johana gonzales Mamá Elena Patiño</v>
      </c>
      <c r="D62" s="6"/>
      <c r="E62" s="6"/>
      <c r="F62" s="6" t="str">
        <f>IFERROR(__xludf.DUMMYFUNCTION("""COMPUTED_VALUE"""),"Johana gonzales Mamá Elena Patiño")</f>
        <v>Johana gonzales Mamá Elena Patiño</v>
      </c>
      <c r="G62" s="6" t="str">
        <f>IFERROR(__xludf.DUMMYFUNCTION("""COMPUTED_VALUE"""),"3")</f>
        <v>3</v>
      </c>
      <c r="H62" s="6" t="str">
        <f>IFERROR(__xludf.DUMMYFUNCTION("""COMPUTED_VALUE"""),"Gómez Buriticá Alicia")</f>
        <v>Gómez Buriticá Alicia</v>
      </c>
      <c r="I62" s="6" t="str">
        <f>IFERROR(__xludf.DUMMYFUNCTION("""COMPUTED_VALUE"""),"Demograficos_Images/1345282376.Foto_Estudiante.132646.jpg")</f>
        <v>Demograficos_Images/1345282376.Foto_Estudiante.132646.jpg</v>
      </c>
      <c r="J62" s="8">
        <f>IFERROR(__xludf.DUMMYFUNCTION("""COMPUTED_VALUE"""),46252.625)</f>
        <v>46252.625</v>
      </c>
      <c r="K62" s="6" t="str">
        <f>IFERROR(__xludf.DUMMYFUNCTION("""COMPUTED_VALUE"""),"primaria@gi.edu.co")</f>
        <v>primaria@gi.edu.co</v>
      </c>
      <c r="L62" s="6" t="str">
        <f>IFERROR(__xludf.DUMMYFUNCTION("""COMPUTED_VALUE"""),"1345282376")</f>
        <v>1345282376</v>
      </c>
      <c r="M62" s="9">
        <f>IFERROR(__xludf.DUMMYFUNCTION("""COMPUTED_VALUE"""),46252.62280092593)</f>
        <v>46252.6228</v>
      </c>
      <c r="N62" s="6" t="str">
        <f>IFERROR(__xludf.DUMMYFUNCTION("""COMPUTED_VALUE"""),"Pendiente")</f>
        <v>Pendiente</v>
      </c>
      <c r="O62" s="6"/>
      <c r="P62" s="10">
        <f>IFERROR(__xludf.DUMMYFUNCTION("""COMPUTED_VALUE"""),46252.62280092593)</f>
        <v>46252.6228</v>
      </c>
      <c r="Q62" s="6"/>
      <c r="R62" s="6" t="str">
        <f>IFERROR(__xludf.DUMMYFUNCTION("""COMPUTED_VALUE"""),"Familiar (celebraciones, encuentros, despedidas, eucaristias)")</f>
        <v>Familiar (celebraciones, encuentros, despedidas, eucaristias)</v>
      </c>
      <c r="S62" s="6" t="b">
        <f>IFERROR(__xludf.DUMMYFUNCTION("""COMPUTED_VALUE"""),FALSE)</f>
        <v>0</v>
      </c>
      <c r="T62" s="6"/>
      <c r="U62" s="6" t="str">
        <f>IFERROR(__xludf.DUMMYFUNCTION("""COMPUTED_VALUE"""),"Salida temprano")</f>
        <v>Salida temprano</v>
      </c>
      <c r="V62" s="6"/>
      <c r="W62" s="6"/>
      <c r="X62" s="6"/>
      <c r="Y62" s="6"/>
      <c r="Z62" s="6"/>
    </row>
    <row r="63">
      <c r="A63" s="6" t="str">
        <f>IFERROR(__xludf.DUMMYFUNCTION("""COMPUTED_VALUE"""),"67bc4792")</f>
        <v>67bc4792</v>
      </c>
      <c r="B63" s="7" t="str">
        <f>IFERROR(__xludf.DUMMYFUNCTION("""COMPUTED_VALUE"""),"1345282462")</f>
        <v>1345282462</v>
      </c>
      <c r="C63" s="6" t="str">
        <f>IFERROR(__xludf.DUMMYFUNCTION("""COMPUTED_VALUE"""),"sale caminando la mamá autoriza")</f>
        <v>sale caminando la mamá autoriza</v>
      </c>
      <c r="D63" s="6"/>
      <c r="E63" s="6"/>
      <c r="F63" s="6"/>
      <c r="G63" s="6" t="str">
        <f>IFERROR(__xludf.DUMMYFUNCTION("""COMPUTED_VALUE"""),"11")</f>
        <v>11</v>
      </c>
      <c r="H63" s="6" t="str">
        <f>IFERROR(__xludf.DUMMYFUNCTION("""COMPUTED_VALUE"""),"Correal Varón Manuela")</f>
        <v>Correal Varón Manuela</v>
      </c>
      <c r="I63" s="6" t="str">
        <f>IFERROR(__xludf.DUMMYFUNCTION("""COMPUTED_VALUE"""),"Demograficos_Images/1345282462.Foto_Estudiante.182512.jpg")</f>
        <v>Demograficos_Images/1345282462.Foto_Estudiante.182512.jpg</v>
      </c>
      <c r="J63" s="8">
        <f>IFERROR(__xludf.DUMMYFUNCTION("""COMPUTED_VALUE"""),46252.631944444445)</f>
        <v>46252.63194</v>
      </c>
      <c r="K63" s="6" t="str">
        <f>IFERROR(__xludf.DUMMYFUNCTION("""COMPUTED_VALUE"""),"secundaria@gi.edu.co")</f>
        <v>secundaria@gi.edu.co</v>
      </c>
      <c r="L63" s="6" t="str">
        <f>IFERROR(__xludf.DUMMYFUNCTION("""COMPUTED_VALUE"""),"1345282462")</f>
        <v>1345282462</v>
      </c>
      <c r="M63" s="9">
        <f>IFERROR(__xludf.DUMMYFUNCTION("""COMPUTED_VALUE"""),46252.63486111111)</f>
        <v>46252.63486</v>
      </c>
      <c r="N63" s="6" t="str">
        <f>IFERROR(__xludf.DUMMYFUNCTION("""COMPUTED_VALUE"""),"Pendiente")</f>
        <v>Pendiente</v>
      </c>
      <c r="O63" s="6"/>
      <c r="P63" s="10">
        <f>IFERROR(__xludf.DUMMYFUNCTION("""COMPUTED_VALUE"""),46252.63486111111)</f>
        <v>46252.63486</v>
      </c>
      <c r="Q63" s="6"/>
      <c r="R63" s="6" t="str">
        <f>IFERROR(__xludf.DUMMYFUNCTION("""COMPUTED_VALUE"""),"Secundaria")</f>
        <v>Secundaria</v>
      </c>
      <c r="S63" s="6" t="b">
        <f>IFERROR(__xludf.DUMMYFUNCTION("""COMPUTED_VALUE"""),FALSE)</f>
        <v>0</v>
      </c>
      <c r="T63" s="6"/>
      <c r="U63" s="6" t="str">
        <f>IFERROR(__xludf.DUMMYFUNCTION("""COMPUTED_VALUE"""),"Salida temprano")</f>
        <v>Salida temprano</v>
      </c>
      <c r="V63" s="6"/>
      <c r="W63" s="6"/>
      <c r="X63" s="6"/>
      <c r="Y63" s="6"/>
      <c r="Z63" s="6"/>
    </row>
    <row r="64">
      <c r="A64" s="6" t="str">
        <f>IFERROR(__xludf.DUMMYFUNCTION("""COMPUTED_VALUE"""),"57d606d9")</f>
        <v>57d606d9</v>
      </c>
      <c r="B64" s="7" t="str">
        <f>IFERROR(__xludf.DUMMYFUNCTION("""COMPUTED_VALUE"""),"1345282270")</f>
        <v>1345282270</v>
      </c>
      <c r="C64" s="6" t="str">
        <f>IFERROR(__xludf.DUMMYFUNCTION("""COMPUTED_VALUE"""),"Eduardo Cataño hoy lo recoje la Sra. Angela Santamaria en un carrro KIA PICANTO placa 452")</f>
        <v>Eduardo Cataño hoy lo recoje la Sra. Angela Santamaria en un carrro KIA PICANTO placa 452</v>
      </c>
      <c r="D64" s="6"/>
      <c r="E64" s="6"/>
      <c r="F64" s="6" t="str">
        <f>IFERROR(__xludf.DUMMYFUNCTION("""COMPUTED_VALUE"""),"Eduardo Cataño hoy lo recoje la Sra. Angela Santamaria en un carrro KIA PICANTO placa 452")</f>
        <v>Eduardo Cataño hoy lo recoje la Sra. Angela Santamaria en un carrro KIA PICANTO placa 452</v>
      </c>
      <c r="G64" s="6" t="str">
        <f>IFERROR(__xludf.DUMMYFUNCTION("""COMPUTED_VALUE"""),"2")</f>
        <v>2</v>
      </c>
      <c r="H64" s="6" t="str">
        <f>IFERROR(__xludf.DUMMYFUNCTION("""COMPUTED_VALUE"""),"Cataño Velásquez Eduardo")</f>
        <v>Cataño Velásquez Eduardo</v>
      </c>
      <c r="I64" s="6" t="str">
        <f>IFERROR(__xludf.DUMMYFUNCTION("""COMPUTED_VALUE"""),"Demograficos_Images/1345282270.Foto_Estudiante.205652.jpg")</f>
        <v>Demograficos_Images/1345282270.Foto_Estudiante.205652.jpg</v>
      </c>
      <c r="J64" s="8">
        <f>IFERROR(__xludf.DUMMYFUNCTION("""COMPUTED_VALUE"""),46252.583333333336)</f>
        <v>46252.58333</v>
      </c>
      <c r="K64" s="6" t="str">
        <f>IFERROR(__xludf.DUMMYFUNCTION("""COMPUTED_VALUE"""),"primaria@gi.edu.co")</f>
        <v>primaria@gi.edu.co</v>
      </c>
      <c r="L64" s="6" t="str">
        <f>IFERROR(__xludf.DUMMYFUNCTION("""COMPUTED_VALUE"""),"1345282270")</f>
        <v>1345282270</v>
      </c>
      <c r="M64" s="9">
        <f>IFERROR(__xludf.DUMMYFUNCTION("""COMPUTED_VALUE"""),46252.62486111111)</f>
        <v>46252.62486</v>
      </c>
      <c r="N64" s="6" t="str">
        <f>IFERROR(__xludf.DUMMYFUNCTION("""COMPUTED_VALUE"""),"Pendiente")</f>
        <v>Pendiente</v>
      </c>
      <c r="O64" s="6"/>
      <c r="P64" s="10">
        <f>IFERROR(__xludf.DUMMYFUNCTION("""COMPUTED_VALUE"""),46252.62486111111)</f>
        <v>46252.62486</v>
      </c>
      <c r="Q64" s="6"/>
      <c r="R64" s="6" t="str">
        <f>IFERROR(__xludf.DUMMYFUNCTION("""COMPUTED_VALUE"""),"Familiar (celebraciones, encuentros, despedidas, eucaristias)")</f>
        <v>Familiar (celebraciones, encuentros, despedidas, eucaristias)</v>
      </c>
      <c r="S64" s="6" t="b">
        <f>IFERROR(__xludf.DUMMYFUNCTION("""COMPUTED_VALUE"""),FALSE)</f>
        <v>0</v>
      </c>
      <c r="T64" s="6"/>
      <c r="U64" s="6" t="str">
        <f>IFERROR(__xludf.DUMMYFUNCTION("""COMPUTED_VALUE"""),"Salida temprano")</f>
        <v>Salida temprano</v>
      </c>
      <c r="V64" s="6"/>
      <c r="W64" s="6"/>
      <c r="X64" s="6"/>
      <c r="Y64" s="6"/>
      <c r="Z64" s="6"/>
    </row>
    <row r="65">
      <c r="A65" s="6" t="str">
        <f>IFERROR(__xludf.DUMMYFUNCTION("""COMPUTED_VALUE"""),"aaea34a9")</f>
        <v>aaea34a9</v>
      </c>
      <c r="B65" s="7" t="str">
        <f>IFERROR(__xludf.DUMMYFUNCTION("""COMPUTED_VALUE"""),"1345281939")</f>
        <v>1345281939</v>
      </c>
      <c r="C65" s="6" t="str">
        <f>IFERROR(__xludf.DUMMYFUNCTION("""COMPUTED_VALUE"""),"sale con Lyan Victoria Betancur")</f>
        <v>sale con Lyan Victoria Betancur</v>
      </c>
      <c r="D65" s="6"/>
      <c r="E65" s="6"/>
      <c r="F65" s="6" t="str">
        <f>IFERROR(__xludf.DUMMYFUNCTION("""COMPUTED_VALUE"""),"Leonardo Betancur Zapata papá de Lyan Victoria")</f>
        <v>Leonardo Betancur Zapata papá de Lyan Victoria</v>
      </c>
      <c r="G65" s="6" t="str">
        <f>IFERROR(__xludf.DUMMYFUNCTION("""COMPUTED_VALUE"""),"7")</f>
        <v>7</v>
      </c>
      <c r="H65" s="6" t="str">
        <f>IFERROR(__xludf.DUMMYFUNCTION("""COMPUTED_VALUE"""),"Álvarez Castrillón Mary Anthonella")</f>
        <v>Álvarez Castrillón Mary Anthonella</v>
      </c>
      <c r="I65" s="6" t="str">
        <f>IFERROR(__xludf.DUMMYFUNCTION("""COMPUTED_VALUE"""),"Demograficos_Images/1345281939.Foto_Estudiante.190246.jpg")</f>
        <v>Demograficos_Images/1345281939.Foto_Estudiante.190246.jpg</v>
      </c>
      <c r="J65" s="8">
        <f>IFERROR(__xludf.DUMMYFUNCTION("""COMPUTED_VALUE"""),46252.65069444444)</f>
        <v>46252.65069</v>
      </c>
      <c r="K65" s="6" t="str">
        <f>IFERROR(__xludf.DUMMYFUNCTION("""COMPUTED_VALUE"""),"secundaria@gi.edu.co")</f>
        <v>secundaria@gi.edu.co</v>
      </c>
      <c r="L65" s="6" t="str">
        <f>IFERROR(__xludf.DUMMYFUNCTION("""COMPUTED_VALUE"""),"1345281939")</f>
        <v>1345281939</v>
      </c>
      <c r="M65" s="9">
        <f>IFERROR(__xludf.DUMMYFUNCTION("""COMPUTED_VALUE"""),46252.650405092594)</f>
        <v>46252.65041</v>
      </c>
      <c r="N65" s="6" t="str">
        <f>IFERROR(__xludf.DUMMYFUNCTION("""COMPUTED_VALUE"""),"Pendiente")</f>
        <v>Pendiente</v>
      </c>
      <c r="O65" s="6"/>
      <c r="P65" s="10">
        <f>IFERROR(__xludf.DUMMYFUNCTION("""COMPUTED_VALUE"""),46252.650405092594)</f>
        <v>46252.65041</v>
      </c>
      <c r="Q65" s="6"/>
      <c r="R65" s="6" t="str">
        <f>IFERROR(__xludf.DUMMYFUNCTION("""COMPUTED_VALUE"""),"Secundaria")</f>
        <v>Secundaria</v>
      </c>
      <c r="S65" s="6" t="b">
        <f>IFERROR(__xludf.DUMMYFUNCTION("""COMPUTED_VALUE"""),FALSE)</f>
        <v>0</v>
      </c>
      <c r="T65" s="6"/>
      <c r="U65" s="6" t="str">
        <f>IFERROR(__xludf.DUMMYFUNCTION("""COMPUTED_VALUE"""),"Salida temprano")</f>
        <v>Salida temprano</v>
      </c>
      <c r="V65" s="6"/>
      <c r="W65" s="6"/>
      <c r="X65" s="6"/>
      <c r="Y65" s="6"/>
      <c r="Z65" s="6"/>
    </row>
    <row r="66">
      <c r="A66" s="6" t="str">
        <f>IFERROR(__xludf.DUMMYFUNCTION("""COMPUTED_VALUE"""),"17687250")</f>
        <v>17687250</v>
      </c>
      <c r="B66" s="7" t="str">
        <f>IFERROR(__xludf.DUMMYFUNCTION("""COMPUTED_VALUE"""),"1345282385")</f>
        <v>1345282385</v>
      </c>
      <c r="C66" s="6" t="str">
        <f>IFERROR(__xludf.DUMMYFUNCTION("""COMPUTED_VALUE"""),"sale a cita y regresa a las 9:30am")</f>
        <v>sale a cita y regresa a las 9:30am</v>
      </c>
      <c r="D66" s="6" t="str">
        <f>IFERROR(__xludf.DUMMYFUNCTION("""COMPUTED_VALUE"""),"Padre")</f>
        <v>Padre</v>
      </c>
      <c r="E66" s="6" t="str">
        <f>IFERROR(__xludf.DUMMYFUNCTION("""COMPUTED_VALUE"""),"Padre: Pablo  Rivera Machado")</f>
        <v>Padre: Pablo  Rivera Machado</v>
      </c>
      <c r="F66" s="6"/>
      <c r="G66" s="6" t="str">
        <f>IFERROR(__xludf.DUMMYFUNCTION("""COMPUTED_VALUE"""),"7")</f>
        <v>7</v>
      </c>
      <c r="H66" s="6" t="str">
        <f>IFERROR(__xludf.DUMMYFUNCTION("""COMPUTED_VALUE"""),"Rivera Londoño Gerónimo")</f>
        <v>Rivera Londoño Gerónimo</v>
      </c>
      <c r="I66" s="6" t="str">
        <f>IFERROR(__xludf.DUMMYFUNCTION("""COMPUTED_VALUE"""),"Demograficos_Images/1345282385.Foto_Estudiante.193313.jpg")</f>
        <v>Demograficos_Images/1345282385.Foto_Estudiante.193313.jpg</v>
      </c>
      <c r="J66" s="8">
        <f>IFERROR(__xludf.DUMMYFUNCTION("""COMPUTED_VALUE"""),46253.32638888889)</f>
        <v>46253.32639</v>
      </c>
      <c r="K66" s="6" t="str">
        <f>IFERROR(__xludf.DUMMYFUNCTION("""COMPUTED_VALUE"""),"secundaria@gi.edu.co")</f>
        <v>secundaria@gi.edu.co</v>
      </c>
      <c r="L66" s="6" t="str">
        <f>IFERROR(__xludf.DUMMYFUNCTION("""COMPUTED_VALUE"""),"1345282385")</f>
        <v>1345282385</v>
      </c>
      <c r="M66" s="9">
        <f>IFERROR(__xludf.DUMMYFUNCTION("""COMPUTED_VALUE"""),46253.294224537036)</f>
        <v>46253.29422</v>
      </c>
      <c r="N66" s="6" t="str">
        <f>IFERROR(__xludf.DUMMYFUNCTION("""COMPUTED_VALUE"""),"Pendiente")</f>
        <v>Pendiente</v>
      </c>
      <c r="O66" s="6"/>
      <c r="P66" s="10">
        <f>IFERROR(__xludf.DUMMYFUNCTION("""COMPUTED_VALUE"""),46253.294224537036)</f>
        <v>46253.29422</v>
      </c>
      <c r="Q66" s="6"/>
      <c r="R66" s="6" t="str">
        <f>IFERROR(__xludf.DUMMYFUNCTION("""COMPUTED_VALUE"""),"Cita médica")</f>
        <v>Cita médica</v>
      </c>
      <c r="S66" s="6" t="b">
        <f>IFERROR(__xludf.DUMMYFUNCTION("""COMPUTED_VALUE"""),TRUE)</f>
        <v>1</v>
      </c>
      <c r="T66" s="14">
        <f>IFERROR(__xludf.DUMMYFUNCTION("""COMPUTED_VALUE"""),0.39621527777777776)</f>
        <v>0.3962152778</v>
      </c>
      <c r="U66" s="6" t="str">
        <f>IFERROR(__xludf.DUMMYFUNCTION("""COMPUTED_VALUE"""),"Salida temprano")</f>
        <v>Salida temprano</v>
      </c>
      <c r="V66" s="6"/>
      <c r="W66" s="6"/>
      <c r="X66" s="6"/>
      <c r="Y66" s="6"/>
      <c r="Z66" s="6"/>
    </row>
    <row r="67">
      <c r="A67" s="6" t="str">
        <f>IFERROR(__xludf.DUMMYFUNCTION("""COMPUTED_VALUE"""),"22cb6211")</f>
        <v>22cb6211</v>
      </c>
      <c r="B67" s="7" t="str">
        <f>IFERROR(__xludf.DUMMYFUNCTION("""COMPUTED_VALUE"""),"1345282419")</f>
        <v>1345282419</v>
      </c>
      <c r="C67" s="6" t="str">
        <f>IFERROR(__xludf.DUMMYFUNCTION("""COMPUTED_VALUE"""),"Tiene infección de rodilla y como tiene campeonato de baloncesto deben ir a cita")</f>
        <v>Tiene infección de rodilla y como tiene campeonato de baloncesto deben ir a cita</v>
      </c>
      <c r="D67" s="6" t="str">
        <f>IFERROR(__xludf.DUMMYFUNCTION("""COMPUTED_VALUE"""),"Padre")</f>
        <v>Padre</v>
      </c>
      <c r="E67" s="6" t="str">
        <f>IFERROR(__xludf.DUMMYFUNCTION("""COMPUTED_VALUE"""),"Padre: Alberto  Jaramillo Santacoloma")</f>
        <v>Padre: Alberto  Jaramillo Santacoloma</v>
      </c>
      <c r="F67" s="6"/>
      <c r="G67" s="6" t="str">
        <f>IFERROR(__xludf.DUMMYFUNCTION("""COMPUTED_VALUE"""),"9")</f>
        <v>9</v>
      </c>
      <c r="H67" s="6" t="str">
        <f>IFERROR(__xludf.DUMMYFUNCTION("""COMPUTED_VALUE"""),"Jaramillo Marín Sara")</f>
        <v>Jaramillo Marín Sara</v>
      </c>
      <c r="I67" s="6" t="str">
        <f>IFERROR(__xludf.DUMMYFUNCTION("""COMPUTED_VALUE"""),"Demograficos_Images/1345282419.Foto_Estudiante.185722.jpg")</f>
        <v>Demograficos_Images/1345282419.Foto_Estudiante.185722.jpg</v>
      </c>
      <c r="J67" s="8">
        <f>IFERROR(__xludf.DUMMYFUNCTION("""COMPUTED_VALUE"""),46253.395833333336)</f>
        <v>46253.39583</v>
      </c>
      <c r="K67" s="6" t="str">
        <f>IFERROR(__xludf.DUMMYFUNCTION("""COMPUTED_VALUE"""),"secundaria@gi.edu.co")</f>
        <v>secundaria@gi.edu.co</v>
      </c>
      <c r="L67" s="6" t="str">
        <f>IFERROR(__xludf.DUMMYFUNCTION("""COMPUTED_VALUE"""),"1345282419")</f>
        <v>1345282419</v>
      </c>
      <c r="M67" s="9">
        <f>IFERROR(__xludf.DUMMYFUNCTION("""COMPUTED_VALUE"""),46253.33980324074)</f>
        <v>46253.3398</v>
      </c>
      <c r="N67" s="6" t="str">
        <f>IFERROR(__xludf.DUMMYFUNCTION("""COMPUTED_VALUE"""),"Pendiente")</f>
        <v>Pendiente</v>
      </c>
      <c r="O67" s="6"/>
      <c r="P67" s="10">
        <f>IFERROR(__xludf.DUMMYFUNCTION("""COMPUTED_VALUE"""),46253.33980324074)</f>
        <v>46253.3398</v>
      </c>
      <c r="Q67" s="6"/>
      <c r="R67" s="6" t="str">
        <f>IFERROR(__xludf.DUMMYFUNCTION("""COMPUTED_VALUE"""),"Cita médica")</f>
        <v>Cita médica</v>
      </c>
      <c r="S67" s="6" t="b">
        <f>IFERROR(__xludf.DUMMYFUNCTION("""COMPUTED_VALUE"""),TRUE)</f>
        <v>1</v>
      </c>
      <c r="T67" s="14">
        <f>IFERROR(__xludf.DUMMYFUNCTION("""COMPUTED_VALUE"""),0.4791666666666667)</f>
        <v>0.4791666667</v>
      </c>
      <c r="U67" s="6" t="str">
        <f>IFERROR(__xludf.DUMMYFUNCTION("""COMPUTED_VALUE"""),"Salida temprano")</f>
        <v>Salida temprano</v>
      </c>
      <c r="V67" s="6"/>
      <c r="W67" s="6"/>
      <c r="X67" s="6"/>
      <c r="Y67" s="6"/>
      <c r="Z67" s="6"/>
    </row>
    <row r="68">
      <c r="A68" s="6" t="str">
        <f>IFERROR(__xludf.DUMMYFUNCTION("""COMPUTED_VALUE"""),"8b941c5c")</f>
        <v>8b941c5c</v>
      </c>
      <c r="B68" s="7" t="str">
        <f>IFERROR(__xludf.DUMMYFUNCTION("""COMPUTED_VALUE"""),"1345281926")</f>
        <v>1345281926</v>
      </c>
      <c r="C68" s="6" t="str">
        <f>IFERROR(__xludf.DUMMYFUNCTION("""COMPUTED_VALUE"""),"Sale temprano por motivo de cita médica")</f>
        <v>Sale temprano por motivo de cita médica</v>
      </c>
      <c r="D68" s="6" t="str">
        <f>IFERROR(__xludf.DUMMYFUNCTION("""COMPUTED_VALUE"""),"Madre")</f>
        <v>Madre</v>
      </c>
      <c r="E68" s="6" t="str">
        <f>IFERROR(__xludf.DUMMYFUNCTION("""COMPUTED_VALUE"""),"Madre: Paula Marcela González Restrepo")</f>
        <v>Madre: Paula Marcela González Restrepo</v>
      </c>
      <c r="F68" s="6"/>
      <c r="G68" s="6" t="str">
        <f>IFERROR(__xludf.DUMMYFUNCTION("""COMPUTED_VALUE"""),"8")</f>
        <v>8</v>
      </c>
      <c r="H68" s="6" t="str">
        <f>IFERROR(__xludf.DUMMYFUNCTION("""COMPUTED_VALUE"""),"Cubillos González Juan Martín")</f>
        <v>Cubillos González Juan Martín</v>
      </c>
      <c r="I68" s="6" t="str">
        <f>IFERROR(__xludf.DUMMYFUNCTION("""COMPUTED_VALUE"""),"Demograficos_Images/1345281926.Foto_Estudiante.192336.jpg")</f>
        <v>Demograficos_Images/1345281926.Foto_Estudiante.192336.jpg</v>
      </c>
      <c r="J68" s="8">
        <f>IFERROR(__xludf.DUMMYFUNCTION("""COMPUTED_VALUE"""),46253.53125)</f>
        <v>46253.53125</v>
      </c>
      <c r="K68" s="6" t="str">
        <f>IFERROR(__xludf.DUMMYFUNCTION("""COMPUTED_VALUE"""),"secundaria@gi.edu.co")</f>
        <v>secundaria@gi.edu.co</v>
      </c>
      <c r="L68" s="6" t="str">
        <f>IFERROR(__xludf.DUMMYFUNCTION("""COMPUTED_VALUE"""),"1345281926")</f>
        <v>1345281926</v>
      </c>
      <c r="M68" s="9">
        <f>IFERROR(__xludf.DUMMYFUNCTION("""COMPUTED_VALUE"""),46253.34258101852)</f>
        <v>46253.34258</v>
      </c>
      <c r="N68" s="6" t="str">
        <f>IFERROR(__xludf.DUMMYFUNCTION("""COMPUTED_VALUE"""),"Pendiente")</f>
        <v>Pendiente</v>
      </c>
      <c r="O68" s="6"/>
      <c r="P68" s="10">
        <f>IFERROR(__xludf.DUMMYFUNCTION("""COMPUTED_VALUE"""),46253.34258101852)</f>
        <v>46253.34258</v>
      </c>
      <c r="Q68" s="6"/>
      <c r="R68" s="6" t="str">
        <f>IFERROR(__xludf.DUMMYFUNCTION("""COMPUTED_VALUE"""),"Cita médica")</f>
        <v>Cita médica</v>
      </c>
      <c r="S68" s="6" t="b">
        <f>IFERROR(__xludf.DUMMYFUNCTION("""COMPUTED_VALUE"""),FALSE)</f>
        <v>0</v>
      </c>
      <c r="T68" s="6"/>
      <c r="U68" s="6" t="str">
        <f>IFERROR(__xludf.DUMMYFUNCTION("""COMPUTED_VALUE"""),"Salida temprano")</f>
        <v>Salida temprano</v>
      </c>
      <c r="V68" s="6"/>
      <c r="W68" s="6"/>
      <c r="X68" s="6"/>
      <c r="Y68" s="6"/>
      <c r="Z68" s="6"/>
    </row>
    <row r="69">
      <c r="A69" s="6" t="str">
        <f>IFERROR(__xludf.DUMMYFUNCTION("""COMPUTED_VALUE"""),"608308ba")</f>
        <v>608308ba</v>
      </c>
      <c r="B69" s="7" t="str">
        <f>IFERROR(__xludf.DUMMYFUNCTION("""COMPUTED_VALUE"""),"1345282433")</f>
        <v>1345282433</v>
      </c>
      <c r="C69" s="6" t="str">
        <f>IFERROR(__xludf.DUMMYFUNCTION("""COMPUTED_VALUE"""),"Sale a cita médica y regresa")</f>
        <v>Sale a cita médica y regresa</v>
      </c>
      <c r="D69" s="6" t="str">
        <f>IFERROR(__xludf.DUMMYFUNCTION("""COMPUTED_VALUE"""),"Madre")</f>
        <v>Madre</v>
      </c>
      <c r="E69" s="6" t="str">
        <f>IFERROR(__xludf.DUMMYFUNCTION("""COMPUTED_VALUE"""),"Madre: Ana María Duque Duque")</f>
        <v>Madre: Ana María Duque Duque</v>
      </c>
      <c r="F69" s="6"/>
      <c r="G69" s="6" t="str">
        <f>IFERROR(__xludf.DUMMYFUNCTION("""COMPUTED_VALUE"""),"K4")</f>
        <v>K4</v>
      </c>
      <c r="H69" s="6" t="str">
        <f>IFERROR(__xludf.DUMMYFUNCTION("""COMPUTED_VALUE"""),"Echeverry Duque Martina")</f>
        <v>Echeverry Duque Martina</v>
      </c>
      <c r="I69" s="6" t="str">
        <f>IFERROR(__xludf.DUMMYFUNCTION("""COMPUTED_VALUE"""),"Demograficos_Images/1345282433.Foto_Estudiante.145838.jpg")</f>
        <v>Demograficos_Images/1345282433.Foto_Estudiante.145838.jpg</v>
      </c>
      <c r="J69" s="8">
        <f>IFERROR(__xludf.DUMMYFUNCTION("""COMPUTED_VALUE"""),46253.395833333336)</f>
        <v>46253.39583</v>
      </c>
      <c r="K69" s="6" t="str">
        <f>IFERROR(__xludf.DUMMYFUNCTION("""COMPUTED_VALUE"""),"kinder@gi.edu.co")</f>
        <v>kinder@gi.edu.co</v>
      </c>
      <c r="L69" s="6" t="str">
        <f>IFERROR(__xludf.DUMMYFUNCTION("""COMPUTED_VALUE"""),"1345282433")</f>
        <v>1345282433</v>
      </c>
      <c r="M69" s="9">
        <f>IFERROR(__xludf.DUMMYFUNCTION("""COMPUTED_VALUE"""),46253.35261574074)</f>
        <v>46253.35262</v>
      </c>
      <c r="N69" s="6" t="str">
        <f>IFERROR(__xludf.DUMMYFUNCTION("""COMPUTED_VALUE"""),"Pendiente")</f>
        <v>Pendiente</v>
      </c>
      <c r="O69" s="6"/>
      <c r="P69" s="10">
        <f>IFERROR(__xludf.DUMMYFUNCTION("""COMPUTED_VALUE"""),46253.35261574074)</f>
        <v>46253.35262</v>
      </c>
      <c r="Q69" s="6"/>
      <c r="R69" s="6" t="str">
        <f>IFERROR(__xludf.DUMMYFUNCTION("""COMPUTED_VALUE"""),"Cita médico general")</f>
        <v>Cita médico general</v>
      </c>
      <c r="S69" s="6" t="b">
        <f>IFERROR(__xludf.DUMMYFUNCTION("""COMPUTED_VALUE"""),TRUE)</f>
        <v>1</v>
      </c>
      <c r="T69" s="14">
        <f>IFERROR(__xludf.DUMMYFUNCTION("""COMPUTED_VALUE"""),0.4583333333333333)</f>
        <v>0.4583333333</v>
      </c>
      <c r="U69" s="6" t="str">
        <f>IFERROR(__xludf.DUMMYFUNCTION("""COMPUTED_VALUE"""),"Salida temprano")</f>
        <v>Salida temprano</v>
      </c>
      <c r="V69" s="6"/>
      <c r="W69" s="6"/>
      <c r="X69" s="6"/>
      <c r="Y69" s="6"/>
      <c r="Z69" s="6"/>
    </row>
    <row r="70">
      <c r="A70" s="6" t="str">
        <f>IFERROR(__xludf.DUMMYFUNCTION("""COMPUTED_VALUE"""),"e88014c3")</f>
        <v>e88014c3</v>
      </c>
      <c r="B70" s="7" t="str">
        <f>IFERROR(__xludf.DUMMYFUNCTION("""COMPUTED_VALUE"""),"1345281929")</f>
        <v>1345281929</v>
      </c>
      <c r="C70" s="6" t="str">
        <f>IFERROR(__xludf.DUMMYFUNCTION("""COMPUTED_VALUE"""),"Samuel se va con Ana Duque la mamá de Miguel Echeverry")</f>
        <v>Samuel se va con Ana Duque la mamá de Miguel Echeverry</v>
      </c>
      <c r="D70" s="6"/>
      <c r="E70" s="6"/>
      <c r="F70" s="6" t="str">
        <f>IFERROR(__xludf.DUMMYFUNCTION("""COMPUTED_VALUE"""),"Samuel se va con Ana Duque la mamá de Miguel Echeverry")</f>
        <v>Samuel se va con Ana Duque la mamá de Miguel Echeverry</v>
      </c>
      <c r="G70" s="6" t="str">
        <f>IFERROR(__xludf.DUMMYFUNCTION("""COMPUTED_VALUE"""),"5")</f>
        <v>5</v>
      </c>
      <c r="H70" s="6" t="str">
        <f>IFERROR(__xludf.DUMMYFUNCTION("""COMPUTED_VALUE"""),"Rodríguez Santacruz Samuel")</f>
        <v>Rodríguez Santacruz Samuel</v>
      </c>
      <c r="I70" s="6" t="str">
        <f>IFERROR(__xludf.DUMMYFUNCTION("""COMPUTED_VALUE"""),"Demograficos_Images/1345281929.Foto_Estudiante.143557.jpg")</f>
        <v>Demograficos_Images/1345281929.Foto_Estudiante.143557.jpg</v>
      </c>
      <c r="J70" s="8">
        <f>IFERROR(__xludf.DUMMYFUNCTION("""COMPUTED_VALUE"""),46253.625)</f>
        <v>46253.625</v>
      </c>
      <c r="K70" s="6" t="str">
        <f>IFERROR(__xludf.DUMMYFUNCTION("""COMPUTED_VALUE"""),"primaria@gi.edu.co")</f>
        <v>primaria@gi.edu.co</v>
      </c>
      <c r="L70" s="6" t="str">
        <f>IFERROR(__xludf.DUMMYFUNCTION("""COMPUTED_VALUE"""),"1345281929")</f>
        <v>1345281929</v>
      </c>
      <c r="M70" s="9">
        <f>IFERROR(__xludf.DUMMYFUNCTION("""COMPUTED_VALUE"""),46253.356099537035)</f>
        <v>46253.3561</v>
      </c>
      <c r="N70" s="6" t="str">
        <f>IFERROR(__xludf.DUMMYFUNCTION("""COMPUTED_VALUE"""),"Pendiente")</f>
        <v>Pendiente</v>
      </c>
      <c r="O70" s="6"/>
      <c r="P70" s="10">
        <f>IFERROR(__xludf.DUMMYFUNCTION("""COMPUTED_VALUE"""),46253.356099537035)</f>
        <v>46253.3561</v>
      </c>
      <c r="Q70" s="6"/>
      <c r="R70" s="6" t="str">
        <f>IFERROR(__xludf.DUMMYFUNCTION("""COMPUTED_VALUE"""),"Familiar (celebraciones, encuentros, despedidas, eucaristias)")</f>
        <v>Familiar (celebraciones, encuentros, despedidas, eucaristias)</v>
      </c>
      <c r="S70" s="6" t="b">
        <f>IFERROR(__xludf.DUMMYFUNCTION("""COMPUTED_VALUE"""),FALSE)</f>
        <v>0</v>
      </c>
      <c r="T70" s="6"/>
      <c r="U70" s="6" t="str">
        <f>IFERROR(__xludf.DUMMYFUNCTION("""COMPUTED_VALUE"""),"Salida temprano")</f>
        <v>Salida temprano</v>
      </c>
      <c r="V70" s="6"/>
      <c r="W70" s="6"/>
      <c r="X70" s="6"/>
      <c r="Y70" s="6"/>
      <c r="Z70" s="6"/>
    </row>
    <row r="71">
      <c r="A71" s="6" t="str">
        <f>IFERROR(__xludf.DUMMYFUNCTION("""COMPUTED_VALUE"""),"b63f4fd5")</f>
        <v>b63f4fd5</v>
      </c>
      <c r="B71" s="7" t="str">
        <f>IFERROR(__xludf.DUMMYFUNCTION("""COMPUTED_VALUE"""),"1345282119")</f>
        <v>1345282119</v>
      </c>
      <c r="C71" s="6" t="str">
        <f>IFERROR(__xludf.DUMMYFUNCTION("""COMPUTED_VALUE"""),"sale temprano")</f>
        <v>sale temprano</v>
      </c>
      <c r="D71" s="6" t="str">
        <f>IFERROR(__xludf.DUMMYFUNCTION("""COMPUTED_VALUE"""),"Madre")</f>
        <v>Madre</v>
      </c>
      <c r="E71" s="6" t="str">
        <f>IFERROR(__xludf.DUMMYFUNCTION("""COMPUTED_VALUE"""),"Madre: Catalina  Lezama Velásquez")</f>
        <v>Madre: Catalina  Lezama Velásquez</v>
      </c>
      <c r="F71" s="6"/>
      <c r="G71" s="6" t="str">
        <f>IFERROR(__xludf.DUMMYFUNCTION("""COMPUTED_VALUE"""),"2")</f>
        <v>2</v>
      </c>
      <c r="H71" s="6" t="str">
        <f>IFERROR(__xludf.DUMMYFUNCTION("""COMPUTED_VALUE"""),"Ospina Lezama Simon")</f>
        <v>Ospina Lezama Simon</v>
      </c>
      <c r="I71" s="6" t="str">
        <f>IFERROR(__xludf.DUMMYFUNCTION("""COMPUTED_VALUE"""),"Demograficos_Images/1345282119.Foto_Estudiante.210302.jpg")</f>
        <v>Demograficos_Images/1345282119.Foto_Estudiante.210302.jpg</v>
      </c>
      <c r="J71" s="8">
        <f>IFERROR(__xludf.DUMMYFUNCTION("""COMPUTED_VALUE"""),46253.572916666664)</f>
        <v>46253.57292</v>
      </c>
      <c r="K71" s="6" t="str">
        <f>IFERROR(__xludf.DUMMYFUNCTION("""COMPUTED_VALUE"""),"primaria@gi.edu.co")</f>
        <v>primaria@gi.edu.co</v>
      </c>
      <c r="L71" s="6" t="str">
        <f>IFERROR(__xludf.DUMMYFUNCTION("""COMPUTED_VALUE"""),"1345282119")</f>
        <v>1345282119</v>
      </c>
      <c r="M71" s="9">
        <f>IFERROR(__xludf.DUMMYFUNCTION("""COMPUTED_VALUE"""),46253.358622685184)</f>
        <v>46253.35862</v>
      </c>
      <c r="N71" s="6" t="str">
        <f>IFERROR(__xludf.DUMMYFUNCTION("""COMPUTED_VALUE"""),"Pendiente")</f>
        <v>Pendiente</v>
      </c>
      <c r="O71" s="6"/>
      <c r="P71" s="10">
        <f>IFERROR(__xludf.DUMMYFUNCTION("""COMPUTED_VALUE"""),46253.358622685184)</f>
        <v>46253.35862</v>
      </c>
      <c r="Q71" s="6"/>
      <c r="R71" s="6" t="str">
        <f>IFERROR(__xludf.DUMMYFUNCTION("""COMPUTED_VALUE"""),"Familiar (celebraciones, encuentros, despedidas, eucaristias)")</f>
        <v>Familiar (celebraciones, encuentros, despedidas, eucaristias)</v>
      </c>
      <c r="S71" s="6" t="b">
        <f>IFERROR(__xludf.DUMMYFUNCTION("""COMPUTED_VALUE"""),FALSE)</f>
        <v>0</v>
      </c>
      <c r="T71" s="6"/>
      <c r="U71" s="6" t="str">
        <f>IFERROR(__xludf.DUMMYFUNCTION("""COMPUTED_VALUE"""),"Salida temprano")</f>
        <v>Salida temprano</v>
      </c>
      <c r="V71" s="6"/>
      <c r="W71" s="6"/>
      <c r="X71" s="6"/>
      <c r="Y71" s="6"/>
      <c r="Z71" s="6"/>
    </row>
    <row r="72">
      <c r="A72" s="6" t="str">
        <f>IFERROR(__xludf.DUMMYFUNCTION("""COMPUTED_VALUE"""),"d308333f")</f>
        <v>d308333f</v>
      </c>
      <c r="B72" s="7" t="str">
        <f>IFERROR(__xludf.DUMMYFUNCTION("""COMPUTED_VALUE"""),"1345282139")</f>
        <v>1345282139</v>
      </c>
      <c r="C72" s="6" t="str">
        <f>IFERROR(__xludf.DUMMYFUNCTION("""COMPUTED_VALUE"""),"salida temprano")</f>
        <v>salida temprano</v>
      </c>
      <c r="D72" s="6" t="str">
        <f>IFERROR(__xludf.DUMMYFUNCTION("""COMPUTED_VALUE"""),"Madre")</f>
        <v>Madre</v>
      </c>
      <c r="E72" s="6" t="str">
        <f>IFERROR(__xludf.DUMMYFUNCTION("""COMPUTED_VALUE"""),"Madre: Diana Karina Pineda Castro")</f>
        <v>Madre: Diana Karina Pineda Castro</v>
      </c>
      <c r="F72" s="6"/>
      <c r="G72" s="6" t="str">
        <f>IFERROR(__xludf.DUMMYFUNCTION("""COMPUTED_VALUE"""),"3")</f>
        <v>3</v>
      </c>
      <c r="H72" s="6" t="str">
        <f>IFERROR(__xludf.DUMMYFUNCTION("""COMPUTED_VALUE"""),"Varela Pineda Violetta")</f>
        <v>Varela Pineda Violetta</v>
      </c>
      <c r="I72" s="6" t="str">
        <f>IFERROR(__xludf.DUMMYFUNCTION("""COMPUTED_VALUE"""),"Demograficos_Images/1345282139.Foto_Estudiante.140108.jpg")</f>
        <v>Demograficos_Images/1345282139.Foto_Estudiante.140108.jpg</v>
      </c>
      <c r="J72" s="8">
        <f>IFERROR(__xludf.DUMMYFUNCTION("""COMPUTED_VALUE"""),46253.541666666664)</f>
        <v>46253.54167</v>
      </c>
      <c r="K72" s="6" t="str">
        <f>IFERROR(__xludf.DUMMYFUNCTION("""COMPUTED_VALUE"""),"primaria@gi.edu.co")</f>
        <v>primaria@gi.edu.co</v>
      </c>
      <c r="L72" s="6" t="str">
        <f>IFERROR(__xludf.DUMMYFUNCTION("""COMPUTED_VALUE"""),"1345282139")</f>
        <v>1345282139</v>
      </c>
      <c r="M72" s="9">
        <f>IFERROR(__xludf.DUMMYFUNCTION("""COMPUTED_VALUE"""),46253.35972222222)</f>
        <v>46253.35972</v>
      </c>
      <c r="N72" s="6" t="str">
        <f>IFERROR(__xludf.DUMMYFUNCTION("""COMPUTED_VALUE"""),"Pendiente")</f>
        <v>Pendiente</v>
      </c>
      <c r="O72" s="6"/>
      <c r="P72" s="10">
        <f>IFERROR(__xludf.DUMMYFUNCTION("""COMPUTED_VALUE"""),46253.35972222222)</f>
        <v>46253.35972</v>
      </c>
      <c r="Q72" s="6"/>
      <c r="R72" s="6" t="str">
        <f>IFERROR(__xludf.DUMMYFUNCTION("""COMPUTED_VALUE"""),"Familiar (celebraciones, encuentros, despedidas, eucaristias)")</f>
        <v>Familiar (celebraciones, encuentros, despedidas, eucaristias)</v>
      </c>
      <c r="S72" s="6" t="b">
        <f>IFERROR(__xludf.DUMMYFUNCTION("""COMPUTED_VALUE"""),FALSE)</f>
        <v>0</v>
      </c>
      <c r="T72" s="6"/>
      <c r="U72" s="6" t="str">
        <f>IFERROR(__xludf.DUMMYFUNCTION("""COMPUTED_VALUE"""),"Salida temprano")</f>
        <v>Salida temprano</v>
      </c>
      <c r="V72" s="6"/>
      <c r="W72" s="6"/>
      <c r="X72" s="6"/>
      <c r="Y72" s="6"/>
      <c r="Z72" s="6"/>
    </row>
    <row r="73">
      <c r="A73" s="6" t="str">
        <f>IFERROR(__xludf.DUMMYFUNCTION("""COMPUTED_VALUE"""),"c5ae15d1")</f>
        <v>c5ae15d1</v>
      </c>
      <c r="B73" s="7" t="str">
        <f>IFERROR(__xludf.DUMMYFUNCTION("""COMPUTED_VALUE"""),"1345281879")</f>
        <v>1345281879</v>
      </c>
      <c r="C73" s="6" t="str">
        <f>IFERROR(__xludf.DUMMYFUNCTION("""COMPUTED_VALUE"""),"la mamá informa que estará ausente hoy no más detalles")</f>
        <v>la mamá informa que estará ausente hoy no más detalles</v>
      </c>
      <c r="D73" s="6"/>
      <c r="E73" s="6"/>
      <c r="F73" s="6"/>
      <c r="G73" s="6" t="str">
        <f>IFERROR(__xludf.DUMMYFUNCTION("""COMPUTED_VALUE"""),"12")</f>
        <v>12</v>
      </c>
      <c r="H73" s="6" t="str">
        <f>IFERROR(__xludf.DUMMYFUNCTION("""COMPUTED_VALUE"""),"Carreño Caro Keyler Felipe")</f>
        <v>Carreño Caro Keyler Felipe</v>
      </c>
      <c r="I73" s="6" t="str">
        <f>IFERROR(__xludf.DUMMYFUNCTION("""COMPUTED_VALUE"""),"Demograficos_Images/1345281879.Foto_Estudiante.181232.jpg")</f>
        <v>Demograficos_Images/1345281879.Foto_Estudiante.181232.jpg</v>
      </c>
      <c r="J73" s="8">
        <f>IFERROR(__xludf.DUMMYFUNCTION("""COMPUTED_VALUE"""),46253.3125)</f>
        <v>46253.3125</v>
      </c>
      <c r="K73" s="6" t="str">
        <f>IFERROR(__xludf.DUMMYFUNCTION("""COMPUTED_VALUE"""),"secundaria@gi.edu.co")</f>
        <v>secundaria@gi.edu.co</v>
      </c>
      <c r="L73" s="6" t="str">
        <f>IFERROR(__xludf.DUMMYFUNCTION("""COMPUTED_VALUE"""),"1345281879")</f>
        <v>1345281879</v>
      </c>
      <c r="M73" s="9">
        <f>IFERROR(__xludf.DUMMYFUNCTION("""COMPUTED_VALUE"""),46253.36817129629)</f>
        <v>46253.36817</v>
      </c>
      <c r="N73" s="6" t="str">
        <f>IFERROR(__xludf.DUMMYFUNCTION("""COMPUTED_VALUE"""),"Pendiente")</f>
        <v>Pendiente</v>
      </c>
      <c r="O73" s="6"/>
      <c r="P73" s="10">
        <f>IFERROR(__xludf.DUMMYFUNCTION("""COMPUTED_VALUE"""),46253.36817129629)</f>
        <v>46253.36817</v>
      </c>
      <c r="Q73" s="6"/>
      <c r="R73" s="6" t="str">
        <f>IFERROR(__xludf.DUMMYFUNCTION("""COMPUTED_VALUE"""),"Ausencia Todo el Dia")</f>
        <v>Ausencia Todo el Dia</v>
      </c>
      <c r="S73" s="6"/>
      <c r="T73" s="6"/>
      <c r="U73" s="6" t="str">
        <f>IFERROR(__xludf.DUMMYFUNCTION("""COMPUTED_VALUE"""),"Ausencia todo el dia")</f>
        <v>Ausencia todo el dia</v>
      </c>
      <c r="V73" s="6"/>
      <c r="W73" s="6"/>
      <c r="X73" s="6"/>
      <c r="Y73" s="6"/>
      <c r="Z73" s="6"/>
    </row>
    <row r="74">
      <c r="A74" s="6" t="str">
        <f>IFERROR(__xludf.DUMMYFUNCTION("""COMPUTED_VALUE"""),"654fb65d")</f>
        <v>654fb65d</v>
      </c>
      <c r="B74" s="7" t="str">
        <f>IFERROR(__xludf.DUMMYFUNCTION("""COMPUTED_VALUE"""),"1345282441")</f>
        <v>1345282441</v>
      </c>
      <c r="C74" s="6" t="str">
        <f>IFERROR(__xludf.DUMMYFUNCTION("""COMPUTED_VALUE"""),"salida temprano de sports")</f>
        <v>salida temprano de sports</v>
      </c>
      <c r="D74" s="6" t="str">
        <f>IFERROR(__xludf.DUMMYFUNCTION("""COMPUTED_VALUE"""),"Padre")</f>
        <v>Padre</v>
      </c>
      <c r="E74" s="6" t="str">
        <f>IFERROR(__xludf.DUMMYFUNCTION("""COMPUTED_VALUE"""),"Padre: Pablo  Sánchez Posada")</f>
        <v>Padre: Pablo  Sánchez Posada</v>
      </c>
      <c r="F74" s="6"/>
      <c r="G74" s="6" t="str">
        <f>IFERROR(__xludf.DUMMYFUNCTION("""COMPUTED_VALUE"""),"1")</f>
        <v>1</v>
      </c>
      <c r="H74" s="6" t="str">
        <f>IFERROR(__xludf.DUMMYFUNCTION("""COMPUTED_VALUE"""),"Sánchez Ramírez Amelia")</f>
        <v>Sánchez Ramírez Amelia</v>
      </c>
      <c r="I74" s="6" t="str">
        <f>IFERROR(__xludf.DUMMYFUNCTION("""COMPUTED_VALUE"""),"Demograficos_Images/1345282441.Foto_Estudiante.205036.jpg")</f>
        <v>Demograficos_Images/1345282441.Foto_Estudiante.205036.jpg</v>
      </c>
      <c r="J74" s="8">
        <f>IFERROR(__xludf.DUMMYFUNCTION("""COMPUTED_VALUE"""),46253.645833333336)</f>
        <v>46253.64583</v>
      </c>
      <c r="K74" s="6" t="str">
        <f>IFERROR(__xludf.DUMMYFUNCTION("""COMPUTED_VALUE"""),"primaria@gi.edu.co")</f>
        <v>primaria@gi.edu.co</v>
      </c>
      <c r="L74" s="6" t="str">
        <f>IFERROR(__xludf.DUMMYFUNCTION("""COMPUTED_VALUE"""),"1345282441")</f>
        <v>1345282441</v>
      </c>
      <c r="M74" s="9">
        <f>IFERROR(__xludf.DUMMYFUNCTION("""COMPUTED_VALUE"""),46253.369525462964)</f>
        <v>46253.36953</v>
      </c>
      <c r="N74" s="6" t="str">
        <f>IFERROR(__xludf.DUMMYFUNCTION("""COMPUTED_VALUE"""),"Pendiente")</f>
        <v>Pendiente</v>
      </c>
      <c r="O74" s="6"/>
      <c r="P74" s="10">
        <f>IFERROR(__xludf.DUMMYFUNCTION("""COMPUTED_VALUE"""),46253.369525462964)</f>
        <v>46253.36953</v>
      </c>
      <c r="Q74" s="6"/>
      <c r="R74" s="6" t="str">
        <f>IFERROR(__xludf.DUMMYFUNCTION("""COMPUTED_VALUE"""),"Familiar (celebraciones, encuentros, despedidas, eucaristias)")</f>
        <v>Familiar (celebraciones, encuentros, despedidas, eucaristias)</v>
      </c>
      <c r="S74" s="6" t="b">
        <f>IFERROR(__xludf.DUMMYFUNCTION("""COMPUTED_VALUE"""),FALSE)</f>
        <v>0</v>
      </c>
      <c r="T74" s="6"/>
      <c r="U74" s="6" t="str">
        <f>IFERROR(__xludf.DUMMYFUNCTION("""COMPUTED_VALUE"""),"Salida temprano")</f>
        <v>Salida temprano</v>
      </c>
      <c r="V74" s="6"/>
      <c r="W74" s="6"/>
      <c r="X74" s="6"/>
      <c r="Y74" s="6"/>
      <c r="Z74" s="6"/>
    </row>
    <row r="75">
      <c r="A75" s="6" t="str">
        <f>IFERROR(__xludf.DUMMYFUNCTION("""COMPUTED_VALUE"""),"8fae73c9")</f>
        <v>8fae73c9</v>
      </c>
      <c r="B75" s="7">
        <f>IFERROR(__xludf.DUMMYFUNCTION("""COMPUTED_VALUE"""),1.34528205E9)</f>
        <v>1345282050</v>
      </c>
      <c r="C75" s="6" t="str">
        <f>IFERROR(__xludf.DUMMYFUNCTION("""COMPUTED_VALUE"""),"samuel oñate y agustin oñate salen hoy a la 1:35pm")</f>
        <v>samuel oñate y agustin oñate salen hoy a la 1:35pm</v>
      </c>
      <c r="D75" s="6"/>
      <c r="E75" s="6"/>
      <c r="F75" s="6" t="str">
        <f>IFERROR(__xludf.DUMMYFUNCTION("""COMPUTED_VALUE"""),"mama")</f>
        <v>mama</v>
      </c>
      <c r="G75" s="6">
        <f>IFERROR(__xludf.DUMMYFUNCTION("""COMPUTED_VALUE"""),4.0)</f>
        <v>4</v>
      </c>
      <c r="H75" s="6" t="str">
        <f>IFERROR(__xludf.DUMMYFUNCTION("""COMPUTED_VALUE"""),"Oñate Mayorga Agustín")</f>
        <v>Oñate Mayorga Agustín</v>
      </c>
      <c r="I75" s="13" t="str">
        <f>IFERROR(__xludf.DUMMYFUNCTION("""COMPUTED_VALUE"""),"https://www.appsheet.com/image/getimageurl?appName=Lector_Placas-745737628-25-08-10&amp;tableName=Demograficos&amp;fileName=Demograficos_Images%2F1345282050.Foto_Estudiante.141138.jpg&amp;appVersion=1.001101&amp;signature=a8fe738c7e0f702a9446100ad214a4284e096a6afec819228"&amp;"d306d6f0051a4e3")</f>
        <v>https://www.appsheet.com/image/getimageurl?appName=Lector_Placas-745737628-25-08-10&amp;tableName=Demograficos&amp;fileName=Demograficos_Images%2F1345282050.Foto_Estudiante.141138.jpg&amp;appVersion=1.001101&amp;signature=a8fe738c7e0f702a9446100ad214a4284e096a6afec819228d306d6f0051a4e3</v>
      </c>
      <c r="J75" s="8">
        <f>IFERROR(__xludf.DUMMYFUNCTION("""COMPUTED_VALUE"""),46253.56597222222)</f>
        <v>46253.56597</v>
      </c>
      <c r="K75" s="6" t="str">
        <f>IFERROR(__xludf.DUMMYFUNCTION("""COMPUTED_VALUE"""),"primaria@gi.edu.co")</f>
        <v>primaria@gi.edu.co</v>
      </c>
      <c r="L75" s="6">
        <f>IFERROR(__xludf.DUMMYFUNCTION("""COMPUTED_VALUE"""),1.34528205E9)</f>
        <v>1345282050</v>
      </c>
      <c r="M75" s="9">
        <f>IFERROR(__xludf.DUMMYFUNCTION("""COMPUTED_VALUE"""),46253.39097222222)</f>
        <v>46253.39097</v>
      </c>
      <c r="N75" s="6" t="str">
        <f>IFERROR(__xludf.DUMMYFUNCTION("""COMPUTED_VALUE"""),"Pendiente")</f>
        <v>Pendiente</v>
      </c>
      <c r="O75" s="6"/>
      <c r="P75" s="6"/>
      <c r="Q75" s="6"/>
      <c r="R75" s="6" t="str">
        <f>IFERROR(__xludf.DUMMYFUNCTION("""COMPUTED_VALUE"""),"Familiar (celebraciones, encuentros, despedidas, eucaristias)")</f>
        <v>Familiar (celebraciones, encuentros, despedidas, eucaristias)</v>
      </c>
      <c r="S75" s="6" t="b">
        <f>IFERROR(__xludf.DUMMYFUNCTION("""COMPUTED_VALUE"""),FALSE)</f>
        <v>0</v>
      </c>
      <c r="T75" s="6"/>
      <c r="U75" s="6" t="str">
        <f>IFERROR(__xludf.DUMMYFUNCTION("""COMPUTED_VALUE"""),"Salida temprano")</f>
        <v>Salida temprano</v>
      </c>
      <c r="V75" s="6"/>
      <c r="W75" s="6"/>
      <c r="X75" s="6"/>
      <c r="Y75" s="6"/>
      <c r="Z75" s="6"/>
    </row>
    <row r="76">
      <c r="A76" s="6" t="str">
        <f>IFERROR(__xludf.DUMMYFUNCTION("""COMPUTED_VALUE"""),"dea0bbad")</f>
        <v>dea0bbad</v>
      </c>
      <c r="B76" s="7">
        <f>IFERROR(__xludf.DUMMYFUNCTION("""COMPUTED_VALUE"""),1.345282051E9)</f>
        <v>1345282051</v>
      </c>
      <c r="C76" s="6" t="str">
        <f>IFERROR(__xludf.DUMMYFUNCTION("""COMPUTED_VALUE"""),"samuel oñate y agustin oñate salen hoy a la 1:35pm")</f>
        <v>samuel oñate y agustin oñate salen hoy a la 1:35pm</v>
      </c>
      <c r="D76" s="6"/>
      <c r="E76" s="6"/>
      <c r="F76" s="6" t="str">
        <f>IFERROR(__xludf.DUMMYFUNCTION("""COMPUTED_VALUE"""),"mama")</f>
        <v>mama</v>
      </c>
      <c r="G76" s="6">
        <f>IFERROR(__xludf.DUMMYFUNCTION("""COMPUTED_VALUE"""),6.0)</f>
        <v>6</v>
      </c>
      <c r="H76" s="6" t="str">
        <f>IFERROR(__xludf.DUMMYFUNCTION("""COMPUTED_VALUE"""),"Oñate Mayorga Samuel")</f>
        <v>Oñate Mayorga Samuel</v>
      </c>
      <c r="I76" s="13" t="str">
        <f>IFERROR(__xludf.DUMMYFUNCTION("""COMPUTED_VALUE"""),"https://www.appsheet.com/image/getimageurl?appName=Lector_Placas-745737628-25-08-10&amp;tableName=Demograficos&amp;fileName=Demograficos_Images%2F1345282051.Foto_Estudiante.163212.jpg&amp;appVersion=1.001101&amp;signature=77259c08c4b4172b251860b22b82a92f41b8a84e20bbae1c7"&amp;"5f4e8a98d2b5110")</f>
        <v>https://www.appsheet.com/image/getimageurl?appName=Lector_Placas-745737628-25-08-10&amp;tableName=Demograficos&amp;fileName=Demograficos_Images%2F1345282051.Foto_Estudiante.163212.jpg&amp;appVersion=1.001101&amp;signature=77259c08c4b4172b251860b22b82a92f41b8a84e20bbae1c75f4e8a98d2b5110</v>
      </c>
      <c r="J76" s="8">
        <f>IFERROR(__xludf.DUMMYFUNCTION("""COMPUTED_VALUE"""),46253.56597222222)</f>
        <v>46253.56597</v>
      </c>
      <c r="K76" s="6" t="str">
        <f>IFERROR(__xludf.DUMMYFUNCTION("""COMPUTED_VALUE"""),"primaria@gi.edu.co")</f>
        <v>primaria@gi.edu.co</v>
      </c>
      <c r="L76" s="6">
        <f>IFERROR(__xludf.DUMMYFUNCTION("""COMPUTED_VALUE"""),1.345282051E9)</f>
        <v>1345282051</v>
      </c>
      <c r="M76" s="9">
        <f>IFERROR(__xludf.DUMMYFUNCTION("""COMPUTED_VALUE"""),46253.39097222222)</f>
        <v>46253.39097</v>
      </c>
      <c r="N76" s="6" t="str">
        <f>IFERROR(__xludf.DUMMYFUNCTION("""COMPUTED_VALUE"""),"Pendiente")</f>
        <v>Pendiente</v>
      </c>
      <c r="O76" s="6"/>
      <c r="P76" s="6"/>
      <c r="Q76" s="6"/>
      <c r="R76" s="6" t="str">
        <f>IFERROR(__xludf.DUMMYFUNCTION("""COMPUTED_VALUE"""),"Familiar (celebraciones, encuentros, despedidas, eucaristias)")</f>
        <v>Familiar (celebraciones, encuentros, despedidas, eucaristias)</v>
      </c>
      <c r="S76" s="6" t="b">
        <f>IFERROR(__xludf.DUMMYFUNCTION("""COMPUTED_VALUE"""),FALSE)</f>
        <v>0</v>
      </c>
      <c r="T76" s="6"/>
      <c r="U76" s="6" t="str">
        <f>IFERROR(__xludf.DUMMYFUNCTION("""COMPUTED_VALUE"""),"Salida temprano")</f>
        <v>Salida temprano</v>
      </c>
      <c r="V76" s="6"/>
      <c r="W76" s="6"/>
      <c r="X76" s="6"/>
      <c r="Y76" s="6"/>
      <c r="Z76" s="6"/>
    </row>
    <row r="77">
      <c r="A77" s="6" t="str">
        <f>IFERROR(__xludf.DUMMYFUNCTION("""COMPUTED_VALUE"""),"658f2958")</f>
        <v>658f2958</v>
      </c>
      <c r="B77" s="7">
        <f>IFERROR(__xludf.DUMMYFUNCTION("""COMPUTED_VALUE"""),1.34528205E9)</f>
        <v>1345282050</v>
      </c>
      <c r="C77" s="6" t="str">
        <f>IFERROR(__xludf.DUMMYFUNCTION("""COMPUTED_VALUE"""),"samuel oñate y agustin oñate salen hoy a la 1:35pm")</f>
        <v>samuel oñate y agustin oñate salen hoy a la 1:35pm</v>
      </c>
      <c r="D77" s="6"/>
      <c r="E77" s="6"/>
      <c r="F77" s="6" t="str">
        <f>IFERROR(__xludf.DUMMYFUNCTION("""COMPUTED_VALUE"""),"mama")</f>
        <v>mama</v>
      </c>
      <c r="G77" s="6">
        <f>IFERROR(__xludf.DUMMYFUNCTION("""COMPUTED_VALUE"""),4.0)</f>
        <v>4</v>
      </c>
      <c r="H77" s="6" t="str">
        <f>IFERROR(__xludf.DUMMYFUNCTION("""COMPUTED_VALUE"""),"Oñate Mayorga Agustín")</f>
        <v>Oñate Mayorga Agustín</v>
      </c>
      <c r="I77" s="13" t="str">
        <f>IFERROR(__xludf.DUMMYFUNCTION("""COMPUTED_VALUE"""),"https://www.appsheet.com/image/getimageurl?appName=Lector_Placas-745737628-25-08-10&amp;tableName=Demograficos&amp;fileName=Demograficos_Images%2F1345282050.Foto_Estudiante.141138.jpg&amp;appVersion=1.001101&amp;signature=a8fe738c7e0f702a9446100ad214a4284e096a6afec819228"&amp;"d306d6f0051a4e3")</f>
        <v>https://www.appsheet.com/image/getimageurl?appName=Lector_Placas-745737628-25-08-10&amp;tableName=Demograficos&amp;fileName=Demograficos_Images%2F1345282050.Foto_Estudiante.141138.jpg&amp;appVersion=1.001101&amp;signature=a8fe738c7e0f702a9446100ad214a4284e096a6afec819228d306d6f0051a4e3</v>
      </c>
      <c r="J77" s="8">
        <f>IFERROR(__xludf.DUMMYFUNCTION("""COMPUTED_VALUE"""),46253.56597222222)</f>
        <v>46253.56597</v>
      </c>
      <c r="K77" s="6" t="str">
        <f>IFERROR(__xludf.DUMMYFUNCTION("""COMPUTED_VALUE"""),"primaria@gi.edu.co")</f>
        <v>primaria@gi.edu.co</v>
      </c>
      <c r="L77" s="6">
        <f>IFERROR(__xludf.DUMMYFUNCTION("""COMPUTED_VALUE"""),1.34528205E9)</f>
        <v>1345282050</v>
      </c>
      <c r="M77" s="9">
        <f>IFERROR(__xludf.DUMMYFUNCTION("""COMPUTED_VALUE"""),46253.39097222222)</f>
        <v>46253.39097</v>
      </c>
      <c r="N77" s="6" t="str">
        <f>IFERROR(__xludf.DUMMYFUNCTION("""COMPUTED_VALUE"""),"Pendiente")</f>
        <v>Pendiente</v>
      </c>
      <c r="O77" s="6"/>
      <c r="P77" s="6"/>
      <c r="Q77" s="6"/>
      <c r="R77" s="6" t="str">
        <f>IFERROR(__xludf.DUMMYFUNCTION("""COMPUTED_VALUE"""),"Familiar (celebraciones, encuentros, despedidas, eucaristias)")</f>
        <v>Familiar (celebraciones, encuentros, despedidas, eucaristias)</v>
      </c>
      <c r="S77" s="6" t="b">
        <f>IFERROR(__xludf.DUMMYFUNCTION("""COMPUTED_VALUE"""),FALSE)</f>
        <v>0</v>
      </c>
      <c r="T77" s="6"/>
      <c r="U77" s="6" t="str">
        <f>IFERROR(__xludf.DUMMYFUNCTION("""COMPUTED_VALUE"""),"Salida temprano")</f>
        <v>Salida temprano</v>
      </c>
      <c r="V77" s="6"/>
      <c r="W77" s="6"/>
      <c r="X77" s="6"/>
      <c r="Y77" s="6"/>
      <c r="Z77" s="6"/>
    </row>
    <row r="78">
      <c r="A78" s="6" t="str">
        <f>IFERROR(__xludf.DUMMYFUNCTION("""COMPUTED_VALUE"""),"ccb17620")</f>
        <v>ccb17620</v>
      </c>
      <c r="B78" s="7">
        <f>IFERROR(__xludf.DUMMYFUNCTION("""COMPUTED_VALUE"""),1.345282051E9)</f>
        <v>1345282051</v>
      </c>
      <c r="C78" s="6" t="str">
        <f>IFERROR(__xludf.DUMMYFUNCTION("""COMPUTED_VALUE"""),"samuel oñate y agustin oñate salen hoy a la 1:35pm")</f>
        <v>samuel oñate y agustin oñate salen hoy a la 1:35pm</v>
      </c>
      <c r="D78" s="6"/>
      <c r="E78" s="6"/>
      <c r="F78" s="6" t="str">
        <f>IFERROR(__xludf.DUMMYFUNCTION("""COMPUTED_VALUE"""),"mama")</f>
        <v>mama</v>
      </c>
      <c r="G78" s="6">
        <f>IFERROR(__xludf.DUMMYFUNCTION("""COMPUTED_VALUE"""),6.0)</f>
        <v>6</v>
      </c>
      <c r="H78" s="6" t="str">
        <f>IFERROR(__xludf.DUMMYFUNCTION("""COMPUTED_VALUE"""),"Oñate Mayorga Samuel")</f>
        <v>Oñate Mayorga Samuel</v>
      </c>
      <c r="I78" s="13" t="str">
        <f>IFERROR(__xludf.DUMMYFUNCTION("""COMPUTED_VALUE"""),"https://www.appsheet.com/image/getimageurl?appName=Lector_Placas-745737628-25-08-10&amp;tableName=Demograficos&amp;fileName=Demograficos_Images%2F1345282051.Foto_Estudiante.163212.jpg&amp;appVersion=1.001101&amp;signature=77259c08c4b4172b251860b22b82a92f41b8a84e20bbae1c7"&amp;"5f4e8a98d2b5110")</f>
        <v>https://www.appsheet.com/image/getimageurl?appName=Lector_Placas-745737628-25-08-10&amp;tableName=Demograficos&amp;fileName=Demograficos_Images%2F1345282051.Foto_Estudiante.163212.jpg&amp;appVersion=1.001101&amp;signature=77259c08c4b4172b251860b22b82a92f41b8a84e20bbae1c75f4e8a98d2b5110</v>
      </c>
      <c r="J78" s="8">
        <f>IFERROR(__xludf.DUMMYFUNCTION("""COMPUTED_VALUE"""),46253.56597222222)</f>
        <v>46253.56597</v>
      </c>
      <c r="K78" s="6" t="str">
        <f>IFERROR(__xludf.DUMMYFUNCTION("""COMPUTED_VALUE"""),"primaria@gi.edu.co")</f>
        <v>primaria@gi.edu.co</v>
      </c>
      <c r="L78" s="6">
        <f>IFERROR(__xludf.DUMMYFUNCTION("""COMPUTED_VALUE"""),1.345282051E9)</f>
        <v>1345282051</v>
      </c>
      <c r="M78" s="9">
        <f>IFERROR(__xludf.DUMMYFUNCTION("""COMPUTED_VALUE"""),46253.39097222222)</f>
        <v>46253.39097</v>
      </c>
      <c r="N78" s="6" t="str">
        <f>IFERROR(__xludf.DUMMYFUNCTION("""COMPUTED_VALUE"""),"Pendiente")</f>
        <v>Pendiente</v>
      </c>
      <c r="O78" s="6"/>
      <c r="P78" s="6"/>
      <c r="Q78" s="6"/>
      <c r="R78" s="6" t="str">
        <f>IFERROR(__xludf.DUMMYFUNCTION("""COMPUTED_VALUE"""),"Familiar (celebraciones, encuentros, despedidas, eucaristias)")</f>
        <v>Familiar (celebraciones, encuentros, despedidas, eucaristias)</v>
      </c>
      <c r="S78" s="6" t="b">
        <f>IFERROR(__xludf.DUMMYFUNCTION("""COMPUTED_VALUE"""),FALSE)</f>
        <v>0</v>
      </c>
      <c r="T78" s="6"/>
      <c r="U78" s="6" t="str">
        <f>IFERROR(__xludf.DUMMYFUNCTION("""COMPUTED_VALUE"""),"Salida temprano")</f>
        <v>Salida temprano</v>
      </c>
      <c r="V78" s="6"/>
      <c r="W78" s="6"/>
      <c r="X78" s="6"/>
      <c r="Y78" s="6"/>
      <c r="Z78" s="6"/>
    </row>
    <row r="79">
      <c r="A79" s="6" t="str">
        <f>IFERROR(__xludf.DUMMYFUNCTION("""COMPUTED_VALUE"""),"65354b46")</f>
        <v>65354b46</v>
      </c>
      <c r="B79" s="7">
        <f>IFERROR(__xludf.DUMMYFUNCTION("""COMPUTED_VALUE"""),1.345282182E9)</f>
        <v>1345282182</v>
      </c>
      <c r="C79" s="6" t="str">
        <f>IFERROR(__xludf.DUMMYFUNCTION("""COMPUTED_VALUE"""),"no ruta, los recogen")</f>
        <v>no ruta, los recogen</v>
      </c>
      <c r="D79" s="6"/>
      <c r="E79" s="6"/>
      <c r="F79" s="6" t="str">
        <f>IFERROR(__xludf.DUMMYFUNCTION("""COMPUTED_VALUE"""),"madre")</f>
        <v>madre</v>
      </c>
      <c r="G79" s="6">
        <f>IFERROR(__xludf.DUMMYFUNCTION("""COMPUTED_VALUE"""),2.0)</f>
        <v>2</v>
      </c>
      <c r="H79" s="6" t="str">
        <f>IFERROR(__xludf.DUMMYFUNCTION("""COMPUTED_VALUE"""),"Rodríguez Osorio Luciano")</f>
        <v>Rodríguez Osorio Luciano</v>
      </c>
      <c r="I79" s="13" t="str">
        <f>IFERROR(__xludf.DUMMYFUNCTION("""COMPUTED_VALUE"""),"https://www.appsheet.com/image/getimageurl?appName=Lector_Placas-745737628-25-08-10&amp;tableName=Demograficos&amp;fileName=Demograficos_Images%2F1345282182.Foto_Estudiante.210453.jpg&amp;appVersion=1.001101&amp;signature=4034be1ba1f5ab42632382067e352aabfb1339210738f5b5d"&amp;"65f7b3ff01dda98")</f>
        <v>https://www.appsheet.com/image/getimageurl?appName=Lector_Placas-745737628-25-08-10&amp;tableName=Demograficos&amp;fileName=Demograficos_Images%2F1345282182.Foto_Estudiante.210453.jpg&amp;appVersion=1.001101&amp;signature=4034be1ba1f5ab42632382067e352aabfb1339210738f5b5d65f7b3ff01dda98</v>
      </c>
      <c r="J79" s="8">
        <f>IFERROR(__xludf.DUMMYFUNCTION("""COMPUTED_VALUE"""),46253.625)</f>
        <v>46253.625</v>
      </c>
      <c r="K79" s="6" t="str">
        <f>IFERROR(__xludf.DUMMYFUNCTION("""COMPUTED_VALUE"""),"primaria@gi.edu.co")</f>
        <v>primaria@gi.edu.co</v>
      </c>
      <c r="L79" s="6">
        <f>IFERROR(__xludf.DUMMYFUNCTION("""COMPUTED_VALUE"""),1.345282182E9)</f>
        <v>1345282182</v>
      </c>
      <c r="M79" s="9">
        <f>IFERROR(__xludf.DUMMYFUNCTION("""COMPUTED_VALUE"""),46253.39236111111)</f>
        <v>46253.39236</v>
      </c>
      <c r="N79" s="6" t="str">
        <f>IFERROR(__xludf.DUMMYFUNCTION("""COMPUTED_VALUE"""),"Pendiente")</f>
        <v>Pendiente</v>
      </c>
      <c r="O79" s="6"/>
      <c r="P79" s="6"/>
      <c r="Q79" s="6"/>
      <c r="R79" s="6" t="str">
        <f>IFERROR(__xludf.DUMMYFUNCTION("""COMPUTED_VALUE"""),"Familiar (celebraciones, encuentros, despedidas, eucaristias)")</f>
        <v>Familiar (celebraciones, encuentros, despedidas, eucaristias)</v>
      </c>
      <c r="S79" s="6" t="b">
        <f>IFERROR(__xludf.DUMMYFUNCTION("""COMPUTED_VALUE"""),FALSE)</f>
        <v>0</v>
      </c>
      <c r="T79" s="6"/>
      <c r="U79" s="6" t="str">
        <f>IFERROR(__xludf.DUMMYFUNCTION("""COMPUTED_VALUE"""),"Salida temprano")</f>
        <v>Salida temprano</v>
      </c>
      <c r="V79" s="6"/>
      <c r="W79" s="6"/>
      <c r="X79" s="6"/>
      <c r="Y79" s="6"/>
      <c r="Z79" s="6"/>
    </row>
    <row r="80">
      <c r="A80" s="6" t="str">
        <f>IFERROR(__xludf.DUMMYFUNCTION("""COMPUTED_VALUE"""),"31a7905a")</f>
        <v>31a7905a</v>
      </c>
      <c r="B80" s="7">
        <f>IFERROR(__xludf.DUMMYFUNCTION("""COMPUTED_VALUE"""),1.345282079E9)</f>
        <v>1345282079</v>
      </c>
      <c r="C80" s="6" t="str">
        <f>IFERROR(__xludf.DUMMYFUNCTION("""COMPUTED_VALUE"""),"no ruta, los recogen")</f>
        <v>no ruta, los recogen</v>
      </c>
      <c r="D80" s="6"/>
      <c r="E80" s="6"/>
      <c r="F80" s="6" t="str">
        <f>IFERROR(__xludf.DUMMYFUNCTION("""COMPUTED_VALUE"""),"madre")</f>
        <v>madre</v>
      </c>
      <c r="G80" s="6">
        <f>IFERROR(__xludf.DUMMYFUNCTION("""COMPUTED_VALUE"""),6.0)</f>
        <v>6</v>
      </c>
      <c r="H80" s="6" t="str">
        <f>IFERROR(__xludf.DUMMYFUNCTION("""COMPUTED_VALUE"""),"Giraldo Osorio Alana")</f>
        <v>Giraldo Osorio Alana</v>
      </c>
      <c r="I80" s="13" t="str">
        <f>IFERROR(__xludf.DUMMYFUNCTION("""COMPUTED_VALUE"""),"https://www.appsheet.com/image/getimageurl?appName=Lector_Placas-745737628-25-08-10&amp;tableName=Demograficos&amp;fileName=Demograficos_Images%2F1345282079.Foto_Estudiante.162615.jpg&amp;appVersion=1.001101&amp;signature=6978d44ad36366c30252dde26bdeae0b42c7ebd6193d95494"&amp;"1ef0fb8a6dc9de4")</f>
        <v>https://www.appsheet.com/image/getimageurl?appName=Lector_Placas-745737628-25-08-10&amp;tableName=Demograficos&amp;fileName=Demograficos_Images%2F1345282079.Foto_Estudiante.162615.jpg&amp;appVersion=1.001101&amp;signature=6978d44ad36366c30252dde26bdeae0b42c7ebd6193d954941ef0fb8a6dc9de4</v>
      </c>
      <c r="J80" s="8">
        <f>IFERROR(__xludf.DUMMYFUNCTION("""COMPUTED_VALUE"""),46253.625)</f>
        <v>46253.625</v>
      </c>
      <c r="K80" s="6" t="str">
        <f>IFERROR(__xludf.DUMMYFUNCTION("""COMPUTED_VALUE"""),"primaria@gi.edu.co")</f>
        <v>primaria@gi.edu.co</v>
      </c>
      <c r="L80" s="6">
        <f>IFERROR(__xludf.DUMMYFUNCTION("""COMPUTED_VALUE"""),1.345282079E9)</f>
        <v>1345282079</v>
      </c>
      <c r="M80" s="9">
        <f>IFERROR(__xludf.DUMMYFUNCTION("""COMPUTED_VALUE"""),46253.39236111111)</f>
        <v>46253.39236</v>
      </c>
      <c r="N80" s="6" t="str">
        <f>IFERROR(__xludf.DUMMYFUNCTION("""COMPUTED_VALUE"""),"Pendiente")</f>
        <v>Pendiente</v>
      </c>
      <c r="O80" s="6"/>
      <c r="P80" s="6"/>
      <c r="Q80" s="6"/>
      <c r="R80" s="6" t="str">
        <f>IFERROR(__xludf.DUMMYFUNCTION("""COMPUTED_VALUE"""),"Familiar (celebraciones, encuentros, despedidas, eucaristias)")</f>
        <v>Familiar (celebraciones, encuentros, despedidas, eucaristias)</v>
      </c>
      <c r="S80" s="6" t="b">
        <f>IFERROR(__xludf.DUMMYFUNCTION("""COMPUTED_VALUE"""),FALSE)</f>
        <v>0</v>
      </c>
      <c r="T80" s="6"/>
      <c r="U80" s="6" t="str">
        <f>IFERROR(__xludf.DUMMYFUNCTION("""COMPUTED_VALUE"""),"Salida temprano")</f>
        <v>Salida temprano</v>
      </c>
      <c r="V80" s="6"/>
      <c r="W80" s="6"/>
      <c r="X80" s="6"/>
      <c r="Y80" s="6"/>
      <c r="Z80" s="6"/>
    </row>
    <row r="81">
      <c r="A81" s="6" t="str">
        <f>IFERROR(__xludf.DUMMYFUNCTION("""COMPUTED_VALUE"""),"3e34c9d7")</f>
        <v>3e34c9d7</v>
      </c>
      <c r="B81" s="7">
        <f>IFERROR(__xludf.DUMMYFUNCTION("""COMPUTED_VALUE"""),1.345282182E9)</f>
        <v>1345282182</v>
      </c>
      <c r="C81" s="6" t="str">
        <f>IFERROR(__xludf.DUMMYFUNCTION("""COMPUTED_VALUE"""),"no ruta, los recogen")</f>
        <v>no ruta, los recogen</v>
      </c>
      <c r="D81" s="6"/>
      <c r="E81" s="6"/>
      <c r="F81" s="6" t="str">
        <f>IFERROR(__xludf.DUMMYFUNCTION("""COMPUTED_VALUE"""),"madre")</f>
        <v>madre</v>
      </c>
      <c r="G81" s="6">
        <f>IFERROR(__xludf.DUMMYFUNCTION("""COMPUTED_VALUE"""),2.0)</f>
        <v>2</v>
      </c>
      <c r="H81" s="6" t="str">
        <f>IFERROR(__xludf.DUMMYFUNCTION("""COMPUTED_VALUE"""),"Rodríguez Osorio Luciano")</f>
        <v>Rodríguez Osorio Luciano</v>
      </c>
      <c r="I81" s="13" t="str">
        <f>IFERROR(__xludf.DUMMYFUNCTION("""COMPUTED_VALUE"""),"https://www.appsheet.com/image/getimageurl?appName=Lector_Placas-745737628-25-08-10&amp;tableName=Demograficos&amp;fileName=Demograficos_Images%2F1345282182.Foto_Estudiante.210453.jpg&amp;appVersion=1.001101&amp;signature=4034be1ba1f5ab42632382067e352aabfb1339210738f5b5d"&amp;"65f7b3ff01dda98")</f>
        <v>https://www.appsheet.com/image/getimageurl?appName=Lector_Placas-745737628-25-08-10&amp;tableName=Demograficos&amp;fileName=Demograficos_Images%2F1345282182.Foto_Estudiante.210453.jpg&amp;appVersion=1.001101&amp;signature=4034be1ba1f5ab42632382067e352aabfb1339210738f5b5d65f7b3ff01dda98</v>
      </c>
      <c r="J81" s="8">
        <f>IFERROR(__xludf.DUMMYFUNCTION("""COMPUTED_VALUE"""),46253.625)</f>
        <v>46253.625</v>
      </c>
      <c r="K81" s="6" t="str">
        <f>IFERROR(__xludf.DUMMYFUNCTION("""COMPUTED_VALUE"""),"primaria@gi.edu.co")</f>
        <v>primaria@gi.edu.co</v>
      </c>
      <c r="L81" s="6">
        <f>IFERROR(__xludf.DUMMYFUNCTION("""COMPUTED_VALUE"""),1.345282182E9)</f>
        <v>1345282182</v>
      </c>
      <c r="M81" s="9">
        <f>IFERROR(__xludf.DUMMYFUNCTION("""COMPUTED_VALUE"""),46253.39236111111)</f>
        <v>46253.39236</v>
      </c>
      <c r="N81" s="6" t="str">
        <f>IFERROR(__xludf.DUMMYFUNCTION("""COMPUTED_VALUE"""),"Pendiente")</f>
        <v>Pendiente</v>
      </c>
      <c r="O81" s="6"/>
      <c r="P81" s="6"/>
      <c r="Q81" s="6"/>
      <c r="R81" s="6" t="str">
        <f>IFERROR(__xludf.DUMMYFUNCTION("""COMPUTED_VALUE"""),"Familiar (celebraciones, encuentros, despedidas, eucaristias)")</f>
        <v>Familiar (celebraciones, encuentros, despedidas, eucaristias)</v>
      </c>
      <c r="S81" s="6" t="b">
        <f>IFERROR(__xludf.DUMMYFUNCTION("""COMPUTED_VALUE"""),FALSE)</f>
        <v>0</v>
      </c>
      <c r="T81" s="6"/>
      <c r="U81" s="6" t="str">
        <f>IFERROR(__xludf.DUMMYFUNCTION("""COMPUTED_VALUE"""),"Salida temprano")</f>
        <v>Salida temprano</v>
      </c>
      <c r="V81" s="6"/>
      <c r="W81" s="6"/>
      <c r="X81" s="6"/>
      <c r="Y81" s="6"/>
      <c r="Z81" s="6"/>
    </row>
    <row r="82">
      <c r="A82" s="6" t="str">
        <f>IFERROR(__xludf.DUMMYFUNCTION("""COMPUTED_VALUE"""),"5902ce23")</f>
        <v>5902ce23</v>
      </c>
      <c r="B82" s="7">
        <f>IFERROR(__xludf.DUMMYFUNCTION("""COMPUTED_VALUE"""),1.345282079E9)</f>
        <v>1345282079</v>
      </c>
      <c r="C82" s="6" t="str">
        <f>IFERROR(__xludf.DUMMYFUNCTION("""COMPUTED_VALUE"""),"no ruta, los recogen")</f>
        <v>no ruta, los recogen</v>
      </c>
      <c r="D82" s="6"/>
      <c r="E82" s="6"/>
      <c r="F82" s="6" t="str">
        <f>IFERROR(__xludf.DUMMYFUNCTION("""COMPUTED_VALUE"""),"madre")</f>
        <v>madre</v>
      </c>
      <c r="G82" s="6">
        <f>IFERROR(__xludf.DUMMYFUNCTION("""COMPUTED_VALUE"""),6.0)</f>
        <v>6</v>
      </c>
      <c r="H82" s="6" t="str">
        <f>IFERROR(__xludf.DUMMYFUNCTION("""COMPUTED_VALUE"""),"Giraldo Osorio Alana")</f>
        <v>Giraldo Osorio Alana</v>
      </c>
      <c r="I82" s="13" t="str">
        <f>IFERROR(__xludf.DUMMYFUNCTION("""COMPUTED_VALUE"""),"https://www.appsheet.com/image/getimageurl?appName=Lector_Placas-745737628-25-08-10&amp;tableName=Demograficos&amp;fileName=Demograficos_Images%2F1345282079.Foto_Estudiante.162615.jpg&amp;appVersion=1.001101&amp;signature=6978d44ad36366c30252dde26bdeae0b42c7ebd6193d95494"&amp;"1ef0fb8a6dc9de4")</f>
        <v>https://www.appsheet.com/image/getimageurl?appName=Lector_Placas-745737628-25-08-10&amp;tableName=Demograficos&amp;fileName=Demograficos_Images%2F1345282079.Foto_Estudiante.162615.jpg&amp;appVersion=1.001101&amp;signature=6978d44ad36366c30252dde26bdeae0b42c7ebd6193d954941ef0fb8a6dc9de4</v>
      </c>
      <c r="J82" s="8">
        <f>IFERROR(__xludf.DUMMYFUNCTION("""COMPUTED_VALUE"""),46253.625)</f>
        <v>46253.625</v>
      </c>
      <c r="K82" s="6" t="str">
        <f>IFERROR(__xludf.DUMMYFUNCTION("""COMPUTED_VALUE"""),"primaria@gi.edu.co")</f>
        <v>primaria@gi.edu.co</v>
      </c>
      <c r="L82" s="6">
        <f>IFERROR(__xludf.DUMMYFUNCTION("""COMPUTED_VALUE"""),1.345282079E9)</f>
        <v>1345282079</v>
      </c>
      <c r="M82" s="9">
        <f>IFERROR(__xludf.DUMMYFUNCTION("""COMPUTED_VALUE"""),46253.39236111111)</f>
        <v>46253.39236</v>
      </c>
      <c r="N82" s="6" t="str">
        <f>IFERROR(__xludf.DUMMYFUNCTION("""COMPUTED_VALUE"""),"Pendiente")</f>
        <v>Pendiente</v>
      </c>
      <c r="O82" s="6"/>
      <c r="P82" s="6"/>
      <c r="Q82" s="6"/>
      <c r="R82" s="6" t="str">
        <f>IFERROR(__xludf.DUMMYFUNCTION("""COMPUTED_VALUE"""),"Familiar (celebraciones, encuentros, despedidas, eucaristias)")</f>
        <v>Familiar (celebraciones, encuentros, despedidas, eucaristias)</v>
      </c>
      <c r="S82" s="6" t="b">
        <f>IFERROR(__xludf.DUMMYFUNCTION("""COMPUTED_VALUE"""),FALSE)</f>
        <v>0</v>
      </c>
      <c r="T82" s="6"/>
      <c r="U82" s="6" t="str">
        <f>IFERROR(__xludf.DUMMYFUNCTION("""COMPUTED_VALUE"""),"Salida temprano")</f>
        <v>Salida temprano</v>
      </c>
      <c r="V82" s="6"/>
      <c r="W82" s="6"/>
      <c r="X82" s="6"/>
      <c r="Y82" s="6"/>
      <c r="Z82" s="6"/>
    </row>
    <row r="83">
      <c r="A83" s="6" t="str">
        <f>IFERROR(__xludf.DUMMYFUNCTION("""COMPUTED_VALUE"""),"d25473b0")</f>
        <v>d25473b0</v>
      </c>
      <c r="B83" s="7" t="str">
        <f>IFERROR(__xludf.DUMMYFUNCTION("""COMPUTED_VALUE"""),"1345282292")</f>
        <v>1345282292</v>
      </c>
      <c r="C83" s="6" t="str">
        <f>IFERROR(__xludf.DUMMYFUNCTION("""COMPUTED_VALUE"""),"salida temprano")</f>
        <v>salida temprano</v>
      </c>
      <c r="D83" s="6" t="str">
        <f>IFERROR(__xludf.DUMMYFUNCTION("""COMPUTED_VALUE"""),"Madre")</f>
        <v>Madre</v>
      </c>
      <c r="E83" s="6" t="str">
        <f>IFERROR(__xludf.DUMMYFUNCTION("""COMPUTED_VALUE"""),"Madre: Luisa  Fernanda Molano Viera")</f>
        <v>Madre: Luisa  Fernanda Molano Viera</v>
      </c>
      <c r="F83" s="6"/>
      <c r="G83" s="6" t="str">
        <f>IFERROR(__xludf.DUMMYFUNCTION("""COMPUTED_VALUE"""),"2")</f>
        <v>2</v>
      </c>
      <c r="H83" s="6" t="str">
        <f>IFERROR(__xludf.DUMMYFUNCTION("""COMPUTED_VALUE"""),"Montoya Molano Alana")</f>
        <v>Montoya Molano Alana</v>
      </c>
      <c r="I83" s="6" t="str">
        <f>IFERROR(__xludf.DUMMYFUNCTION("""COMPUTED_VALUE"""),"Demograficos_Images/1345282292.Foto_Estudiante.210236.jpg")</f>
        <v>Demograficos_Images/1345282292.Foto_Estudiante.210236.jpg</v>
      </c>
      <c r="J83" s="8">
        <f>IFERROR(__xludf.DUMMYFUNCTION("""COMPUTED_VALUE"""),46253.40625)</f>
        <v>46253.40625</v>
      </c>
      <c r="K83" s="6" t="str">
        <f>IFERROR(__xludf.DUMMYFUNCTION("""COMPUTED_VALUE"""),"primaria@gi.edu.co")</f>
        <v>primaria@gi.edu.co</v>
      </c>
      <c r="L83" s="6" t="str">
        <f>IFERROR(__xludf.DUMMYFUNCTION("""COMPUTED_VALUE"""),"1345282292")</f>
        <v>1345282292</v>
      </c>
      <c r="M83" s="9">
        <f>IFERROR(__xludf.DUMMYFUNCTION("""COMPUTED_VALUE"""),46253.3978587963)</f>
        <v>46253.39786</v>
      </c>
      <c r="N83" s="6" t="str">
        <f>IFERROR(__xludf.DUMMYFUNCTION("""COMPUTED_VALUE"""),"Pendiente")</f>
        <v>Pendiente</v>
      </c>
      <c r="O83" s="6"/>
      <c r="P83" s="10">
        <f>IFERROR(__xludf.DUMMYFUNCTION("""COMPUTED_VALUE"""),46253.3978587963)</f>
        <v>46253.39786</v>
      </c>
      <c r="Q83" s="6"/>
      <c r="R83" s="6" t="str">
        <f>IFERROR(__xludf.DUMMYFUNCTION("""COMPUTED_VALUE"""),"Familiar (celebraciones, encuentros, despedidas, eucaristias)")</f>
        <v>Familiar (celebraciones, encuentros, despedidas, eucaristias)</v>
      </c>
      <c r="S83" s="6" t="b">
        <f>IFERROR(__xludf.DUMMYFUNCTION("""COMPUTED_VALUE"""),FALSE)</f>
        <v>0</v>
      </c>
      <c r="T83" s="6"/>
      <c r="U83" s="6" t="str">
        <f>IFERROR(__xludf.DUMMYFUNCTION("""COMPUTED_VALUE"""),"Salida temprano")</f>
        <v>Salida temprano</v>
      </c>
      <c r="V83" s="6"/>
      <c r="W83" s="6"/>
      <c r="X83" s="6"/>
      <c r="Y83" s="6"/>
      <c r="Z83" s="6"/>
    </row>
    <row r="84">
      <c r="A84" s="6" t="str">
        <f>IFERROR(__xludf.DUMMYFUNCTION("""COMPUTED_VALUE"""),"6f3e7d26")</f>
        <v>6f3e7d26</v>
      </c>
      <c r="B84" s="7" t="str">
        <f>IFERROR(__xludf.DUMMYFUNCTION("""COMPUTED_VALUE"""),"1345282419")</f>
        <v>1345282419</v>
      </c>
      <c r="C84" s="6" t="str">
        <f>IFERROR(__xludf.DUMMYFUNCTION("""COMPUTED_VALUE"""),"El papá informa que tiene una infección de rodilla derecha y como tiene un")</f>
        <v>El papá informa que tiene una infección de rodilla derecha y como tiene un</v>
      </c>
      <c r="D84" s="6"/>
      <c r="E84" s="6"/>
      <c r="F84" s="6"/>
      <c r="G84" s="6" t="str">
        <f>IFERROR(__xludf.DUMMYFUNCTION("""COMPUTED_VALUE"""),"9")</f>
        <v>9</v>
      </c>
      <c r="H84" s="6" t="str">
        <f>IFERROR(__xludf.DUMMYFUNCTION("""COMPUTED_VALUE"""),"Jaramillo Marín Sara")</f>
        <v>Jaramillo Marín Sara</v>
      </c>
      <c r="I84" s="6" t="str">
        <f>IFERROR(__xludf.DUMMYFUNCTION("""COMPUTED_VALUE"""),"Demograficos_Images/1345282419.Foto_Estudiante.185722.jpg")</f>
        <v>Demograficos_Images/1345282419.Foto_Estudiante.185722.jpg</v>
      </c>
      <c r="J84" s="8">
        <f>IFERROR(__xludf.DUMMYFUNCTION("""COMPUTED_VALUE"""),46253.395833333336)</f>
        <v>46253.39583</v>
      </c>
      <c r="K84" s="6" t="str">
        <f>IFERROR(__xludf.DUMMYFUNCTION("""COMPUTED_VALUE"""),"secundaria@gi.edu.co")</f>
        <v>secundaria@gi.edu.co</v>
      </c>
      <c r="L84" s="6" t="str">
        <f>IFERROR(__xludf.DUMMYFUNCTION("""COMPUTED_VALUE"""),"1345282419")</f>
        <v>1345282419</v>
      </c>
      <c r="M84" s="9">
        <f>IFERROR(__xludf.DUMMYFUNCTION("""COMPUTED_VALUE"""),46253.37045138889)</f>
        <v>46253.37045</v>
      </c>
      <c r="N84" s="6" t="str">
        <f>IFERROR(__xludf.DUMMYFUNCTION("""COMPUTED_VALUE"""),"Pendiente")</f>
        <v>Pendiente</v>
      </c>
      <c r="O84" s="6"/>
      <c r="P84" s="10">
        <f>IFERROR(__xludf.DUMMYFUNCTION("""COMPUTED_VALUE"""),46253.37045138889)</f>
        <v>46253.37045</v>
      </c>
      <c r="Q84" s="6"/>
      <c r="R84" s="6" t="str">
        <f>IFERROR(__xludf.DUMMYFUNCTION("""COMPUTED_VALUE"""),"Cita médica")</f>
        <v>Cita médica</v>
      </c>
      <c r="S84" s="6"/>
      <c r="T84" s="6"/>
      <c r="U84" s="6" t="str">
        <f>IFERROR(__xludf.DUMMYFUNCTION("""COMPUTED_VALUE"""),"Salida temprano")</f>
        <v>Salida temprano</v>
      </c>
      <c r="V84" s="6"/>
      <c r="W84" s="6"/>
      <c r="X84" s="6"/>
      <c r="Y84" s="6"/>
      <c r="Z84" s="6"/>
    </row>
    <row r="85">
      <c r="A85" s="6" t="str">
        <f>IFERROR(__xludf.DUMMYFUNCTION("""COMPUTED_VALUE"""),"51b3ff6c")</f>
        <v>51b3ff6c</v>
      </c>
      <c r="B85" s="7" t="str">
        <f>IFERROR(__xludf.DUMMYFUNCTION("""COMPUTED_VALUE"""),"1345282023")</f>
        <v>1345282023</v>
      </c>
      <c r="C85" s="6" t="str">
        <f>IFERROR(__xludf.DUMMYFUNCTION("""COMPUTED_VALUE"""),"sale para torneo en Bucaramanga desde hoy y regresa el martes 25 de agosto")</f>
        <v>sale para torneo en Bucaramanga desde hoy y regresa el martes 25 de agosto</v>
      </c>
      <c r="D85" s="6" t="str">
        <f>IFERROR(__xludf.DUMMYFUNCTION("""COMPUTED_VALUE"""),"Madre")</f>
        <v>Madre</v>
      </c>
      <c r="E85" s="6" t="str">
        <f>IFERROR(__xludf.DUMMYFUNCTION("""COMPUTED_VALUE"""),"Madre: Ana María Álvarez Jaramillo")</f>
        <v>Madre: Ana María Álvarez Jaramillo</v>
      </c>
      <c r="F85" s="6"/>
      <c r="G85" s="6" t="str">
        <f>IFERROR(__xludf.DUMMYFUNCTION("""COMPUTED_VALUE"""),"9")</f>
        <v>9</v>
      </c>
      <c r="H85" s="6" t="str">
        <f>IFERROR(__xludf.DUMMYFUNCTION("""COMPUTED_VALUE"""),"Correa Álvarez Benjamín")</f>
        <v>Correa Álvarez Benjamín</v>
      </c>
      <c r="I85" s="6" t="str">
        <f>IFERROR(__xludf.DUMMYFUNCTION("""COMPUTED_VALUE"""),"Demograficos_Images/1345282023.Foto_Estudiante.190058.jpg")</f>
        <v>Demograficos_Images/1345282023.Foto_Estudiante.190058.jpg</v>
      </c>
      <c r="J85" s="8">
        <f>IFERROR(__xludf.DUMMYFUNCTION("""COMPUTED_VALUE"""),46253.541666666664)</f>
        <v>46253.54167</v>
      </c>
      <c r="K85" s="6" t="str">
        <f>IFERROR(__xludf.DUMMYFUNCTION("""COMPUTED_VALUE"""),"secundaria@gi.edu.co")</f>
        <v>secundaria@gi.edu.co</v>
      </c>
      <c r="L85" s="6" t="str">
        <f>IFERROR(__xludf.DUMMYFUNCTION("""COMPUTED_VALUE"""),"1345282023")</f>
        <v>1345282023</v>
      </c>
      <c r="M85" s="9">
        <f>IFERROR(__xludf.DUMMYFUNCTION("""COMPUTED_VALUE"""),46253.41552083333)</f>
        <v>46253.41552</v>
      </c>
      <c r="N85" s="6" t="str">
        <f>IFERROR(__xludf.DUMMYFUNCTION("""COMPUTED_VALUE"""),"Pendiente")</f>
        <v>Pendiente</v>
      </c>
      <c r="O85" s="6"/>
      <c r="P85" s="10">
        <f>IFERROR(__xludf.DUMMYFUNCTION("""COMPUTED_VALUE"""),46253.41552083333)</f>
        <v>46253.41552</v>
      </c>
      <c r="Q85" s="6"/>
      <c r="R85" s="6" t="str">
        <f>IFERROR(__xludf.DUMMYFUNCTION("""COMPUTED_VALUE"""),"Viaje familiar")</f>
        <v>Viaje familiar</v>
      </c>
      <c r="S85" s="6" t="b">
        <f>IFERROR(__xludf.DUMMYFUNCTION("""COMPUTED_VALUE"""),FALSE)</f>
        <v>0</v>
      </c>
      <c r="T85" s="6"/>
      <c r="U85" s="6" t="str">
        <f>IFERROR(__xludf.DUMMYFUNCTION("""COMPUTED_VALUE"""),"Salida temprano")</f>
        <v>Salida temprano</v>
      </c>
      <c r="V85" s="6"/>
      <c r="W85" s="6"/>
      <c r="X85" s="6"/>
      <c r="Y85" s="6"/>
      <c r="Z85" s="6"/>
    </row>
    <row r="86">
      <c r="A86" s="6" t="str">
        <f>IFERROR(__xludf.DUMMYFUNCTION("""COMPUTED_VALUE"""),"59e697ee")</f>
        <v>59e697ee</v>
      </c>
      <c r="B86" s="7" t="str">
        <f>IFERROR(__xludf.DUMMYFUNCTION("""COMPUTED_VALUE"""),"1345282146")</f>
        <v>1345282146</v>
      </c>
      <c r="C86" s="6" t="str">
        <f>IFERROR(__xludf.DUMMYFUNCTION("""COMPUTED_VALUE"""),"no ruta, carro")</f>
        <v>no ruta, carro</v>
      </c>
      <c r="D86" s="6" t="str">
        <f>IFERROR(__xludf.DUMMYFUNCTION("""COMPUTED_VALUE"""),"Madre")</f>
        <v>Madre</v>
      </c>
      <c r="E86" s="6" t="str">
        <f>IFERROR(__xludf.DUMMYFUNCTION("""COMPUTED_VALUE"""),"Madre: Jesica Mercedes Estupinán Arenas")</f>
        <v>Madre: Jesica Mercedes Estupinán Arenas</v>
      </c>
      <c r="F86" s="6"/>
      <c r="G86" s="6" t="str">
        <f>IFERROR(__xludf.DUMMYFUNCTION("""COMPUTED_VALUE"""),"3")</f>
        <v>3</v>
      </c>
      <c r="H86" s="6" t="str">
        <f>IFERROR(__xludf.DUMMYFUNCTION("""COMPUTED_VALUE"""),"Granados Estupiñan Jerónimo")</f>
        <v>Granados Estupiñan Jerónimo</v>
      </c>
      <c r="I86" s="6" t="str">
        <f>IFERROR(__xludf.DUMMYFUNCTION("""COMPUTED_VALUE"""),"Demograficos_Images/1345282146.Foto_Estudiante.132707.jpg")</f>
        <v>Demograficos_Images/1345282146.Foto_Estudiante.132707.jpg</v>
      </c>
      <c r="J86" s="8">
        <f>IFERROR(__xludf.DUMMYFUNCTION("""COMPUTED_VALUE"""),46253.625)</f>
        <v>46253.625</v>
      </c>
      <c r="K86" s="6" t="str">
        <f>IFERROR(__xludf.DUMMYFUNCTION("""COMPUTED_VALUE"""),"primaria@gi.edu.co")</f>
        <v>primaria@gi.edu.co</v>
      </c>
      <c r="L86" s="6" t="str">
        <f>IFERROR(__xludf.DUMMYFUNCTION("""COMPUTED_VALUE"""),"1345282146")</f>
        <v>1345282146</v>
      </c>
      <c r="M86" s="9">
        <f>IFERROR(__xludf.DUMMYFUNCTION("""COMPUTED_VALUE"""),46253.422476851854)</f>
        <v>46253.42248</v>
      </c>
      <c r="N86" s="6" t="str">
        <f>IFERROR(__xludf.DUMMYFUNCTION("""COMPUTED_VALUE"""),"Pendiente")</f>
        <v>Pendiente</v>
      </c>
      <c r="O86" s="6"/>
      <c r="P86" s="10">
        <f>IFERROR(__xludf.DUMMYFUNCTION("""COMPUTED_VALUE"""),46253.422476851854)</f>
        <v>46253.42248</v>
      </c>
      <c r="Q86" s="6"/>
      <c r="R86" s="6" t="str">
        <f>IFERROR(__xludf.DUMMYFUNCTION("""COMPUTED_VALUE"""),"Familiar (celebraciones, encuentros, despedidas, eucaristias)")</f>
        <v>Familiar (celebraciones, encuentros, despedidas, eucaristias)</v>
      </c>
      <c r="S86" s="6" t="b">
        <f>IFERROR(__xludf.DUMMYFUNCTION("""COMPUTED_VALUE"""),FALSE)</f>
        <v>0</v>
      </c>
      <c r="T86" s="6"/>
      <c r="U86" s="6" t="str">
        <f>IFERROR(__xludf.DUMMYFUNCTION("""COMPUTED_VALUE"""),"Salida temprano")</f>
        <v>Salida temprano</v>
      </c>
      <c r="V86" s="6"/>
      <c r="W86" s="6"/>
      <c r="X86" s="6"/>
      <c r="Y86" s="6"/>
      <c r="Z86" s="6"/>
    </row>
    <row r="87">
      <c r="A87" s="6" t="str">
        <f>IFERROR(__xludf.DUMMYFUNCTION("""COMPUTED_VALUE"""),"1e4a83f0")</f>
        <v>1e4a83f0</v>
      </c>
      <c r="B87" s="7" t="str">
        <f>IFERROR(__xludf.DUMMYFUNCTION("""COMPUTED_VALUE"""),"1345282165")</f>
        <v>1345282165</v>
      </c>
      <c r="C87" s="6" t="str">
        <f>IFERROR(__xludf.DUMMYFUNCTION("""COMPUTED_VALUE"""),"sofia hoyos arrastria no extra sale en ruta a sl3 pm")</f>
        <v>sofia hoyos arrastria no extra sale en ruta a sl3 pm</v>
      </c>
      <c r="D87" s="6"/>
      <c r="E87" s="6"/>
      <c r="F87" s="6" t="str">
        <f>IFERROR(__xludf.DUMMYFUNCTION("""COMPUTED_VALUE"""),"sofia hoyos arrastria no extra sale en ruta a sl3 pm")</f>
        <v>sofia hoyos arrastria no extra sale en ruta a sl3 pm</v>
      </c>
      <c r="G87" s="6" t="str">
        <f>IFERROR(__xludf.DUMMYFUNCTION("""COMPUTED_VALUE"""),"2")</f>
        <v>2</v>
      </c>
      <c r="H87" s="6" t="str">
        <f>IFERROR(__xludf.DUMMYFUNCTION("""COMPUTED_VALUE"""),"Hoyos Arrastía Sofía")</f>
        <v>Hoyos Arrastía Sofía</v>
      </c>
      <c r="I87" s="6" t="str">
        <f>IFERROR(__xludf.DUMMYFUNCTION("""COMPUTED_VALUE"""),"Demograficos_Images/1345282165.Foto_Estudiante.205927.jpg")</f>
        <v>Demograficos_Images/1345282165.Foto_Estudiante.205927.jpg</v>
      </c>
      <c r="J87" s="8">
        <f>IFERROR(__xludf.DUMMYFUNCTION("""COMPUTED_VALUE"""),46253.625)</f>
        <v>46253.625</v>
      </c>
      <c r="K87" s="6" t="str">
        <f>IFERROR(__xludf.DUMMYFUNCTION("""COMPUTED_VALUE"""),"primaria@gi.edu.co")</f>
        <v>primaria@gi.edu.co</v>
      </c>
      <c r="L87" s="6" t="str">
        <f>IFERROR(__xludf.DUMMYFUNCTION("""COMPUTED_VALUE"""),"1345282165")</f>
        <v>1345282165</v>
      </c>
      <c r="M87" s="9">
        <f>IFERROR(__xludf.DUMMYFUNCTION("""COMPUTED_VALUE"""),46253.43215277778)</f>
        <v>46253.43215</v>
      </c>
      <c r="N87" s="6" t="str">
        <f>IFERROR(__xludf.DUMMYFUNCTION("""COMPUTED_VALUE"""),"Pendiente")</f>
        <v>Pendiente</v>
      </c>
      <c r="O87" s="6"/>
      <c r="P87" s="10">
        <f>IFERROR(__xludf.DUMMYFUNCTION("""COMPUTED_VALUE"""),46253.43215277778)</f>
        <v>46253.43215</v>
      </c>
      <c r="Q87" s="6"/>
      <c r="R87" s="6" t="str">
        <f>IFERROR(__xludf.DUMMYFUNCTION("""COMPUTED_VALUE"""),"Familiar (celebraciones, encuentros, despedidas, eucaristias)")</f>
        <v>Familiar (celebraciones, encuentros, despedidas, eucaristias)</v>
      </c>
      <c r="S87" s="6" t="b">
        <f>IFERROR(__xludf.DUMMYFUNCTION("""COMPUTED_VALUE"""),FALSE)</f>
        <v>0</v>
      </c>
      <c r="T87" s="6"/>
      <c r="U87" s="6" t="str">
        <f>IFERROR(__xludf.DUMMYFUNCTION("""COMPUTED_VALUE"""),"Salida temprano")</f>
        <v>Salida temprano</v>
      </c>
      <c r="V87" s="6"/>
      <c r="W87" s="6"/>
      <c r="X87" s="6"/>
      <c r="Y87" s="6"/>
      <c r="Z87" s="6"/>
    </row>
    <row r="88">
      <c r="A88" s="6" t="str">
        <f>IFERROR(__xludf.DUMMYFUNCTION("""COMPUTED_VALUE"""),"08c80037")</f>
        <v>08c80037</v>
      </c>
      <c r="B88" s="7" t="str">
        <f>IFERROR(__xludf.DUMMYFUNCTION("""COMPUTED_VALUE"""),"1345281341")</f>
        <v>1345281341</v>
      </c>
      <c r="C88" s="6" t="str">
        <f>IFERROR(__xludf.DUMMYFUNCTION("""COMPUTED_VALUE"""),"SALE EN SU VEHICULO - la mamá informa que van para un partido de fútbol  un torneo nacional, en el cual participa con el equipo Deportes Quindío, categoría sub17.")</f>
        <v>SALE EN SU VEHICULO - la mamá informa que van para un partido de fútbol  un torneo nacional, en el cual participa con el equipo Deportes Quindío, categoría sub17.</v>
      </c>
      <c r="D88" s="6"/>
      <c r="E88" s="6"/>
      <c r="F88" s="6"/>
      <c r="G88" s="6" t="str">
        <f>IFERROR(__xludf.DUMMYFUNCTION("""COMPUTED_VALUE"""),"11")</f>
        <v>11</v>
      </c>
      <c r="H88" s="6" t="str">
        <f>IFERROR(__xludf.DUMMYFUNCTION("""COMPUTED_VALUE"""),"Rodríguez Restrepo Santiago")</f>
        <v>Rodríguez Restrepo Santiago</v>
      </c>
      <c r="I88" s="6"/>
      <c r="J88" s="8">
        <f>IFERROR(__xludf.DUMMYFUNCTION("""COMPUTED_VALUE"""),46253.541666666664)</f>
        <v>46253.54167</v>
      </c>
      <c r="K88" s="6" t="str">
        <f>IFERROR(__xludf.DUMMYFUNCTION("""COMPUTED_VALUE"""),"secundaria@gi.edu.co")</f>
        <v>secundaria@gi.edu.co</v>
      </c>
      <c r="L88" s="6" t="str">
        <f>IFERROR(__xludf.DUMMYFUNCTION("""COMPUTED_VALUE"""),"1345281341")</f>
        <v>1345281341</v>
      </c>
      <c r="M88" s="9">
        <f>IFERROR(__xludf.DUMMYFUNCTION("""COMPUTED_VALUE"""),46253.44574074074)</f>
        <v>46253.44574</v>
      </c>
      <c r="N88" s="6" t="str">
        <f>IFERROR(__xludf.DUMMYFUNCTION("""COMPUTED_VALUE"""),"Pendiente")</f>
        <v>Pendiente</v>
      </c>
      <c r="O88" s="6"/>
      <c r="P88" s="10">
        <f>IFERROR(__xludf.DUMMYFUNCTION("""COMPUTED_VALUE"""),46253.44574074074)</f>
        <v>46253.44574</v>
      </c>
      <c r="Q88" s="6"/>
      <c r="R88" s="6" t="str">
        <f>IFERROR(__xludf.DUMMYFUNCTION("""COMPUTED_VALUE"""),"Viaje familiar")</f>
        <v>Viaje familiar</v>
      </c>
      <c r="S88" s="6"/>
      <c r="T88" s="6"/>
      <c r="U88" s="6" t="str">
        <f>IFERROR(__xludf.DUMMYFUNCTION("""COMPUTED_VALUE"""),"Salida temprano")</f>
        <v>Salida temprano</v>
      </c>
      <c r="V88" s="6"/>
      <c r="W88" s="6"/>
      <c r="X88" s="6"/>
      <c r="Y88" s="6"/>
      <c r="Z88" s="6"/>
    </row>
    <row r="89">
      <c r="A89" s="6" t="str">
        <f>IFERROR(__xludf.DUMMYFUNCTION("""COMPUTED_VALUE"""),"cc45e939")</f>
        <v>cc45e939</v>
      </c>
      <c r="B89" s="7" t="str">
        <f>IFERROR(__xludf.DUMMYFUNCTION("""COMPUTED_VALUE"""),"1345282023")</f>
        <v>1345282023</v>
      </c>
      <c r="C89" s="6" t="str">
        <f>IFERROR(__xludf.DUMMYFUNCTION("""COMPUTED_VALUE"""),"estará ausente a partir de mañana 20 de Agosto hasta el lunes 24 por motivo del torneo copa Mariajo Uribe en la ciudad de Bucaramanga.")</f>
        <v>estará ausente a partir de mañana 20 de Agosto hasta el lunes 24 por motivo del torneo copa Mariajo Uribe en la ciudad de Bucaramanga.</v>
      </c>
      <c r="D89" s="6"/>
      <c r="E89" s="6"/>
      <c r="F89" s="6"/>
      <c r="G89" s="6" t="str">
        <f>IFERROR(__xludf.DUMMYFUNCTION("""COMPUTED_VALUE"""),"9")</f>
        <v>9</v>
      </c>
      <c r="H89" s="6" t="str">
        <f>IFERROR(__xludf.DUMMYFUNCTION("""COMPUTED_VALUE"""),"Correa Álvarez Benjamín")</f>
        <v>Correa Álvarez Benjamín</v>
      </c>
      <c r="I89" s="6" t="str">
        <f>IFERROR(__xludf.DUMMYFUNCTION("""COMPUTED_VALUE"""),"Demograficos_Images/1345282023.Foto_Estudiante.190058.jpg")</f>
        <v>Demograficos_Images/1345282023.Foto_Estudiante.190058.jpg</v>
      </c>
      <c r="J89" s="8">
        <f>IFERROR(__xludf.DUMMYFUNCTION("""COMPUTED_VALUE"""),46254.29513888889)</f>
        <v>46254.29514</v>
      </c>
      <c r="K89" s="6" t="str">
        <f>IFERROR(__xludf.DUMMYFUNCTION("""COMPUTED_VALUE"""),"secundaria@gi.edu.co")</f>
        <v>secundaria@gi.edu.co</v>
      </c>
      <c r="L89" s="6" t="str">
        <f>IFERROR(__xludf.DUMMYFUNCTION("""COMPUTED_VALUE"""),"1345282023")</f>
        <v>1345282023</v>
      </c>
      <c r="M89" s="9">
        <f>IFERROR(__xludf.DUMMYFUNCTION("""COMPUTED_VALUE"""),46253.44938657407)</f>
        <v>46253.44939</v>
      </c>
      <c r="N89" s="6" t="str">
        <f>IFERROR(__xludf.DUMMYFUNCTION("""COMPUTED_VALUE"""),"Pendiente")</f>
        <v>Pendiente</v>
      </c>
      <c r="O89" s="6"/>
      <c r="P89" s="10">
        <f>IFERROR(__xludf.DUMMYFUNCTION("""COMPUTED_VALUE"""),46253.44938657407)</f>
        <v>46253.44939</v>
      </c>
      <c r="Q89" s="6"/>
      <c r="R89" s="6" t="str">
        <f>IFERROR(__xludf.DUMMYFUNCTION("""COMPUTED_VALUE"""),"Ausencia Todo el Dia")</f>
        <v>Ausencia Todo el Dia</v>
      </c>
      <c r="S89" s="6"/>
      <c r="T89" s="6"/>
      <c r="U89" s="6"/>
      <c r="V89" s="6"/>
      <c r="W89" s="6"/>
      <c r="X89" s="6"/>
      <c r="Y89" s="6"/>
      <c r="Z89" s="6"/>
    </row>
    <row r="90">
      <c r="A90" s="6" t="str">
        <f>IFERROR(__xludf.DUMMYFUNCTION("""COMPUTED_VALUE"""),"6c7ceb39")</f>
        <v>6c7ceb39</v>
      </c>
      <c r="B90" s="7" t="str">
        <f>IFERROR(__xludf.DUMMYFUNCTION("""COMPUTED_VALUE"""),"1345282515")</f>
        <v>1345282515</v>
      </c>
      <c r="C90" s="6" t="str">
        <f>IFERROR(__xludf.DUMMYFUNCTION("""COMPUTED_VALUE"""),"cita medica, se va temprano")</f>
        <v>cita medica, se va temprano</v>
      </c>
      <c r="D90" s="6" t="str">
        <f>IFERROR(__xludf.DUMMYFUNCTION("""COMPUTED_VALUE"""),"Madre")</f>
        <v>Madre</v>
      </c>
      <c r="E90" s="6" t="str">
        <f>IFERROR(__xludf.DUMMYFUNCTION("""COMPUTED_VALUE"""),"Madre: Paula Marcela González Restrepo")</f>
        <v>Madre: Paula Marcela González Restrepo</v>
      </c>
      <c r="F90" s="6"/>
      <c r="G90" s="6" t="str">
        <f>IFERROR(__xludf.DUMMYFUNCTION("""COMPUTED_VALUE"""),"K4")</f>
        <v>K4</v>
      </c>
      <c r="H90" s="6" t="str">
        <f>IFERROR(__xludf.DUMMYFUNCTION("""COMPUTED_VALUE"""),"González Restrepo Emilia")</f>
        <v>González Restrepo Emilia</v>
      </c>
      <c r="I90" s="6" t="str">
        <f>IFERROR(__xludf.DUMMYFUNCTION("""COMPUTED_VALUE"""),"Demograficos_Images/1345282515.Foto_Estudiante.182930.jpg")</f>
        <v>Demograficos_Images/1345282515.Foto_Estudiante.182930.jpg</v>
      </c>
      <c r="J90" s="8">
        <f>IFERROR(__xludf.DUMMYFUNCTION("""COMPUTED_VALUE"""),46253.541666666664)</f>
        <v>46253.54167</v>
      </c>
      <c r="K90" s="6" t="str">
        <f>IFERROR(__xludf.DUMMYFUNCTION("""COMPUTED_VALUE"""),"kinder@gi.edu.co")</f>
        <v>kinder@gi.edu.co</v>
      </c>
      <c r="L90" s="6" t="str">
        <f>IFERROR(__xludf.DUMMYFUNCTION("""COMPUTED_VALUE"""),"1345282515")</f>
        <v>1345282515</v>
      </c>
      <c r="M90" s="9">
        <f>IFERROR(__xludf.DUMMYFUNCTION("""COMPUTED_VALUE"""),46253.45793981481)</f>
        <v>46253.45794</v>
      </c>
      <c r="N90" s="6" t="str">
        <f>IFERROR(__xludf.DUMMYFUNCTION("""COMPUTED_VALUE"""),"Pendiente")</f>
        <v>Pendiente</v>
      </c>
      <c r="O90" s="6"/>
      <c r="P90" s="10">
        <f>IFERROR(__xludf.DUMMYFUNCTION("""COMPUTED_VALUE"""),46253.45793981481)</f>
        <v>46253.45794</v>
      </c>
      <c r="Q90" s="6"/>
      <c r="R90" s="6" t="str">
        <f>IFERROR(__xludf.DUMMYFUNCTION("""COMPUTED_VALUE"""),"Cita médico general")</f>
        <v>Cita médico general</v>
      </c>
      <c r="S90" s="6" t="b">
        <f>IFERROR(__xludf.DUMMYFUNCTION("""COMPUTED_VALUE"""),FALSE)</f>
        <v>0</v>
      </c>
      <c r="T90" s="6"/>
      <c r="U90" s="6" t="str">
        <f>IFERROR(__xludf.DUMMYFUNCTION("""COMPUTED_VALUE"""),"Salida temprano")</f>
        <v>Salida temprano</v>
      </c>
      <c r="V90" s="6"/>
      <c r="W90" s="6"/>
      <c r="X90" s="6"/>
      <c r="Y90" s="6"/>
      <c r="Z90" s="6"/>
    </row>
    <row r="91">
      <c r="A91" s="6" t="str">
        <f>IFERROR(__xludf.DUMMYFUNCTION("""COMPUTED_VALUE"""),"dad7205e")</f>
        <v>dad7205e</v>
      </c>
      <c r="B91" s="7" t="str">
        <f>IFERROR(__xludf.DUMMYFUNCTION("""COMPUTED_VALUE"""),"1345281418")</f>
        <v>1345281418</v>
      </c>
      <c r="C91" s="6" t="str">
        <f>IFERROR(__xludf.DUMMYFUNCTION("""COMPUTED_VALUE"""),"Amaneció con dolor de garganta y tiene unos ganglios inflamados.")</f>
        <v>Amaneció con dolor de garganta y tiene unos ganglios inflamados.</v>
      </c>
      <c r="D91" s="6"/>
      <c r="E91" s="6"/>
      <c r="F91" s="6"/>
      <c r="G91" s="6" t="str">
        <f>IFERROR(__xludf.DUMMYFUNCTION("""COMPUTED_VALUE"""),"12")</f>
        <v>12</v>
      </c>
      <c r="H91" s="6" t="str">
        <f>IFERROR(__xludf.DUMMYFUNCTION("""COMPUTED_VALUE"""),"Díaz Orozco Juan Esteban")</f>
        <v>Díaz Orozco Juan Esteban</v>
      </c>
      <c r="I91" s="6" t="str">
        <f>IFERROR(__xludf.DUMMYFUNCTION("""COMPUTED_VALUE"""),"Demograficos_Images/1345281418.Foto_Estudiante.181136.jpg")</f>
        <v>Demograficos_Images/1345281418.Foto_Estudiante.181136.jpg</v>
      </c>
      <c r="J91" s="8">
        <f>IFERROR(__xludf.DUMMYFUNCTION("""COMPUTED_VALUE"""),46253.29513888889)</f>
        <v>46253.29514</v>
      </c>
      <c r="K91" s="6" t="str">
        <f>IFERROR(__xludf.DUMMYFUNCTION("""COMPUTED_VALUE"""),"secundaria@gi.edu.co")</f>
        <v>secundaria@gi.edu.co</v>
      </c>
      <c r="L91" s="6" t="str">
        <f>IFERROR(__xludf.DUMMYFUNCTION("""COMPUTED_VALUE"""),"1345281418")</f>
        <v>1345281418</v>
      </c>
      <c r="M91" s="9">
        <f>IFERROR(__xludf.DUMMYFUNCTION("""COMPUTED_VALUE"""),46253.45539351852)</f>
        <v>46253.45539</v>
      </c>
      <c r="N91" s="6" t="str">
        <f>IFERROR(__xludf.DUMMYFUNCTION("""COMPUTED_VALUE"""),"Pendiente")</f>
        <v>Pendiente</v>
      </c>
      <c r="O91" s="6"/>
      <c r="P91" s="10">
        <f>IFERROR(__xludf.DUMMYFUNCTION("""COMPUTED_VALUE"""),46253.45539351852)</f>
        <v>46253.45539</v>
      </c>
      <c r="Q91" s="6"/>
      <c r="R91" s="6" t="str">
        <f>IFERROR(__xludf.DUMMYFUNCTION("""COMPUTED_VALUE"""),"Estudiante enfermo@ con cuidados en casa")</f>
        <v>Estudiante enfermo@ con cuidados en casa</v>
      </c>
      <c r="S91" s="6"/>
      <c r="T91" s="6"/>
      <c r="U91" s="6" t="str">
        <f>IFERROR(__xludf.DUMMYFUNCTION("""COMPUTED_VALUE"""),"Ausencia todo el dia")</f>
        <v>Ausencia todo el dia</v>
      </c>
      <c r="V91" s="6"/>
      <c r="W91" s="6"/>
      <c r="X91" s="6"/>
      <c r="Y91" s="6"/>
      <c r="Z91" s="6"/>
    </row>
    <row r="92">
      <c r="A92" s="6" t="str">
        <f>IFERROR(__xludf.DUMMYFUNCTION("""COMPUTED_VALUE"""),"7260bc5c")</f>
        <v>7260bc5c</v>
      </c>
      <c r="B92" s="7" t="str">
        <f>IFERROR(__xludf.DUMMYFUNCTION("""COMPUTED_VALUE"""),"1345281955")</f>
        <v>1345281955</v>
      </c>
      <c r="C92" s="6" t="str">
        <f>IFERROR(__xludf.DUMMYFUNCTION("""COMPUTED_VALUE"""),"Isabella Aragón sale con la mamá de Valentina Villegas")</f>
        <v>Isabella Aragón sale con la mamá de Valentina Villegas</v>
      </c>
      <c r="D92" s="6"/>
      <c r="E92" s="6"/>
      <c r="F92" s="6" t="str">
        <f>IFERROR(__xludf.DUMMYFUNCTION("""COMPUTED_VALUE"""),"Isabella Aragón sale con la mamá de Valentina Villegas")</f>
        <v>Isabella Aragón sale con la mamá de Valentina Villegas</v>
      </c>
      <c r="G92" s="6" t="str">
        <f>IFERROR(__xludf.DUMMYFUNCTION("""COMPUTED_VALUE"""),"5")</f>
        <v>5</v>
      </c>
      <c r="H92" s="6" t="str">
        <f>IFERROR(__xludf.DUMMYFUNCTION("""COMPUTED_VALUE"""),"Aragón Hernández Isabella")</f>
        <v>Aragón Hernández Isabella</v>
      </c>
      <c r="I92" s="6" t="str">
        <f>IFERROR(__xludf.DUMMYFUNCTION("""COMPUTED_VALUE"""),"Demograficos_Images/1345281955.Foto_Estudiante.142813.jpg")</f>
        <v>Demograficos_Images/1345281955.Foto_Estudiante.142813.jpg</v>
      </c>
      <c r="J92" s="8">
        <f>IFERROR(__xludf.DUMMYFUNCTION("""COMPUTED_VALUE"""),46253.625)</f>
        <v>46253.625</v>
      </c>
      <c r="K92" s="6" t="str">
        <f>IFERROR(__xludf.DUMMYFUNCTION("""COMPUTED_VALUE"""),"primaria@gi.edu.co")</f>
        <v>primaria@gi.edu.co</v>
      </c>
      <c r="L92" s="6" t="str">
        <f>IFERROR(__xludf.DUMMYFUNCTION("""COMPUTED_VALUE"""),"1345281955")</f>
        <v>1345281955</v>
      </c>
      <c r="M92" s="9">
        <f>IFERROR(__xludf.DUMMYFUNCTION("""COMPUTED_VALUE"""),46253.459444444445)</f>
        <v>46253.45944</v>
      </c>
      <c r="N92" s="6" t="str">
        <f>IFERROR(__xludf.DUMMYFUNCTION("""COMPUTED_VALUE"""),"Pendiente")</f>
        <v>Pendiente</v>
      </c>
      <c r="O92" s="6"/>
      <c r="P92" s="10">
        <f>IFERROR(__xludf.DUMMYFUNCTION("""COMPUTED_VALUE"""),46253.459444444445)</f>
        <v>46253.45944</v>
      </c>
      <c r="Q92" s="6"/>
      <c r="R92" s="6" t="str">
        <f>IFERROR(__xludf.DUMMYFUNCTION("""COMPUTED_VALUE"""),"Familiar (celebraciones, encuentros, despedidas, eucaristias)")</f>
        <v>Familiar (celebraciones, encuentros, despedidas, eucaristias)</v>
      </c>
      <c r="S92" s="6" t="b">
        <f>IFERROR(__xludf.DUMMYFUNCTION("""COMPUTED_VALUE"""),FALSE)</f>
        <v>0</v>
      </c>
      <c r="T92" s="6"/>
      <c r="U92" s="6" t="str">
        <f>IFERROR(__xludf.DUMMYFUNCTION("""COMPUTED_VALUE"""),"Salida temprano")</f>
        <v>Salida temprano</v>
      </c>
      <c r="V92" s="6"/>
      <c r="W92" s="6"/>
      <c r="X92" s="6"/>
      <c r="Y92" s="6"/>
      <c r="Z92" s="6"/>
    </row>
    <row r="93">
      <c r="A93" s="6" t="str">
        <f>IFERROR(__xludf.DUMMYFUNCTION("""COMPUTED_VALUE"""),"6eb9900d")</f>
        <v>6eb9900d</v>
      </c>
      <c r="B93" s="7" t="str">
        <f>IFERROR(__xludf.DUMMYFUNCTION("""COMPUTED_VALUE"""),"1345282626")</f>
        <v>1345282626</v>
      </c>
      <c r="C93" s="6" t="str">
        <f>IFERROR(__xludf.DUMMYFUNCTION("""COMPUTED_VALUE"""),"Salida temprano Párvulos")</f>
        <v>Salida temprano Párvulos</v>
      </c>
      <c r="D93" s="6" t="str">
        <f>IFERROR(__xludf.DUMMYFUNCTION("""COMPUTED_VALUE"""),"Madre")</f>
        <v>Madre</v>
      </c>
      <c r="E93" s="6" t="str">
        <f>IFERROR(__xludf.DUMMYFUNCTION("""COMPUTED_VALUE"""),"Madre: Laura  Bravo Pérez")</f>
        <v>Madre: Laura  Bravo Pérez</v>
      </c>
      <c r="F93" s="6"/>
      <c r="G93" s="6" t="str">
        <f>IFERROR(__xludf.DUMMYFUNCTION("""COMPUTED_VALUE"""),"PV")</f>
        <v>PV</v>
      </c>
      <c r="H93" s="6" t="str">
        <f>IFERROR(__xludf.DUMMYFUNCTION("""COMPUTED_VALUE"""),"Beltrán Bravo Martina")</f>
        <v>Beltrán Bravo Martina</v>
      </c>
      <c r="I93" s="6"/>
      <c r="J93" s="8">
        <f>IFERROR(__xludf.DUMMYFUNCTION("""COMPUTED_VALUE"""),46253.493055555555)</f>
        <v>46253.49306</v>
      </c>
      <c r="K93" s="6" t="str">
        <f>IFERROR(__xludf.DUMMYFUNCTION("""COMPUTED_VALUE"""),"kinder@gi.edu.co")</f>
        <v>kinder@gi.edu.co</v>
      </c>
      <c r="L93" s="6" t="str">
        <f>IFERROR(__xludf.DUMMYFUNCTION("""COMPUTED_VALUE"""),"1345282626")</f>
        <v>1345282626</v>
      </c>
      <c r="M93" s="9">
        <f>IFERROR(__xludf.DUMMYFUNCTION("""COMPUTED_VALUE"""),46253.461168981485)</f>
        <v>46253.46117</v>
      </c>
      <c r="N93" s="6" t="str">
        <f>IFERROR(__xludf.DUMMYFUNCTION("""COMPUTED_VALUE"""),"Pendiente")</f>
        <v>Pendiente</v>
      </c>
      <c r="O93" s="6"/>
      <c r="P93" s="10">
        <f>IFERROR(__xludf.DUMMYFUNCTION("""COMPUTED_VALUE"""),46253.461168981485)</f>
        <v>46253.46117</v>
      </c>
      <c r="Q93" s="6"/>
      <c r="R93" s="6" t="str">
        <f>IFERROR(__xludf.DUMMYFUNCTION("""COMPUTED_VALUE"""),"GI- Salida temprano con autorización de sus padres")</f>
        <v>GI- Salida temprano con autorización de sus padres</v>
      </c>
      <c r="S93" s="6" t="b">
        <f>IFERROR(__xludf.DUMMYFUNCTION("""COMPUTED_VALUE"""),FALSE)</f>
        <v>0</v>
      </c>
      <c r="T93" s="6"/>
      <c r="U93" s="6" t="str">
        <f>IFERROR(__xludf.DUMMYFUNCTION("""COMPUTED_VALUE"""),"Salida temprano")</f>
        <v>Salida temprano</v>
      </c>
      <c r="V93" s="6"/>
      <c r="W93" s="6"/>
      <c r="X93" s="6"/>
      <c r="Y93" s="6"/>
      <c r="Z93" s="6"/>
    </row>
    <row r="94">
      <c r="A94" s="6" t="str">
        <f>IFERROR(__xludf.DUMMYFUNCTION("""COMPUTED_VALUE"""),"edba95f5")</f>
        <v>edba95f5</v>
      </c>
      <c r="B94" s="7" t="str">
        <f>IFERROR(__xludf.DUMMYFUNCTION("""COMPUTED_VALUE"""),"1345281713")</f>
        <v>1345281713</v>
      </c>
      <c r="C94" s="6" t="str">
        <f>IFERROR(__xludf.DUMMYFUNCTION("""COMPUTED_VALUE"""),"sale en su vehículo para terapia la mamá envio correo")</f>
        <v>sale en su vehículo para terapia la mamá envio correo</v>
      </c>
      <c r="D94" s="6"/>
      <c r="E94" s="6"/>
      <c r="F94" s="6"/>
      <c r="G94" s="6" t="str">
        <f>IFERROR(__xludf.DUMMYFUNCTION("""COMPUTED_VALUE"""),"12")</f>
        <v>12</v>
      </c>
      <c r="H94" s="6" t="str">
        <f>IFERROR(__xludf.DUMMYFUNCTION("""COMPUTED_VALUE"""),"Ruíz Aristizábal Gerónimo")</f>
        <v>Ruíz Aristizábal Gerónimo</v>
      </c>
      <c r="I94" s="6" t="str">
        <f>IFERROR(__xludf.DUMMYFUNCTION("""COMPUTED_VALUE"""),"Demograficos_Images/1345281713.Foto_Estudiante.164400.jpg")</f>
        <v>Demograficos_Images/1345281713.Foto_Estudiante.164400.jpg</v>
      </c>
      <c r="J94" s="8">
        <f>IFERROR(__xludf.DUMMYFUNCTION("""COMPUTED_VALUE"""),46253.46527777778)</f>
        <v>46253.46528</v>
      </c>
      <c r="K94" s="6" t="str">
        <f>IFERROR(__xludf.DUMMYFUNCTION("""COMPUTED_VALUE"""),"secundaria@gi.edu.co")</f>
        <v>secundaria@gi.edu.co</v>
      </c>
      <c r="L94" s="6" t="str">
        <f>IFERROR(__xludf.DUMMYFUNCTION("""COMPUTED_VALUE"""),"1345281713")</f>
        <v>1345281713</v>
      </c>
      <c r="M94" s="9">
        <f>IFERROR(__xludf.DUMMYFUNCTION("""COMPUTED_VALUE"""),46253.4653125)</f>
        <v>46253.46531</v>
      </c>
      <c r="N94" s="6" t="str">
        <f>IFERROR(__xludf.DUMMYFUNCTION("""COMPUTED_VALUE"""),"Pendiente")</f>
        <v>Pendiente</v>
      </c>
      <c r="O94" s="6"/>
      <c r="P94" s="10">
        <f>IFERROR(__xludf.DUMMYFUNCTION("""COMPUTED_VALUE"""),46253.4653125)</f>
        <v>46253.46531</v>
      </c>
      <c r="Q94" s="6"/>
      <c r="R94" s="6" t="str">
        <f>IFERROR(__xludf.DUMMYFUNCTION("""COMPUTED_VALUE"""),"Cita médica")</f>
        <v>Cita médica</v>
      </c>
      <c r="S94" s="6" t="b">
        <f>IFERROR(__xludf.DUMMYFUNCTION("""COMPUTED_VALUE"""),FALSE)</f>
        <v>0</v>
      </c>
      <c r="T94" s="6"/>
      <c r="U94" s="6" t="str">
        <f>IFERROR(__xludf.DUMMYFUNCTION("""COMPUTED_VALUE"""),"Salida temprano")</f>
        <v>Salida temprano</v>
      </c>
      <c r="V94" s="6"/>
      <c r="W94" s="6"/>
      <c r="X94" s="6"/>
      <c r="Y94" s="6"/>
      <c r="Z94" s="6"/>
    </row>
    <row r="95">
      <c r="A95" s="6" t="str">
        <f>IFERROR(__xludf.DUMMYFUNCTION("""COMPUTED_VALUE"""),"69809f55")</f>
        <v>69809f55</v>
      </c>
      <c r="B95" s="7" t="str">
        <f>IFERROR(__xludf.DUMMYFUNCTION("""COMPUTED_VALUE"""),"1345282584")</f>
        <v>1345282584</v>
      </c>
      <c r="C95" s="6" t="str">
        <f>IFERROR(__xludf.DUMMYFUNCTION("""COMPUTED_VALUE"""),"SALE CON TERCERO, AUTORIZA LA MAMÁ")</f>
        <v>SALE CON TERCERO, AUTORIZA LA MAMÁ</v>
      </c>
      <c r="D95" s="6"/>
      <c r="E95" s="6"/>
      <c r="F95" s="6" t="str">
        <f>IFERROR(__xludf.DUMMYFUNCTION("""COMPUTED_VALUE"""),"TIA Olga Rendón")</f>
        <v>TIA Olga Rendón</v>
      </c>
      <c r="G95" s="6" t="str">
        <f>IFERROR(__xludf.DUMMYFUNCTION("""COMPUTED_VALUE"""),"PV")</f>
        <v>PV</v>
      </c>
      <c r="H95" s="6" t="str">
        <f>IFERROR(__xludf.DUMMYFUNCTION("""COMPUTED_VALUE"""),"Gómez Gómez Elisa")</f>
        <v>Gómez Gómez Elisa</v>
      </c>
      <c r="I95" s="6"/>
      <c r="J95" s="8">
        <f>IFERROR(__xludf.DUMMYFUNCTION("""COMPUTED_VALUE"""),46253.5)</f>
        <v>46253.5</v>
      </c>
      <c r="K95" s="6" t="str">
        <f>IFERROR(__xludf.DUMMYFUNCTION("""COMPUTED_VALUE"""),"kinder@gi.edu.co")</f>
        <v>kinder@gi.edu.co</v>
      </c>
      <c r="L95" s="6" t="str">
        <f>IFERROR(__xludf.DUMMYFUNCTION("""COMPUTED_VALUE"""),"1345282584")</f>
        <v>1345282584</v>
      </c>
      <c r="M95" s="9">
        <f>IFERROR(__xludf.DUMMYFUNCTION("""COMPUTED_VALUE"""),46253.47246527778)</f>
        <v>46253.47247</v>
      </c>
      <c r="N95" s="6" t="str">
        <f>IFERROR(__xludf.DUMMYFUNCTION("""COMPUTED_VALUE"""),"Pendiente")</f>
        <v>Pendiente</v>
      </c>
      <c r="O95" s="6"/>
      <c r="P95" s="10">
        <f>IFERROR(__xludf.DUMMYFUNCTION("""COMPUTED_VALUE"""),46253.47246527778)</f>
        <v>46253.47247</v>
      </c>
      <c r="Q95" s="6"/>
      <c r="R95" s="6" t="str">
        <f>IFERROR(__xludf.DUMMYFUNCTION("""COMPUTED_VALUE"""),"GI- Salida temprano con autorización de sus padres")</f>
        <v>GI- Salida temprano con autorización de sus padres</v>
      </c>
      <c r="S95" s="6" t="b">
        <f>IFERROR(__xludf.DUMMYFUNCTION("""COMPUTED_VALUE"""),FALSE)</f>
        <v>0</v>
      </c>
      <c r="T95" s="6"/>
      <c r="U95" s="6" t="str">
        <f>IFERROR(__xludf.DUMMYFUNCTION("""COMPUTED_VALUE"""),"Salida temprano")</f>
        <v>Salida temprano</v>
      </c>
      <c r="V95" s="6"/>
      <c r="W95" s="6"/>
      <c r="X95" s="6"/>
      <c r="Y95" s="6"/>
      <c r="Z95" s="6"/>
    </row>
    <row r="96">
      <c r="A96" s="6" t="str">
        <f>IFERROR(__xludf.DUMMYFUNCTION("""COMPUTED_VALUE"""),"ea497700")</f>
        <v>ea497700</v>
      </c>
      <c r="B96" s="7" t="str">
        <f>IFERROR(__xludf.DUMMYFUNCTION("""COMPUTED_VALUE"""),"1345281970")</f>
        <v>1345281970</v>
      </c>
      <c r="C96" s="6" t="str">
        <f>IFERROR(__xludf.DUMMYFUNCTION("""COMPUTED_VALUE"""),"la mamá informo que debía recogerla temprano")</f>
        <v>la mamá informo que debía recogerla temprano</v>
      </c>
      <c r="D96" s="6" t="str">
        <f>IFERROR(__xludf.DUMMYFUNCTION("""COMPUTED_VALUE"""),"Madre")</f>
        <v>Madre</v>
      </c>
      <c r="E96" s="6" t="str">
        <f>IFERROR(__xludf.DUMMYFUNCTION("""COMPUTED_VALUE"""),"Madre: Luz Nelly Duarte Saiz")</f>
        <v>Madre: Luz Nelly Duarte Saiz</v>
      </c>
      <c r="F96" s="6"/>
      <c r="G96" s="6" t="str">
        <f>IFERROR(__xludf.DUMMYFUNCTION("""COMPUTED_VALUE"""),"8")</f>
        <v>8</v>
      </c>
      <c r="H96" s="6" t="str">
        <f>IFERROR(__xludf.DUMMYFUNCTION("""COMPUTED_VALUE"""),"López Duarte Paloma")</f>
        <v>López Duarte Paloma</v>
      </c>
      <c r="I96" s="6" t="str">
        <f>IFERROR(__xludf.DUMMYFUNCTION("""COMPUTED_VALUE"""),"Demograficos_Images/1345281970.Foto_Estudiante.191645.jpg")</f>
        <v>Demograficos_Images/1345281970.Foto_Estudiante.191645.jpg</v>
      </c>
      <c r="J96" s="8">
        <f>IFERROR(__xludf.DUMMYFUNCTION("""COMPUTED_VALUE"""),46253.54513888889)</f>
        <v>46253.54514</v>
      </c>
      <c r="K96" s="6" t="str">
        <f>IFERROR(__xludf.DUMMYFUNCTION("""COMPUTED_VALUE"""),"secundaria@gi.edu.co")</f>
        <v>secundaria@gi.edu.co</v>
      </c>
      <c r="L96" s="6" t="str">
        <f>IFERROR(__xludf.DUMMYFUNCTION("""COMPUTED_VALUE"""),"1345281970")</f>
        <v>1345281970</v>
      </c>
      <c r="M96" s="9">
        <f>IFERROR(__xludf.DUMMYFUNCTION("""COMPUTED_VALUE"""),46253.46625)</f>
        <v>46253.46625</v>
      </c>
      <c r="N96" s="6" t="str">
        <f>IFERROR(__xludf.DUMMYFUNCTION("""COMPUTED_VALUE"""),"Pendiente")</f>
        <v>Pendiente</v>
      </c>
      <c r="O96" s="6"/>
      <c r="P96" s="10">
        <f>IFERROR(__xludf.DUMMYFUNCTION("""COMPUTED_VALUE"""),46253.46625)</f>
        <v>46253.46625</v>
      </c>
      <c r="Q96" s="6"/>
      <c r="R96" s="6" t="str">
        <f>IFERROR(__xludf.DUMMYFUNCTION("""COMPUTED_VALUE"""),"Secundaria")</f>
        <v>Secundaria</v>
      </c>
      <c r="S96" s="6" t="b">
        <f>IFERROR(__xludf.DUMMYFUNCTION("""COMPUTED_VALUE"""),FALSE)</f>
        <v>0</v>
      </c>
      <c r="T96" s="6"/>
      <c r="U96" s="6" t="str">
        <f>IFERROR(__xludf.DUMMYFUNCTION("""COMPUTED_VALUE"""),"Salida temprano")</f>
        <v>Salida temprano</v>
      </c>
      <c r="V96" s="6"/>
      <c r="W96" s="6"/>
      <c r="X96" s="6"/>
      <c r="Y96" s="6"/>
      <c r="Z96" s="6"/>
    </row>
    <row r="97">
      <c r="A97" s="6" t="str">
        <f>IFERROR(__xludf.DUMMYFUNCTION("""COMPUTED_VALUE"""),"b3a39fce")</f>
        <v>b3a39fce</v>
      </c>
      <c r="B97" s="7" t="str">
        <f>IFERROR(__xludf.DUMMYFUNCTION("""COMPUTED_VALUE"""),"1345282605")</f>
        <v>1345282605</v>
      </c>
      <c r="C97" s="6" t="str">
        <f>IFERROR(__xludf.DUMMYFUNCTION("""COMPUTED_VALUE"""),"Salida temprano")</f>
        <v>Salida temprano</v>
      </c>
      <c r="D97" s="6" t="str">
        <f>IFERROR(__xludf.DUMMYFUNCTION("""COMPUTED_VALUE"""),"Madre")</f>
        <v>Madre</v>
      </c>
      <c r="E97" s="6" t="str">
        <f>IFERROR(__xludf.DUMMYFUNCTION("""COMPUTED_VALUE"""),"Madre: Juanita Jaramillo Giraldo")</f>
        <v>Madre: Juanita Jaramillo Giraldo</v>
      </c>
      <c r="F97" s="6"/>
      <c r="G97" s="6" t="str">
        <f>IFERROR(__xludf.DUMMYFUNCTION("""COMPUTED_VALUE"""),"K3")</f>
        <v>K3</v>
      </c>
      <c r="H97" s="6" t="str">
        <f>IFERROR(__xludf.DUMMYFUNCTION("""COMPUTED_VALUE"""),"Barros Jaramillo Tomás")</f>
        <v>Barros Jaramillo Tomás</v>
      </c>
      <c r="I97" s="6"/>
      <c r="J97" s="8">
        <f>IFERROR(__xludf.DUMMYFUNCTION("""COMPUTED_VALUE"""),46253.52291666667)</f>
        <v>46253.52292</v>
      </c>
      <c r="K97" s="6" t="str">
        <f>IFERROR(__xludf.DUMMYFUNCTION("""COMPUTED_VALUE"""),"kinder@gi.edu.co")</f>
        <v>kinder@gi.edu.co</v>
      </c>
      <c r="L97" s="6" t="str">
        <f>IFERROR(__xludf.DUMMYFUNCTION("""COMPUTED_VALUE"""),"1345282605")</f>
        <v>1345282605</v>
      </c>
      <c r="M97" s="9">
        <f>IFERROR(__xludf.DUMMYFUNCTION("""COMPUTED_VALUE"""),46253.48048611111)</f>
        <v>46253.48049</v>
      </c>
      <c r="N97" s="6" t="str">
        <f>IFERROR(__xludf.DUMMYFUNCTION("""COMPUTED_VALUE"""),"Pendiente")</f>
        <v>Pendiente</v>
      </c>
      <c r="O97" s="6"/>
      <c r="P97" s="10">
        <f>IFERROR(__xludf.DUMMYFUNCTION("""COMPUTED_VALUE"""),46253.48048611111)</f>
        <v>46253.48049</v>
      </c>
      <c r="Q97" s="6"/>
      <c r="R97" s="6" t="str">
        <f>IFERROR(__xludf.DUMMYFUNCTION("""COMPUTED_VALUE"""),"GI- Salida temprano con autorización de sus padres")</f>
        <v>GI- Salida temprano con autorización de sus padres</v>
      </c>
      <c r="S97" s="6" t="b">
        <f>IFERROR(__xludf.DUMMYFUNCTION("""COMPUTED_VALUE"""),FALSE)</f>
        <v>0</v>
      </c>
      <c r="T97" s="6"/>
      <c r="U97" s="6" t="str">
        <f>IFERROR(__xludf.DUMMYFUNCTION("""COMPUTED_VALUE"""),"Salida temprano")</f>
        <v>Salida temprano</v>
      </c>
      <c r="V97" s="6"/>
      <c r="W97" s="6"/>
      <c r="X97" s="6"/>
      <c r="Y97" s="6"/>
      <c r="Z97" s="6"/>
    </row>
    <row r="98">
      <c r="A98" s="6" t="str">
        <f>IFERROR(__xludf.DUMMYFUNCTION("""COMPUTED_VALUE"""),"abbbc65d")</f>
        <v>abbbc65d</v>
      </c>
      <c r="B98" s="7" t="str">
        <f>IFERROR(__xludf.DUMMYFUNCTION("""COMPUTED_VALUE"""),"1345282582")</f>
        <v>1345282582</v>
      </c>
      <c r="C98" s="6" t="str">
        <f>IFERROR(__xludf.DUMMYFUNCTION("""COMPUTED_VALUE"""),"salida temprano")</f>
        <v>salida temprano</v>
      </c>
      <c r="D98" s="6" t="str">
        <f>IFERROR(__xludf.DUMMYFUNCTION("""COMPUTED_VALUE"""),"Madre")</f>
        <v>Madre</v>
      </c>
      <c r="E98" s="6" t="str">
        <f>IFERROR(__xludf.DUMMYFUNCTION("""COMPUTED_VALUE"""),"Madre: Melissa  Mora Martínez")</f>
        <v>Madre: Melissa  Mora Martínez</v>
      </c>
      <c r="F98" s="6"/>
      <c r="G98" s="6" t="str">
        <f>IFERROR(__xludf.DUMMYFUNCTION("""COMPUTED_VALUE"""),"PV")</f>
        <v>PV</v>
      </c>
      <c r="H98" s="6" t="str">
        <f>IFERROR(__xludf.DUMMYFUNCTION("""COMPUTED_VALUE"""),"Moreno Mora Cristina")</f>
        <v>Moreno Mora Cristina</v>
      </c>
      <c r="I98" s="6"/>
      <c r="J98" s="8">
        <f>IFERROR(__xludf.DUMMYFUNCTION("""COMPUTED_VALUE"""),46253.5)</f>
        <v>46253.5</v>
      </c>
      <c r="K98" s="6" t="str">
        <f>IFERROR(__xludf.DUMMYFUNCTION("""COMPUTED_VALUE"""),"kinder@gi.edu.co")</f>
        <v>kinder@gi.edu.co</v>
      </c>
      <c r="L98" s="6" t="str">
        <f>IFERROR(__xludf.DUMMYFUNCTION("""COMPUTED_VALUE"""),"1345282582")</f>
        <v>1345282582</v>
      </c>
      <c r="M98" s="9">
        <f>IFERROR(__xludf.DUMMYFUNCTION("""COMPUTED_VALUE"""),46253.48231481481)</f>
        <v>46253.48231</v>
      </c>
      <c r="N98" s="6" t="str">
        <f>IFERROR(__xludf.DUMMYFUNCTION("""COMPUTED_VALUE"""),"Pendiente")</f>
        <v>Pendiente</v>
      </c>
      <c r="O98" s="6"/>
      <c r="P98" s="10">
        <f>IFERROR(__xludf.DUMMYFUNCTION("""COMPUTED_VALUE"""),46253.48231481481)</f>
        <v>46253.48231</v>
      </c>
      <c r="Q98" s="6"/>
      <c r="R98" s="6" t="str">
        <f>IFERROR(__xludf.DUMMYFUNCTION("""COMPUTED_VALUE"""),"GI- Salida temprano con autorización de sus padres")</f>
        <v>GI- Salida temprano con autorización de sus padres</v>
      </c>
      <c r="S98" s="6" t="b">
        <f>IFERROR(__xludf.DUMMYFUNCTION("""COMPUTED_VALUE"""),FALSE)</f>
        <v>0</v>
      </c>
      <c r="T98" s="6"/>
      <c r="U98" s="6" t="str">
        <f>IFERROR(__xludf.DUMMYFUNCTION("""COMPUTED_VALUE"""),"Salida temprano")</f>
        <v>Salida temprano</v>
      </c>
      <c r="V98" s="6"/>
      <c r="W98" s="6"/>
      <c r="X98" s="6"/>
      <c r="Y98" s="6"/>
      <c r="Z98" s="6"/>
    </row>
    <row r="99">
      <c r="A99" s="6" t="str">
        <f>IFERROR(__xludf.DUMMYFUNCTION("""COMPUTED_VALUE"""),"fd040fc9")</f>
        <v>fd040fc9</v>
      </c>
      <c r="B99" s="7" t="str">
        <f>IFERROR(__xludf.DUMMYFUNCTION("""COMPUTED_VALUE"""),"1345282592")</f>
        <v>1345282592</v>
      </c>
      <c r="C99" s="6" t="str">
        <f>IFERROR(__xludf.DUMMYFUNCTION("""COMPUTED_VALUE"""),"salida temprano")</f>
        <v>salida temprano</v>
      </c>
      <c r="D99" s="6" t="str">
        <f>IFERROR(__xludf.DUMMYFUNCTION("""COMPUTED_VALUE"""),"Padre")</f>
        <v>Padre</v>
      </c>
      <c r="E99" s="6" t="str">
        <f>IFERROR(__xludf.DUMMYFUNCTION("""COMPUTED_VALUE"""),"Padre: Juan Carlos Aguilar Aguilar")</f>
        <v>Padre: Juan Carlos Aguilar Aguilar</v>
      </c>
      <c r="F99" s="6"/>
      <c r="G99" s="6" t="str">
        <f>IFERROR(__xludf.DUMMYFUNCTION("""COMPUTED_VALUE"""),"PV")</f>
        <v>PV</v>
      </c>
      <c r="H99" s="6" t="str">
        <f>IFERROR(__xludf.DUMMYFUNCTION("""COMPUTED_VALUE"""),"Aguilar Sánchez Mariana")</f>
        <v>Aguilar Sánchez Mariana</v>
      </c>
      <c r="I99" s="6"/>
      <c r="J99" s="8">
        <f>IFERROR(__xludf.DUMMYFUNCTION("""COMPUTED_VALUE"""),46253.5)</f>
        <v>46253.5</v>
      </c>
      <c r="K99" s="6" t="str">
        <f>IFERROR(__xludf.DUMMYFUNCTION("""COMPUTED_VALUE"""),"kinder@gi.edu.co")</f>
        <v>kinder@gi.edu.co</v>
      </c>
      <c r="L99" s="6" t="str">
        <f>IFERROR(__xludf.DUMMYFUNCTION("""COMPUTED_VALUE"""),"1345282592")</f>
        <v>1345282592</v>
      </c>
      <c r="M99" s="9">
        <f>IFERROR(__xludf.DUMMYFUNCTION("""COMPUTED_VALUE"""),46253.48303240741)</f>
        <v>46253.48303</v>
      </c>
      <c r="N99" s="6" t="str">
        <f>IFERROR(__xludf.DUMMYFUNCTION("""COMPUTED_VALUE"""),"Pendiente")</f>
        <v>Pendiente</v>
      </c>
      <c r="O99" s="6"/>
      <c r="P99" s="10">
        <f>IFERROR(__xludf.DUMMYFUNCTION("""COMPUTED_VALUE"""),46253.48303240741)</f>
        <v>46253.48303</v>
      </c>
      <c r="Q99" s="6"/>
      <c r="R99" s="6" t="str">
        <f>IFERROR(__xludf.DUMMYFUNCTION("""COMPUTED_VALUE"""),"GI- Salida temprano con autorización de sus padres")</f>
        <v>GI- Salida temprano con autorización de sus padres</v>
      </c>
      <c r="S99" s="6" t="b">
        <f>IFERROR(__xludf.DUMMYFUNCTION("""COMPUTED_VALUE"""),FALSE)</f>
        <v>0</v>
      </c>
      <c r="T99" s="6"/>
      <c r="U99" s="6" t="str">
        <f>IFERROR(__xludf.DUMMYFUNCTION("""COMPUTED_VALUE"""),"Salida temprano")</f>
        <v>Salida temprano</v>
      </c>
      <c r="V99" s="6"/>
      <c r="W99" s="6"/>
      <c r="X99" s="6"/>
      <c r="Y99" s="6"/>
      <c r="Z99" s="6"/>
    </row>
    <row r="100">
      <c r="A100" s="6" t="str">
        <f>IFERROR(__xludf.DUMMYFUNCTION("""COMPUTED_VALUE"""),"53d3bc33")</f>
        <v>53d3bc33</v>
      </c>
      <c r="B100" s="7" t="str">
        <f>IFERROR(__xludf.DUMMYFUNCTION("""COMPUTED_VALUE"""),"1345282588")</f>
        <v>1345282588</v>
      </c>
      <c r="C100" s="6" t="str">
        <f>IFERROR(__xludf.DUMMYFUNCTION("""COMPUTED_VALUE"""),"salida temprano")</f>
        <v>salida temprano</v>
      </c>
      <c r="D100" s="6" t="str">
        <f>IFERROR(__xludf.DUMMYFUNCTION("""COMPUTED_VALUE"""),"Madre")</f>
        <v>Madre</v>
      </c>
      <c r="E100" s="6" t="str">
        <f>IFERROR(__xludf.DUMMYFUNCTION("""COMPUTED_VALUE"""),"Madre: Laura Melissa Álvarez Rodríguez")</f>
        <v>Madre: Laura Melissa Álvarez Rodríguez</v>
      </c>
      <c r="F100" s="6"/>
      <c r="G100" s="6" t="str">
        <f>IFERROR(__xludf.DUMMYFUNCTION("""COMPUTED_VALUE"""),"PV")</f>
        <v>PV</v>
      </c>
      <c r="H100" s="6" t="str">
        <f>IFERROR(__xludf.DUMMYFUNCTION("""COMPUTED_VALUE"""),"Salcedo Álvarez Gabriel")</f>
        <v>Salcedo Álvarez Gabriel</v>
      </c>
      <c r="I100" s="6"/>
      <c r="J100" s="8">
        <f>IFERROR(__xludf.DUMMYFUNCTION("""COMPUTED_VALUE"""),46253.501388888886)</f>
        <v>46253.50139</v>
      </c>
      <c r="K100" s="6" t="str">
        <f>IFERROR(__xludf.DUMMYFUNCTION("""COMPUTED_VALUE"""),"kinder@gi.edu.co")</f>
        <v>kinder@gi.edu.co</v>
      </c>
      <c r="L100" s="6" t="str">
        <f>IFERROR(__xludf.DUMMYFUNCTION("""COMPUTED_VALUE"""),"1345282588")</f>
        <v>1345282588</v>
      </c>
      <c r="M100" s="9">
        <f>IFERROR(__xludf.DUMMYFUNCTION("""COMPUTED_VALUE"""),46253.48596064815)</f>
        <v>46253.48596</v>
      </c>
      <c r="N100" s="6" t="str">
        <f>IFERROR(__xludf.DUMMYFUNCTION("""COMPUTED_VALUE"""),"Pendiente")</f>
        <v>Pendiente</v>
      </c>
      <c r="O100" s="6"/>
      <c r="P100" s="10">
        <f>IFERROR(__xludf.DUMMYFUNCTION("""COMPUTED_VALUE"""),46253.48596064815)</f>
        <v>46253.48596</v>
      </c>
      <c r="Q100" s="6"/>
      <c r="R100" s="6" t="str">
        <f>IFERROR(__xludf.DUMMYFUNCTION("""COMPUTED_VALUE"""),"GI- Salida temprano con autorización de sus padres")</f>
        <v>GI- Salida temprano con autorización de sus padres</v>
      </c>
      <c r="S100" s="6" t="b">
        <f>IFERROR(__xludf.DUMMYFUNCTION("""COMPUTED_VALUE"""),FALSE)</f>
        <v>0</v>
      </c>
      <c r="T100" s="6"/>
      <c r="U100" s="6" t="str">
        <f>IFERROR(__xludf.DUMMYFUNCTION("""COMPUTED_VALUE"""),"Salida temprano")</f>
        <v>Salida temprano</v>
      </c>
      <c r="V100" s="6"/>
      <c r="W100" s="6"/>
      <c r="X100" s="6"/>
      <c r="Y100" s="6"/>
      <c r="Z100" s="6"/>
    </row>
    <row r="101">
      <c r="A101" s="6" t="str">
        <f>IFERROR(__xludf.DUMMYFUNCTION("""COMPUTED_VALUE"""),"0f556c85")</f>
        <v>0f556c85</v>
      </c>
      <c r="B101" s="7" t="str">
        <f>IFERROR(__xludf.DUMMYFUNCTION("""COMPUTED_VALUE"""),"1345282386")</f>
        <v>1345282386</v>
      </c>
      <c r="C101" s="6" t="str">
        <f>IFERROR(__xludf.DUMMYFUNCTION("""COMPUTED_VALUE"""),"salida temprano")</f>
        <v>salida temprano</v>
      </c>
      <c r="D101" s="6" t="str">
        <f>IFERROR(__xludf.DUMMYFUNCTION("""COMPUTED_VALUE"""),"Madre")</f>
        <v>Madre</v>
      </c>
      <c r="E101" s="6" t="str">
        <f>IFERROR(__xludf.DUMMYFUNCTION("""COMPUTED_VALUE"""),"Madre: Juanita  Jaramillo Giraldo")</f>
        <v>Madre: Juanita  Jaramillo Giraldo</v>
      </c>
      <c r="F101" s="6"/>
      <c r="G101" s="6" t="str">
        <f>IFERROR(__xludf.DUMMYFUNCTION("""COMPUTED_VALUE"""),"1")</f>
        <v>1</v>
      </c>
      <c r="H101" s="6" t="str">
        <f>IFERROR(__xludf.DUMMYFUNCTION("""COMPUTED_VALUE"""),"Barros Jaramillo Martín")</f>
        <v>Barros Jaramillo Martín</v>
      </c>
      <c r="I101" s="6" t="str">
        <f>IFERROR(__xludf.DUMMYFUNCTION("""COMPUTED_VALUE"""),"Demograficos_Images/1345282386.Foto_Estudiante.202758.jpg")</f>
        <v>Demograficos_Images/1345282386.Foto_Estudiante.202758.jpg</v>
      </c>
      <c r="J101" s="8">
        <f>IFERROR(__xludf.DUMMYFUNCTION("""COMPUTED_VALUE"""),46253.520833333336)</f>
        <v>46253.52083</v>
      </c>
      <c r="K101" s="6" t="str">
        <f>IFERROR(__xludf.DUMMYFUNCTION("""COMPUTED_VALUE"""),"primaria@gi.edu.co")</f>
        <v>primaria@gi.edu.co</v>
      </c>
      <c r="L101" s="6" t="str">
        <f>IFERROR(__xludf.DUMMYFUNCTION("""COMPUTED_VALUE"""),"1345282386")</f>
        <v>1345282386</v>
      </c>
      <c r="M101" s="9">
        <f>IFERROR(__xludf.DUMMYFUNCTION("""COMPUTED_VALUE"""),46253.494525462964)</f>
        <v>46253.49453</v>
      </c>
      <c r="N101" s="6" t="str">
        <f>IFERROR(__xludf.DUMMYFUNCTION("""COMPUTED_VALUE"""),"Pendiente")</f>
        <v>Pendiente</v>
      </c>
      <c r="O101" s="6"/>
      <c r="P101" s="10">
        <f>IFERROR(__xludf.DUMMYFUNCTION("""COMPUTED_VALUE"""),46253.494525462964)</f>
        <v>46253.49453</v>
      </c>
      <c r="Q101" s="6"/>
      <c r="R101" s="6" t="str">
        <f>IFERROR(__xludf.DUMMYFUNCTION("""COMPUTED_VALUE"""),"Familiar (celebraciones, encuentros, despedidas, eucaristias)")</f>
        <v>Familiar (celebraciones, encuentros, despedidas, eucaristias)</v>
      </c>
      <c r="S101" s="6" t="b">
        <f>IFERROR(__xludf.DUMMYFUNCTION("""COMPUTED_VALUE"""),FALSE)</f>
        <v>0</v>
      </c>
      <c r="T101" s="6"/>
      <c r="U101" s="6" t="str">
        <f>IFERROR(__xludf.DUMMYFUNCTION("""COMPUTED_VALUE"""),"Salida temprano")</f>
        <v>Salida temprano</v>
      </c>
      <c r="V101" s="6"/>
      <c r="W101" s="6"/>
      <c r="X101" s="6"/>
      <c r="Y101" s="6"/>
      <c r="Z101" s="6"/>
    </row>
    <row r="102">
      <c r="A102" s="6" t="str">
        <f>IFERROR(__xludf.DUMMYFUNCTION("""COMPUTED_VALUE"""),"cdd574f9")</f>
        <v>cdd574f9</v>
      </c>
      <c r="B102" s="7" t="str">
        <f>IFERROR(__xludf.DUMMYFUNCTION("""COMPUTED_VALUE"""),"1345281618")</f>
        <v>1345281618</v>
      </c>
      <c r="C102" s="6" t="str">
        <f>IFERROR(__xludf.DUMMYFUNCTION("""COMPUTED_VALUE"""),"No utilizará transporte")</f>
        <v>No utilizará transporte</v>
      </c>
      <c r="D102" s="6" t="str">
        <f>IFERROR(__xludf.DUMMYFUNCTION("""COMPUTED_VALUE"""),"Madre")</f>
        <v>Madre</v>
      </c>
      <c r="E102" s="6" t="str">
        <f>IFERROR(__xludf.DUMMYFUNCTION("""COMPUTED_VALUE"""),"Madre: Marysol  Velilla Martínez")</f>
        <v>Madre: Marysol  Velilla Martínez</v>
      </c>
      <c r="F102" s="6"/>
      <c r="G102" s="6" t="str">
        <f>IFERROR(__xludf.DUMMYFUNCTION("""COMPUTED_VALUE"""),"10")</f>
        <v>10</v>
      </c>
      <c r="H102" s="6" t="str">
        <f>IFERROR(__xludf.DUMMYFUNCTION("""COMPUTED_VALUE"""),"Jaramillo Velilla Antonia")</f>
        <v>Jaramillo Velilla Antonia</v>
      </c>
      <c r="I102" s="6" t="str">
        <f>IFERROR(__xludf.DUMMYFUNCTION("""COMPUTED_VALUE"""),"Demograficos_Images/1345281618.Foto_Estudiante.184129.jpg")</f>
        <v>Demograficos_Images/1345281618.Foto_Estudiante.184129.jpg</v>
      </c>
      <c r="J102" s="8">
        <f>IFERROR(__xludf.DUMMYFUNCTION("""COMPUTED_VALUE"""),46253.631944444445)</f>
        <v>46253.63194</v>
      </c>
      <c r="K102" s="6" t="str">
        <f>IFERROR(__xludf.DUMMYFUNCTION("""COMPUTED_VALUE"""),"secundaria@gi.edu.co")</f>
        <v>secundaria@gi.edu.co</v>
      </c>
      <c r="L102" s="6" t="str">
        <f>IFERROR(__xludf.DUMMYFUNCTION("""COMPUTED_VALUE"""),"1345281618")</f>
        <v>1345281618</v>
      </c>
      <c r="M102" s="9">
        <f>IFERROR(__xludf.DUMMYFUNCTION("""COMPUTED_VALUE"""),46253.50540509259)</f>
        <v>46253.50541</v>
      </c>
      <c r="N102" s="6" t="str">
        <f>IFERROR(__xludf.DUMMYFUNCTION("""COMPUTED_VALUE"""),"Pendiente")</f>
        <v>Pendiente</v>
      </c>
      <c r="O102" s="6"/>
      <c r="P102" s="10">
        <f>IFERROR(__xludf.DUMMYFUNCTION("""COMPUTED_VALUE"""),46253.50540509259)</f>
        <v>46253.50541</v>
      </c>
      <c r="Q102" s="6"/>
      <c r="R102" s="6" t="str">
        <f>IFERROR(__xludf.DUMMYFUNCTION("""COMPUTED_VALUE"""),"Secundaria")</f>
        <v>Secundaria</v>
      </c>
      <c r="S102" s="6" t="b">
        <f>IFERROR(__xludf.DUMMYFUNCTION("""COMPUTED_VALUE"""),FALSE)</f>
        <v>0</v>
      </c>
      <c r="T102" s="6"/>
      <c r="U102" s="6"/>
      <c r="V102" s="6"/>
      <c r="W102" s="6"/>
      <c r="X102" s="6"/>
      <c r="Y102" s="6"/>
      <c r="Z102" s="6"/>
    </row>
    <row r="103">
      <c r="A103" s="6" t="str">
        <f>IFERROR(__xludf.DUMMYFUNCTION("""COMPUTED_VALUE"""),"889c9186")</f>
        <v>889c9186</v>
      </c>
      <c r="B103" s="7" t="str">
        <f>IFERROR(__xludf.DUMMYFUNCTION("""COMPUTED_VALUE"""),"1345281949")</f>
        <v>1345281949</v>
      </c>
      <c r="C103" s="6" t="str">
        <f>IFERROR(__xludf.DUMMYFUNCTION("""COMPUTED_VALUE"""),"No se quedará en extras porque tiene gastritis, la mamá viene por ella")</f>
        <v>No se quedará en extras porque tiene gastritis, la mamá viene por ella</v>
      </c>
      <c r="D103" s="6" t="str">
        <f>IFERROR(__xludf.DUMMYFUNCTION("""COMPUTED_VALUE"""),"Madre")</f>
        <v>Madre</v>
      </c>
      <c r="E103" s="6" t="str">
        <f>IFERROR(__xludf.DUMMYFUNCTION("""COMPUTED_VALUE"""),"Madre: Esmeralda  Álvarez Castro")</f>
        <v>Madre: Esmeralda  Álvarez Castro</v>
      </c>
      <c r="F103" s="6"/>
      <c r="G103" s="6" t="str">
        <f>IFERROR(__xludf.DUMMYFUNCTION("""COMPUTED_VALUE"""),"10")</f>
        <v>10</v>
      </c>
      <c r="H103" s="6" t="str">
        <f>IFERROR(__xludf.DUMMYFUNCTION("""COMPUTED_VALUE"""),"González Álvarez Salomé")</f>
        <v>González Álvarez Salomé</v>
      </c>
      <c r="I103" s="6" t="str">
        <f>IFERROR(__xludf.DUMMYFUNCTION("""COMPUTED_VALUE"""),"Demograficos_Images/1345281949.Foto_Estudiante.184147.jpg")</f>
        <v>Demograficos_Images/1345281949.Foto_Estudiante.184147.jpg</v>
      </c>
      <c r="J103" s="8">
        <f>IFERROR(__xludf.DUMMYFUNCTION("""COMPUTED_VALUE"""),46253.631944444445)</f>
        <v>46253.63194</v>
      </c>
      <c r="K103" s="6" t="str">
        <f>IFERROR(__xludf.DUMMYFUNCTION("""COMPUTED_VALUE"""),"secundaria@gi.edu.co")</f>
        <v>secundaria@gi.edu.co</v>
      </c>
      <c r="L103" s="6" t="str">
        <f>IFERROR(__xludf.DUMMYFUNCTION("""COMPUTED_VALUE"""),"1345281949")</f>
        <v>1345281949</v>
      </c>
      <c r="M103" s="9">
        <f>IFERROR(__xludf.DUMMYFUNCTION("""COMPUTED_VALUE"""),46253.51525462963)</f>
        <v>46253.51525</v>
      </c>
      <c r="N103" s="6" t="str">
        <f>IFERROR(__xludf.DUMMYFUNCTION("""COMPUTED_VALUE"""),"Pendiente")</f>
        <v>Pendiente</v>
      </c>
      <c r="O103" s="6"/>
      <c r="P103" s="10">
        <f>IFERROR(__xludf.DUMMYFUNCTION("""COMPUTED_VALUE"""),46253.51525462963)</f>
        <v>46253.51525</v>
      </c>
      <c r="Q103" s="6"/>
      <c r="R103" s="6" t="str">
        <f>IFERROR(__xludf.DUMMYFUNCTION("""COMPUTED_VALUE"""),"Enfermo por problemas digestivos")</f>
        <v>Enfermo por problemas digestivos</v>
      </c>
      <c r="S103" s="6" t="b">
        <f>IFERROR(__xludf.DUMMYFUNCTION("""COMPUTED_VALUE"""),FALSE)</f>
        <v>0</v>
      </c>
      <c r="T103" s="6"/>
      <c r="U103" s="6"/>
      <c r="V103" s="6"/>
      <c r="W103" s="6"/>
      <c r="X103" s="6"/>
      <c r="Y103" s="6"/>
      <c r="Z103" s="6"/>
    </row>
    <row r="104">
      <c r="A104" s="6" t="str">
        <f>IFERROR(__xludf.DUMMYFUNCTION("""COMPUTED_VALUE"""),"fb4ea095")</f>
        <v>fb4ea095</v>
      </c>
      <c r="B104" s="7" t="str">
        <f>IFERROR(__xludf.DUMMYFUNCTION("""COMPUTED_VALUE"""),"1345282072")</f>
        <v>1345282072</v>
      </c>
      <c r="C104" s="6" t="str">
        <f>IFERROR(__xludf.DUMMYFUNCTION("""COMPUTED_VALUE"""),"Sale caminando con sus hermanos Simón y Antonia Zuluaga (la mamá ya envió el formato de autorización)")</f>
        <v>Sale caminando con sus hermanos Simón y Antonia Zuluaga (la mamá ya envió el formato de autorización)</v>
      </c>
      <c r="D104" s="6"/>
      <c r="E104" s="6"/>
      <c r="F104" s="6"/>
      <c r="G104" s="6" t="str">
        <f>IFERROR(__xludf.DUMMYFUNCTION("""COMPUTED_VALUE"""),"12")</f>
        <v>12</v>
      </c>
      <c r="H104" s="6" t="str">
        <f>IFERROR(__xludf.DUMMYFUNCTION("""COMPUTED_VALUE"""),"Zuluaga López Yara")</f>
        <v>Zuluaga López Yara</v>
      </c>
      <c r="I104" s="6" t="str">
        <f>IFERROR(__xludf.DUMMYFUNCTION("""COMPUTED_VALUE"""),"Demograficos_Images/1345282072.Foto_Estudiante.164142.jpg")</f>
        <v>Demograficos_Images/1345282072.Foto_Estudiante.164142.jpg</v>
      </c>
      <c r="J104" s="8">
        <f>IFERROR(__xludf.DUMMYFUNCTION("""COMPUTED_VALUE"""),46253.631944444445)</f>
        <v>46253.63194</v>
      </c>
      <c r="K104" s="6" t="str">
        <f>IFERROR(__xludf.DUMMYFUNCTION("""COMPUTED_VALUE"""),"secundaria@gi.edu.co")</f>
        <v>secundaria@gi.edu.co</v>
      </c>
      <c r="L104" s="6" t="str">
        <f>IFERROR(__xludf.DUMMYFUNCTION("""COMPUTED_VALUE"""),"1345282072")</f>
        <v>1345282072</v>
      </c>
      <c r="M104" s="9">
        <f>IFERROR(__xludf.DUMMYFUNCTION("""COMPUTED_VALUE"""),46253.516747685186)</f>
        <v>46253.51675</v>
      </c>
      <c r="N104" s="6" t="str">
        <f>IFERROR(__xludf.DUMMYFUNCTION("""COMPUTED_VALUE"""),"Pendiente")</f>
        <v>Pendiente</v>
      </c>
      <c r="O104" s="6"/>
      <c r="P104" s="10">
        <f>IFERROR(__xludf.DUMMYFUNCTION("""COMPUTED_VALUE"""),46253.516747685186)</f>
        <v>46253.51675</v>
      </c>
      <c r="Q104" s="6"/>
      <c r="R104" s="6" t="str">
        <f>IFERROR(__xludf.DUMMYFUNCTION("""COMPUTED_VALUE"""),"Secundaria")</f>
        <v>Secundaria</v>
      </c>
      <c r="S104" s="6" t="b">
        <f>IFERROR(__xludf.DUMMYFUNCTION("""COMPUTED_VALUE"""),FALSE)</f>
        <v>0</v>
      </c>
      <c r="T104" s="6"/>
      <c r="U104" s="6"/>
      <c r="V104" s="6"/>
      <c r="W104" s="6"/>
      <c r="X104" s="6"/>
      <c r="Y104" s="6"/>
      <c r="Z104" s="6"/>
    </row>
    <row r="105">
      <c r="A105" s="6" t="str">
        <f>IFERROR(__xludf.DUMMYFUNCTION("""COMPUTED_VALUE"""),"8931dc7b")</f>
        <v>8931dc7b</v>
      </c>
      <c r="B105" s="7" t="str">
        <f>IFERROR(__xludf.DUMMYFUNCTION("""COMPUTED_VALUE"""),"1345281341")</f>
        <v>1345281341</v>
      </c>
      <c r="C105" s="6" t="str">
        <f>IFERROR(__xludf.DUMMYFUNCTION("""COMPUTED_VALUE"""),"sale en carro la mamá envio correo")</f>
        <v>sale en carro la mamá envio correo</v>
      </c>
      <c r="D105" s="6"/>
      <c r="E105" s="6"/>
      <c r="F105" s="6"/>
      <c r="G105" s="6" t="str">
        <f>IFERROR(__xludf.DUMMYFUNCTION("""COMPUTED_VALUE"""),"11")</f>
        <v>11</v>
      </c>
      <c r="H105" s="6" t="str">
        <f>IFERROR(__xludf.DUMMYFUNCTION("""COMPUTED_VALUE"""),"Rodríguez Restrepo Santiago")</f>
        <v>Rodríguez Restrepo Santiago</v>
      </c>
      <c r="I105" s="6"/>
      <c r="J105" s="8">
        <f>IFERROR(__xludf.DUMMYFUNCTION("""COMPUTED_VALUE"""),46253.541666666664)</f>
        <v>46253.54167</v>
      </c>
      <c r="K105" s="6" t="str">
        <f>IFERROR(__xludf.DUMMYFUNCTION("""COMPUTED_VALUE"""),"secundaria@gi.edu.co")</f>
        <v>secundaria@gi.edu.co</v>
      </c>
      <c r="L105" s="6" t="str">
        <f>IFERROR(__xludf.DUMMYFUNCTION("""COMPUTED_VALUE"""),"1345281341")</f>
        <v>1345281341</v>
      </c>
      <c r="M105" s="9">
        <f>IFERROR(__xludf.DUMMYFUNCTION("""COMPUTED_VALUE"""),46253.52842592593)</f>
        <v>46253.52843</v>
      </c>
      <c r="N105" s="6" t="str">
        <f>IFERROR(__xludf.DUMMYFUNCTION("""COMPUTED_VALUE"""),"Pendiente")</f>
        <v>Pendiente</v>
      </c>
      <c r="O105" s="6"/>
      <c r="P105" s="10">
        <f>IFERROR(__xludf.DUMMYFUNCTION("""COMPUTED_VALUE"""),46253.52842592593)</f>
        <v>46253.52843</v>
      </c>
      <c r="Q105" s="6"/>
      <c r="R105" s="6" t="str">
        <f>IFERROR(__xludf.DUMMYFUNCTION("""COMPUTED_VALUE"""),"Secundaria")</f>
        <v>Secundaria</v>
      </c>
      <c r="S105" s="6" t="b">
        <f>IFERROR(__xludf.DUMMYFUNCTION("""COMPUTED_VALUE"""),FALSE)</f>
        <v>0</v>
      </c>
      <c r="T105" s="6"/>
      <c r="U105" s="6"/>
      <c r="V105" s="6"/>
      <c r="W105" s="6"/>
      <c r="X105" s="6"/>
      <c r="Y105" s="6"/>
      <c r="Z105" s="6"/>
    </row>
    <row r="106">
      <c r="A106" s="6" t="str">
        <f>IFERROR(__xludf.DUMMYFUNCTION("""COMPUTED_VALUE"""),"b7b8d704")</f>
        <v>b7b8d704</v>
      </c>
      <c r="B106" s="7" t="str">
        <f>IFERROR(__xludf.DUMMYFUNCTION("""COMPUTED_VALUE"""),"1345281428")</f>
        <v>1345281428</v>
      </c>
      <c r="C106" s="6" t="str">
        <f>IFERROR(__xludf.DUMMYFUNCTION("""COMPUTED_VALUE"""),"La mamá autoriza a través de correo la salida con José Pablo Florez en su vehículo")</f>
        <v>La mamá autoriza a través de correo la salida con José Pablo Florez en su vehículo</v>
      </c>
      <c r="D106" s="6"/>
      <c r="E106" s="6"/>
      <c r="F106" s="6"/>
      <c r="G106" s="6" t="str">
        <f>IFERROR(__xludf.DUMMYFUNCTION("""COMPUTED_VALUE"""),"10")</f>
        <v>10</v>
      </c>
      <c r="H106" s="6" t="str">
        <f>IFERROR(__xludf.DUMMYFUNCTION("""COMPUTED_VALUE"""),"Tamayo Arias Julio César")</f>
        <v>Tamayo Arias Julio César</v>
      </c>
      <c r="I106" s="6" t="str">
        <f>IFERROR(__xludf.DUMMYFUNCTION("""COMPUTED_VALUE"""),"Demograficos_Images/1345281428.Foto_Estudiante.183715.jpg")</f>
        <v>Demograficos_Images/1345281428.Foto_Estudiante.183715.jpg</v>
      </c>
      <c r="J106" s="8">
        <f>IFERROR(__xludf.DUMMYFUNCTION("""COMPUTED_VALUE"""),46253.631944444445)</f>
        <v>46253.63194</v>
      </c>
      <c r="K106" s="6" t="str">
        <f>IFERROR(__xludf.DUMMYFUNCTION("""COMPUTED_VALUE"""),"secundaria@gi.edu.co")</f>
        <v>secundaria@gi.edu.co</v>
      </c>
      <c r="L106" s="6" t="str">
        <f>IFERROR(__xludf.DUMMYFUNCTION("""COMPUTED_VALUE"""),"1345281428")</f>
        <v>1345281428</v>
      </c>
      <c r="M106" s="9">
        <f>IFERROR(__xludf.DUMMYFUNCTION("""COMPUTED_VALUE"""),46253.53523148148)</f>
        <v>46253.53523</v>
      </c>
      <c r="N106" s="6" t="str">
        <f>IFERROR(__xludf.DUMMYFUNCTION("""COMPUTED_VALUE"""),"Pendiente")</f>
        <v>Pendiente</v>
      </c>
      <c r="O106" s="6"/>
      <c r="P106" s="10">
        <f>IFERROR(__xludf.DUMMYFUNCTION("""COMPUTED_VALUE"""),46253.53523148148)</f>
        <v>46253.53523</v>
      </c>
      <c r="Q106" s="6"/>
      <c r="R106" s="6" t="str">
        <f>IFERROR(__xludf.DUMMYFUNCTION("""COMPUTED_VALUE"""),"Secundaria")</f>
        <v>Secundaria</v>
      </c>
      <c r="S106" s="6" t="b">
        <f>IFERROR(__xludf.DUMMYFUNCTION("""COMPUTED_VALUE"""),FALSE)</f>
        <v>0</v>
      </c>
      <c r="T106" s="6"/>
      <c r="U106" s="6"/>
      <c r="V106" s="6"/>
      <c r="W106" s="6"/>
      <c r="X106" s="6"/>
      <c r="Y106" s="6"/>
      <c r="Z106" s="6"/>
    </row>
    <row r="107">
      <c r="A107" s="6" t="str">
        <f>IFERROR(__xludf.DUMMYFUNCTION("""COMPUTED_VALUE"""),"51ff2cce")</f>
        <v>51ff2cce</v>
      </c>
      <c r="B107" s="7" t="str">
        <f>IFERROR(__xludf.DUMMYFUNCTION("""COMPUTED_VALUE"""),"1345282490")</f>
        <v>1345282490</v>
      </c>
      <c r="C107" s="6" t="str">
        <f>IFERROR(__xludf.DUMMYFUNCTION("""COMPUTED_VALUE"""),"Salida temprano")</f>
        <v>Salida temprano</v>
      </c>
      <c r="D107" s="6" t="str">
        <f>IFERROR(__xludf.DUMMYFUNCTION("""COMPUTED_VALUE"""),"Padre")</f>
        <v>Padre</v>
      </c>
      <c r="E107" s="6" t="str">
        <f>IFERROR(__xludf.DUMMYFUNCTION("""COMPUTED_VALUE"""),"Padre: Ricardo  Cardona López")</f>
        <v>Padre: Ricardo  Cardona López</v>
      </c>
      <c r="F107" s="6"/>
      <c r="G107" s="6" t="str">
        <f>IFERROR(__xludf.DUMMYFUNCTION("""COMPUTED_VALUE"""),"K3")</f>
        <v>K3</v>
      </c>
      <c r="H107" s="6" t="str">
        <f>IFERROR(__xludf.DUMMYFUNCTION("""COMPUTED_VALUE"""),"Cardona López Matías")</f>
        <v>Cardona López Matías</v>
      </c>
      <c r="I107" s="6" t="str">
        <f>IFERROR(__xludf.DUMMYFUNCTION("""COMPUTED_VALUE"""),"Demograficos_Images/1345282490.Foto_Estudiante.182155.jpg")</f>
        <v>Demograficos_Images/1345282490.Foto_Estudiante.182155.jpg</v>
      </c>
      <c r="J107" s="8">
        <f>IFERROR(__xludf.DUMMYFUNCTION("""COMPUTED_VALUE"""),46253.555555555555)</f>
        <v>46253.55556</v>
      </c>
      <c r="K107" s="6" t="str">
        <f>IFERROR(__xludf.DUMMYFUNCTION("""COMPUTED_VALUE"""),"kinder@gi.edu.co")</f>
        <v>kinder@gi.edu.co</v>
      </c>
      <c r="L107" s="6" t="str">
        <f>IFERROR(__xludf.DUMMYFUNCTION("""COMPUTED_VALUE"""),"1345282490")</f>
        <v>1345282490</v>
      </c>
      <c r="M107" s="9">
        <f>IFERROR(__xludf.DUMMYFUNCTION("""COMPUTED_VALUE"""),46253.54053240741)</f>
        <v>46253.54053</v>
      </c>
      <c r="N107" s="6" t="str">
        <f>IFERROR(__xludf.DUMMYFUNCTION("""COMPUTED_VALUE"""),"Pendiente")</f>
        <v>Pendiente</v>
      </c>
      <c r="O107" s="6"/>
      <c r="P107" s="10">
        <f>IFERROR(__xludf.DUMMYFUNCTION("""COMPUTED_VALUE"""),46253.54053240741)</f>
        <v>46253.54053</v>
      </c>
      <c r="Q107" s="6"/>
      <c r="R107" s="6" t="str">
        <f>IFERROR(__xludf.DUMMYFUNCTION("""COMPUTED_VALUE"""),"GI- Salida temprano con autorización de sus padres")</f>
        <v>GI- Salida temprano con autorización de sus padres</v>
      </c>
      <c r="S107" s="6" t="b">
        <f>IFERROR(__xludf.DUMMYFUNCTION("""COMPUTED_VALUE"""),FALSE)</f>
        <v>0</v>
      </c>
      <c r="T107" s="6"/>
      <c r="U107" s="6" t="str">
        <f>IFERROR(__xludf.DUMMYFUNCTION("""COMPUTED_VALUE"""),"Salida temprano")</f>
        <v>Salida temprano</v>
      </c>
      <c r="V107" s="6"/>
      <c r="W107" s="6"/>
      <c r="X107" s="6"/>
      <c r="Y107" s="6"/>
      <c r="Z107" s="6"/>
    </row>
    <row r="108">
      <c r="A108" s="6" t="str">
        <f>IFERROR(__xludf.DUMMYFUNCTION("""COMPUTED_VALUE"""),"d6da91f1")</f>
        <v>d6da91f1</v>
      </c>
      <c r="B108" s="7" t="str">
        <f>IFERROR(__xludf.DUMMYFUNCTION("""COMPUTED_VALUE"""),"1345281939")</f>
        <v>1345281939</v>
      </c>
      <c r="C108" s="6" t="str">
        <f>IFERROR(__xludf.DUMMYFUNCTION("""COMPUTED_VALUE"""),"se queda en extras de voleibol y luego sale con Milena la mamá de  Lyan Victoria")</f>
        <v>se queda en extras de voleibol y luego sale con Milena la mamá de  Lyan Victoria</v>
      </c>
      <c r="D108" s="6"/>
      <c r="E108" s="6"/>
      <c r="F108" s="6" t="str">
        <f>IFERROR(__xludf.DUMMYFUNCTION("""COMPUTED_VALUE"""),"sale con Milena la mamá de Lyan Victoria")</f>
        <v>sale con Milena la mamá de Lyan Victoria</v>
      </c>
      <c r="G108" s="6" t="str">
        <f>IFERROR(__xludf.DUMMYFUNCTION("""COMPUTED_VALUE"""),"7")</f>
        <v>7</v>
      </c>
      <c r="H108" s="6" t="str">
        <f>IFERROR(__xludf.DUMMYFUNCTION("""COMPUTED_VALUE"""),"Álvarez Castrillón Mary Anthonella")</f>
        <v>Álvarez Castrillón Mary Anthonella</v>
      </c>
      <c r="I108" s="6" t="str">
        <f>IFERROR(__xludf.DUMMYFUNCTION("""COMPUTED_VALUE"""),"Demograficos_Images/1345281939.Foto_Estudiante.190246.jpg")</f>
        <v>Demograficos_Images/1345281939.Foto_Estudiante.190246.jpg</v>
      </c>
      <c r="J108" s="8">
        <f>IFERROR(__xludf.DUMMYFUNCTION("""COMPUTED_VALUE"""),46253.71875)</f>
        <v>46253.71875</v>
      </c>
      <c r="K108" s="6" t="str">
        <f>IFERROR(__xludf.DUMMYFUNCTION("""COMPUTED_VALUE"""),"secundaria@gi.edu.co")</f>
        <v>secundaria@gi.edu.co</v>
      </c>
      <c r="L108" s="6" t="str">
        <f>IFERROR(__xludf.DUMMYFUNCTION("""COMPUTED_VALUE"""),"1345281939")</f>
        <v>1345281939</v>
      </c>
      <c r="M108" s="9">
        <f>IFERROR(__xludf.DUMMYFUNCTION("""COMPUTED_VALUE"""),46253.54207175926)</f>
        <v>46253.54207</v>
      </c>
      <c r="N108" s="6" t="str">
        <f>IFERROR(__xludf.DUMMYFUNCTION("""COMPUTED_VALUE"""),"Pendiente")</f>
        <v>Pendiente</v>
      </c>
      <c r="O108" s="6"/>
      <c r="P108" s="10">
        <f>IFERROR(__xludf.DUMMYFUNCTION("""COMPUTED_VALUE"""),46253.54207175926)</f>
        <v>46253.54207</v>
      </c>
      <c r="Q108" s="6"/>
      <c r="R108" s="6" t="str">
        <f>IFERROR(__xludf.DUMMYFUNCTION("""COMPUTED_VALUE"""),"Secundaria")</f>
        <v>Secundaria</v>
      </c>
      <c r="S108" s="6" t="b">
        <f>IFERROR(__xludf.DUMMYFUNCTION("""COMPUTED_VALUE"""),FALSE)</f>
        <v>0</v>
      </c>
      <c r="T108" s="6"/>
      <c r="U108" s="6"/>
      <c r="V108" s="6"/>
      <c r="W108" s="6"/>
      <c r="X108" s="6"/>
      <c r="Y108" s="6"/>
      <c r="Z108" s="6"/>
    </row>
    <row r="109">
      <c r="A109" s="6" t="str">
        <f>IFERROR(__xludf.DUMMYFUNCTION("""COMPUTED_VALUE"""),"03ca51bd")</f>
        <v>03ca51bd</v>
      </c>
      <c r="B109" s="7" t="str">
        <f>IFERROR(__xludf.DUMMYFUNCTION("""COMPUTED_VALUE"""),"1345281604")</f>
        <v>1345281604</v>
      </c>
      <c r="C109" s="6" t="str">
        <f>IFERROR(__xludf.DUMMYFUNCTION("""COMPUTED_VALUE"""),"sale con Samuel meza la mamá envio correo")</f>
        <v>sale con Samuel meza la mamá envio correo</v>
      </c>
      <c r="D109" s="6"/>
      <c r="E109" s="6"/>
      <c r="F109" s="6"/>
      <c r="G109" s="6" t="str">
        <f>IFERROR(__xludf.DUMMYFUNCTION("""COMPUTED_VALUE"""),"10")</f>
        <v>10</v>
      </c>
      <c r="H109" s="6" t="str">
        <f>IFERROR(__xludf.DUMMYFUNCTION("""COMPUTED_VALUE"""),"Gil Botero Nicolás")</f>
        <v>Gil Botero Nicolás</v>
      </c>
      <c r="I109" s="6" t="str">
        <f>IFERROR(__xludf.DUMMYFUNCTION("""COMPUTED_VALUE"""),"Demograficos_Images/1345281604.Foto_Estudiante.184224.jpg")</f>
        <v>Demograficos_Images/1345281604.Foto_Estudiante.184224.jpg</v>
      </c>
      <c r="J109" s="8">
        <f>IFERROR(__xludf.DUMMYFUNCTION("""COMPUTED_VALUE"""),46253.631944444445)</f>
        <v>46253.63194</v>
      </c>
      <c r="K109" s="6" t="str">
        <f>IFERROR(__xludf.DUMMYFUNCTION("""COMPUTED_VALUE"""),"secundaria@gi.edu.co")</f>
        <v>secundaria@gi.edu.co</v>
      </c>
      <c r="L109" s="6" t="str">
        <f>IFERROR(__xludf.DUMMYFUNCTION("""COMPUTED_VALUE"""),"1345281604")</f>
        <v>1345281604</v>
      </c>
      <c r="M109" s="9">
        <f>IFERROR(__xludf.DUMMYFUNCTION("""COMPUTED_VALUE"""),46253.62724537037)</f>
        <v>46253.62725</v>
      </c>
      <c r="N109" s="6" t="str">
        <f>IFERROR(__xludf.DUMMYFUNCTION("""COMPUTED_VALUE"""),"Pendiente")</f>
        <v>Pendiente</v>
      </c>
      <c r="O109" s="6"/>
      <c r="P109" s="10">
        <f>IFERROR(__xludf.DUMMYFUNCTION("""COMPUTED_VALUE"""),46253.62724537037)</f>
        <v>46253.62725</v>
      </c>
      <c r="Q109" s="6"/>
      <c r="R109" s="6" t="str">
        <f>IFERROR(__xludf.DUMMYFUNCTION("""COMPUTED_VALUE"""),"Secundaria")</f>
        <v>Secundaria</v>
      </c>
      <c r="S109" s="6" t="b">
        <f>IFERROR(__xludf.DUMMYFUNCTION("""COMPUTED_VALUE"""),FALSE)</f>
        <v>0</v>
      </c>
      <c r="T109" s="6"/>
      <c r="U109" s="6"/>
      <c r="V109" s="6"/>
      <c r="W109" s="6"/>
      <c r="X109" s="6"/>
      <c r="Y109" s="6"/>
      <c r="Z109" s="6"/>
    </row>
    <row r="110">
      <c r="A110" s="6" t="str">
        <f>IFERROR(__xludf.DUMMYFUNCTION("""COMPUTED_VALUE"""),"1a754f29")</f>
        <v>1a754f29</v>
      </c>
      <c r="B110" s="7" t="str">
        <f>IFERROR(__xludf.DUMMYFUNCTION("""COMPUTED_VALUE"""),"1345281343")</f>
        <v>1345281343</v>
      </c>
      <c r="C110" s="6" t="str">
        <f>IFERROR(__xludf.DUMMYFUNCTION("""COMPUTED_VALUE"""),"sale con Martin Velez 12° la mamá envió correo autorizando")</f>
        <v>sale con Martin Velez 12° la mamá envió correo autorizando</v>
      </c>
      <c r="D110" s="6"/>
      <c r="E110" s="6"/>
      <c r="F110" s="6"/>
      <c r="G110" s="6" t="str">
        <f>IFERROR(__xludf.DUMMYFUNCTION("""COMPUTED_VALUE"""),"11")</f>
        <v>11</v>
      </c>
      <c r="H110" s="6" t="str">
        <f>IFERROR(__xludf.DUMMYFUNCTION("""COMPUTED_VALUE"""),"Vallejo Bautista Juanna")</f>
        <v>Vallejo Bautista Juanna</v>
      </c>
      <c r="I110" s="6" t="str">
        <f>IFERROR(__xludf.DUMMYFUNCTION("""COMPUTED_VALUE"""),"Demograficos_Images/1345281343.Foto_Estudiante.181535.jpg")</f>
        <v>Demograficos_Images/1345281343.Foto_Estudiante.181535.jpg</v>
      </c>
      <c r="J110" s="8">
        <f>IFERROR(__xludf.DUMMYFUNCTION("""COMPUTED_VALUE"""),46253.631944444445)</f>
        <v>46253.63194</v>
      </c>
      <c r="K110" s="6" t="str">
        <f>IFERROR(__xludf.DUMMYFUNCTION("""COMPUTED_VALUE"""),"secundaria@gi.edu.co")</f>
        <v>secundaria@gi.edu.co</v>
      </c>
      <c r="L110" s="6" t="str">
        <f>IFERROR(__xludf.DUMMYFUNCTION("""COMPUTED_VALUE"""),"1345281343")</f>
        <v>1345281343</v>
      </c>
      <c r="M110" s="9">
        <f>IFERROR(__xludf.DUMMYFUNCTION("""COMPUTED_VALUE"""),46253.63332175926)</f>
        <v>46253.63332</v>
      </c>
      <c r="N110" s="6" t="str">
        <f>IFERROR(__xludf.DUMMYFUNCTION("""COMPUTED_VALUE"""),"Pendiente")</f>
        <v>Pendiente</v>
      </c>
      <c r="O110" s="6"/>
      <c r="P110" s="10">
        <f>IFERROR(__xludf.DUMMYFUNCTION("""COMPUTED_VALUE"""),46253.63332175926)</f>
        <v>46253.63332</v>
      </c>
      <c r="Q110" s="6"/>
      <c r="R110" s="6" t="str">
        <f>IFERROR(__xludf.DUMMYFUNCTION("""COMPUTED_VALUE"""),"Secundaria")</f>
        <v>Secundaria</v>
      </c>
      <c r="S110" s="6" t="b">
        <f>IFERROR(__xludf.DUMMYFUNCTION("""COMPUTED_VALUE"""),FALSE)</f>
        <v>0</v>
      </c>
      <c r="T110" s="6"/>
      <c r="U110" s="6"/>
      <c r="V110" s="6"/>
      <c r="W110" s="6"/>
      <c r="X110" s="6"/>
      <c r="Y110" s="6"/>
      <c r="Z110" s="6"/>
    </row>
    <row r="111">
      <c r="A111" s="6" t="str">
        <f>IFERROR(__xludf.DUMMYFUNCTION("""COMPUTED_VALUE"""),"51f7db1c")</f>
        <v>51f7db1c</v>
      </c>
      <c r="B111" s="7" t="str">
        <f>IFERROR(__xludf.DUMMYFUNCTION("""COMPUTED_VALUE"""),"1345281672")</f>
        <v>1345281672</v>
      </c>
      <c r="C111" s="6" t="str">
        <f>IFERROR(__xludf.DUMMYFUNCTION("""COMPUTED_VALUE"""),"Enfermedad general incapacidad dia 19 agosto y 20 agosto")</f>
        <v>Enfermedad general incapacidad dia 19 agosto y 20 agosto</v>
      </c>
      <c r="D111" s="6"/>
      <c r="E111" s="6"/>
      <c r="F111" s="6"/>
      <c r="G111" s="6" t="str">
        <f>IFERROR(__xludf.DUMMYFUNCTION("""COMPUTED_VALUE"""),"8")</f>
        <v>8</v>
      </c>
      <c r="H111" s="6" t="str">
        <f>IFERROR(__xludf.DUMMYFUNCTION("""COMPUTED_VALUE"""),"González Marín Martín")</f>
        <v>González Marín Martín</v>
      </c>
      <c r="I111" s="6" t="str">
        <f>IFERROR(__xludf.DUMMYFUNCTION("""COMPUTED_VALUE"""),"Demograficos_Images/1345281672.Foto_Estudiante.192054.jpg")</f>
        <v>Demograficos_Images/1345281672.Foto_Estudiante.192054.jpg</v>
      </c>
      <c r="J111" s="8">
        <f>IFERROR(__xludf.DUMMYFUNCTION("""COMPUTED_VALUE"""),46254.333333333336)</f>
        <v>46254.33333</v>
      </c>
      <c r="K111" s="6" t="str">
        <f>IFERROR(__xludf.DUMMYFUNCTION("""COMPUTED_VALUE"""),"secundaria@gi.edu.co")</f>
        <v>secundaria@gi.edu.co</v>
      </c>
      <c r="L111" s="6" t="str">
        <f>IFERROR(__xludf.DUMMYFUNCTION("""COMPUTED_VALUE"""),"1345281672")</f>
        <v>1345281672</v>
      </c>
      <c r="M111" s="9">
        <f>IFERROR(__xludf.DUMMYFUNCTION("""COMPUTED_VALUE"""),46254.32056712963)</f>
        <v>46254.32057</v>
      </c>
      <c r="N111" s="6" t="str">
        <f>IFERROR(__xludf.DUMMYFUNCTION("""COMPUTED_VALUE"""),"Pendiente")</f>
        <v>Pendiente</v>
      </c>
      <c r="O111" s="6"/>
      <c r="P111" s="10">
        <f>IFERROR(__xludf.DUMMYFUNCTION("""COMPUTED_VALUE"""),46254.32056712963)</f>
        <v>46254.32057</v>
      </c>
      <c r="Q111" s="6"/>
      <c r="R111" s="6" t="str">
        <f>IFERROR(__xludf.DUMMYFUNCTION("""COMPUTED_VALUE"""),"Incapacidad Médica")</f>
        <v>Incapacidad Médica</v>
      </c>
      <c r="S111" s="6"/>
      <c r="T111" s="6"/>
      <c r="U111" s="6" t="str">
        <f>IFERROR(__xludf.DUMMYFUNCTION("""COMPUTED_VALUE"""),"Ausencia todo el dia")</f>
        <v>Ausencia todo el dia</v>
      </c>
      <c r="V111" s="6"/>
      <c r="W111" s="6"/>
      <c r="X111" s="6"/>
      <c r="Y111" s="6"/>
      <c r="Z111" s="6"/>
    </row>
    <row r="112">
      <c r="A112" s="6" t="str">
        <f>IFERROR(__xludf.DUMMYFUNCTION("""COMPUTED_VALUE"""),"663be284")</f>
        <v>663be284</v>
      </c>
      <c r="B112" s="7" t="str">
        <f>IFERROR(__xludf.DUMMYFUNCTION("""COMPUTED_VALUE"""),"1345281682")</f>
        <v>1345281682</v>
      </c>
      <c r="C112" s="6" t="str">
        <f>IFERROR(__xludf.DUMMYFUNCTION("""COMPUTED_VALUE"""),"Examen odontológico informó la mamá")</f>
        <v>Examen odontológico informó la mamá</v>
      </c>
      <c r="D112" s="6"/>
      <c r="E112" s="6"/>
      <c r="F112" s="6"/>
      <c r="G112" s="6" t="str">
        <f>IFERROR(__xludf.DUMMYFUNCTION("""COMPUTED_VALUE"""),"8")</f>
        <v>8</v>
      </c>
      <c r="H112" s="6" t="str">
        <f>IFERROR(__xludf.DUMMYFUNCTION("""COMPUTED_VALUE"""),"Botero Graciano Paloma")</f>
        <v>Botero Graciano Paloma</v>
      </c>
      <c r="I112" s="6" t="str">
        <f>IFERROR(__xludf.DUMMYFUNCTION("""COMPUTED_VALUE"""),"Demograficos_Images/1345281682.Foto_Estudiante.192600.jpg")</f>
        <v>Demograficos_Images/1345281682.Foto_Estudiante.192600.jpg</v>
      </c>
      <c r="J112" s="8">
        <f>IFERROR(__xludf.DUMMYFUNCTION("""COMPUTED_VALUE"""),46254.3125)</f>
        <v>46254.3125</v>
      </c>
      <c r="K112" s="6" t="str">
        <f>IFERROR(__xludf.DUMMYFUNCTION("""COMPUTED_VALUE"""),"secundaria@gi.edu.co")</f>
        <v>secundaria@gi.edu.co</v>
      </c>
      <c r="L112" s="6" t="str">
        <f>IFERROR(__xludf.DUMMYFUNCTION("""COMPUTED_VALUE"""),"1345281682")</f>
        <v>1345281682</v>
      </c>
      <c r="M112" s="9">
        <f>IFERROR(__xludf.DUMMYFUNCTION("""COMPUTED_VALUE"""),46254.33766203704)</f>
        <v>46254.33766</v>
      </c>
      <c r="N112" s="6" t="str">
        <f>IFERROR(__xludf.DUMMYFUNCTION("""COMPUTED_VALUE"""),"Pendiente")</f>
        <v>Pendiente</v>
      </c>
      <c r="O112" s="6"/>
      <c r="P112" s="10">
        <f>IFERROR(__xludf.DUMMYFUNCTION("""COMPUTED_VALUE"""),46254.33766203704)</f>
        <v>46254.33766</v>
      </c>
      <c r="Q112" s="6"/>
      <c r="R112" s="6" t="str">
        <f>IFERROR(__xludf.DUMMYFUNCTION("""COMPUTED_VALUE"""),"Cita médica")</f>
        <v>Cita médica</v>
      </c>
      <c r="S112" s="6" t="b">
        <f>IFERROR(__xludf.DUMMYFUNCTION("""COMPUTED_VALUE"""),TRUE)</f>
        <v>1</v>
      </c>
      <c r="T112" s="6"/>
      <c r="U112" s="6" t="str">
        <f>IFERROR(__xludf.DUMMYFUNCTION("""COMPUTED_VALUE"""),"Llegada tarde")</f>
        <v>Llegada tarde</v>
      </c>
      <c r="V112" s="6"/>
      <c r="W112" s="6"/>
      <c r="X112" s="6"/>
      <c r="Y112" s="6"/>
      <c r="Z112" s="6"/>
    </row>
    <row r="113">
      <c r="A113" s="6" t="str">
        <f>IFERROR(__xludf.DUMMYFUNCTION("""COMPUTED_VALUE"""),"892f74bf")</f>
        <v>892f74bf</v>
      </c>
      <c r="B113" s="7" t="str">
        <f>IFERROR(__xludf.DUMMYFUNCTION("""COMPUTED_VALUE"""),"1345281354")</f>
        <v>1345281354</v>
      </c>
      <c r="C113" s="6" t="str">
        <f>IFERROR(__xludf.DUMMYFUNCTION("""COMPUTED_VALUE"""),"sale caminando la mamá envio correo autorizando")</f>
        <v>sale caminando la mamá envio correo autorizando</v>
      </c>
      <c r="D113" s="6"/>
      <c r="E113" s="6"/>
      <c r="F113" s="6"/>
      <c r="G113" s="6" t="str">
        <f>IFERROR(__xludf.DUMMYFUNCTION("""COMPUTED_VALUE"""),"11")</f>
        <v>11</v>
      </c>
      <c r="H113" s="6" t="str">
        <f>IFERROR(__xludf.DUMMYFUNCTION("""COMPUTED_VALUE"""),"Correa Echeverri Jacobo")</f>
        <v>Correa Echeverri Jacobo</v>
      </c>
      <c r="I113" s="6" t="str">
        <f>IFERROR(__xludf.DUMMYFUNCTION("""COMPUTED_VALUE"""),"Demograficos_Images/1345281354.Foto_Estudiante.182529.jpg")</f>
        <v>Demograficos_Images/1345281354.Foto_Estudiante.182529.jpg</v>
      </c>
      <c r="J113" s="8">
        <f>IFERROR(__xludf.DUMMYFUNCTION("""COMPUTED_VALUE"""),46254.416666666664)</f>
        <v>46254.41667</v>
      </c>
      <c r="K113" s="6" t="str">
        <f>IFERROR(__xludf.DUMMYFUNCTION("""COMPUTED_VALUE"""),"secundaria@gi.edu.co")</f>
        <v>secundaria@gi.edu.co</v>
      </c>
      <c r="L113" s="6" t="str">
        <f>IFERROR(__xludf.DUMMYFUNCTION("""COMPUTED_VALUE"""),"1345281354")</f>
        <v>1345281354</v>
      </c>
      <c r="M113" s="9">
        <f>IFERROR(__xludf.DUMMYFUNCTION("""COMPUTED_VALUE"""),46254.33988425926)</f>
        <v>46254.33988</v>
      </c>
      <c r="N113" s="6" t="str">
        <f>IFERROR(__xludf.DUMMYFUNCTION("""COMPUTED_VALUE"""),"Pendiente")</f>
        <v>Pendiente</v>
      </c>
      <c r="O113" s="6"/>
      <c r="P113" s="10">
        <f>IFERROR(__xludf.DUMMYFUNCTION("""COMPUTED_VALUE"""),46254.33988425926)</f>
        <v>46254.33988</v>
      </c>
      <c r="Q113" s="6"/>
      <c r="R113" s="6" t="str">
        <f>IFERROR(__xludf.DUMMYFUNCTION("""COMPUTED_VALUE"""),"Secundaria")</f>
        <v>Secundaria</v>
      </c>
      <c r="S113" s="6" t="b">
        <f>IFERROR(__xludf.DUMMYFUNCTION("""COMPUTED_VALUE"""),FALSE)</f>
        <v>0</v>
      </c>
      <c r="T113" s="6"/>
      <c r="U113" s="6" t="str">
        <f>IFERROR(__xludf.DUMMYFUNCTION("""COMPUTED_VALUE"""),"Salida temprano")</f>
        <v>Salida temprano</v>
      </c>
      <c r="V113" s="6"/>
      <c r="W113" s="6"/>
      <c r="X113" s="6"/>
      <c r="Y113" s="6"/>
      <c r="Z113" s="6"/>
    </row>
    <row r="114">
      <c r="A114" s="6"/>
      <c r="B114" s="7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 t="str">
        <f>IFERROR(__xludf.DUMMYFUNCTION("""COMPUTED_VALUE"""),"6c4b7882")</f>
        <v>6c4b7882</v>
      </c>
      <c r="B115" s="7" t="str">
        <f>IFERROR(__xludf.DUMMYFUNCTION("""COMPUTED_VALUE"""),"1345282102")</f>
        <v>1345282102</v>
      </c>
      <c r="C115" s="6" t="str">
        <f>IFERROR(__xludf.DUMMYFUNCTION("""COMPUTED_VALUE"""),"Joaquín García se va con Luciano pasada de segundo. Muchas gracias")</f>
        <v>Joaquín García se va con Luciano pasada de segundo. Muchas gracias</v>
      </c>
      <c r="D115" s="6"/>
      <c r="E115" s="6"/>
      <c r="F115" s="6" t="str">
        <f>IFERROR(__xludf.DUMMYFUNCTION("""COMPUTED_VALUE"""),"Joaquín García se va con Luciano pasada de segundo. Muchas gracias")</f>
        <v>Joaquín García se va con Luciano pasada de segundo. Muchas gracias</v>
      </c>
      <c r="G115" s="6" t="str">
        <f>IFERROR(__xludf.DUMMYFUNCTION("""COMPUTED_VALUE"""),"3")</f>
        <v>3</v>
      </c>
      <c r="H115" s="6" t="str">
        <f>IFERROR(__xludf.DUMMYFUNCTION("""COMPUTED_VALUE"""),"García Botero Joaquín")</f>
        <v>García Botero Joaquín</v>
      </c>
      <c r="I115" s="6" t="str">
        <f>IFERROR(__xludf.DUMMYFUNCTION("""COMPUTED_VALUE"""),"Demograficos_Images/1345282102.Foto_Estudiante.132611.jpg")</f>
        <v>Demograficos_Images/1345282102.Foto_Estudiante.132611.jpg</v>
      </c>
      <c r="J115" s="8">
        <f>IFERROR(__xludf.DUMMYFUNCTION("""COMPUTED_VALUE"""),46254.625)</f>
        <v>46254.625</v>
      </c>
      <c r="K115" s="6" t="str">
        <f>IFERROR(__xludf.DUMMYFUNCTION("""COMPUTED_VALUE"""),"primaria@gi.edu.co")</f>
        <v>primaria@gi.edu.co</v>
      </c>
      <c r="L115" s="6" t="str">
        <f>IFERROR(__xludf.DUMMYFUNCTION("""COMPUTED_VALUE"""),"1345282102")</f>
        <v>1345282102</v>
      </c>
      <c r="M115" s="9">
        <f>IFERROR(__xludf.DUMMYFUNCTION("""COMPUTED_VALUE"""),46254.34898148148)</f>
        <v>46254.34898</v>
      </c>
      <c r="N115" s="6" t="str">
        <f>IFERROR(__xludf.DUMMYFUNCTION("""COMPUTED_VALUE"""),"Pendiente")</f>
        <v>Pendiente</v>
      </c>
      <c r="O115" s="6"/>
      <c r="P115" s="10">
        <f>IFERROR(__xludf.DUMMYFUNCTION("""COMPUTED_VALUE"""),46254.34898148148)</f>
        <v>46254.34898</v>
      </c>
      <c r="Q115" s="6"/>
      <c r="R115" s="6" t="str">
        <f>IFERROR(__xludf.DUMMYFUNCTION("""COMPUTED_VALUE"""),"Familiar (celebraciones, encuentros, despedidas, eucaristias)")</f>
        <v>Familiar (celebraciones, encuentros, despedidas, eucaristias)</v>
      </c>
      <c r="S115" s="6" t="b">
        <f>IFERROR(__xludf.DUMMYFUNCTION("""COMPUTED_VALUE"""),FALSE)</f>
        <v>0</v>
      </c>
      <c r="T115" s="6"/>
      <c r="U115" s="6"/>
      <c r="V115" s="6"/>
      <c r="W115" s="6"/>
      <c r="X115" s="6"/>
      <c r="Y115" s="6"/>
      <c r="Z115" s="6"/>
    </row>
    <row r="116">
      <c r="A116" s="6" t="str">
        <f>IFERROR(__xludf.DUMMYFUNCTION("""COMPUTED_VALUE"""),"9bc51e32")</f>
        <v>9bc51e32</v>
      </c>
      <c r="B116" s="7" t="str">
        <f>IFERROR(__xludf.DUMMYFUNCTION("""COMPUTED_VALUE"""),"1345282366")</f>
        <v>1345282366</v>
      </c>
      <c r="C116" s="6" t="str">
        <f>IFERROR(__xludf.DUMMYFUNCTION("""COMPUTED_VALUE"""),"Ella se va con María Camila Suárez la mamá de Mariana manzanera de Primero A")</f>
        <v>Ella se va con María Camila Suárez la mamá de Mariana manzanera de Primero A</v>
      </c>
      <c r="D116" s="6"/>
      <c r="E116" s="6"/>
      <c r="F116" s="6" t="str">
        <f>IFERROR(__xludf.DUMMYFUNCTION("""COMPUTED_VALUE"""),"Ella se va con María Camila Suárez la mamá de Mariana manzanera de Primero A")</f>
        <v>Ella se va con María Camila Suárez la mamá de Mariana manzanera de Primero A</v>
      </c>
      <c r="G116" s="6" t="str">
        <f>IFERROR(__xludf.DUMMYFUNCTION("""COMPUTED_VALUE"""),"1")</f>
        <v>1</v>
      </c>
      <c r="H116" s="6" t="str">
        <f>IFERROR(__xludf.DUMMYFUNCTION("""COMPUTED_VALUE"""),"Cardona Valderrama Florencia")</f>
        <v>Cardona Valderrama Florencia</v>
      </c>
      <c r="I116" s="6" t="str">
        <f>IFERROR(__xludf.DUMMYFUNCTION("""COMPUTED_VALUE"""),"Demograficos_Images/1345282366.Foto_Estudiante.202834.jpg")</f>
        <v>Demograficos_Images/1345282366.Foto_Estudiante.202834.jpg</v>
      </c>
      <c r="J116" s="8">
        <f>IFERROR(__xludf.DUMMYFUNCTION("""COMPUTED_VALUE"""),46254.62569444445)</f>
        <v>46254.62569</v>
      </c>
      <c r="K116" s="6" t="str">
        <f>IFERROR(__xludf.DUMMYFUNCTION("""COMPUTED_VALUE"""),"primaria@gi.edu.co")</f>
        <v>primaria@gi.edu.co</v>
      </c>
      <c r="L116" s="6" t="str">
        <f>IFERROR(__xludf.DUMMYFUNCTION("""COMPUTED_VALUE"""),"1345282366")</f>
        <v>1345282366</v>
      </c>
      <c r="M116" s="9">
        <f>IFERROR(__xludf.DUMMYFUNCTION("""COMPUTED_VALUE"""),46254.35244212963)</f>
        <v>46254.35244</v>
      </c>
      <c r="N116" s="6" t="str">
        <f>IFERROR(__xludf.DUMMYFUNCTION("""COMPUTED_VALUE"""),"Pendiente")</f>
        <v>Pendiente</v>
      </c>
      <c r="O116" s="6"/>
      <c r="P116" s="10">
        <f>IFERROR(__xludf.DUMMYFUNCTION("""COMPUTED_VALUE"""),46254.35244212963)</f>
        <v>46254.35244</v>
      </c>
      <c r="Q116" s="6"/>
      <c r="R116" s="6" t="str">
        <f>IFERROR(__xludf.DUMMYFUNCTION("""COMPUTED_VALUE"""),"Familiar (celebraciones, encuentros, despedidas, eucaristias)")</f>
        <v>Familiar (celebraciones, encuentros, despedidas, eucaristias)</v>
      </c>
      <c r="S116" s="6"/>
      <c r="T116" s="6"/>
      <c r="U116" s="6"/>
      <c r="V116" s="6"/>
      <c r="W116" s="6"/>
      <c r="X116" s="6"/>
      <c r="Y116" s="6"/>
      <c r="Z116" s="6"/>
    </row>
    <row r="117">
      <c r="A117" s="6" t="str">
        <f>IFERROR(__xludf.DUMMYFUNCTION("""COMPUTED_VALUE"""),"a107eeb5")</f>
        <v>a107eeb5</v>
      </c>
      <c r="B117" s="7" t="str">
        <f>IFERROR(__xludf.DUMMYFUNCTION("""COMPUTED_VALUE"""),"1345281681")</f>
        <v>1345281681</v>
      </c>
      <c r="C117" s="6" t="str">
        <f>IFERROR(__xludf.DUMMYFUNCTION("""COMPUTED_VALUE"""),"sale caminando el papá envio correo autorizando que salga en su vehículo")</f>
        <v>sale caminando el papá envio correo autorizando que salga en su vehículo</v>
      </c>
      <c r="D117" s="6"/>
      <c r="E117" s="6"/>
      <c r="F117" s="6"/>
      <c r="G117" s="6" t="str">
        <f>IFERROR(__xludf.DUMMYFUNCTION("""COMPUTED_VALUE"""),"12")</f>
        <v>12</v>
      </c>
      <c r="H117" s="6" t="str">
        <f>IFERROR(__xludf.DUMMYFUNCTION("""COMPUTED_VALUE"""),"Ospina Chica Juan Manuel")</f>
        <v>Ospina Chica Juan Manuel</v>
      </c>
      <c r="I117" s="6" t="str">
        <f>IFERROR(__xludf.DUMMYFUNCTION("""COMPUTED_VALUE"""),"Demograficos_Images/1345281681.Foto_Estudiante.133642.jpg")</f>
        <v>Demograficos_Images/1345281681.Foto_Estudiante.133642.jpg</v>
      </c>
      <c r="J117" s="8">
        <f>IFERROR(__xludf.DUMMYFUNCTION("""COMPUTED_VALUE"""),46254.53125)</f>
        <v>46254.53125</v>
      </c>
      <c r="K117" s="6" t="str">
        <f>IFERROR(__xludf.DUMMYFUNCTION("""COMPUTED_VALUE"""),"secundaria@gi.edu.co")</f>
        <v>secundaria@gi.edu.co</v>
      </c>
      <c r="L117" s="6" t="str">
        <f>IFERROR(__xludf.DUMMYFUNCTION("""COMPUTED_VALUE"""),"1345281681")</f>
        <v>1345281681</v>
      </c>
      <c r="M117" s="9">
        <f>IFERROR(__xludf.DUMMYFUNCTION("""COMPUTED_VALUE"""),46254.37096064815)</f>
        <v>46254.37096</v>
      </c>
      <c r="N117" s="6" t="str">
        <f>IFERROR(__xludf.DUMMYFUNCTION("""COMPUTED_VALUE"""),"Pendiente")</f>
        <v>Pendiente</v>
      </c>
      <c r="O117" s="6"/>
      <c r="P117" s="10">
        <f>IFERROR(__xludf.DUMMYFUNCTION("""COMPUTED_VALUE"""),46254.37096064815)</f>
        <v>46254.37096</v>
      </c>
      <c r="Q117" s="6"/>
      <c r="R117" s="6" t="str">
        <f>IFERROR(__xludf.DUMMYFUNCTION("""COMPUTED_VALUE"""),"Entrenamiento deportivo (futbol- tenis- golf- badminton, etc)")</f>
        <v>Entrenamiento deportivo (futbol- tenis- golf- badminton, etc)</v>
      </c>
      <c r="S117" s="6" t="b">
        <f>IFERROR(__xludf.DUMMYFUNCTION("""COMPUTED_VALUE"""),FALSE)</f>
        <v>0</v>
      </c>
      <c r="T117" s="6"/>
      <c r="U117" s="6" t="str">
        <f>IFERROR(__xludf.DUMMYFUNCTION("""COMPUTED_VALUE"""),"Salida temprano")</f>
        <v>Salida temprano</v>
      </c>
      <c r="V117" s="6"/>
      <c r="W117" s="6"/>
      <c r="X117" s="6"/>
      <c r="Y117" s="6"/>
      <c r="Z117" s="6"/>
    </row>
    <row r="118">
      <c r="A118" s="6" t="str">
        <f>IFERROR(__xludf.DUMMYFUNCTION("""COMPUTED_VALUE"""),"5a52798e")</f>
        <v>5a52798e</v>
      </c>
      <c r="B118" s="7" t="str">
        <f>IFERROR(__xludf.DUMMYFUNCTION("""COMPUTED_VALUE"""),"1345281687")</f>
        <v>1345281687</v>
      </c>
      <c r="C118" s="6" t="str">
        <f>IFERROR(__xludf.DUMMYFUNCTION("""COMPUTED_VALUE"""),"sale con el papá de Santiago Milán")</f>
        <v>sale con el papá de Santiago Milán</v>
      </c>
      <c r="D118" s="6"/>
      <c r="E118" s="6"/>
      <c r="F118" s="6" t="str">
        <f>IFERROR(__xludf.DUMMYFUNCTION("""COMPUTED_VALUE"""),"Ángel Manuel Milán papá de Santiago Milán")</f>
        <v>Ángel Manuel Milán papá de Santiago Milán</v>
      </c>
      <c r="G118" s="6" t="str">
        <f>IFERROR(__xludf.DUMMYFUNCTION("""COMPUTED_VALUE"""),"7")</f>
        <v>7</v>
      </c>
      <c r="H118" s="6" t="str">
        <f>IFERROR(__xludf.DUMMYFUNCTION("""COMPUTED_VALUE"""),"Algarra Urrea Juan Francisco")</f>
        <v>Algarra Urrea Juan Francisco</v>
      </c>
      <c r="I118" s="6" t="str">
        <f>IFERROR(__xludf.DUMMYFUNCTION("""COMPUTED_VALUE"""),"Demograficos_Images/1345281687.Foto_Estudiante.181902.jpg")</f>
        <v>Demograficos_Images/1345281687.Foto_Estudiante.181902.jpg</v>
      </c>
      <c r="J118" s="8">
        <f>IFERROR(__xludf.DUMMYFUNCTION("""COMPUTED_VALUE"""),46254.631944444445)</f>
        <v>46254.63194</v>
      </c>
      <c r="K118" s="6" t="str">
        <f>IFERROR(__xludf.DUMMYFUNCTION("""COMPUTED_VALUE"""),"secundaria@gi.edu.co")</f>
        <v>secundaria@gi.edu.co</v>
      </c>
      <c r="L118" s="6" t="str">
        <f>IFERROR(__xludf.DUMMYFUNCTION("""COMPUTED_VALUE"""),"1345281687")</f>
        <v>1345281687</v>
      </c>
      <c r="M118" s="9">
        <f>IFERROR(__xludf.DUMMYFUNCTION("""COMPUTED_VALUE"""),46254.39434027778)</f>
        <v>46254.39434</v>
      </c>
      <c r="N118" s="6" t="str">
        <f>IFERROR(__xludf.DUMMYFUNCTION("""COMPUTED_VALUE"""),"Pendiente")</f>
        <v>Pendiente</v>
      </c>
      <c r="O118" s="6"/>
      <c r="P118" s="10">
        <f>IFERROR(__xludf.DUMMYFUNCTION("""COMPUTED_VALUE"""),46254.39434027778)</f>
        <v>46254.39434</v>
      </c>
      <c r="Q118" s="6"/>
      <c r="R118" s="6" t="str">
        <f>IFERROR(__xludf.DUMMYFUNCTION("""COMPUTED_VALUE"""),"Secundaria")</f>
        <v>Secundaria</v>
      </c>
      <c r="S118" s="6"/>
      <c r="T118" s="6"/>
      <c r="U118" s="6"/>
      <c r="V118" s="6"/>
      <c r="W118" s="6"/>
      <c r="X118" s="6"/>
      <c r="Y118" s="6"/>
      <c r="Z118" s="6"/>
    </row>
    <row r="119">
      <c r="A119" s="6" t="str">
        <f>IFERROR(__xludf.DUMMYFUNCTION("""COMPUTED_VALUE"""),"0ea82501")</f>
        <v>0ea82501</v>
      </c>
      <c r="B119" s="7" t="str">
        <f>IFERROR(__xludf.DUMMYFUNCTION("""COMPUTED_VALUE"""),"1345282484")</f>
        <v>1345282484</v>
      </c>
      <c r="C119" s="6" t="str">
        <f>IFERROR(__xludf.DUMMYFUNCTION("""COMPUTED_VALUE"""),"la mamá informa que estará ausente hoy y mañana porque tuvieron que viajar por trabajo y lo llevaron para no dejarlo solo")</f>
        <v>la mamá informa que estará ausente hoy y mañana porque tuvieron que viajar por trabajo y lo llevaron para no dejarlo solo</v>
      </c>
      <c r="D119" s="6"/>
      <c r="E119" s="6"/>
      <c r="F119" s="6"/>
      <c r="G119" s="6" t="str">
        <f>IFERROR(__xludf.DUMMYFUNCTION("""COMPUTED_VALUE"""),"11")</f>
        <v>11</v>
      </c>
      <c r="H119" s="6" t="str">
        <f>IFERROR(__xludf.DUMMYFUNCTION("""COMPUTED_VALUE"""),"Rendón Chica Camilo")</f>
        <v>Rendón Chica Camilo</v>
      </c>
      <c r="I119" s="6" t="str">
        <f>IFERROR(__xludf.DUMMYFUNCTION("""COMPUTED_VALUE"""),"Demograficos_Images/1345282484.Foto_Estudiante.181916.jpg")</f>
        <v>Demograficos_Images/1345282484.Foto_Estudiante.181916.jpg</v>
      </c>
      <c r="J119" s="8">
        <f>IFERROR(__xludf.DUMMYFUNCTION("""COMPUTED_VALUE"""),46254.410416666666)</f>
        <v>46254.41042</v>
      </c>
      <c r="K119" s="6" t="str">
        <f>IFERROR(__xludf.DUMMYFUNCTION("""COMPUTED_VALUE"""),"secundaria@gi.edu.co")</f>
        <v>secundaria@gi.edu.co</v>
      </c>
      <c r="L119" s="6" t="str">
        <f>IFERROR(__xludf.DUMMYFUNCTION("""COMPUTED_VALUE"""),"1345282484")</f>
        <v>1345282484</v>
      </c>
      <c r="M119" s="9">
        <f>IFERROR(__xludf.DUMMYFUNCTION("""COMPUTED_VALUE"""),46254.41028935185)</f>
        <v>46254.41029</v>
      </c>
      <c r="N119" s="6" t="str">
        <f>IFERROR(__xludf.DUMMYFUNCTION("""COMPUTED_VALUE"""),"Pendiente")</f>
        <v>Pendiente</v>
      </c>
      <c r="O119" s="6"/>
      <c r="P119" s="10">
        <f>IFERROR(__xludf.DUMMYFUNCTION("""COMPUTED_VALUE"""),46254.41028935185)</f>
        <v>46254.41029</v>
      </c>
      <c r="Q119" s="6"/>
      <c r="R119" s="6" t="str">
        <f>IFERROR(__xludf.DUMMYFUNCTION("""COMPUTED_VALUE"""),"Diligencias con los papás")</f>
        <v>Diligencias con los papás</v>
      </c>
      <c r="S119" s="6" t="b">
        <f>IFERROR(__xludf.DUMMYFUNCTION("""COMPUTED_VALUE"""),FALSE)</f>
        <v>0</v>
      </c>
      <c r="T119" s="6"/>
      <c r="U119" s="6" t="str">
        <f>IFERROR(__xludf.DUMMYFUNCTION("""COMPUTED_VALUE"""),"Ausencia todo el dia")</f>
        <v>Ausencia todo el dia</v>
      </c>
      <c r="V119" s="6"/>
      <c r="W119" s="6"/>
      <c r="X119" s="6"/>
      <c r="Y119" s="6"/>
      <c r="Z119" s="6"/>
    </row>
    <row r="120">
      <c r="A120" s="6" t="str">
        <f>IFERROR(__xludf.DUMMYFUNCTION("""COMPUTED_VALUE"""),"cdcee06d")</f>
        <v>cdcee06d</v>
      </c>
      <c r="B120" s="7" t="str">
        <f>IFERROR(__xludf.DUMMYFUNCTION("""COMPUTED_VALUE"""),"1345282252")</f>
        <v>1345282252</v>
      </c>
      <c r="C120" s="6" t="str">
        <f>IFERROR(__xludf.DUMMYFUNCTION("""COMPUTED_VALUE"""),"La mamá de Matilde Villegas de 1B Para autorizar que Matilde Villegas salga hoy a las 3:00 pm con María Camila Suárez")</f>
        <v>La mamá de Matilde Villegas de 1B Para autorizar que Matilde Villegas salga hoy a las 3:00 pm con María Camila Suárez</v>
      </c>
      <c r="D120" s="6"/>
      <c r="E120" s="6"/>
      <c r="F120" s="6"/>
      <c r="G120" s="6" t="str">
        <f>IFERROR(__xludf.DUMMYFUNCTION("""COMPUTED_VALUE"""),"1")</f>
        <v>1</v>
      </c>
      <c r="H120" s="6" t="str">
        <f>IFERROR(__xludf.DUMMYFUNCTION("""COMPUTED_VALUE"""),"Villegas Vélez Matilde")</f>
        <v>Villegas Vélez Matilde</v>
      </c>
      <c r="I120" s="6" t="str">
        <f>IFERROR(__xludf.DUMMYFUNCTION("""COMPUTED_VALUE"""),"Demograficos_Images/1345282252.Foto_Estudiante.205332.jpg")</f>
        <v>Demograficos_Images/1345282252.Foto_Estudiante.205332.jpg</v>
      </c>
      <c r="J120" s="8">
        <f>IFERROR(__xludf.DUMMYFUNCTION("""COMPUTED_VALUE"""),46254.618055555555)</f>
        <v>46254.61806</v>
      </c>
      <c r="K120" s="6" t="str">
        <f>IFERROR(__xludf.DUMMYFUNCTION("""COMPUTED_VALUE"""),"primaria@gi.edu.co")</f>
        <v>primaria@gi.edu.co</v>
      </c>
      <c r="L120" s="6" t="str">
        <f>IFERROR(__xludf.DUMMYFUNCTION("""COMPUTED_VALUE"""),"1345282252")</f>
        <v>1345282252</v>
      </c>
      <c r="M120" s="9">
        <f>IFERROR(__xludf.DUMMYFUNCTION("""COMPUTED_VALUE"""),46254.41473379629)</f>
        <v>46254.41473</v>
      </c>
      <c r="N120" s="6" t="str">
        <f>IFERROR(__xludf.DUMMYFUNCTION("""COMPUTED_VALUE"""),"Pendiente")</f>
        <v>Pendiente</v>
      </c>
      <c r="O120" s="6"/>
      <c r="P120" s="10">
        <f>IFERROR(__xludf.DUMMYFUNCTION("""COMPUTED_VALUE"""),46254.41473379629)</f>
        <v>46254.41473</v>
      </c>
      <c r="Q120" s="6"/>
      <c r="R120" s="6" t="str">
        <f>IFERROR(__xludf.DUMMYFUNCTION("""COMPUTED_VALUE"""),"Familiar (celebraciones, encuentros, despedidas, eucaristias)")</f>
        <v>Familiar (celebraciones, encuentros, despedidas, eucaristias)</v>
      </c>
      <c r="S120" s="6" t="b">
        <f>IFERROR(__xludf.DUMMYFUNCTION("""COMPUTED_VALUE"""),FALSE)</f>
        <v>0</v>
      </c>
      <c r="T120" s="6"/>
      <c r="U120" s="6" t="str">
        <f>IFERROR(__xludf.DUMMYFUNCTION("""COMPUTED_VALUE"""),"Salida temprano")</f>
        <v>Salida temprano</v>
      </c>
      <c r="V120" s="6"/>
      <c r="W120" s="6"/>
      <c r="X120" s="6"/>
      <c r="Y120" s="6"/>
      <c r="Z120" s="6"/>
    </row>
    <row r="121">
      <c r="A121" s="6" t="str">
        <f>IFERROR(__xludf.DUMMYFUNCTION("""COMPUTED_VALUE"""),"148d9e25")</f>
        <v>148d9e25</v>
      </c>
      <c r="B121" s="7" t="str">
        <f>IFERROR(__xludf.DUMMYFUNCTION("""COMPUTED_VALUE"""),"1345282166")</f>
        <v>1345282166</v>
      </c>
      <c r="C121" s="6" t="str">
        <f>IFERROR(__xludf.DUMMYFUNCTION("""COMPUTED_VALUE"""),"La recojo la mamá de Ana Sofía hoyos ( Viviana Marín )")</f>
        <v>La recojo la mamá de Ana Sofía hoyos ( Viviana Marín )</v>
      </c>
      <c r="D121" s="6" t="str">
        <f>IFERROR(__xludf.DUMMYFUNCTION("""COMPUTED_VALUE"""),"Madre")</f>
        <v>Madre</v>
      </c>
      <c r="E121" s="6" t="str">
        <f>IFERROR(__xludf.DUMMYFUNCTION("""COMPUTED_VALUE"""),"Madre: Yully Sthephany LLano Henao")</f>
        <v>Madre: Yully Sthephany LLano Henao</v>
      </c>
      <c r="F121" s="6" t="str">
        <f>IFERROR(__xludf.DUMMYFUNCTION("""COMPUTED_VALUE"""),"La recojo la mamá de Ana Sofía hoyos ( Viviana Marín )")</f>
        <v>La recojo la mamá de Ana Sofía hoyos ( Viviana Marín )</v>
      </c>
      <c r="G121" s="6" t="str">
        <f>IFERROR(__xludf.DUMMYFUNCTION("""COMPUTED_VALUE"""),"4")</f>
        <v>4</v>
      </c>
      <c r="H121" s="6" t="str">
        <f>IFERROR(__xludf.DUMMYFUNCTION("""COMPUTED_VALUE"""),"Infante Llano Paulina")</f>
        <v>Infante Llano Paulina</v>
      </c>
      <c r="I121" s="6" t="str">
        <f>IFERROR(__xludf.DUMMYFUNCTION("""COMPUTED_VALUE"""),"Demograficos_Images/1345282166.Foto_Estudiante.140900.jpg")</f>
        <v>Demograficos_Images/1345282166.Foto_Estudiante.140900.jpg</v>
      </c>
      <c r="J121" s="8">
        <f>IFERROR(__xludf.DUMMYFUNCTION("""COMPUTED_VALUE"""),46254.618055555555)</f>
        <v>46254.61806</v>
      </c>
      <c r="K121" s="6" t="str">
        <f>IFERROR(__xludf.DUMMYFUNCTION("""COMPUTED_VALUE"""),"primaria@gi.edu.co")</f>
        <v>primaria@gi.edu.co</v>
      </c>
      <c r="L121" s="6" t="str">
        <f>IFERROR(__xludf.DUMMYFUNCTION("""COMPUTED_VALUE"""),"1345282166")</f>
        <v>1345282166</v>
      </c>
      <c r="M121" s="9">
        <f>IFERROR(__xludf.DUMMYFUNCTION("""COMPUTED_VALUE"""),46254.42644675926)</f>
        <v>46254.42645</v>
      </c>
      <c r="N121" s="6" t="str">
        <f>IFERROR(__xludf.DUMMYFUNCTION("""COMPUTED_VALUE"""),"Pendiente")</f>
        <v>Pendiente</v>
      </c>
      <c r="O121" s="6"/>
      <c r="P121" s="10">
        <f>IFERROR(__xludf.DUMMYFUNCTION("""COMPUTED_VALUE"""),46254.42644675926)</f>
        <v>46254.42645</v>
      </c>
      <c r="Q121" s="6"/>
      <c r="R121" s="6" t="str">
        <f>IFERROR(__xludf.DUMMYFUNCTION("""COMPUTED_VALUE"""),"Familiar (celebraciones, encuentros, despedidas, eucaristias)")</f>
        <v>Familiar (celebraciones, encuentros, despedidas, eucaristias)</v>
      </c>
      <c r="S121" s="6" t="b">
        <f>IFERROR(__xludf.DUMMYFUNCTION("""COMPUTED_VALUE"""),FALSE)</f>
        <v>0</v>
      </c>
      <c r="T121" s="6"/>
      <c r="U121" s="6" t="str">
        <f>IFERROR(__xludf.DUMMYFUNCTION("""COMPUTED_VALUE"""),"Salida temprano")</f>
        <v>Salida temprano</v>
      </c>
      <c r="V121" s="6"/>
      <c r="W121" s="6"/>
      <c r="X121" s="6"/>
      <c r="Y121" s="6"/>
      <c r="Z121" s="6"/>
    </row>
    <row r="122">
      <c r="A122" s="6" t="str">
        <f>IFERROR(__xludf.DUMMYFUNCTION("""COMPUTED_VALUE"""),"b123a11b")</f>
        <v>b123a11b</v>
      </c>
      <c r="B122" s="7" t="str">
        <f>IFERROR(__xludf.DUMMYFUNCTION("""COMPUTED_VALUE"""),"1345282334")</f>
        <v>1345282334</v>
      </c>
      <c r="C122" s="6" t="str">
        <f>IFERROR(__xludf.DUMMYFUNCTION("""COMPUTED_VALUE"""),"va en la tarde con la mamá de Ezequiel Rodríguez  de 4A")</f>
        <v>va en la tarde con la mamá de Ezequiel Rodríguez  de 4A</v>
      </c>
      <c r="D122" s="6" t="str">
        <f>IFERROR(__xludf.DUMMYFUNCTION("""COMPUTED_VALUE"""),"Madre")</f>
        <v>Madre</v>
      </c>
      <c r="E122" s="6" t="str">
        <f>IFERROR(__xludf.DUMMYFUNCTION("""COMPUTED_VALUE"""),"Madre: Mónica Bibiana Chica Sierra")</f>
        <v>Madre: Mónica Bibiana Chica Sierra</v>
      </c>
      <c r="F122" s="6" t="str">
        <f>IFERROR(__xludf.DUMMYFUNCTION("""COMPUTED_VALUE"""),"va en la tarde con la mamá de Ezequiel Rodríguez  de 4A")</f>
        <v>va en la tarde con la mamá de Ezequiel Rodríguez  de 4A</v>
      </c>
      <c r="G122" s="6" t="str">
        <f>IFERROR(__xludf.DUMMYFUNCTION("""COMPUTED_VALUE"""),"4")</f>
        <v>4</v>
      </c>
      <c r="H122" s="6" t="str">
        <f>IFERROR(__xludf.DUMMYFUNCTION("""COMPUTED_VALUE"""),"Roa Chica Juan Martín")</f>
        <v>Roa Chica Juan Martín</v>
      </c>
      <c r="I122" s="6" t="str">
        <f>IFERROR(__xludf.DUMMYFUNCTION("""COMPUTED_VALUE"""),"Demograficos_Images/1345282334.Foto_Estudiante.141339.jpg")</f>
        <v>Demograficos_Images/1345282334.Foto_Estudiante.141339.jpg</v>
      </c>
      <c r="J122" s="8">
        <f>IFERROR(__xludf.DUMMYFUNCTION("""COMPUTED_VALUE"""),46254.618055555555)</f>
        <v>46254.61806</v>
      </c>
      <c r="K122" s="6" t="str">
        <f>IFERROR(__xludf.DUMMYFUNCTION("""COMPUTED_VALUE"""),"primaria@gi.edu.co")</f>
        <v>primaria@gi.edu.co</v>
      </c>
      <c r="L122" s="6" t="str">
        <f>IFERROR(__xludf.DUMMYFUNCTION("""COMPUTED_VALUE"""),"1345282334")</f>
        <v>1345282334</v>
      </c>
      <c r="M122" s="9">
        <f>IFERROR(__xludf.DUMMYFUNCTION("""COMPUTED_VALUE"""),46254.43378472222)</f>
        <v>46254.43378</v>
      </c>
      <c r="N122" s="6" t="str">
        <f>IFERROR(__xludf.DUMMYFUNCTION("""COMPUTED_VALUE"""),"Pendiente")</f>
        <v>Pendiente</v>
      </c>
      <c r="O122" s="6"/>
      <c r="P122" s="10">
        <f>IFERROR(__xludf.DUMMYFUNCTION("""COMPUTED_VALUE"""),46254.43378472222)</f>
        <v>46254.43378</v>
      </c>
      <c r="Q122" s="6"/>
      <c r="R122" s="6" t="str">
        <f>IFERROR(__xludf.DUMMYFUNCTION("""COMPUTED_VALUE"""),"Familiar (celebraciones, encuentros, despedidas, eucaristias)")</f>
        <v>Familiar (celebraciones, encuentros, despedidas, eucaristias)</v>
      </c>
      <c r="S122" s="6" t="b">
        <f>IFERROR(__xludf.DUMMYFUNCTION("""COMPUTED_VALUE"""),FALSE)</f>
        <v>0</v>
      </c>
      <c r="T122" s="6"/>
      <c r="U122" s="6" t="str">
        <f>IFERROR(__xludf.DUMMYFUNCTION("""COMPUTED_VALUE"""),"Salida temprano")</f>
        <v>Salida temprano</v>
      </c>
      <c r="V122" s="6"/>
      <c r="W122" s="6"/>
      <c r="X122" s="6"/>
      <c r="Y122" s="6"/>
      <c r="Z122" s="6"/>
    </row>
    <row r="123">
      <c r="A123" s="6" t="str">
        <f>IFERROR(__xludf.DUMMYFUNCTION("""COMPUTED_VALUE"""),"648b8cdb")</f>
        <v>648b8cdb</v>
      </c>
      <c r="B123" s="7" t="str">
        <f>IFERROR(__xludf.DUMMYFUNCTION("""COMPUTED_VALUE"""),"1345282376")</f>
        <v>1345282376</v>
      </c>
      <c r="C123" s="6" t="str">
        <f>IFERROR(__xludf.DUMMYFUNCTION("""COMPUTED_VALUE"""),"Alicia Gómez con el papá de Helena Patiño")</f>
        <v>Alicia Gómez con el papá de Helena Patiño</v>
      </c>
      <c r="D123" s="6" t="str">
        <f>IFERROR(__xludf.DUMMYFUNCTION("""COMPUTED_VALUE"""),"Padre")</f>
        <v>Padre</v>
      </c>
      <c r="E123" s="6" t="str">
        <f>IFERROR(__xludf.DUMMYFUNCTION("""COMPUTED_VALUE"""),"Padre: Hernando  Alberto Gómez Londoño")</f>
        <v>Padre: Hernando  Alberto Gómez Londoño</v>
      </c>
      <c r="F123" s="6" t="str">
        <f>IFERROR(__xludf.DUMMYFUNCTION("""COMPUTED_VALUE"""),"Alicia Gómez con el papá de Helena Patiño")</f>
        <v>Alicia Gómez con el papá de Helena Patiño</v>
      </c>
      <c r="G123" s="6" t="str">
        <f>IFERROR(__xludf.DUMMYFUNCTION("""COMPUTED_VALUE"""),"3")</f>
        <v>3</v>
      </c>
      <c r="H123" s="6" t="str">
        <f>IFERROR(__xludf.DUMMYFUNCTION("""COMPUTED_VALUE"""),"Gómez Buriticá Alicia")</f>
        <v>Gómez Buriticá Alicia</v>
      </c>
      <c r="I123" s="6" t="str">
        <f>IFERROR(__xludf.DUMMYFUNCTION("""COMPUTED_VALUE"""),"Demograficos_Images/1345282376.Foto_Estudiante.132646.jpg")</f>
        <v>Demograficos_Images/1345282376.Foto_Estudiante.132646.jpg</v>
      </c>
      <c r="J123" s="8">
        <f>IFERROR(__xludf.DUMMYFUNCTION("""COMPUTED_VALUE"""),46254.618055555555)</f>
        <v>46254.61806</v>
      </c>
      <c r="K123" s="6" t="str">
        <f>IFERROR(__xludf.DUMMYFUNCTION("""COMPUTED_VALUE"""),"primaria@gi.edu.co")</f>
        <v>primaria@gi.edu.co</v>
      </c>
      <c r="L123" s="6" t="str">
        <f>IFERROR(__xludf.DUMMYFUNCTION("""COMPUTED_VALUE"""),"1345282376")</f>
        <v>1345282376</v>
      </c>
      <c r="M123" s="9">
        <f>IFERROR(__xludf.DUMMYFUNCTION("""COMPUTED_VALUE"""),46254.43614583334)</f>
        <v>46254.43615</v>
      </c>
      <c r="N123" s="6" t="str">
        <f>IFERROR(__xludf.DUMMYFUNCTION("""COMPUTED_VALUE"""),"Pendiente")</f>
        <v>Pendiente</v>
      </c>
      <c r="O123" s="6"/>
      <c r="P123" s="17">
        <f>IFERROR(__xludf.DUMMYFUNCTION("""COMPUTED_VALUE"""),46254.43614583334)</f>
        <v>46254.43615</v>
      </c>
      <c r="Q123" s="6"/>
      <c r="R123" s="6" t="str">
        <f>IFERROR(__xludf.DUMMYFUNCTION("""COMPUTED_VALUE"""),"Familiar (celebraciones, encuentros, despedidas, eucaristias)")</f>
        <v>Familiar (celebraciones, encuentros, despedidas, eucaristias)</v>
      </c>
      <c r="S123" s="6" t="b">
        <f>IFERROR(__xludf.DUMMYFUNCTION("""COMPUTED_VALUE"""),FALSE)</f>
        <v>0</v>
      </c>
      <c r="T123" s="6"/>
      <c r="U123" s="6" t="str">
        <f>IFERROR(__xludf.DUMMYFUNCTION("""COMPUTED_VALUE"""),"Salida temprano")</f>
        <v>Salida temprano</v>
      </c>
      <c r="V123" s="6"/>
      <c r="W123" s="6"/>
      <c r="X123" s="6"/>
      <c r="Y123" s="6"/>
      <c r="Z123" s="6"/>
    </row>
    <row r="124">
      <c r="A124" s="6" t="str">
        <f>IFERROR(__xludf.DUMMYFUNCTION("""COMPUTED_VALUE"""),"b225b771")</f>
        <v>b225b771</v>
      </c>
      <c r="B124" s="7" t="str">
        <f>IFERROR(__xludf.DUMMYFUNCTION("""COMPUTED_VALUE"""),"1345282132")</f>
        <v>1345282132</v>
      </c>
      <c r="C124" s="6" t="str">
        <f>IFERROR(__xludf.DUMMYFUNCTION("""COMPUTED_VALUE"""),"(las recoge María Camila Suárez la mamá de Mariana) porfa para que no se quede en extra y la pongan con ella en la carpa de hermanos")</f>
        <v>(las recoge María Camila Suárez la mamá de Mariana) porfa para que no se quede en extra y la pongan con ella en la carpa de hermanos</v>
      </c>
      <c r="D124" s="6" t="str">
        <f>IFERROR(__xludf.DUMMYFUNCTION("""COMPUTED_VALUE"""),"Madre")</f>
        <v>Madre</v>
      </c>
      <c r="E124" s="6" t="str">
        <f>IFERROR(__xludf.DUMMYFUNCTION("""COMPUTED_VALUE"""),"Madre: Laura  Osorio González")</f>
        <v>Madre: Laura  Osorio González</v>
      </c>
      <c r="F124" s="6" t="str">
        <f>IFERROR(__xludf.DUMMYFUNCTION("""COMPUTED_VALUE"""),"(las recoge María Camila Suárez la mamá de Mariana) porfa para que no se quede en extra y la pongan con ella en la carpa de hermanos")</f>
        <v>(las recoge María Camila Suárez la mamá de Mariana) porfa para que no se quede en extra y la pongan con ella en la carpa de hermanos</v>
      </c>
      <c r="G124" s="6" t="str">
        <f>IFERROR(__xludf.DUMMYFUNCTION("""COMPUTED_VALUE"""),"1")</f>
        <v>1</v>
      </c>
      <c r="H124" s="6" t="str">
        <f>IFERROR(__xludf.DUMMYFUNCTION("""COMPUTED_VALUE"""),"Arango Osorio Leticia")</f>
        <v>Arango Osorio Leticia</v>
      </c>
      <c r="I124" s="6" t="str">
        <f>IFERROR(__xludf.DUMMYFUNCTION("""COMPUTED_VALUE"""),"Demograficos_Images/1345282132.Foto_Estudiante.202730.jpg")</f>
        <v>Demograficos_Images/1345282132.Foto_Estudiante.202730.jpg</v>
      </c>
      <c r="J124" s="8">
        <f>IFERROR(__xludf.DUMMYFUNCTION("""COMPUTED_VALUE"""),46254.618055555555)</f>
        <v>46254.61806</v>
      </c>
      <c r="K124" s="6" t="str">
        <f>IFERROR(__xludf.DUMMYFUNCTION("""COMPUTED_VALUE"""),"primaria@gi.edu.co")</f>
        <v>primaria@gi.edu.co</v>
      </c>
      <c r="L124" s="6" t="str">
        <f>IFERROR(__xludf.DUMMYFUNCTION("""COMPUTED_VALUE"""),"1345282132")</f>
        <v>1345282132</v>
      </c>
      <c r="M124" s="9">
        <f>IFERROR(__xludf.DUMMYFUNCTION("""COMPUTED_VALUE"""),46254.44137731481)</f>
        <v>46254.44138</v>
      </c>
      <c r="N124" s="6" t="str">
        <f>IFERROR(__xludf.DUMMYFUNCTION("""COMPUTED_VALUE"""),"Pendiente")</f>
        <v>Pendiente</v>
      </c>
      <c r="O124" s="6"/>
      <c r="P124" s="17">
        <f>IFERROR(__xludf.DUMMYFUNCTION("""COMPUTED_VALUE"""),46254.44137731481)</f>
        <v>46254.44138</v>
      </c>
      <c r="Q124" s="6"/>
      <c r="R124" s="6" t="str">
        <f>IFERROR(__xludf.DUMMYFUNCTION("""COMPUTED_VALUE"""),"Familiar (celebraciones, encuentros, despedidas, eucaristias)")</f>
        <v>Familiar (celebraciones, encuentros, despedidas, eucaristias)</v>
      </c>
      <c r="S124" s="6" t="b">
        <f>IFERROR(__xludf.DUMMYFUNCTION("""COMPUTED_VALUE"""),FALSE)</f>
        <v>0</v>
      </c>
      <c r="T124" s="6"/>
      <c r="U124" s="6" t="str">
        <f>IFERROR(__xludf.DUMMYFUNCTION("""COMPUTED_VALUE"""),"Salida temprano")</f>
        <v>Salida temprano</v>
      </c>
      <c r="V124" s="6"/>
      <c r="W124" s="6"/>
      <c r="X124" s="6"/>
      <c r="Y124" s="6"/>
      <c r="Z124" s="6"/>
    </row>
    <row r="125">
      <c r="A125" s="6" t="str">
        <f>IFERROR(__xludf.DUMMYFUNCTION("""COMPUTED_VALUE"""),"a29bf9eb")</f>
        <v>a29bf9eb</v>
      </c>
      <c r="B125" s="7" t="str">
        <f>IFERROR(__xludf.DUMMYFUNCTION("""COMPUTED_VALUE"""),"1345281741")</f>
        <v>1345281741</v>
      </c>
      <c r="C125" s="6" t="str">
        <f>IFERROR(__xludf.DUMMYFUNCTION("""COMPUTED_VALUE"""),"no utilizará el servicio de transporte")</f>
        <v>no utilizará el servicio de transporte</v>
      </c>
      <c r="D125" s="6" t="str">
        <f>IFERROR(__xludf.DUMMYFUNCTION("""COMPUTED_VALUE"""),"Padre")</f>
        <v>Padre</v>
      </c>
      <c r="E125" s="6" t="str">
        <f>IFERROR(__xludf.DUMMYFUNCTION("""COMPUTED_VALUE"""),"Padre: Héctor Ernesto Bueno Rincón")</f>
        <v>Padre: Héctor Ernesto Bueno Rincón</v>
      </c>
      <c r="F125" s="6"/>
      <c r="G125" s="6" t="str">
        <f>IFERROR(__xludf.DUMMYFUNCTION("""COMPUTED_VALUE"""),"7")</f>
        <v>7</v>
      </c>
      <c r="H125" s="6" t="str">
        <f>IFERROR(__xludf.DUMMYFUNCTION("""COMPUTED_VALUE"""),"Bueno Céspedes Dominick")</f>
        <v>Bueno Céspedes Dominick</v>
      </c>
      <c r="I125" s="6" t="str">
        <f>IFERROR(__xludf.DUMMYFUNCTION("""COMPUTED_VALUE"""),"Demograficos_Images/1345281741.Foto_Estudiante.182330.jpg")</f>
        <v>Demograficos_Images/1345281741.Foto_Estudiante.182330.jpg</v>
      </c>
      <c r="J125" s="8">
        <f>IFERROR(__xludf.DUMMYFUNCTION("""COMPUTED_VALUE"""),46254.631944444445)</f>
        <v>46254.63194</v>
      </c>
      <c r="K125" s="6" t="str">
        <f>IFERROR(__xludf.DUMMYFUNCTION("""COMPUTED_VALUE"""),"secundaria@gi.edu.co")</f>
        <v>secundaria@gi.edu.co</v>
      </c>
      <c r="L125" s="6" t="str">
        <f>IFERROR(__xludf.DUMMYFUNCTION("""COMPUTED_VALUE"""),"1345281741")</f>
        <v>1345281741</v>
      </c>
      <c r="M125" s="9">
        <f>IFERROR(__xludf.DUMMYFUNCTION("""COMPUTED_VALUE"""),46254.48806712963)</f>
        <v>46254.48807</v>
      </c>
      <c r="N125" s="6" t="str">
        <f>IFERROR(__xludf.DUMMYFUNCTION("""COMPUTED_VALUE"""),"Pendiente")</f>
        <v>Pendiente</v>
      </c>
      <c r="O125" s="6"/>
      <c r="P125" s="17">
        <f>IFERROR(__xludf.DUMMYFUNCTION("""COMPUTED_VALUE"""),46254.48806712963)</f>
        <v>46254.48807</v>
      </c>
      <c r="Q125" s="6"/>
      <c r="R125" s="6" t="str">
        <f>IFERROR(__xludf.DUMMYFUNCTION("""COMPUTED_VALUE"""),"Secundaria")</f>
        <v>Secundaria</v>
      </c>
      <c r="S125" s="6"/>
      <c r="T125" s="6"/>
      <c r="U125" s="6"/>
      <c r="V125" s="6"/>
      <c r="W125" s="6"/>
      <c r="X125" s="6"/>
      <c r="Y125" s="6"/>
      <c r="Z125" s="6"/>
    </row>
    <row r="126">
      <c r="A126" s="6" t="str">
        <f>IFERROR(__xludf.DUMMYFUNCTION("""COMPUTED_VALUE"""),"6e038a1c")</f>
        <v>6e038a1c</v>
      </c>
      <c r="B126" s="7" t="str">
        <f>IFERROR(__xludf.DUMMYFUNCTION("""COMPUTED_VALUE"""),"1345281589")</f>
        <v>1345281589</v>
      </c>
      <c r="C126" s="6" t="str">
        <f>IFERROR(__xludf.DUMMYFUNCTION("""COMPUTED_VALUE"""),"cita medica")</f>
        <v>cita medica</v>
      </c>
      <c r="D126" s="6"/>
      <c r="E126" s="6"/>
      <c r="F126" s="6" t="str">
        <f>IFERROR(__xludf.DUMMYFUNCTION("""COMPUTED_VALUE"""),"Natalia Toquica David - Prima de la mamá")</f>
        <v>Natalia Toquica David - Prima de la mamá</v>
      </c>
      <c r="G126" s="6" t="str">
        <f>IFERROR(__xludf.DUMMYFUNCTION("""COMPUTED_VALUE"""),"8")</f>
        <v>8</v>
      </c>
      <c r="H126" s="6" t="str">
        <f>IFERROR(__xludf.DUMMYFUNCTION("""COMPUTED_VALUE"""),"Montaño David Jacobo")</f>
        <v>Montaño David Jacobo</v>
      </c>
      <c r="I126" s="6" t="str">
        <f>IFERROR(__xludf.DUMMYFUNCTION("""COMPUTED_VALUE"""),"Demograficos_Images/1345281589.Foto_Estudiante.191402.jpg")</f>
        <v>Demograficos_Images/1345281589.Foto_Estudiante.191402.jpg</v>
      </c>
      <c r="J126" s="8">
        <f>IFERROR(__xludf.DUMMYFUNCTION("""COMPUTED_VALUE"""),46255.444444444445)</f>
        <v>46255.44444</v>
      </c>
      <c r="K126" s="6" t="str">
        <f>IFERROR(__xludf.DUMMYFUNCTION("""COMPUTED_VALUE"""),"secundaria@gi.edu.co")</f>
        <v>secundaria@gi.edu.co</v>
      </c>
      <c r="L126" s="6" t="str">
        <f>IFERROR(__xludf.DUMMYFUNCTION("""COMPUTED_VALUE"""),"1345281589")</f>
        <v>1345281589</v>
      </c>
      <c r="M126" s="9">
        <f>IFERROR(__xludf.DUMMYFUNCTION("""COMPUTED_VALUE"""),46254.505277777775)</f>
        <v>46254.50528</v>
      </c>
      <c r="N126" s="6" t="str">
        <f>IFERROR(__xludf.DUMMYFUNCTION("""COMPUTED_VALUE"""),"Pendiente")</f>
        <v>Pendiente</v>
      </c>
      <c r="O126" s="6"/>
      <c r="P126" s="17">
        <f>IFERROR(__xludf.DUMMYFUNCTION("""COMPUTED_VALUE"""),46254.505277777775)</f>
        <v>46254.50528</v>
      </c>
      <c r="Q126" s="6"/>
      <c r="R126" s="6" t="str">
        <f>IFERROR(__xludf.DUMMYFUNCTION("""COMPUTED_VALUE"""),"Cita médica")</f>
        <v>Cita médica</v>
      </c>
      <c r="S126" s="6" t="b">
        <f>IFERROR(__xludf.DUMMYFUNCTION("""COMPUTED_VALUE"""),FALSE)</f>
        <v>0</v>
      </c>
      <c r="T126" s="6"/>
      <c r="U126" s="6"/>
      <c r="V126" s="6"/>
      <c r="W126" s="6"/>
      <c r="X126" s="6"/>
      <c r="Y126" s="6"/>
      <c r="Z126" s="6"/>
    </row>
    <row r="127">
      <c r="A127" s="6" t="str">
        <f>IFERROR(__xludf.DUMMYFUNCTION("""COMPUTED_VALUE"""),"8fa2f402")</f>
        <v>8fa2f402</v>
      </c>
      <c r="B127" s="7" t="str">
        <f>IFERROR(__xludf.DUMMYFUNCTION("""COMPUTED_VALUE"""),"1345282128")</f>
        <v>1345282128</v>
      </c>
      <c r="C127" s="6" t="str">
        <f>IFERROR(__xludf.DUMMYFUNCTION("""COMPUTED_VALUE"""),"sale con carolina")</f>
        <v>sale con carolina</v>
      </c>
      <c r="D127" s="6"/>
      <c r="E127" s="6"/>
      <c r="F127" s="6" t="str">
        <f>IFERROR(__xludf.DUMMYFUNCTION("""COMPUTED_VALUE"""),"Sale con Carolina")</f>
        <v>Sale con Carolina</v>
      </c>
      <c r="G127" s="6" t="str">
        <f>IFERROR(__xludf.DUMMYFUNCTION("""COMPUTED_VALUE"""),"4")</f>
        <v>4</v>
      </c>
      <c r="H127" s="6" t="str">
        <f>IFERROR(__xludf.DUMMYFUNCTION("""COMPUTED_VALUE"""),"Rodríguez Giraldo Sofía")</f>
        <v>Rodríguez Giraldo Sofía</v>
      </c>
      <c r="I127" s="6" t="str">
        <f>IFERROR(__xludf.DUMMYFUNCTION("""COMPUTED_VALUE"""),"Demograficos_Images/1345282128.Foto_Estudiante.141348.jpg")</f>
        <v>Demograficos_Images/1345282128.Foto_Estudiante.141348.jpg</v>
      </c>
      <c r="J127" s="8">
        <f>IFERROR(__xludf.DUMMYFUNCTION("""COMPUTED_VALUE"""),46254.618055555555)</f>
        <v>46254.61806</v>
      </c>
      <c r="K127" s="6" t="str">
        <f>IFERROR(__xludf.DUMMYFUNCTION("""COMPUTED_VALUE"""),"primaria@gi.edu.co")</f>
        <v>primaria@gi.edu.co</v>
      </c>
      <c r="L127" s="6" t="str">
        <f>IFERROR(__xludf.DUMMYFUNCTION("""COMPUTED_VALUE"""),"1345282128")</f>
        <v>1345282128</v>
      </c>
      <c r="M127" s="9">
        <f>IFERROR(__xludf.DUMMYFUNCTION("""COMPUTED_VALUE"""),46254.526724537034)</f>
        <v>46254.52672</v>
      </c>
      <c r="N127" s="6" t="str">
        <f>IFERROR(__xludf.DUMMYFUNCTION("""COMPUTED_VALUE"""),"Pendiente")</f>
        <v>Pendiente</v>
      </c>
      <c r="O127" s="6"/>
      <c r="P127" s="17">
        <f>IFERROR(__xludf.DUMMYFUNCTION("""COMPUTED_VALUE"""),46254.526724537034)</f>
        <v>46254.52672</v>
      </c>
      <c r="Q127" s="6"/>
      <c r="R127" s="6" t="str">
        <f>IFERROR(__xludf.DUMMYFUNCTION("""COMPUTED_VALUE"""),"Familiar (celebraciones, encuentros, despedidas, eucaristias)")</f>
        <v>Familiar (celebraciones, encuentros, despedidas, eucaristias)</v>
      </c>
      <c r="S127" s="6" t="b">
        <f>IFERROR(__xludf.DUMMYFUNCTION("""COMPUTED_VALUE"""),FALSE)</f>
        <v>0</v>
      </c>
      <c r="T127" s="6"/>
      <c r="U127" s="6" t="str">
        <f>IFERROR(__xludf.DUMMYFUNCTION("""COMPUTED_VALUE"""),"Salida temprano")</f>
        <v>Salida temprano</v>
      </c>
      <c r="V127" s="6"/>
      <c r="W127" s="6"/>
      <c r="X127" s="6"/>
      <c r="Y127" s="6"/>
      <c r="Z127" s="6"/>
    </row>
    <row r="128">
      <c r="A128" s="6" t="str">
        <f>IFERROR(__xludf.DUMMYFUNCTION("""COMPUTED_VALUE"""),"61d2f238")</f>
        <v>61d2f238</v>
      </c>
      <c r="B128" s="7" t="str">
        <f>IFERROR(__xludf.DUMMYFUNCTION("""COMPUTED_VALUE"""),"1345281962")</f>
        <v>1345281962</v>
      </c>
      <c r="C128" s="6" t="str">
        <f>IFERROR(__xludf.DUMMYFUNCTION("""COMPUTED_VALUE"""),"Pedro Botero Cortes y Gael Botero Cortes se van hoy con Ezequie")</f>
        <v>Pedro Botero Cortes y Gael Botero Cortes se van hoy con Ezequie</v>
      </c>
      <c r="D128" s="6"/>
      <c r="E128" s="6"/>
      <c r="F128" s="6" t="str">
        <f>IFERROR(__xludf.DUMMYFUNCTION("""COMPUTED_VALUE"""),"Pedro Botero Cortes y Gael Botero Cortes se van hoy con Ezequie")</f>
        <v>Pedro Botero Cortes y Gael Botero Cortes se van hoy con Ezequie</v>
      </c>
      <c r="G128" s="6" t="str">
        <f>IFERROR(__xludf.DUMMYFUNCTION("""COMPUTED_VALUE"""),"4")</f>
        <v>4</v>
      </c>
      <c r="H128" s="6" t="str">
        <f>IFERROR(__xludf.DUMMYFUNCTION("""COMPUTED_VALUE"""),"Botero Cortés Gael")</f>
        <v>Botero Cortés Gael</v>
      </c>
      <c r="I128" s="6" t="str">
        <f>IFERROR(__xludf.DUMMYFUNCTION("""COMPUTED_VALUE"""),"Demograficos_Images/1345281962.Foto_Estudiante.140546.jpg")</f>
        <v>Demograficos_Images/1345281962.Foto_Estudiante.140546.jpg</v>
      </c>
      <c r="J128" s="8">
        <f>IFERROR(__xludf.DUMMYFUNCTION("""COMPUTED_VALUE"""),46254.618055555555)</f>
        <v>46254.61806</v>
      </c>
      <c r="K128" s="6" t="str">
        <f>IFERROR(__xludf.DUMMYFUNCTION("""COMPUTED_VALUE"""),"primaria@gi.edu.co")</f>
        <v>primaria@gi.edu.co</v>
      </c>
      <c r="L128" s="6" t="str">
        <f>IFERROR(__xludf.DUMMYFUNCTION("""COMPUTED_VALUE"""),"1345281962")</f>
        <v>1345281962</v>
      </c>
      <c r="M128" s="9">
        <f>IFERROR(__xludf.DUMMYFUNCTION("""COMPUTED_VALUE"""),46254.52826388889)</f>
        <v>46254.52826</v>
      </c>
      <c r="N128" s="6" t="str">
        <f>IFERROR(__xludf.DUMMYFUNCTION("""COMPUTED_VALUE"""),"Pendiente")</f>
        <v>Pendiente</v>
      </c>
      <c r="O128" s="6"/>
      <c r="P128" s="17">
        <f>IFERROR(__xludf.DUMMYFUNCTION("""COMPUTED_VALUE"""),46254.52826388889)</f>
        <v>46254.52826</v>
      </c>
      <c r="Q128" s="6"/>
      <c r="R128" s="6" t="str">
        <f>IFERROR(__xludf.DUMMYFUNCTION("""COMPUTED_VALUE"""),"Familiar (celebraciones, encuentros, despedidas, eucaristias)")</f>
        <v>Familiar (celebraciones, encuentros, despedidas, eucaristias)</v>
      </c>
      <c r="S128" s="6" t="b">
        <f>IFERROR(__xludf.DUMMYFUNCTION("""COMPUTED_VALUE"""),FALSE)</f>
        <v>0</v>
      </c>
      <c r="T128" s="6"/>
      <c r="U128" s="6"/>
      <c r="V128" s="6"/>
      <c r="W128" s="6"/>
      <c r="X128" s="6"/>
      <c r="Y128" s="6"/>
      <c r="Z128" s="6"/>
    </row>
    <row r="129">
      <c r="A129" s="6" t="str">
        <f>IFERROR(__xludf.DUMMYFUNCTION("""COMPUTED_VALUE"""),"fdb48056")</f>
        <v>fdb48056</v>
      </c>
      <c r="B129" s="7" t="str">
        <f>IFERROR(__xludf.DUMMYFUNCTION("""COMPUTED_VALUE"""),"1345281963")</f>
        <v>1345281963</v>
      </c>
      <c r="C129" s="6" t="str">
        <f>IFERROR(__xludf.DUMMYFUNCTION("""COMPUTED_VALUE"""),"Pedro Botero Cortes y Gael Botero Cortes se van hoy con Ezequie")</f>
        <v>Pedro Botero Cortes y Gael Botero Cortes se van hoy con Ezequie</v>
      </c>
      <c r="D129" s="6"/>
      <c r="E129" s="6"/>
      <c r="F129" s="6" t="str">
        <f>IFERROR(__xludf.DUMMYFUNCTION("""COMPUTED_VALUE"""),"Pedro Botero Cortes y Gael Botero Cortes se van hoy con Ezequie")</f>
        <v>Pedro Botero Cortes y Gael Botero Cortes se van hoy con Ezequie</v>
      </c>
      <c r="G129" s="6" t="str">
        <f>IFERROR(__xludf.DUMMYFUNCTION("""COMPUTED_VALUE"""),"4")</f>
        <v>4</v>
      </c>
      <c r="H129" s="6" t="str">
        <f>IFERROR(__xludf.DUMMYFUNCTION("""COMPUTED_VALUE"""),"Botero Cortés Pedro")</f>
        <v>Botero Cortés Pedro</v>
      </c>
      <c r="I129" s="6" t="str">
        <f>IFERROR(__xludf.DUMMYFUNCTION("""COMPUTED_VALUE"""),"Demograficos_Images/1345281963.Foto_Estudiante.140532.jpg")</f>
        <v>Demograficos_Images/1345281963.Foto_Estudiante.140532.jpg</v>
      </c>
      <c r="J129" s="8">
        <f>IFERROR(__xludf.DUMMYFUNCTION("""COMPUTED_VALUE"""),46254.618055555555)</f>
        <v>46254.61806</v>
      </c>
      <c r="K129" s="6" t="str">
        <f>IFERROR(__xludf.DUMMYFUNCTION("""COMPUTED_VALUE"""),"primaria@gi.edu.co")</f>
        <v>primaria@gi.edu.co</v>
      </c>
      <c r="L129" s="6" t="str">
        <f>IFERROR(__xludf.DUMMYFUNCTION("""COMPUTED_VALUE"""),"1345281963")</f>
        <v>1345281963</v>
      </c>
      <c r="M129" s="9">
        <f>IFERROR(__xludf.DUMMYFUNCTION("""COMPUTED_VALUE"""),46254.52979166667)</f>
        <v>46254.52979</v>
      </c>
      <c r="N129" s="6" t="str">
        <f>IFERROR(__xludf.DUMMYFUNCTION("""COMPUTED_VALUE"""),"Pendiente")</f>
        <v>Pendiente</v>
      </c>
      <c r="O129" s="6"/>
      <c r="P129" s="17">
        <f>IFERROR(__xludf.DUMMYFUNCTION("""COMPUTED_VALUE"""),46254.52979166667)</f>
        <v>46254.52979</v>
      </c>
      <c r="Q129" s="6"/>
      <c r="R129" s="6" t="str">
        <f>IFERROR(__xludf.DUMMYFUNCTION("""COMPUTED_VALUE"""),"Familiar (celebraciones, encuentros, despedidas, eucaristias)")</f>
        <v>Familiar (celebraciones, encuentros, despedidas, eucaristias)</v>
      </c>
      <c r="S129" s="6" t="b">
        <f>IFERROR(__xludf.DUMMYFUNCTION("""COMPUTED_VALUE"""),FALSE)</f>
        <v>0</v>
      </c>
      <c r="T129" s="6"/>
      <c r="U129" s="6"/>
      <c r="V129" s="6"/>
      <c r="W129" s="6"/>
      <c r="X129" s="6"/>
      <c r="Y129" s="6"/>
      <c r="Z129" s="6"/>
    </row>
    <row r="130">
      <c r="A130" s="6" t="str">
        <f>IFERROR(__xludf.DUMMYFUNCTION("""COMPUTED_VALUE"""),"f72cfb28")</f>
        <v>f72cfb28</v>
      </c>
      <c r="B130" s="7" t="str">
        <f>IFERROR(__xludf.DUMMYFUNCTION("""COMPUTED_VALUE"""),"1345282167")</f>
        <v>1345282167</v>
      </c>
      <c r="C130" s="6" t="str">
        <f>IFERROR(__xludf.DUMMYFUNCTION("""COMPUTED_VALUE"""),"Valentina villegas se va con Isa Aragón")</f>
        <v>Valentina villegas se va con Isa Aragón</v>
      </c>
      <c r="D130" s="6"/>
      <c r="E130" s="6"/>
      <c r="F130" s="6" t="str">
        <f>IFERROR(__xludf.DUMMYFUNCTION("""COMPUTED_VALUE"""),"Valentina villegas se va con Isa Aragón")</f>
        <v>Valentina villegas se va con Isa Aragón</v>
      </c>
      <c r="G130" s="6" t="str">
        <f>IFERROR(__xludf.DUMMYFUNCTION("""COMPUTED_VALUE"""),"5")</f>
        <v>5</v>
      </c>
      <c r="H130" s="6" t="str">
        <f>IFERROR(__xludf.DUMMYFUNCTION("""COMPUTED_VALUE"""),"Villegas Castro Valentina")</f>
        <v>Villegas Castro Valentina</v>
      </c>
      <c r="I130" s="6" t="str">
        <f>IFERROR(__xludf.DUMMYFUNCTION("""COMPUTED_VALUE"""),"Demograficos_Images/1345282167.Foto_Estudiante.144054.jpg")</f>
        <v>Demograficos_Images/1345282167.Foto_Estudiante.144054.jpg</v>
      </c>
      <c r="J130" s="8">
        <f>IFERROR(__xludf.DUMMYFUNCTION("""COMPUTED_VALUE"""),46254.618055555555)</f>
        <v>46254.61806</v>
      </c>
      <c r="K130" s="6" t="str">
        <f>IFERROR(__xludf.DUMMYFUNCTION("""COMPUTED_VALUE"""),"primaria@gi.edu.co")</f>
        <v>primaria@gi.edu.co</v>
      </c>
      <c r="L130" s="6" t="str">
        <f>IFERROR(__xludf.DUMMYFUNCTION("""COMPUTED_VALUE"""),"1345282167")</f>
        <v>1345282167</v>
      </c>
      <c r="M130" s="9">
        <f>IFERROR(__xludf.DUMMYFUNCTION("""COMPUTED_VALUE"""),46254.533113425925)</f>
        <v>46254.53311</v>
      </c>
      <c r="N130" s="6" t="str">
        <f>IFERROR(__xludf.DUMMYFUNCTION("""COMPUTED_VALUE"""),"Pendiente")</f>
        <v>Pendiente</v>
      </c>
      <c r="O130" s="6"/>
      <c r="P130" s="17">
        <f>IFERROR(__xludf.DUMMYFUNCTION("""COMPUTED_VALUE"""),46254.533113425925)</f>
        <v>46254.53311</v>
      </c>
      <c r="Q130" s="6"/>
      <c r="R130" s="6" t="str">
        <f>IFERROR(__xludf.DUMMYFUNCTION("""COMPUTED_VALUE"""),"Familiar (celebraciones, encuentros, despedidas, eucaristias)")</f>
        <v>Familiar (celebraciones, encuentros, despedidas, eucaristias)</v>
      </c>
      <c r="S130" s="6" t="b">
        <f>IFERROR(__xludf.DUMMYFUNCTION("""COMPUTED_VALUE"""),FALSE)</f>
        <v>0</v>
      </c>
      <c r="T130" s="6"/>
      <c r="U130" s="6" t="str">
        <f>IFERROR(__xludf.DUMMYFUNCTION("""COMPUTED_VALUE"""),"Salida temprano")</f>
        <v>Salida temprano</v>
      </c>
      <c r="V130" s="6"/>
      <c r="W130" s="6"/>
      <c r="X130" s="6"/>
      <c r="Y130" s="6"/>
      <c r="Z130" s="6"/>
    </row>
    <row r="131">
      <c r="A131" s="6" t="str">
        <f>IFERROR(__xludf.DUMMYFUNCTION("""COMPUTED_VALUE"""),"fe0e48b6")</f>
        <v>fe0e48b6</v>
      </c>
      <c r="B131" s="7" t="str">
        <f>IFERROR(__xludf.DUMMYFUNCTION("""COMPUTED_VALUE"""),"1345282518")</f>
        <v>1345282518</v>
      </c>
      <c r="C131" s="6" t="str">
        <f>IFERROR(__xludf.DUMMYFUNCTION("""COMPUTED_VALUE"""),"Isabella Jaramillo que hoy la recoge Farid el papá de Ivanna Gaitan")</f>
        <v>Isabella Jaramillo que hoy la recoge Farid el papá de Ivanna Gaitan</v>
      </c>
      <c r="D131" s="6"/>
      <c r="E131" s="6"/>
      <c r="F131" s="6" t="str">
        <f>IFERROR(__xludf.DUMMYFUNCTION("""COMPUTED_VALUE"""),"Isabella Jaramillo que hoy la recoge Farid el papá de Ivanna Gaitan")</f>
        <v>Isabella Jaramillo que hoy la recoge Farid el papá de Ivanna Gaitan</v>
      </c>
      <c r="G131" s="6" t="str">
        <f>IFERROR(__xludf.DUMMYFUNCTION("""COMPUTED_VALUE"""),"3")</f>
        <v>3</v>
      </c>
      <c r="H131" s="6" t="str">
        <f>IFERROR(__xludf.DUMMYFUNCTION("""COMPUTED_VALUE"""),"Jaramillo Cortés Isabella")</f>
        <v>Jaramillo Cortés Isabella</v>
      </c>
      <c r="I131" s="6" t="str">
        <f>IFERROR(__xludf.DUMMYFUNCTION("""COMPUTED_VALUE"""),"Demograficos_Images/1345282518.Foto_Estudiante.132720.jpg")</f>
        <v>Demograficos_Images/1345282518.Foto_Estudiante.132720.jpg</v>
      </c>
      <c r="J131" s="8">
        <f>IFERROR(__xludf.DUMMYFUNCTION("""COMPUTED_VALUE"""),46254.618055555555)</f>
        <v>46254.61806</v>
      </c>
      <c r="K131" s="6" t="str">
        <f>IFERROR(__xludf.DUMMYFUNCTION("""COMPUTED_VALUE"""),"primaria@gi.edu.co")</f>
        <v>primaria@gi.edu.co</v>
      </c>
      <c r="L131" s="6" t="str">
        <f>IFERROR(__xludf.DUMMYFUNCTION("""COMPUTED_VALUE"""),"1345282518")</f>
        <v>1345282518</v>
      </c>
      <c r="M131" s="9">
        <f>IFERROR(__xludf.DUMMYFUNCTION("""COMPUTED_VALUE"""),46254.54408564815)</f>
        <v>46254.54409</v>
      </c>
      <c r="N131" s="6" t="str">
        <f>IFERROR(__xludf.DUMMYFUNCTION("""COMPUTED_VALUE"""),"Pendiente")</f>
        <v>Pendiente</v>
      </c>
      <c r="O131" s="6"/>
      <c r="P131" s="17">
        <f>IFERROR(__xludf.DUMMYFUNCTION("""COMPUTED_VALUE"""),46254.54408564815)</f>
        <v>46254.54409</v>
      </c>
      <c r="Q131" s="6"/>
      <c r="R131" s="6" t="str">
        <f>IFERROR(__xludf.DUMMYFUNCTION("""COMPUTED_VALUE"""),"Familiar (celebraciones, encuentros, despedidas, eucaristias)")</f>
        <v>Familiar (celebraciones, encuentros, despedidas, eucaristias)</v>
      </c>
      <c r="S131" s="6" t="b">
        <f>IFERROR(__xludf.DUMMYFUNCTION("""COMPUTED_VALUE"""),FALSE)</f>
        <v>0</v>
      </c>
      <c r="T131" s="6"/>
      <c r="U131" s="6" t="str">
        <f>IFERROR(__xludf.DUMMYFUNCTION("""COMPUTED_VALUE"""),"Salida temprano")</f>
        <v>Salida temprano</v>
      </c>
      <c r="V131" s="6"/>
      <c r="W131" s="6"/>
      <c r="X131" s="6"/>
      <c r="Y131" s="6"/>
      <c r="Z131" s="6"/>
    </row>
    <row r="132">
      <c r="A132" s="6" t="str">
        <f>IFERROR(__xludf.DUMMYFUNCTION("""COMPUTED_VALUE"""),"3d221ac3")</f>
        <v>3d221ac3</v>
      </c>
      <c r="B132" s="7" t="str">
        <f>IFERROR(__xludf.DUMMYFUNCTION("""COMPUTED_VALUE"""),"1345281341")</f>
        <v>1345281341</v>
      </c>
      <c r="C132" s="6" t="str">
        <f>IFERROR(__xludf.DUMMYFUNCTION("""COMPUTED_VALUE"""),"sale caminando la mamá envio correo")</f>
        <v>sale caminando la mamá envio correo</v>
      </c>
      <c r="D132" s="6"/>
      <c r="E132" s="6"/>
      <c r="F132" s="6"/>
      <c r="G132" s="6" t="str">
        <f>IFERROR(__xludf.DUMMYFUNCTION("""COMPUTED_VALUE"""),"11")</f>
        <v>11</v>
      </c>
      <c r="H132" s="6" t="str">
        <f>IFERROR(__xludf.DUMMYFUNCTION("""COMPUTED_VALUE"""),"Rodríguez Restrepo Santiago")</f>
        <v>Rodríguez Restrepo Santiago</v>
      </c>
      <c r="I132" s="6"/>
      <c r="J132" s="8">
        <f>IFERROR(__xludf.DUMMYFUNCTION("""COMPUTED_VALUE"""),46254.541666666664)</f>
        <v>46254.54167</v>
      </c>
      <c r="K132" s="6" t="str">
        <f>IFERROR(__xludf.DUMMYFUNCTION("""COMPUTED_VALUE"""),"secundaria@gi.edu.co")</f>
        <v>secundaria@gi.edu.co</v>
      </c>
      <c r="L132" s="6" t="str">
        <f>IFERROR(__xludf.DUMMYFUNCTION("""COMPUTED_VALUE"""),"1345281341")</f>
        <v>1345281341</v>
      </c>
      <c r="M132" s="9">
        <f>IFERROR(__xludf.DUMMYFUNCTION("""COMPUTED_VALUE"""),46254.547060185185)</f>
        <v>46254.54706</v>
      </c>
      <c r="N132" s="6" t="str">
        <f>IFERROR(__xludf.DUMMYFUNCTION("""COMPUTED_VALUE"""),"Pendiente")</f>
        <v>Pendiente</v>
      </c>
      <c r="O132" s="6"/>
      <c r="P132" s="17">
        <f>IFERROR(__xludf.DUMMYFUNCTION("""COMPUTED_VALUE"""),46254.547060185185)</f>
        <v>46254.54706</v>
      </c>
      <c r="Q132" s="6"/>
      <c r="R132" s="6" t="str">
        <f>IFERROR(__xludf.DUMMYFUNCTION("""COMPUTED_VALUE"""),"Entrenamiento deportivo (futbol- tenis- golf- badminton, etc)")</f>
        <v>Entrenamiento deportivo (futbol- tenis- golf- badminton, etc)</v>
      </c>
      <c r="S132" s="6" t="b">
        <f>IFERROR(__xludf.DUMMYFUNCTION("""COMPUTED_VALUE"""),FALSE)</f>
        <v>0</v>
      </c>
      <c r="T132" s="6"/>
      <c r="U132" s="6" t="str">
        <f>IFERROR(__xludf.DUMMYFUNCTION("""COMPUTED_VALUE"""),"Salida temprano")</f>
        <v>Salida temprano</v>
      </c>
      <c r="V132" s="6"/>
      <c r="W132" s="6"/>
      <c r="X132" s="6"/>
      <c r="Y132" s="6"/>
      <c r="Z132" s="6"/>
    </row>
    <row r="133">
      <c r="A133" s="6" t="str">
        <f>IFERROR(__xludf.DUMMYFUNCTION("""COMPUTED_VALUE"""),"86c2ca91")</f>
        <v>86c2ca91</v>
      </c>
      <c r="B133" s="7" t="str">
        <f>IFERROR(__xludf.DUMMYFUNCTION("""COMPUTED_VALUE"""),"1345282287")</f>
        <v>1345282287</v>
      </c>
      <c r="C133" s="6" t="str">
        <f>IFERROR(__xludf.DUMMYFUNCTION("""COMPUTED_VALUE"""),"Linita Salma sale temprano .. no se queda en Extrasports… sale con Mariana Manzanera")</f>
        <v>Linita Salma sale temprano .. no se queda en Extrasports… sale con Mariana Manzanera</v>
      </c>
      <c r="D133" s="6"/>
      <c r="E133" s="6"/>
      <c r="F133" s="6" t="str">
        <f>IFERROR(__xludf.DUMMYFUNCTION("""COMPUTED_VALUE"""),"Linita Salma sale temprano .. no se queda en Extrasports… sale con Mariana Manzanera")</f>
        <v>Linita Salma sale temprano .. no se queda en Extrasports… sale con Mariana Manzanera</v>
      </c>
      <c r="G133" s="6" t="str">
        <f>IFERROR(__xludf.DUMMYFUNCTION("""COMPUTED_VALUE"""),"1")</f>
        <v>1</v>
      </c>
      <c r="H133" s="6" t="str">
        <f>IFERROR(__xludf.DUMMYFUNCTION("""COMPUTED_VALUE"""),"Gómez Aristizábal Salma")</f>
        <v>Gómez Aristizábal Salma</v>
      </c>
      <c r="I133" s="6" t="str">
        <f>IFERROR(__xludf.DUMMYFUNCTION("""COMPUTED_VALUE"""),"Demograficos_Images/1345282287.Foto_Estudiante.202945.jpg")</f>
        <v>Demograficos_Images/1345282287.Foto_Estudiante.202945.jpg</v>
      </c>
      <c r="J133" s="8">
        <f>IFERROR(__xludf.DUMMYFUNCTION("""COMPUTED_VALUE"""),46254.618055555555)</f>
        <v>46254.61806</v>
      </c>
      <c r="K133" s="6" t="str">
        <f>IFERROR(__xludf.DUMMYFUNCTION("""COMPUTED_VALUE"""),"primaria@gi.edu.co")</f>
        <v>primaria@gi.edu.co</v>
      </c>
      <c r="L133" s="6" t="str">
        <f>IFERROR(__xludf.DUMMYFUNCTION("""COMPUTED_VALUE"""),"1345282287")</f>
        <v>1345282287</v>
      </c>
      <c r="M133" s="9">
        <f>IFERROR(__xludf.DUMMYFUNCTION("""COMPUTED_VALUE"""),46254.555983796294)</f>
        <v>46254.55598</v>
      </c>
      <c r="N133" s="6" t="str">
        <f>IFERROR(__xludf.DUMMYFUNCTION("""COMPUTED_VALUE"""),"Pendiente")</f>
        <v>Pendiente</v>
      </c>
      <c r="O133" s="6"/>
      <c r="P133" s="17">
        <f>IFERROR(__xludf.DUMMYFUNCTION("""COMPUTED_VALUE"""),46254.555983796294)</f>
        <v>46254.55598</v>
      </c>
      <c r="Q133" s="6"/>
      <c r="R133" s="6" t="str">
        <f>IFERROR(__xludf.DUMMYFUNCTION("""COMPUTED_VALUE"""),"Familiar (celebraciones, encuentros, despedidas, eucaristias)")</f>
        <v>Familiar (celebraciones, encuentros, despedidas, eucaristias)</v>
      </c>
      <c r="S133" s="6" t="b">
        <f>IFERROR(__xludf.DUMMYFUNCTION("""COMPUTED_VALUE"""),FALSE)</f>
        <v>0</v>
      </c>
      <c r="T133" s="6"/>
      <c r="U133" s="6" t="str">
        <f>IFERROR(__xludf.DUMMYFUNCTION("""COMPUTED_VALUE"""),"Salida temprano")</f>
        <v>Salida temprano</v>
      </c>
      <c r="V133" s="6"/>
      <c r="W133" s="6"/>
      <c r="X133" s="6"/>
      <c r="Y133" s="6"/>
      <c r="Z133" s="6"/>
    </row>
    <row r="134">
      <c r="A134" s="6" t="str">
        <f>IFERROR(__xludf.DUMMYFUNCTION("""COMPUTED_VALUE"""),"51d8d152")</f>
        <v>51d8d152</v>
      </c>
      <c r="B134" s="7" t="str">
        <f>IFERROR(__xludf.DUMMYFUNCTION("""COMPUTED_VALUE"""),"1345282200")</f>
        <v>1345282200</v>
      </c>
      <c r="C134" s="6" t="str">
        <f>IFERROR(__xludf.DUMMYFUNCTION("""COMPUTED_VALUE"""),"sale con Guadalupe Gomez")</f>
        <v>sale con Guadalupe Gomez</v>
      </c>
      <c r="D134" s="6"/>
      <c r="E134" s="6"/>
      <c r="F134" s="6" t="str">
        <f>IFERROR(__xludf.DUMMYFUNCTION("""COMPUTED_VALUE"""),"Johana Pardo mamá Guadalupe Gomez")</f>
        <v>Johana Pardo mamá Guadalupe Gomez</v>
      </c>
      <c r="G134" s="6" t="str">
        <f>IFERROR(__xludf.DUMMYFUNCTION("""COMPUTED_VALUE"""),"10")</f>
        <v>10</v>
      </c>
      <c r="H134" s="6" t="str">
        <f>IFERROR(__xludf.DUMMYFUNCTION("""COMPUTED_VALUE"""),"Albarracín Gutiérrez Salomé")</f>
        <v>Albarracín Gutiérrez Salomé</v>
      </c>
      <c r="I134" s="6" t="str">
        <f>IFERROR(__xludf.DUMMYFUNCTION("""COMPUTED_VALUE"""),"Demograficos_Images/1345282200.Foto_Estudiante.184656.jpg")</f>
        <v>Demograficos_Images/1345282200.Foto_Estudiante.184656.jpg</v>
      </c>
      <c r="J134" s="8">
        <f>IFERROR(__xludf.DUMMYFUNCTION("""COMPUTED_VALUE"""),46254.631944444445)</f>
        <v>46254.63194</v>
      </c>
      <c r="K134" s="6" t="str">
        <f>IFERROR(__xludf.DUMMYFUNCTION("""COMPUTED_VALUE"""),"secundaria@gi.edu.co")</f>
        <v>secundaria@gi.edu.co</v>
      </c>
      <c r="L134" s="6" t="str">
        <f>IFERROR(__xludf.DUMMYFUNCTION("""COMPUTED_VALUE"""),"1345282200")</f>
        <v>1345282200</v>
      </c>
      <c r="M134" s="9">
        <f>IFERROR(__xludf.DUMMYFUNCTION("""COMPUTED_VALUE"""),46254.55594907407)</f>
        <v>46254.55595</v>
      </c>
      <c r="N134" s="6" t="str">
        <f>IFERROR(__xludf.DUMMYFUNCTION("""COMPUTED_VALUE"""),"Pendiente")</f>
        <v>Pendiente</v>
      </c>
      <c r="O134" s="6"/>
      <c r="P134" s="17">
        <f>IFERROR(__xludf.DUMMYFUNCTION("""COMPUTED_VALUE"""),46254.55594907407)</f>
        <v>46254.55595</v>
      </c>
      <c r="Q134" s="6"/>
      <c r="R134" s="6" t="str">
        <f>IFERROR(__xludf.DUMMYFUNCTION("""COMPUTED_VALUE"""),"Secundaria")</f>
        <v>Secundaria</v>
      </c>
      <c r="S134" s="6" t="b">
        <f>IFERROR(__xludf.DUMMYFUNCTION("""COMPUTED_VALUE"""),FALSE)</f>
        <v>0</v>
      </c>
      <c r="T134" s="6"/>
      <c r="U134" s="6"/>
      <c r="V134" s="6"/>
      <c r="W134" s="6"/>
      <c r="X134" s="6"/>
      <c r="Y134" s="6"/>
      <c r="Z134" s="6"/>
    </row>
    <row r="135">
      <c r="A135" s="6" t="str">
        <f>IFERROR(__xludf.DUMMYFUNCTION("""COMPUTED_VALUE"""),"d43afb1f")</f>
        <v>d43afb1f</v>
      </c>
      <c r="B135" s="7" t="str">
        <f>IFERROR(__xludf.DUMMYFUNCTION("""COMPUTED_VALUE"""),"1345282127")</f>
        <v>1345282127</v>
      </c>
      <c r="C135" s="6" t="str">
        <f>IFERROR(__xludf.DUMMYFUNCTION("""COMPUTED_VALUE"""),"Simón  Restrepo")</f>
        <v>Simón  Restrepo</v>
      </c>
      <c r="D135" s="6"/>
      <c r="E135" s="6"/>
      <c r="F135" s="6" t="str">
        <f>IFERROR(__xludf.DUMMYFUNCTION("""COMPUTED_VALUE"""),"Gloria Cecilia mamá de Simón  Restrepo")</f>
        <v>Gloria Cecilia mamá de Simón  Restrepo</v>
      </c>
      <c r="G135" s="6" t="str">
        <f>IFERROR(__xludf.DUMMYFUNCTION("""COMPUTED_VALUE"""),"7")</f>
        <v>7</v>
      </c>
      <c r="H135" s="6" t="str">
        <f>IFERROR(__xludf.DUMMYFUNCTION("""COMPUTED_VALUE"""),"Rodríguez Giraldo Martín")</f>
        <v>Rodríguez Giraldo Martín</v>
      </c>
      <c r="I135" s="6" t="str">
        <f>IFERROR(__xludf.DUMMYFUNCTION("""COMPUTED_VALUE"""),"Demograficos_Images/1345282127.Foto_Estudiante.191005.jpg")</f>
        <v>Demograficos_Images/1345282127.Foto_Estudiante.191005.jpg</v>
      </c>
      <c r="J135" s="8">
        <f>IFERROR(__xludf.DUMMYFUNCTION("""COMPUTED_VALUE"""),46254.631944444445)</f>
        <v>46254.63194</v>
      </c>
      <c r="K135" s="6" t="str">
        <f>IFERROR(__xludf.DUMMYFUNCTION("""COMPUTED_VALUE"""),"secundaria@gi.edu.co")</f>
        <v>secundaria@gi.edu.co</v>
      </c>
      <c r="L135" s="6" t="str">
        <f>IFERROR(__xludf.DUMMYFUNCTION("""COMPUTED_VALUE"""),"1345282127")</f>
        <v>1345282127</v>
      </c>
      <c r="M135" s="9">
        <f>IFERROR(__xludf.DUMMYFUNCTION("""COMPUTED_VALUE"""),46254.560902777775)</f>
        <v>46254.5609</v>
      </c>
      <c r="N135" s="6" t="str">
        <f>IFERROR(__xludf.DUMMYFUNCTION("""COMPUTED_VALUE"""),"Pendiente")</f>
        <v>Pendiente</v>
      </c>
      <c r="O135" s="6"/>
      <c r="P135" s="17">
        <f>IFERROR(__xludf.DUMMYFUNCTION("""COMPUTED_VALUE"""),46254.560902777775)</f>
        <v>46254.5609</v>
      </c>
      <c r="Q135" s="6"/>
      <c r="R135" s="6" t="str">
        <f>IFERROR(__xludf.DUMMYFUNCTION("""COMPUTED_VALUE"""),"Secundaria")</f>
        <v>Secundaria</v>
      </c>
      <c r="S135" s="6" t="b">
        <f>IFERROR(__xludf.DUMMYFUNCTION("""COMPUTED_VALUE"""),FALSE)</f>
        <v>0</v>
      </c>
      <c r="T135" s="6"/>
      <c r="U135" s="6"/>
      <c r="V135" s="6"/>
      <c r="W135" s="6"/>
      <c r="X135" s="6"/>
      <c r="Y135" s="6"/>
      <c r="Z135" s="6"/>
    </row>
    <row r="136">
      <c r="A136" s="6" t="str">
        <f>IFERROR(__xludf.DUMMYFUNCTION("""COMPUTED_VALUE"""),"445c9a6f")</f>
        <v>445c9a6f</v>
      </c>
      <c r="B136" s="7" t="str">
        <f>IFERROR(__xludf.DUMMYFUNCTION("""COMPUTED_VALUE"""),"1345281678")</f>
        <v>1345281678</v>
      </c>
      <c r="C136" s="6" t="str">
        <f>IFERROR(__xludf.DUMMYFUNCTION("""COMPUTED_VALUE"""),"sale caminando se va con Martin su hermano")</f>
        <v>sale caminando se va con Martin su hermano</v>
      </c>
      <c r="D136" s="6"/>
      <c r="E136" s="6"/>
      <c r="F136" s="6"/>
      <c r="G136" s="6" t="str">
        <f>IFERROR(__xludf.DUMMYFUNCTION("""COMPUTED_VALUE"""),"7")</f>
        <v>7</v>
      </c>
      <c r="H136" s="6" t="str">
        <f>IFERROR(__xludf.DUMMYFUNCTION("""COMPUTED_VALUE"""),"Vélez Heredia María")</f>
        <v>Vélez Heredia María</v>
      </c>
      <c r="I136" s="6" t="str">
        <f>IFERROR(__xludf.DUMMYFUNCTION("""COMPUTED_VALUE"""),"Demograficos_Images/1345281678.Foto_Estudiante.193023.jpg")</f>
        <v>Demograficos_Images/1345281678.Foto_Estudiante.193023.jpg</v>
      </c>
      <c r="J136" s="8">
        <f>IFERROR(__xludf.DUMMYFUNCTION("""COMPUTED_VALUE"""),46254.631944444445)</f>
        <v>46254.63194</v>
      </c>
      <c r="K136" s="6" t="str">
        <f>IFERROR(__xludf.DUMMYFUNCTION("""COMPUTED_VALUE"""),"secundaria@gi.edu.co")</f>
        <v>secundaria@gi.edu.co</v>
      </c>
      <c r="L136" s="6" t="str">
        <f>IFERROR(__xludf.DUMMYFUNCTION("""COMPUTED_VALUE"""),"1345281678")</f>
        <v>1345281678</v>
      </c>
      <c r="M136" s="9">
        <f>IFERROR(__xludf.DUMMYFUNCTION("""COMPUTED_VALUE"""),46254.56805555556)</f>
        <v>46254.56806</v>
      </c>
      <c r="N136" s="6" t="str">
        <f>IFERROR(__xludf.DUMMYFUNCTION("""COMPUTED_VALUE"""),"Pendiente")</f>
        <v>Pendiente</v>
      </c>
      <c r="O136" s="6"/>
      <c r="P136" s="17">
        <f>IFERROR(__xludf.DUMMYFUNCTION("""COMPUTED_VALUE"""),46254.56805555556)</f>
        <v>46254.56806</v>
      </c>
      <c r="Q136" s="6"/>
      <c r="R136" s="6" t="str">
        <f>IFERROR(__xludf.DUMMYFUNCTION("""COMPUTED_VALUE"""),"Secundaria")</f>
        <v>Secundaria</v>
      </c>
      <c r="S136" s="6" t="b">
        <f>IFERROR(__xludf.DUMMYFUNCTION("""COMPUTED_VALUE"""),FALSE)</f>
        <v>0</v>
      </c>
      <c r="T136" s="6"/>
      <c r="U136" s="6"/>
      <c r="V136" s="6"/>
      <c r="W136" s="6"/>
      <c r="X136" s="6"/>
      <c r="Y136" s="6"/>
      <c r="Z136" s="6"/>
    </row>
    <row r="137">
      <c r="A137" s="6" t="str">
        <f>IFERROR(__xludf.DUMMYFUNCTION("""COMPUTED_VALUE"""),"256a9d8e")</f>
        <v>256a9d8e</v>
      </c>
      <c r="B137" s="7" t="str">
        <f>IFERROR(__xludf.DUMMYFUNCTION("""COMPUTED_VALUE"""),"1345281654")</f>
        <v>1345281654</v>
      </c>
      <c r="C137" s="6" t="str">
        <f>IFERROR(__xludf.DUMMYFUNCTION("""COMPUTED_VALUE"""),"la mamá informa que viene por ella")</f>
        <v>la mamá informa que viene por ella</v>
      </c>
      <c r="D137" s="6"/>
      <c r="E137" s="6"/>
      <c r="F137" s="6"/>
      <c r="G137" s="6" t="str">
        <f>IFERROR(__xludf.DUMMYFUNCTION("""COMPUTED_VALUE"""),"9")</f>
        <v>9</v>
      </c>
      <c r="H137" s="6" t="str">
        <f>IFERROR(__xludf.DUMMYFUNCTION("""COMPUTED_VALUE"""),"Peñaranda Botero María Del Mar")</f>
        <v>Peñaranda Botero María Del Mar</v>
      </c>
      <c r="I137" s="6" t="str">
        <f>IFERROR(__xludf.DUMMYFUNCTION("""COMPUTED_VALUE"""),"Demograficos_Images/1345281654.Foto_Estudiante.185335.jpg")</f>
        <v>Demograficos_Images/1345281654.Foto_Estudiante.185335.jpg</v>
      </c>
      <c r="J137" s="8">
        <f>IFERROR(__xludf.DUMMYFUNCTION("""COMPUTED_VALUE"""),46254.61111111111)</f>
        <v>46254.61111</v>
      </c>
      <c r="K137" s="6" t="str">
        <f>IFERROR(__xludf.DUMMYFUNCTION("""COMPUTED_VALUE"""),"secundaria@gi.edu.co")</f>
        <v>secundaria@gi.edu.co</v>
      </c>
      <c r="L137" s="6" t="str">
        <f>IFERROR(__xludf.DUMMYFUNCTION("""COMPUTED_VALUE"""),"1345281654")</f>
        <v>1345281654</v>
      </c>
      <c r="M137" s="9">
        <f>IFERROR(__xludf.DUMMYFUNCTION("""COMPUTED_VALUE"""),46254.603842592594)</f>
        <v>46254.60384</v>
      </c>
      <c r="N137" s="6" t="str">
        <f>IFERROR(__xludf.DUMMYFUNCTION("""COMPUTED_VALUE"""),"Pendiente")</f>
        <v>Pendiente</v>
      </c>
      <c r="O137" s="6"/>
      <c r="P137" s="17">
        <f>IFERROR(__xludf.DUMMYFUNCTION("""COMPUTED_VALUE"""),46254.603842592594)</f>
        <v>46254.60384</v>
      </c>
      <c r="Q137" s="6"/>
      <c r="R137" s="6" t="str">
        <f>IFERROR(__xludf.DUMMYFUNCTION("""COMPUTED_VALUE"""),"Diligencias con los papás")</f>
        <v>Diligencias con los papás</v>
      </c>
      <c r="S137" s="6" t="b">
        <f>IFERROR(__xludf.DUMMYFUNCTION("""COMPUTED_VALUE"""),FALSE)</f>
        <v>0</v>
      </c>
      <c r="T137" s="6"/>
      <c r="U137" s="6" t="str">
        <f>IFERROR(__xludf.DUMMYFUNCTION("""COMPUTED_VALUE"""),"Salida temprano")</f>
        <v>Salida temprano</v>
      </c>
      <c r="V137" s="6"/>
      <c r="W137" s="6"/>
      <c r="X137" s="6"/>
      <c r="Y137" s="6"/>
      <c r="Z137" s="6"/>
    </row>
    <row r="138">
      <c r="A138" s="6" t="str">
        <f>IFERROR(__xludf.DUMMYFUNCTION("""COMPUTED_VALUE"""),"19bbc3ba")</f>
        <v>19bbc3ba</v>
      </c>
      <c r="B138" s="7" t="str">
        <f>IFERROR(__xludf.DUMMYFUNCTION("""COMPUTED_VALUE"""),"1345281834")</f>
        <v>1345281834</v>
      </c>
      <c r="C138" s="6" t="str">
        <f>IFERROR(__xludf.DUMMYFUNCTION("""COMPUTED_VALUE"""),"no utilizara servicio de transporte")</f>
        <v>no utilizara servicio de transporte</v>
      </c>
      <c r="D138" s="6" t="str">
        <f>IFERROR(__xludf.DUMMYFUNCTION("""COMPUTED_VALUE"""),"Padre")</f>
        <v>Padre</v>
      </c>
      <c r="E138" s="6" t="str">
        <f>IFERROR(__xludf.DUMMYFUNCTION("""COMPUTED_VALUE"""),"Padre: Leonardo  López Gutiérrez")</f>
        <v>Padre: Leonardo  López Gutiérrez</v>
      </c>
      <c r="F138" s="6"/>
      <c r="G138" s="6" t="str">
        <f>IFERROR(__xludf.DUMMYFUNCTION("""COMPUTED_VALUE"""),"11")</f>
        <v>11</v>
      </c>
      <c r="H138" s="6" t="str">
        <f>IFERROR(__xludf.DUMMYFUNCTION("""COMPUTED_VALUE"""),"López Mejía Valeria")</f>
        <v>López Mejía Valeria</v>
      </c>
      <c r="I138" s="6" t="str">
        <f>IFERROR(__xludf.DUMMYFUNCTION("""COMPUTED_VALUE"""),"Demograficos_Images/1345281834.Foto_Estudiante.182131.jpg")</f>
        <v>Demograficos_Images/1345281834.Foto_Estudiante.182131.jpg</v>
      </c>
      <c r="J138" s="8">
        <f>IFERROR(__xludf.DUMMYFUNCTION("""COMPUTED_VALUE"""),46254.631944444445)</f>
        <v>46254.63194</v>
      </c>
      <c r="K138" s="6" t="str">
        <f>IFERROR(__xludf.DUMMYFUNCTION("""COMPUTED_VALUE"""),"secundaria@gi.edu.co")</f>
        <v>secundaria@gi.edu.co</v>
      </c>
      <c r="L138" s="6" t="str">
        <f>IFERROR(__xludf.DUMMYFUNCTION("""COMPUTED_VALUE"""),"1345281834")</f>
        <v>1345281834</v>
      </c>
      <c r="M138" s="9">
        <f>IFERROR(__xludf.DUMMYFUNCTION("""COMPUTED_VALUE"""),46254.62670138889)</f>
        <v>46254.6267</v>
      </c>
      <c r="N138" s="6" t="str">
        <f>IFERROR(__xludf.DUMMYFUNCTION("""COMPUTED_VALUE"""),"Pendiente")</f>
        <v>Pendiente</v>
      </c>
      <c r="O138" s="6"/>
      <c r="P138" s="17">
        <f>IFERROR(__xludf.DUMMYFUNCTION("""COMPUTED_VALUE"""),46254.62670138889)</f>
        <v>46254.6267</v>
      </c>
      <c r="Q138" s="6"/>
      <c r="R138" s="6" t="str">
        <f>IFERROR(__xludf.DUMMYFUNCTION("""COMPUTED_VALUE"""),"Secundaria")</f>
        <v>Secundaria</v>
      </c>
      <c r="S138" s="6" t="b">
        <f>IFERROR(__xludf.DUMMYFUNCTION("""COMPUTED_VALUE"""),FALSE)</f>
        <v>0</v>
      </c>
      <c r="T138" s="6"/>
      <c r="U138" s="6"/>
      <c r="V138" s="6"/>
      <c r="W138" s="6"/>
      <c r="X138" s="6"/>
      <c r="Y138" s="6"/>
      <c r="Z138" s="6"/>
    </row>
    <row r="139">
      <c r="A139" s="6" t="str">
        <f>IFERROR(__xludf.DUMMYFUNCTION("""COMPUTED_VALUE"""),"ee1cd70c")</f>
        <v>ee1cd70c</v>
      </c>
      <c r="B139" s="7" t="str">
        <f>IFERROR(__xludf.DUMMYFUNCTION("""COMPUTED_VALUE"""),"1345281766")</f>
        <v>1345281766</v>
      </c>
      <c r="C139" s="6" t="str">
        <f>IFERROR(__xludf.DUMMYFUNCTION("""COMPUTED_VALUE"""),"sale con Lina Sanchez mamá juan pablo jimenez")</f>
        <v>sale con Lina Sanchez mamá juan pablo jimenez</v>
      </c>
      <c r="D139" s="6"/>
      <c r="E139" s="6"/>
      <c r="F139" s="6" t="str">
        <f>IFERROR(__xludf.DUMMYFUNCTION("""COMPUTED_VALUE"""),"Lina Sanchez mamá juan pablo jimenez")</f>
        <v>Lina Sanchez mamá juan pablo jimenez</v>
      </c>
      <c r="G139" s="6" t="str">
        <f>IFERROR(__xludf.DUMMYFUNCTION("""COMPUTED_VALUE"""),"7")</f>
        <v>7</v>
      </c>
      <c r="H139" s="6" t="str">
        <f>IFERROR(__xludf.DUMMYFUNCTION("""COMPUTED_VALUE"""),"Orozco Nieto Thomas")</f>
        <v>Orozco Nieto Thomas</v>
      </c>
      <c r="I139" s="6" t="str">
        <f>IFERROR(__xludf.DUMMYFUNCTION("""COMPUTED_VALUE"""),"Demograficos_Images/1345281766.Foto_Estudiante.193606.jpg")</f>
        <v>Demograficos_Images/1345281766.Foto_Estudiante.193606.jpg</v>
      </c>
      <c r="J139" s="8">
        <f>IFERROR(__xludf.DUMMYFUNCTION("""COMPUTED_VALUE"""),46254.631944444445)</f>
        <v>46254.63194</v>
      </c>
      <c r="K139" s="6" t="str">
        <f>IFERROR(__xludf.DUMMYFUNCTION("""COMPUTED_VALUE"""),"secundaria@gi.edu.co")</f>
        <v>secundaria@gi.edu.co</v>
      </c>
      <c r="L139" s="6" t="str">
        <f>IFERROR(__xludf.DUMMYFUNCTION("""COMPUTED_VALUE"""),"1345281766")</f>
        <v>1345281766</v>
      </c>
      <c r="M139" s="9">
        <f>IFERROR(__xludf.DUMMYFUNCTION("""COMPUTED_VALUE"""),46254.62929398148)</f>
        <v>46254.62929</v>
      </c>
      <c r="N139" s="6" t="str">
        <f>IFERROR(__xludf.DUMMYFUNCTION("""COMPUTED_VALUE"""),"Pendiente")</f>
        <v>Pendiente</v>
      </c>
      <c r="O139" s="6"/>
      <c r="P139" s="17">
        <f>IFERROR(__xludf.DUMMYFUNCTION("""COMPUTED_VALUE"""),46254.62929398148)</f>
        <v>46254.62929</v>
      </c>
      <c r="Q139" s="6"/>
      <c r="R139" s="6" t="str">
        <f>IFERROR(__xludf.DUMMYFUNCTION("""COMPUTED_VALUE"""),"Secundaria")</f>
        <v>Secundaria</v>
      </c>
      <c r="S139" s="6" t="b">
        <f>IFERROR(__xludf.DUMMYFUNCTION("""COMPUTED_VALUE"""),FALSE)</f>
        <v>0</v>
      </c>
      <c r="T139" s="6"/>
      <c r="U139" s="6"/>
      <c r="V139" s="6"/>
      <c r="W139" s="6"/>
      <c r="X139" s="6"/>
      <c r="Y139" s="6"/>
      <c r="Z139" s="6"/>
    </row>
    <row r="140">
      <c r="A140" s="6" t="str">
        <f>IFERROR(__xludf.DUMMYFUNCTION("""COMPUTED_VALUE"""),"761fe682")</f>
        <v>761fe682</v>
      </c>
      <c r="B140" s="7" t="str">
        <f>IFERROR(__xludf.DUMMYFUNCTION("""COMPUTED_VALUE"""),"1345281836")</f>
        <v>1345281836</v>
      </c>
      <c r="C140" s="6" t="str">
        <f>IFERROR(__xludf.DUMMYFUNCTION("""COMPUTED_VALUE"""),"Lina Sanchez mamá juan pablo jimenez")</f>
        <v>Lina Sanchez mamá juan pablo jimenez</v>
      </c>
      <c r="D140" s="6"/>
      <c r="E140" s="6"/>
      <c r="F140" s="6" t="str">
        <f>IFERROR(__xludf.DUMMYFUNCTION("""COMPUTED_VALUE"""),"Lina Sanchez mamá juan pablo jimenez")</f>
        <v>Lina Sanchez mamá juan pablo jimenez</v>
      </c>
      <c r="G140" s="6" t="str">
        <f>IFERROR(__xludf.DUMMYFUNCTION("""COMPUTED_VALUE"""),"6")</f>
        <v>6</v>
      </c>
      <c r="H140" s="6" t="str">
        <f>IFERROR(__xludf.DUMMYFUNCTION("""COMPUTED_VALUE"""),"Orozco Nieto Matheo")</f>
        <v>Orozco Nieto Matheo</v>
      </c>
      <c r="I140" s="6" t="str">
        <f>IFERROR(__xludf.DUMMYFUNCTION("""COMPUTED_VALUE"""),"Demograficos_Images/1345281836.Foto_Estudiante.181002.jpg")</f>
        <v>Demograficos_Images/1345281836.Foto_Estudiante.181002.jpg</v>
      </c>
      <c r="J140" s="8">
        <f>IFERROR(__xludf.DUMMYFUNCTION("""COMPUTED_VALUE"""),46254.631944444445)</f>
        <v>46254.63194</v>
      </c>
      <c r="K140" s="6" t="str">
        <f>IFERROR(__xludf.DUMMYFUNCTION("""COMPUTED_VALUE"""),"secundaria@gi.edu.co")</f>
        <v>secundaria@gi.edu.co</v>
      </c>
      <c r="L140" s="6" t="str">
        <f>IFERROR(__xludf.DUMMYFUNCTION("""COMPUTED_VALUE"""),"1345281836")</f>
        <v>1345281836</v>
      </c>
      <c r="M140" s="9">
        <f>IFERROR(__xludf.DUMMYFUNCTION("""COMPUTED_VALUE"""),46254.629907407405)</f>
        <v>46254.62991</v>
      </c>
      <c r="N140" s="6" t="str">
        <f>IFERROR(__xludf.DUMMYFUNCTION("""COMPUTED_VALUE"""),"Pendiente")</f>
        <v>Pendiente</v>
      </c>
      <c r="O140" s="6"/>
      <c r="P140" s="17">
        <f>IFERROR(__xludf.DUMMYFUNCTION("""COMPUTED_VALUE"""),46254.629907407405)</f>
        <v>46254.62991</v>
      </c>
      <c r="Q140" s="6"/>
      <c r="R140" s="6" t="str">
        <f>IFERROR(__xludf.DUMMYFUNCTION("""COMPUTED_VALUE"""),"Primaria")</f>
        <v>Primaria</v>
      </c>
      <c r="S140" s="6" t="b">
        <f>IFERROR(__xludf.DUMMYFUNCTION("""COMPUTED_VALUE"""),FALSE)</f>
        <v>0</v>
      </c>
      <c r="T140" s="6"/>
      <c r="U140" s="6"/>
      <c r="V140" s="6"/>
      <c r="W140" s="6"/>
      <c r="X140" s="6"/>
      <c r="Y140" s="6"/>
      <c r="Z140" s="6"/>
    </row>
    <row r="141">
      <c r="A141" s="6" t="str">
        <f>IFERROR(__xludf.DUMMYFUNCTION("""COMPUTED_VALUE"""),"4eab8d88")</f>
        <v>4eab8d88</v>
      </c>
      <c r="B141" s="7" t="str">
        <f>IFERROR(__xludf.DUMMYFUNCTION("""COMPUTED_VALUE"""),"1345281642")</f>
        <v>1345281642</v>
      </c>
      <c r="C141" s="6" t="str">
        <f>IFERROR(__xludf.DUMMYFUNCTION("""COMPUTED_VALUE"""),"salida")</f>
        <v>salida</v>
      </c>
      <c r="D141" s="6" t="str">
        <f>IFERROR(__xludf.DUMMYFUNCTION("""COMPUTED_VALUE"""),"Padre")</f>
        <v>Padre</v>
      </c>
      <c r="E141" s="6" t="str">
        <f>IFERROR(__xludf.DUMMYFUNCTION("""COMPUTED_VALUE"""),"Padre: Andrés Felipe Acosta Mejía")</f>
        <v>Padre: Andrés Felipe Acosta Mejía</v>
      </c>
      <c r="F141" s="6" t="str">
        <f>IFERROR(__xludf.DUMMYFUNCTION("""COMPUTED_VALUE"""),"Julian Tellez")</f>
        <v>Julian Tellez</v>
      </c>
      <c r="G141" s="6" t="str">
        <f>IFERROR(__xludf.DUMMYFUNCTION("""COMPUTED_VALUE"""),"8")</f>
        <v>8</v>
      </c>
      <c r="H141" s="6" t="str">
        <f>IFERROR(__xludf.DUMMYFUNCTION("""COMPUTED_VALUE"""),"Acosta Berrío Juan Andrés")</f>
        <v>Acosta Berrío Juan Andrés</v>
      </c>
      <c r="I141" s="6" t="str">
        <f>IFERROR(__xludf.DUMMYFUNCTION("""COMPUTED_VALUE"""),"Demograficos_Images/1345281642.Foto_Estudiante.192844.jpg")</f>
        <v>Demograficos_Images/1345281642.Foto_Estudiante.192844.jpg</v>
      </c>
      <c r="J141" s="8">
        <f>IFERROR(__xludf.DUMMYFUNCTION("""COMPUTED_VALUE"""),46254.64513888889)</f>
        <v>46254.64514</v>
      </c>
      <c r="K141" s="6" t="str">
        <f>IFERROR(__xludf.DUMMYFUNCTION("""COMPUTED_VALUE"""),"secundaria@gi.edu.co")</f>
        <v>secundaria@gi.edu.co</v>
      </c>
      <c r="L141" s="6" t="str">
        <f>IFERROR(__xludf.DUMMYFUNCTION("""COMPUTED_VALUE"""),"1345281642")</f>
        <v>1345281642</v>
      </c>
      <c r="M141" s="9">
        <f>IFERROR(__xludf.DUMMYFUNCTION("""COMPUTED_VALUE"""),46254.645520833335)</f>
        <v>46254.64552</v>
      </c>
      <c r="N141" s="6" t="str">
        <f>IFERROR(__xludf.DUMMYFUNCTION("""COMPUTED_VALUE"""),"Pendiente")</f>
        <v>Pendiente</v>
      </c>
      <c r="O141" s="6"/>
      <c r="P141" s="17">
        <f>IFERROR(__xludf.DUMMYFUNCTION("""COMPUTED_VALUE"""),46254.645520833335)</f>
        <v>46254.64552</v>
      </c>
      <c r="Q141" s="6"/>
      <c r="R141" s="6" t="str">
        <f>IFERROR(__xludf.DUMMYFUNCTION("""COMPUTED_VALUE"""),"Secundaria")</f>
        <v>Secundaria</v>
      </c>
      <c r="S141" s="6" t="b">
        <f>IFERROR(__xludf.DUMMYFUNCTION("""COMPUTED_VALUE"""),FALSE)</f>
        <v>0</v>
      </c>
      <c r="T141" s="6"/>
      <c r="U141" s="6"/>
      <c r="V141" s="6"/>
      <c r="W141" s="6"/>
      <c r="X141" s="6"/>
      <c r="Y141" s="6"/>
      <c r="Z141" s="6"/>
    </row>
    <row r="142">
      <c r="A142" s="6" t="str">
        <f>IFERROR(__xludf.DUMMYFUNCTION("""COMPUTED_VALUE"""),"a07d86f2")</f>
        <v>a07d86f2</v>
      </c>
      <c r="B142" s="7" t="str">
        <f>IFERROR(__xludf.DUMMYFUNCTION("""COMPUTED_VALUE"""),"1345281477")</f>
        <v>1345281477</v>
      </c>
      <c r="C142" s="6" t="str">
        <f>IFERROR(__xludf.DUMMYFUNCTION("""COMPUTED_VALUE"""),"Cita Medica informo la mamá a través de correo")</f>
        <v>Cita Medica informo la mamá a través de correo</v>
      </c>
      <c r="D142" s="6" t="str">
        <f>IFERROR(__xludf.DUMMYFUNCTION("""COMPUTED_VALUE"""),"Madre")</f>
        <v>Madre</v>
      </c>
      <c r="E142" s="6" t="str">
        <f>IFERROR(__xludf.DUMMYFUNCTION("""COMPUTED_VALUE"""),"Madre: Beatriz Helena Sepúlveda Nieto")</f>
        <v>Madre: Beatriz Helena Sepúlveda Nieto</v>
      </c>
      <c r="F142" s="6"/>
      <c r="G142" s="6" t="str">
        <f>IFERROR(__xludf.DUMMYFUNCTION("""COMPUTED_VALUE"""),"11")</f>
        <v>11</v>
      </c>
      <c r="H142" s="6" t="str">
        <f>IFERROR(__xludf.DUMMYFUNCTION("""COMPUTED_VALUE"""),"Hoyos Sepúlveda Gerónimo")</f>
        <v>Hoyos Sepúlveda Gerónimo</v>
      </c>
      <c r="I142" s="6" t="str">
        <f>IFERROR(__xludf.DUMMYFUNCTION("""COMPUTED_VALUE"""),"Demograficos_Images/1345281477.Foto_Estudiante.180803.jpg")</f>
        <v>Demograficos_Images/1345281477.Foto_Estudiante.180803.jpg</v>
      </c>
      <c r="J142" s="8">
        <f>IFERROR(__xludf.DUMMYFUNCTION("""COMPUTED_VALUE"""),46255.333333333336)</f>
        <v>46255.33333</v>
      </c>
      <c r="K142" s="6" t="str">
        <f>IFERROR(__xludf.DUMMYFUNCTION("""COMPUTED_VALUE"""),"secundaria@gi.edu.co")</f>
        <v>secundaria@gi.edu.co</v>
      </c>
      <c r="L142" s="6" t="str">
        <f>IFERROR(__xludf.DUMMYFUNCTION("""COMPUTED_VALUE"""),"1345281477")</f>
        <v>1345281477</v>
      </c>
      <c r="M142" s="9">
        <f>IFERROR(__xludf.DUMMYFUNCTION("""COMPUTED_VALUE"""),46254.656701388885)</f>
        <v>46254.6567</v>
      </c>
      <c r="N142" s="6" t="str">
        <f>IFERROR(__xludf.DUMMYFUNCTION("""COMPUTED_VALUE"""),"Pendiente")</f>
        <v>Pendiente</v>
      </c>
      <c r="O142" s="6"/>
      <c r="P142" s="17">
        <f>IFERROR(__xludf.DUMMYFUNCTION("""COMPUTED_VALUE"""),46254.656701388885)</f>
        <v>46254.6567</v>
      </c>
      <c r="Q142" s="6"/>
      <c r="R142" s="6" t="str">
        <f>IFERROR(__xludf.DUMMYFUNCTION("""COMPUTED_VALUE"""),"Cita médica")</f>
        <v>Cita médica</v>
      </c>
      <c r="S142" s="6" t="b">
        <f>IFERROR(__xludf.DUMMYFUNCTION("""COMPUTED_VALUE"""),TRUE)</f>
        <v>1</v>
      </c>
      <c r="T142" s="14">
        <f>IFERROR(__xludf.DUMMYFUNCTION("""COMPUTED_VALUE"""),0.4375)</f>
        <v>0.4375</v>
      </c>
      <c r="U142" s="6" t="str">
        <f>IFERROR(__xludf.DUMMYFUNCTION("""COMPUTED_VALUE"""),"Llegada tarde")</f>
        <v>Llegada tarde</v>
      </c>
      <c r="V142" s="6"/>
      <c r="W142" s="6"/>
      <c r="X142" s="6"/>
      <c r="Y142" s="6"/>
      <c r="Z142" s="6"/>
    </row>
    <row r="143">
      <c r="A143" s="6" t="str">
        <f>IFERROR(__xludf.DUMMYFUNCTION("""COMPUTED_VALUE"""),"c3a8926c")</f>
        <v>c3a8926c</v>
      </c>
      <c r="B143" s="7" t="str">
        <f>IFERROR(__xludf.DUMMYFUNCTION("""COMPUTED_VALUE"""),"1345281788")</f>
        <v>1345281788</v>
      </c>
      <c r="C143" s="6" t="str">
        <f>IFERROR(__xludf.DUMMYFUNCTION("""COMPUTED_VALUE"""),"viajar a la competencia nacional de gimnasia artística en Ibague")</f>
        <v>viajar a la competencia nacional de gimnasia artística en Ibague</v>
      </c>
      <c r="D143" s="6" t="str">
        <f>IFERROR(__xludf.DUMMYFUNCTION("""COMPUTED_VALUE"""),"Madre")</f>
        <v>Madre</v>
      </c>
      <c r="E143" s="6" t="str">
        <f>IFERROR(__xludf.DUMMYFUNCTION("""COMPUTED_VALUE"""),"Madre: Ángela María Monsalve Valencia")</f>
        <v>Madre: Ángela María Monsalve Valencia</v>
      </c>
      <c r="F143" s="6"/>
      <c r="G143" s="6" t="str">
        <f>IFERROR(__xludf.DUMMYFUNCTION("""COMPUTED_VALUE"""),"7")</f>
        <v>7</v>
      </c>
      <c r="H143" s="6" t="str">
        <f>IFERROR(__xludf.DUMMYFUNCTION("""COMPUTED_VALUE"""),"López Monsalve Luciana")</f>
        <v>López Monsalve Luciana</v>
      </c>
      <c r="I143" s="6" t="str">
        <f>IFERROR(__xludf.DUMMYFUNCTION("""COMPUTED_VALUE"""),"Demograficos_Images/1345281788.Foto_Estudiante.193808.jpg")</f>
        <v>Demograficos_Images/1345281788.Foto_Estudiante.193808.jpg</v>
      </c>
      <c r="J143" s="8">
        <f>IFERROR(__xludf.DUMMYFUNCTION("""COMPUTED_VALUE"""),46255.5)</f>
        <v>46255.5</v>
      </c>
      <c r="K143" s="6" t="str">
        <f>IFERROR(__xludf.DUMMYFUNCTION("""COMPUTED_VALUE"""),"secundaria@gi.edu.co")</f>
        <v>secundaria@gi.edu.co</v>
      </c>
      <c r="L143" s="6" t="str">
        <f>IFERROR(__xludf.DUMMYFUNCTION("""COMPUTED_VALUE"""),"1345281788")</f>
        <v>1345281788</v>
      </c>
      <c r="M143" s="9">
        <f>IFERROR(__xludf.DUMMYFUNCTION("""COMPUTED_VALUE"""),46254.73469907408)</f>
        <v>46254.7347</v>
      </c>
      <c r="N143" s="6" t="str">
        <f>IFERROR(__xludf.DUMMYFUNCTION("""COMPUTED_VALUE"""),"Pendiente")</f>
        <v>Pendiente</v>
      </c>
      <c r="O143" s="6"/>
      <c r="P143" s="17">
        <f>IFERROR(__xludf.DUMMYFUNCTION("""COMPUTED_VALUE"""),46254.73469907408)</f>
        <v>46254.7347</v>
      </c>
      <c r="Q143" s="6"/>
      <c r="R143" s="6" t="str">
        <f>IFERROR(__xludf.DUMMYFUNCTION("""COMPUTED_VALUE"""),"Participación en competencia deportiva")</f>
        <v>Participación en competencia deportiva</v>
      </c>
      <c r="S143" s="6" t="b">
        <f>IFERROR(__xludf.DUMMYFUNCTION("""COMPUTED_VALUE"""),FALSE)</f>
        <v>0</v>
      </c>
      <c r="T143" s="6"/>
      <c r="U143" s="6" t="str">
        <f>IFERROR(__xludf.DUMMYFUNCTION("""COMPUTED_VALUE"""),"Salida temprano")</f>
        <v>Salida temprano</v>
      </c>
      <c r="V143" s="6"/>
      <c r="W143" s="6"/>
      <c r="X143" s="6"/>
      <c r="Y143" s="6"/>
      <c r="Z143" s="6"/>
    </row>
    <row r="144">
      <c r="A144" s="6"/>
      <c r="B144" s="7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 t="str">
        <f>IFERROR(__xludf.DUMMYFUNCTION("""COMPUTED_VALUE"""),"3ba12050")</f>
        <v>3ba12050</v>
      </c>
      <c r="B145" s="7" t="str">
        <f>IFERROR(__xludf.DUMMYFUNCTION("""COMPUTED_VALUE"""),"1345281678")</f>
        <v>1345281678</v>
      </c>
      <c r="C145" s="6" t="str">
        <f>IFERROR(__xludf.DUMMYFUNCTION("""COMPUTED_VALUE"""),"estará en el colegio acompañando a su hermano seniors")</f>
        <v>estará en el colegio acompañando a su hermano seniors</v>
      </c>
      <c r="D145" s="6"/>
      <c r="E145" s="6"/>
      <c r="F145" s="6"/>
      <c r="G145" s="6" t="str">
        <f>IFERROR(__xludf.DUMMYFUNCTION("""COMPUTED_VALUE"""),"7")</f>
        <v>7</v>
      </c>
      <c r="H145" s="6" t="str">
        <f>IFERROR(__xludf.DUMMYFUNCTION("""COMPUTED_VALUE"""),"Vélez Heredia María")</f>
        <v>Vélez Heredia María</v>
      </c>
      <c r="I145" s="6" t="str">
        <f>IFERROR(__xludf.DUMMYFUNCTION("""COMPUTED_VALUE"""),"Demograficos_Images/1345281678.Foto_Estudiante.193023.jpg")</f>
        <v>Demograficos_Images/1345281678.Foto_Estudiante.193023.jpg</v>
      </c>
      <c r="J145" s="8">
        <f>IFERROR(__xludf.DUMMYFUNCTION("""COMPUTED_VALUE"""),46255.29861111111)</f>
        <v>46255.29861</v>
      </c>
      <c r="K145" s="6" t="str">
        <f>IFERROR(__xludf.DUMMYFUNCTION("""COMPUTED_VALUE"""),"secundaria@gi.edu.co")</f>
        <v>secundaria@gi.edu.co</v>
      </c>
      <c r="L145" s="6" t="str">
        <f>IFERROR(__xludf.DUMMYFUNCTION("""COMPUTED_VALUE"""),"1345281678")</f>
        <v>1345281678</v>
      </c>
      <c r="M145" s="9">
        <f>IFERROR(__xludf.DUMMYFUNCTION("""COMPUTED_VALUE"""),46255.30090277778)</f>
        <v>46255.3009</v>
      </c>
      <c r="N145" s="6" t="str">
        <f>IFERROR(__xludf.DUMMYFUNCTION("""COMPUTED_VALUE"""),"Pendiente")</f>
        <v>Pendiente</v>
      </c>
      <c r="O145" s="6"/>
      <c r="P145" s="17">
        <f>IFERROR(__xludf.DUMMYFUNCTION("""COMPUTED_VALUE"""),46255.30090277778)</f>
        <v>46255.3009</v>
      </c>
      <c r="Q145" s="6"/>
      <c r="R145" s="6" t="str">
        <f>IFERROR(__xludf.DUMMYFUNCTION("""COMPUTED_VALUE"""),"Ausencia Todo el Dia")</f>
        <v>Ausencia Todo el Dia</v>
      </c>
      <c r="S145" s="6"/>
      <c r="T145" s="6"/>
      <c r="U145" s="6" t="str">
        <f>IFERROR(__xludf.DUMMYFUNCTION("""COMPUTED_VALUE"""),"Ausencia todo el dia")</f>
        <v>Ausencia todo el dia</v>
      </c>
      <c r="V145" s="6"/>
      <c r="W145" s="6"/>
      <c r="X145" s="6"/>
      <c r="Y145" s="6"/>
      <c r="Z145" s="6"/>
    </row>
    <row r="146">
      <c r="A146" s="6" t="str">
        <f>IFERROR(__xludf.DUMMYFUNCTION("""COMPUTED_VALUE"""),"de2d8dd6")</f>
        <v>de2d8dd6</v>
      </c>
      <c r="B146" s="7" t="str">
        <f>IFERROR(__xludf.DUMMYFUNCTION("""COMPUTED_VALUE"""),"1345282557")</f>
        <v>1345282557</v>
      </c>
      <c r="C146" s="6" t="str">
        <f>IFERROR(__xludf.DUMMYFUNCTION("""COMPUTED_VALUE"""),"la mamá informó que tiene una virosis intestinal")</f>
        <v>la mamá informó que tiene una virosis intestinal</v>
      </c>
      <c r="D146" s="6"/>
      <c r="E146" s="6"/>
      <c r="F146" s="6"/>
      <c r="G146" s="6" t="str">
        <f>IFERROR(__xludf.DUMMYFUNCTION("""COMPUTED_VALUE"""),"9")</f>
        <v>9</v>
      </c>
      <c r="H146" s="6" t="str">
        <f>IFERROR(__xludf.DUMMYFUNCTION("""COMPUTED_VALUE"""),"Tort Zander Gina")</f>
        <v>Tort Zander Gina</v>
      </c>
      <c r="I146" s="6" t="str">
        <f>IFERROR(__xludf.DUMMYFUNCTION("""COMPUTED_VALUE"""),"Demograficos_Images/1345282557.Foto_Estudiante.134550.jpg")</f>
        <v>Demograficos_Images/1345282557.Foto_Estudiante.134550.jpg</v>
      </c>
      <c r="J146" s="8">
        <f>IFERROR(__xludf.DUMMYFUNCTION("""COMPUTED_VALUE"""),46255.299305555556)</f>
        <v>46255.29931</v>
      </c>
      <c r="K146" s="6" t="str">
        <f>IFERROR(__xludf.DUMMYFUNCTION("""COMPUTED_VALUE"""),"secundaria@gi.edu.co")</f>
        <v>secundaria@gi.edu.co</v>
      </c>
      <c r="L146" s="6" t="str">
        <f>IFERROR(__xludf.DUMMYFUNCTION("""COMPUTED_VALUE"""),"1345282557")</f>
        <v>1345282557</v>
      </c>
      <c r="M146" s="9">
        <f>IFERROR(__xludf.DUMMYFUNCTION("""COMPUTED_VALUE"""),46255.301724537036)</f>
        <v>46255.30172</v>
      </c>
      <c r="N146" s="6" t="str">
        <f>IFERROR(__xludf.DUMMYFUNCTION("""COMPUTED_VALUE"""),"Pendiente")</f>
        <v>Pendiente</v>
      </c>
      <c r="O146" s="6"/>
      <c r="P146" s="17">
        <f>IFERROR(__xludf.DUMMYFUNCTION("""COMPUTED_VALUE"""),46255.301724537036)</f>
        <v>46255.30172</v>
      </c>
      <c r="Q146" s="6"/>
      <c r="R146" s="6" t="str">
        <f>IFERROR(__xludf.DUMMYFUNCTION("""COMPUTED_VALUE"""),"Ausencia Todo el Dia")</f>
        <v>Ausencia Todo el Dia</v>
      </c>
      <c r="S146" s="6"/>
      <c r="T146" s="6"/>
      <c r="U146" s="6" t="str">
        <f>IFERROR(__xludf.DUMMYFUNCTION("""COMPUTED_VALUE"""),"Ausencia todo el dia")</f>
        <v>Ausencia todo el dia</v>
      </c>
      <c r="V146" s="6"/>
      <c r="W146" s="6"/>
      <c r="X146" s="6"/>
      <c r="Y146" s="6"/>
      <c r="Z146" s="6"/>
    </row>
    <row r="147">
      <c r="A147" s="6" t="str">
        <f>IFERROR(__xludf.DUMMYFUNCTION("""COMPUTED_VALUE"""),"698a1052")</f>
        <v>698a1052</v>
      </c>
      <c r="B147" s="7" t="str">
        <f>IFERROR(__xludf.DUMMYFUNCTION("""COMPUTED_VALUE"""),"1345281999")</f>
        <v>1345281999</v>
      </c>
      <c r="C147" s="6" t="str">
        <f>IFERROR(__xludf.DUMMYFUNCTION("""COMPUTED_VALUE"""),"No utilizará el servicio de transporte")</f>
        <v>No utilizará el servicio de transporte</v>
      </c>
      <c r="D147" s="6" t="str">
        <f>IFERROR(__xludf.DUMMYFUNCTION("""COMPUTED_VALUE"""),"Madre")</f>
        <v>Madre</v>
      </c>
      <c r="E147" s="6" t="str">
        <f>IFERROR(__xludf.DUMMYFUNCTION("""COMPUTED_VALUE"""),"Madre: Leidy Cecilia Navarro Montilla")</f>
        <v>Madre: Leidy Cecilia Navarro Montilla</v>
      </c>
      <c r="F147" s="6" t="str">
        <f>IFERROR(__xludf.DUMMYFUNCTION("""COMPUTED_VALUE"""),"Angélica María Orozco mamá de Sergio Velez")</f>
        <v>Angélica María Orozco mamá de Sergio Velez</v>
      </c>
      <c r="G147" s="6" t="str">
        <f>IFERROR(__xludf.DUMMYFUNCTION("""COMPUTED_VALUE"""),"8")</f>
        <v>8</v>
      </c>
      <c r="H147" s="6" t="str">
        <f>IFERROR(__xludf.DUMMYFUNCTION("""COMPUTED_VALUE"""),"Molina Navarro Matthew")</f>
        <v>Molina Navarro Matthew</v>
      </c>
      <c r="I147" s="6" t="str">
        <f>IFERROR(__xludf.DUMMYFUNCTION("""COMPUTED_VALUE"""),"Demograficos_Images/1345281999.Foto_Estudiante.191435.jpg")</f>
        <v>Demograficos_Images/1345281999.Foto_Estudiante.191435.jpg</v>
      </c>
      <c r="J147" s="8">
        <f>IFERROR(__xludf.DUMMYFUNCTION("""COMPUTED_VALUE"""),46255.631944444445)</f>
        <v>46255.63194</v>
      </c>
      <c r="K147" s="6" t="str">
        <f>IFERROR(__xludf.DUMMYFUNCTION("""COMPUTED_VALUE"""),"secundaria@gi.edu.co")</f>
        <v>secundaria@gi.edu.co</v>
      </c>
      <c r="L147" s="6" t="str">
        <f>IFERROR(__xludf.DUMMYFUNCTION("""COMPUTED_VALUE"""),"1345281999")</f>
        <v>1345281999</v>
      </c>
      <c r="M147" s="9">
        <f>IFERROR(__xludf.DUMMYFUNCTION("""COMPUTED_VALUE"""),46255.302708333336)</f>
        <v>46255.30271</v>
      </c>
      <c r="N147" s="6" t="str">
        <f>IFERROR(__xludf.DUMMYFUNCTION("""COMPUTED_VALUE"""),"Pendiente")</f>
        <v>Pendiente</v>
      </c>
      <c r="O147" s="6"/>
      <c r="P147" s="17">
        <f>IFERROR(__xludf.DUMMYFUNCTION("""COMPUTED_VALUE"""),46255.302708333336)</f>
        <v>46255.30271</v>
      </c>
      <c r="Q147" s="6"/>
      <c r="R147" s="6" t="str">
        <f>IFERROR(__xludf.DUMMYFUNCTION("""COMPUTED_VALUE"""),"Secundaria")</f>
        <v>Secundaria</v>
      </c>
      <c r="S147" s="6"/>
      <c r="T147" s="6"/>
      <c r="U147" s="6"/>
      <c r="V147" s="6"/>
      <c r="W147" s="6"/>
      <c r="X147" s="6"/>
      <c r="Y147" s="6"/>
      <c r="Z147" s="6"/>
    </row>
    <row r="148">
      <c r="A148" s="6" t="str">
        <f>IFERROR(__xludf.DUMMYFUNCTION("""COMPUTED_VALUE"""),"617ed29a")</f>
        <v>617ed29a</v>
      </c>
      <c r="B148" s="7" t="str">
        <f>IFERROR(__xludf.DUMMYFUNCTION("""COMPUTED_VALUE"""),"1345281447")</f>
        <v>1345281447</v>
      </c>
      <c r="C148" s="6" t="str">
        <f>IFERROR(__xludf.DUMMYFUNCTION("""COMPUTED_VALUE"""),"Estará en el colegio acompañando al hermano seniors")</f>
        <v>Estará en el colegio acompañando al hermano seniors</v>
      </c>
      <c r="D148" s="6"/>
      <c r="E148" s="6"/>
      <c r="F148" s="6"/>
      <c r="G148" s="6" t="str">
        <f>IFERROR(__xludf.DUMMYFUNCTION("""COMPUTED_VALUE"""),"10")</f>
        <v>10</v>
      </c>
      <c r="H148" s="6" t="str">
        <f>IFERROR(__xludf.DUMMYFUNCTION("""COMPUTED_VALUE"""),"Contreras Uchamocha Catalina")</f>
        <v>Contreras Uchamocha Catalina</v>
      </c>
      <c r="I148" s="6" t="str">
        <f>IFERROR(__xludf.DUMMYFUNCTION("""COMPUTED_VALUE"""),"Demograficos_Images/1345281447.Foto_Estudiante.184414.jpg")</f>
        <v>Demograficos_Images/1345281447.Foto_Estudiante.184414.jpg</v>
      </c>
      <c r="J148" s="8">
        <f>IFERROR(__xludf.DUMMYFUNCTION("""COMPUTED_VALUE"""),46255.30763888889)</f>
        <v>46255.30764</v>
      </c>
      <c r="K148" s="6" t="str">
        <f>IFERROR(__xludf.DUMMYFUNCTION("""COMPUTED_VALUE"""),"secundaria@gi.edu.co")</f>
        <v>secundaria@gi.edu.co</v>
      </c>
      <c r="L148" s="6" t="str">
        <f>IFERROR(__xludf.DUMMYFUNCTION("""COMPUTED_VALUE"""),"1345281447")</f>
        <v>1345281447</v>
      </c>
      <c r="M148" s="9">
        <f>IFERROR(__xludf.DUMMYFUNCTION("""COMPUTED_VALUE"""),46255.30763888889)</f>
        <v>46255.30764</v>
      </c>
      <c r="N148" s="6" t="str">
        <f>IFERROR(__xludf.DUMMYFUNCTION("""COMPUTED_VALUE"""),"Pendiente")</f>
        <v>Pendiente</v>
      </c>
      <c r="O148" s="6"/>
      <c r="P148" s="17">
        <f>IFERROR(__xludf.DUMMYFUNCTION("""COMPUTED_VALUE"""),46255.30763888889)</f>
        <v>46255.30764</v>
      </c>
      <c r="Q148" s="6"/>
      <c r="R148" s="6" t="str">
        <f>IFERROR(__xludf.DUMMYFUNCTION("""COMPUTED_VALUE"""),"Ausencia Todo el Dia")</f>
        <v>Ausencia Todo el Dia</v>
      </c>
      <c r="S148" s="6"/>
      <c r="T148" s="6"/>
      <c r="U148" s="6" t="str">
        <f>IFERROR(__xludf.DUMMYFUNCTION("""COMPUTED_VALUE"""),"Ausencia todo el dia")</f>
        <v>Ausencia todo el dia</v>
      </c>
      <c r="V148" s="6"/>
      <c r="W148" s="6"/>
      <c r="X148" s="6"/>
      <c r="Y148" s="6"/>
      <c r="Z148" s="6"/>
    </row>
    <row r="149">
      <c r="A149" s="6" t="str">
        <f>IFERROR(__xludf.DUMMYFUNCTION("""COMPUTED_VALUE"""),"91284a95")</f>
        <v>91284a95</v>
      </c>
      <c r="B149" s="7" t="str">
        <f>IFERROR(__xludf.DUMMYFUNCTION("""COMPUTED_VALUE"""),"1345281624")</f>
        <v>1345281624</v>
      </c>
      <c r="C149" s="6" t="str">
        <f>IFERROR(__xludf.DUMMYFUNCTION("""COMPUTED_VALUE"""),"estará acompañando a su hermano seniors")</f>
        <v>estará acompañando a su hermano seniors</v>
      </c>
      <c r="D149" s="6" t="str">
        <f>IFERROR(__xludf.DUMMYFUNCTION("""COMPUTED_VALUE"""),"Madre")</f>
        <v>Madre</v>
      </c>
      <c r="E149" s="6" t="str">
        <f>IFERROR(__xludf.DUMMYFUNCTION("""COMPUTED_VALUE"""),"Madre: Paula Andrea Giraldo Vásquez")</f>
        <v>Madre: Paula Andrea Giraldo Vásquez</v>
      </c>
      <c r="F149" s="6"/>
      <c r="G149" s="6" t="str">
        <f>IFERROR(__xludf.DUMMYFUNCTION("""COMPUTED_VALUE"""),"10")</f>
        <v>10</v>
      </c>
      <c r="H149" s="6" t="str">
        <f>IFERROR(__xludf.DUMMYFUNCTION("""COMPUTED_VALUE"""),"Gaspar Giraldo Sara")</f>
        <v>Gaspar Giraldo Sara</v>
      </c>
      <c r="I149" s="6" t="str">
        <f>IFERROR(__xludf.DUMMYFUNCTION("""COMPUTED_VALUE"""),"Demograficos_Images/1345281624.Foto_Estudiante.184244.jpg")</f>
        <v>Demograficos_Images/1345281624.Foto_Estudiante.184244.jpg</v>
      </c>
      <c r="J149" s="8">
        <f>IFERROR(__xludf.DUMMYFUNCTION("""COMPUTED_VALUE"""),46255.34722222222)</f>
        <v>46255.34722</v>
      </c>
      <c r="K149" s="6" t="str">
        <f>IFERROR(__xludf.DUMMYFUNCTION("""COMPUTED_VALUE"""),"secundaria@gi.edu.co")</f>
        <v>secundaria@gi.edu.co</v>
      </c>
      <c r="L149" s="6" t="str">
        <f>IFERROR(__xludf.DUMMYFUNCTION("""COMPUTED_VALUE"""),"1345281624")</f>
        <v>1345281624</v>
      </c>
      <c r="M149" s="9">
        <f>IFERROR(__xludf.DUMMYFUNCTION("""COMPUTED_VALUE"""),46255.31668981481)</f>
        <v>46255.31669</v>
      </c>
      <c r="N149" s="6" t="str">
        <f>IFERROR(__xludf.DUMMYFUNCTION("""COMPUTED_VALUE"""),"Pendiente")</f>
        <v>Pendiente</v>
      </c>
      <c r="O149" s="6"/>
      <c r="P149" s="17">
        <f>IFERROR(__xludf.DUMMYFUNCTION("""COMPUTED_VALUE"""),46255.31668981481)</f>
        <v>46255.31669</v>
      </c>
      <c r="Q149" s="6"/>
      <c r="R149" s="6" t="str">
        <f>IFERROR(__xludf.DUMMYFUNCTION("""COMPUTED_VALUE"""),"Secundaria")</f>
        <v>Secundaria</v>
      </c>
      <c r="S149" s="6" t="b">
        <f>IFERROR(__xludf.DUMMYFUNCTION("""COMPUTED_VALUE"""),FALSE)</f>
        <v>0</v>
      </c>
      <c r="T149" s="6"/>
      <c r="U149" s="6" t="str">
        <f>IFERROR(__xludf.DUMMYFUNCTION("""COMPUTED_VALUE"""),"Salida temprano")</f>
        <v>Salida temprano</v>
      </c>
      <c r="V149" s="6"/>
      <c r="W149" s="6"/>
      <c r="X149" s="6"/>
      <c r="Y149" s="6"/>
      <c r="Z149" s="6"/>
    </row>
    <row r="150">
      <c r="A150" s="6" t="str">
        <f>IFERROR(__xludf.DUMMYFUNCTION("""COMPUTED_VALUE"""),"1fe476e3")</f>
        <v>1fe476e3</v>
      </c>
      <c r="B150" s="7" t="str">
        <f>IFERROR(__xludf.DUMMYFUNCTION("""COMPUTED_VALUE"""),"1345281780")</f>
        <v>1345281780</v>
      </c>
      <c r="C150" s="6" t="str">
        <f>IFERROR(__xludf.DUMMYFUNCTION("""COMPUTED_VALUE"""),"Sale con el padre")</f>
        <v>Sale con el padre</v>
      </c>
      <c r="D150" s="6" t="str">
        <f>IFERROR(__xludf.DUMMYFUNCTION("""COMPUTED_VALUE"""),"Padre")</f>
        <v>Padre</v>
      </c>
      <c r="E150" s="6" t="str">
        <f>IFERROR(__xludf.DUMMYFUNCTION("""COMPUTED_VALUE"""),"Padre: Luis Miguel Calderón Montes")</f>
        <v>Padre: Luis Miguel Calderón Montes</v>
      </c>
      <c r="F150" s="6"/>
      <c r="G150" s="6" t="str">
        <f>IFERROR(__xludf.DUMMYFUNCTION("""COMPUTED_VALUE"""),"5")</f>
        <v>5</v>
      </c>
      <c r="H150" s="6" t="str">
        <f>IFERROR(__xludf.DUMMYFUNCTION("""COMPUTED_VALUE"""),"Calderón Bueno Mar")</f>
        <v>Calderón Bueno Mar</v>
      </c>
      <c r="I150" s="6" t="str">
        <f>IFERROR(__xludf.DUMMYFUNCTION("""COMPUTED_VALUE"""),"Demograficos_Images/1345281780.Foto_Estudiante.142845.jpg")</f>
        <v>Demograficos_Images/1345281780.Foto_Estudiante.142845.jpg</v>
      </c>
      <c r="J150" s="8">
        <f>IFERROR(__xludf.DUMMYFUNCTION("""COMPUTED_VALUE"""),46255.54513888889)</f>
        <v>46255.54514</v>
      </c>
      <c r="K150" s="6" t="str">
        <f>IFERROR(__xludf.DUMMYFUNCTION("""COMPUTED_VALUE"""),"primaria@gi.edu.co")</f>
        <v>primaria@gi.edu.co</v>
      </c>
      <c r="L150" s="6" t="str">
        <f>IFERROR(__xludf.DUMMYFUNCTION("""COMPUTED_VALUE"""),"1345281780")</f>
        <v>1345281780</v>
      </c>
      <c r="M150" s="9">
        <f>IFERROR(__xludf.DUMMYFUNCTION("""COMPUTED_VALUE"""),46255.31872685185)</f>
        <v>46255.31873</v>
      </c>
      <c r="N150" s="6" t="str">
        <f>IFERROR(__xludf.DUMMYFUNCTION("""COMPUTED_VALUE"""),"Pendiente")</f>
        <v>Pendiente</v>
      </c>
      <c r="O150" s="6"/>
      <c r="P150" s="17">
        <f>IFERROR(__xludf.DUMMYFUNCTION("""COMPUTED_VALUE"""),46255.31872685185)</f>
        <v>46255.31873</v>
      </c>
      <c r="Q150" s="6"/>
      <c r="R150" s="6" t="str">
        <f>IFERROR(__xludf.DUMMYFUNCTION("""COMPUTED_VALUE"""),"Familiar (celebraciones, encuentros, despedidas, eucaristias)")</f>
        <v>Familiar (celebraciones, encuentros, despedidas, eucaristias)</v>
      </c>
      <c r="S150" s="6" t="b">
        <f>IFERROR(__xludf.DUMMYFUNCTION("""COMPUTED_VALUE"""),FALSE)</f>
        <v>0</v>
      </c>
      <c r="T150" s="6"/>
      <c r="U150" s="6" t="str">
        <f>IFERROR(__xludf.DUMMYFUNCTION("""COMPUTED_VALUE"""),"Salida temprano")</f>
        <v>Salida temprano</v>
      </c>
      <c r="V150" s="6"/>
      <c r="W150" s="6"/>
      <c r="X150" s="6"/>
      <c r="Y150" s="6"/>
      <c r="Z150" s="6"/>
    </row>
    <row r="151">
      <c r="A151" s="6" t="str">
        <f>IFERROR(__xludf.DUMMYFUNCTION("""COMPUTED_VALUE"""),"5cb57ebf")</f>
        <v>5cb57ebf</v>
      </c>
      <c r="B151" s="7" t="str">
        <f>IFERROR(__xludf.DUMMYFUNCTION("""COMPUTED_VALUE"""),"1345281741")</f>
        <v>1345281741</v>
      </c>
      <c r="C151" s="6" t="str">
        <f>IFERROR(__xludf.DUMMYFUNCTION("""COMPUTED_VALUE"""),"no utilizara el servicio de transporte")</f>
        <v>no utilizara el servicio de transporte</v>
      </c>
      <c r="D151" s="6" t="str">
        <f>IFERROR(__xludf.DUMMYFUNCTION("""COMPUTED_VALUE"""),"Padre")</f>
        <v>Padre</v>
      </c>
      <c r="E151" s="6" t="str">
        <f>IFERROR(__xludf.DUMMYFUNCTION("""COMPUTED_VALUE"""),"Padre: Héctor Ernesto Bueno Rincón")</f>
        <v>Padre: Héctor Ernesto Bueno Rincón</v>
      </c>
      <c r="F151" s="6"/>
      <c r="G151" s="6" t="str">
        <f>IFERROR(__xludf.DUMMYFUNCTION("""COMPUTED_VALUE"""),"7")</f>
        <v>7</v>
      </c>
      <c r="H151" s="6" t="str">
        <f>IFERROR(__xludf.DUMMYFUNCTION("""COMPUTED_VALUE"""),"Bueno Céspedes Dominick")</f>
        <v>Bueno Céspedes Dominick</v>
      </c>
      <c r="I151" s="6" t="str">
        <f>IFERROR(__xludf.DUMMYFUNCTION("""COMPUTED_VALUE"""),"Demograficos_Images/1345281741.Foto_Estudiante.182330.jpg")</f>
        <v>Demograficos_Images/1345281741.Foto_Estudiante.182330.jpg</v>
      </c>
      <c r="J151" s="8">
        <f>IFERROR(__xludf.DUMMYFUNCTION("""COMPUTED_VALUE"""),46255.631944444445)</f>
        <v>46255.63194</v>
      </c>
      <c r="K151" s="6" t="str">
        <f>IFERROR(__xludf.DUMMYFUNCTION("""COMPUTED_VALUE"""),"secundaria@gi.edu.co")</f>
        <v>secundaria@gi.edu.co</v>
      </c>
      <c r="L151" s="6" t="str">
        <f>IFERROR(__xludf.DUMMYFUNCTION("""COMPUTED_VALUE"""),"1345281741")</f>
        <v>1345281741</v>
      </c>
      <c r="M151" s="9">
        <f>IFERROR(__xludf.DUMMYFUNCTION("""COMPUTED_VALUE"""),46255.324212962965)</f>
        <v>46255.32421</v>
      </c>
      <c r="N151" s="6" t="str">
        <f>IFERROR(__xludf.DUMMYFUNCTION("""COMPUTED_VALUE"""),"Pendiente")</f>
        <v>Pendiente</v>
      </c>
      <c r="O151" s="6"/>
      <c r="P151" s="17">
        <f>IFERROR(__xludf.DUMMYFUNCTION("""COMPUTED_VALUE"""),46255.324212962965)</f>
        <v>46255.32421</v>
      </c>
      <c r="Q151" s="6"/>
      <c r="R151" s="6" t="str">
        <f>IFERROR(__xludf.DUMMYFUNCTION("""COMPUTED_VALUE"""),"Secundaria")</f>
        <v>Secundaria</v>
      </c>
      <c r="S151" s="6"/>
      <c r="T151" s="6"/>
      <c r="U151" s="6"/>
      <c r="V151" s="6"/>
      <c r="W151" s="6"/>
      <c r="X151" s="6"/>
      <c r="Y151" s="6"/>
      <c r="Z151" s="6"/>
    </row>
    <row r="152">
      <c r="A152" s="6" t="str">
        <f>IFERROR(__xludf.DUMMYFUNCTION("""COMPUTED_VALUE"""),"1a2e8cc8")</f>
        <v>1a2e8cc8</v>
      </c>
      <c r="B152" s="7" t="str">
        <f>IFERROR(__xludf.DUMMYFUNCTION("""COMPUTED_VALUE"""),"1345281589")</f>
        <v>1345281589</v>
      </c>
      <c r="C152" s="6" t="str">
        <f>IFERROR(__xludf.DUMMYFUNCTION("""COMPUTED_VALUE"""),"sale temprano por cita medica")</f>
        <v>sale temprano por cita medica</v>
      </c>
      <c r="D152" s="6"/>
      <c r="E152" s="6"/>
      <c r="F152" s="6" t="str">
        <f>IFERROR(__xludf.DUMMYFUNCTION("""COMPUTED_VALUE"""),"Nathalia Toquica David- prima de la mamá")</f>
        <v>Nathalia Toquica David- prima de la mamá</v>
      </c>
      <c r="G152" s="6" t="str">
        <f>IFERROR(__xludf.DUMMYFUNCTION("""COMPUTED_VALUE"""),"8")</f>
        <v>8</v>
      </c>
      <c r="H152" s="6" t="str">
        <f>IFERROR(__xludf.DUMMYFUNCTION("""COMPUTED_VALUE"""),"Montaño David Jacobo")</f>
        <v>Montaño David Jacobo</v>
      </c>
      <c r="I152" s="6" t="str">
        <f>IFERROR(__xludf.DUMMYFUNCTION("""COMPUTED_VALUE"""),"Demograficos_Images/1345281589.Foto_Estudiante.191402.jpg")</f>
        <v>Demograficos_Images/1345281589.Foto_Estudiante.191402.jpg</v>
      </c>
      <c r="J152" s="8">
        <f>IFERROR(__xludf.DUMMYFUNCTION("""COMPUTED_VALUE"""),46255.46875)</f>
        <v>46255.46875</v>
      </c>
      <c r="K152" s="6" t="str">
        <f>IFERROR(__xludf.DUMMYFUNCTION("""COMPUTED_VALUE"""),"secundaria@gi.edu.co")</f>
        <v>secundaria@gi.edu.co</v>
      </c>
      <c r="L152" s="6" t="str">
        <f>IFERROR(__xludf.DUMMYFUNCTION("""COMPUTED_VALUE"""),"1345281589")</f>
        <v>1345281589</v>
      </c>
      <c r="M152" s="9">
        <f>IFERROR(__xludf.DUMMYFUNCTION("""COMPUTED_VALUE"""),46255.32842592592)</f>
        <v>46255.32843</v>
      </c>
      <c r="N152" s="6" t="str">
        <f>IFERROR(__xludf.DUMMYFUNCTION("""COMPUTED_VALUE"""),"Pendiente")</f>
        <v>Pendiente</v>
      </c>
      <c r="O152" s="6"/>
      <c r="P152" s="17">
        <f>IFERROR(__xludf.DUMMYFUNCTION("""COMPUTED_VALUE"""),46255.32842592592)</f>
        <v>46255.32843</v>
      </c>
      <c r="Q152" s="6"/>
      <c r="R152" s="6" t="str">
        <f>IFERROR(__xludf.DUMMYFUNCTION("""COMPUTED_VALUE"""),"Cita médica")</f>
        <v>Cita médica</v>
      </c>
      <c r="S152" s="6"/>
      <c r="T152" s="6"/>
      <c r="U152" s="6" t="str">
        <f>IFERROR(__xludf.DUMMYFUNCTION("""COMPUTED_VALUE"""),"Salida temprano")</f>
        <v>Salida temprano</v>
      </c>
      <c r="V152" s="6"/>
      <c r="W152" s="6"/>
      <c r="X152" s="6"/>
      <c r="Y152" s="6"/>
      <c r="Z152" s="6"/>
    </row>
    <row r="153">
      <c r="A153" s="6" t="str">
        <f>IFERROR(__xludf.DUMMYFUNCTION("""COMPUTED_VALUE"""),"f85d2575")</f>
        <v>f85d2575</v>
      </c>
      <c r="B153" s="7" t="str">
        <f>IFERROR(__xludf.DUMMYFUNCTION("""COMPUTED_VALUE"""),"1345282450")</f>
        <v>1345282450</v>
      </c>
      <c r="C153" s="6" t="str">
        <f>IFERROR(__xludf.DUMMYFUNCTION("""COMPUTED_VALUE"""),"cita medica con los papas")</f>
        <v>cita medica con los papas</v>
      </c>
      <c r="D153" s="6" t="str">
        <f>IFERROR(__xludf.DUMMYFUNCTION("""COMPUTED_VALUE"""),"Madre")</f>
        <v>Madre</v>
      </c>
      <c r="E153" s="6" t="str">
        <f>IFERROR(__xludf.DUMMYFUNCTION("""COMPUTED_VALUE"""),"Madre: Paula Andrea Peñuela González")</f>
        <v>Madre: Paula Andrea Peñuela González</v>
      </c>
      <c r="F153" s="6"/>
      <c r="G153" s="6" t="str">
        <f>IFERROR(__xludf.DUMMYFUNCTION("""COMPUTED_VALUE"""),"1")</f>
        <v>1</v>
      </c>
      <c r="H153" s="6" t="str">
        <f>IFERROR(__xludf.DUMMYFUNCTION("""COMPUTED_VALUE"""),"García Peñuela Gabriela")</f>
        <v>García Peñuela Gabriela</v>
      </c>
      <c r="I153" s="6" t="str">
        <f>IFERROR(__xludf.DUMMYFUNCTION("""COMPUTED_VALUE"""),"Demograficos_Images/1345282450.Foto_Estudiante.202934.jpg")</f>
        <v>Demograficos_Images/1345282450.Foto_Estudiante.202934.jpg</v>
      </c>
      <c r="J153" s="8">
        <f>IFERROR(__xludf.DUMMYFUNCTION("""COMPUTED_VALUE"""),46255.416666666664)</f>
        <v>46255.41667</v>
      </c>
      <c r="K153" s="6" t="str">
        <f>IFERROR(__xludf.DUMMYFUNCTION("""COMPUTED_VALUE"""),"primaria@gi.edu.co")</f>
        <v>primaria@gi.edu.co</v>
      </c>
      <c r="L153" s="6" t="str">
        <f>IFERROR(__xludf.DUMMYFUNCTION("""COMPUTED_VALUE"""),"1345282450")</f>
        <v>1345282450</v>
      </c>
      <c r="M153" s="9">
        <f>IFERROR(__xludf.DUMMYFUNCTION("""COMPUTED_VALUE"""),46255.34915509259)</f>
        <v>46255.34916</v>
      </c>
      <c r="N153" s="6" t="str">
        <f>IFERROR(__xludf.DUMMYFUNCTION("""COMPUTED_VALUE"""),"Pendiente")</f>
        <v>Pendiente</v>
      </c>
      <c r="O153" s="6"/>
      <c r="P153" s="17">
        <f>IFERROR(__xludf.DUMMYFUNCTION("""COMPUTED_VALUE"""),46255.34915509259)</f>
        <v>46255.34916</v>
      </c>
      <c r="Q153" s="6"/>
      <c r="R153" s="6" t="str">
        <f>IFERROR(__xludf.DUMMYFUNCTION("""COMPUTED_VALUE"""),"Cita médico especialista")</f>
        <v>Cita médico especialista</v>
      </c>
      <c r="S153" s="6" t="b">
        <f>IFERROR(__xludf.DUMMYFUNCTION("""COMPUTED_VALUE"""),TRUE)</f>
        <v>1</v>
      </c>
      <c r="T153" s="14">
        <f>IFERROR(__xludf.DUMMYFUNCTION("""COMPUTED_VALUE"""),0.5008796296296296)</f>
        <v>0.5008796296</v>
      </c>
      <c r="U153" s="6" t="str">
        <f>IFERROR(__xludf.DUMMYFUNCTION("""COMPUTED_VALUE"""),"Salida temprano")</f>
        <v>Salida temprano</v>
      </c>
      <c r="V153" s="6"/>
      <c r="W153" s="6"/>
      <c r="X153" s="6"/>
      <c r="Y153" s="6"/>
      <c r="Z153" s="6"/>
    </row>
    <row r="154">
      <c r="A154" s="6" t="str">
        <f>IFERROR(__xludf.DUMMYFUNCTION("""COMPUTED_VALUE"""),"065363b1")</f>
        <v>065363b1</v>
      </c>
      <c r="B154" s="7" t="str">
        <f>IFERROR(__xludf.DUMMYFUNCTION("""COMPUTED_VALUE"""),"1345282073")</f>
        <v>1345282073</v>
      </c>
      <c r="C154" s="6" t="str">
        <f>IFERROR(__xludf.DUMMYFUNCTION("""COMPUTED_VALUE"""),"sale con la mamá de Valentina Diago")</f>
        <v>sale con la mamá de Valentina Diago</v>
      </c>
      <c r="D154" s="6"/>
      <c r="E154" s="6"/>
      <c r="F154" s="6" t="str">
        <f>IFERROR(__xludf.DUMMYFUNCTION("""COMPUTED_VALUE"""),"sale con la mamá de Valentina Diago")</f>
        <v>sale con la mamá de Valentina Diago</v>
      </c>
      <c r="G154" s="6" t="str">
        <f>IFERROR(__xludf.DUMMYFUNCTION("""COMPUTED_VALUE"""),"7")</f>
        <v>7</v>
      </c>
      <c r="H154" s="6" t="str">
        <f>IFERROR(__xludf.DUMMYFUNCTION("""COMPUTED_VALUE"""),"Vargas Uribe Ana Sofía")</f>
        <v>Vargas Uribe Ana Sofía</v>
      </c>
      <c r="I154" s="6" t="str">
        <f>IFERROR(__xludf.DUMMYFUNCTION("""COMPUTED_VALUE"""),"Demograficos_Images/1345282073.Foto_Estudiante.193114.jpg")</f>
        <v>Demograficos_Images/1345282073.Foto_Estudiante.193114.jpg</v>
      </c>
      <c r="J154" s="8">
        <f>IFERROR(__xludf.DUMMYFUNCTION("""COMPUTED_VALUE"""),46255.631944444445)</f>
        <v>46255.63194</v>
      </c>
      <c r="K154" s="6" t="str">
        <f>IFERROR(__xludf.DUMMYFUNCTION("""COMPUTED_VALUE"""),"secundaria@gi.edu.co")</f>
        <v>secundaria@gi.edu.co</v>
      </c>
      <c r="L154" s="6" t="str">
        <f>IFERROR(__xludf.DUMMYFUNCTION("""COMPUTED_VALUE"""),"1345282073")</f>
        <v>1345282073</v>
      </c>
      <c r="M154" s="9">
        <f>IFERROR(__xludf.DUMMYFUNCTION("""COMPUTED_VALUE"""),46255.349641203706)</f>
        <v>46255.34964</v>
      </c>
      <c r="N154" s="6" t="str">
        <f>IFERROR(__xludf.DUMMYFUNCTION("""COMPUTED_VALUE"""),"Pendiente")</f>
        <v>Pendiente</v>
      </c>
      <c r="O154" s="6"/>
      <c r="P154" s="17">
        <f>IFERROR(__xludf.DUMMYFUNCTION("""COMPUTED_VALUE"""),46255.349641203706)</f>
        <v>46255.34964</v>
      </c>
      <c r="Q154" s="6"/>
      <c r="R154" s="6" t="str">
        <f>IFERROR(__xludf.DUMMYFUNCTION("""COMPUTED_VALUE"""),"Secundaria")</f>
        <v>Secundaria</v>
      </c>
      <c r="S154" s="6"/>
      <c r="T154" s="6"/>
      <c r="U154" s="6"/>
      <c r="V154" s="6"/>
      <c r="W154" s="6"/>
      <c r="X154" s="6"/>
      <c r="Y154" s="6"/>
      <c r="Z154" s="6"/>
    </row>
    <row r="155">
      <c r="A155" s="6" t="str">
        <f>IFERROR(__xludf.DUMMYFUNCTION("""COMPUTED_VALUE"""),"9446f343")</f>
        <v>9446f343</v>
      </c>
      <c r="B155" s="7" t="str">
        <f>IFERROR(__xludf.DUMMYFUNCTION("""COMPUTED_VALUE"""),"1345282266")</f>
        <v>1345282266</v>
      </c>
      <c r="C155" s="6" t="str">
        <f>IFERROR(__xludf.DUMMYFUNCTION("""COMPUTED_VALUE"""),"sale con la mamá")</f>
        <v>sale con la mamá</v>
      </c>
      <c r="D155" s="6" t="str">
        <f>IFERROR(__xludf.DUMMYFUNCTION("""COMPUTED_VALUE"""),"Madre")</f>
        <v>Madre</v>
      </c>
      <c r="E155" s="6" t="str">
        <f>IFERROR(__xludf.DUMMYFUNCTION("""COMPUTED_VALUE"""),"Madre: Ana María Jiménez Ceballos")</f>
        <v>Madre: Ana María Jiménez Ceballos</v>
      </c>
      <c r="F155" s="6"/>
      <c r="G155" s="6" t="str">
        <f>IFERROR(__xludf.DUMMYFUNCTION("""COMPUTED_VALUE"""),"1")</f>
        <v>1</v>
      </c>
      <c r="H155" s="6" t="str">
        <f>IFERROR(__xludf.DUMMYFUNCTION("""COMPUTED_VALUE"""),"Ocampo Jiménez Leticia")</f>
        <v>Ocampo Jiménez Leticia</v>
      </c>
      <c r="I155" s="6" t="str">
        <f>IFERROR(__xludf.DUMMYFUNCTION("""COMPUTED_VALUE"""),"Demograficos_Images/1345282266.Foto_Estudiante.204631.jpg")</f>
        <v>Demograficos_Images/1345282266.Foto_Estudiante.204631.jpg</v>
      </c>
      <c r="J155" s="8">
        <f>IFERROR(__xludf.DUMMYFUNCTION("""COMPUTED_VALUE"""),46255.541666666664)</f>
        <v>46255.54167</v>
      </c>
      <c r="K155" s="6" t="str">
        <f>IFERROR(__xludf.DUMMYFUNCTION("""COMPUTED_VALUE"""),"primaria@gi.edu.co")</f>
        <v>primaria@gi.edu.co</v>
      </c>
      <c r="L155" s="6" t="str">
        <f>IFERROR(__xludf.DUMMYFUNCTION("""COMPUTED_VALUE"""),"1345282266")</f>
        <v>1345282266</v>
      </c>
      <c r="M155" s="9">
        <f>IFERROR(__xludf.DUMMYFUNCTION("""COMPUTED_VALUE"""),46255.37472222222)</f>
        <v>46255.37472</v>
      </c>
      <c r="N155" s="6" t="str">
        <f>IFERROR(__xludf.DUMMYFUNCTION("""COMPUTED_VALUE"""),"Pendiente")</f>
        <v>Pendiente</v>
      </c>
      <c r="O155" s="6"/>
      <c r="P155" s="17">
        <f>IFERROR(__xludf.DUMMYFUNCTION("""COMPUTED_VALUE"""),46255.37472222222)</f>
        <v>46255.37472</v>
      </c>
      <c r="Q155" s="6"/>
      <c r="R155" s="6" t="str">
        <f>IFERROR(__xludf.DUMMYFUNCTION("""COMPUTED_VALUE"""),"Familiar (celebraciones, encuentros, despedidas, eucaristias)")</f>
        <v>Familiar (celebraciones, encuentros, despedidas, eucaristias)</v>
      </c>
      <c r="S155" s="6" t="b">
        <f>IFERROR(__xludf.DUMMYFUNCTION("""COMPUTED_VALUE"""),FALSE)</f>
        <v>0</v>
      </c>
      <c r="T155" s="6"/>
      <c r="U155" s="6" t="str">
        <f>IFERROR(__xludf.DUMMYFUNCTION("""COMPUTED_VALUE"""),"Salida temprano")</f>
        <v>Salida temprano</v>
      </c>
      <c r="V155" s="6"/>
      <c r="W155" s="6"/>
      <c r="X155" s="6"/>
      <c r="Y155" s="6"/>
      <c r="Z155" s="6"/>
    </row>
    <row r="156">
      <c r="A156" s="6" t="str">
        <f>IFERROR(__xludf.DUMMYFUNCTION("""COMPUTED_VALUE"""),"095214c7")</f>
        <v>095214c7</v>
      </c>
      <c r="B156" s="7" t="str">
        <f>IFERROR(__xludf.DUMMYFUNCTION("""COMPUTED_VALUE"""),"1345282037")</f>
        <v>1345282037</v>
      </c>
      <c r="C156" s="6" t="str">
        <f>IFERROR(__xludf.DUMMYFUNCTION("""COMPUTED_VALUE"""),"sale con la mamá")</f>
        <v>sale con la mamá</v>
      </c>
      <c r="D156" s="6" t="str">
        <f>IFERROR(__xludf.DUMMYFUNCTION("""COMPUTED_VALUE"""),"Madre")</f>
        <v>Madre</v>
      </c>
      <c r="E156" s="6" t="str">
        <f>IFERROR(__xludf.DUMMYFUNCTION("""COMPUTED_VALUE"""),"Madre: Angélica María Díaz Contreras")</f>
        <v>Madre: Angélica María Díaz Contreras</v>
      </c>
      <c r="F156" s="6" t="str">
        <f>IFERROR(__xludf.DUMMYFUNCTION("""COMPUTED_VALUE"""),"salida con mamá")</f>
        <v>salida con mamá</v>
      </c>
      <c r="G156" s="6" t="str">
        <f>IFERROR(__xludf.DUMMYFUNCTION("""COMPUTED_VALUE"""),"3")</f>
        <v>3</v>
      </c>
      <c r="H156" s="6" t="str">
        <f>IFERROR(__xludf.DUMMYFUNCTION("""COMPUTED_VALUE"""),"Ramírez Díaz Ignacio")</f>
        <v>Ramírez Díaz Ignacio</v>
      </c>
      <c r="I156" s="6" t="str">
        <f>IFERROR(__xludf.DUMMYFUNCTION("""COMPUTED_VALUE"""),"Demograficos_Images/1345282037.Foto_Estudiante.135336.jpg")</f>
        <v>Demograficos_Images/1345282037.Foto_Estudiante.135336.jpg</v>
      </c>
      <c r="J156" s="8">
        <f>IFERROR(__xludf.DUMMYFUNCTION("""COMPUTED_VALUE"""),46255.583333333336)</f>
        <v>46255.58333</v>
      </c>
      <c r="K156" s="6" t="str">
        <f>IFERROR(__xludf.DUMMYFUNCTION("""COMPUTED_VALUE"""),"primaria@gi.edu.co")</f>
        <v>primaria@gi.edu.co</v>
      </c>
      <c r="L156" s="6" t="str">
        <f>IFERROR(__xludf.DUMMYFUNCTION("""COMPUTED_VALUE"""),"1345282037")</f>
        <v>1345282037</v>
      </c>
      <c r="M156" s="9">
        <f>IFERROR(__xludf.DUMMYFUNCTION("""COMPUTED_VALUE"""),46255.38494212963)</f>
        <v>46255.38494</v>
      </c>
      <c r="N156" s="6" t="str">
        <f>IFERROR(__xludf.DUMMYFUNCTION("""COMPUTED_VALUE"""),"Pendiente")</f>
        <v>Pendiente</v>
      </c>
      <c r="O156" s="6"/>
      <c r="P156" s="17">
        <f>IFERROR(__xludf.DUMMYFUNCTION("""COMPUTED_VALUE"""),46255.38494212963)</f>
        <v>46255.38494</v>
      </c>
      <c r="Q156" s="6"/>
      <c r="R156" s="6" t="str">
        <f>IFERROR(__xludf.DUMMYFUNCTION("""COMPUTED_VALUE"""),"Familiar (celebraciones, encuentros, despedidas, eucaristias)")</f>
        <v>Familiar (celebraciones, encuentros, despedidas, eucaristias)</v>
      </c>
      <c r="S156" s="6" t="b">
        <f>IFERROR(__xludf.DUMMYFUNCTION("""COMPUTED_VALUE"""),FALSE)</f>
        <v>0</v>
      </c>
      <c r="T156" s="6"/>
      <c r="U156" s="6" t="str">
        <f>IFERROR(__xludf.DUMMYFUNCTION("""COMPUTED_VALUE"""),"Salida temprano")</f>
        <v>Salida temprano</v>
      </c>
      <c r="V156" s="6"/>
      <c r="W156" s="6"/>
      <c r="X156" s="6"/>
      <c r="Y156" s="6"/>
      <c r="Z156" s="6"/>
    </row>
    <row r="157">
      <c r="A157" s="6" t="str">
        <f>IFERROR(__xludf.DUMMYFUNCTION("""COMPUTED_VALUE"""),"a7d446da")</f>
        <v>a7d446da</v>
      </c>
      <c r="B157" s="7" t="str">
        <f>IFERROR(__xludf.DUMMYFUNCTION("""COMPUTED_VALUE"""),"1345281889")</f>
        <v>1345281889</v>
      </c>
      <c r="C157" s="6" t="str">
        <f>IFERROR(__xludf.DUMMYFUNCTION("""COMPUTED_VALUE"""),"hoy no se queda en extrasports  si no q sale en carro a las 3:00 pm  con Pedro Hoyos")</f>
        <v>hoy no se queda en extrasports  si no q sale en carro a las 3:00 pm  con Pedro Hoyos</v>
      </c>
      <c r="D157" s="6" t="str">
        <f>IFERROR(__xludf.DUMMYFUNCTION("""COMPUTED_VALUE"""),"Madre")</f>
        <v>Madre</v>
      </c>
      <c r="E157" s="6" t="str">
        <f>IFERROR(__xludf.DUMMYFUNCTION("""COMPUTED_VALUE"""),"Madre: Catalina  Pinzón Vinazco")</f>
        <v>Madre: Catalina  Pinzón Vinazco</v>
      </c>
      <c r="F157" s="6" t="str">
        <f>IFERROR(__xludf.DUMMYFUNCTION("""COMPUTED_VALUE"""),"hoy no se queda en extrasports  si no q sale en carro a las 3:00 pm  con Pedro Hoyos")</f>
        <v>hoy no se queda en extrasports  si no q sale en carro a las 3:00 pm  con Pedro Hoyos</v>
      </c>
      <c r="G157" s="6" t="str">
        <f>IFERROR(__xludf.DUMMYFUNCTION("""COMPUTED_VALUE"""),"5")</f>
        <v>5</v>
      </c>
      <c r="H157" s="6" t="str">
        <f>IFERROR(__xludf.DUMMYFUNCTION("""COMPUTED_VALUE"""),"Giraldo Pinzón Lorenzo")</f>
        <v>Giraldo Pinzón Lorenzo</v>
      </c>
      <c r="I157" s="6" t="str">
        <f>IFERROR(__xludf.DUMMYFUNCTION("""COMPUTED_VALUE"""),"Demograficos_Images/1345281889.Foto_Estudiante.143157.jpg")</f>
        <v>Demograficos_Images/1345281889.Foto_Estudiante.143157.jpg</v>
      </c>
      <c r="J157" s="8">
        <f>IFERROR(__xludf.DUMMYFUNCTION("""COMPUTED_VALUE"""),46255.618055555555)</f>
        <v>46255.61806</v>
      </c>
      <c r="K157" s="6" t="str">
        <f>IFERROR(__xludf.DUMMYFUNCTION("""COMPUTED_VALUE"""),"primaria@gi.edu.co")</f>
        <v>primaria@gi.edu.co</v>
      </c>
      <c r="L157" s="6" t="str">
        <f>IFERROR(__xludf.DUMMYFUNCTION("""COMPUTED_VALUE"""),"1345281889")</f>
        <v>1345281889</v>
      </c>
      <c r="M157" s="9">
        <f>IFERROR(__xludf.DUMMYFUNCTION("""COMPUTED_VALUE"""),46255.38878472222)</f>
        <v>46255.38878</v>
      </c>
      <c r="N157" s="6" t="str">
        <f>IFERROR(__xludf.DUMMYFUNCTION("""COMPUTED_VALUE"""),"Pendiente")</f>
        <v>Pendiente</v>
      </c>
      <c r="O157" s="6"/>
      <c r="P157" s="17">
        <f>IFERROR(__xludf.DUMMYFUNCTION("""COMPUTED_VALUE"""),46255.38878472222)</f>
        <v>46255.38878</v>
      </c>
      <c r="Q157" s="6"/>
      <c r="R157" s="6" t="str">
        <f>IFERROR(__xludf.DUMMYFUNCTION("""COMPUTED_VALUE"""),"Familiar (celebraciones, encuentros, despedidas, eucaristias)")</f>
        <v>Familiar (celebraciones, encuentros, despedidas, eucaristias)</v>
      </c>
      <c r="S157" s="6" t="b">
        <f>IFERROR(__xludf.DUMMYFUNCTION("""COMPUTED_VALUE"""),FALSE)</f>
        <v>0</v>
      </c>
      <c r="T157" s="6"/>
      <c r="U157" s="6" t="str">
        <f>IFERROR(__xludf.DUMMYFUNCTION("""COMPUTED_VALUE"""),"Salida temprano")</f>
        <v>Salida temprano</v>
      </c>
      <c r="V157" s="6"/>
      <c r="W157" s="6"/>
      <c r="X157" s="6"/>
      <c r="Y157" s="6"/>
      <c r="Z157" s="6"/>
    </row>
    <row r="158">
      <c r="A158" s="6" t="str">
        <f>IFERROR(__xludf.DUMMYFUNCTION("""COMPUTED_VALUE"""),"d43e8483")</f>
        <v>d43e8483</v>
      </c>
      <c r="B158" s="7" t="str">
        <f>IFERROR(__xludf.DUMMYFUNCTION("""COMPUTED_VALUE"""),"1345281981")</f>
        <v>1345281981</v>
      </c>
      <c r="C158" s="6" t="str">
        <f>IFERROR(__xludf.DUMMYFUNCTION("""COMPUTED_VALUE"""),"quería informar que Benjamín no se queda en extra hoy y sale cuando termine la jornada con Marcela Barreneche la Mamá de Pedro Hoyos")</f>
        <v>quería informar que Benjamín no se queda en extra hoy y sale cuando termine la jornada con Marcela Barreneche la Mamá de Pedro Hoyos</v>
      </c>
      <c r="D158" s="6"/>
      <c r="E158" s="6"/>
      <c r="F158" s="6" t="str">
        <f>IFERROR(__xludf.DUMMYFUNCTION("""COMPUTED_VALUE"""),"quería informar que Benjamín no se queda en extra hoy y sale cuando termine la jornada con Marcela Barreneche la Mamá de Pedro Hoyos")</f>
        <v>quería informar que Benjamín no se queda en extra hoy y sale cuando termine la jornada con Marcela Barreneche la Mamá de Pedro Hoyos</v>
      </c>
      <c r="G158" s="6" t="str">
        <f>IFERROR(__xludf.DUMMYFUNCTION("""COMPUTED_VALUE"""),"5")</f>
        <v>5</v>
      </c>
      <c r="H158" s="6" t="str">
        <f>IFERROR(__xludf.DUMMYFUNCTION("""COMPUTED_VALUE"""),"Herrera Pulecio Benjamin")</f>
        <v>Herrera Pulecio Benjamin</v>
      </c>
      <c r="I158" s="6" t="str">
        <f>IFERROR(__xludf.DUMMYFUNCTION("""COMPUTED_VALUE"""),"Demograficos_Images/1345281981.Foto_Estudiante.143240.jpg")</f>
        <v>Demograficos_Images/1345281981.Foto_Estudiante.143240.jpg</v>
      </c>
      <c r="J158" s="8">
        <f>IFERROR(__xludf.DUMMYFUNCTION("""COMPUTED_VALUE"""),46255.618055555555)</f>
        <v>46255.61806</v>
      </c>
      <c r="K158" s="6" t="str">
        <f>IFERROR(__xludf.DUMMYFUNCTION("""COMPUTED_VALUE"""),"primaria@gi.edu.co")</f>
        <v>primaria@gi.edu.co</v>
      </c>
      <c r="L158" s="6" t="str">
        <f>IFERROR(__xludf.DUMMYFUNCTION("""COMPUTED_VALUE"""),"1345281981")</f>
        <v>1345281981</v>
      </c>
      <c r="M158" s="9">
        <f>IFERROR(__xludf.DUMMYFUNCTION("""COMPUTED_VALUE"""),46255.41480324074)</f>
        <v>46255.4148</v>
      </c>
      <c r="N158" s="6" t="str">
        <f>IFERROR(__xludf.DUMMYFUNCTION("""COMPUTED_VALUE"""),"Pendiente")</f>
        <v>Pendiente</v>
      </c>
      <c r="O158" s="6"/>
      <c r="P158" s="17">
        <f>IFERROR(__xludf.DUMMYFUNCTION("""COMPUTED_VALUE"""),46255.41480324074)</f>
        <v>46255.4148</v>
      </c>
      <c r="Q158" s="6"/>
      <c r="R158" s="6" t="str">
        <f>IFERROR(__xludf.DUMMYFUNCTION("""COMPUTED_VALUE"""),"Familiar (celebraciones, encuentros, despedidas, eucaristias)")</f>
        <v>Familiar (celebraciones, encuentros, despedidas, eucaristias)</v>
      </c>
      <c r="S158" s="6" t="b">
        <f>IFERROR(__xludf.DUMMYFUNCTION("""COMPUTED_VALUE"""),FALSE)</f>
        <v>0</v>
      </c>
      <c r="T158" s="6"/>
      <c r="U158" s="6" t="str">
        <f>IFERROR(__xludf.DUMMYFUNCTION("""COMPUTED_VALUE"""),"Salida temprano")</f>
        <v>Salida temprano</v>
      </c>
      <c r="V158" s="6"/>
      <c r="W158" s="6"/>
      <c r="X158" s="6"/>
      <c r="Y158" s="6"/>
      <c r="Z158" s="6"/>
    </row>
    <row r="159">
      <c r="A159" s="6" t="str">
        <f>IFERROR(__xludf.DUMMYFUNCTION("""COMPUTED_VALUE"""),"8d30e1b4")</f>
        <v>8d30e1b4</v>
      </c>
      <c r="B159" s="7" t="str">
        <f>IFERROR(__xludf.DUMMYFUNCTION("""COMPUTED_VALUE"""),"1345282594")</f>
        <v>1345282594</v>
      </c>
      <c r="C159" s="6" t="str">
        <f>IFERROR(__xludf.DUMMYFUNCTION("""COMPUTED_VALUE"""),"Ausencia por dos semanas")</f>
        <v>Ausencia por dos semanas</v>
      </c>
      <c r="D159" s="6" t="str">
        <f>IFERROR(__xludf.DUMMYFUNCTION("""COMPUTED_VALUE"""),"Madre")</f>
        <v>Madre</v>
      </c>
      <c r="E159" s="6" t="str">
        <f>IFERROR(__xludf.DUMMYFUNCTION("""COMPUTED_VALUE"""),"Madre: Laura Natalia Hernández Arbeláez")</f>
        <v>Madre: Laura Natalia Hernández Arbeláez</v>
      </c>
      <c r="F159" s="6"/>
      <c r="G159" s="6" t="str">
        <f>IFERROR(__xludf.DUMMYFUNCTION("""COMPUTED_VALUE"""),"PV")</f>
        <v>PV</v>
      </c>
      <c r="H159" s="6" t="str">
        <f>IFERROR(__xludf.DUMMYFUNCTION("""COMPUTED_VALUE"""),"Durán Hernández Matheo Santino")</f>
        <v>Durán Hernández Matheo Santino</v>
      </c>
      <c r="I159" s="6"/>
      <c r="J159" s="8">
        <f>IFERROR(__xludf.DUMMYFUNCTION("""COMPUTED_VALUE"""),46255.43263888889)</f>
        <v>46255.43264</v>
      </c>
      <c r="K159" s="6" t="str">
        <f>IFERROR(__xludf.DUMMYFUNCTION("""COMPUTED_VALUE"""),"linamr@gi.edu.co")</f>
        <v>linamr@gi.edu.co</v>
      </c>
      <c r="L159" s="6" t="str">
        <f>IFERROR(__xludf.DUMMYFUNCTION("""COMPUTED_VALUE"""),"1345282594")</f>
        <v>1345282594</v>
      </c>
      <c r="M159" s="9">
        <f>IFERROR(__xludf.DUMMYFUNCTION("""COMPUTED_VALUE"""),46255.432175925926)</f>
        <v>46255.43218</v>
      </c>
      <c r="N159" s="6" t="str">
        <f>IFERROR(__xludf.DUMMYFUNCTION("""COMPUTED_VALUE"""),"Pendiente")</f>
        <v>Pendiente</v>
      </c>
      <c r="O159" s="6"/>
      <c r="P159" s="17">
        <f>IFERROR(__xludf.DUMMYFUNCTION("""COMPUTED_VALUE"""),46255.432175925926)</f>
        <v>46255.43218</v>
      </c>
      <c r="Q159" s="6"/>
      <c r="R159" s="6" t="str">
        <f>IFERROR(__xludf.DUMMYFUNCTION("""COMPUTED_VALUE"""),"Viaje familiar")</f>
        <v>Viaje familiar</v>
      </c>
      <c r="S159" s="6" t="b">
        <f>IFERROR(__xludf.DUMMYFUNCTION("""COMPUTED_VALUE"""),FALSE)</f>
        <v>0</v>
      </c>
      <c r="T159" s="6"/>
      <c r="U159" s="6" t="str">
        <f>IFERROR(__xludf.DUMMYFUNCTION("""COMPUTED_VALUE"""),"Ausencia todo el dia")</f>
        <v>Ausencia todo el dia</v>
      </c>
      <c r="V159" s="6"/>
      <c r="W159" s="6"/>
      <c r="X159" s="6"/>
      <c r="Y159" s="6"/>
      <c r="Z159" s="6"/>
    </row>
    <row r="160">
      <c r="A160" s="6" t="str">
        <f>IFERROR(__xludf.DUMMYFUNCTION("""COMPUTED_VALUE"""),"9186b072")</f>
        <v>9186b072</v>
      </c>
      <c r="B160" s="7" t="str">
        <f>IFERROR(__xludf.DUMMYFUNCTION("""COMPUTED_VALUE"""),"1345281753")</f>
        <v>1345281753</v>
      </c>
      <c r="C160" s="6" t="str">
        <f>IFERROR(__xludf.DUMMYFUNCTION("""COMPUTED_VALUE"""),"sale con Paulina Bedoya")</f>
        <v>sale con Paulina Bedoya</v>
      </c>
      <c r="D160" s="6"/>
      <c r="E160" s="6"/>
      <c r="F160" s="6" t="str">
        <f>IFERROR(__xludf.DUMMYFUNCTION("""COMPUTED_VALUE"""),"Paulina Bedoya (la abuela de Paulina viene )")</f>
        <v>Paulina Bedoya (la abuela de Paulina viene )</v>
      </c>
      <c r="G160" s="6" t="str">
        <f>IFERROR(__xludf.DUMMYFUNCTION("""COMPUTED_VALUE"""),"10")</f>
        <v>10</v>
      </c>
      <c r="H160" s="6" t="str">
        <f>IFERROR(__xludf.DUMMYFUNCTION("""COMPUTED_VALUE"""),"Correa López Emilia")</f>
        <v>Correa López Emilia</v>
      </c>
      <c r="I160" s="6" t="str">
        <f>IFERROR(__xludf.DUMMYFUNCTION("""COMPUTED_VALUE"""),"Demograficos_Images/1345281753.Foto_Estudiante.184401.jpg")</f>
        <v>Demograficos_Images/1345281753.Foto_Estudiante.184401.jpg</v>
      </c>
      <c r="J160" s="8">
        <f>IFERROR(__xludf.DUMMYFUNCTION("""COMPUTED_VALUE"""),46255.631944444445)</f>
        <v>46255.63194</v>
      </c>
      <c r="K160" s="6" t="str">
        <f>IFERROR(__xludf.DUMMYFUNCTION("""COMPUTED_VALUE"""),"secundaria@gi.edu.co")</f>
        <v>secundaria@gi.edu.co</v>
      </c>
      <c r="L160" s="6" t="str">
        <f>IFERROR(__xludf.DUMMYFUNCTION("""COMPUTED_VALUE"""),"1345281753")</f>
        <v>1345281753</v>
      </c>
      <c r="M160" s="9">
        <f>IFERROR(__xludf.DUMMYFUNCTION("""COMPUTED_VALUE"""),46255.43392361111)</f>
        <v>46255.43392</v>
      </c>
      <c r="N160" s="6" t="str">
        <f>IFERROR(__xludf.DUMMYFUNCTION("""COMPUTED_VALUE"""),"Pendiente")</f>
        <v>Pendiente</v>
      </c>
      <c r="O160" s="6"/>
      <c r="P160" s="17">
        <f>IFERROR(__xludf.DUMMYFUNCTION("""COMPUTED_VALUE"""),46255.43392361111)</f>
        <v>46255.43392</v>
      </c>
      <c r="Q160" s="6"/>
      <c r="R160" s="6" t="str">
        <f>IFERROR(__xludf.DUMMYFUNCTION("""COMPUTED_VALUE"""),"Secundaria")</f>
        <v>Secundaria</v>
      </c>
      <c r="S160" s="6"/>
      <c r="T160" s="6"/>
      <c r="U160" s="6"/>
      <c r="V160" s="6"/>
      <c r="W160" s="6"/>
      <c r="X160" s="6"/>
      <c r="Y160" s="6"/>
      <c r="Z160" s="6"/>
    </row>
    <row r="161">
      <c r="A161" s="6" t="str">
        <f>IFERROR(__xludf.DUMMYFUNCTION("""COMPUTED_VALUE"""),"d77fb0d9")</f>
        <v>d77fb0d9</v>
      </c>
      <c r="B161" s="7" t="str">
        <f>IFERROR(__xludf.DUMMYFUNCTION("""COMPUTED_VALUE"""),"1345282613")</f>
        <v>1345282613</v>
      </c>
      <c r="C161" s="6" t="str">
        <f>IFERROR(__xludf.DUMMYFUNCTION("""COMPUTED_VALUE"""),"Tenemos una diligencia")</f>
        <v>Tenemos una diligencia</v>
      </c>
      <c r="D161" s="6" t="str">
        <f>IFERROR(__xludf.DUMMYFUNCTION("""COMPUTED_VALUE"""),"Madre")</f>
        <v>Madre</v>
      </c>
      <c r="E161" s="6" t="str">
        <f>IFERROR(__xludf.DUMMYFUNCTION("""COMPUTED_VALUE"""),"Madre: Diana Yamile Pacheco Aguirre")</f>
        <v>Madre: Diana Yamile Pacheco Aguirre</v>
      </c>
      <c r="F161" s="6"/>
      <c r="G161" s="6" t="str">
        <f>IFERROR(__xludf.DUMMYFUNCTION("""COMPUTED_VALUE"""),"1")</f>
        <v>1</v>
      </c>
      <c r="H161" s="6" t="str">
        <f>IFERROR(__xludf.DUMMYFUNCTION("""COMPUTED_VALUE"""),"Muñoz Pacheco María Antonia")</f>
        <v>Muñoz Pacheco María Antonia</v>
      </c>
      <c r="I161" s="6"/>
      <c r="J161" s="8">
        <f>IFERROR(__xludf.DUMMYFUNCTION("""COMPUTED_VALUE"""),46255.5625)</f>
        <v>46255.5625</v>
      </c>
      <c r="K161" s="6" t="str">
        <f>IFERROR(__xludf.DUMMYFUNCTION("""COMPUTED_VALUE"""),"primaria@gi.edu.co")</f>
        <v>primaria@gi.edu.co</v>
      </c>
      <c r="L161" s="6" t="str">
        <f>IFERROR(__xludf.DUMMYFUNCTION("""COMPUTED_VALUE"""),"1345282613")</f>
        <v>1345282613</v>
      </c>
      <c r="M161" s="9">
        <f>IFERROR(__xludf.DUMMYFUNCTION("""COMPUTED_VALUE"""),46255.43528935185)</f>
        <v>46255.43529</v>
      </c>
      <c r="N161" s="6" t="str">
        <f>IFERROR(__xludf.DUMMYFUNCTION("""COMPUTED_VALUE"""),"Pendiente")</f>
        <v>Pendiente</v>
      </c>
      <c r="O161" s="6"/>
      <c r="P161" s="17">
        <f>IFERROR(__xludf.DUMMYFUNCTION("""COMPUTED_VALUE"""),46255.43528935185)</f>
        <v>46255.43529</v>
      </c>
      <c r="Q161" s="6"/>
      <c r="R161" s="6" t="str">
        <f>IFERROR(__xludf.DUMMYFUNCTION("""COMPUTED_VALUE"""),"Familiar (celebraciones, encuentros, despedidas, eucaristias)")</f>
        <v>Familiar (celebraciones, encuentros, despedidas, eucaristias)</v>
      </c>
      <c r="S161" s="6" t="b">
        <f>IFERROR(__xludf.DUMMYFUNCTION("""COMPUTED_VALUE"""),FALSE)</f>
        <v>0</v>
      </c>
      <c r="T161" s="6"/>
      <c r="U161" s="6" t="str">
        <f>IFERROR(__xludf.DUMMYFUNCTION("""COMPUTED_VALUE"""),"Salida temprano")</f>
        <v>Salida temprano</v>
      </c>
      <c r="V161" s="6"/>
      <c r="W161" s="6"/>
      <c r="X161" s="6"/>
      <c r="Y161" s="6"/>
      <c r="Z161" s="6"/>
    </row>
    <row r="162">
      <c r="A162" s="6" t="str">
        <f>IFERROR(__xludf.DUMMYFUNCTION("""COMPUTED_VALUE"""),"35831660")</f>
        <v>35831660</v>
      </c>
      <c r="B162" s="7" t="str">
        <f>IFERROR(__xludf.DUMMYFUNCTION("""COMPUTED_VALUE"""),"1345282265")</f>
        <v>1345282265</v>
      </c>
      <c r="C162" s="6" t="str">
        <f>IFERROR(__xludf.DUMMYFUNCTION("""COMPUTED_VALUE"""),"terapia")</f>
        <v>terapia</v>
      </c>
      <c r="D162" s="6" t="str">
        <f>IFERROR(__xludf.DUMMYFUNCTION("""COMPUTED_VALUE"""),"Padre")</f>
        <v>Padre</v>
      </c>
      <c r="E162" s="6" t="str">
        <f>IFERROR(__xludf.DUMMYFUNCTION("""COMPUTED_VALUE"""),"Padre: Juan David Gómez Zamorano")</f>
        <v>Padre: Juan David Gómez Zamorano</v>
      </c>
      <c r="F162" s="6"/>
      <c r="G162" s="6" t="str">
        <f>IFERROR(__xludf.DUMMYFUNCTION("""COMPUTED_VALUE"""),"1")</f>
        <v>1</v>
      </c>
      <c r="H162" s="6" t="str">
        <f>IFERROR(__xludf.DUMMYFUNCTION("""COMPUTED_VALUE"""),"Gómez Gamboa Juan Antonio")</f>
        <v>Gómez Gamboa Juan Antonio</v>
      </c>
      <c r="I162" s="6" t="str">
        <f>IFERROR(__xludf.DUMMYFUNCTION("""COMPUTED_VALUE"""),"Demograficos_Images/1345282265.Foto_Estudiante.203006.jpg")</f>
        <v>Demograficos_Images/1345282265.Foto_Estudiante.203006.jpg</v>
      </c>
      <c r="J162" s="8">
        <f>IFERROR(__xludf.DUMMYFUNCTION("""COMPUTED_VALUE"""),46255.61875)</f>
        <v>46255.61875</v>
      </c>
      <c r="K162" s="6" t="str">
        <f>IFERROR(__xludf.DUMMYFUNCTION("""COMPUTED_VALUE"""),"primaria@gi.edu.co")</f>
        <v>primaria@gi.edu.co</v>
      </c>
      <c r="L162" s="6" t="str">
        <f>IFERROR(__xludf.DUMMYFUNCTION("""COMPUTED_VALUE"""),"1345282265")</f>
        <v>1345282265</v>
      </c>
      <c r="M162" s="9">
        <f>IFERROR(__xludf.DUMMYFUNCTION("""COMPUTED_VALUE"""),46255.438680555555)</f>
        <v>46255.43868</v>
      </c>
      <c r="N162" s="6" t="str">
        <f>IFERROR(__xludf.DUMMYFUNCTION("""COMPUTED_VALUE"""),"Pendiente")</f>
        <v>Pendiente</v>
      </c>
      <c r="O162" s="6"/>
      <c r="P162" s="17">
        <f>IFERROR(__xludf.DUMMYFUNCTION("""COMPUTED_VALUE"""),46255.438680555555)</f>
        <v>46255.43868</v>
      </c>
      <c r="Q162" s="6"/>
      <c r="R162" s="6" t="str">
        <f>IFERROR(__xludf.DUMMYFUNCTION("""COMPUTED_VALUE"""),"Familiar (celebraciones, encuentros, despedidas, eucaristias)")</f>
        <v>Familiar (celebraciones, encuentros, despedidas, eucaristias)</v>
      </c>
      <c r="S162" s="6" t="b">
        <f>IFERROR(__xludf.DUMMYFUNCTION("""COMPUTED_VALUE"""),FALSE)</f>
        <v>0</v>
      </c>
      <c r="T162" s="6"/>
      <c r="U162" s="6" t="str">
        <f>IFERROR(__xludf.DUMMYFUNCTION("""COMPUTED_VALUE"""),"Salida temprano")</f>
        <v>Salida temprano</v>
      </c>
      <c r="V162" s="6"/>
      <c r="W162" s="6"/>
      <c r="X162" s="6"/>
      <c r="Y162" s="6"/>
      <c r="Z162" s="6"/>
    </row>
    <row r="163">
      <c r="A163" s="6" t="str">
        <f>IFERROR(__xludf.DUMMYFUNCTION("""COMPUTED_VALUE"""),"0ead2f70")</f>
        <v>0ead2f70</v>
      </c>
      <c r="B163" s="7" t="str">
        <f>IFERROR(__xludf.DUMMYFUNCTION("""COMPUTED_VALUE"""),"1345281341")</f>
        <v>1345281341</v>
      </c>
      <c r="C163" s="6" t="str">
        <f>IFERROR(__xludf.DUMMYFUNCTION("""COMPUTED_VALUE"""),"sale caminando la mamá envio correo autorizando va para entrenamiento")</f>
        <v>sale caminando la mamá envio correo autorizando va para entrenamiento</v>
      </c>
      <c r="D163" s="6"/>
      <c r="E163" s="6"/>
      <c r="F163" s="6"/>
      <c r="G163" s="6" t="str">
        <f>IFERROR(__xludf.DUMMYFUNCTION("""COMPUTED_VALUE"""),"11")</f>
        <v>11</v>
      </c>
      <c r="H163" s="6" t="str">
        <f>IFERROR(__xludf.DUMMYFUNCTION("""COMPUTED_VALUE"""),"Rodríguez Restrepo Santiago")</f>
        <v>Rodríguez Restrepo Santiago</v>
      </c>
      <c r="I163" s="6"/>
      <c r="J163" s="8">
        <f>IFERROR(__xludf.DUMMYFUNCTION("""COMPUTED_VALUE"""),46255.541666666664)</f>
        <v>46255.54167</v>
      </c>
      <c r="K163" s="6" t="str">
        <f>IFERROR(__xludf.DUMMYFUNCTION("""COMPUTED_VALUE"""),"secundaria@gi.edu.co")</f>
        <v>secundaria@gi.edu.co</v>
      </c>
      <c r="L163" s="6" t="str">
        <f>IFERROR(__xludf.DUMMYFUNCTION("""COMPUTED_VALUE"""),"1345281341")</f>
        <v>1345281341</v>
      </c>
      <c r="M163" s="9">
        <f>IFERROR(__xludf.DUMMYFUNCTION("""COMPUTED_VALUE"""),46255.45459490741)</f>
        <v>46255.45459</v>
      </c>
      <c r="N163" s="6" t="str">
        <f>IFERROR(__xludf.DUMMYFUNCTION("""COMPUTED_VALUE"""),"Pendiente")</f>
        <v>Pendiente</v>
      </c>
      <c r="O163" s="6"/>
      <c r="P163" s="17">
        <f>IFERROR(__xludf.DUMMYFUNCTION("""COMPUTED_VALUE"""),46255.45459490741)</f>
        <v>46255.45459</v>
      </c>
      <c r="Q163" s="6"/>
      <c r="R163" s="6" t="str">
        <f>IFERROR(__xludf.DUMMYFUNCTION("""COMPUTED_VALUE"""),"Entrenamiento deportivo (futbol- tenis- golf- badminton, etc)")</f>
        <v>Entrenamiento deportivo (futbol- tenis- golf- badminton, etc)</v>
      </c>
      <c r="S163" s="6"/>
      <c r="T163" s="6"/>
      <c r="U163" s="6" t="str">
        <f>IFERROR(__xludf.DUMMYFUNCTION("""COMPUTED_VALUE"""),"Salida temprano")</f>
        <v>Salida temprano</v>
      </c>
      <c r="V163" s="6"/>
      <c r="W163" s="6"/>
      <c r="X163" s="6"/>
      <c r="Y163" s="6"/>
      <c r="Z163" s="6"/>
    </row>
    <row r="164">
      <c r="A164" s="6" t="str">
        <f>IFERROR(__xludf.DUMMYFUNCTION("""COMPUTED_VALUE"""),"69387ff3")</f>
        <v>69387ff3</v>
      </c>
      <c r="B164" s="7" t="str">
        <f>IFERROR(__xludf.DUMMYFUNCTION("""COMPUTED_VALUE"""),"1345281565")</f>
        <v>1345281565</v>
      </c>
      <c r="C164" s="6" t="str">
        <f>IFERROR(__xludf.DUMMYFUNCTION("""COMPUTED_VALUE"""),"sale con Rosario Estrada")</f>
        <v>sale con Rosario Estrada</v>
      </c>
      <c r="D164" s="6"/>
      <c r="E164" s="6"/>
      <c r="F164" s="6" t="str">
        <f>IFERROR(__xludf.DUMMYFUNCTION("""COMPUTED_VALUE"""),"Rosario Estrada")</f>
        <v>Rosario Estrada</v>
      </c>
      <c r="G164" s="6" t="str">
        <f>IFERROR(__xludf.DUMMYFUNCTION("""COMPUTED_VALUE"""),"11")</f>
        <v>11</v>
      </c>
      <c r="H164" s="6" t="str">
        <f>IFERROR(__xludf.DUMMYFUNCTION("""COMPUTED_VALUE"""),"Londoño Villegas Federico")</f>
        <v>Londoño Villegas Federico</v>
      </c>
      <c r="I164" s="6" t="str">
        <f>IFERROR(__xludf.DUMMYFUNCTION("""COMPUTED_VALUE"""),"Demograficos_Images/1345281565.Foto_Estudiante.182148.jpg")</f>
        <v>Demograficos_Images/1345281565.Foto_Estudiante.182148.jpg</v>
      </c>
      <c r="J164" s="8">
        <f>IFERROR(__xludf.DUMMYFUNCTION("""COMPUTED_VALUE"""),46255.46875)</f>
        <v>46255.46875</v>
      </c>
      <c r="K164" s="6" t="str">
        <f>IFERROR(__xludf.DUMMYFUNCTION("""COMPUTED_VALUE"""),"secundaria@gi.edu.co")</f>
        <v>secundaria@gi.edu.co</v>
      </c>
      <c r="L164" s="6" t="str">
        <f>IFERROR(__xludf.DUMMYFUNCTION("""COMPUTED_VALUE"""),"1345281565")</f>
        <v>1345281565</v>
      </c>
      <c r="M164" s="9">
        <f>IFERROR(__xludf.DUMMYFUNCTION("""COMPUTED_VALUE"""),46255.46873842592)</f>
        <v>46255.46874</v>
      </c>
      <c r="N164" s="6" t="str">
        <f>IFERROR(__xludf.DUMMYFUNCTION("""COMPUTED_VALUE"""),"Pendiente")</f>
        <v>Pendiente</v>
      </c>
      <c r="O164" s="6"/>
      <c r="P164" s="17">
        <f>IFERROR(__xludf.DUMMYFUNCTION("""COMPUTED_VALUE"""),46255.46873842592)</f>
        <v>46255.46874</v>
      </c>
      <c r="Q164" s="6"/>
      <c r="R164" s="6" t="str">
        <f>IFERROR(__xludf.DUMMYFUNCTION("""COMPUTED_VALUE"""),"Secundaria")</f>
        <v>Secundaria</v>
      </c>
      <c r="S164" s="6" t="b">
        <f>IFERROR(__xludf.DUMMYFUNCTION("""COMPUTED_VALUE"""),FALSE)</f>
        <v>0</v>
      </c>
      <c r="T164" s="6"/>
      <c r="U164" s="6" t="str">
        <f>IFERROR(__xludf.DUMMYFUNCTION("""COMPUTED_VALUE"""),"Salida temprano")</f>
        <v>Salida temprano</v>
      </c>
      <c r="V164" s="6"/>
      <c r="W164" s="6"/>
      <c r="X164" s="6"/>
      <c r="Y164" s="6"/>
      <c r="Z164" s="6"/>
    </row>
    <row r="165">
      <c r="A165" s="6" t="str">
        <f>IFERROR(__xludf.DUMMYFUNCTION("""COMPUTED_VALUE"""),"51e8df57")</f>
        <v>51e8df57</v>
      </c>
      <c r="B165" s="7" t="str">
        <f>IFERROR(__xludf.DUMMYFUNCTION("""COMPUTED_VALUE"""),"1345281878")</f>
        <v>1345281878</v>
      </c>
      <c r="C165" s="6" t="str">
        <f>IFERROR(__xludf.DUMMYFUNCTION("""COMPUTED_VALUE"""),"sale con el primo")</f>
        <v>sale con el primo</v>
      </c>
      <c r="D165" s="6"/>
      <c r="E165" s="6"/>
      <c r="F165" s="6" t="str">
        <f>IFERROR(__xludf.DUMMYFUNCTION("""COMPUTED_VALUE"""),"Angelica mamá de Sergio Vélez")</f>
        <v>Angelica mamá de Sergio Vélez</v>
      </c>
      <c r="G165" s="6" t="str">
        <f>IFERROR(__xludf.DUMMYFUNCTION("""COMPUTED_VALUE"""),"8")</f>
        <v>8</v>
      </c>
      <c r="H165" s="6" t="str">
        <f>IFERROR(__xludf.DUMMYFUNCTION("""COMPUTED_VALUE"""),"Velásquez Gordillo Sebastián")</f>
        <v>Velásquez Gordillo Sebastián</v>
      </c>
      <c r="I165" s="6" t="str">
        <f>IFERROR(__xludf.DUMMYFUNCTION("""COMPUTED_VALUE"""),"Demograficos_Images/1345281878.Foto_Estudiante.190617.jpg")</f>
        <v>Demograficos_Images/1345281878.Foto_Estudiante.190617.jpg</v>
      </c>
      <c r="J165" s="8">
        <f>IFERROR(__xludf.DUMMYFUNCTION("""COMPUTED_VALUE"""),46255.631944444445)</f>
        <v>46255.63194</v>
      </c>
      <c r="K165" s="6" t="str">
        <f>IFERROR(__xludf.DUMMYFUNCTION("""COMPUTED_VALUE"""),"secundaria@gi.edu.co")</f>
        <v>secundaria@gi.edu.co</v>
      </c>
      <c r="L165" s="6" t="str">
        <f>IFERROR(__xludf.DUMMYFUNCTION("""COMPUTED_VALUE"""),"1345281878")</f>
        <v>1345281878</v>
      </c>
      <c r="M165" s="9">
        <f>IFERROR(__xludf.DUMMYFUNCTION("""COMPUTED_VALUE"""),46255.475173611114)</f>
        <v>46255.47517</v>
      </c>
      <c r="N165" s="6" t="str">
        <f>IFERROR(__xludf.DUMMYFUNCTION("""COMPUTED_VALUE"""),"Pendiente")</f>
        <v>Pendiente</v>
      </c>
      <c r="O165" s="6"/>
      <c r="P165" s="17">
        <f>IFERROR(__xludf.DUMMYFUNCTION("""COMPUTED_VALUE"""),46255.475173611114)</f>
        <v>46255.47517</v>
      </c>
      <c r="Q165" s="6"/>
      <c r="R165" s="6" t="str">
        <f>IFERROR(__xludf.DUMMYFUNCTION("""COMPUTED_VALUE"""),"Secundaria")</f>
        <v>Secundaria</v>
      </c>
      <c r="S165" s="6"/>
      <c r="T165" s="6"/>
      <c r="U165" s="6"/>
      <c r="V165" s="6"/>
      <c r="W165" s="6"/>
      <c r="X165" s="6"/>
      <c r="Y165" s="6"/>
      <c r="Z165" s="6"/>
    </row>
    <row r="166">
      <c r="A166" s="6" t="str">
        <f>IFERROR(__xludf.DUMMYFUNCTION("""COMPUTED_VALUE"""),"3782ef1e")</f>
        <v>3782ef1e</v>
      </c>
      <c r="B166" s="7" t="str">
        <f>IFERROR(__xludf.DUMMYFUNCTION("""COMPUTED_VALUE"""),"1345282083")</f>
        <v>1345282083</v>
      </c>
      <c r="C166" s="6" t="str">
        <f>IFERROR(__xludf.DUMMYFUNCTION("""COMPUTED_VALUE"""),"Emilio de León lo recoge Marcela Barreneche mamá de Pedro hoyos")</f>
        <v>Emilio de León lo recoge Marcela Barreneche mamá de Pedro hoyos</v>
      </c>
      <c r="D166" s="6"/>
      <c r="E166" s="6"/>
      <c r="F166" s="6" t="str">
        <f>IFERROR(__xludf.DUMMYFUNCTION("""COMPUTED_VALUE"""),"Emilio de León lo recoge Marcela Barreneche mamá de Pedro hoyos")</f>
        <v>Emilio de León lo recoge Marcela Barreneche mamá de Pedro hoyos</v>
      </c>
      <c r="G166" s="6" t="str">
        <f>IFERROR(__xludf.DUMMYFUNCTION("""COMPUTED_VALUE"""),"5")</f>
        <v>5</v>
      </c>
      <c r="H166" s="6" t="str">
        <f>IFERROR(__xludf.DUMMYFUNCTION("""COMPUTED_VALUE"""),"De León Rodríguez Emilio")</f>
        <v>De León Rodríguez Emilio</v>
      </c>
      <c r="I166" s="6" t="str">
        <f>IFERROR(__xludf.DUMMYFUNCTION("""COMPUTED_VALUE"""),"Demograficos_Images/1345282083.Foto_Estudiante.143044.jpg")</f>
        <v>Demograficos_Images/1345282083.Foto_Estudiante.143044.jpg</v>
      </c>
      <c r="J166" s="8">
        <f>IFERROR(__xludf.DUMMYFUNCTION("""COMPUTED_VALUE"""),46255.618055555555)</f>
        <v>46255.61806</v>
      </c>
      <c r="K166" s="6" t="str">
        <f>IFERROR(__xludf.DUMMYFUNCTION("""COMPUTED_VALUE"""),"primaria@gi.edu.co")</f>
        <v>primaria@gi.edu.co</v>
      </c>
      <c r="L166" s="6" t="str">
        <f>IFERROR(__xludf.DUMMYFUNCTION("""COMPUTED_VALUE"""),"1345282083")</f>
        <v>1345282083</v>
      </c>
      <c r="M166" s="9">
        <f>IFERROR(__xludf.DUMMYFUNCTION("""COMPUTED_VALUE"""),46255.480578703704)</f>
        <v>46255.48058</v>
      </c>
      <c r="N166" s="6" t="str">
        <f>IFERROR(__xludf.DUMMYFUNCTION("""COMPUTED_VALUE"""),"Pendiente")</f>
        <v>Pendiente</v>
      </c>
      <c r="O166" s="6"/>
      <c r="P166" s="17">
        <f>IFERROR(__xludf.DUMMYFUNCTION("""COMPUTED_VALUE"""),46255.480578703704)</f>
        <v>46255.48058</v>
      </c>
      <c r="Q166" s="6"/>
      <c r="R166" s="6" t="str">
        <f>IFERROR(__xludf.DUMMYFUNCTION("""COMPUTED_VALUE"""),"Familiar (celebraciones, encuentros, despedidas, eucaristias)")</f>
        <v>Familiar (celebraciones, encuentros, despedidas, eucaristias)</v>
      </c>
      <c r="S166" s="6" t="b">
        <f>IFERROR(__xludf.DUMMYFUNCTION("""COMPUTED_VALUE"""),FALSE)</f>
        <v>0</v>
      </c>
      <c r="T166" s="6"/>
      <c r="U166" s="6" t="str">
        <f>IFERROR(__xludf.DUMMYFUNCTION("""COMPUTED_VALUE"""),"Salida temprano")</f>
        <v>Salida temprano</v>
      </c>
      <c r="V166" s="6"/>
      <c r="W166" s="6"/>
      <c r="X166" s="6"/>
      <c r="Y166" s="6"/>
      <c r="Z166" s="6"/>
    </row>
    <row r="167">
      <c r="A167" s="6" t="str">
        <f>IFERROR(__xludf.DUMMYFUNCTION("""COMPUTED_VALUE"""),"b517b557")</f>
        <v>b517b557</v>
      </c>
      <c r="B167" s="7" t="str">
        <f>IFERROR(__xludf.DUMMYFUNCTION("""COMPUTED_VALUE"""),"1345282261")</f>
        <v>1345282261</v>
      </c>
      <c r="C167" s="6" t="str">
        <f>IFERROR(__xludf.DUMMYFUNCTION("""COMPUTED_VALUE"""),"Samuel Núñez se va hoy con la mamá de Pedro hoyos por favor")</f>
        <v>Samuel Núñez se va hoy con la mamá de Pedro hoyos por favor</v>
      </c>
      <c r="D167" s="6"/>
      <c r="E167" s="6"/>
      <c r="F167" s="6" t="str">
        <f>IFERROR(__xludf.DUMMYFUNCTION("""COMPUTED_VALUE"""),"Samuel Núñez se va hoy con la mamá de Pedro hoyos por favor")</f>
        <v>Samuel Núñez se va hoy con la mamá de Pedro hoyos por favor</v>
      </c>
      <c r="G167" s="6" t="str">
        <f>IFERROR(__xludf.DUMMYFUNCTION("""COMPUTED_VALUE"""),"5")</f>
        <v>5</v>
      </c>
      <c r="H167" s="6" t="str">
        <f>IFERROR(__xludf.DUMMYFUNCTION("""COMPUTED_VALUE"""),"Nuñez Barbery Samuel")</f>
        <v>Nuñez Barbery Samuel</v>
      </c>
      <c r="I167" s="6" t="str">
        <f>IFERROR(__xludf.DUMMYFUNCTION("""COMPUTED_VALUE"""),"Demograficos_Images/1345282261.Foto_Estudiante.143457.jpg")</f>
        <v>Demograficos_Images/1345282261.Foto_Estudiante.143457.jpg</v>
      </c>
      <c r="J167" s="8">
        <f>IFERROR(__xludf.DUMMYFUNCTION("""COMPUTED_VALUE"""),46255.61875)</f>
        <v>46255.61875</v>
      </c>
      <c r="K167" s="6" t="str">
        <f>IFERROR(__xludf.DUMMYFUNCTION("""COMPUTED_VALUE"""),"primaria@gi.edu.co")</f>
        <v>primaria@gi.edu.co</v>
      </c>
      <c r="L167" s="6" t="str">
        <f>IFERROR(__xludf.DUMMYFUNCTION("""COMPUTED_VALUE"""),"1345282261")</f>
        <v>1345282261</v>
      </c>
      <c r="M167" s="9">
        <f>IFERROR(__xludf.DUMMYFUNCTION("""COMPUTED_VALUE"""),46255.48451388889)</f>
        <v>46255.48451</v>
      </c>
      <c r="N167" s="6" t="str">
        <f>IFERROR(__xludf.DUMMYFUNCTION("""COMPUTED_VALUE"""),"Pendiente")</f>
        <v>Pendiente</v>
      </c>
      <c r="O167" s="6"/>
      <c r="P167" s="17">
        <f>IFERROR(__xludf.DUMMYFUNCTION("""COMPUTED_VALUE"""),46255.48451388889)</f>
        <v>46255.48451</v>
      </c>
      <c r="Q167" s="6"/>
      <c r="R167" s="6" t="str">
        <f>IFERROR(__xludf.DUMMYFUNCTION("""COMPUTED_VALUE"""),"Familiar (celebraciones, encuentros, despedidas, eucaristias)")</f>
        <v>Familiar (celebraciones, encuentros, despedidas, eucaristias)</v>
      </c>
      <c r="S167" s="6" t="b">
        <f>IFERROR(__xludf.DUMMYFUNCTION("""COMPUTED_VALUE"""),FALSE)</f>
        <v>0</v>
      </c>
      <c r="T167" s="6"/>
      <c r="U167" s="6"/>
      <c r="V167" s="6"/>
      <c r="W167" s="6"/>
      <c r="X167" s="6"/>
      <c r="Y167" s="6"/>
      <c r="Z167" s="6"/>
    </row>
    <row r="168">
      <c r="A168" s="6" t="str">
        <f>IFERROR(__xludf.DUMMYFUNCTION("""COMPUTED_VALUE"""),"e7fbea61")</f>
        <v>e7fbea61</v>
      </c>
      <c r="B168" s="7" t="str">
        <f>IFERROR(__xludf.DUMMYFUNCTION("""COMPUTED_VALUE"""),"1345282016")</f>
        <v>1345282016</v>
      </c>
      <c r="C168" s="6" t="str">
        <f>IFERROR(__xludf.DUMMYFUNCTION("""COMPUTED_VALUE"""),"la mamá informó que estuvo pero en la actividad con los seniors")</f>
        <v>la mamá informó que estuvo pero en la actividad con los seniors</v>
      </c>
      <c r="D168" s="6"/>
      <c r="E168" s="6"/>
      <c r="F168" s="6"/>
      <c r="G168" s="6" t="str">
        <f>IFERROR(__xludf.DUMMYFUNCTION("""COMPUTED_VALUE"""),"8")</f>
        <v>8</v>
      </c>
      <c r="H168" s="6" t="str">
        <f>IFERROR(__xludf.DUMMYFUNCTION("""COMPUTED_VALUE"""),"Zuluaga Cáceres Catalina Fernanda")</f>
        <v>Zuluaga Cáceres Catalina Fernanda</v>
      </c>
      <c r="I168" s="6" t="str">
        <f>IFERROR(__xludf.DUMMYFUNCTION("""COMPUTED_VALUE"""),"Demograficos_Images/1345282016.Foto_Estudiante.190500.jpg")</f>
        <v>Demograficos_Images/1345282016.Foto_Estudiante.190500.jpg</v>
      </c>
      <c r="J168" s="8">
        <f>IFERROR(__xludf.DUMMYFUNCTION("""COMPUTED_VALUE"""),46255.291666666664)</f>
        <v>46255.29167</v>
      </c>
      <c r="K168" s="6" t="str">
        <f>IFERROR(__xludf.DUMMYFUNCTION("""COMPUTED_VALUE"""),"secundaria@gi.edu.co")</f>
        <v>secundaria@gi.edu.co</v>
      </c>
      <c r="L168" s="6" t="str">
        <f>IFERROR(__xludf.DUMMYFUNCTION("""COMPUTED_VALUE"""),"1345282016")</f>
        <v>1345282016</v>
      </c>
      <c r="M168" s="9">
        <f>IFERROR(__xludf.DUMMYFUNCTION("""COMPUTED_VALUE"""),46255.489537037036)</f>
        <v>46255.48954</v>
      </c>
      <c r="N168" s="6" t="str">
        <f>IFERROR(__xludf.DUMMYFUNCTION("""COMPUTED_VALUE"""),"Pendiente")</f>
        <v>Pendiente</v>
      </c>
      <c r="O168" s="6"/>
      <c r="P168" s="17">
        <f>IFERROR(__xludf.DUMMYFUNCTION("""COMPUTED_VALUE"""),46255.489537037036)</f>
        <v>46255.48954</v>
      </c>
      <c r="Q168" s="6"/>
      <c r="R168" s="6" t="str">
        <f>IFERROR(__xludf.DUMMYFUNCTION("""COMPUTED_VALUE"""),"Ausencia Todo el Dia")</f>
        <v>Ausencia Todo el Dia</v>
      </c>
      <c r="S168" s="6"/>
      <c r="T168" s="6"/>
      <c r="U168" s="6" t="str">
        <f>IFERROR(__xludf.DUMMYFUNCTION("""COMPUTED_VALUE"""),"Ausencia todo el dia")</f>
        <v>Ausencia todo el dia</v>
      </c>
      <c r="V168" s="6"/>
      <c r="W168" s="6"/>
      <c r="X168" s="6"/>
      <c r="Y168" s="6"/>
      <c r="Z168" s="6"/>
    </row>
    <row r="169">
      <c r="A169" s="6" t="str">
        <f>IFERROR(__xludf.DUMMYFUNCTION("""COMPUTED_VALUE"""),"c186b62e")</f>
        <v>c186b62e</v>
      </c>
      <c r="B169" s="7" t="str">
        <f>IFERROR(__xludf.DUMMYFUNCTION("""COMPUTED_VALUE"""),"1345281364")</f>
        <v>1345281364</v>
      </c>
      <c r="C169" s="6" t="str">
        <f>IFERROR(__xludf.DUMMYFUNCTION("""COMPUTED_VALUE"""),"sale con Rafael Castillo")</f>
        <v>sale con Rafael Castillo</v>
      </c>
      <c r="D169" s="6"/>
      <c r="E169" s="6"/>
      <c r="F169" s="6" t="str">
        <f>IFERROR(__xludf.DUMMYFUNCTION("""COMPUTED_VALUE"""),"Mónica Viviana mamá de Rafael")</f>
        <v>Mónica Viviana mamá de Rafael</v>
      </c>
      <c r="G169" s="6" t="str">
        <f>IFERROR(__xludf.DUMMYFUNCTION("""COMPUTED_VALUE"""),"11")</f>
        <v>11</v>
      </c>
      <c r="H169" s="6" t="str">
        <f>IFERROR(__xludf.DUMMYFUNCTION("""COMPUTED_VALUE"""),"Jaramillo Gaviria Maximiliano")</f>
        <v>Jaramillo Gaviria Maximiliano</v>
      </c>
      <c r="I169" s="6" t="str">
        <f>IFERROR(__xludf.DUMMYFUNCTION("""COMPUTED_VALUE"""),"Demograficos_Images/1345281364.Foto_Estudiante.182239.jpg")</f>
        <v>Demograficos_Images/1345281364.Foto_Estudiante.182239.jpg</v>
      </c>
      <c r="J169" s="8">
        <f>IFERROR(__xludf.DUMMYFUNCTION("""COMPUTED_VALUE"""),46255.631944444445)</f>
        <v>46255.63194</v>
      </c>
      <c r="K169" s="6" t="str">
        <f>IFERROR(__xludf.DUMMYFUNCTION("""COMPUTED_VALUE"""),"secundaria@gi.edu.co")</f>
        <v>secundaria@gi.edu.co</v>
      </c>
      <c r="L169" s="6" t="str">
        <f>IFERROR(__xludf.DUMMYFUNCTION("""COMPUTED_VALUE"""),"1345281364")</f>
        <v>1345281364</v>
      </c>
      <c r="M169" s="9">
        <f>IFERROR(__xludf.DUMMYFUNCTION("""COMPUTED_VALUE"""),46255.541608796295)</f>
        <v>46255.54161</v>
      </c>
      <c r="N169" s="6" t="str">
        <f>IFERROR(__xludf.DUMMYFUNCTION("""COMPUTED_VALUE"""),"Pendiente")</f>
        <v>Pendiente</v>
      </c>
      <c r="O169" s="6"/>
      <c r="P169" s="17">
        <f>IFERROR(__xludf.DUMMYFUNCTION("""COMPUTED_VALUE"""),46255.541608796295)</f>
        <v>46255.54161</v>
      </c>
      <c r="Q169" s="6"/>
      <c r="R169" s="6" t="str">
        <f>IFERROR(__xludf.DUMMYFUNCTION("""COMPUTED_VALUE"""),"Secundaria")</f>
        <v>Secundaria</v>
      </c>
      <c r="S169" s="6"/>
      <c r="T169" s="6"/>
      <c r="U169" s="6"/>
      <c r="V169" s="6"/>
      <c r="W169" s="6"/>
      <c r="X169" s="6"/>
      <c r="Y169" s="6"/>
      <c r="Z169" s="6"/>
    </row>
    <row r="170">
      <c r="A170" s="6" t="str">
        <f>IFERROR(__xludf.DUMMYFUNCTION("""COMPUTED_VALUE"""),"8574e0de")</f>
        <v>8574e0de</v>
      </c>
      <c r="B170" s="7" t="str">
        <f>IFERROR(__xludf.DUMMYFUNCTION("""COMPUTED_VALUE"""),"1345282412")</f>
        <v>1345282412</v>
      </c>
      <c r="C170" s="6" t="str">
        <f>IFERROR(__xludf.DUMMYFUNCTION("""COMPUTED_VALUE"""),"Sale con la mamá")</f>
        <v>Sale con la mamá</v>
      </c>
      <c r="D170" s="6" t="str">
        <f>IFERROR(__xludf.DUMMYFUNCTION("""COMPUTED_VALUE"""),"Madre")</f>
        <v>Madre</v>
      </c>
      <c r="E170" s="6" t="str">
        <f>IFERROR(__xludf.DUMMYFUNCTION("""COMPUTED_VALUE"""),"Madre: María Paulina Rodríguez Duque")</f>
        <v>Madre: María Paulina Rodríguez Duque</v>
      </c>
      <c r="F170" s="6"/>
      <c r="G170" s="6" t="str">
        <f>IFERROR(__xludf.DUMMYFUNCTION("""COMPUTED_VALUE"""),"2")</f>
        <v>2</v>
      </c>
      <c r="H170" s="6" t="str">
        <f>IFERROR(__xludf.DUMMYFUNCTION("""COMPUTED_VALUE"""),"Arcila Rodríguez Celeste")</f>
        <v>Arcila Rodríguez Celeste</v>
      </c>
      <c r="I170" s="6" t="str">
        <f>IFERROR(__xludf.DUMMYFUNCTION("""COMPUTED_VALUE"""),"Demograficos_Images/1345282412.Foto_Estudiante.205504.jpg")</f>
        <v>Demograficos_Images/1345282412.Foto_Estudiante.205504.jpg</v>
      </c>
      <c r="J170" s="8">
        <f>IFERROR(__xludf.DUMMYFUNCTION("""COMPUTED_VALUE"""),46255.583333333336)</f>
        <v>46255.58333</v>
      </c>
      <c r="K170" s="6" t="str">
        <f>IFERROR(__xludf.DUMMYFUNCTION("""COMPUTED_VALUE"""),"primaria@gi.edu.co")</f>
        <v>primaria@gi.edu.co</v>
      </c>
      <c r="L170" s="6" t="str">
        <f>IFERROR(__xludf.DUMMYFUNCTION("""COMPUTED_VALUE"""),"1345282412")</f>
        <v>1345282412</v>
      </c>
      <c r="M170" s="9">
        <f>IFERROR(__xludf.DUMMYFUNCTION("""COMPUTED_VALUE"""),46255.543703703705)</f>
        <v>46255.5437</v>
      </c>
      <c r="N170" s="6" t="str">
        <f>IFERROR(__xludf.DUMMYFUNCTION("""COMPUTED_VALUE"""),"Pendiente")</f>
        <v>Pendiente</v>
      </c>
      <c r="O170" s="6"/>
      <c r="P170" s="17">
        <f>IFERROR(__xludf.DUMMYFUNCTION("""COMPUTED_VALUE"""),46255.543703703705)</f>
        <v>46255.5437</v>
      </c>
      <c r="Q170" s="6"/>
      <c r="R170" s="6" t="str">
        <f>IFERROR(__xludf.DUMMYFUNCTION("""COMPUTED_VALUE"""),"Familiar (celebraciones, encuentros, despedidas, eucaristias)")</f>
        <v>Familiar (celebraciones, encuentros, despedidas, eucaristias)</v>
      </c>
      <c r="S170" s="6" t="b">
        <f>IFERROR(__xludf.DUMMYFUNCTION("""COMPUTED_VALUE"""),FALSE)</f>
        <v>0</v>
      </c>
      <c r="T170" s="6"/>
      <c r="U170" s="6" t="str">
        <f>IFERROR(__xludf.DUMMYFUNCTION("""COMPUTED_VALUE"""),"Salida temprano")</f>
        <v>Salida temprano</v>
      </c>
      <c r="V170" s="6"/>
      <c r="W170" s="6"/>
      <c r="X170" s="6"/>
      <c r="Y170" s="6"/>
      <c r="Z170" s="6"/>
    </row>
    <row r="171">
      <c r="A171" s="6" t="str">
        <f>IFERROR(__xludf.DUMMYFUNCTION("""COMPUTED_VALUE"""),"06646dfd")</f>
        <v>06646dfd</v>
      </c>
      <c r="B171" s="7" t="str">
        <f>IFERROR(__xludf.DUMMYFUNCTION("""COMPUTED_VALUE"""),"1345281650")</f>
        <v>1345281650</v>
      </c>
      <c r="C171" s="6" t="str">
        <f>IFERROR(__xludf.DUMMYFUNCTION("""COMPUTED_VALUE"""),"Acompañando a los papás en el evento con los seniors")</f>
        <v>Acompañando a los papás en el evento con los seniors</v>
      </c>
      <c r="D171" s="6"/>
      <c r="E171" s="6"/>
      <c r="F171" s="6"/>
      <c r="G171" s="6" t="str">
        <f>IFERROR(__xludf.DUMMYFUNCTION("""COMPUTED_VALUE"""),"9")</f>
        <v>9</v>
      </c>
      <c r="H171" s="6" t="str">
        <f>IFERROR(__xludf.DUMMYFUNCTION("""COMPUTED_VALUE"""),"Restrepo Barahona Simón")</f>
        <v>Restrepo Barahona Simón</v>
      </c>
      <c r="I171" s="6" t="str">
        <f>IFERROR(__xludf.DUMMYFUNCTION("""COMPUTED_VALUE"""),"Demograficos_Images/1345281650.Foto_Estudiante.185309.jpg")</f>
        <v>Demograficos_Images/1345281650.Foto_Estudiante.185309.jpg</v>
      </c>
      <c r="J171" s="8">
        <f>IFERROR(__xludf.DUMMYFUNCTION("""COMPUTED_VALUE"""),46255.368055555555)</f>
        <v>46255.36806</v>
      </c>
      <c r="K171" s="6" t="str">
        <f>IFERROR(__xludf.DUMMYFUNCTION("""COMPUTED_VALUE"""),"secundaria@gi.edu.co")</f>
        <v>secundaria@gi.edu.co</v>
      </c>
      <c r="L171" s="6" t="str">
        <f>IFERROR(__xludf.DUMMYFUNCTION("""COMPUTED_VALUE"""),"1345281650")</f>
        <v>1345281650</v>
      </c>
      <c r="M171" s="9">
        <f>IFERROR(__xludf.DUMMYFUNCTION("""COMPUTED_VALUE"""),46255.54519675926)</f>
        <v>46255.5452</v>
      </c>
      <c r="N171" s="6" t="str">
        <f>IFERROR(__xludf.DUMMYFUNCTION("""COMPUTED_VALUE"""),"Pendiente")</f>
        <v>Pendiente</v>
      </c>
      <c r="O171" s="6"/>
      <c r="P171" s="17">
        <f>IFERROR(__xludf.DUMMYFUNCTION("""COMPUTED_VALUE"""),46255.54519675926)</f>
        <v>46255.5452</v>
      </c>
      <c r="Q171" s="6"/>
      <c r="R171" s="6" t="str">
        <f>IFERROR(__xludf.DUMMYFUNCTION("""COMPUTED_VALUE"""),"Ausencia Todo el Dia")</f>
        <v>Ausencia Todo el Dia</v>
      </c>
      <c r="S171" s="6"/>
      <c r="T171" s="6"/>
      <c r="U171" s="6" t="str">
        <f>IFERROR(__xludf.DUMMYFUNCTION("""COMPUTED_VALUE"""),"Ausencia todo el dia")</f>
        <v>Ausencia todo el dia</v>
      </c>
      <c r="V171" s="6"/>
      <c r="W171" s="6"/>
      <c r="X171" s="6"/>
      <c r="Y171" s="6"/>
      <c r="Z171" s="6"/>
    </row>
    <row r="172">
      <c r="A172" s="6" t="str">
        <f>IFERROR(__xludf.DUMMYFUNCTION("""COMPUTED_VALUE"""),"e62da143")</f>
        <v>e62da143</v>
      </c>
      <c r="B172" s="7" t="str">
        <f>IFERROR(__xludf.DUMMYFUNCTION("""COMPUTED_VALUE"""),"1345281485")</f>
        <v>1345281485</v>
      </c>
      <c r="C172" s="6" t="str">
        <f>IFERROR(__xludf.DUMMYFUNCTION("""COMPUTED_VALUE"""),"la mamá informa que debe recogerla temprano")</f>
        <v>la mamá informa que debe recogerla temprano</v>
      </c>
      <c r="D172" s="6" t="str">
        <f>IFERROR(__xludf.DUMMYFUNCTION("""COMPUTED_VALUE"""),"Madre")</f>
        <v>Madre</v>
      </c>
      <c r="E172" s="6" t="str">
        <f>IFERROR(__xludf.DUMMYFUNCTION("""COMPUTED_VALUE"""),"Madre: Ángela  Jaramillo Botero")</f>
        <v>Madre: Ángela  Jaramillo Botero</v>
      </c>
      <c r="F172" s="6"/>
      <c r="G172" s="6" t="str">
        <f>IFERROR(__xludf.DUMMYFUNCTION("""COMPUTED_VALUE"""),"10")</f>
        <v>10</v>
      </c>
      <c r="H172" s="6" t="str">
        <f>IFERROR(__xludf.DUMMYFUNCTION("""COMPUTED_VALUE"""),"Fajardo Jaramillo Martina")</f>
        <v>Fajardo Jaramillo Martina</v>
      </c>
      <c r="I172" s="6" t="str">
        <f>IFERROR(__xludf.DUMMYFUNCTION("""COMPUTED_VALUE"""),"Demograficos_Images/1345281485.Foto_Estudiante.184321.jpg")</f>
        <v>Demograficos_Images/1345281485.Foto_Estudiante.184321.jpg</v>
      </c>
      <c r="J172" s="8">
        <f>IFERROR(__xludf.DUMMYFUNCTION("""COMPUTED_VALUE"""),46255.583333333336)</f>
        <v>46255.58333</v>
      </c>
      <c r="K172" s="6" t="str">
        <f>IFERROR(__xludf.DUMMYFUNCTION("""COMPUTED_VALUE"""),"secundaria@gi.edu.co")</f>
        <v>secundaria@gi.edu.co</v>
      </c>
      <c r="L172" s="6" t="str">
        <f>IFERROR(__xludf.DUMMYFUNCTION("""COMPUTED_VALUE"""),"1345281485")</f>
        <v>1345281485</v>
      </c>
      <c r="M172" s="9">
        <f>IFERROR(__xludf.DUMMYFUNCTION("""COMPUTED_VALUE"""),46255.547939814816)</f>
        <v>46255.54794</v>
      </c>
      <c r="N172" s="6" t="str">
        <f>IFERROR(__xludf.DUMMYFUNCTION("""COMPUTED_VALUE"""),"Pendiente")</f>
        <v>Pendiente</v>
      </c>
      <c r="O172" s="6"/>
      <c r="P172" s="17">
        <f>IFERROR(__xludf.DUMMYFUNCTION("""COMPUTED_VALUE"""),46255.547939814816)</f>
        <v>46255.54794</v>
      </c>
      <c r="Q172" s="6"/>
      <c r="R172" s="6" t="str">
        <f>IFERROR(__xludf.DUMMYFUNCTION("""COMPUTED_VALUE"""),"Diligencias con los papás")</f>
        <v>Diligencias con los papás</v>
      </c>
      <c r="S172" s="6"/>
      <c r="T172" s="6"/>
      <c r="U172" s="6" t="str">
        <f>IFERROR(__xludf.DUMMYFUNCTION("""COMPUTED_VALUE"""),"Salida temprano")</f>
        <v>Salida temprano</v>
      </c>
      <c r="V172" s="6"/>
      <c r="W172" s="6"/>
      <c r="X172" s="6"/>
      <c r="Y172" s="6"/>
      <c r="Z172" s="6"/>
    </row>
    <row r="173">
      <c r="A173" s="6" t="str">
        <f>IFERROR(__xludf.DUMMYFUNCTION("""COMPUTED_VALUE"""),"40336edf")</f>
        <v>40336edf</v>
      </c>
      <c r="B173" s="7" t="str">
        <f>IFERROR(__xludf.DUMMYFUNCTION("""COMPUTED_VALUE"""),"1345282045")</f>
        <v>1345282045</v>
      </c>
      <c r="C173" s="6" t="str">
        <f>IFERROR(__xludf.DUMMYFUNCTION("""COMPUTED_VALUE"""),"oy Javier pasa por Magdalena al colegio a las 3 pm. Ella no va a ir a Extras. Muchas gracias")</f>
        <v>oy Javier pasa por Magdalena al colegio a las 3 pm. Ella no va a ir a Extras. Muchas gracias</v>
      </c>
      <c r="D173" s="6" t="str">
        <f>IFERROR(__xludf.DUMMYFUNCTION("""COMPUTED_VALUE"""),"Padre")</f>
        <v>Padre</v>
      </c>
      <c r="E173" s="6" t="str">
        <f>IFERROR(__xludf.DUMMYFUNCTION("""COMPUTED_VALUE"""),"Padre: Elmer Javier Romero Vergara")</f>
        <v>Padre: Elmer Javier Romero Vergara</v>
      </c>
      <c r="F173" s="6"/>
      <c r="G173" s="6" t="str">
        <f>IFERROR(__xludf.DUMMYFUNCTION("""COMPUTED_VALUE"""),"2")</f>
        <v>2</v>
      </c>
      <c r="H173" s="6" t="str">
        <f>IFERROR(__xludf.DUMMYFUNCTION("""COMPUTED_VALUE"""),"Romero Franco Magdalena")</f>
        <v>Romero Franco Magdalena</v>
      </c>
      <c r="I173" s="6" t="str">
        <f>IFERROR(__xludf.DUMMYFUNCTION("""COMPUTED_VALUE"""),"Demograficos_Images/1345282045.Foto_Estudiante.210538.jpg")</f>
        <v>Demograficos_Images/1345282045.Foto_Estudiante.210538.jpg</v>
      </c>
      <c r="J173" s="8">
        <f>IFERROR(__xludf.DUMMYFUNCTION("""COMPUTED_VALUE"""),46255.61875)</f>
        <v>46255.61875</v>
      </c>
      <c r="K173" s="6" t="str">
        <f>IFERROR(__xludf.DUMMYFUNCTION("""COMPUTED_VALUE"""),"primaria@gi.edu.co")</f>
        <v>primaria@gi.edu.co</v>
      </c>
      <c r="L173" s="6" t="str">
        <f>IFERROR(__xludf.DUMMYFUNCTION("""COMPUTED_VALUE"""),"1345282045")</f>
        <v>1345282045</v>
      </c>
      <c r="M173" s="9">
        <f>IFERROR(__xludf.DUMMYFUNCTION("""COMPUTED_VALUE"""),46255.5493287037)</f>
        <v>46255.54933</v>
      </c>
      <c r="N173" s="6" t="str">
        <f>IFERROR(__xludf.DUMMYFUNCTION("""COMPUTED_VALUE"""),"Pendiente")</f>
        <v>Pendiente</v>
      </c>
      <c r="O173" s="6"/>
      <c r="P173" s="17">
        <f>IFERROR(__xludf.DUMMYFUNCTION("""COMPUTED_VALUE"""),46255.5493287037)</f>
        <v>46255.54933</v>
      </c>
      <c r="Q173" s="6"/>
      <c r="R173" s="6" t="str">
        <f>IFERROR(__xludf.DUMMYFUNCTION("""COMPUTED_VALUE"""),"Familiar (celebraciones, encuentros, despedidas, eucaristias)")</f>
        <v>Familiar (celebraciones, encuentros, despedidas, eucaristias)</v>
      </c>
      <c r="S173" s="6" t="b">
        <f>IFERROR(__xludf.DUMMYFUNCTION("""COMPUTED_VALUE"""),FALSE)</f>
        <v>0</v>
      </c>
      <c r="T173" s="6"/>
      <c r="U173" s="6" t="str">
        <f>IFERROR(__xludf.DUMMYFUNCTION("""COMPUTED_VALUE"""),"Salida temprano")</f>
        <v>Salida temprano</v>
      </c>
      <c r="V173" s="6"/>
      <c r="W173" s="6"/>
      <c r="X173" s="6"/>
      <c r="Y173" s="6"/>
      <c r="Z173" s="6"/>
    </row>
    <row r="174">
      <c r="A174" s="6" t="str">
        <f>IFERROR(__xludf.DUMMYFUNCTION("""COMPUTED_VALUE"""),"af95a320")</f>
        <v>af95a320</v>
      </c>
      <c r="B174" s="7" t="str">
        <f>IFERROR(__xludf.DUMMYFUNCTION("""COMPUTED_VALUE"""),"1345282564")</f>
        <v>1345282564</v>
      </c>
      <c r="C174" s="6" t="str">
        <f>IFERROR(__xludf.DUMMYFUNCTION("""COMPUTED_VALUE"""),"Regresa el 01 de septiembre")</f>
        <v>Regresa el 01 de septiembre</v>
      </c>
      <c r="D174" s="6" t="str">
        <f>IFERROR(__xludf.DUMMYFUNCTION("""COMPUTED_VALUE"""),"Madre")</f>
        <v>Madre</v>
      </c>
      <c r="E174" s="6" t="str">
        <f>IFERROR(__xludf.DUMMYFUNCTION("""COMPUTED_VALUE"""),"Madre: Ana María Cárdenas de Greiff")</f>
        <v>Madre: Ana María Cárdenas de Greiff</v>
      </c>
      <c r="F174" s="6"/>
      <c r="G174" s="6" t="str">
        <f>IFERROR(__xludf.DUMMYFUNCTION("""COMPUTED_VALUE"""),"K5")</f>
        <v>K5</v>
      </c>
      <c r="H174" s="6" t="str">
        <f>IFERROR(__xludf.DUMMYFUNCTION("""COMPUTED_VALUE"""),"Velásquez Cárdenas Matías")</f>
        <v>Velásquez Cárdenas Matías</v>
      </c>
      <c r="I174" s="6" t="str">
        <f>IFERROR(__xludf.DUMMYFUNCTION("""COMPUTED_VALUE"""),"Demograficos_Images/1345282564.Foto_Estudiante.120545.jpg")</f>
        <v>Demograficos_Images/1345282564.Foto_Estudiante.120545.jpg</v>
      </c>
      <c r="J174" s="8">
        <f>IFERROR(__xludf.DUMMYFUNCTION("""COMPUTED_VALUE"""),46255.55138888889)</f>
        <v>46255.55139</v>
      </c>
      <c r="K174" s="6" t="str">
        <f>IFERROR(__xludf.DUMMYFUNCTION("""COMPUTED_VALUE"""),"kinder@gi.edu.co")</f>
        <v>kinder@gi.edu.co</v>
      </c>
      <c r="L174" s="6" t="str">
        <f>IFERROR(__xludf.DUMMYFUNCTION("""COMPUTED_VALUE"""),"1345282564")</f>
        <v>1345282564</v>
      </c>
      <c r="M174" s="9">
        <f>IFERROR(__xludf.DUMMYFUNCTION("""COMPUTED_VALUE"""),46255.55167824074)</f>
        <v>46255.55168</v>
      </c>
      <c r="N174" s="6" t="str">
        <f>IFERROR(__xludf.DUMMYFUNCTION("""COMPUTED_VALUE"""),"Pendiente")</f>
        <v>Pendiente</v>
      </c>
      <c r="O174" s="6"/>
      <c r="P174" s="17">
        <f>IFERROR(__xludf.DUMMYFUNCTION("""COMPUTED_VALUE"""),46255.55167824074)</f>
        <v>46255.55168</v>
      </c>
      <c r="Q174" s="6"/>
      <c r="R174" s="6" t="str">
        <f>IFERROR(__xludf.DUMMYFUNCTION("""COMPUTED_VALUE"""),"Sin información")</f>
        <v>Sin información</v>
      </c>
      <c r="S174" s="6" t="b">
        <f>IFERROR(__xludf.DUMMYFUNCTION("""COMPUTED_VALUE"""),FALSE)</f>
        <v>0</v>
      </c>
      <c r="T174" s="6"/>
      <c r="U174" s="6" t="str">
        <f>IFERROR(__xludf.DUMMYFUNCTION("""COMPUTED_VALUE"""),"Ausencia todo el dia")</f>
        <v>Ausencia todo el dia</v>
      </c>
      <c r="V174" s="6"/>
      <c r="W174" s="6"/>
      <c r="X174" s="6"/>
      <c r="Y174" s="6"/>
      <c r="Z174" s="6"/>
    </row>
    <row r="175">
      <c r="A175" s="6" t="str">
        <f>IFERROR(__xludf.DUMMYFUNCTION("""COMPUTED_VALUE"""),"f931996c")</f>
        <v>f931996c</v>
      </c>
      <c r="B175" s="7" t="str">
        <f>IFERROR(__xludf.DUMMYFUNCTION("""COMPUTED_VALUE"""),"1345281863")</f>
        <v>1345281863</v>
      </c>
      <c r="C175" s="6" t="str">
        <f>IFERROR(__xludf.DUMMYFUNCTION("""COMPUTED_VALUE"""),"Se va con la mamá de Pedro")</f>
        <v>Se va con la mamá de Pedro</v>
      </c>
      <c r="D175" s="6"/>
      <c r="E175" s="6"/>
      <c r="F175" s="6" t="str">
        <f>IFERROR(__xludf.DUMMYFUNCTION("""COMPUTED_VALUE"""),"Se va con la mamá de Pedro")</f>
        <v>Se va con la mamá de Pedro</v>
      </c>
      <c r="G175" s="6" t="str">
        <f>IFERROR(__xludf.DUMMYFUNCTION("""COMPUTED_VALUE"""),"5")</f>
        <v>5</v>
      </c>
      <c r="H175" s="6" t="str">
        <f>IFERROR(__xludf.DUMMYFUNCTION("""COMPUTED_VALUE"""),"Lezama Sanint Matias")</f>
        <v>Lezama Sanint Matias</v>
      </c>
      <c r="I175" s="6" t="str">
        <f>IFERROR(__xludf.DUMMYFUNCTION("""COMPUTED_VALUE"""),"Demograficos_Images/1345281863.Foto_Estudiante.143332.jpg")</f>
        <v>Demograficos_Images/1345281863.Foto_Estudiante.143332.jpg</v>
      </c>
      <c r="J175" s="8">
        <f>IFERROR(__xludf.DUMMYFUNCTION("""COMPUTED_VALUE"""),46255.618055555555)</f>
        <v>46255.61806</v>
      </c>
      <c r="K175" s="6" t="str">
        <f>IFERROR(__xludf.DUMMYFUNCTION("""COMPUTED_VALUE"""),"primaria@gi.edu.co")</f>
        <v>primaria@gi.edu.co</v>
      </c>
      <c r="L175" s="6" t="str">
        <f>IFERROR(__xludf.DUMMYFUNCTION("""COMPUTED_VALUE"""),"1345281863")</f>
        <v>1345281863</v>
      </c>
      <c r="M175" s="9">
        <f>IFERROR(__xludf.DUMMYFUNCTION("""COMPUTED_VALUE"""),46255.56949074074)</f>
        <v>46255.56949</v>
      </c>
      <c r="N175" s="6" t="str">
        <f>IFERROR(__xludf.DUMMYFUNCTION("""COMPUTED_VALUE"""),"Pendiente")</f>
        <v>Pendiente</v>
      </c>
      <c r="O175" s="6"/>
      <c r="P175" s="17">
        <f>IFERROR(__xludf.DUMMYFUNCTION("""COMPUTED_VALUE"""),46255.56949074074)</f>
        <v>46255.56949</v>
      </c>
      <c r="Q175" s="6"/>
      <c r="R175" s="6" t="str">
        <f>IFERROR(__xludf.DUMMYFUNCTION("""COMPUTED_VALUE"""),"Familiar (celebraciones, encuentros, despedidas, eucaristias)")</f>
        <v>Familiar (celebraciones, encuentros, despedidas, eucaristias)</v>
      </c>
      <c r="S175" s="6" t="b">
        <f>IFERROR(__xludf.DUMMYFUNCTION("""COMPUTED_VALUE"""),FALSE)</f>
        <v>0</v>
      </c>
      <c r="T175" s="6"/>
      <c r="U175" s="6" t="str">
        <f>IFERROR(__xludf.DUMMYFUNCTION("""COMPUTED_VALUE"""),"Salida temprano")</f>
        <v>Salida temprano</v>
      </c>
      <c r="V175" s="6"/>
      <c r="W175" s="6"/>
      <c r="X175" s="6"/>
      <c r="Y175" s="6"/>
      <c r="Z175" s="6"/>
    </row>
    <row r="176">
      <c r="A176" s="6" t="str">
        <f>IFERROR(__xludf.DUMMYFUNCTION("""COMPUTED_VALUE"""),"1b3a08c0")</f>
        <v>1b3a08c0</v>
      </c>
      <c r="B176" s="7" t="str">
        <f>IFERROR(__xludf.DUMMYFUNCTION("""COMPUTED_VALUE"""),"1345282127")</f>
        <v>1345282127</v>
      </c>
      <c r="C176" s="6" t="str">
        <f>IFERROR(__xludf.DUMMYFUNCTION("""COMPUTED_VALUE"""),"sale con Simón Rodriguez")</f>
        <v>sale con Simón Rodriguez</v>
      </c>
      <c r="D176" s="6"/>
      <c r="E176" s="6"/>
      <c r="F176" s="6" t="str">
        <f>IFERROR(__xludf.DUMMYFUNCTION("""COMPUTED_VALUE"""),"Gloria Cecilia mamá de Simón Rodríguez")</f>
        <v>Gloria Cecilia mamá de Simón Rodríguez</v>
      </c>
      <c r="G176" s="6" t="str">
        <f>IFERROR(__xludf.DUMMYFUNCTION("""COMPUTED_VALUE"""),"7")</f>
        <v>7</v>
      </c>
      <c r="H176" s="6" t="str">
        <f>IFERROR(__xludf.DUMMYFUNCTION("""COMPUTED_VALUE"""),"Rodríguez Giraldo Martín")</f>
        <v>Rodríguez Giraldo Martín</v>
      </c>
      <c r="I176" s="6" t="str">
        <f>IFERROR(__xludf.DUMMYFUNCTION("""COMPUTED_VALUE"""),"Demograficos_Images/1345282127.Foto_Estudiante.191005.jpg")</f>
        <v>Demograficos_Images/1345282127.Foto_Estudiante.191005.jpg</v>
      </c>
      <c r="J176" s="8">
        <f>IFERROR(__xludf.DUMMYFUNCTION("""COMPUTED_VALUE"""),46255.631944444445)</f>
        <v>46255.63194</v>
      </c>
      <c r="K176" s="6" t="str">
        <f>IFERROR(__xludf.DUMMYFUNCTION("""COMPUTED_VALUE"""),"secundaria@gi.edu.co")</f>
        <v>secundaria@gi.edu.co</v>
      </c>
      <c r="L176" s="6" t="str">
        <f>IFERROR(__xludf.DUMMYFUNCTION("""COMPUTED_VALUE"""),"1345282127")</f>
        <v>1345282127</v>
      </c>
      <c r="M176" s="9">
        <f>IFERROR(__xludf.DUMMYFUNCTION("""COMPUTED_VALUE"""),46255.572847222225)</f>
        <v>46255.57285</v>
      </c>
      <c r="N176" s="6" t="str">
        <f>IFERROR(__xludf.DUMMYFUNCTION("""COMPUTED_VALUE"""),"Pendiente")</f>
        <v>Pendiente</v>
      </c>
      <c r="O176" s="6"/>
      <c r="P176" s="17">
        <f>IFERROR(__xludf.DUMMYFUNCTION("""COMPUTED_VALUE"""),46255.572847222225)</f>
        <v>46255.57285</v>
      </c>
      <c r="Q176" s="6"/>
      <c r="R176" s="6" t="str">
        <f>IFERROR(__xludf.DUMMYFUNCTION("""COMPUTED_VALUE"""),"Secundaria")</f>
        <v>Secundaria</v>
      </c>
      <c r="S176" s="6"/>
      <c r="T176" s="6"/>
      <c r="U176" s="6"/>
      <c r="V176" s="6"/>
      <c r="W176" s="6"/>
      <c r="X176" s="6"/>
      <c r="Y176" s="6"/>
      <c r="Z176" s="6"/>
    </row>
    <row r="177">
      <c r="A177" s="6" t="str">
        <f>IFERROR(__xludf.DUMMYFUNCTION("""COMPUTED_VALUE"""),"c055cfa3")</f>
        <v>c055cfa3</v>
      </c>
      <c r="B177" s="7" t="str">
        <f>IFERROR(__xludf.DUMMYFUNCTION("""COMPUTED_VALUE"""),"1345282216")</f>
        <v>1345282216</v>
      </c>
      <c r="C177" s="6" t="str">
        <f>IFERROR(__xludf.DUMMYFUNCTION("""COMPUTED_VALUE"""),"sale con los papás de Lucia Barrios")</f>
        <v>sale con los papás de Lucia Barrios</v>
      </c>
      <c r="D177" s="6"/>
      <c r="E177" s="6"/>
      <c r="F177" s="6" t="str">
        <f>IFERROR(__xludf.DUMMYFUNCTION("""COMPUTED_VALUE"""),"Olga la mamá de lucia Barrios")</f>
        <v>Olga la mamá de lucia Barrios</v>
      </c>
      <c r="G177" s="6" t="str">
        <f>IFERROR(__xludf.DUMMYFUNCTION("""COMPUTED_VALUE"""),"9")</f>
        <v>9</v>
      </c>
      <c r="H177" s="6" t="str">
        <f>IFERROR(__xludf.DUMMYFUNCTION("""COMPUTED_VALUE"""),"Lozano Casas Inara")</f>
        <v>Lozano Casas Inara</v>
      </c>
      <c r="I177" s="6" t="str">
        <f>IFERROR(__xludf.DUMMYFUNCTION("""COMPUTED_VALUE"""),"Demograficos_Images/1345282216.Foto_Estudiante.185543.jpg")</f>
        <v>Demograficos_Images/1345282216.Foto_Estudiante.185543.jpg</v>
      </c>
      <c r="J177" s="8">
        <f>IFERROR(__xludf.DUMMYFUNCTION("""COMPUTED_VALUE"""),46255.631944444445)</f>
        <v>46255.63194</v>
      </c>
      <c r="K177" s="6" t="str">
        <f>IFERROR(__xludf.DUMMYFUNCTION("""COMPUTED_VALUE"""),"secundaria@gi.edu.co")</f>
        <v>secundaria@gi.edu.co</v>
      </c>
      <c r="L177" s="6" t="str">
        <f>IFERROR(__xludf.DUMMYFUNCTION("""COMPUTED_VALUE"""),"1345282216")</f>
        <v>1345282216</v>
      </c>
      <c r="M177" s="9">
        <f>IFERROR(__xludf.DUMMYFUNCTION("""COMPUTED_VALUE"""),46255.577372685184)</f>
        <v>46255.57737</v>
      </c>
      <c r="N177" s="6" t="str">
        <f>IFERROR(__xludf.DUMMYFUNCTION("""COMPUTED_VALUE"""),"Pendiente")</f>
        <v>Pendiente</v>
      </c>
      <c r="O177" s="6"/>
      <c r="P177" s="17">
        <f>IFERROR(__xludf.DUMMYFUNCTION("""COMPUTED_VALUE"""),46255.577372685184)</f>
        <v>46255.57737</v>
      </c>
      <c r="Q177" s="6"/>
      <c r="R177" s="6" t="str">
        <f>IFERROR(__xludf.DUMMYFUNCTION("""COMPUTED_VALUE"""),"Secundaria")</f>
        <v>Secundaria</v>
      </c>
      <c r="S177" s="6"/>
      <c r="T177" s="6"/>
      <c r="U177" s="6"/>
      <c r="V177" s="6"/>
      <c r="W177" s="6"/>
      <c r="X177" s="6"/>
      <c r="Y177" s="6"/>
      <c r="Z177" s="6"/>
    </row>
    <row r="178">
      <c r="A178" s="6" t="str">
        <f>IFERROR(__xludf.DUMMYFUNCTION("""COMPUTED_VALUE"""),"684b073c")</f>
        <v>684b073c</v>
      </c>
      <c r="B178" s="7" t="str">
        <f>IFERROR(__xludf.DUMMYFUNCTION("""COMPUTED_VALUE"""),"1345282101")</f>
        <v>1345282101</v>
      </c>
      <c r="C178" s="6" t="str">
        <f>IFERROR(__xludf.DUMMYFUNCTION("""COMPUTED_VALUE"""),"sale con la mamá")</f>
        <v>sale con la mamá</v>
      </c>
      <c r="D178" s="6" t="str">
        <f>IFERROR(__xludf.DUMMYFUNCTION("""COMPUTED_VALUE"""),"Madre")</f>
        <v>Madre</v>
      </c>
      <c r="E178" s="6" t="str">
        <f>IFERROR(__xludf.DUMMYFUNCTION("""COMPUTED_VALUE"""),"Madre: Sara  Valderrama Cardona")</f>
        <v>Madre: Sara  Valderrama Cardona</v>
      </c>
      <c r="F178" s="6"/>
      <c r="G178" s="6" t="str">
        <f>IFERROR(__xludf.DUMMYFUNCTION("""COMPUTED_VALUE"""),"3")</f>
        <v>3</v>
      </c>
      <c r="H178" s="6" t="str">
        <f>IFERROR(__xludf.DUMMYFUNCTION("""COMPUTED_VALUE"""),"Cardona Valderrama Emiliano")</f>
        <v>Cardona Valderrama Emiliano</v>
      </c>
      <c r="I178" s="6" t="str">
        <f>IFERROR(__xludf.DUMMYFUNCTION("""COMPUTED_VALUE"""),"Demograficos_Images/1345282101.Foto_Estudiante.132502.jpg")</f>
        <v>Demograficos_Images/1345282101.Foto_Estudiante.132502.jpg</v>
      </c>
      <c r="J178" s="8">
        <f>IFERROR(__xludf.DUMMYFUNCTION("""COMPUTED_VALUE"""),46255.618055555555)</f>
        <v>46255.61806</v>
      </c>
      <c r="K178" s="6" t="str">
        <f>IFERROR(__xludf.DUMMYFUNCTION("""COMPUTED_VALUE"""),"primaria@gi.edu.co")</f>
        <v>primaria@gi.edu.co</v>
      </c>
      <c r="L178" s="6" t="str">
        <f>IFERROR(__xludf.DUMMYFUNCTION("""COMPUTED_VALUE"""),"1345282101")</f>
        <v>1345282101</v>
      </c>
      <c r="M178" s="9">
        <f>IFERROR(__xludf.DUMMYFUNCTION("""COMPUTED_VALUE"""),46255.59116898148)</f>
        <v>46255.59117</v>
      </c>
      <c r="N178" s="6" t="str">
        <f>IFERROR(__xludf.DUMMYFUNCTION("""COMPUTED_VALUE"""),"Pendiente")</f>
        <v>Pendiente</v>
      </c>
      <c r="O178" s="6"/>
      <c r="P178" s="17">
        <f>IFERROR(__xludf.DUMMYFUNCTION("""COMPUTED_VALUE"""),46255.59116898148)</f>
        <v>46255.59117</v>
      </c>
      <c r="Q178" s="6"/>
      <c r="R178" s="6" t="str">
        <f>IFERROR(__xludf.DUMMYFUNCTION("""COMPUTED_VALUE"""),"Familiar (celebraciones, encuentros, despedidas, eucaristias)")</f>
        <v>Familiar (celebraciones, encuentros, despedidas, eucaristias)</v>
      </c>
      <c r="S178" s="6" t="b">
        <f>IFERROR(__xludf.DUMMYFUNCTION("""COMPUTED_VALUE"""),FALSE)</f>
        <v>0</v>
      </c>
      <c r="T178" s="6"/>
      <c r="U178" s="6" t="str">
        <f>IFERROR(__xludf.DUMMYFUNCTION("""COMPUTED_VALUE"""),"Salida temprano")</f>
        <v>Salida temprano</v>
      </c>
      <c r="V178" s="6"/>
      <c r="W178" s="6"/>
      <c r="X178" s="6"/>
      <c r="Y178" s="6"/>
      <c r="Z178" s="6"/>
    </row>
    <row r="179">
      <c r="A179" s="6" t="str">
        <f>IFERROR(__xludf.DUMMYFUNCTION("""COMPUTED_VALUE"""),"fb9ccbb2")</f>
        <v>fb9ccbb2</v>
      </c>
      <c r="B179" s="7" t="str">
        <f>IFERROR(__xludf.DUMMYFUNCTION("""COMPUTED_VALUE"""),"1345281746")</f>
        <v>1345281746</v>
      </c>
      <c r="C179" s="6" t="str">
        <f>IFERROR(__xludf.DUMMYFUNCTION("""COMPUTED_VALUE"""),"Olga Y Pablo papás de Lucia Barrios")</f>
        <v>Olga Y Pablo papás de Lucia Barrios</v>
      </c>
      <c r="D179" s="6"/>
      <c r="E179" s="6"/>
      <c r="F179" s="6" t="str">
        <f>IFERROR(__xludf.DUMMYFUNCTION("""COMPUTED_VALUE"""),"Olga Y Pablo papás de Lucia Barrios")</f>
        <v>Olga Y Pablo papás de Lucia Barrios</v>
      </c>
      <c r="G179" s="6" t="str">
        <f>IFERROR(__xludf.DUMMYFUNCTION("""COMPUTED_VALUE"""),"9")</f>
        <v>9</v>
      </c>
      <c r="H179" s="6" t="str">
        <f>IFERROR(__xludf.DUMMYFUNCTION("""COMPUTED_VALUE"""),"Ortíz Castillo Emilia")</f>
        <v>Ortíz Castillo Emilia</v>
      </c>
      <c r="I179" s="6" t="str">
        <f>IFERROR(__xludf.DUMMYFUNCTION("""COMPUTED_VALUE"""),"Demograficos_Images/1345281746.Foto_Estudiante.185449.jpg")</f>
        <v>Demograficos_Images/1345281746.Foto_Estudiante.185449.jpg</v>
      </c>
      <c r="J179" s="8">
        <f>IFERROR(__xludf.DUMMYFUNCTION("""COMPUTED_VALUE"""),46255.631944444445)</f>
        <v>46255.63194</v>
      </c>
      <c r="K179" s="6" t="str">
        <f>IFERROR(__xludf.DUMMYFUNCTION("""COMPUTED_VALUE"""),"secundaria@gi.edu.co")</f>
        <v>secundaria@gi.edu.co</v>
      </c>
      <c r="L179" s="6" t="str">
        <f>IFERROR(__xludf.DUMMYFUNCTION("""COMPUTED_VALUE"""),"1345281746")</f>
        <v>1345281746</v>
      </c>
      <c r="M179" s="9">
        <f>IFERROR(__xludf.DUMMYFUNCTION("""COMPUTED_VALUE"""),46255.59355324074)</f>
        <v>46255.59355</v>
      </c>
      <c r="N179" s="6" t="str">
        <f>IFERROR(__xludf.DUMMYFUNCTION("""COMPUTED_VALUE"""),"Pendiente")</f>
        <v>Pendiente</v>
      </c>
      <c r="O179" s="6"/>
      <c r="P179" s="17">
        <f>IFERROR(__xludf.DUMMYFUNCTION("""COMPUTED_VALUE"""),46255.59355324074)</f>
        <v>46255.59355</v>
      </c>
      <c r="Q179" s="6"/>
      <c r="R179" s="6" t="str">
        <f>IFERROR(__xludf.DUMMYFUNCTION("""COMPUTED_VALUE"""),"Secundaria")</f>
        <v>Secundaria</v>
      </c>
      <c r="S179" s="6"/>
      <c r="T179" s="6"/>
      <c r="U179" s="6"/>
      <c r="V179" s="6"/>
      <c r="W179" s="6"/>
      <c r="X179" s="6"/>
      <c r="Y179" s="6"/>
      <c r="Z179" s="6"/>
    </row>
    <row r="180">
      <c r="A180" s="6" t="str">
        <f>IFERROR(__xludf.DUMMYFUNCTION("""COMPUTED_VALUE"""),"e1c74203")</f>
        <v>e1c74203</v>
      </c>
      <c r="B180" s="7" t="str">
        <f>IFERROR(__xludf.DUMMYFUNCTION("""COMPUTED_VALUE"""),"1345282187")</f>
        <v>1345282187</v>
      </c>
      <c r="C180" s="6" t="str">
        <f>IFERROR(__xludf.DUMMYFUNCTION("""COMPUTED_VALUE"""),"sale con Lucia Barrios")</f>
        <v>sale con Lucia Barrios</v>
      </c>
      <c r="D180" s="6"/>
      <c r="E180" s="6"/>
      <c r="F180" s="6" t="str">
        <f>IFERROR(__xludf.DUMMYFUNCTION("""COMPUTED_VALUE"""),"sale con Lucia Barrios")</f>
        <v>sale con Lucia Barrios</v>
      </c>
      <c r="G180" s="6" t="str">
        <f>IFERROR(__xludf.DUMMYFUNCTION("""COMPUTED_VALUE"""),"9")</f>
        <v>9</v>
      </c>
      <c r="H180" s="6" t="str">
        <f>IFERROR(__xludf.DUMMYFUNCTION("""COMPUTED_VALUE"""),"Jaramillo Trujillo Amelia")</f>
        <v>Jaramillo Trujillo Amelia</v>
      </c>
      <c r="I180" s="6" t="str">
        <f>IFERROR(__xludf.DUMMYFUNCTION("""COMPUTED_VALUE"""),"Demograficos_Images/1345282187.Foto_Estudiante.185651.jpg")</f>
        <v>Demograficos_Images/1345282187.Foto_Estudiante.185651.jpg</v>
      </c>
      <c r="J180" s="8">
        <f>IFERROR(__xludf.DUMMYFUNCTION("""COMPUTED_VALUE"""),46255.631944444445)</f>
        <v>46255.63194</v>
      </c>
      <c r="K180" s="6" t="str">
        <f>IFERROR(__xludf.DUMMYFUNCTION("""COMPUTED_VALUE"""),"secundaria@gi.edu.co")</f>
        <v>secundaria@gi.edu.co</v>
      </c>
      <c r="L180" s="6" t="str">
        <f>IFERROR(__xludf.DUMMYFUNCTION("""COMPUTED_VALUE"""),"1345282187")</f>
        <v>1345282187</v>
      </c>
      <c r="M180" s="9">
        <f>IFERROR(__xludf.DUMMYFUNCTION("""COMPUTED_VALUE"""),46255.599444444444)</f>
        <v>46255.59944</v>
      </c>
      <c r="N180" s="6" t="str">
        <f>IFERROR(__xludf.DUMMYFUNCTION("""COMPUTED_VALUE"""),"Pendiente")</f>
        <v>Pendiente</v>
      </c>
      <c r="O180" s="6"/>
      <c r="P180" s="17">
        <f>IFERROR(__xludf.DUMMYFUNCTION("""COMPUTED_VALUE"""),46255.599444444444)</f>
        <v>46255.59944</v>
      </c>
      <c r="Q180" s="6"/>
      <c r="R180" s="6" t="str">
        <f>IFERROR(__xludf.DUMMYFUNCTION("""COMPUTED_VALUE"""),"Secundaria")</f>
        <v>Secundaria</v>
      </c>
      <c r="S180" s="6"/>
      <c r="T180" s="6"/>
      <c r="U180" s="6"/>
      <c r="V180" s="6"/>
      <c r="W180" s="6"/>
      <c r="X180" s="6"/>
      <c r="Y180" s="6"/>
      <c r="Z180" s="6"/>
    </row>
    <row r="181">
      <c r="A181" s="6" t="str">
        <f>IFERROR(__xludf.DUMMYFUNCTION("""COMPUTED_VALUE"""),"be8bdce9")</f>
        <v>be8bdce9</v>
      </c>
      <c r="B181" s="7" t="str">
        <f>IFERROR(__xludf.DUMMYFUNCTION("""COMPUTED_VALUE"""),"1345282162")</f>
        <v>1345282162</v>
      </c>
      <c r="C181" s="6" t="str">
        <f>IFERROR(__xludf.DUMMYFUNCTION("""COMPUTED_VALUE"""),"Sale temprano de extra")</f>
        <v>Sale temprano de extra</v>
      </c>
      <c r="D181" s="6" t="str">
        <f>IFERROR(__xludf.DUMMYFUNCTION("""COMPUTED_VALUE"""),"Madre")</f>
        <v>Madre</v>
      </c>
      <c r="E181" s="6" t="str">
        <f>IFERROR(__xludf.DUMMYFUNCTION("""COMPUTED_VALUE"""),"Madre: Paula Andrea Montoya Macias")</f>
        <v>Madre: Paula Andrea Montoya Macias</v>
      </c>
      <c r="F181" s="6"/>
      <c r="G181" s="6" t="str">
        <f>IFERROR(__xludf.DUMMYFUNCTION("""COMPUTED_VALUE"""),"2")</f>
        <v>2</v>
      </c>
      <c r="H181" s="6" t="str">
        <f>IFERROR(__xludf.DUMMYFUNCTION("""COMPUTED_VALUE"""),"Jiménez Montoya María Antonia")</f>
        <v>Jiménez Montoya María Antonia</v>
      </c>
      <c r="I181" s="6" t="str">
        <f>IFERROR(__xludf.DUMMYFUNCTION("""COMPUTED_VALUE"""),"Demograficos_Images/1345282162.Foto_Estudiante.210051.jpg")</f>
        <v>Demograficos_Images/1345282162.Foto_Estudiante.210051.jpg</v>
      </c>
      <c r="J181" s="8">
        <f>IFERROR(__xludf.DUMMYFUNCTION("""COMPUTED_VALUE"""),46255.666666666664)</f>
        <v>46255.66667</v>
      </c>
      <c r="K181" s="6" t="str">
        <f>IFERROR(__xludf.DUMMYFUNCTION("""COMPUTED_VALUE"""),"primaria@gi.edu.co")</f>
        <v>primaria@gi.edu.co</v>
      </c>
      <c r="L181" s="6" t="str">
        <f>IFERROR(__xludf.DUMMYFUNCTION("""COMPUTED_VALUE"""),"1345282162")</f>
        <v>1345282162</v>
      </c>
      <c r="M181" s="9">
        <f>IFERROR(__xludf.DUMMYFUNCTION("""COMPUTED_VALUE"""),46255.60329861111)</f>
        <v>46255.6033</v>
      </c>
      <c r="N181" s="6" t="str">
        <f>IFERROR(__xludf.DUMMYFUNCTION("""COMPUTED_VALUE"""),"Pendiente")</f>
        <v>Pendiente</v>
      </c>
      <c r="O181" s="6"/>
      <c r="P181" s="17">
        <f>IFERROR(__xludf.DUMMYFUNCTION("""COMPUTED_VALUE"""),46255.60329861111)</f>
        <v>46255.6033</v>
      </c>
      <c r="Q181" s="6"/>
      <c r="R181" s="6" t="str">
        <f>IFERROR(__xludf.DUMMYFUNCTION("""COMPUTED_VALUE"""),"Familiar (celebraciones, encuentros, despedidas, eucaristias)")</f>
        <v>Familiar (celebraciones, encuentros, despedidas, eucaristias)</v>
      </c>
      <c r="S181" s="6" t="b">
        <f>IFERROR(__xludf.DUMMYFUNCTION("""COMPUTED_VALUE"""),FALSE)</f>
        <v>0</v>
      </c>
      <c r="T181" s="6"/>
      <c r="U181" s="6" t="str">
        <f>IFERROR(__xludf.DUMMYFUNCTION("""COMPUTED_VALUE"""),"Salida temprano")</f>
        <v>Salida temprano</v>
      </c>
      <c r="V181" s="6"/>
      <c r="W181" s="6"/>
      <c r="X181" s="6"/>
      <c r="Y181" s="6"/>
      <c r="Z181" s="6"/>
    </row>
    <row r="182">
      <c r="A182" s="6" t="str">
        <f>IFERROR(__xludf.DUMMYFUNCTION("""COMPUTED_VALUE"""),"9ab9426d")</f>
        <v>9ab9426d</v>
      </c>
      <c r="B182" s="7" t="str">
        <f>IFERROR(__xludf.DUMMYFUNCTION("""COMPUTED_VALUE"""),"1345281939")</f>
        <v>1345281939</v>
      </c>
      <c r="C182" s="6" t="str">
        <f>IFERROR(__xludf.DUMMYFUNCTION("""COMPUTED_VALUE"""),"sale con Lyan Victoria ( informó la mamá)")</f>
        <v>sale con Lyan Victoria ( informó la mamá)</v>
      </c>
      <c r="D182" s="6"/>
      <c r="E182" s="6"/>
      <c r="F182" s="6" t="str">
        <f>IFERROR(__xludf.DUMMYFUNCTION("""COMPUTED_VALUE"""),"Milena mamá de  Lyan Victoria")</f>
        <v>Milena mamá de  Lyan Victoria</v>
      </c>
      <c r="G182" s="6" t="str">
        <f>IFERROR(__xludf.DUMMYFUNCTION("""COMPUTED_VALUE"""),"7")</f>
        <v>7</v>
      </c>
      <c r="H182" s="6" t="str">
        <f>IFERROR(__xludf.DUMMYFUNCTION("""COMPUTED_VALUE"""),"Álvarez Castrillón Mary Anthonella")</f>
        <v>Álvarez Castrillón Mary Anthonella</v>
      </c>
      <c r="I182" s="6" t="str">
        <f>IFERROR(__xludf.DUMMYFUNCTION("""COMPUTED_VALUE"""),"Demograficos_Images/1345281939.Foto_Estudiante.190246.jpg")</f>
        <v>Demograficos_Images/1345281939.Foto_Estudiante.190246.jpg</v>
      </c>
      <c r="J182" s="8">
        <f>IFERROR(__xludf.DUMMYFUNCTION("""COMPUTED_VALUE"""),46255.631944444445)</f>
        <v>46255.63194</v>
      </c>
      <c r="K182" s="6" t="str">
        <f>IFERROR(__xludf.DUMMYFUNCTION("""COMPUTED_VALUE"""),"secundaria@gi.edu.co")</f>
        <v>secundaria@gi.edu.co</v>
      </c>
      <c r="L182" s="6" t="str">
        <f>IFERROR(__xludf.DUMMYFUNCTION("""COMPUTED_VALUE"""),"1345281939")</f>
        <v>1345281939</v>
      </c>
      <c r="M182" s="9">
        <f>IFERROR(__xludf.DUMMYFUNCTION("""COMPUTED_VALUE"""),46255.60418981482)</f>
        <v>46255.60419</v>
      </c>
      <c r="N182" s="6" t="str">
        <f>IFERROR(__xludf.DUMMYFUNCTION("""COMPUTED_VALUE"""),"Pendiente")</f>
        <v>Pendiente</v>
      </c>
      <c r="O182" s="6"/>
      <c r="P182" s="17">
        <f>IFERROR(__xludf.DUMMYFUNCTION("""COMPUTED_VALUE"""),46255.60418981482)</f>
        <v>46255.60419</v>
      </c>
      <c r="Q182" s="6"/>
      <c r="R182" s="6" t="str">
        <f>IFERROR(__xludf.DUMMYFUNCTION("""COMPUTED_VALUE"""),"Secundaria")</f>
        <v>Secundaria</v>
      </c>
      <c r="S182" s="6"/>
      <c r="T182" s="6"/>
      <c r="U182" s="6"/>
      <c r="V182" s="6"/>
      <c r="W182" s="6"/>
      <c r="X182" s="6"/>
      <c r="Y182" s="6"/>
      <c r="Z182" s="6"/>
    </row>
    <row r="183">
      <c r="A183" s="6" t="str">
        <f>IFERROR(__xludf.DUMMYFUNCTION("""COMPUTED_VALUE"""),"88ba75e7")</f>
        <v>88ba75e7</v>
      </c>
      <c r="B183" s="7" t="str">
        <f>IFERROR(__xludf.DUMMYFUNCTION("""COMPUTED_VALUE"""),"1345282243")</f>
        <v>1345282243</v>
      </c>
      <c r="C183" s="6" t="str">
        <f>IFERROR(__xludf.DUMMYFUNCTION("""COMPUTED_VALUE"""),"sale temprano de extra")</f>
        <v>sale temprano de extra</v>
      </c>
      <c r="D183" s="6" t="str">
        <f>IFERROR(__xludf.DUMMYFUNCTION("""COMPUTED_VALUE"""),"Madre")</f>
        <v>Madre</v>
      </c>
      <c r="E183" s="6" t="str">
        <f>IFERROR(__xludf.DUMMYFUNCTION("""COMPUTED_VALUE"""),"Madre: Juliana  Vargas Rozo")</f>
        <v>Madre: Juliana  Vargas Rozo</v>
      </c>
      <c r="F183" s="6"/>
      <c r="G183" s="6" t="str">
        <f>IFERROR(__xludf.DUMMYFUNCTION("""COMPUTED_VALUE"""),"1")</f>
        <v>1</v>
      </c>
      <c r="H183" s="6" t="str">
        <f>IFERROR(__xludf.DUMMYFUNCTION("""COMPUTED_VALUE"""),"Arboleda Vargas Matías")</f>
        <v>Arboleda Vargas Matías</v>
      </c>
      <c r="I183" s="6" t="str">
        <f>IFERROR(__xludf.DUMMYFUNCTION("""COMPUTED_VALUE"""),"Demograficos_Images/1345282243.Foto_Estudiante.202744.jpg")</f>
        <v>Demograficos_Images/1345282243.Foto_Estudiante.202744.jpg</v>
      </c>
      <c r="J183" s="8">
        <f>IFERROR(__xludf.DUMMYFUNCTION("""COMPUTED_VALUE"""),46255.680555555555)</f>
        <v>46255.68056</v>
      </c>
      <c r="K183" s="6" t="str">
        <f>IFERROR(__xludf.DUMMYFUNCTION("""COMPUTED_VALUE"""),"primaria@gi.edu.co")</f>
        <v>primaria@gi.edu.co</v>
      </c>
      <c r="L183" s="6" t="str">
        <f>IFERROR(__xludf.DUMMYFUNCTION("""COMPUTED_VALUE"""),"1345282243")</f>
        <v>1345282243</v>
      </c>
      <c r="M183" s="9">
        <f>IFERROR(__xludf.DUMMYFUNCTION("""COMPUTED_VALUE"""),46255.605462962965)</f>
        <v>46255.60546</v>
      </c>
      <c r="N183" s="6" t="str">
        <f>IFERROR(__xludf.DUMMYFUNCTION("""COMPUTED_VALUE"""),"Pendiente")</f>
        <v>Pendiente</v>
      </c>
      <c r="O183" s="6"/>
      <c r="P183" s="17">
        <f>IFERROR(__xludf.DUMMYFUNCTION("""COMPUTED_VALUE"""),46255.605462962965)</f>
        <v>46255.60546</v>
      </c>
      <c r="Q183" s="6"/>
      <c r="R183" s="6" t="str">
        <f>IFERROR(__xludf.DUMMYFUNCTION("""COMPUTED_VALUE"""),"Familiar (celebraciones, encuentros, despedidas, eucaristias)")</f>
        <v>Familiar (celebraciones, encuentros, despedidas, eucaristias)</v>
      </c>
      <c r="S183" s="6" t="b">
        <f>IFERROR(__xludf.DUMMYFUNCTION("""COMPUTED_VALUE"""),FALSE)</f>
        <v>0</v>
      </c>
      <c r="T183" s="6"/>
      <c r="U183" s="6" t="str">
        <f>IFERROR(__xludf.DUMMYFUNCTION("""COMPUTED_VALUE"""),"Salida temprano")</f>
        <v>Salida temprano</v>
      </c>
      <c r="V183" s="6"/>
      <c r="W183" s="6"/>
      <c r="X183" s="6"/>
      <c r="Y183" s="6"/>
      <c r="Z183" s="6"/>
    </row>
    <row r="184">
      <c r="A184" s="6" t="str">
        <f>IFERROR(__xludf.DUMMYFUNCTION("""COMPUTED_VALUE"""),"1191ecb4")</f>
        <v>1191ecb4</v>
      </c>
      <c r="B184" s="7" t="str">
        <f>IFERROR(__xludf.DUMMYFUNCTION("""COMPUTED_VALUE"""),"1345282433")</f>
        <v>1345282433</v>
      </c>
      <c r="C184" s="6" t="str">
        <f>IFERROR(__xludf.DUMMYFUNCTION("""COMPUTED_VALUE"""),"Sale con mamá de emilia k4")</f>
        <v>Sale con mamá de emilia k4</v>
      </c>
      <c r="D184" s="6"/>
      <c r="E184" s="6"/>
      <c r="F184" s="6" t="str">
        <f>IFERROR(__xludf.DUMMYFUNCTION("""COMPUTED_VALUE"""),"Sale con emilia K4")</f>
        <v>Sale con emilia K4</v>
      </c>
      <c r="G184" s="6" t="str">
        <f>IFERROR(__xludf.DUMMYFUNCTION("""COMPUTED_VALUE"""),"K4")</f>
        <v>K4</v>
      </c>
      <c r="H184" s="6" t="str">
        <f>IFERROR(__xludf.DUMMYFUNCTION("""COMPUTED_VALUE"""),"Echeverry Duque Martina")</f>
        <v>Echeverry Duque Martina</v>
      </c>
      <c r="I184" s="6" t="str">
        <f>IFERROR(__xludf.DUMMYFUNCTION("""COMPUTED_VALUE"""),"Demograficos_Images/1345282433.Foto_Estudiante.145838.jpg")</f>
        <v>Demograficos_Images/1345282433.Foto_Estudiante.145838.jpg</v>
      </c>
      <c r="J184" s="8">
        <f>IFERROR(__xludf.DUMMYFUNCTION("""COMPUTED_VALUE"""),46255.61111111111)</f>
        <v>46255.61111</v>
      </c>
      <c r="K184" s="6" t="str">
        <f>IFERROR(__xludf.DUMMYFUNCTION("""COMPUTED_VALUE"""),"kinder@gi.edu.co")</f>
        <v>kinder@gi.edu.co</v>
      </c>
      <c r="L184" s="6" t="str">
        <f>IFERROR(__xludf.DUMMYFUNCTION("""COMPUTED_VALUE"""),"1345282433")</f>
        <v>1345282433</v>
      </c>
      <c r="M184" s="9">
        <f>IFERROR(__xludf.DUMMYFUNCTION("""COMPUTED_VALUE"""),46255.61157407407)</f>
        <v>46255.61157</v>
      </c>
      <c r="N184" s="6" t="str">
        <f>IFERROR(__xludf.DUMMYFUNCTION("""COMPUTED_VALUE"""),"Pendiente")</f>
        <v>Pendiente</v>
      </c>
      <c r="O184" s="6"/>
      <c r="P184" s="17">
        <f>IFERROR(__xludf.DUMMYFUNCTION("""COMPUTED_VALUE"""),46255.61157407407)</f>
        <v>46255.61157</v>
      </c>
      <c r="Q184" s="6"/>
      <c r="R184" s="6" t="str">
        <f>IFERROR(__xludf.DUMMYFUNCTION("""COMPUTED_VALUE"""),"Sin información")</f>
        <v>Sin información</v>
      </c>
      <c r="S184" s="6"/>
      <c r="T184" s="6"/>
      <c r="U184" s="6" t="str">
        <f>IFERROR(__xludf.DUMMYFUNCTION("""COMPUTED_VALUE"""),"Salida temprano")</f>
        <v>Salida temprano</v>
      </c>
      <c r="V184" s="6"/>
      <c r="W184" s="6"/>
      <c r="X184" s="6"/>
      <c r="Y184" s="6"/>
      <c r="Z184" s="6"/>
    </row>
    <row r="185">
      <c r="A185" s="6" t="str">
        <f>IFERROR(__xludf.DUMMYFUNCTION("""COMPUTED_VALUE"""),"0d83954b")</f>
        <v>0d83954b</v>
      </c>
      <c r="B185" s="7" t="str">
        <f>IFERROR(__xludf.DUMMYFUNCTION("""COMPUTED_VALUE"""),"1345282035")</f>
        <v>1345282035</v>
      </c>
      <c r="C185" s="6" t="str">
        <f>IFERROR(__xludf.DUMMYFUNCTION("""COMPUTED_VALUE"""),"sale con la mamá de Simon Gomez")</f>
        <v>sale con la mamá de Simon Gomez</v>
      </c>
      <c r="D185" s="6" t="str">
        <f>IFERROR(__xludf.DUMMYFUNCTION("""COMPUTED_VALUE"""),"Madre")</f>
        <v>Madre</v>
      </c>
      <c r="E185" s="6" t="str">
        <f>IFERROR(__xludf.DUMMYFUNCTION("""COMPUTED_VALUE"""),"Madre: Yenifer  Ruíz Campuzano")</f>
        <v>Madre: Yenifer  Ruíz Campuzano</v>
      </c>
      <c r="F185" s="6" t="str">
        <f>IFERROR(__xludf.DUMMYFUNCTION("""COMPUTED_VALUE"""),"sale con la mamá de Simon Gomez")</f>
        <v>sale con la mamá de Simon Gomez</v>
      </c>
      <c r="G185" s="6" t="str">
        <f>IFERROR(__xludf.DUMMYFUNCTION("""COMPUTED_VALUE"""),"6")</f>
        <v>6</v>
      </c>
      <c r="H185" s="6" t="str">
        <f>IFERROR(__xludf.DUMMYFUNCTION("""COMPUTED_VALUE"""),"Duque Ruíz Isabela")</f>
        <v>Duque Ruíz Isabela</v>
      </c>
      <c r="I185" s="6" t="str">
        <f>IFERROR(__xludf.DUMMYFUNCTION("""COMPUTED_VALUE"""),"Demograficos_Images/1345282035.Foto_Estudiante.144826.jpg")</f>
        <v>Demograficos_Images/1345282035.Foto_Estudiante.144826.jpg</v>
      </c>
      <c r="J185" s="8">
        <f>IFERROR(__xludf.DUMMYFUNCTION("""COMPUTED_VALUE"""),46255.625)</f>
        <v>46255.625</v>
      </c>
      <c r="K185" s="6" t="str">
        <f>IFERROR(__xludf.DUMMYFUNCTION("""COMPUTED_VALUE"""),"primaria@gi.edu.co")</f>
        <v>primaria@gi.edu.co</v>
      </c>
      <c r="L185" s="6" t="str">
        <f>IFERROR(__xludf.DUMMYFUNCTION("""COMPUTED_VALUE"""),"1345282035")</f>
        <v>1345282035</v>
      </c>
      <c r="M185" s="9">
        <f>IFERROR(__xludf.DUMMYFUNCTION("""COMPUTED_VALUE"""),46255.63041666667)</f>
        <v>46255.63042</v>
      </c>
      <c r="N185" s="6" t="str">
        <f>IFERROR(__xludf.DUMMYFUNCTION("""COMPUTED_VALUE"""),"Pendiente")</f>
        <v>Pendiente</v>
      </c>
      <c r="O185" s="6"/>
      <c r="P185" s="17">
        <f>IFERROR(__xludf.DUMMYFUNCTION("""COMPUTED_VALUE"""),46255.63041666667)</f>
        <v>46255.63042</v>
      </c>
      <c r="Q185" s="6"/>
      <c r="R185" s="6" t="str">
        <f>IFERROR(__xludf.DUMMYFUNCTION("""COMPUTED_VALUE"""),"Familiar (celebraciones, encuentros, despedidas, eucaristias)")</f>
        <v>Familiar (celebraciones, encuentros, despedidas, eucaristias)</v>
      </c>
      <c r="S185" s="6" t="b">
        <f>IFERROR(__xludf.DUMMYFUNCTION("""COMPUTED_VALUE"""),FALSE)</f>
        <v>0</v>
      </c>
      <c r="T185" s="6"/>
      <c r="U185" s="6"/>
      <c r="V185" s="6"/>
      <c r="W185" s="6"/>
      <c r="X185" s="6"/>
      <c r="Y185" s="6"/>
      <c r="Z185" s="6"/>
    </row>
    <row r="186">
      <c r="A186" s="6" t="str">
        <f>IFERROR(__xludf.DUMMYFUNCTION("""COMPUTED_VALUE"""),"87256bd1")</f>
        <v>87256bd1</v>
      </c>
      <c r="B186" s="7" t="str">
        <f>IFERROR(__xludf.DUMMYFUNCTION("""COMPUTED_VALUE"""),"1345281701")</f>
        <v>1345281701</v>
      </c>
      <c r="C186" s="6" t="str">
        <f>IFERROR(__xludf.DUMMYFUNCTION("""COMPUTED_VALUE"""),"sale con Luciana Giraldo")</f>
        <v>sale con Luciana Giraldo</v>
      </c>
      <c r="D186" s="6"/>
      <c r="E186" s="6"/>
      <c r="F186" s="6" t="str">
        <f>IFERROR(__xludf.DUMMYFUNCTION("""COMPUTED_VALUE"""),"Carolina mamá de Luciana Giraldo")</f>
        <v>Carolina mamá de Luciana Giraldo</v>
      </c>
      <c r="G186" s="6" t="str">
        <f>IFERROR(__xludf.DUMMYFUNCTION("""COMPUTED_VALUE"""),"8")</f>
        <v>8</v>
      </c>
      <c r="H186" s="6" t="str">
        <f>IFERROR(__xludf.DUMMYFUNCTION("""COMPUTED_VALUE"""),"Londoño Matoma María Antonia")</f>
        <v>Londoño Matoma María Antonia</v>
      </c>
      <c r="I186" s="6" t="str">
        <f>IFERROR(__xludf.DUMMYFUNCTION("""COMPUTED_VALUE"""),"Demograficos_Images/1345281701.Foto_Estudiante.191728.jpg")</f>
        <v>Demograficos_Images/1345281701.Foto_Estudiante.191728.jpg</v>
      </c>
      <c r="J186" s="8">
        <f>IFERROR(__xludf.DUMMYFUNCTION("""COMPUTED_VALUE"""),46255.631944444445)</f>
        <v>46255.63194</v>
      </c>
      <c r="K186" s="6" t="str">
        <f>IFERROR(__xludf.DUMMYFUNCTION("""COMPUTED_VALUE"""),"secundaria@gi.edu.co")</f>
        <v>secundaria@gi.edu.co</v>
      </c>
      <c r="L186" s="6" t="str">
        <f>IFERROR(__xludf.DUMMYFUNCTION("""COMPUTED_VALUE"""),"1345281701")</f>
        <v>1345281701</v>
      </c>
      <c r="M186" s="9">
        <f>IFERROR(__xludf.DUMMYFUNCTION("""COMPUTED_VALUE"""),46255.62409722222)</f>
        <v>46255.6241</v>
      </c>
      <c r="N186" s="6" t="str">
        <f>IFERROR(__xludf.DUMMYFUNCTION("""COMPUTED_VALUE"""),"Pendiente")</f>
        <v>Pendiente</v>
      </c>
      <c r="O186" s="6"/>
      <c r="P186" s="17">
        <f>IFERROR(__xludf.DUMMYFUNCTION("""COMPUTED_VALUE"""),46255.62409722222)</f>
        <v>46255.6241</v>
      </c>
      <c r="Q186" s="6"/>
      <c r="R186" s="6" t="str">
        <f>IFERROR(__xludf.DUMMYFUNCTION("""COMPUTED_VALUE"""),"Secundaria")</f>
        <v>Secundaria</v>
      </c>
      <c r="S186" s="6"/>
      <c r="T186" s="6"/>
      <c r="U186" s="6"/>
      <c r="V186" s="6"/>
      <c r="W186" s="6"/>
      <c r="X186" s="6"/>
      <c r="Y186" s="6"/>
      <c r="Z186" s="6"/>
    </row>
    <row r="187">
      <c r="A187" s="6" t="str">
        <f>IFERROR(__xludf.DUMMYFUNCTION("""COMPUTED_VALUE"""),"dae77b5c")</f>
        <v>dae77b5c</v>
      </c>
      <c r="B187" s="7" t="str">
        <f>IFERROR(__xludf.DUMMYFUNCTION("""COMPUTED_VALUE"""),"1345282622")</f>
        <v>1345282622</v>
      </c>
      <c r="C187" s="6" t="str">
        <f>IFERROR(__xludf.DUMMYFUNCTION("""COMPUTED_VALUE"""),"Estudiante enfermo presenta malestar general, migraña y fiebre desde el día de ayer.")</f>
        <v>Estudiante enfermo presenta malestar general, migraña y fiebre desde el día de ayer.</v>
      </c>
      <c r="D187" s="6"/>
      <c r="E187" s="6"/>
      <c r="F187" s="6"/>
      <c r="G187" s="6" t="str">
        <f>IFERROR(__xludf.DUMMYFUNCTION("""COMPUTED_VALUE"""),"7")</f>
        <v>7</v>
      </c>
      <c r="H187" s="6" t="str">
        <f>IFERROR(__xludf.DUMMYFUNCTION("""COMPUTED_VALUE"""),"Jiménez Sánchez Juan Pablo")</f>
        <v>Jiménez Sánchez Juan Pablo</v>
      </c>
      <c r="I187" s="6"/>
      <c r="J187" s="8">
        <f>IFERROR(__xludf.DUMMYFUNCTION("""COMPUTED_VALUE"""),46258.302083333336)</f>
        <v>46258.30208</v>
      </c>
      <c r="K187" s="6" t="str">
        <f>IFERROR(__xludf.DUMMYFUNCTION("""COMPUTED_VALUE"""),"secundaria@gi.edu.co")</f>
        <v>secundaria@gi.edu.co</v>
      </c>
      <c r="L187" s="6" t="str">
        <f>IFERROR(__xludf.DUMMYFUNCTION("""COMPUTED_VALUE"""),"1345282622")</f>
        <v>1345282622</v>
      </c>
      <c r="M187" s="9">
        <f>IFERROR(__xludf.DUMMYFUNCTION("""COMPUTED_VALUE"""),46258.32591435185)</f>
        <v>46258.32591</v>
      </c>
      <c r="N187" s="6" t="str">
        <f>IFERROR(__xludf.DUMMYFUNCTION("""COMPUTED_VALUE"""),"Pendiente")</f>
        <v>Pendiente</v>
      </c>
      <c r="O187" s="6"/>
      <c r="P187" s="17">
        <f>IFERROR(__xludf.DUMMYFUNCTION("""COMPUTED_VALUE"""),46258.32591435185)</f>
        <v>46258.32591</v>
      </c>
      <c r="Q187" s="6"/>
      <c r="R187" s="6" t="str">
        <f>IFERROR(__xludf.DUMMYFUNCTION("""COMPUTED_VALUE"""),"Ausencia Todo el Dia")</f>
        <v>Ausencia Todo el Dia</v>
      </c>
      <c r="S187" s="6"/>
      <c r="T187" s="6"/>
      <c r="U187" s="6" t="str">
        <f>IFERROR(__xludf.DUMMYFUNCTION("""COMPUTED_VALUE"""),"Ausencia todo el dia")</f>
        <v>Ausencia todo el dia</v>
      </c>
      <c r="V187" s="6"/>
      <c r="W187" s="6"/>
      <c r="X187" s="6"/>
      <c r="Y187" s="6"/>
      <c r="Z187" s="6"/>
    </row>
    <row r="188">
      <c r="A188" s="6" t="str">
        <f>IFERROR(__xludf.DUMMYFUNCTION("""COMPUTED_VALUE"""),"505b5097")</f>
        <v>505b5097</v>
      </c>
      <c r="B188" s="7" t="str">
        <f>IFERROR(__xludf.DUMMYFUNCTION("""COMPUTED_VALUE"""),"1345282557")</f>
        <v>1345282557</v>
      </c>
      <c r="C188" s="6" t="str">
        <f>IFERROR(__xludf.DUMMYFUNCTION("""COMPUTED_VALUE"""),"la mamá informa que aun esta indispuesta y prefieren que se quede en casa hasta hoy")</f>
        <v>la mamá informa que aun esta indispuesta y prefieren que se quede en casa hasta hoy</v>
      </c>
      <c r="D188" s="6"/>
      <c r="E188" s="6"/>
      <c r="F188" s="6"/>
      <c r="G188" s="6" t="str">
        <f>IFERROR(__xludf.DUMMYFUNCTION("""COMPUTED_VALUE"""),"9")</f>
        <v>9</v>
      </c>
      <c r="H188" s="6" t="str">
        <f>IFERROR(__xludf.DUMMYFUNCTION("""COMPUTED_VALUE"""),"Tort Zander Gina")</f>
        <v>Tort Zander Gina</v>
      </c>
      <c r="I188" s="6" t="str">
        <f>IFERROR(__xludf.DUMMYFUNCTION("""COMPUTED_VALUE"""),"Demograficos_Images/1345282557.Foto_Estudiante.134550.jpg")</f>
        <v>Demograficos_Images/1345282557.Foto_Estudiante.134550.jpg</v>
      </c>
      <c r="J188" s="6"/>
      <c r="K188" s="6" t="str">
        <f>IFERROR(__xludf.DUMMYFUNCTION("""COMPUTED_VALUE"""),"secundaria@gi.edu.co")</f>
        <v>secundaria@gi.edu.co</v>
      </c>
      <c r="L188" s="6" t="str">
        <f>IFERROR(__xludf.DUMMYFUNCTION("""COMPUTED_VALUE"""),"1345282557")</f>
        <v>1345282557</v>
      </c>
      <c r="M188" s="9">
        <f>IFERROR(__xludf.DUMMYFUNCTION("""COMPUTED_VALUE"""),46258.330659722225)</f>
        <v>46258.33066</v>
      </c>
      <c r="N188" s="6" t="str">
        <f>IFERROR(__xludf.DUMMYFUNCTION("""COMPUTED_VALUE"""),"Pendiente")</f>
        <v>Pendiente</v>
      </c>
      <c r="O188" s="6"/>
      <c r="P188" s="17">
        <f>IFERROR(__xludf.DUMMYFUNCTION("""COMPUTED_VALUE"""),46258.330659722225)</f>
        <v>46258.33066</v>
      </c>
      <c r="Q188" s="6"/>
      <c r="R188" s="6" t="str">
        <f>IFERROR(__xludf.DUMMYFUNCTION("""COMPUTED_VALUE"""),"Estudiante enfermo@ con cuidados en casa")</f>
        <v>Estudiante enfermo@ con cuidados en casa</v>
      </c>
      <c r="S188" s="6"/>
      <c r="T188" s="6"/>
      <c r="U188" s="6" t="str">
        <f>IFERROR(__xludf.DUMMYFUNCTION("""COMPUTED_VALUE"""),"Ausencia todo el dia")</f>
        <v>Ausencia todo el dia</v>
      </c>
      <c r="V188" s="18">
        <f>IFERROR(__xludf.DUMMYFUNCTION("""COMPUTED_VALUE"""),46258.0)</f>
        <v>46258</v>
      </c>
      <c r="W188" s="6"/>
      <c r="X188" s="6"/>
      <c r="Y188" s="6"/>
      <c r="Z188" s="6"/>
    </row>
    <row r="189">
      <c r="A189" s="6" t="str">
        <f>IFERROR(__xludf.DUMMYFUNCTION("""COMPUTED_VALUE"""),"9425817e")</f>
        <v>9425817e</v>
      </c>
      <c r="B189" s="7" t="str">
        <f>IFERROR(__xludf.DUMMYFUNCTION("""COMPUTED_VALUE"""),"1345281364")</f>
        <v>1345281364</v>
      </c>
      <c r="C189" s="6" t="str">
        <f>IFERROR(__xludf.DUMMYFUNCTION("""COMPUTED_VALUE"""),"la mamá informa que viene más temprano porque tiene cita médica")</f>
        <v>la mamá informa que viene más temprano porque tiene cita médica</v>
      </c>
      <c r="D189" s="6" t="str">
        <f>IFERROR(__xludf.DUMMYFUNCTION("""COMPUTED_VALUE"""),"Madre")</f>
        <v>Madre</v>
      </c>
      <c r="E189" s="6" t="str">
        <f>IFERROR(__xludf.DUMMYFUNCTION("""COMPUTED_VALUE"""),"Madre: Sandra Patricia Gaviria Arcila")</f>
        <v>Madre: Sandra Patricia Gaviria Arcila</v>
      </c>
      <c r="F189" s="6"/>
      <c r="G189" s="6" t="str">
        <f>IFERROR(__xludf.DUMMYFUNCTION("""COMPUTED_VALUE"""),"11")</f>
        <v>11</v>
      </c>
      <c r="H189" s="6" t="str">
        <f>IFERROR(__xludf.DUMMYFUNCTION("""COMPUTED_VALUE"""),"Jaramillo Gaviria Maximiliano")</f>
        <v>Jaramillo Gaviria Maximiliano</v>
      </c>
      <c r="I189" s="6" t="str">
        <f>IFERROR(__xludf.DUMMYFUNCTION("""COMPUTED_VALUE"""),"Demograficos_Images/1345281364.Foto_Estudiante.182239.jpg")</f>
        <v>Demograficos_Images/1345281364.Foto_Estudiante.182239.jpg</v>
      </c>
      <c r="J189" s="8">
        <f>IFERROR(__xludf.DUMMYFUNCTION("""COMPUTED_VALUE"""),46258.604166666664)</f>
        <v>46258.60417</v>
      </c>
      <c r="K189" s="6" t="str">
        <f>IFERROR(__xludf.DUMMYFUNCTION("""COMPUTED_VALUE"""),"secundaria@gi.edu.co")</f>
        <v>secundaria@gi.edu.co</v>
      </c>
      <c r="L189" s="6" t="str">
        <f>IFERROR(__xludf.DUMMYFUNCTION("""COMPUTED_VALUE"""),"1345281364")</f>
        <v>1345281364</v>
      </c>
      <c r="M189" s="9">
        <f>IFERROR(__xludf.DUMMYFUNCTION("""COMPUTED_VALUE"""),46258.33325231481)</f>
        <v>46258.33325</v>
      </c>
      <c r="N189" s="6" t="str">
        <f>IFERROR(__xludf.DUMMYFUNCTION("""COMPUTED_VALUE"""),"Pendiente")</f>
        <v>Pendiente</v>
      </c>
      <c r="O189" s="6"/>
      <c r="P189" s="17">
        <f>IFERROR(__xludf.DUMMYFUNCTION("""COMPUTED_VALUE"""),46258.33325231481)</f>
        <v>46258.33325</v>
      </c>
      <c r="Q189" s="6"/>
      <c r="R189" s="6" t="str">
        <f>IFERROR(__xludf.DUMMYFUNCTION("""COMPUTED_VALUE"""),"Cita médica")</f>
        <v>Cita médica</v>
      </c>
      <c r="S189" s="6" t="b">
        <f>IFERROR(__xludf.DUMMYFUNCTION("""COMPUTED_VALUE"""),FALSE)</f>
        <v>0</v>
      </c>
      <c r="T189" s="6"/>
      <c r="U189" s="6" t="str">
        <f>IFERROR(__xludf.DUMMYFUNCTION("""COMPUTED_VALUE"""),"Salida temprano")</f>
        <v>Salida temprano</v>
      </c>
      <c r="V189" s="6"/>
      <c r="W189" s="6"/>
      <c r="X189" s="6"/>
      <c r="Y189" s="6"/>
      <c r="Z189" s="6"/>
    </row>
    <row r="190">
      <c r="A190" s="6" t="str">
        <f>IFERROR(__xludf.DUMMYFUNCTION("""COMPUTED_VALUE"""),"2091895b")</f>
        <v>2091895b</v>
      </c>
      <c r="B190" s="7" t="str">
        <f>IFERROR(__xludf.DUMMYFUNCTION("""COMPUTED_VALUE"""),"1345282194")</f>
        <v>1345282194</v>
      </c>
      <c r="C190" s="6" t="str">
        <f>IFERROR(__xludf.DUMMYFUNCTION("""COMPUTED_VALUE"""),"la mamá informa que tiene cita médica")</f>
        <v>la mamá informa que tiene cita médica</v>
      </c>
      <c r="D190" s="6" t="str">
        <f>IFERROR(__xludf.DUMMYFUNCTION("""COMPUTED_VALUE"""),"Madre")</f>
        <v>Madre</v>
      </c>
      <c r="E190" s="6" t="str">
        <f>IFERROR(__xludf.DUMMYFUNCTION("""COMPUTED_VALUE"""),"Madre: Andrea  Gómez Escudero")</f>
        <v>Madre: Andrea  Gómez Escudero</v>
      </c>
      <c r="F190" s="6"/>
      <c r="G190" s="6" t="str">
        <f>IFERROR(__xludf.DUMMYFUNCTION("""COMPUTED_VALUE"""),"7")</f>
        <v>7</v>
      </c>
      <c r="H190" s="6" t="str">
        <f>IFERROR(__xludf.DUMMYFUNCTION("""COMPUTED_VALUE"""),"Muñoz Gómez Sofía")</f>
        <v>Muñoz Gómez Sofía</v>
      </c>
      <c r="I190" s="6" t="str">
        <f>IFERROR(__xludf.DUMMYFUNCTION("""COMPUTED_VALUE"""),"Demograficos_Images/1345282194.Foto_Estudiante.193630.jpg")</f>
        <v>Demograficos_Images/1345282194.Foto_Estudiante.193630.jpg</v>
      </c>
      <c r="J190" s="8">
        <f>IFERROR(__xludf.DUMMYFUNCTION("""COMPUTED_VALUE"""),46258.604166666664)</f>
        <v>46258.60417</v>
      </c>
      <c r="K190" s="6" t="str">
        <f>IFERROR(__xludf.DUMMYFUNCTION("""COMPUTED_VALUE"""),"secundaria@gi.edu.co")</f>
        <v>secundaria@gi.edu.co</v>
      </c>
      <c r="L190" s="6" t="str">
        <f>IFERROR(__xludf.DUMMYFUNCTION("""COMPUTED_VALUE"""),"1345282194")</f>
        <v>1345282194</v>
      </c>
      <c r="M190" s="9">
        <f>IFERROR(__xludf.DUMMYFUNCTION("""COMPUTED_VALUE"""),46258.3350462963)</f>
        <v>46258.33505</v>
      </c>
      <c r="N190" s="6" t="str">
        <f>IFERROR(__xludf.DUMMYFUNCTION("""COMPUTED_VALUE"""),"Pendiente")</f>
        <v>Pendiente</v>
      </c>
      <c r="O190" s="6"/>
      <c r="P190" s="17">
        <f>IFERROR(__xludf.DUMMYFUNCTION("""COMPUTED_VALUE"""),46258.3350462963)</f>
        <v>46258.33505</v>
      </c>
      <c r="Q190" s="6"/>
      <c r="R190" s="6" t="str">
        <f>IFERROR(__xludf.DUMMYFUNCTION("""COMPUTED_VALUE"""),"Cita médica")</f>
        <v>Cita médica</v>
      </c>
      <c r="S190" s="6" t="b">
        <f>IFERROR(__xludf.DUMMYFUNCTION("""COMPUTED_VALUE"""),FALSE)</f>
        <v>0</v>
      </c>
      <c r="T190" s="6"/>
      <c r="U190" s="6" t="str">
        <f>IFERROR(__xludf.DUMMYFUNCTION("""COMPUTED_VALUE"""),"Salida temprano")</f>
        <v>Salida temprano</v>
      </c>
      <c r="V190" s="6"/>
      <c r="W190" s="6"/>
      <c r="X190" s="6"/>
      <c r="Y190" s="6"/>
      <c r="Z190" s="6"/>
    </row>
    <row r="191">
      <c r="A191" s="6" t="str">
        <f>IFERROR(__xludf.DUMMYFUNCTION("""COMPUTED_VALUE"""),"52aad3eb")</f>
        <v>52aad3eb</v>
      </c>
      <c r="B191" s="7" t="str">
        <f>IFERROR(__xludf.DUMMYFUNCTION("""COMPUTED_VALUE"""),"1345282444")</f>
        <v>1345282444</v>
      </c>
      <c r="C191" s="6" t="str">
        <f>IFERROR(__xludf.DUMMYFUNCTION("""COMPUTED_VALUE"""),"Quería avisar que hoy Lunes 24 de Agosto tenemos que recoger a Camila Hartrich de 2C a las 2:10, para ir a cita médica.")</f>
        <v>Quería avisar que hoy Lunes 24 de Agosto tenemos que recoger a Camila Hartrich de 2C a las 2:10, para ir a cita médica.</v>
      </c>
      <c r="D191" s="6" t="str">
        <f>IFERROR(__xludf.DUMMYFUNCTION("""COMPUTED_VALUE"""),"Madre")</f>
        <v>Madre</v>
      </c>
      <c r="E191" s="6" t="str">
        <f>IFERROR(__xludf.DUMMYFUNCTION("""COMPUTED_VALUE"""),"Madre: Juliana  Cruz Mejía")</f>
        <v>Madre: Juliana  Cruz Mejía</v>
      </c>
      <c r="F191" s="6"/>
      <c r="G191" s="6" t="str">
        <f>IFERROR(__xludf.DUMMYFUNCTION("""COMPUTED_VALUE"""),"2")</f>
        <v>2</v>
      </c>
      <c r="H191" s="6" t="str">
        <f>IFERROR(__xludf.DUMMYFUNCTION("""COMPUTED_VALUE"""),"Hartrich Cruz Camila")</f>
        <v>Hartrich Cruz Camila</v>
      </c>
      <c r="I191" s="6" t="str">
        <f>IFERROR(__xludf.DUMMYFUNCTION("""COMPUTED_VALUE"""),"Demograficos_Images/1345282444.Foto_Estudiante.205902.jpg")</f>
        <v>Demograficos_Images/1345282444.Foto_Estudiante.205902.jpg</v>
      </c>
      <c r="J191" s="8">
        <f>IFERROR(__xludf.DUMMYFUNCTION("""COMPUTED_VALUE"""),46258.59027777778)</f>
        <v>46258.59028</v>
      </c>
      <c r="K191" s="6" t="str">
        <f>IFERROR(__xludf.DUMMYFUNCTION("""COMPUTED_VALUE"""),"primaria@gi.edu.co")</f>
        <v>primaria@gi.edu.co</v>
      </c>
      <c r="L191" s="6" t="str">
        <f>IFERROR(__xludf.DUMMYFUNCTION("""COMPUTED_VALUE"""),"1345282444")</f>
        <v>1345282444</v>
      </c>
      <c r="M191" s="9">
        <f>IFERROR(__xludf.DUMMYFUNCTION("""COMPUTED_VALUE"""),46258.36802083333)</f>
        <v>46258.36802</v>
      </c>
      <c r="N191" s="6" t="str">
        <f>IFERROR(__xludf.DUMMYFUNCTION("""COMPUTED_VALUE"""),"Pendiente")</f>
        <v>Pendiente</v>
      </c>
      <c r="O191" s="6"/>
      <c r="P191" s="17">
        <f>IFERROR(__xludf.DUMMYFUNCTION("""COMPUTED_VALUE"""),46258.36802083333)</f>
        <v>46258.36802</v>
      </c>
      <c r="Q191" s="6"/>
      <c r="R191" s="6" t="str">
        <f>IFERROR(__xludf.DUMMYFUNCTION("""COMPUTED_VALUE"""),"Cita médico general")</f>
        <v>Cita médico general</v>
      </c>
      <c r="S191" s="6" t="b">
        <f>IFERROR(__xludf.DUMMYFUNCTION("""COMPUTED_VALUE"""),FALSE)</f>
        <v>0</v>
      </c>
      <c r="T191" s="6"/>
      <c r="U191" s="6" t="str">
        <f>IFERROR(__xludf.DUMMYFUNCTION("""COMPUTED_VALUE"""),"Salida temprano")</f>
        <v>Salida temprano</v>
      </c>
      <c r="V191" s="6"/>
      <c r="W191" s="6"/>
      <c r="X191" s="6"/>
      <c r="Y191" s="6"/>
      <c r="Z191" s="6"/>
    </row>
    <row r="192">
      <c r="A192" s="6" t="str">
        <f>IFERROR(__xludf.DUMMYFUNCTION("""COMPUTED_VALUE"""),"ccac4490")</f>
        <v>ccac4490</v>
      </c>
      <c r="B192" s="7" t="str">
        <f>IFERROR(__xludf.DUMMYFUNCTION("""COMPUTED_VALUE"""),"1345281709")</f>
        <v>1345281709</v>
      </c>
      <c r="C192" s="6" t="str">
        <f>IFERROR(__xludf.DUMMYFUNCTION("""COMPUTED_VALUE"""),"No utilizará el servicio de transporte")</f>
        <v>No utilizará el servicio de transporte</v>
      </c>
      <c r="D192" s="6" t="str">
        <f>IFERROR(__xludf.DUMMYFUNCTION("""COMPUTED_VALUE"""),"Padre")</f>
        <v>Padre</v>
      </c>
      <c r="E192" s="6" t="str">
        <f>IFERROR(__xludf.DUMMYFUNCTION("""COMPUTED_VALUE"""),"Padre: Jorge Hernán Jaramillo Durán")</f>
        <v>Padre: Jorge Hernán Jaramillo Durán</v>
      </c>
      <c r="F192" s="6"/>
      <c r="G192" s="6" t="str">
        <f>IFERROR(__xludf.DUMMYFUNCTION("""COMPUTED_VALUE"""),"7")</f>
        <v>7</v>
      </c>
      <c r="H192" s="6" t="str">
        <f>IFERROR(__xludf.DUMMYFUNCTION("""COMPUTED_VALUE"""),"Jaramillo Plazas Jacobo")</f>
        <v>Jaramillo Plazas Jacobo</v>
      </c>
      <c r="I192" s="6" t="str">
        <f>IFERROR(__xludf.DUMMYFUNCTION("""COMPUTED_VALUE"""),"Demograficos_Images/1345281709.Foto_Estudiante.182505.jpg")</f>
        <v>Demograficos_Images/1345281709.Foto_Estudiante.182505.jpg</v>
      </c>
      <c r="J192" s="8">
        <f>IFERROR(__xludf.DUMMYFUNCTION("""COMPUTED_VALUE"""),46258.631944444445)</f>
        <v>46258.63194</v>
      </c>
      <c r="K192" s="6" t="str">
        <f>IFERROR(__xludf.DUMMYFUNCTION("""COMPUTED_VALUE"""),"secundaria@gi.edu.co")</f>
        <v>secundaria@gi.edu.co</v>
      </c>
      <c r="L192" s="6" t="str">
        <f>IFERROR(__xludf.DUMMYFUNCTION("""COMPUTED_VALUE"""),"1345281709")</f>
        <v>1345281709</v>
      </c>
      <c r="M192" s="9">
        <f>IFERROR(__xludf.DUMMYFUNCTION("""COMPUTED_VALUE"""),46258.36877314815)</f>
        <v>46258.36877</v>
      </c>
      <c r="N192" s="6" t="str">
        <f>IFERROR(__xludf.DUMMYFUNCTION("""COMPUTED_VALUE"""),"Pendiente")</f>
        <v>Pendiente</v>
      </c>
      <c r="O192" s="6"/>
      <c r="P192" s="17">
        <f>IFERROR(__xludf.DUMMYFUNCTION("""COMPUTED_VALUE"""),46258.36877314815)</f>
        <v>46258.36877</v>
      </c>
      <c r="Q192" s="6"/>
      <c r="R192" s="6"/>
      <c r="S192" s="6"/>
      <c r="T192" s="6"/>
      <c r="U192" s="6" t="str">
        <f>IFERROR(__xludf.DUMMYFUNCTION("""COMPUTED_VALUE"""),"Otras Novedades")</f>
        <v>Otras Novedades</v>
      </c>
      <c r="V192" s="6"/>
      <c r="W192" s="6"/>
      <c r="X192" s="6"/>
      <c r="Y192" s="6"/>
      <c r="Z192" s="6"/>
    </row>
    <row r="193">
      <c r="A193" s="6" t="str">
        <f>IFERROR(__xludf.DUMMYFUNCTION("""COMPUTED_VALUE"""),"e92b86fb")</f>
        <v>e92b86fb</v>
      </c>
      <c r="B193" s="7" t="str">
        <f>IFERROR(__xludf.DUMMYFUNCTION("""COMPUTED_VALUE"""),"1345281349")</f>
        <v>1345281349</v>
      </c>
      <c r="C193" s="6" t="str">
        <f>IFERROR(__xludf.DUMMYFUNCTION("""COMPUTED_VALUE"""),"sale temprano")</f>
        <v>sale temprano</v>
      </c>
      <c r="D193" s="6" t="str">
        <f>IFERROR(__xludf.DUMMYFUNCTION("""COMPUTED_VALUE"""),"Madre")</f>
        <v>Madre</v>
      </c>
      <c r="E193" s="6" t="str">
        <f>IFERROR(__xludf.DUMMYFUNCTION("""COMPUTED_VALUE"""),"Madre: Sonia Clarena Suárez Tabares")</f>
        <v>Madre: Sonia Clarena Suárez Tabares</v>
      </c>
      <c r="F193" s="6"/>
      <c r="G193" s="6" t="str">
        <f>IFERROR(__xludf.DUMMYFUNCTION("""COMPUTED_VALUE"""),"11")</f>
        <v>11</v>
      </c>
      <c r="H193" s="6" t="str">
        <f>IFERROR(__xludf.DUMMYFUNCTION("""COMPUTED_VALUE"""),"Sáchica Suárez Pablo")</f>
        <v>Sáchica Suárez Pablo</v>
      </c>
      <c r="I193" s="6" t="str">
        <f>IFERROR(__xludf.DUMMYFUNCTION("""COMPUTED_VALUE"""),"Demograficos_Images/1345281349.Foto_Estudiante.181752.jpg")</f>
        <v>Demograficos_Images/1345281349.Foto_Estudiante.181752.jpg</v>
      </c>
      <c r="J193" s="8">
        <f>IFERROR(__xludf.DUMMYFUNCTION("""COMPUTED_VALUE"""),46258.60763888889)</f>
        <v>46258.60764</v>
      </c>
      <c r="K193" s="6" t="str">
        <f>IFERROR(__xludf.DUMMYFUNCTION("""COMPUTED_VALUE"""),"secundaria@gi.edu.co")</f>
        <v>secundaria@gi.edu.co</v>
      </c>
      <c r="L193" s="6" t="str">
        <f>IFERROR(__xludf.DUMMYFUNCTION("""COMPUTED_VALUE"""),"1345281349")</f>
        <v>1345281349</v>
      </c>
      <c r="M193" s="9">
        <f>IFERROR(__xludf.DUMMYFUNCTION("""COMPUTED_VALUE"""),46258.393796296295)</f>
        <v>46258.3938</v>
      </c>
      <c r="N193" s="6" t="str">
        <f>IFERROR(__xludf.DUMMYFUNCTION("""COMPUTED_VALUE"""),"Pendiente")</f>
        <v>Pendiente</v>
      </c>
      <c r="O193" s="6"/>
      <c r="P193" s="17">
        <f>IFERROR(__xludf.DUMMYFUNCTION("""COMPUTED_VALUE"""),46258.393796296295)</f>
        <v>46258.3938</v>
      </c>
      <c r="Q193" s="6"/>
      <c r="R193" s="6" t="str">
        <f>IFERROR(__xludf.DUMMYFUNCTION("""COMPUTED_VALUE"""),"Cita médica")</f>
        <v>Cita médica</v>
      </c>
      <c r="S193" s="6" t="b">
        <f>IFERROR(__xludf.DUMMYFUNCTION("""COMPUTED_VALUE"""),FALSE)</f>
        <v>0</v>
      </c>
      <c r="T193" s="6"/>
      <c r="U193" s="6" t="str">
        <f>IFERROR(__xludf.DUMMYFUNCTION("""COMPUTED_VALUE"""),"Salida temprano")</f>
        <v>Salida temprano</v>
      </c>
      <c r="V193" s="6"/>
      <c r="W193" s="6"/>
      <c r="X193" s="6"/>
      <c r="Y193" s="6"/>
      <c r="Z193" s="6"/>
    </row>
    <row r="194">
      <c r="A194" s="6" t="str">
        <f>IFERROR(__xludf.DUMMYFUNCTION("""COMPUTED_VALUE"""),"61cf7c95")</f>
        <v>61cf7c95</v>
      </c>
      <c r="B194" s="7" t="str">
        <f>IFERROR(__xludf.DUMMYFUNCTION("""COMPUTED_VALUE"""),"1345281698")</f>
        <v>1345281698</v>
      </c>
      <c r="C194" s="6" t="str">
        <f>IFERROR(__xludf.DUMMYFUNCTION("""COMPUTED_VALUE"""),"sale temprano por cumpleaños de la mamá")</f>
        <v>sale temprano por cumpleaños de la mamá</v>
      </c>
      <c r="D194" s="6" t="str">
        <f>IFERROR(__xludf.DUMMYFUNCTION("""COMPUTED_VALUE"""),"Madre")</f>
        <v>Madre</v>
      </c>
      <c r="E194" s="6" t="str">
        <f>IFERROR(__xludf.DUMMYFUNCTION("""COMPUTED_VALUE"""),"Madre: Juanita María Jaramillo Pérez")</f>
        <v>Madre: Juanita María Jaramillo Pérez</v>
      </c>
      <c r="F194" s="6"/>
      <c r="G194" s="6" t="str">
        <f>IFERROR(__xludf.DUMMYFUNCTION("""COMPUTED_VALUE"""),"10")</f>
        <v>10</v>
      </c>
      <c r="H194" s="6" t="str">
        <f>IFERROR(__xludf.DUMMYFUNCTION("""COMPUTED_VALUE"""),"Falla Jaramillo Juan Andrés")</f>
        <v>Falla Jaramillo Juan Andrés</v>
      </c>
      <c r="I194" s="6" t="str">
        <f>IFERROR(__xludf.DUMMYFUNCTION("""COMPUTED_VALUE"""),"Demograficos_Images/1345281698.Foto_Estudiante.184308.jpg")</f>
        <v>Demograficos_Images/1345281698.Foto_Estudiante.184308.jpg</v>
      </c>
      <c r="J194" s="8">
        <f>IFERROR(__xludf.DUMMYFUNCTION("""COMPUTED_VALUE"""),46258.5)</f>
        <v>46258.5</v>
      </c>
      <c r="K194" s="6" t="str">
        <f>IFERROR(__xludf.DUMMYFUNCTION("""COMPUTED_VALUE"""),"secundaria@gi.edu.co")</f>
        <v>secundaria@gi.edu.co</v>
      </c>
      <c r="L194" s="6" t="str">
        <f>IFERROR(__xludf.DUMMYFUNCTION("""COMPUTED_VALUE"""),"1345281698")</f>
        <v>1345281698</v>
      </c>
      <c r="M194" s="9">
        <f>IFERROR(__xludf.DUMMYFUNCTION("""COMPUTED_VALUE"""),46258.40436342593)</f>
        <v>46258.40436</v>
      </c>
      <c r="N194" s="6" t="str">
        <f>IFERROR(__xludf.DUMMYFUNCTION("""COMPUTED_VALUE"""),"Pendiente")</f>
        <v>Pendiente</v>
      </c>
      <c r="O194" s="6"/>
      <c r="P194" s="17">
        <f>IFERROR(__xludf.DUMMYFUNCTION("""COMPUTED_VALUE"""),46258.40436342593)</f>
        <v>46258.40436</v>
      </c>
      <c r="Q194" s="6"/>
      <c r="R194" s="6" t="str">
        <f>IFERROR(__xludf.DUMMYFUNCTION("""COMPUTED_VALUE"""),"Celebración familiar")</f>
        <v>Celebración familiar</v>
      </c>
      <c r="S194" s="6" t="b">
        <f>IFERROR(__xludf.DUMMYFUNCTION("""COMPUTED_VALUE"""),FALSE)</f>
        <v>0</v>
      </c>
      <c r="T194" s="6"/>
      <c r="U194" s="6" t="str">
        <f>IFERROR(__xludf.DUMMYFUNCTION("""COMPUTED_VALUE"""),"Salida temprano")</f>
        <v>Salida temprano</v>
      </c>
      <c r="V194" s="6"/>
      <c r="W194" s="6"/>
      <c r="X194" s="6"/>
      <c r="Y194" s="6"/>
      <c r="Z194" s="6"/>
    </row>
    <row r="195">
      <c r="A195" s="6" t="str">
        <f>IFERROR(__xludf.DUMMYFUNCTION("""COMPUTED_VALUE"""),"c2bb2c9f")</f>
        <v>c2bb2c9f</v>
      </c>
      <c r="B195" s="7" t="str">
        <f>IFERROR(__xludf.DUMMYFUNCTION("""COMPUTED_VALUE"""),"1345281418")</f>
        <v>1345281418</v>
      </c>
      <c r="C195" s="6" t="str">
        <f>IFERROR(__xludf.DUMMYFUNCTION("""COMPUTED_VALUE"""),"sale caminando la mamá informa que ya diligencio formulario")</f>
        <v>sale caminando la mamá informa que ya diligencio formulario</v>
      </c>
      <c r="D195" s="6"/>
      <c r="E195" s="6"/>
      <c r="F195" s="6"/>
      <c r="G195" s="6" t="str">
        <f>IFERROR(__xludf.DUMMYFUNCTION("""COMPUTED_VALUE"""),"12")</f>
        <v>12</v>
      </c>
      <c r="H195" s="6" t="str">
        <f>IFERROR(__xludf.DUMMYFUNCTION("""COMPUTED_VALUE"""),"Díaz Orozco Juan Esteban")</f>
        <v>Díaz Orozco Juan Esteban</v>
      </c>
      <c r="I195" s="6" t="str">
        <f>IFERROR(__xludf.DUMMYFUNCTION("""COMPUTED_VALUE"""),"Demograficos_Images/1345281418.Foto_Estudiante.181136.jpg")</f>
        <v>Demograficos_Images/1345281418.Foto_Estudiante.181136.jpg</v>
      </c>
      <c r="J195" s="8">
        <f>IFERROR(__xludf.DUMMYFUNCTION("""COMPUTED_VALUE"""),46258.541666666664)</f>
        <v>46258.54167</v>
      </c>
      <c r="K195" s="6" t="str">
        <f>IFERROR(__xludf.DUMMYFUNCTION("""COMPUTED_VALUE"""),"secundaria@gi.edu.co")</f>
        <v>secundaria@gi.edu.co</v>
      </c>
      <c r="L195" s="6" t="str">
        <f>IFERROR(__xludf.DUMMYFUNCTION("""COMPUTED_VALUE"""),"1345281418")</f>
        <v>1345281418</v>
      </c>
      <c r="M195" s="9">
        <f>IFERROR(__xludf.DUMMYFUNCTION("""COMPUTED_VALUE"""),46258.405324074076)</f>
        <v>46258.40532</v>
      </c>
      <c r="N195" s="6" t="str">
        <f>IFERROR(__xludf.DUMMYFUNCTION("""COMPUTED_VALUE"""),"Pendiente")</f>
        <v>Pendiente</v>
      </c>
      <c r="O195" s="6"/>
      <c r="P195" s="17">
        <f>IFERROR(__xludf.DUMMYFUNCTION("""COMPUTED_VALUE"""),46258.405324074076)</f>
        <v>46258.40532</v>
      </c>
      <c r="Q195" s="6"/>
      <c r="R195" s="6" t="str">
        <f>IFERROR(__xludf.DUMMYFUNCTION("""COMPUTED_VALUE"""),"Cita médica")</f>
        <v>Cita médica</v>
      </c>
      <c r="S195" s="6" t="b">
        <f>IFERROR(__xludf.DUMMYFUNCTION("""COMPUTED_VALUE"""),FALSE)</f>
        <v>0</v>
      </c>
      <c r="T195" s="6"/>
      <c r="U195" s="6" t="str">
        <f>IFERROR(__xludf.DUMMYFUNCTION("""COMPUTED_VALUE"""),"Salida temprano")</f>
        <v>Salida temprano</v>
      </c>
      <c r="V195" s="6"/>
      <c r="W195" s="6"/>
      <c r="X195" s="6"/>
      <c r="Y195" s="6"/>
      <c r="Z195" s="6"/>
    </row>
    <row r="196">
      <c r="A196" s="6" t="str">
        <f>IFERROR(__xludf.DUMMYFUNCTION("""COMPUTED_VALUE"""),"db9e29da")</f>
        <v>db9e29da</v>
      </c>
      <c r="B196" s="7" t="str">
        <f>IFERROR(__xludf.DUMMYFUNCTION("""COMPUTED_VALUE"""),"1345282618")</f>
        <v>1345282618</v>
      </c>
      <c r="C196" s="6" t="str">
        <f>IFERROR(__xludf.DUMMYFUNCTION("""COMPUTED_VALUE"""),"No se quedará en extracurriculares ni hoy ni mañana ( SI SE VA EN RUTA )")</f>
        <v>No se quedará en extracurriculares ni hoy ni mañana ( SI SE VA EN RUTA )</v>
      </c>
      <c r="D196" s="6"/>
      <c r="E196" s="6"/>
      <c r="F196" s="6"/>
      <c r="G196" s="6" t="str">
        <f>IFERROR(__xludf.DUMMYFUNCTION("""COMPUTED_VALUE"""),"11")</f>
        <v>11</v>
      </c>
      <c r="H196" s="6" t="str">
        <f>IFERROR(__xludf.DUMMYFUNCTION("""COMPUTED_VALUE"""),"Salazar Cristancho Esteban")</f>
        <v>Salazar Cristancho Esteban</v>
      </c>
      <c r="I196" s="6"/>
      <c r="J196" s="8">
        <f>IFERROR(__xludf.DUMMYFUNCTION("""COMPUTED_VALUE"""),46258.625)</f>
        <v>46258.625</v>
      </c>
      <c r="K196" s="6" t="str">
        <f>IFERROR(__xludf.DUMMYFUNCTION("""COMPUTED_VALUE"""),"secundaria@gi.edu.co")</f>
        <v>secundaria@gi.edu.co</v>
      </c>
      <c r="L196" s="6" t="str">
        <f>IFERROR(__xludf.DUMMYFUNCTION("""COMPUTED_VALUE"""),"1345282618")</f>
        <v>1345282618</v>
      </c>
      <c r="M196" s="9">
        <f>IFERROR(__xludf.DUMMYFUNCTION("""COMPUTED_VALUE"""),46258.40752314815)</f>
        <v>46258.40752</v>
      </c>
      <c r="N196" s="6" t="str">
        <f>IFERROR(__xludf.DUMMYFUNCTION("""COMPUTED_VALUE"""),"Pendiente")</f>
        <v>Pendiente</v>
      </c>
      <c r="O196" s="6"/>
      <c r="P196" s="17">
        <f>IFERROR(__xludf.DUMMYFUNCTION("""COMPUTED_VALUE"""),46258.40752314815)</f>
        <v>46258.40752</v>
      </c>
      <c r="Q196" s="6"/>
      <c r="R196" s="6"/>
      <c r="S196" s="6"/>
      <c r="T196" s="6"/>
      <c r="U196" s="6" t="str">
        <f>IFERROR(__xludf.DUMMYFUNCTION("""COMPUTED_VALUE"""),"Otras Novedades")</f>
        <v>Otras Novedades</v>
      </c>
      <c r="V196" s="6"/>
      <c r="W196" s="6"/>
      <c r="X196" s="6"/>
      <c r="Y196" s="6"/>
      <c r="Z196" s="6"/>
    </row>
    <row r="197">
      <c r="A197" s="6" t="str">
        <f>IFERROR(__xludf.DUMMYFUNCTION("""COMPUTED_VALUE"""),"b5f1ceb7")</f>
        <v>b5f1ceb7</v>
      </c>
      <c r="B197" s="7" t="str">
        <f>IFERROR(__xludf.DUMMYFUNCTION("""COMPUTED_VALUE"""),"1345281681")</f>
        <v>1345281681</v>
      </c>
      <c r="C197" s="6" t="str">
        <f>IFERROR(__xludf.DUMMYFUNCTION("""COMPUTED_VALUE"""),"el papá informa que sale caminando para irse en su vehículo ya que esta en un entrenamiento")</f>
        <v>el papá informa que sale caminando para irse en su vehículo ya que esta en un entrenamiento</v>
      </c>
      <c r="D197" s="6"/>
      <c r="E197" s="6"/>
      <c r="F197" s="6"/>
      <c r="G197" s="6" t="str">
        <f>IFERROR(__xludf.DUMMYFUNCTION("""COMPUTED_VALUE"""),"12")</f>
        <v>12</v>
      </c>
      <c r="H197" s="6" t="str">
        <f>IFERROR(__xludf.DUMMYFUNCTION("""COMPUTED_VALUE"""),"Ospina Chica Juan Manuel")</f>
        <v>Ospina Chica Juan Manuel</v>
      </c>
      <c r="I197" s="6" t="str">
        <f>IFERROR(__xludf.DUMMYFUNCTION("""COMPUTED_VALUE"""),"Demograficos_Images/1345281681.Foto_Estudiante.133642.jpg")</f>
        <v>Demograficos_Images/1345281681.Foto_Estudiante.133642.jpg</v>
      </c>
      <c r="J197" s="8">
        <f>IFERROR(__xludf.DUMMYFUNCTION("""COMPUTED_VALUE"""),46258.53125)</f>
        <v>46258.53125</v>
      </c>
      <c r="K197" s="6" t="str">
        <f>IFERROR(__xludf.DUMMYFUNCTION("""COMPUTED_VALUE"""),"secundaria@gi.edu.co")</f>
        <v>secundaria@gi.edu.co</v>
      </c>
      <c r="L197" s="6" t="str">
        <f>IFERROR(__xludf.DUMMYFUNCTION("""COMPUTED_VALUE"""),"1345281681")</f>
        <v>1345281681</v>
      </c>
      <c r="M197" s="9">
        <f>IFERROR(__xludf.DUMMYFUNCTION("""COMPUTED_VALUE"""),46258.43630787037)</f>
        <v>46258.43631</v>
      </c>
      <c r="N197" s="6" t="str">
        <f>IFERROR(__xludf.DUMMYFUNCTION("""COMPUTED_VALUE"""),"Pendiente")</f>
        <v>Pendiente</v>
      </c>
      <c r="O197" s="6"/>
      <c r="P197" s="17">
        <f>IFERROR(__xludf.DUMMYFUNCTION("""COMPUTED_VALUE"""),46258.43630787037)</f>
        <v>46258.43631</v>
      </c>
      <c r="Q197" s="6"/>
      <c r="R197" s="6" t="str">
        <f>IFERROR(__xludf.DUMMYFUNCTION("""COMPUTED_VALUE"""),"Entrenamiento deportivo (futbol- tenis- golf- badminton, etc)")</f>
        <v>Entrenamiento deportivo (futbol- tenis- golf- badminton, etc)</v>
      </c>
      <c r="S197" s="6" t="b">
        <f>IFERROR(__xludf.DUMMYFUNCTION("""COMPUTED_VALUE"""),FALSE)</f>
        <v>0</v>
      </c>
      <c r="T197" s="6"/>
      <c r="U197" s="6" t="str">
        <f>IFERROR(__xludf.DUMMYFUNCTION("""COMPUTED_VALUE"""),"Salida temprano")</f>
        <v>Salida temprano</v>
      </c>
      <c r="V197" s="6"/>
      <c r="W197" s="6"/>
      <c r="X197" s="6"/>
      <c r="Y197" s="6"/>
      <c r="Z197" s="6"/>
    </row>
    <row r="198">
      <c r="A198" s="6" t="str">
        <f>IFERROR(__xludf.DUMMYFUNCTION("""COMPUTED_VALUE"""),"27f974f9")</f>
        <v>27f974f9</v>
      </c>
      <c r="B198" s="7" t="str">
        <f>IFERROR(__xludf.DUMMYFUNCTION("""COMPUTED_VALUE"""),"1345282557")</f>
        <v>1345282557</v>
      </c>
      <c r="C198" s="6" t="str">
        <f>IFERROR(__xludf.DUMMYFUNCTION("""COMPUTED_VALUE"""),"continua indispuesta prefieren que se quede en casa")</f>
        <v>continua indispuesta prefieren que se quede en casa</v>
      </c>
      <c r="D198" s="6"/>
      <c r="E198" s="6"/>
      <c r="F198" s="6"/>
      <c r="G198" s="6" t="str">
        <f>IFERROR(__xludf.DUMMYFUNCTION("""COMPUTED_VALUE"""),"9")</f>
        <v>9</v>
      </c>
      <c r="H198" s="6" t="str">
        <f>IFERROR(__xludf.DUMMYFUNCTION("""COMPUTED_VALUE"""),"Tort Zander Gina")</f>
        <v>Tort Zander Gina</v>
      </c>
      <c r="I198" s="6" t="str">
        <f>IFERROR(__xludf.DUMMYFUNCTION("""COMPUTED_VALUE"""),"Demograficos_Images/1345282557.Foto_Estudiante.134550.jpg")</f>
        <v>Demograficos_Images/1345282557.Foto_Estudiante.134550.jpg</v>
      </c>
      <c r="J198" s="6"/>
      <c r="K198" s="6" t="str">
        <f>IFERROR(__xludf.DUMMYFUNCTION("""COMPUTED_VALUE"""),"secundaria@gi.edu.co")</f>
        <v>secundaria@gi.edu.co</v>
      </c>
      <c r="L198" s="6" t="str">
        <f>IFERROR(__xludf.DUMMYFUNCTION("""COMPUTED_VALUE"""),"1345282557")</f>
        <v>1345282557</v>
      </c>
      <c r="M198" s="9">
        <f>IFERROR(__xludf.DUMMYFUNCTION("""COMPUTED_VALUE"""),46258.44775462963)</f>
        <v>46258.44775</v>
      </c>
      <c r="N198" s="6" t="str">
        <f>IFERROR(__xludf.DUMMYFUNCTION("""COMPUTED_VALUE"""),"Pendiente")</f>
        <v>Pendiente</v>
      </c>
      <c r="O198" s="6"/>
      <c r="P198" s="17">
        <f>IFERROR(__xludf.DUMMYFUNCTION("""COMPUTED_VALUE"""),46258.44775462963)</f>
        <v>46258.44775</v>
      </c>
      <c r="Q198" s="6"/>
      <c r="R198" s="6" t="str">
        <f>IFERROR(__xludf.DUMMYFUNCTION("""COMPUTED_VALUE"""),"Estudiante enfermo@ con cuidados en casa")</f>
        <v>Estudiante enfermo@ con cuidados en casa</v>
      </c>
      <c r="S198" s="6"/>
      <c r="T198" s="6"/>
      <c r="U198" s="6" t="str">
        <f>IFERROR(__xludf.DUMMYFUNCTION("""COMPUTED_VALUE"""),"Ausencia todo el dia")</f>
        <v>Ausencia todo el dia</v>
      </c>
      <c r="V198" s="18">
        <f>IFERROR(__xludf.DUMMYFUNCTION("""COMPUTED_VALUE"""),46258.0)</f>
        <v>46258</v>
      </c>
      <c r="W198" s="6"/>
      <c r="X198" s="6"/>
      <c r="Y198" s="6"/>
      <c r="Z198" s="6"/>
    </row>
    <row r="199">
      <c r="A199" s="6" t="str">
        <f>IFERROR(__xludf.DUMMYFUNCTION("""COMPUTED_VALUE"""),"b9fdedb0")</f>
        <v>b9fdedb0</v>
      </c>
      <c r="B199" s="7" t="str">
        <f>IFERROR(__xludf.DUMMYFUNCTION("""COMPUTED_VALUE"""),"1345281485")</f>
        <v>1345281485</v>
      </c>
      <c r="C199" s="6" t="str">
        <f>IFERROR(__xludf.DUMMYFUNCTION("""COMPUTED_VALUE"""),"En oficina con Dani y equipo de apoyo hasta 11:00")</f>
        <v>En oficina con Dani y equipo de apoyo hasta 11:00</v>
      </c>
      <c r="D199" s="6"/>
      <c r="E199" s="6"/>
      <c r="F199" s="6"/>
      <c r="G199" s="6" t="str">
        <f>IFERROR(__xludf.DUMMYFUNCTION("""COMPUTED_VALUE"""),"10")</f>
        <v>10</v>
      </c>
      <c r="H199" s="6" t="str">
        <f>IFERROR(__xludf.DUMMYFUNCTION("""COMPUTED_VALUE"""),"Fajardo Jaramillo Martina")</f>
        <v>Fajardo Jaramillo Martina</v>
      </c>
      <c r="I199" s="6" t="str">
        <f>IFERROR(__xludf.DUMMYFUNCTION("""COMPUTED_VALUE"""),"Demograficos_Images/1345281485.Foto_Estudiante.184321.jpg")</f>
        <v>Demograficos_Images/1345281485.Foto_Estudiante.184321.jpg</v>
      </c>
      <c r="J199" s="8">
        <f>IFERROR(__xludf.DUMMYFUNCTION("""COMPUTED_VALUE"""),46258.4375)</f>
        <v>46258.4375</v>
      </c>
      <c r="K199" s="6" t="str">
        <f>IFERROR(__xludf.DUMMYFUNCTION("""COMPUTED_VALUE"""),"secundaria@gi.edu.co")</f>
        <v>secundaria@gi.edu.co</v>
      </c>
      <c r="L199" s="6" t="str">
        <f>IFERROR(__xludf.DUMMYFUNCTION("""COMPUTED_VALUE"""),"1345281485")</f>
        <v>1345281485</v>
      </c>
      <c r="M199" s="9">
        <f>IFERROR(__xludf.DUMMYFUNCTION("""COMPUTED_VALUE"""),46258.455509259256)</f>
        <v>46258.45551</v>
      </c>
      <c r="N199" s="6" t="str">
        <f>IFERROR(__xludf.DUMMYFUNCTION("""COMPUTED_VALUE"""),"Pendiente")</f>
        <v>Pendiente</v>
      </c>
      <c r="O199" s="6"/>
      <c r="P199" s="17">
        <f>IFERROR(__xludf.DUMMYFUNCTION("""COMPUTED_VALUE"""),46258.455509259256)</f>
        <v>46258.45551</v>
      </c>
      <c r="Q199" s="6"/>
      <c r="R199" s="6" t="str">
        <f>IFERROR(__xludf.DUMMYFUNCTION("""COMPUTED_VALUE"""),"GI- Estudiante en la oficina")</f>
        <v>GI- Estudiante en la oficina</v>
      </c>
      <c r="S199" s="6"/>
      <c r="T199" s="6"/>
      <c r="U199" s="6" t="str">
        <f>IFERROR(__xludf.DUMMYFUNCTION("""COMPUTED_VALUE"""),"Apoyo Escolar")</f>
        <v>Apoyo Escolar</v>
      </c>
      <c r="V199" s="6"/>
      <c r="W199" s="6"/>
      <c r="X199" s="6"/>
      <c r="Y199" s="6"/>
      <c r="Z199" s="6"/>
    </row>
    <row r="200">
      <c r="A200" s="6" t="str">
        <f>IFERROR(__xludf.DUMMYFUNCTION("""COMPUTED_VALUE"""),"377c6888")</f>
        <v>377c6888</v>
      </c>
      <c r="B200" s="7" t="str">
        <f>IFERROR(__xludf.DUMMYFUNCTION("""COMPUTED_VALUE"""),"1345282592")</f>
        <v>1345282592</v>
      </c>
      <c r="C200" s="6" t="str">
        <f>IFERROR(__xludf.DUMMYFUNCTION("""COMPUTED_VALUE"""),"Ciata con el doctor")</f>
        <v>Ciata con el doctor</v>
      </c>
      <c r="D200" s="6" t="str">
        <f>IFERROR(__xludf.DUMMYFUNCTION("""COMPUTED_VALUE"""),"Padre")</f>
        <v>Padre</v>
      </c>
      <c r="E200" s="6" t="str">
        <f>IFERROR(__xludf.DUMMYFUNCTION("""COMPUTED_VALUE"""),"Padre: Juan Carlos Aguilar Aguilar")</f>
        <v>Padre: Juan Carlos Aguilar Aguilar</v>
      </c>
      <c r="F200" s="6"/>
      <c r="G200" s="6" t="str">
        <f>IFERROR(__xludf.DUMMYFUNCTION("""COMPUTED_VALUE"""),"PV")</f>
        <v>PV</v>
      </c>
      <c r="H200" s="6" t="str">
        <f>IFERROR(__xludf.DUMMYFUNCTION("""COMPUTED_VALUE"""),"Aguilar Sánchez Mariana")</f>
        <v>Aguilar Sánchez Mariana</v>
      </c>
      <c r="I200" s="6"/>
      <c r="J200" s="8">
        <f>IFERROR(__xludf.DUMMYFUNCTION("""COMPUTED_VALUE"""),46258.47361111111)</f>
        <v>46258.47361</v>
      </c>
      <c r="K200" s="6" t="str">
        <f>IFERROR(__xludf.DUMMYFUNCTION("""COMPUTED_VALUE"""),"designapps@gi.edu.co")</f>
        <v>designapps@gi.edu.co</v>
      </c>
      <c r="L200" s="6" t="str">
        <f>IFERROR(__xludf.DUMMYFUNCTION("""COMPUTED_VALUE"""),"1345282592")</f>
        <v>1345282592</v>
      </c>
      <c r="M200" s="9">
        <f>IFERROR(__xludf.DUMMYFUNCTION("""COMPUTED_VALUE"""),46258.460393518515)</f>
        <v>46258.46039</v>
      </c>
      <c r="N200" s="6" t="str">
        <f>IFERROR(__xludf.DUMMYFUNCTION("""COMPUTED_VALUE"""),"Pendiente")</f>
        <v>Pendiente</v>
      </c>
      <c r="O200" s="6"/>
      <c r="P200" s="17">
        <f>IFERROR(__xludf.DUMMYFUNCTION("""COMPUTED_VALUE"""),46258.460393518515)</f>
        <v>46258.46039</v>
      </c>
      <c r="Q200" s="6"/>
      <c r="R200" s="6" t="str">
        <f>IFERROR(__xludf.DUMMYFUNCTION("""COMPUTED_VALUE"""),"Cita médico especialista")</f>
        <v>Cita médico especialista</v>
      </c>
      <c r="S200" s="6" t="b">
        <f>IFERROR(__xludf.DUMMYFUNCTION("""COMPUTED_VALUE"""),TRUE)</f>
        <v>1</v>
      </c>
      <c r="T200" s="14">
        <f>IFERROR(__xludf.DUMMYFUNCTION("""COMPUTED_VALUE"""),0.5589120370370371)</f>
        <v>0.558912037</v>
      </c>
      <c r="U200" s="6" t="str">
        <f>IFERROR(__xludf.DUMMYFUNCTION("""COMPUTED_VALUE"""),"Salida temprano")</f>
        <v>Salida temprano</v>
      </c>
      <c r="V200" s="6"/>
      <c r="W200" s="6"/>
      <c r="X200" s="6"/>
      <c r="Y200" s="6"/>
      <c r="Z200" s="6"/>
    </row>
    <row r="201">
      <c r="A201" s="6" t="str">
        <f>IFERROR(__xludf.DUMMYFUNCTION("""COMPUTED_VALUE"""),"d49c61ef")</f>
        <v>d49c61ef</v>
      </c>
      <c r="B201" s="7" t="str">
        <f>IFERROR(__xludf.DUMMYFUNCTION("""COMPUTED_VALUE"""),"1345282592")</f>
        <v>1345282592</v>
      </c>
      <c r="C201" s="6" t="str">
        <f>IFERROR(__xludf.DUMMYFUNCTION("""COMPUTED_VALUE"""),"salida todo el dia")</f>
        <v>salida todo el dia</v>
      </c>
      <c r="D201" s="6"/>
      <c r="E201" s="6"/>
      <c r="F201" s="6"/>
      <c r="G201" s="6" t="str">
        <f>IFERROR(__xludf.DUMMYFUNCTION("""COMPUTED_VALUE"""),"PV")</f>
        <v>PV</v>
      </c>
      <c r="H201" s="6" t="str">
        <f>IFERROR(__xludf.DUMMYFUNCTION("""COMPUTED_VALUE"""),"Aguilar Sánchez Mariana")</f>
        <v>Aguilar Sánchez Mariana</v>
      </c>
      <c r="I201" s="6"/>
      <c r="J201" s="6"/>
      <c r="K201" s="6" t="str">
        <f>IFERROR(__xludf.DUMMYFUNCTION("""COMPUTED_VALUE"""),"designapps@gi.edu.co")</f>
        <v>designapps@gi.edu.co</v>
      </c>
      <c r="L201" s="6" t="str">
        <f>IFERROR(__xludf.DUMMYFUNCTION("""COMPUTED_VALUE"""),"1345282592")</f>
        <v>1345282592</v>
      </c>
      <c r="M201" s="9">
        <f>IFERROR(__xludf.DUMMYFUNCTION("""COMPUTED_VALUE"""),46258.47467592593)</f>
        <v>46258.47468</v>
      </c>
      <c r="N201" s="6" t="str">
        <f>IFERROR(__xludf.DUMMYFUNCTION("""COMPUTED_VALUE"""),"Pendiente")</f>
        <v>Pendiente</v>
      </c>
      <c r="O201" s="6"/>
      <c r="P201" s="17">
        <f>IFERROR(__xludf.DUMMYFUNCTION("""COMPUTED_VALUE"""),46258.47467592593)</f>
        <v>46258.47468</v>
      </c>
      <c r="Q201" s="6"/>
      <c r="R201" s="6" t="str">
        <f>IFERROR(__xludf.DUMMYFUNCTION("""COMPUTED_VALUE"""),"Crisis emocional")</f>
        <v>Crisis emocional</v>
      </c>
      <c r="S201" s="6"/>
      <c r="T201" s="6"/>
      <c r="U201" s="6" t="str">
        <f>IFERROR(__xludf.DUMMYFUNCTION("""COMPUTED_VALUE"""),"Ausencia todo el dia")</f>
        <v>Ausencia todo el dia</v>
      </c>
      <c r="V201" s="18">
        <f>IFERROR(__xludf.DUMMYFUNCTION("""COMPUTED_VALUE"""),46258.0)</f>
        <v>46258</v>
      </c>
      <c r="W201" s="6"/>
      <c r="X201" s="6"/>
      <c r="Y201" s="6"/>
      <c r="Z201" s="6"/>
    </row>
    <row r="202">
      <c r="A202" s="6" t="str">
        <f>IFERROR(__xludf.DUMMYFUNCTION("""COMPUTED_VALUE"""),"9ca8b9cf")</f>
        <v>9ca8b9cf</v>
      </c>
      <c r="B202" s="7" t="str">
        <f>IFERROR(__xludf.DUMMYFUNCTION("""COMPUTED_VALUE"""),"1345281834")</f>
        <v>1345281834</v>
      </c>
      <c r="C202" s="6" t="str">
        <f>IFERROR(__xludf.DUMMYFUNCTION("""COMPUTED_VALUE"""),"NO SE  IRA EN RUTA Sale con Martina Fajardo")</f>
        <v>NO SE  IRA EN RUTA Sale con Martina Fajardo</v>
      </c>
      <c r="D202" s="6"/>
      <c r="E202" s="6"/>
      <c r="F202" s="6"/>
      <c r="G202" s="6" t="str">
        <f>IFERROR(__xludf.DUMMYFUNCTION("""COMPUTED_VALUE"""),"11")</f>
        <v>11</v>
      </c>
      <c r="H202" s="6" t="str">
        <f>IFERROR(__xludf.DUMMYFUNCTION("""COMPUTED_VALUE"""),"López Mejía Valeria")</f>
        <v>López Mejía Valeria</v>
      </c>
      <c r="I202" s="6" t="str">
        <f>IFERROR(__xludf.DUMMYFUNCTION("""COMPUTED_VALUE"""),"Demograficos_Images/1345281834.Foto_Estudiante.182131.jpg")</f>
        <v>Demograficos_Images/1345281834.Foto_Estudiante.182131.jpg</v>
      </c>
      <c r="J202" s="8">
        <f>IFERROR(__xludf.DUMMYFUNCTION("""COMPUTED_VALUE"""),46258.631944444445)</f>
        <v>46258.63194</v>
      </c>
      <c r="K202" s="6" t="str">
        <f>IFERROR(__xludf.DUMMYFUNCTION("""COMPUTED_VALUE"""),"secundaria@gi.edu.co")</f>
        <v>secundaria@gi.edu.co</v>
      </c>
      <c r="L202" s="6" t="str">
        <f>IFERROR(__xludf.DUMMYFUNCTION("""COMPUTED_VALUE"""),"1345281834")</f>
        <v>1345281834</v>
      </c>
      <c r="M202" s="9">
        <f>IFERROR(__xludf.DUMMYFUNCTION("""COMPUTED_VALUE"""),46258.50680555555)</f>
        <v>46258.50681</v>
      </c>
      <c r="N202" s="6" t="str">
        <f>IFERROR(__xludf.DUMMYFUNCTION("""COMPUTED_VALUE"""),"Pendiente")</f>
        <v>Pendiente</v>
      </c>
      <c r="O202" s="6"/>
      <c r="P202" s="17">
        <f>IFERROR(__xludf.DUMMYFUNCTION("""COMPUTED_VALUE"""),46258.50680555555)</f>
        <v>46258.50681</v>
      </c>
      <c r="Q202" s="6"/>
      <c r="R202" s="6"/>
      <c r="S202" s="6"/>
      <c r="T202" s="6"/>
      <c r="U202" s="6" t="str">
        <f>IFERROR(__xludf.DUMMYFUNCTION("""COMPUTED_VALUE"""),"Otras Novedades")</f>
        <v>Otras Novedades</v>
      </c>
      <c r="V202" s="6"/>
      <c r="W202" s="6"/>
      <c r="X202" s="6"/>
      <c r="Y202" s="6"/>
      <c r="Z202" s="6"/>
    </row>
    <row r="203">
      <c r="A203" s="6" t="str">
        <f>IFERROR(__xludf.DUMMYFUNCTION("""COMPUTED_VALUE"""),"468cfdf3")</f>
        <v>468cfdf3</v>
      </c>
      <c r="B203" s="7" t="str">
        <f>IFERROR(__xludf.DUMMYFUNCTION("""COMPUTED_VALUE"""),"1345282244")</f>
        <v>1345282244</v>
      </c>
      <c r="C203" s="6" t="str">
        <f>IFERROR(__xludf.DUMMYFUNCTION("""COMPUTED_VALUE"""),"El estudiante presenta dolor de cabeza")</f>
        <v>El estudiante presenta dolor de cabeza</v>
      </c>
      <c r="D203" s="6" t="str">
        <f>IFERROR(__xludf.DUMMYFUNCTION("""COMPUTED_VALUE"""),"Madre")</f>
        <v>Madre</v>
      </c>
      <c r="E203" s="6" t="str">
        <f>IFERROR(__xludf.DUMMYFUNCTION("""COMPUTED_VALUE"""),"Madre: ")</f>
        <v>Madre: </v>
      </c>
      <c r="F203" s="6"/>
      <c r="G203" s="6" t="str">
        <f>IFERROR(__xludf.DUMMYFUNCTION("""COMPUTED_VALUE"""),"1")</f>
        <v>1</v>
      </c>
      <c r="H203" s="6" t="str">
        <f>IFERROR(__xludf.DUMMYFUNCTION("""COMPUTED_VALUE"""),"Lederer Emilio Gottlieb")</f>
        <v>Lederer Emilio Gottlieb</v>
      </c>
      <c r="I203" s="6" t="str">
        <f>IFERROR(__xludf.DUMMYFUNCTION("""COMPUTED_VALUE"""),"Demograficos_Images/1345282244.Foto_Estudiante.204141.jpg")</f>
        <v>Demograficos_Images/1345282244.Foto_Estudiante.204141.jpg</v>
      </c>
      <c r="J203" s="8">
        <f>IFERROR(__xludf.DUMMYFUNCTION("""COMPUTED_VALUE"""),46258.53402777778)</f>
        <v>46258.53403</v>
      </c>
      <c r="K203" s="6" t="str">
        <f>IFERROR(__xludf.DUMMYFUNCTION("""COMPUTED_VALUE"""),"asistadministracion@gi.edu.co")</f>
        <v>asistadministracion@gi.edu.co</v>
      </c>
      <c r="L203" s="6" t="str">
        <f>IFERROR(__xludf.DUMMYFUNCTION("""COMPUTED_VALUE"""),"1345282244")</f>
        <v>1345282244</v>
      </c>
      <c r="M203" s="9">
        <f>IFERROR(__xludf.DUMMYFUNCTION("""COMPUTED_VALUE"""),46258.53454861111)</f>
        <v>46258.53455</v>
      </c>
      <c r="N203" s="6" t="str">
        <f>IFERROR(__xludf.DUMMYFUNCTION("""COMPUTED_VALUE"""),"Pendiente")</f>
        <v>Pendiente</v>
      </c>
      <c r="O203" s="6"/>
      <c r="P203" s="17">
        <f>IFERROR(__xludf.DUMMYFUNCTION("""COMPUTED_VALUE"""),46258.53454861111)</f>
        <v>46258.53455</v>
      </c>
      <c r="Q203" s="6"/>
      <c r="R203" s="6" t="str">
        <f>IFERROR(__xludf.DUMMYFUNCTION("""COMPUTED_VALUE"""),"GI- Salida temprano con autorización de enfermería")</f>
        <v>GI- Salida temprano con autorización de enfermería</v>
      </c>
      <c r="S203" s="6" t="b">
        <f>IFERROR(__xludf.DUMMYFUNCTION("""COMPUTED_VALUE"""),FALSE)</f>
        <v>0</v>
      </c>
      <c r="T203" s="6"/>
      <c r="U203" s="6" t="str">
        <f>IFERROR(__xludf.DUMMYFUNCTION("""COMPUTED_VALUE"""),"Salida temprano")</f>
        <v>Salida temprano</v>
      </c>
      <c r="V203" s="6"/>
      <c r="W203" s="6"/>
      <c r="X203" s="6"/>
      <c r="Y203" s="6"/>
      <c r="Z203" s="6"/>
    </row>
    <row r="204">
      <c r="A204" s="6" t="str">
        <f>IFERROR(__xludf.DUMMYFUNCTION("""COMPUTED_VALUE"""),"02ad54cc")</f>
        <v>02ad54cc</v>
      </c>
      <c r="B204" s="7" t="str">
        <f>IFERROR(__xludf.DUMMYFUNCTION("""COMPUTED_VALUE"""),"1345282122")</f>
        <v>1345282122</v>
      </c>
      <c r="C204" s="6" t="str">
        <f>IFERROR(__xludf.DUMMYFUNCTION("""COMPUTED_VALUE"""),"ENFERTM4DASD")</f>
        <v>ENFERTM4DASD</v>
      </c>
      <c r="D204" s="6" t="str">
        <f>IFERROR(__xludf.DUMMYFUNCTION("""COMPUTED_VALUE"""),"Madre")</f>
        <v>Madre</v>
      </c>
      <c r="E204" s="6" t="str">
        <f>IFERROR(__xludf.DUMMYFUNCTION("""COMPUTED_VALUE"""),"Madre: Criss Alejandra Reyes Ruiz")</f>
        <v>Madre: Criss Alejandra Reyes Ruiz</v>
      </c>
      <c r="F204" s="6"/>
      <c r="G204" s="6" t="str">
        <f>IFERROR(__xludf.DUMMYFUNCTION("""COMPUTED_VALUE"""),"3")</f>
        <v>3</v>
      </c>
      <c r="H204" s="6" t="str">
        <f>IFERROR(__xludf.DUMMYFUNCTION("""COMPUTED_VALUE"""),"Agredo Reyes Jerónimo")</f>
        <v>Agredo Reyes Jerónimo</v>
      </c>
      <c r="I204" s="6" t="str">
        <f>IFERROR(__xludf.DUMMYFUNCTION("""COMPUTED_VALUE"""),"Demograficos_Images/1345282122.Foto_Estudiante.132318.jpg")</f>
        <v>Demograficos_Images/1345282122.Foto_Estudiante.132318.jpg</v>
      </c>
      <c r="J204" s="8">
        <f>IFERROR(__xludf.DUMMYFUNCTION("""COMPUTED_VALUE"""),46258.555555555555)</f>
        <v>46258.55556</v>
      </c>
      <c r="K204" s="6" t="str">
        <f>IFERROR(__xludf.DUMMYFUNCTION("""COMPUTED_VALUE"""),"enfermeria@gi.edu.co")</f>
        <v>enfermeria@gi.edu.co</v>
      </c>
      <c r="L204" s="6" t="str">
        <f>IFERROR(__xludf.DUMMYFUNCTION("""COMPUTED_VALUE"""),"1345282122")</f>
        <v>1345282122</v>
      </c>
      <c r="M204" s="9">
        <f>IFERROR(__xludf.DUMMYFUNCTION("""COMPUTED_VALUE"""),46258.55556712963)</f>
        <v>46258.55557</v>
      </c>
      <c r="N204" s="6" t="str">
        <f>IFERROR(__xludf.DUMMYFUNCTION("""COMPUTED_VALUE"""),"Pendiente")</f>
        <v>Pendiente</v>
      </c>
      <c r="O204" s="6"/>
      <c r="P204" s="17">
        <f>IFERROR(__xludf.DUMMYFUNCTION("""COMPUTED_VALUE"""),46258.55556712963)</f>
        <v>46258.55557</v>
      </c>
      <c r="Q204" s="6"/>
      <c r="R204" s="6" t="str">
        <f>IFERROR(__xludf.DUMMYFUNCTION("""COMPUTED_VALUE"""),"En la enfermería")</f>
        <v>En la enfermería</v>
      </c>
      <c r="S204" s="6"/>
      <c r="T204" s="6"/>
      <c r="U204" s="6" t="str">
        <f>IFERROR(__xludf.DUMMYFUNCTION("""COMPUTED_VALUE"""),"Salida temprano")</f>
        <v>Salida temprano</v>
      </c>
      <c r="V204" s="6"/>
      <c r="W204" s="6"/>
      <c r="X204" s="6"/>
      <c r="Y204" s="6"/>
      <c r="Z204" s="6"/>
    </row>
    <row r="205">
      <c r="A205" s="6" t="str">
        <f>IFERROR(__xludf.DUMMYFUNCTION("""COMPUTED_VALUE"""),"fa1acdb1")</f>
        <v>fa1acdb1</v>
      </c>
      <c r="B205" s="7" t="str">
        <f>IFERROR(__xludf.DUMMYFUNCTION("""COMPUTED_VALUE"""),"1345282540")</f>
        <v>1345282540</v>
      </c>
      <c r="C205" s="6" t="str">
        <f>IFERROR(__xludf.DUMMYFUNCTION("""COMPUTED_VALUE"""),"ENFERMEDAD")</f>
        <v>ENFERMEDAD</v>
      </c>
      <c r="D205" s="6" t="str">
        <f>IFERROR(__xludf.DUMMYFUNCTION("""COMPUTED_VALUE"""),"Padre")</f>
        <v>Padre</v>
      </c>
      <c r="E205" s="6" t="str">
        <f>IFERROR(__xludf.DUMMYFUNCTION("""COMPUTED_VALUE"""),"Padre: Jonathan  Suárez Medina")</f>
        <v>Padre: Jonathan  Suárez Medina</v>
      </c>
      <c r="F205" s="6"/>
      <c r="G205" s="6" t="str">
        <f>IFERROR(__xludf.DUMMYFUNCTION("""COMPUTED_VALUE"""),"1")</f>
        <v>1</v>
      </c>
      <c r="H205" s="6" t="str">
        <f>IFERROR(__xludf.DUMMYFUNCTION("""COMPUTED_VALUE"""),"Suárez Díaz Helena")</f>
        <v>Suárez Díaz Helena</v>
      </c>
      <c r="I205" s="6" t="str">
        <f>IFERROR(__xludf.DUMMYFUNCTION("""COMPUTED_VALUE"""),"Demograficos_Images/1345282540.Foto_Estudiante.184915.jpg")</f>
        <v>Demograficos_Images/1345282540.Foto_Estudiante.184915.jpg</v>
      </c>
      <c r="J205" s="8">
        <f>IFERROR(__xludf.DUMMYFUNCTION("""COMPUTED_VALUE"""),46258.56597222222)</f>
        <v>46258.56597</v>
      </c>
      <c r="K205" s="6" t="str">
        <f>IFERROR(__xludf.DUMMYFUNCTION("""COMPUTED_VALUE"""),"enfermeria@gi.edu.co")</f>
        <v>enfermeria@gi.edu.co</v>
      </c>
      <c r="L205" s="6" t="str">
        <f>IFERROR(__xludf.DUMMYFUNCTION("""COMPUTED_VALUE"""),"1345282540")</f>
        <v>1345282540</v>
      </c>
      <c r="M205" s="9">
        <f>IFERROR(__xludf.DUMMYFUNCTION("""COMPUTED_VALUE"""),46258.56618055556)</f>
        <v>46258.56618</v>
      </c>
      <c r="N205" s="6" t="str">
        <f>IFERROR(__xludf.DUMMYFUNCTION("""COMPUTED_VALUE"""),"Pendiente")</f>
        <v>Pendiente</v>
      </c>
      <c r="O205" s="6"/>
      <c r="P205" s="17">
        <f>IFERROR(__xludf.DUMMYFUNCTION("""COMPUTED_VALUE"""),46258.56618055556)</f>
        <v>46258.56618</v>
      </c>
      <c r="Q205" s="6"/>
      <c r="R205" s="6" t="str">
        <f>IFERROR(__xludf.DUMMYFUNCTION("""COMPUTED_VALUE"""),"En la enfermería")</f>
        <v>En la enfermería</v>
      </c>
      <c r="S205" s="6"/>
      <c r="T205" s="6"/>
      <c r="U205" s="6" t="str">
        <f>IFERROR(__xludf.DUMMYFUNCTION("""COMPUTED_VALUE"""),"Salida temprano")</f>
        <v>Salida temprano</v>
      </c>
      <c r="V205" s="6"/>
      <c r="W205" s="6"/>
      <c r="X205" s="6"/>
      <c r="Y205" s="6"/>
      <c r="Z205" s="6"/>
    </row>
    <row r="206">
      <c r="A206" s="6" t="str">
        <f>IFERROR(__xludf.DUMMYFUNCTION("""COMPUTED_VALUE"""),"d711f4fb")</f>
        <v>d711f4fb</v>
      </c>
      <c r="B206" s="7" t="str">
        <f>IFERROR(__xludf.DUMMYFUNCTION("""COMPUTED_VALUE"""),"1345282149")</f>
        <v>1345282149</v>
      </c>
      <c r="C206" s="6" t="str">
        <f>IFERROR(__xludf.DUMMYFUNCTION("""COMPUTED_VALUE"""),"Natalia velez mamá de  Sofia Diaz Velez")</f>
        <v>Natalia velez mamá de  Sofia Diaz Velez</v>
      </c>
      <c r="D206" s="6"/>
      <c r="E206" s="6"/>
      <c r="F206" s="6"/>
      <c r="G206" s="6" t="str">
        <f>IFERROR(__xludf.DUMMYFUNCTION("""COMPUTED_VALUE"""),"7")</f>
        <v>7</v>
      </c>
      <c r="H206" s="6" t="str">
        <f>IFERROR(__xludf.DUMMYFUNCTION("""COMPUTED_VALUE"""),"López Heredia Nickole")</f>
        <v>López Heredia Nickole</v>
      </c>
      <c r="I206" s="6" t="str">
        <f>IFERROR(__xludf.DUMMYFUNCTION("""COMPUTED_VALUE"""),"Demograficos_Images/1345282149.Foto_Estudiante.193826.jpg")</f>
        <v>Demograficos_Images/1345282149.Foto_Estudiante.193826.jpg</v>
      </c>
      <c r="J206" s="8">
        <f>IFERROR(__xludf.DUMMYFUNCTION("""COMPUTED_VALUE"""),46258.631944444445)</f>
        <v>46258.63194</v>
      </c>
      <c r="K206" s="6" t="str">
        <f>IFERROR(__xludf.DUMMYFUNCTION("""COMPUTED_VALUE"""),"secundaria@gi.edu.co")</f>
        <v>secundaria@gi.edu.co</v>
      </c>
      <c r="L206" s="6" t="str">
        <f>IFERROR(__xludf.DUMMYFUNCTION("""COMPUTED_VALUE"""),"1345282149")</f>
        <v>1345282149</v>
      </c>
      <c r="M206" s="9">
        <f>IFERROR(__xludf.DUMMYFUNCTION("""COMPUTED_VALUE"""),46258.567928240744)</f>
        <v>46258.56793</v>
      </c>
      <c r="N206" s="6" t="str">
        <f>IFERROR(__xludf.DUMMYFUNCTION("""COMPUTED_VALUE"""),"Pendiente")</f>
        <v>Pendiente</v>
      </c>
      <c r="O206" s="6"/>
      <c r="P206" s="17">
        <f>IFERROR(__xludf.DUMMYFUNCTION("""COMPUTED_VALUE"""),46258.567928240744)</f>
        <v>46258.56793</v>
      </c>
      <c r="Q206" s="6"/>
      <c r="R206" s="6"/>
      <c r="S206" s="6"/>
      <c r="T206" s="6"/>
      <c r="U206" s="6" t="str">
        <f>IFERROR(__xludf.DUMMYFUNCTION("""COMPUTED_VALUE"""),"Otras Novedades")</f>
        <v>Otras Novedades</v>
      </c>
      <c r="V206" s="6"/>
      <c r="W206" s="6"/>
      <c r="X206" s="6"/>
      <c r="Y206" s="6"/>
      <c r="Z206" s="6"/>
    </row>
    <row r="207">
      <c r="A207" s="6" t="str">
        <f>IFERROR(__xludf.DUMMYFUNCTION("""COMPUTED_VALUE"""),"d94c8daf")</f>
        <v>d94c8daf</v>
      </c>
      <c r="B207" s="7" t="str">
        <f>IFERROR(__xludf.DUMMYFUNCTION("""COMPUTED_VALUE"""),"1345281511")</f>
        <v>1345281511</v>
      </c>
      <c r="C207" s="6" t="str">
        <f>IFERROR(__xludf.DUMMYFUNCTION("""COMPUTED_VALUE"""),"Sale después de extras con la mamá de Valentina Palacio")</f>
        <v>Sale después de extras con la mamá de Valentina Palacio</v>
      </c>
      <c r="D207" s="6"/>
      <c r="E207" s="6"/>
      <c r="F207" s="6"/>
      <c r="G207" s="6" t="str">
        <f>IFERROR(__xludf.DUMMYFUNCTION("""COMPUTED_VALUE"""),"9")</f>
        <v>9</v>
      </c>
      <c r="H207" s="6" t="str">
        <f>IFERROR(__xludf.DUMMYFUNCTION("""COMPUTED_VALUE"""),"López Giraldo Paloma")</f>
        <v>López Giraldo Paloma</v>
      </c>
      <c r="I207" s="6" t="str">
        <f>IFERROR(__xludf.DUMMYFUNCTION("""COMPUTED_VALUE"""),"Demograficos_Images/1345281511.Foto_Estudiante.185558.jpg")</f>
        <v>Demograficos_Images/1345281511.Foto_Estudiante.185558.jpg</v>
      </c>
      <c r="J207" s="8">
        <f>IFERROR(__xludf.DUMMYFUNCTION("""COMPUTED_VALUE"""),46258.71875)</f>
        <v>46258.71875</v>
      </c>
      <c r="K207" s="6" t="str">
        <f>IFERROR(__xludf.DUMMYFUNCTION("""COMPUTED_VALUE"""),"secundaria@gi.edu.co")</f>
        <v>secundaria@gi.edu.co</v>
      </c>
      <c r="L207" s="6" t="str">
        <f>IFERROR(__xludf.DUMMYFUNCTION("""COMPUTED_VALUE"""),"1345281511")</f>
        <v>1345281511</v>
      </c>
      <c r="M207" s="9">
        <f>IFERROR(__xludf.DUMMYFUNCTION("""COMPUTED_VALUE"""),46258.59328703704)</f>
        <v>46258.59329</v>
      </c>
      <c r="N207" s="6" t="str">
        <f>IFERROR(__xludf.DUMMYFUNCTION("""COMPUTED_VALUE"""),"Pendiente")</f>
        <v>Pendiente</v>
      </c>
      <c r="O207" s="6"/>
      <c r="P207" s="17">
        <f>IFERROR(__xludf.DUMMYFUNCTION("""COMPUTED_VALUE"""),46258.59328703704)</f>
        <v>46258.59329</v>
      </c>
      <c r="Q207" s="6"/>
      <c r="R207" s="6"/>
      <c r="S207" s="6"/>
      <c r="T207" s="6"/>
      <c r="U207" s="6" t="str">
        <f>IFERROR(__xludf.DUMMYFUNCTION("""COMPUTED_VALUE"""),"Otras Novedades")</f>
        <v>Otras Novedades</v>
      </c>
      <c r="V207" s="6"/>
      <c r="W207" s="6"/>
      <c r="X207" s="6"/>
      <c r="Y207" s="6"/>
      <c r="Z207" s="6"/>
    </row>
    <row r="208">
      <c r="A208" s="6" t="str">
        <f>IFERROR(__xludf.DUMMYFUNCTION("""COMPUTED_VALUE"""),"6eade70d")</f>
        <v>6eade70d</v>
      </c>
      <c r="B208" s="7" t="str">
        <f>IFERROR(__xludf.DUMMYFUNCTION("""COMPUTED_VALUE"""),"1345281558")</f>
        <v>1345281558</v>
      </c>
      <c r="C208" s="6" t="str">
        <f>IFERROR(__xludf.DUMMYFUNCTION("""COMPUTED_VALUE"""),"sale caminando con el hermano Santiago Rodriguez")</f>
        <v>sale caminando con el hermano Santiago Rodriguez</v>
      </c>
      <c r="D208" s="6"/>
      <c r="E208" s="6"/>
      <c r="F208" s="6"/>
      <c r="G208" s="6" t="str">
        <f>IFERROR(__xludf.DUMMYFUNCTION("""COMPUTED_VALUE"""),"8")</f>
        <v>8</v>
      </c>
      <c r="H208" s="6" t="str">
        <f>IFERROR(__xludf.DUMMYFUNCTION("""COMPUTED_VALUE"""),"Rodríguez Restrepo Simón")</f>
        <v>Rodríguez Restrepo Simón</v>
      </c>
      <c r="I208" s="6" t="str">
        <f>IFERROR(__xludf.DUMMYFUNCTION("""COMPUTED_VALUE"""),"Demograficos_Images/1345281558.Foto_Estudiante.190950.jpg")</f>
        <v>Demograficos_Images/1345281558.Foto_Estudiante.190950.jpg</v>
      </c>
      <c r="J208" s="8">
        <f>IFERROR(__xludf.DUMMYFUNCTION("""COMPUTED_VALUE"""),46258.631944444445)</f>
        <v>46258.63194</v>
      </c>
      <c r="K208" s="6" t="str">
        <f>IFERROR(__xludf.DUMMYFUNCTION("""COMPUTED_VALUE"""),"secundaria@gi.edu.co")</f>
        <v>secundaria@gi.edu.co</v>
      </c>
      <c r="L208" s="6" t="str">
        <f>IFERROR(__xludf.DUMMYFUNCTION("""COMPUTED_VALUE"""),"1345281558")</f>
        <v>1345281558</v>
      </c>
      <c r="M208" s="9">
        <f>IFERROR(__xludf.DUMMYFUNCTION("""COMPUTED_VALUE"""),46258.62940972222)</f>
        <v>46258.62941</v>
      </c>
      <c r="N208" s="6" t="str">
        <f>IFERROR(__xludf.DUMMYFUNCTION("""COMPUTED_VALUE"""),"Pendiente")</f>
        <v>Pendiente</v>
      </c>
      <c r="O208" s="6"/>
      <c r="P208" s="17">
        <f>IFERROR(__xludf.DUMMYFUNCTION("""COMPUTED_VALUE"""),46258.62940972222)</f>
        <v>46258.62941</v>
      </c>
      <c r="Q208" s="6"/>
      <c r="R208" s="6"/>
      <c r="S208" s="6"/>
      <c r="T208" s="6"/>
      <c r="U208" s="6" t="str">
        <f>IFERROR(__xludf.DUMMYFUNCTION("""COMPUTED_VALUE"""),"Otras Novedades")</f>
        <v>Otras Novedades</v>
      </c>
      <c r="V208" s="6"/>
      <c r="W208" s="6"/>
      <c r="X208" s="6"/>
      <c r="Y208" s="6"/>
      <c r="Z208" s="6"/>
    </row>
    <row r="209">
      <c r="A209" s="6" t="str">
        <f>IFERROR(__xludf.DUMMYFUNCTION("""COMPUTED_VALUE"""),"3c043b9f")</f>
        <v>3c043b9f</v>
      </c>
      <c r="B209" s="7" t="str">
        <f>IFERROR(__xludf.DUMMYFUNCTION("""COMPUTED_VALUE"""),"1345282529")</f>
        <v>1345282529</v>
      </c>
      <c r="C209" s="6" t="str">
        <f>IFERROR(__xludf.DUMMYFUNCTION("""COMPUTED_VALUE"""),"Todos los martes saldrán con Viviana Camacho y Adriano Fajardo papás de Matías Fajardo")</f>
        <v>Todos los martes saldrán con Viviana Camacho y Adriano Fajardo papás de Matías Fajardo</v>
      </c>
      <c r="D209" s="6"/>
      <c r="E209" s="6"/>
      <c r="F209" s="6"/>
      <c r="G209" s="6" t="str">
        <f>IFERROR(__xludf.DUMMYFUNCTION("""COMPUTED_VALUE"""),"7")</f>
        <v>7</v>
      </c>
      <c r="H209" s="6" t="str">
        <f>IFERROR(__xludf.DUMMYFUNCTION("""COMPUTED_VALUE"""),"Milan Santiago")</f>
        <v>Milan Santiago</v>
      </c>
      <c r="I209" s="6" t="str">
        <f>IFERROR(__xludf.DUMMYFUNCTION("""COMPUTED_VALUE"""),"Demograficos_Images/1345282529.Foto_Estudiante.145134.jpg")</f>
        <v>Demograficos_Images/1345282529.Foto_Estudiante.145134.jpg</v>
      </c>
      <c r="J209" s="8">
        <f>IFERROR(__xludf.DUMMYFUNCTION("""COMPUTED_VALUE"""),46259.631944444445)</f>
        <v>46259.63194</v>
      </c>
      <c r="K209" s="6" t="str">
        <f>IFERROR(__xludf.DUMMYFUNCTION("""COMPUTED_VALUE"""),"secundaria@gi.edu.co")</f>
        <v>secundaria@gi.edu.co</v>
      </c>
      <c r="L209" s="6" t="str">
        <f>IFERROR(__xludf.DUMMYFUNCTION("""COMPUTED_VALUE"""),"1345282529")</f>
        <v>1345282529</v>
      </c>
      <c r="M209" s="9">
        <f>IFERROR(__xludf.DUMMYFUNCTION("""COMPUTED_VALUE"""),46258.63648148148)</f>
        <v>46258.63648</v>
      </c>
      <c r="N209" s="6" t="str">
        <f>IFERROR(__xludf.DUMMYFUNCTION("""COMPUTED_VALUE"""),"Pendiente")</f>
        <v>Pendiente</v>
      </c>
      <c r="O209" s="6"/>
      <c r="P209" s="17">
        <f>IFERROR(__xludf.DUMMYFUNCTION("""COMPUTED_VALUE"""),46258.63648148148)</f>
        <v>46258.63648</v>
      </c>
      <c r="Q209" s="6"/>
      <c r="R209" s="6"/>
      <c r="S209" s="6"/>
      <c r="T209" s="6"/>
      <c r="U209" s="6" t="str">
        <f>IFERROR(__xludf.DUMMYFUNCTION("""COMPUTED_VALUE"""),"Otras Novedades")</f>
        <v>Otras Novedades</v>
      </c>
      <c r="V209" s="6"/>
      <c r="W209" s="6"/>
      <c r="X209" s="6"/>
      <c r="Y209" s="6"/>
      <c r="Z209" s="6"/>
    </row>
    <row r="210">
      <c r="A210" s="6" t="str">
        <f>IFERROR(__xludf.DUMMYFUNCTION("""COMPUTED_VALUE"""),"fd1fdb4e")</f>
        <v>fd1fdb4e</v>
      </c>
      <c r="B210" s="7" t="str">
        <f>IFERROR(__xludf.DUMMYFUNCTION("""COMPUTED_VALUE"""),"1345282530")</f>
        <v>1345282530</v>
      </c>
      <c r="C210" s="6" t="str">
        <f>IFERROR(__xludf.DUMMYFUNCTION("""COMPUTED_VALUE"""),"Todos los martes saldrán con Viviana Camacho y Adriano Fajardo papás de Matías Fajardo")</f>
        <v>Todos los martes saldrán con Viviana Camacho y Adriano Fajardo papás de Matías Fajardo</v>
      </c>
      <c r="D210" s="6"/>
      <c r="E210" s="6"/>
      <c r="F210" s="6"/>
      <c r="G210" s="6" t="str">
        <f>IFERROR(__xludf.DUMMYFUNCTION("""COMPUTED_VALUE"""),"12")</f>
        <v>12</v>
      </c>
      <c r="H210" s="6" t="str">
        <f>IFERROR(__xludf.DUMMYFUNCTION("""COMPUTED_VALUE"""),"Milan Esteban Andrés")</f>
        <v>Milan Esteban Andrés</v>
      </c>
      <c r="I210" s="6" t="str">
        <f>IFERROR(__xludf.DUMMYFUNCTION("""COMPUTED_VALUE"""),"Demograficos_Images/1345282530.Foto_Estudiante.145311.jpg")</f>
        <v>Demograficos_Images/1345282530.Foto_Estudiante.145311.jpg</v>
      </c>
      <c r="J210" s="8">
        <f>IFERROR(__xludf.DUMMYFUNCTION("""COMPUTED_VALUE"""),46259.631944444445)</f>
        <v>46259.63194</v>
      </c>
      <c r="K210" s="6" t="str">
        <f>IFERROR(__xludf.DUMMYFUNCTION("""COMPUTED_VALUE"""),"secundaria@gi.edu.co")</f>
        <v>secundaria@gi.edu.co</v>
      </c>
      <c r="L210" s="6" t="str">
        <f>IFERROR(__xludf.DUMMYFUNCTION("""COMPUTED_VALUE"""),"1345282530")</f>
        <v>1345282530</v>
      </c>
      <c r="M210" s="9">
        <f>IFERROR(__xludf.DUMMYFUNCTION("""COMPUTED_VALUE"""),46258.65515046296)</f>
        <v>46258.65515</v>
      </c>
      <c r="N210" s="6" t="str">
        <f>IFERROR(__xludf.DUMMYFUNCTION("""COMPUTED_VALUE"""),"Pendiente")</f>
        <v>Pendiente</v>
      </c>
      <c r="O210" s="6"/>
      <c r="P210" s="17">
        <f>IFERROR(__xludf.DUMMYFUNCTION("""COMPUTED_VALUE"""),46258.65515046296)</f>
        <v>46258.65515</v>
      </c>
      <c r="Q210" s="6"/>
      <c r="R210" s="6"/>
      <c r="S210" s="6"/>
      <c r="T210" s="6"/>
      <c r="U210" s="6" t="str">
        <f>IFERROR(__xludf.DUMMYFUNCTION("""COMPUTED_VALUE"""),"Otras Novedades")</f>
        <v>Otras Novedades</v>
      </c>
      <c r="V210" s="6"/>
      <c r="W210" s="6"/>
      <c r="X210" s="6"/>
      <c r="Y210" s="6"/>
      <c r="Z210" s="6"/>
    </row>
    <row r="211">
      <c r="A211" s="6" t="str">
        <f>IFERROR(__xludf.DUMMYFUNCTION("""COMPUTED_VALUE"""),"7ef4dbca")</f>
        <v>7ef4dbca</v>
      </c>
      <c r="B211" s="7" t="str">
        <f>IFERROR(__xludf.DUMMYFUNCTION("""COMPUTED_VALUE"""),"1345281815")</f>
        <v>1345281815</v>
      </c>
      <c r="C211" s="6" t="str">
        <f>IFERROR(__xludf.DUMMYFUNCTION("""COMPUTED_VALUE"""),"dolor de cabeza garganta")</f>
        <v>dolor de cabeza garganta</v>
      </c>
      <c r="D211" s="6" t="str">
        <f>IFERROR(__xludf.DUMMYFUNCTION("""COMPUTED_VALUE"""),"Madre")</f>
        <v>Madre</v>
      </c>
      <c r="E211" s="6" t="str">
        <f>IFERROR(__xludf.DUMMYFUNCTION("""COMPUTED_VALUE"""),"Madre: Lina Clemencia Restrepo Betancur")</f>
        <v>Madre: Lina Clemencia Restrepo Betancur</v>
      </c>
      <c r="F211" s="6"/>
      <c r="G211" s="6" t="str">
        <f>IFERROR(__xludf.DUMMYFUNCTION("""COMPUTED_VALUE"""),"9")</f>
        <v>9</v>
      </c>
      <c r="H211" s="6" t="str">
        <f>IFERROR(__xludf.DUMMYFUNCTION("""COMPUTED_VALUE"""),"Elizalde Restrepo Martina")</f>
        <v>Elizalde Restrepo Martina</v>
      </c>
      <c r="I211" s="6" t="str">
        <f>IFERROR(__xludf.DUMMYFUNCTION("""COMPUTED_VALUE"""),"Demograficos_Images/1345281815.Foto_Estudiante.185952.jpg")</f>
        <v>Demograficos_Images/1345281815.Foto_Estudiante.185952.jpg</v>
      </c>
      <c r="J211" s="8">
        <f>IFERROR(__xludf.DUMMYFUNCTION("""COMPUTED_VALUE"""),46258.694444444445)</f>
        <v>46258.69444</v>
      </c>
      <c r="K211" s="6" t="str">
        <f>IFERROR(__xludf.DUMMYFUNCTION("""COMPUTED_VALUE"""),"enfermeria@gi.edu.co")</f>
        <v>enfermeria@gi.edu.co</v>
      </c>
      <c r="L211" s="6" t="str">
        <f>IFERROR(__xludf.DUMMYFUNCTION("""COMPUTED_VALUE"""),"1345281815")</f>
        <v>1345281815</v>
      </c>
      <c r="M211" s="9">
        <f>IFERROR(__xludf.DUMMYFUNCTION("""COMPUTED_VALUE"""),46258.69443287037)</f>
        <v>46258.69443</v>
      </c>
      <c r="N211" s="6" t="str">
        <f>IFERROR(__xludf.DUMMYFUNCTION("""COMPUTED_VALUE"""),"Pendiente")</f>
        <v>Pendiente</v>
      </c>
      <c r="O211" s="6"/>
      <c r="P211" s="17">
        <f>IFERROR(__xludf.DUMMYFUNCTION("""COMPUTED_VALUE"""),46258.69443287037)</f>
        <v>46258.69443</v>
      </c>
      <c r="Q211" s="6"/>
      <c r="R211" s="6" t="str">
        <f>IFERROR(__xludf.DUMMYFUNCTION("""COMPUTED_VALUE"""),"Enfermo por cuadro respiratorio")</f>
        <v>Enfermo por cuadro respiratorio</v>
      </c>
      <c r="S211" s="6"/>
      <c r="T211" s="6"/>
      <c r="U211" s="6" t="str">
        <f>IFERROR(__xludf.DUMMYFUNCTION("""COMPUTED_VALUE"""),"Otras Novedades")</f>
        <v>Otras Novedades</v>
      </c>
      <c r="V211" s="6"/>
      <c r="W211" s="6"/>
      <c r="X211" s="6"/>
      <c r="Y211" s="6"/>
      <c r="Z211" s="6"/>
    </row>
    <row r="212">
      <c r="A212" s="6" t="str">
        <f>IFERROR(__xludf.DUMMYFUNCTION("""COMPUTED_VALUE"""),"4e301fe0")</f>
        <v>4e301fe0</v>
      </c>
      <c r="B212" s="7" t="str">
        <f>IFERROR(__xludf.DUMMYFUNCTION("""COMPUTED_VALUE"""),"1345282385")</f>
        <v>1345282385</v>
      </c>
      <c r="C212" s="6" t="str">
        <f>IFERROR(__xludf.DUMMYFUNCTION("""COMPUTED_VALUE"""),"Sale temprano por motivo de cita medica- NO SE QUEDA EN EXTRAS")</f>
        <v>Sale temprano por motivo de cita medica- NO SE QUEDA EN EXTRAS</v>
      </c>
      <c r="D212" s="6" t="str">
        <f>IFERROR(__xludf.DUMMYFUNCTION("""COMPUTED_VALUE"""),"Madre")</f>
        <v>Madre</v>
      </c>
      <c r="E212" s="6" t="str">
        <f>IFERROR(__xludf.DUMMYFUNCTION("""COMPUTED_VALUE"""),"Madre: Luisa Maria Londoño Valencia")</f>
        <v>Madre: Luisa Maria Londoño Valencia</v>
      </c>
      <c r="F212" s="6"/>
      <c r="G212" s="6" t="str">
        <f>IFERROR(__xludf.DUMMYFUNCTION("""COMPUTED_VALUE"""),"7")</f>
        <v>7</v>
      </c>
      <c r="H212" s="6" t="str">
        <f>IFERROR(__xludf.DUMMYFUNCTION("""COMPUTED_VALUE"""),"Rivera Londoño Gerónimo")</f>
        <v>Rivera Londoño Gerónimo</v>
      </c>
      <c r="I212" s="6" t="str">
        <f>IFERROR(__xludf.DUMMYFUNCTION("""COMPUTED_VALUE"""),"Demograficos_Images/1345282385.Foto_Estudiante.193313.jpg")</f>
        <v>Demograficos_Images/1345282385.Foto_Estudiante.193313.jpg</v>
      </c>
      <c r="J212" s="8">
        <f>IFERROR(__xludf.DUMMYFUNCTION("""COMPUTED_VALUE"""),46259.625)</f>
        <v>46259.625</v>
      </c>
      <c r="K212" s="6" t="str">
        <f>IFERROR(__xludf.DUMMYFUNCTION("""COMPUTED_VALUE"""),"secundaria@gi.edu.co")</f>
        <v>secundaria@gi.edu.co</v>
      </c>
      <c r="L212" s="6" t="str">
        <f>IFERROR(__xludf.DUMMYFUNCTION("""COMPUTED_VALUE"""),"1345282385")</f>
        <v>1345282385</v>
      </c>
      <c r="M212" s="9">
        <f>IFERROR(__xludf.DUMMYFUNCTION("""COMPUTED_VALUE"""),46259.294444444444)</f>
        <v>46259.29444</v>
      </c>
      <c r="N212" s="6" t="str">
        <f>IFERROR(__xludf.DUMMYFUNCTION("""COMPUTED_VALUE"""),"Pendiente")</f>
        <v>Pendiente</v>
      </c>
      <c r="O212" s="6"/>
      <c r="P212" s="17">
        <f>IFERROR(__xludf.DUMMYFUNCTION("""COMPUTED_VALUE"""),46259.294444444444)</f>
        <v>46259.29444</v>
      </c>
      <c r="Q212" s="6"/>
      <c r="R212" s="6" t="str">
        <f>IFERROR(__xludf.DUMMYFUNCTION("""COMPUTED_VALUE"""),"Cita médica")</f>
        <v>Cita médica</v>
      </c>
      <c r="S212" s="6" t="b">
        <f>IFERROR(__xludf.DUMMYFUNCTION("""COMPUTED_VALUE"""),FALSE)</f>
        <v>0</v>
      </c>
      <c r="T212" s="6"/>
      <c r="U212" s="6" t="str">
        <f>IFERROR(__xludf.DUMMYFUNCTION("""COMPUTED_VALUE"""),"Salida temprano")</f>
        <v>Salida temprano</v>
      </c>
      <c r="V212" s="6"/>
      <c r="W212" s="6"/>
      <c r="X212" s="6"/>
      <c r="Y212" s="6"/>
      <c r="Z212" s="6"/>
    </row>
    <row r="213">
      <c r="A213" s="6" t="str">
        <f>IFERROR(__xludf.DUMMYFUNCTION("""COMPUTED_VALUE"""),"380aceb3")</f>
        <v>380aceb3</v>
      </c>
      <c r="B213" s="7" t="str">
        <f>IFERROR(__xludf.DUMMYFUNCTION("""COMPUTED_VALUE"""),"1345281507")</f>
        <v>1345281507</v>
      </c>
      <c r="C213" s="6" t="str">
        <f>IFERROR(__xludf.DUMMYFUNCTION("""COMPUTED_VALUE"""),"la mamá informó que llega tarde pero no dió hora aproximada, solo dijo que por diliogencia personal")</f>
        <v>la mamá informó que llega tarde pero no dió hora aproximada, solo dijo que por diliogencia personal</v>
      </c>
      <c r="D213" s="6"/>
      <c r="E213" s="6"/>
      <c r="F213" s="6"/>
      <c r="G213" s="6" t="str">
        <f>IFERROR(__xludf.DUMMYFUNCTION("""COMPUTED_VALUE"""),"11")</f>
        <v>11</v>
      </c>
      <c r="H213" s="6" t="str">
        <f>IFERROR(__xludf.DUMMYFUNCTION("""COMPUTED_VALUE"""),"Rodríguez Santoyo Ana Sofía")</f>
        <v>Rodríguez Santoyo Ana Sofía</v>
      </c>
      <c r="I213" s="6" t="str">
        <f>IFERROR(__xludf.DUMMYFUNCTION("""COMPUTED_VALUE"""),"Demograficos_Images/1345281507.Foto_Estudiante.181842.jpg")</f>
        <v>Demograficos_Images/1345281507.Foto_Estudiante.181842.jpg</v>
      </c>
      <c r="J213" s="8">
        <f>IFERROR(__xludf.DUMMYFUNCTION("""COMPUTED_VALUE"""),46259.354166666664)</f>
        <v>46259.35417</v>
      </c>
      <c r="K213" s="6" t="str">
        <f>IFERROR(__xludf.DUMMYFUNCTION("""COMPUTED_VALUE"""),"secundaria@gi.edu.co")</f>
        <v>secundaria@gi.edu.co</v>
      </c>
      <c r="L213" s="6" t="str">
        <f>IFERROR(__xludf.DUMMYFUNCTION("""COMPUTED_VALUE"""),"1345281507")</f>
        <v>1345281507</v>
      </c>
      <c r="M213" s="9">
        <f>IFERROR(__xludf.DUMMYFUNCTION("""COMPUTED_VALUE"""),46259.29777777778)</f>
        <v>46259.29778</v>
      </c>
      <c r="N213" s="6" t="str">
        <f>IFERROR(__xludf.DUMMYFUNCTION("""COMPUTED_VALUE"""),"Pendiente")</f>
        <v>Pendiente</v>
      </c>
      <c r="O213" s="6"/>
      <c r="P213" s="17">
        <f>IFERROR(__xludf.DUMMYFUNCTION("""COMPUTED_VALUE"""),46259.29777777778)</f>
        <v>46259.29778</v>
      </c>
      <c r="Q213" s="6"/>
      <c r="R213" s="6" t="str">
        <f>IFERROR(__xludf.DUMMYFUNCTION("""COMPUTED_VALUE"""),"Llega tarde al colegio")</f>
        <v>Llega tarde al colegio</v>
      </c>
      <c r="S213" s="6"/>
      <c r="T213" s="6"/>
      <c r="U213" s="6" t="str">
        <f>IFERROR(__xludf.DUMMYFUNCTION("""COMPUTED_VALUE"""),"Llegada tarde")</f>
        <v>Llegada tarde</v>
      </c>
      <c r="V213" s="6"/>
      <c r="W213" s="6"/>
      <c r="X213" s="6"/>
      <c r="Y213" s="6"/>
      <c r="Z213" s="6"/>
    </row>
    <row r="214">
      <c r="A214" s="6" t="str">
        <f>IFERROR(__xludf.DUMMYFUNCTION("""COMPUTED_VALUE"""),"b8421ad0")</f>
        <v>b8421ad0</v>
      </c>
      <c r="B214" s="7" t="str">
        <f>IFERROR(__xludf.DUMMYFUNCTION("""COMPUTED_VALUE"""),"1345282074")</f>
        <v>1345282074</v>
      </c>
      <c r="C214" s="6" t="str">
        <f>IFERROR(__xludf.DUMMYFUNCTION("""COMPUTED_VALUE"""),"esta con virus de escalofríos, fiebre, y dolor de garganta informó la mamá")</f>
        <v>esta con virus de escalofríos, fiebre, y dolor de garganta informó la mamá</v>
      </c>
      <c r="D214" s="6"/>
      <c r="E214" s="6"/>
      <c r="F214" s="6"/>
      <c r="G214" s="6" t="str">
        <f>IFERROR(__xludf.DUMMYFUNCTION("""COMPUTED_VALUE"""),"12")</f>
        <v>12</v>
      </c>
      <c r="H214" s="6" t="str">
        <f>IFERROR(__xludf.DUMMYFUNCTION("""COMPUTED_VALUE"""),"Ruíz Ortíz Andrés Felipe")</f>
        <v>Ruíz Ortíz Andrés Felipe</v>
      </c>
      <c r="I214" s="6" t="str">
        <f>IFERROR(__xludf.DUMMYFUNCTION("""COMPUTED_VALUE"""),"Demograficos_Images/1345282074.Foto_Estudiante.164342.jpg")</f>
        <v>Demograficos_Images/1345282074.Foto_Estudiante.164342.jpg</v>
      </c>
      <c r="J214" s="6"/>
      <c r="K214" s="6" t="str">
        <f>IFERROR(__xludf.DUMMYFUNCTION("""COMPUTED_VALUE"""),"secundaria@gi.edu.co")</f>
        <v>secundaria@gi.edu.co</v>
      </c>
      <c r="L214" s="6" t="str">
        <f>IFERROR(__xludf.DUMMYFUNCTION("""COMPUTED_VALUE"""),"1345282074")</f>
        <v>1345282074</v>
      </c>
      <c r="M214" s="9">
        <f>IFERROR(__xludf.DUMMYFUNCTION("""COMPUTED_VALUE"""),46259.3031712963)</f>
        <v>46259.30317</v>
      </c>
      <c r="N214" s="6" t="str">
        <f>IFERROR(__xludf.DUMMYFUNCTION("""COMPUTED_VALUE"""),"Pendiente")</f>
        <v>Pendiente</v>
      </c>
      <c r="O214" s="6"/>
      <c r="P214" s="17">
        <f>IFERROR(__xludf.DUMMYFUNCTION("""COMPUTED_VALUE"""),46259.3031712963)</f>
        <v>46259.30317</v>
      </c>
      <c r="Q214" s="6"/>
      <c r="R214" s="6" t="str">
        <f>IFERROR(__xludf.DUMMYFUNCTION("""COMPUTED_VALUE"""),"Estudiante enfermo@ con cuidados en casa")</f>
        <v>Estudiante enfermo@ con cuidados en casa</v>
      </c>
      <c r="S214" s="6"/>
      <c r="T214" s="6"/>
      <c r="U214" s="6" t="str">
        <f>IFERROR(__xludf.DUMMYFUNCTION("""COMPUTED_VALUE"""),"Ausencia todo el dia")</f>
        <v>Ausencia todo el dia</v>
      </c>
      <c r="V214" s="18">
        <f>IFERROR(__xludf.DUMMYFUNCTION("""COMPUTED_VALUE"""),46259.0)</f>
        <v>46259</v>
      </c>
      <c r="W214" s="6"/>
      <c r="X214" s="6"/>
      <c r="Y214" s="6"/>
      <c r="Z214" s="6"/>
    </row>
    <row r="215">
      <c r="A215" s="6" t="str">
        <f>IFERROR(__xludf.DUMMYFUNCTION("""COMPUTED_VALUE"""),"50665954")</f>
        <v>50665954</v>
      </c>
      <c r="B215" s="7" t="str">
        <f>IFERROR(__xludf.DUMMYFUNCTION("""COMPUTED_VALUE"""),"1345281249")</f>
        <v>1345281249</v>
      </c>
      <c r="C215" s="6" t="str">
        <f>IFERROR(__xludf.DUMMYFUNCTION("""COMPUTED_VALUE"""),"la mamá informó que esta enferma")</f>
        <v>la mamá informó que esta enferma</v>
      </c>
      <c r="D215" s="6"/>
      <c r="E215" s="6"/>
      <c r="F215" s="6"/>
      <c r="G215" s="6" t="str">
        <f>IFERROR(__xludf.DUMMYFUNCTION("""COMPUTED_VALUE"""),"11")</f>
        <v>11</v>
      </c>
      <c r="H215" s="6" t="str">
        <f>IFERROR(__xludf.DUMMYFUNCTION("""COMPUTED_VALUE"""),"González Mejía Antonia")</f>
        <v>González Mejía Antonia</v>
      </c>
      <c r="I215" s="6" t="str">
        <f>IFERROR(__xludf.DUMMYFUNCTION("""COMPUTED_VALUE"""),"Demograficos_Images/1345281249.Foto_Estudiante.180834.jpg")</f>
        <v>Demograficos_Images/1345281249.Foto_Estudiante.180834.jpg</v>
      </c>
      <c r="J215" s="6"/>
      <c r="K215" s="6" t="str">
        <f>IFERROR(__xludf.DUMMYFUNCTION("""COMPUTED_VALUE"""),"secundaria@gi.edu.co")</f>
        <v>secundaria@gi.edu.co</v>
      </c>
      <c r="L215" s="6" t="str">
        <f>IFERROR(__xludf.DUMMYFUNCTION("""COMPUTED_VALUE"""),"1345281249")</f>
        <v>1345281249</v>
      </c>
      <c r="M215" s="9">
        <f>IFERROR(__xludf.DUMMYFUNCTION("""COMPUTED_VALUE"""),46259.30614583333)</f>
        <v>46259.30615</v>
      </c>
      <c r="N215" s="6" t="str">
        <f>IFERROR(__xludf.DUMMYFUNCTION("""COMPUTED_VALUE"""),"Pendiente")</f>
        <v>Pendiente</v>
      </c>
      <c r="O215" s="6"/>
      <c r="P215" s="17">
        <f>IFERROR(__xludf.DUMMYFUNCTION("""COMPUTED_VALUE"""),46259.30614583333)</f>
        <v>46259.30615</v>
      </c>
      <c r="Q215" s="6"/>
      <c r="R215" s="6" t="str">
        <f>IFERROR(__xludf.DUMMYFUNCTION("""COMPUTED_VALUE"""),"Estudiante enfermo@ con cuidados en casa")</f>
        <v>Estudiante enfermo@ con cuidados en casa</v>
      </c>
      <c r="S215" s="6"/>
      <c r="T215" s="6"/>
      <c r="U215" s="6" t="str">
        <f>IFERROR(__xludf.DUMMYFUNCTION("""COMPUTED_VALUE"""),"Ausencia todo el dia")</f>
        <v>Ausencia todo el dia</v>
      </c>
      <c r="V215" s="18">
        <f>IFERROR(__xludf.DUMMYFUNCTION("""COMPUTED_VALUE"""),46259.0)</f>
        <v>46259</v>
      </c>
      <c r="W215" s="6"/>
      <c r="X215" s="6"/>
      <c r="Y215" s="6"/>
      <c r="Z215" s="6"/>
    </row>
    <row r="216">
      <c r="A216" s="6" t="str">
        <f>IFERROR(__xludf.DUMMYFUNCTION("""COMPUTED_VALUE"""),"81e8aaac")</f>
        <v>81e8aaac</v>
      </c>
      <c r="B216" s="7" t="str">
        <f>IFERROR(__xludf.DUMMYFUNCTION("""COMPUTED_VALUE"""),"1345282546")</f>
        <v>1345282546</v>
      </c>
      <c r="C216" s="6" t="str">
        <f>IFERROR(__xludf.DUMMYFUNCTION("""COMPUTED_VALUE"""),"esta en oficina con la mamá")</f>
        <v>esta en oficina con la mamá</v>
      </c>
      <c r="D216" s="6"/>
      <c r="E216" s="6"/>
      <c r="F216" s="6"/>
      <c r="G216" s="6" t="str">
        <f>IFERROR(__xludf.DUMMYFUNCTION("""COMPUTED_VALUE"""),"8")</f>
        <v>8</v>
      </c>
      <c r="H216" s="6" t="str">
        <f>IFERROR(__xludf.DUMMYFUNCTION("""COMPUTED_VALUE"""),"Martínez Cifuentes Ana Sofía")</f>
        <v>Martínez Cifuentes Ana Sofía</v>
      </c>
      <c r="I216" s="6" t="str">
        <f>IFERROR(__xludf.DUMMYFUNCTION("""COMPUTED_VALUE"""),"Demograficos_Images/1345282546.Foto_Estudiante.144039.png")</f>
        <v>Demograficos_Images/1345282546.Foto_Estudiante.144039.png</v>
      </c>
      <c r="J216" s="8">
        <f>IFERROR(__xludf.DUMMYFUNCTION("""COMPUTED_VALUE"""),46259.305555555555)</f>
        <v>46259.30556</v>
      </c>
      <c r="K216" s="6" t="str">
        <f>IFERROR(__xludf.DUMMYFUNCTION("""COMPUTED_VALUE"""),"secundaria@gi.edu.co")</f>
        <v>secundaria@gi.edu.co</v>
      </c>
      <c r="L216" s="6" t="str">
        <f>IFERROR(__xludf.DUMMYFUNCTION("""COMPUTED_VALUE"""),"1345282546")</f>
        <v>1345282546</v>
      </c>
      <c r="M216" s="9">
        <f>IFERROR(__xludf.DUMMYFUNCTION("""COMPUTED_VALUE"""),46259.31133101852)</f>
        <v>46259.31133</v>
      </c>
      <c r="N216" s="6" t="str">
        <f>IFERROR(__xludf.DUMMYFUNCTION("""COMPUTED_VALUE"""),"Pendiente")</f>
        <v>Pendiente</v>
      </c>
      <c r="O216" s="6"/>
      <c r="P216" s="17">
        <f>IFERROR(__xludf.DUMMYFUNCTION("""COMPUTED_VALUE"""),46259.31133101852)</f>
        <v>46259.31133</v>
      </c>
      <c r="Q216" s="6"/>
      <c r="R216" s="6" t="str">
        <f>IFERROR(__xludf.DUMMYFUNCTION("""COMPUTED_VALUE"""),"GI- Estudiante en la oficina")</f>
        <v>GI- Estudiante en la oficina</v>
      </c>
      <c r="S216" s="6"/>
      <c r="T216" s="6"/>
      <c r="U216" s="6" t="str">
        <f>IFERROR(__xludf.DUMMYFUNCTION("""COMPUTED_VALUE"""),"Apoyo Escolar")</f>
        <v>Apoyo Escolar</v>
      </c>
      <c r="V216" s="6"/>
      <c r="W216" s="6"/>
      <c r="X216" s="6"/>
      <c r="Y216" s="6"/>
      <c r="Z216" s="6"/>
    </row>
    <row r="217">
      <c r="A217" s="6" t="str">
        <f>IFERROR(__xludf.DUMMYFUNCTION("""COMPUTED_VALUE"""),"a6a86b63")</f>
        <v>a6a86b63</v>
      </c>
      <c r="B217" s="7" t="str">
        <f>IFERROR(__xludf.DUMMYFUNCTION("""COMPUTED_VALUE"""),"1345282616")</f>
        <v>1345282616</v>
      </c>
      <c r="C217" s="6" t="str">
        <f>IFERROR(__xludf.DUMMYFUNCTION("""COMPUTED_VALUE"""),"Amaneció con mucho dolor de cabeza y no durmió bien.")</f>
        <v>Amaneció con mucho dolor de cabeza y no durmió bien.</v>
      </c>
      <c r="D217" s="6"/>
      <c r="E217" s="6"/>
      <c r="F217" s="6"/>
      <c r="G217" s="6" t="str">
        <f>IFERROR(__xludf.DUMMYFUNCTION("""COMPUTED_VALUE"""),"8")</f>
        <v>8</v>
      </c>
      <c r="H217" s="6" t="str">
        <f>IFERROR(__xludf.DUMMYFUNCTION("""COMPUTED_VALUE"""),"Cortés Jaramillo Luciana")</f>
        <v>Cortés Jaramillo Luciana</v>
      </c>
      <c r="I217" s="6"/>
      <c r="J217" s="6"/>
      <c r="K217" s="6" t="str">
        <f>IFERROR(__xludf.DUMMYFUNCTION("""COMPUTED_VALUE"""),"secundaria@gi.edu.co")</f>
        <v>secundaria@gi.edu.co</v>
      </c>
      <c r="L217" s="6" t="str">
        <f>IFERROR(__xludf.DUMMYFUNCTION("""COMPUTED_VALUE"""),"1345282616")</f>
        <v>1345282616</v>
      </c>
      <c r="M217" s="9">
        <f>IFERROR(__xludf.DUMMYFUNCTION("""COMPUTED_VALUE"""),46259.31612268519)</f>
        <v>46259.31612</v>
      </c>
      <c r="N217" s="6" t="str">
        <f>IFERROR(__xludf.DUMMYFUNCTION("""COMPUTED_VALUE"""),"Pendiente")</f>
        <v>Pendiente</v>
      </c>
      <c r="O217" s="6"/>
      <c r="P217" s="17">
        <f>IFERROR(__xludf.DUMMYFUNCTION("""COMPUTED_VALUE"""),46259.31612268519)</f>
        <v>46259.31612</v>
      </c>
      <c r="Q217" s="6"/>
      <c r="R217" s="6" t="str">
        <f>IFERROR(__xludf.DUMMYFUNCTION("""COMPUTED_VALUE"""),"Estudiante enfermo@ con cuidados en casa")</f>
        <v>Estudiante enfermo@ con cuidados en casa</v>
      </c>
      <c r="S217" s="6"/>
      <c r="T217" s="6"/>
      <c r="U217" s="6" t="str">
        <f>IFERROR(__xludf.DUMMYFUNCTION("""COMPUTED_VALUE"""),"Ausencia todo el dia")</f>
        <v>Ausencia todo el dia</v>
      </c>
      <c r="V217" s="18">
        <f>IFERROR(__xludf.DUMMYFUNCTION("""COMPUTED_VALUE"""),46259.0)</f>
        <v>46259</v>
      </c>
      <c r="W217" s="6"/>
      <c r="X217" s="6"/>
      <c r="Y217" s="6"/>
      <c r="Z217" s="6"/>
    </row>
    <row r="218">
      <c r="A218" s="6" t="str">
        <f>IFERROR(__xludf.DUMMYFUNCTION("""COMPUTED_VALUE"""),"676b5f8a")</f>
        <v>676b5f8a</v>
      </c>
      <c r="B218" s="7" t="str">
        <f>IFERROR(__xludf.DUMMYFUNCTION("""COMPUTED_VALUE"""),"1345281698")</f>
        <v>1345281698</v>
      </c>
      <c r="C218" s="6" t="str">
        <f>IFERROR(__xludf.DUMMYFUNCTION("""COMPUTED_VALUE"""),"cita con Doctor cuenca")</f>
        <v>cita con Doctor cuenca</v>
      </c>
      <c r="D218" s="6"/>
      <c r="E218" s="6"/>
      <c r="F218" s="6"/>
      <c r="G218" s="6" t="str">
        <f>IFERROR(__xludf.DUMMYFUNCTION("""COMPUTED_VALUE"""),"10")</f>
        <v>10</v>
      </c>
      <c r="H218" s="6" t="str">
        <f>IFERROR(__xludf.DUMMYFUNCTION("""COMPUTED_VALUE"""),"Falla Jaramillo Juan Andrés")</f>
        <v>Falla Jaramillo Juan Andrés</v>
      </c>
      <c r="I218" s="6" t="str">
        <f>IFERROR(__xludf.DUMMYFUNCTION("""COMPUTED_VALUE"""),"Demograficos_Images/1345281698.Foto_Estudiante.184308.jpg")</f>
        <v>Demograficos_Images/1345281698.Foto_Estudiante.184308.jpg</v>
      </c>
      <c r="J218" s="8">
        <f>IFERROR(__xludf.DUMMYFUNCTION("""COMPUTED_VALUE"""),46259.347916666666)</f>
        <v>46259.34792</v>
      </c>
      <c r="K218" s="6" t="str">
        <f>IFERROR(__xludf.DUMMYFUNCTION("""COMPUTED_VALUE"""),"secundaria@gi.edu.co")</f>
        <v>secundaria@gi.edu.co</v>
      </c>
      <c r="L218" s="6" t="str">
        <f>IFERROR(__xludf.DUMMYFUNCTION("""COMPUTED_VALUE"""),"1345281698")</f>
        <v>1345281698</v>
      </c>
      <c r="M218" s="9">
        <f>IFERROR(__xludf.DUMMYFUNCTION("""COMPUTED_VALUE"""),46259.3484837963)</f>
        <v>46259.34848</v>
      </c>
      <c r="N218" s="6" t="str">
        <f>IFERROR(__xludf.DUMMYFUNCTION("""COMPUTED_VALUE"""),"Pendiente")</f>
        <v>Pendiente</v>
      </c>
      <c r="O218" s="6"/>
      <c r="P218" s="17">
        <f>IFERROR(__xludf.DUMMYFUNCTION("""COMPUTED_VALUE"""),46259.3484837963)</f>
        <v>46259.34848</v>
      </c>
      <c r="Q218" s="6"/>
      <c r="R218" s="6" t="str">
        <f>IFERROR(__xludf.DUMMYFUNCTION("""COMPUTED_VALUE"""),"Cita médica")</f>
        <v>Cita médica</v>
      </c>
      <c r="S218" s="6"/>
      <c r="T218" s="6"/>
      <c r="U218" s="6" t="str">
        <f>IFERROR(__xludf.DUMMYFUNCTION("""COMPUTED_VALUE"""),"Llegada tarde")</f>
        <v>Llegada tarde</v>
      </c>
      <c r="V218" s="6"/>
      <c r="W218" s="6"/>
      <c r="X218" s="6"/>
      <c r="Y218" s="6"/>
      <c r="Z218" s="6"/>
    </row>
    <row r="219">
      <c r="A219" s="6" t="str">
        <f>IFERROR(__xludf.DUMMYFUNCTION("""COMPUTED_VALUE"""),"5b5b5ae5")</f>
        <v>5b5b5ae5</v>
      </c>
      <c r="B219" s="7" t="str">
        <f>IFERROR(__xludf.DUMMYFUNCTION("""COMPUTED_VALUE"""),"1345281766")</f>
        <v>1345281766</v>
      </c>
      <c r="C219" s="6" t="str">
        <f>IFERROR(__xludf.DUMMYFUNCTION("""COMPUTED_VALUE"""),"sale con la Lina Sanchez la mamá de Juan Pablo Jiménez 7A placa LES131")</f>
        <v>sale con la Lina Sanchez la mamá de Juan Pablo Jiménez 7A placa LES131</v>
      </c>
      <c r="D219" s="6" t="str">
        <f>IFERROR(__xludf.DUMMYFUNCTION("""COMPUTED_VALUE"""),"Otro")</f>
        <v>Otro</v>
      </c>
      <c r="E219" s="6"/>
      <c r="F219" s="6" t="str">
        <f>IFERROR(__xludf.DUMMYFUNCTION("""COMPUTED_VALUE"""),"Lina Sanchez la mamá de Juan Pablo Jiménez 7A placa LES131")</f>
        <v>Lina Sanchez la mamá de Juan Pablo Jiménez 7A placa LES131</v>
      </c>
      <c r="G219" s="6" t="str">
        <f>IFERROR(__xludf.DUMMYFUNCTION("""COMPUTED_VALUE"""),"7")</f>
        <v>7</v>
      </c>
      <c r="H219" s="6" t="str">
        <f>IFERROR(__xludf.DUMMYFUNCTION("""COMPUTED_VALUE"""),"Orozco Nieto Thomas")</f>
        <v>Orozco Nieto Thomas</v>
      </c>
      <c r="I219" s="6" t="str">
        <f>IFERROR(__xludf.DUMMYFUNCTION("""COMPUTED_VALUE"""),"Demograficos_Images/1345281766.Foto_Estudiante.193606.jpg")</f>
        <v>Demograficos_Images/1345281766.Foto_Estudiante.193606.jpg</v>
      </c>
      <c r="J219" s="8">
        <f>IFERROR(__xludf.DUMMYFUNCTION("""COMPUTED_VALUE"""),46259.631944444445)</f>
        <v>46259.63194</v>
      </c>
      <c r="K219" s="6" t="str">
        <f>IFERROR(__xludf.DUMMYFUNCTION("""COMPUTED_VALUE"""),"secundaria@gi.edu.co")</f>
        <v>secundaria@gi.edu.co</v>
      </c>
      <c r="L219" s="6" t="str">
        <f>IFERROR(__xludf.DUMMYFUNCTION("""COMPUTED_VALUE"""),"1345281766")</f>
        <v>1345281766</v>
      </c>
      <c r="M219" s="9">
        <f>IFERROR(__xludf.DUMMYFUNCTION("""COMPUTED_VALUE"""),46259.35528935185)</f>
        <v>46259.35529</v>
      </c>
      <c r="N219" s="6" t="str">
        <f>IFERROR(__xludf.DUMMYFUNCTION("""COMPUTED_VALUE"""),"Pendiente")</f>
        <v>Pendiente</v>
      </c>
      <c r="O219" s="6"/>
      <c r="P219" s="17">
        <f>IFERROR(__xludf.DUMMYFUNCTION("""COMPUTED_VALUE"""),46259.35528935185)</f>
        <v>46259.35529</v>
      </c>
      <c r="Q219" s="6"/>
      <c r="R219" s="6"/>
      <c r="S219" s="6"/>
      <c r="T219" s="6"/>
      <c r="U219" s="6" t="str">
        <f>IFERROR(__xludf.DUMMYFUNCTION("""COMPUTED_VALUE"""),"Otras Novedades")</f>
        <v>Otras Novedades</v>
      </c>
      <c r="V219" s="6"/>
      <c r="W219" s="6"/>
      <c r="X219" s="6"/>
      <c r="Y219" s="6"/>
      <c r="Z219" s="6"/>
    </row>
    <row r="220">
      <c r="A220" s="6" t="str">
        <f>IFERROR(__xludf.DUMMYFUNCTION("""COMPUTED_VALUE"""),"007b5087")</f>
        <v>007b5087</v>
      </c>
      <c r="B220" s="7" t="str">
        <f>IFERROR(__xludf.DUMMYFUNCTION("""COMPUTED_VALUE"""),"1345281364")</f>
        <v>1345281364</v>
      </c>
      <c r="C220" s="6" t="str">
        <f>IFERROR(__xludf.DUMMYFUNCTION("""COMPUTED_VALUE"""),"pendiente por confirmar hora de llegada")</f>
        <v>pendiente por confirmar hora de llegada</v>
      </c>
      <c r="D220" s="6"/>
      <c r="E220" s="6"/>
      <c r="F220" s="6"/>
      <c r="G220" s="6" t="str">
        <f>IFERROR(__xludf.DUMMYFUNCTION("""COMPUTED_VALUE"""),"11")</f>
        <v>11</v>
      </c>
      <c r="H220" s="6" t="str">
        <f>IFERROR(__xludf.DUMMYFUNCTION("""COMPUTED_VALUE"""),"Jaramillo Gaviria Maximiliano")</f>
        <v>Jaramillo Gaviria Maximiliano</v>
      </c>
      <c r="I220" s="6" t="str">
        <f>IFERROR(__xludf.DUMMYFUNCTION("""COMPUTED_VALUE"""),"Demograficos_Images/1345281364.Foto_Estudiante.182239.jpg")</f>
        <v>Demograficos_Images/1345281364.Foto_Estudiante.182239.jpg</v>
      </c>
      <c r="J220" s="8">
        <f>IFERROR(__xludf.DUMMYFUNCTION("""COMPUTED_VALUE"""),46259.506944444445)</f>
        <v>46259.50694</v>
      </c>
      <c r="K220" s="6" t="str">
        <f>IFERROR(__xludf.DUMMYFUNCTION("""COMPUTED_VALUE"""),"secundaria@gi.edu.co")</f>
        <v>secundaria@gi.edu.co</v>
      </c>
      <c r="L220" s="6" t="str">
        <f>IFERROR(__xludf.DUMMYFUNCTION("""COMPUTED_VALUE"""),"1345281364")</f>
        <v>1345281364</v>
      </c>
      <c r="M220" s="9">
        <f>IFERROR(__xludf.DUMMYFUNCTION("""COMPUTED_VALUE"""),46259.36041666667)</f>
        <v>46259.36042</v>
      </c>
      <c r="N220" s="6" t="str">
        <f>IFERROR(__xludf.DUMMYFUNCTION("""COMPUTED_VALUE"""),"Pendiente")</f>
        <v>Pendiente</v>
      </c>
      <c r="O220" s="6"/>
      <c r="P220" s="17">
        <f>IFERROR(__xludf.DUMMYFUNCTION("""COMPUTED_VALUE"""),46259.36041666667)</f>
        <v>46259.36042</v>
      </c>
      <c r="Q220" s="6"/>
      <c r="R220" s="6" t="str">
        <f>IFERROR(__xludf.DUMMYFUNCTION("""COMPUTED_VALUE"""),"Examenes médicos")</f>
        <v>Examenes médicos</v>
      </c>
      <c r="S220" s="6"/>
      <c r="T220" s="6"/>
      <c r="U220" s="6" t="str">
        <f>IFERROR(__xludf.DUMMYFUNCTION("""COMPUTED_VALUE"""),"Llegada tarde")</f>
        <v>Llegada tarde</v>
      </c>
      <c r="V220" s="6"/>
      <c r="W220" s="6"/>
      <c r="X220" s="6"/>
      <c r="Y220" s="6"/>
      <c r="Z220" s="6"/>
    </row>
    <row r="221">
      <c r="A221" s="6" t="str">
        <f>IFERROR(__xludf.DUMMYFUNCTION("""COMPUTED_VALUE"""),"1a04c56f")</f>
        <v>1a04c56f</v>
      </c>
      <c r="B221" s="7" t="str">
        <f>IFERROR(__xludf.DUMMYFUNCTION("""COMPUTED_VALUE"""),"1345281992")</f>
        <v>1345281992</v>
      </c>
      <c r="C221" s="6" t="str">
        <f>IFERROR(__xludf.DUMMYFUNCTION("""COMPUTED_VALUE"""),"sale con Carolina Cortez  mamá de Lucíana  Giraldo")</f>
        <v>sale con Carolina Cortez  mamá de Lucíana  Giraldo</v>
      </c>
      <c r="D221" s="6" t="str">
        <f>IFERROR(__xludf.DUMMYFUNCTION("""COMPUTED_VALUE"""),"Otro")</f>
        <v>Otro</v>
      </c>
      <c r="E221" s="6"/>
      <c r="F221" s="6" t="str">
        <f>IFERROR(__xludf.DUMMYFUNCTION("""COMPUTED_VALUE"""),"Carolina Cortez mamá de Lucíana  Giraldo")</f>
        <v>Carolina Cortez mamá de Lucíana  Giraldo</v>
      </c>
      <c r="G221" s="6" t="str">
        <f>IFERROR(__xludf.DUMMYFUNCTION("""COMPUTED_VALUE"""),"8")</f>
        <v>8</v>
      </c>
      <c r="H221" s="6" t="str">
        <f>IFERROR(__xludf.DUMMYFUNCTION("""COMPUTED_VALUE"""),"Amador Rincón Silvia Juliana")</f>
        <v>Amador Rincón Silvia Juliana</v>
      </c>
      <c r="I221" s="6" t="str">
        <f>IFERROR(__xludf.DUMMYFUNCTION("""COMPUTED_VALUE"""),"Demograficos_Images/1345281992.Foto_Estudiante.192814.jpg")</f>
        <v>Demograficos_Images/1345281992.Foto_Estudiante.192814.jpg</v>
      </c>
      <c r="J221" s="8">
        <f>IFERROR(__xludf.DUMMYFUNCTION("""COMPUTED_VALUE"""),46259.631944444445)</f>
        <v>46259.63194</v>
      </c>
      <c r="K221" s="6" t="str">
        <f>IFERROR(__xludf.DUMMYFUNCTION("""COMPUTED_VALUE"""),"secundaria@gi.edu.co")</f>
        <v>secundaria@gi.edu.co</v>
      </c>
      <c r="L221" s="6" t="str">
        <f>IFERROR(__xludf.DUMMYFUNCTION("""COMPUTED_VALUE"""),"1345281992")</f>
        <v>1345281992</v>
      </c>
      <c r="M221" s="9">
        <f>IFERROR(__xludf.DUMMYFUNCTION("""COMPUTED_VALUE"""),46259.40378472222)</f>
        <v>46259.40378</v>
      </c>
      <c r="N221" s="6" t="str">
        <f>IFERROR(__xludf.DUMMYFUNCTION("""COMPUTED_VALUE"""),"Pendiente")</f>
        <v>Pendiente</v>
      </c>
      <c r="O221" s="6"/>
      <c r="P221" s="17">
        <f>IFERROR(__xludf.DUMMYFUNCTION("""COMPUTED_VALUE"""),46259.40378472222)</f>
        <v>46259.40378</v>
      </c>
      <c r="Q221" s="6"/>
      <c r="R221" s="6"/>
      <c r="S221" s="6"/>
      <c r="T221" s="6"/>
      <c r="U221" s="6" t="str">
        <f>IFERROR(__xludf.DUMMYFUNCTION("""COMPUTED_VALUE"""),"Otras Novedades")</f>
        <v>Otras Novedades</v>
      </c>
      <c r="V221" s="6"/>
      <c r="W221" s="6"/>
      <c r="X221" s="6"/>
      <c r="Y221" s="6"/>
      <c r="Z221" s="6"/>
    </row>
    <row r="222">
      <c r="A222" s="6" t="str">
        <f>IFERROR(__xludf.DUMMYFUNCTION("""COMPUTED_VALUE"""),"f9b3ce02")</f>
        <v>f9b3ce02</v>
      </c>
      <c r="B222" s="7" t="str">
        <f>IFERROR(__xludf.DUMMYFUNCTION("""COMPUTED_VALUE"""),"1345281681")</f>
        <v>1345281681</v>
      </c>
      <c r="C222" s="6" t="str">
        <f>IFERROR(__xludf.DUMMYFUNCTION("""COMPUTED_VALUE"""),"Saldrá caminando para irse en su carro durante toda esta semana (el papá envio correo autorizando)")</f>
        <v>Saldrá caminando para irse en su carro durante toda esta semana (el papá envio correo autorizando)</v>
      </c>
      <c r="D222" s="6"/>
      <c r="E222" s="6"/>
      <c r="F222" s="6"/>
      <c r="G222" s="6" t="str">
        <f>IFERROR(__xludf.DUMMYFUNCTION("""COMPUTED_VALUE"""),"12")</f>
        <v>12</v>
      </c>
      <c r="H222" s="6" t="str">
        <f>IFERROR(__xludf.DUMMYFUNCTION("""COMPUTED_VALUE"""),"Ospina Chica Juan Manuel")</f>
        <v>Ospina Chica Juan Manuel</v>
      </c>
      <c r="I222" s="6" t="str">
        <f>IFERROR(__xludf.DUMMYFUNCTION("""COMPUTED_VALUE"""),"Demograficos_Images/1345281681.Foto_Estudiante.133642.jpg")</f>
        <v>Demograficos_Images/1345281681.Foto_Estudiante.133642.jpg</v>
      </c>
      <c r="J222" s="8">
        <f>IFERROR(__xludf.DUMMYFUNCTION("""COMPUTED_VALUE"""),46259.53125)</f>
        <v>46259.53125</v>
      </c>
      <c r="K222" s="6" t="str">
        <f>IFERROR(__xludf.DUMMYFUNCTION("""COMPUTED_VALUE"""),"secundaria@gi.edu.co")</f>
        <v>secundaria@gi.edu.co</v>
      </c>
      <c r="L222" s="6" t="str">
        <f>IFERROR(__xludf.DUMMYFUNCTION("""COMPUTED_VALUE"""),"1345281681")</f>
        <v>1345281681</v>
      </c>
      <c r="M222" s="9">
        <f>IFERROR(__xludf.DUMMYFUNCTION("""COMPUTED_VALUE"""),46259.411840277775)</f>
        <v>46259.41184</v>
      </c>
      <c r="N222" s="6" t="str">
        <f>IFERROR(__xludf.DUMMYFUNCTION("""COMPUTED_VALUE"""),"Pendiente")</f>
        <v>Pendiente</v>
      </c>
      <c r="O222" s="6"/>
      <c r="P222" s="17">
        <f>IFERROR(__xludf.DUMMYFUNCTION("""COMPUTED_VALUE"""),46259.411840277775)</f>
        <v>46259.41184</v>
      </c>
      <c r="Q222" s="6"/>
      <c r="R222" s="6" t="str">
        <f>IFERROR(__xludf.DUMMYFUNCTION("""COMPUTED_VALUE"""),"Entrenamiento deportivo (futbol- tenis- golf- badminton, etc)")</f>
        <v>Entrenamiento deportivo (futbol- tenis- golf- badminton, etc)</v>
      </c>
      <c r="S222" s="6" t="b">
        <f>IFERROR(__xludf.DUMMYFUNCTION("""COMPUTED_VALUE"""),FALSE)</f>
        <v>0</v>
      </c>
      <c r="T222" s="6"/>
      <c r="U222" s="6" t="str">
        <f>IFERROR(__xludf.DUMMYFUNCTION("""COMPUTED_VALUE"""),"Salida temprano")</f>
        <v>Salida temprano</v>
      </c>
      <c r="V222" s="6"/>
      <c r="W222" s="6"/>
      <c r="X222" s="6"/>
      <c r="Y222" s="6"/>
      <c r="Z222" s="6"/>
    </row>
    <row r="223">
      <c r="A223" s="6" t="str">
        <f>IFERROR(__xludf.DUMMYFUNCTION("""COMPUTED_VALUE"""),"74c2c706")</f>
        <v>74c2c706</v>
      </c>
      <c r="B223" s="7" t="str">
        <f>IFERROR(__xludf.DUMMYFUNCTION("""COMPUTED_VALUE"""),"1345281681")</f>
        <v>1345281681</v>
      </c>
      <c r="C223" s="6" t="str">
        <f>IFERROR(__xludf.DUMMYFUNCTION("""COMPUTED_VALUE"""),"Saldrá caminando para irse en su carro durante toda esta semana (el papá envio correo autorizando)")</f>
        <v>Saldrá caminando para irse en su carro durante toda esta semana (el papá envio correo autorizando)</v>
      </c>
      <c r="D223" s="6"/>
      <c r="E223" s="6"/>
      <c r="F223" s="6"/>
      <c r="G223" s="6" t="str">
        <f>IFERROR(__xludf.DUMMYFUNCTION("""COMPUTED_VALUE"""),"12")</f>
        <v>12</v>
      </c>
      <c r="H223" s="6" t="str">
        <f>IFERROR(__xludf.DUMMYFUNCTION("""COMPUTED_VALUE"""),"Ospina Chica Juan Manuel")</f>
        <v>Ospina Chica Juan Manuel</v>
      </c>
      <c r="I223" s="6" t="str">
        <f>IFERROR(__xludf.DUMMYFUNCTION("""COMPUTED_VALUE"""),"Demograficos_Images/1345281681.Foto_Estudiante.133642.jpg")</f>
        <v>Demograficos_Images/1345281681.Foto_Estudiante.133642.jpg</v>
      </c>
      <c r="J223" s="8">
        <f>IFERROR(__xludf.DUMMYFUNCTION("""COMPUTED_VALUE"""),46260.53125)</f>
        <v>46260.53125</v>
      </c>
      <c r="K223" s="6" t="str">
        <f>IFERROR(__xludf.DUMMYFUNCTION("""COMPUTED_VALUE"""),"secundaria@gi.edu.co")</f>
        <v>secundaria@gi.edu.co</v>
      </c>
      <c r="L223" s="6" t="str">
        <f>IFERROR(__xludf.DUMMYFUNCTION("""COMPUTED_VALUE"""),"1345281681")</f>
        <v>1345281681</v>
      </c>
      <c r="M223" s="9">
        <f>IFERROR(__xludf.DUMMYFUNCTION("""COMPUTED_VALUE"""),46259.41633101852)</f>
        <v>46259.41633</v>
      </c>
      <c r="N223" s="6" t="str">
        <f>IFERROR(__xludf.DUMMYFUNCTION("""COMPUTED_VALUE"""),"Pendiente")</f>
        <v>Pendiente</v>
      </c>
      <c r="O223" s="6"/>
      <c r="P223" s="17">
        <f>IFERROR(__xludf.DUMMYFUNCTION("""COMPUTED_VALUE"""),46259.41633101852)</f>
        <v>46259.41633</v>
      </c>
      <c r="Q223" s="6"/>
      <c r="R223" s="6" t="str">
        <f>IFERROR(__xludf.DUMMYFUNCTION("""COMPUTED_VALUE"""),"Entrenamiento deportivo (futbol- tenis- golf- badminton, etc)")</f>
        <v>Entrenamiento deportivo (futbol- tenis- golf- badminton, etc)</v>
      </c>
      <c r="S223" s="6" t="b">
        <f>IFERROR(__xludf.DUMMYFUNCTION("""COMPUTED_VALUE"""),FALSE)</f>
        <v>0</v>
      </c>
      <c r="T223" s="6"/>
      <c r="U223" s="6" t="str">
        <f>IFERROR(__xludf.DUMMYFUNCTION("""COMPUTED_VALUE"""),"Salida temprano")</f>
        <v>Salida temprano</v>
      </c>
      <c r="V223" s="6"/>
      <c r="W223" s="6"/>
      <c r="X223" s="6"/>
      <c r="Y223" s="6"/>
      <c r="Z223" s="6"/>
    </row>
    <row r="224">
      <c r="A224" s="6" t="str">
        <f>IFERROR(__xludf.DUMMYFUNCTION("""COMPUTED_VALUE"""),"a51a6353")</f>
        <v>a51a6353</v>
      </c>
      <c r="B224" s="7" t="str">
        <f>IFERROR(__xludf.DUMMYFUNCTION("""COMPUTED_VALUE"""),"1345281681")</f>
        <v>1345281681</v>
      </c>
      <c r="C224" s="6" t="str">
        <f>IFERROR(__xludf.DUMMYFUNCTION("""COMPUTED_VALUE"""),"Saldrá caminando para irse en su carro durante toda esta semana (el papá envio correo autorizando)")</f>
        <v>Saldrá caminando para irse en su carro durante toda esta semana (el papá envio correo autorizando)</v>
      </c>
      <c r="D224" s="6"/>
      <c r="E224" s="6"/>
      <c r="F224" s="6"/>
      <c r="G224" s="6" t="str">
        <f>IFERROR(__xludf.DUMMYFUNCTION("""COMPUTED_VALUE"""),"12")</f>
        <v>12</v>
      </c>
      <c r="H224" s="6" t="str">
        <f>IFERROR(__xludf.DUMMYFUNCTION("""COMPUTED_VALUE"""),"Ospina Chica Juan Manuel")</f>
        <v>Ospina Chica Juan Manuel</v>
      </c>
      <c r="I224" s="6" t="str">
        <f>IFERROR(__xludf.DUMMYFUNCTION("""COMPUTED_VALUE"""),"Demograficos_Images/1345281681.Foto_Estudiante.133642.jpg")</f>
        <v>Demograficos_Images/1345281681.Foto_Estudiante.133642.jpg</v>
      </c>
      <c r="J224" s="8">
        <f>IFERROR(__xludf.DUMMYFUNCTION("""COMPUTED_VALUE"""),46261.53125)</f>
        <v>46261.53125</v>
      </c>
      <c r="K224" s="6" t="str">
        <f>IFERROR(__xludf.DUMMYFUNCTION("""COMPUTED_VALUE"""),"secundaria@gi.edu.co")</f>
        <v>secundaria@gi.edu.co</v>
      </c>
      <c r="L224" s="6" t="str">
        <f>IFERROR(__xludf.DUMMYFUNCTION("""COMPUTED_VALUE"""),"1345281681")</f>
        <v>1345281681</v>
      </c>
      <c r="M224" s="9">
        <f>IFERROR(__xludf.DUMMYFUNCTION("""COMPUTED_VALUE"""),46259.421805555554)</f>
        <v>46259.42181</v>
      </c>
      <c r="N224" s="6" t="str">
        <f>IFERROR(__xludf.DUMMYFUNCTION("""COMPUTED_VALUE"""),"Pendiente")</f>
        <v>Pendiente</v>
      </c>
      <c r="O224" s="6"/>
      <c r="P224" s="17">
        <f>IFERROR(__xludf.DUMMYFUNCTION("""COMPUTED_VALUE"""),46259.421805555554)</f>
        <v>46259.42181</v>
      </c>
      <c r="Q224" s="6"/>
      <c r="R224" s="6" t="str">
        <f>IFERROR(__xludf.DUMMYFUNCTION("""COMPUTED_VALUE"""),"Entrenamiento deportivo (futbol- tenis- golf- badminton, etc)")</f>
        <v>Entrenamiento deportivo (futbol- tenis- golf- badminton, etc)</v>
      </c>
      <c r="S224" s="6" t="b">
        <f>IFERROR(__xludf.DUMMYFUNCTION("""COMPUTED_VALUE"""),FALSE)</f>
        <v>0</v>
      </c>
      <c r="T224" s="6"/>
      <c r="U224" s="6" t="str">
        <f>IFERROR(__xludf.DUMMYFUNCTION("""COMPUTED_VALUE"""),"Salida temprano")</f>
        <v>Salida temprano</v>
      </c>
      <c r="V224" s="6"/>
      <c r="W224" s="6"/>
      <c r="X224" s="6"/>
      <c r="Y224" s="6"/>
      <c r="Z224" s="6"/>
    </row>
    <row r="225">
      <c r="A225" s="6" t="str">
        <f>IFERROR(__xludf.DUMMYFUNCTION("""COMPUTED_VALUE"""),"626b2124")</f>
        <v>626b2124</v>
      </c>
      <c r="B225" s="7" t="str">
        <f>IFERROR(__xludf.DUMMYFUNCTION("""COMPUTED_VALUE"""),"1345281681")</f>
        <v>1345281681</v>
      </c>
      <c r="C225" s="6" t="str">
        <f>IFERROR(__xludf.DUMMYFUNCTION("""COMPUTED_VALUE"""),"Saldrá caminando para irse en su carro durante toda esta semana (el papá envio correo autorizando)")</f>
        <v>Saldrá caminando para irse en su carro durante toda esta semana (el papá envio correo autorizando)</v>
      </c>
      <c r="D225" s="6"/>
      <c r="E225" s="6"/>
      <c r="F225" s="6"/>
      <c r="G225" s="6" t="str">
        <f>IFERROR(__xludf.DUMMYFUNCTION("""COMPUTED_VALUE"""),"12")</f>
        <v>12</v>
      </c>
      <c r="H225" s="6" t="str">
        <f>IFERROR(__xludf.DUMMYFUNCTION("""COMPUTED_VALUE"""),"Ospina Chica Juan Manuel")</f>
        <v>Ospina Chica Juan Manuel</v>
      </c>
      <c r="I225" s="6" t="str">
        <f>IFERROR(__xludf.DUMMYFUNCTION("""COMPUTED_VALUE"""),"Demograficos_Images/1345281681.Foto_Estudiante.133642.jpg")</f>
        <v>Demograficos_Images/1345281681.Foto_Estudiante.133642.jpg</v>
      </c>
      <c r="J225" s="8">
        <f>IFERROR(__xludf.DUMMYFUNCTION("""COMPUTED_VALUE"""),46262.53125)</f>
        <v>46262.53125</v>
      </c>
      <c r="K225" s="6" t="str">
        <f>IFERROR(__xludf.DUMMYFUNCTION("""COMPUTED_VALUE"""),"secundaria@gi.edu.co")</f>
        <v>secundaria@gi.edu.co</v>
      </c>
      <c r="L225" s="6" t="str">
        <f>IFERROR(__xludf.DUMMYFUNCTION("""COMPUTED_VALUE"""),"1345281681")</f>
        <v>1345281681</v>
      </c>
      <c r="M225" s="9">
        <f>IFERROR(__xludf.DUMMYFUNCTION("""COMPUTED_VALUE"""),46259.42239583333)</f>
        <v>46259.4224</v>
      </c>
      <c r="N225" s="6" t="str">
        <f>IFERROR(__xludf.DUMMYFUNCTION("""COMPUTED_VALUE"""),"Pendiente")</f>
        <v>Pendiente</v>
      </c>
      <c r="O225" s="6"/>
      <c r="P225" s="17">
        <f>IFERROR(__xludf.DUMMYFUNCTION("""COMPUTED_VALUE"""),46259.42239583333)</f>
        <v>46259.4224</v>
      </c>
      <c r="Q225" s="6"/>
      <c r="R225" s="6" t="str">
        <f>IFERROR(__xludf.DUMMYFUNCTION("""COMPUTED_VALUE"""),"Entrenamiento deportivo (futbol- tenis- golf- badminton, etc)")</f>
        <v>Entrenamiento deportivo (futbol- tenis- golf- badminton, etc)</v>
      </c>
      <c r="S225" s="6" t="b">
        <f>IFERROR(__xludf.DUMMYFUNCTION("""COMPUTED_VALUE"""),FALSE)</f>
        <v>0</v>
      </c>
      <c r="T225" s="6"/>
      <c r="U225" s="6" t="str">
        <f>IFERROR(__xludf.DUMMYFUNCTION("""COMPUTED_VALUE"""),"Salida temprano")</f>
        <v>Salida temprano</v>
      </c>
      <c r="V225" s="6"/>
      <c r="W225" s="6"/>
      <c r="X225" s="6"/>
      <c r="Y225" s="6"/>
      <c r="Z225" s="6"/>
    </row>
    <row r="226">
      <c r="A226" s="6" t="str">
        <f>IFERROR(__xludf.DUMMYFUNCTION("""COMPUTED_VALUE"""),"001d6df5")</f>
        <v>001d6df5</v>
      </c>
      <c r="B226" s="7" t="str">
        <f>IFERROR(__xludf.DUMMYFUNCTION("""COMPUTED_VALUE"""),"1345282419")</f>
        <v>1345282419</v>
      </c>
      <c r="C226" s="6" t="str">
        <f>IFERROR(__xludf.DUMMYFUNCTION("""COMPUTED_VALUE"""),"sale con Paula Maria Castaño mamá de  Amelia Cardona")</f>
        <v>sale con Paula Maria Castaño mamá de  Amelia Cardona</v>
      </c>
      <c r="D226" s="6" t="str">
        <f>IFERROR(__xludf.DUMMYFUNCTION("""COMPUTED_VALUE"""),"Otro")</f>
        <v>Otro</v>
      </c>
      <c r="E226" s="6"/>
      <c r="F226" s="6" t="str">
        <f>IFERROR(__xludf.DUMMYFUNCTION("""COMPUTED_VALUE"""),"Paula Maria Castaño mamá de  Amelia Cardona")</f>
        <v>Paula Maria Castaño mamá de  Amelia Cardona</v>
      </c>
      <c r="G226" s="6" t="str">
        <f>IFERROR(__xludf.DUMMYFUNCTION("""COMPUTED_VALUE"""),"9")</f>
        <v>9</v>
      </c>
      <c r="H226" s="6" t="str">
        <f>IFERROR(__xludf.DUMMYFUNCTION("""COMPUTED_VALUE"""),"Jaramillo Marín Sara")</f>
        <v>Jaramillo Marín Sara</v>
      </c>
      <c r="I226" s="6" t="str">
        <f>IFERROR(__xludf.DUMMYFUNCTION("""COMPUTED_VALUE"""),"Demograficos_Images/1345282419.Foto_Estudiante.185722.jpg")</f>
        <v>Demograficos_Images/1345282419.Foto_Estudiante.185722.jpg</v>
      </c>
      <c r="J226" s="8">
        <f>IFERROR(__xludf.DUMMYFUNCTION("""COMPUTED_VALUE"""),46259.631944444445)</f>
        <v>46259.63194</v>
      </c>
      <c r="K226" s="6" t="str">
        <f>IFERROR(__xludf.DUMMYFUNCTION("""COMPUTED_VALUE"""),"secundaria@gi.edu.co")</f>
        <v>secundaria@gi.edu.co</v>
      </c>
      <c r="L226" s="6" t="str">
        <f>IFERROR(__xludf.DUMMYFUNCTION("""COMPUTED_VALUE"""),"1345282419")</f>
        <v>1345282419</v>
      </c>
      <c r="M226" s="9">
        <f>IFERROR(__xludf.DUMMYFUNCTION("""COMPUTED_VALUE"""),46259.429131944446)</f>
        <v>46259.42913</v>
      </c>
      <c r="N226" s="6" t="str">
        <f>IFERROR(__xludf.DUMMYFUNCTION("""COMPUTED_VALUE"""),"Pendiente")</f>
        <v>Pendiente</v>
      </c>
      <c r="O226" s="6"/>
      <c r="P226" s="17">
        <f>IFERROR(__xludf.DUMMYFUNCTION("""COMPUTED_VALUE"""),46259.429131944446)</f>
        <v>46259.42913</v>
      </c>
      <c r="Q226" s="6"/>
      <c r="R226" s="6"/>
      <c r="S226" s="6"/>
      <c r="T226" s="6"/>
      <c r="U226" s="6" t="str">
        <f>IFERROR(__xludf.DUMMYFUNCTION("""COMPUTED_VALUE"""),"Otras Novedades")</f>
        <v>Otras Novedades</v>
      </c>
      <c r="V226" s="6"/>
      <c r="W226" s="6"/>
      <c r="X226" s="6"/>
      <c r="Y226" s="6"/>
      <c r="Z226" s="6"/>
    </row>
    <row r="227">
      <c r="A227" s="6" t="str">
        <f>IFERROR(__xludf.DUMMYFUNCTION("""COMPUTED_VALUE"""),"70f3d738")</f>
        <v>70f3d738</v>
      </c>
      <c r="B227" s="7" t="str">
        <f>IFERROR(__xludf.DUMMYFUNCTION("""COMPUTED_VALUE"""),"1345281249")</f>
        <v>1345281249</v>
      </c>
      <c r="C227" s="6" t="str">
        <f>IFERROR(__xludf.DUMMYFUNCTION("""COMPUTED_VALUE"""),"la estudiante manifiesta que ya se siente mejor")</f>
        <v>la estudiante manifiesta que ya se siente mejor</v>
      </c>
      <c r="D227" s="6"/>
      <c r="E227" s="6"/>
      <c r="F227" s="6"/>
      <c r="G227" s="6" t="str">
        <f>IFERROR(__xludf.DUMMYFUNCTION("""COMPUTED_VALUE"""),"11")</f>
        <v>11</v>
      </c>
      <c r="H227" s="6" t="str">
        <f>IFERROR(__xludf.DUMMYFUNCTION("""COMPUTED_VALUE"""),"González Mejía Antonia")</f>
        <v>González Mejía Antonia</v>
      </c>
      <c r="I227" s="6" t="str">
        <f>IFERROR(__xludf.DUMMYFUNCTION("""COMPUTED_VALUE"""),"Demograficos_Images/1345281249.Foto_Estudiante.180834.jpg")</f>
        <v>Demograficos_Images/1345281249.Foto_Estudiante.180834.jpg</v>
      </c>
      <c r="J227" s="8">
        <f>IFERROR(__xludf.DUMMYFUNCTION("""COMPUTED_VALUE"""),46259.430555555555)</f>
        <v>46259.43056</v>
      </c>
      <c r="K227" s="6" t="str">
        <f>IFERROR(__xludf.DUMMYFUNCTION("""COMPUTED_VALUE"""),"secundaria@gi.edu.co")</f>
        <v>secundaria@gi.edu.co</v>
      </c>
      <c r="L227" s="6" t="str">
        <f>IFERROR(__xludf.DUMMYFUNCTION("""COMPUTED_VALUE"""),"1345281249")</f>
        <v>1345281249</v>
      </c>
      <c r="M227" s="9">
        <f>IFERROR(__xludf.DUMMYFUNCTION("""COMPUTED_VALUE"""),46259.43074074074)</f>
        <v>46259.43074</v>
      </c>
      <c r="N227" s="6" t="str">
        <f>IFERROR(__xludf.DUMMYFUNCTION("""COMPUTED_VALUE"""),"Pendiente")</f>
        <v>Pendiente</v>
      </c>
      <c r="O227" s="6"/>
      <c r="P227" s="17">
        <f>IFERROR(__xludf.DUMMYFUNCTION("""COMPUTED_VALUE"""),46259.43074074074)</f>
        <v>46259.43074</v>
      </c>
      <c r="Q227" s="6"/>
      <c r="R227" s="6" t="str">
        <f>IFERROR(__xludf.DUMMYFUNCTION("""COMPUTED_VALUE"""),"Estudiante enfermo@ con cuidados en casa")</f>
        <v>Estudiante enfermo@ con cuidados en casa</v>
      </c>
      <c r="S227" s="6"/>
      <c r="T227" s="6"/>
      <c r="U227" s="6" t="str">
        <f>IFERROR(__xludf.DUMMYFUNCTION("""COMPUTED_VALUE"""),"Llegada tarde")</f>
        <v>Llegada tarde</v>
      </c>
      <c r="V227" s="6"/>
      <c r="W227" s="6"/>
      <c r="X227" s="6"/>
      <c r="Y227" s="6"/>
      <c r="Z227" s="6"/>
    </row>
    <row r="228">
      <c r="A228" s="6" t="str">
        <f>IFERROR(__xludf.DUMMYFUNCTION("""COMPUTED_VALUE"""),"e4699ef3")</f>
        <v>e4699ef3</v>
      </c>
      <c r="B228" s="7" t="str">
        <f>IFERROR(__xludf.DUMMYFUNCTION("""COMPUTED_VALUE"""),"1345281564")</f>
        <v>1345281564</v>
      </c>
      <c r="C228" s="6" t="str">
        <f>IFERROR(__xludf.DUMMYFUNCTION("""COMPUTED_VALUE"""),"la mamá informa que debe salir temprano a las 2:30 por cita medica")</f>
        <v>la mamá informa que debe salir temprano a las 2:30 por cita medica</v>
      </c>
      <c r="D228" s="6"/>
      <c r="E228" s="6"/>
      <c r="F228" s="6"/>
      <c r="G228" s="6" t="str">
        <f>IFERROR(__xludf.DUMMYFUNCTION("""COMPUTED_VALUE"""),"12")</f>
        <v>12</v>
      </c>
      <c r="H228" s="6" t="str">
        <f>IFERROR(__xludf.DUMMYFUNCTION("""COMPUTED_VALUE"""),"Flórez Trujillo José Pablo")</f>
        <v>Flórez Trujillo José Pablo</v>
      </c>
      <c r="I228" s="6" t="str">
        <f>IFERROR(__xludf.DUMMYFUNCTION("""COMPUTED_VALUE"""),"Demograficos_Images/1345281564.Foto_Estudiante.181034.jpg")</f>
        <v>Demograficos_Images/1345281564.Foto_Estudiante.181034.jpg</v>
      </c>
      <c r="J228" s="8">
        <f>IFERROR(__xludf.DUMMYFUNCTION("""COMPUTED_VALUE"""),46259.604166666664)</f>
        <v>46259.60417</v>
      </c>
      <c r="K228" s="6" t="str">
        <f>IFERROR(__xludf.DUMMYFUNCTION("""COMPUTED_VALUE"""),"secundaria@gi.edu.co")</f>
        <v>secundaria@gi.edu.co</v>
      </c>
      <c r="L228" s="6" t="str">
        <f>IFERROR(__xludf.DUMMYFUNCTION("""COMPUTED_VALUE"""),"1345281564")</f>
        <v>1345281564</v>
      </c>
      <c r="M228" s="9">
        <f>IFERROR(__xludf.DUMMYFUNCTION("""COMPUTED_VALUE"""),46259.44561342592)</f>
        <v>46259.44561</v>
      </c>
      <c r="N228" s="6" t="str">
        <f>IFERROR(__xludf.DUMMYFUNCTION("""COMPUTED_VALUE"""),"Pendiente")</f>
        <v>Pendiente</v>
      </c>
      <c r="O228" s="6"/>
      <c r="P228" s="17">
        <f>IFERROR(__xludf.DUMMYFUNCTION("""COMPUTED_VALUE"""),46259.44561342592)</f>
        <v>46259.44561</v>
      </c>
      <c r="Q228" s="6"/>
      <c r="R228" s="6" t="str">
        <f>IFERROR(__xludf.DUMMYFUNCTION("""COMPUTED_VALUE"""),"Cita médica")</f>
        <v>Cita médica</v>
      </c>
      <c r="S228" s="6" t="b">
        <f>IFERROR(__xludf.DUMMYFUNCTION("""COMPUTED_VALUE"""),FALSE)</f>
        <v>0</v>
      </c>
      <c r="T228" s="6"/>
      <c r="U228" s="6" t="str">
        <f>IFERROR(__xludf.DUMMYFUNCTION("""COMPUTED_VALUE"""),"Salida temprano")</f>
        <v>Salida temprano</v>
      </c>
      <c r="V228" s="6"/>
      <c r="W228" s="6"/>
      <c r="X228" s="6"/>
      <c r="Y228" s="6"/>
      <c r="Z228" s="6"/>
    </row>
    <row r="229">
      <c r="A229" s="6" t="str">
        <f>IFERROR(__xludf.DUMMYFUNCTION("""COMPUTED_VALUE"""),"490e980b")</f>
        <v>490e980b</v>
      </c>
      <c r="B229" s="7" t="str">
        <f>IFERROR(__xludf.DUMMYFUNCTION("""COMPUTED_VALUE"""),"1345282616")</f>
        <v>1345282616</v>
      </c>
      <c r="C229" s="6" t="str">
        <f>IFERROR(__xludf.DUMMYFUNCTION("""COMPUTED_VALUE"""),"la mmaá informó que estaba enferma que estaría ausente pero la estudiante llegó tarde")</f>
        <v>la mmaá informó que estaba enferma que estaría ausente pero la estudiante llegó tarde</v>
      </c>
      <c r="D229" s="6"/>
      <c r="E229" s="6"/>
      <c r="F229" s="6"/>
      <c r="G229" s="6" t="str">
        <f>IFERROR(__xludf.DUMMYFUNCTION("""COMPUTED_VALUE"""),"8")</f>
        <v>8</v>
      </c>
      <c r="H229" s="6" t="str">
        <f>IFERROR(__xludf.DUMMYFUNCTION("""COMPUTED_VALUE"""),"Cortés Jaramillo Luciana")</f>
        <v>Cortés Jaramillo Luciana</v>
      </c>
      <c r="I229" s="6"/>
      <c r="J229" s="8">
        <f>IFERROR(__xludf.DUMMYFUNCTION("""COMPUTED_VALUE"""),46259.48333333333)</f>
        <v>46259.48333</v>
      </c>
      <c r="K229" s="6" t="str">
        <f>IFERROR(__xludf.DUMMYFUNCTION("""COMPUTED_VALUE"""),"secundaria@gi.edu.co")</f>
        <v>secundaria@gi.edu.co</v>
      </c>
      <c r="L229" s="6" t="str">
        <f>IFERROR(__xludf.DUMMYFUNCTION("""COMPUTED_VALUE"""),"1345282616")</f>
        <v>1345282616</v>
      </c>
      <c r="M229" s="9">
        <f>IFERROR(__xludf.DUMMYFUNCTION("""COMPUTED_VALUE"""),46259.49202546296)</f>
        <v>46259.49203</v>
      </c>
      <c r="N229" s="6" t="str">
        <f>IFERROR(__xludf.DUMMYFUNCTION("""COMPUTED_VALUE"""),"Pendiente")</f>
        <v>Pendiente</v>
      </c>
      <c r="O229" s="6"/>
      <c r="P229" s="17">
        <f>IFERROR(__xludf.DUMMYFUNCTION("""COMPUTED_VALUE"""),46259.49202546296)</f>
        <v>46259.49203</v>
      </c>
      <c r="Q229" s="6"/>
      <c r="R229" s="6" t="str">
        <f>IFERROR(__xludf.DUMMYFUNCTION("""COMPUTED_VALUE"""),"Estudiante enfermo@ con cuidados en casa")</f>
        <v>Estudiante enfermo@ con cuidados en casa</v>
      </c>
      <c r="S229" s="6"/>
      <c r="T229" s="6"/>
      <c r="U229" s="6" t="str">
        <f>IFERROR(__xludf.DUMMYFUNCTION("""COMPUTED_VALUE"""),"Llegada tarde")</f>
        <v>Llegada tarde</v>
      </c>
      <c r="V229" s="6"/>
      <c r="W229" s="6"/>
      <c r="X229" s="6"/>
      <c r="Y229" s="6"/>
      <c r="Z229" s="6"/>
    </row>
    <row r="230">
      <c r="A230" s="6" t="str">
        <f>IFERROR(__xludf.DUMMYFUNCTION("""COMPUTED_VALUE"""),"c560b684")</f>
        <v>c560b684</v>
      </c>
      <c r="B230" s="7" t="str">
        <f>IFERROR(__xludf.DUMMYFUNCTION("""COMPUTED_VALUE"""),"1345281834")</f>
        <v>1345281834</v>
      </c>
      <c r="C230" s="6" t="str">
        <f>IFERROR(__xludf.DUMMYFUNCTION("""COMPUTED_VALUE"""),"salida después de catequesis con Maximiliano Jaramillo")</f>
        <v>salida después de catequesis con Maximiliano Jaramillo</v>
      </c>
      <c r="D230" s="6" t="str">
        <f>IFERROR(__xludf.DUMMYFUNCTION("""COMPUTED_VALUE"""),"Otro")</f>
        <v>Otro</v>
      </c>
      <c r="E230" s="6"/>
      <c r="F230" s="6" t="str">
        <f>IFERROR(__xludf.DUMMYFUNCTION("""COMPUTED_VALUE"""),"salida después de catequesis con Maximiliano Jaramillo")</f>
        <v>salida después de catequesis con Maximiliano Jaramillo</v>
      </c>
      <c r="G230" s="6" t="str">
        <f>IFERROR(__xludf.DUMMYFUNCTION("""COMPUTED_VALUE"""),"11")</f>
        <v>11</v>
      </c>
      <c r="H230" s="6" t="str">
        <f>IFERROR(__xludf.DUMMYFUNCTION("""COMPUTED_VALUE"""),"López Mejía Valeria")</f>
        <v>López Mejía Valeria</v>
      </c>
      <c r="I230" s="6" t="str">
        <f>IFERROR(__xludf.DUMMYFUNCTION("""COMPUTED_VALUE"""),"Demograficos_Images/1345281834.Foto_Estudiante.182131.jpg")</f>
        <v>Demograficos_Images/1345281834.Foto_Estudiante.182131.jpg</v>
      </c>
      <c r="J230" s="8">
        <f>IFERROR(__xludf.DUMMYFUNCTION("""COMPUTED_VALUE"""),46259.71875)</f>
        <v>46259.71875</v>
      </c>
      <c r="K230" s="6" t="str">
        <f>IFERROR(__xludf.DUMMYFUNCTION("""COMPUTED_VALUE"""),"secundaria@gi.edu.co")</f>
        <v>secundaria@gi.edu.co</v>
      </c>
      <c r="L230" s="6" t="str">
        <f>IFERROR(__xludf.DUMMYFUNCTION("""COMPUTED_VALUE"""),"1345281834")</f>
        <v>1345281834</v>
      </c>
      <c r="M230" s="9">
        <f>IFERROR(__xludf.DUMMYFUNCTION("""COMPUTED_VALUE"""),46259.49728009259)</f>
        <v>46259.49728</v>
      </c>
      <c r="N230" s="6" t="str">
        <f>IFERROR(__xludf.DUMMYFUNCTION("""COMPUTED_VALUE"""),"Pendiente")</f>
        <v>Pendiente</v>
      </c>
      <c r="O230" s="6"/>
      <c r="P230" s="17">
        <f>IFERROR(__xludf.DUMMYFUNCTION("""COMPUTED_VALUE"""),46259.49728009259)</f>
        <v>46259.49728</v>
      </c>
      <c r="Q230" s="6"/>
      <c r="R230" s="6"/>
      <c r="S230" s="6"/>
      <c r="T230" s="6"/>
      <c r="U230" s="6" t="str">
        <f>IFERROR(__xludf.DUMMYFUNCTION("""COMPUTED_VALUE"""),"Otras Novedades")</f>
        <v>Otras Novedades</v>
      </c>
      <c r="V230" s="6"/>
      <c r="W230" s="6"/>
      <c r="X230" s="6"/>
      <c r="Y230" s="6"/>
      <c r="Z230" s="6"/>
    </row>
    <row r="231">
      <c r="A231" s="6" t="str">
        <f>IFERROR(__xludf.DUMMYFUNCTION("""COMPUTED_VALUE"""),"5da3c118")</f>
        <v>5da3c118</v>
      </c>
      <c r="B231" s="7" t="str">
        <f>IFERROR(__xludf.DUMMYFUNCTION("""COMPUTED_VALUE"""),"1345281901")</f>
        <v>1345281901</v>
      </c>
      <c r="C231" s="6" t="str">
        <f>IFERROR(__xludf.DUMMYFUNCTION("""COMPUTED_VALUE"""),"sale con  Oscar Silva el papá de Maria Alejandra Silva")</f>
        <v>sale con  Oscar Silva el papá de Maria Alejandra Silva</v>
      </c>
      <c r="D231" s="6" t="str">
        <f>IFERROR(__xludf.DUMMYFUNCTION("""COMPUTED_VALUE"""),"Otro")</f>
        <v>Otro</v>
      </c>
      <c r="E231" s="6"/>
      <c r="F231" s="6" t="str">
        <f>IFERROR(__xludf.DUMMYFUNCTION("""COMPUTED_VALUE"""),"Oscar Silva el papá de Maria Alejandra Silva")</f>
        <v>Oscar Silva el papá de Maria Alejandra Silva</v>
      </c>
      <c r="G231" s="6" t="str">
        <f>IFERROR(__xludf.DUMMYFUNCTION("""COMPUTED_VALUE"""),"8")</f>
        <v>8</v>
      </c>
      <c r="H231" s="6" t="str">
        <f>IFERROR(__xludf.DUMMYFUNCTION("""COMPUTED_VALUE"""),"Murillo Nieto Martina")</f>
        <v>Murillo Nieto Martina</v>
      </c>
      <c r="I231" s="6" t="str">
        <f>IFERROR(__xludf.DUMMYFUNCTION("""COMPUTED_VALUE"""),"Demograficos_Images/1345281901.Foto_Estudiante.191242.jpg")</f>
        <v>Demograficos_Images/1345281901.Foto_Estudiante.191242.jpg</v>
      </c>
      <c r="J231" s="8">
        <f>IFERROR(__xludf.DUMMYFUNCTION("""COMPUTED_VALUE"""),46260.583333333336)</f>
        <v>46260.58333</v>
      </c>
      <c r="K231" s="6" t="str">
        <f>IFERROR(__xludf.DUMMYFUNCTION("""COMPUTED_VALUE"""),"secundaria@gi.edu.co")</f>
        <v>secundaria@gi.edu.co</v>
      </c>
      <c r="L231" s="6" t="str">
        <f>IFERROR(__xludf.DUMMYFUNCTION("""COMPUTED_VALUE"""),"1345281901")</f>
        <v>1345281901</v>
      </c>
      <c r="M231" s="9">
        <f>IFERROR(__xludf.DUMMYFUNCTION("""COMPUTED_VALUE"""),46259.55724537037)</f>
        <v>46259.55725</v>
      </c>
      <c r="N231" s="6" t="str">
        <f>IFERROR(__xludf.DUMMYFUNCTION("""COMPUTED_VALUE"""),"Pendiente")</f>
        <v>Pendiente</v>
      </c>
      <c r="O231" s="6"/>
      <c r="P231" s="17">
        <f>IFERROR(__xludf.DUMMYFUNCTION("""COMPUTED_VALUE"""),46259.55724537037)</f>
        <v>46259.55725</v>
      </c>
      <c r="Q231" s="6"/>
      <c r="R231" s="6"/>
      <c r="S231" s="6"/>
      <c r="T231" s="6"/>
      <c r="U231" s="6" t="str">
        <f>IFERROR(__xludf.DUMMYFUNCTION("""COMPUTED_VALUE"""),"Otras Novedades")</f>
        <v>Otras Novedades</v>
      </c>
      <c r="V231" s="6"/>
      <c r="W231" s="6"/>
      <c r="X231" s="6"/>
      <c r="Y231" s="6"/>
      <c r="Z231" s="6"/>
    </row>
    <row r="232">
      <c r="A232" s="6" t="str">
        <f>IFERROR(__xludf.DUMMYFUNCTION("""COMPUTED_VALUE"""),"55a4522b")</f>
        <v>55a4522b</v>
      </c>
      <c r="B232" s="7" t="str">
        <f>IFERROR(__xludf.DUMMYFUNCTION("""COMPUTED_VALUE"""),"1345281717")</f>
        <v>1345281717</v>
      </c>
      <c r="C232" s="6" t="str">
        <f>IFERROR(__xludf.DUMMYFUNCTION("""COMPUTED_VALUE"""),"Juliana mamá de Paloma Botero")</f>
        <v>Juliana mamá de Paloma Botero</v>
      </c>
      <c r="D232" s="6" t="str">
        <f>IFERROR(__xludf.DUMMYFUNCTION("""COMPUTED_VALUE"""),"Otro")</f>
        <v>Otro</v>
      </c>
      <c r="E232" s="6"/>
      <c r="F232" s="6" t="str">
        <f>IFERROR(__xludf.DUMMYFUNCTION("""COMPUTED_VALUE"""),"Juliana mamá de Paloma Botero")</f>
        <v>Juliana mamá de Paloma Botero</v>
      </c>
      <c r="G232" s="6" t="str">
        <f>IFERROR(__xludf.DUMMYFUNCTION("""COMPUTED_VALUE"""),"8")</f>
        <v>8</v>
      </c>
      <c r="H232" s="6" t="str">
        <f>IFERROR(__xludf.DUMMYFUNCTION("""COMPUTED_VALUE"""),"Ospina Gómez Amalia")</f>
        <v>Ospina Gómez Amalia</v>
      </c>
      <c r="I232" s="6" t="str">
        <f>IFERROR(__xludf.DUMMYFUNCTION("""COMPUTED_VALUE"""),"Demograficos_Images/1345281717.Foto_Estudiante.191205.jpg")</f>
        <v>Demograficos_Images/1345281717.Foto_Estudiante.191205.jpg</v>
      </c>
      <c r="J232" s="8">
        <f>IFERROR(__xludf.DUMMYFUNCTION("""COMPUTED_VALUE"""),46259.631944444445)</f>
        <v>46259.63194</v>
      </c>
      <c r="K232" s="6" t="str">
        <f>IFERROR(__xludf.DUMMYFUNCTION("""COMPUTED_VALUE"""),"secundaria@gi.edu.co")</f>
        <v>secundaria@gi.edu.co</v>
      </c>
      <c r="L232" s="6" t="str">
        <f>IFERROR(__xludf.DUMMYFUNCTION("""COMPUTED_VALUE"""),"1345281717")</f>
        <v>1345281717</v>
      </c>
      <c r="M232" s="9">
        <f>IFERROR(__xludf.DUMMYFUNCTION("""COMPUTED_VALUE"""),46259.58692129629)</f>
        <v>46259.58692</v>
      </c>
      <c r="N232" s="6" t="str">
        <f>IFERROR(__xludf.DUMMYFUNCTION("""COMPUTED_VALUE"""),"Pendiente")</f>
        <v>Pendiente</v>
      </c>
      <c r="O232" s="6"/>
      <c r="P232" s="17">
        <f>IFERROR(__xludf.DUMMYFUNCTION("""COMPUTED_VALUE"""),46259.58692129629)</f>
        <v>46259.58692</v>
      </c>
      <c r="Q232" s="6"/>
      <c r="R232" s="6"/>
      <c r="S232" s="6"/>
      <c r="T232" s="6"/>
      <c r="U232" s="6" t="str">
        <f>IFERROR(__xludf.DUMMYFUNCTION("""COMPUTED_VALUE"""),"Otras Novedades")</f>
        <v>Otras Novedades</v>
      </c>
      <c r="V232" s="6"/>
      <c r="W232" s="6"/>
      <c r="X232" s="6"/>
      <c r="Y232" s="6"/>
      <c r="Z232" s="6"/>
    </row>
    <row r="233">
      <c r="A233" s="6" t="str">
        <f>IFERROR(__xludf.DUMMYFUNCTION("""COMPUTED_VALUE"""),"57f82789")</f>
        <v>57f82789</v>
      </c>
      <c r="B233" s="7" t="str">
        <f>IFERROR(__xludf.DUMMYFUNCTION("""COMPUTED_VALUE"""),"1345282462")</f>
        <v>1345282462</v>
      </c>
      <c r="C233" s="6" t="str">
        <f>IFERROR(__xludf.DUMMYFUNCTION("""COMPUTED_VALUE"""),"sale caminando para irse con Juliana Burgos después de catequesis")</f>
        <v>sale caminando para irse con Juliana Burgos después de catequesis</v>
      </c>
      <c r="D233" s="6"/>
      <c r="E233" s="6"/>
      <c r="F233" s="6"/>
      <c r="G233" s="6" t="str">
        <f>IFERROR(__xludf.DUMMYFUNCTION("""COMPUTED_VALUE"""),"11")</f>
        <v>11</v>
      </c>
      <c r="H233" s="6" t="str">
        <f>IFERROR(__xludf.DUMMYFUNCTION("""COMPUTED_VALUE"""),"Correal Varón Manuela")</f>
        <v>Correal Varón Manuela</v>
      </c>
      <c r="I233" s="6" t="str">
        <f>IFERROR(__xludf.DUMMYFUNCTION("""COMPUTED_VALUE"""),"Demograficos_Images/1345282462.Foto_Estudiante.182512.jpg")</f>
        <v>Demograficos_Images/1345282462.Foto_Estudiante.182512.jpg</v>
      </c>
      <c r="J233" s="8">
        <f>IFERROR(__xludf.DUMMYFUNCTION("""COMPUTED_VALUE"""),46259.71875)</f>
        <v>46259.71875</v>
      </c>
      <c r="K233" s="6" t="str">
        <f>IFERROR(__xludf.DUMMYFUNCTION("""COMPUTED_VALUE"""),"secundaria@gi.edu.co")</f>
        <v>secundaria@gi.edu.co</v>
      </c>
      <c r="L233" s="6" t="str">
        <f>IFERROR(__xludf.DUMMYFUNCTION("""COMPUTED_VALUE"""),"1345282462")</f>
        <v>1345282462</v>
      </c>
      <c r="M233" s="9">
        <f>IFERROR(__xludf.DUMMYFUNCTION("""COMPUTED_VALUE"""),46259.58810185185)</f>
        <v>46259.5881</v>
      </c>
      <c r="N233" s="6" t="str">
        <f>IFERROR(__xludf.DUMMYFUNCTION("""COMPUTED_VALUE"""),"Pendiente")</f>
        <v>Pendiente</v>
      </c>
      <c r="O233" s="6"/>
      <c r="P233" s="17">
        <f>IFERROR(__xludf.DUMMYFUNCTION("""COMPUTED_VALUE"""),46259.58810185185)</f>
        <v>46259.5881</v>
      </c>
      <c r="Q233" s="6"/>
      <c r="R233" s="6"/>
      <c r="S233" s="6"/>
      <c r="T233" s="6"/>
      <c r="U233" s="6" t="str">
        <f>IFERROR(__xludf.DUMMYFUNCTION("""COMPUTED_VALUE"""),"Otras Novedades")</f>
        <v>Otras Novedades</v>
      </c>
      <c r="V233" s="6"/>
      <c r="W233" s="6"/>
      <c r="X233" s="6"/>
      <c r="Y233" s="6"/>
      <c r="Z233" s="6"/>
    </row>
    <row r="234">
      <c r="A234" s="6" t="str">
        <f>IFERROR(__xludf.DUMMYFUNCTION("""COMPUTED_VALUE"""),"167f38ee")</f>
        <v>167f38ee</v>
      </c>
      <c r="B234" s="7" t="str">
        <f>IFERROR(__xludf.DUMMYFUNCTION("""COMPUTED_VALUE"""),"1345282057")</f>
        <v>1345282057</v>
      </c>
      <c r="C234" s="6" t="str">
        <f>IFERROR(__xludf.DUMMYFUNCTION("""COMPUTED_VALUE"""),"sale con la tia Ximena después de extras")</f>
        <v>sale con la tia Ximena después de extras</v>
      </c>
      <c r="D234" s="6" t="str">
        <f>IFERROR(__xludf.DUMMYFUNCTION("""COMPUTED_VALUE"""),"Otro")</f>
        <v>Otro</v>
      </c>
      <c r="E234" s="6"/>
      <c r="F234" s="6" t="str">
        <f>IFERROR(__xludf.DUMMYFUNCTION("""COMPUTED_VALUE"""),"Tia Ximena")</f>
        <v>Tia Ximena</v>
      </c>
      <c r="G234" s="6" t="str">
        <f>IFERROR(__xludf.DUMMYFUNCTION("""COMPUTED_VALUE"""),"8")</f>
        <v>8</v>
      </c>
      <c r="H234" s="6" t="str">
        <f>IFERROR(__xludf.DUMMYFUNCTION("""COMPUTED_VALUE"""),"De León Rodríguez Matías")</f>
        <v>De León Rodríguez Matías</v>
      </c>
      <c r="I234" s="6" t="str">
        <f>IFERROR(__xludf.DUMMYFUNCTION("""COMPUTED_VALUE"""),"Demograficos_Images/1345282057.Foto_Estudiante.192304.jpg")</f>
        <v>Demograficos_Images/1345282057.Foto_Estudiante.192304.jpg</v>
      </c>
      <c r="J234" s="8">
        <f>IFERROR(__xludf.DUMMYFUNCTION("""COMPUTED_VALUE"""),46259.71875)</f>
        <v>46259.71875</v>
      </c>
      <c r="K234" s="6" t="str">
        <f>IFERROR(__xludf.DUMMYFUNCTION("""COMPUTED_VALUE"""),"secundaria@gi.edu.co")</f>
        <v>secundaria@gi.edu.co</v>
      </c>
      <c r="L234" s="6" t="str">
        <f>IFERROR(__xludf.DUMMYFUNCTION("""COMPUTED_VALUE"""),"1345282057")</f>
        <v>1345282057</v>
      </c>
      <c r="M234" s="9">
        <f>IFERROR(__xludf.DUMMYFUNCTION("""COMPUTED_VALUE"""),46259.59048611111)</f>
        <v>46259.59049</v>
      </c>
      <c r="N234" s="6" t="str">
        <f>IFERROR(__xludf.DUMMYFUNCTION("""COMPUTED_VALUE"""),"Pendiente")</f>
        <v>Pendiente</v>
      </c>
      <c r="O234" s="6"/>
      <c r="P234" s="17">
        <f>IFERROR(__xludf.DUMMYFUNCTION("""COMPUTED_VALUE"""),46259.59048611111)</f>
        <v>46259.59049</v>
      </c>
      <c r="Q234" s="6"/>
      <c r="R234" s="6"/>
      <c r="S234" s="6"/>
      <c r="T234" s="6"/>
      <c r="U234" s="6" t="str">
        <f>IFERROR(__xludf.DUMMYFUNCTION("""COMPUTED_VALUE"""),"Otras Novedades")</f>
        <v>Otras Novedades</v>
      </c>
      <c r="V234" s="6"/>
      <c r="W234" s="6"/>
      <c r="X234" s="6"/>
      <c r="Y234" s="6"/>
      <c r="Z234" s="6"/>
    </row>
    <row r="235">
      <c r="A235" s="6" t="str">
        <f>IFERROR(__xludf.DUMMYFUNCTION("""COMPUTED_VALUE"""),"5fa38520")</f>
        <v>5fa38520</v>
      </c>
      <c r="B235" s="7" t="str">
        <f>IFERROR(__xludf.DUMMYFUNCTION("""COMPUTED_VALUE"""),"1345282527")</f>
        <v>1345282527</v>
      </c>
      <c r="C235" s="6" t="str">
        <f>IFERROR(__xludf.DUMMYFUNCTION("""COMPUTED_VALUE"""),"Sale con la tía lina")</f>
        <v>Sale con la tía lina</v>
      </c>
      <c r="D235" s="6" t="str">
        <f>IFERROR(__xludf.DUMMYFUNCTION("""COMPUTED_VALUE"""),"Otro")</f>
        <v>Otro</v>
      </c>
      <c r="E235" s="6"/>
      <c r="F235" s="6" t="str">
        <f>IFERROR(__xludf.DUMMYFUNCTION("""COMPUTED_VALUE"""),"Lina")</f>
        <v>Lina</v>
      </c>
      <c r="G235" s="6" t="str">
        <f>IFERROR(__xludf.DUMMYFUNCTION("""COMPUTED_VALUE"""),"K4")</f>
        <v>K4</v>
      </c>
      <c r="H235" s="6" t="str">
        <f>IFERROR(__xludf.DUMMYFUNCTION("""COMPUTED_VALUE"""),"Méndez Reyes Celeste")</f>
        <v>Méndez Reyes Celeste</v>
      </c>
      <c r="I235" s="6" t="str">
        <f>IFERROR(__xludf.DUMMYFUNCTION("""COMPUTED_VALUE"""),"Demograficos_Images/1345282527.Foto_Estudiante.183603.jpg")</f>
        <v>Demograficos_Images/1345282527.Foto_Estudiante.183603.jpg</v>
      </c>
      <c r="J235" s="8">
        <f>IFERROR(__xludf.DUMMYFUNCTION("""COMPUTED_VALUE"""),46259.614583333336)</f>
        <v>46259.61458</v>
      </c>
      <c r="K235" s="6" t="str">
        <f>IFERROR(__xludf.DUMMYFUNCTION("""COMPUTED_VALUE"""),"kinder@gi.edu.co")</f>
        <v>kinder@gi.edu.co</v>
      </c>
      <c r="L235" s="6" t="str">
        <f>IFERROR(__xludf.DUMMYFUNCTION("""COMPUTED_VALUE"""),"1345282527")</f>
        <v>1345282527</v>
      </c>
      <c r="M235" s="9">
        <f>IFERROR(__xludf.DUMMYFUNCTION("""COMPUTED_VALUE"""),46259.615115740744)</f>
        <v>46259.61512</v>
      </c>
      <c r="N235" s="6" t="str">
        <f>IFERROR(__xludf.DUMMYFUNCTION("""COMPUTED_VALUE"""),"Pendiente")</f>
        <v>Pendiente</v>
      </c>
      <c r="O235" s="6"/>
      <c r="P235" s="17">
        <f>IFERROR(__xludf.DUMMYFUNCTION("""COMPUTED_VALUE"""),46259.615115740744)</f>
        <v>46259.61512</v>
      </c>
      <c r="Q235" s="6"/>
      <c r="R235" s="6"/>
      <c r="S235" s="6"/>
      <c r="T235" s="6"/>
      <c r="U235" s="6" t="str">
        <f>IFERROR(__xludf.DUMMYFUNCTION("""COMPUTED_VALUE"""),"Otras Novedades")</f>
        <v>Otras Novedades</v>
      </c>
      <c r="V235" s="6"/>
      <c r="W235" s="6"/>
      <c r="X235" s="6"/>
      <c r="Y235" s="6"/>
      <c r="Z235" s="6"/>
    </row>
    <row r="236">
      <c r="A236" s="6" t="str">
        <f>IFERROR(__xludf.DUMMYFUNCTION("""COMPUTED_VALUE"""),"b47c70e6")</f>
        <v>b47c70e6</v>
      </c>
      <c r="B236" s="7" t="str">
        <f>IFERROR(__xludf.DUMMYFUNCTION("""COMPUTED_VALUE"""),"1345281249")</f>
        <v>1345281249</v>
      </c>
      <c r="C236" s="6" t="str">
        <f>IFERROR(__xludf.DUMMYFUNCTION("""COMPUTED_VALUE"""),"Cita de control con psicología virtual estará dentro del colegio en biblioteca")</f>
        <v>Cita de control con psicología virtual estará dentro del colegio en biblioteca</v>
      </c>
      <c r="D236" s="6"/>
      <c r="E236" s="6"/>
      <c r="F236" s="6"/>
      <c r="G236" s="6" t="str">
        <f>IFERROR(__xludf.DUMMYFUNCTION("""COMPUTED_VALUE"""),"11")</f>
        <v>11</v>
      </c>
      <c r="H236" s="6" t="str">
        <f>IFERROR(__xludf.DUMMYFUNCTION("""COMPUTED_VALUE"""),"González Mejía Antonia")</f>
        <v>González Mejía Antonia</v>
      </c>
      <c r="I236" s="6" t="str">
        <f>IFERROR(__xludf.DUMMYFUNCTION("""COMPUTED_VALUE"""),"Demograficos_Images/1345281249.Foto_Estudiante.180834.jpg")</f>
        <v>Demograficos_Images/1345281249.Foto_Estudiante.180834.jpg</v>
      </c>
      <c r="J236" s="8">
        <f>IFERROR(__xludf.DUMMYFUNCTION("""COMPUTED_VALUE"""),46260.493055555555)</f>
        <v>46260.49306</v>
      </c>
      <c r="K236" s="6" t="str">
        <f>IFERROR(__xludf.DUMMYFUNCTION("""COMPUTED_VALUE"""),"secundaria@gi.edu.co")</f>
        <v>secundaria@gi.edu.co</v>
      </c>
      <c r="L236" s="6" t="str">
        <f>IFERROR(__xludf.DUMMYFUNCTION("""COMPUTED_VALUE"""),"1345281249")</f>
        <v>1345281249</v>
      </c>
      <c r="M236" s="9">
        <f>IFERROR(__xludf.DUMMYFUNCTION("""COMPUTED_VALUE"""),46260.31313657408)</f>
        <v>46260.31314</v>
      </c>
      <c r="N236" s="6" t="str">
        <f>IFERROR(__xludf.DUMMYFUNCTION("""COMPUTED_VALUE"""),"Pendiente")</f>
        <v>Pendiente</v>
      </c>
      <c r="O236" s="6"/>
      <c r="P236" s="17">
        <f>IFERROR(__xludf.DUMMYFUNCTION("""COMPUTED_VALUE"""),46260.31313657408)</f>
        <v>46260.31314</v>
      </c>
      <c r="Q236" s="6"/>
      <c r="R236" s="6"/>
      <c r="S236" s="6"/>
      <c r="T236" s="6"/>
      <c r="U236" s="6" t="str">
        <f>IFERROR(__xludf.DUMMYFUNCTION("""COMPUTED_VALUE"""),"Otras Novedades")</f>
        <v>Otras Novedades</v>
      </c>
      <c r="V236" s="6"/>
      <c r="W236" s="6"/>
      <c r="X236" s="6"/>
      <c r="Y236" s="6"/>
      <c r="Z236" s="6"/>
    </row>
    <row r="237">
      <c r="A237" s="6" t="str">
        <f>IFERROR(__xludf.DUMMYFUNCTION("""COMPUTED_VALUE"""),"807f2bac")</f>
        <v>807f2bac</v>
      </c>
      <c r="B237" s="7" t="str">
        <f>IFERROR(__xludf.DUMMYFUNCTION("""COMPUTED_VALUE"""),"1345282114")</f>
        <v>1345282114</v>
      </c>
      <c r="C237" s="6" t="str">
        <f>IFERROR(__xludf.DUMMYFUNCTION("""COMPUTED_VALUE"""),"Cita medica")</f>
        <v>Cita medica</v>
      </c>
      <c r="D237" s="6" t="str">
        <f>IFERROR(__xludf.DUMMYFUNCTION("""COMPUTED_VALUE"""),"Madre")</f>
        <v>Madre</v>
      </c>
      <c r="E237" s="6" t="str">
        <f>IFERROR(__xludf.DUMMYFUNCTION("""COMPUTED_VALUE"""),"Madre: Claudia Milena Quintero Morales")</f>
        <v>Madre: Claudia Milena Quintero Morales</v>
      </c>
      <c r="F237" s="6"/>
      <c r="G237" s="6" t="str">
        <f>IFERROR(__xludf.DUMMYFUNCTION("""COMPUTED_VALUE"""),"3")</f>
        <v>3</v>
      </c>
      <c r="H237" s="6" t="str">
        <f>IFERROR(__xludf.DUMMYFUNCTION("""COMPUTED_VALUE"""),"Montoya Quintero Eva")</f>
        <v>Montoya Quintero Eva</v>
      </c>
      <c r="I237" s="6" t="str">
        <f>IFERROR(__xludf.DUMMYFUNCTION("""COMPUTED_VALUE"""),"Demograficos_Images/1345282114.Foto_Estudiante.135233.jpg")</f>
        <v>Demograficos_Images/1345282114.Foto_Estudiante.135233.jpg</v>
      </c>
      <c r="J237" s="8">
        <f>IFERROR(__xludf.DUMMYFUNCTION("""COMPUTED_VALUE"""),46260.5625)</f>
        <v>46260.5625</v>
      </c>
      <c r="K237" s="6" t="str">
        <f>IFERROR(__xludf.DUMMYFUNCTION("""COMPUTED_VALUE"""),"primaria@gi.edu.co")</f>
        <v>primaria@gi.edu.co</v>
      </c>
      <c r="L237" s="6" t="str">
        <f>IFERROR(__xludf.DUMMYFUNCTION("""COMPUTED_VALUE"""),"1345282114")</f>
        <v>1345282114</v>
      </c>
      <c r="M237" s="9">
        <f>IFERROR(__xludf.DUMMYFUNCTION("""COMPUTED_VALUE"""),46260.31489583333)</f>
        <v>46260.3149</v>
      </c>
      <c r="N237" s="6" t="str">
        <f>IFERROR(__xludf.DUMMYFUNCTION("""COMPUTED_VALUE"""),"Pendiente")</f>
        <v>Pendiente</v>
      </c>
      <c r="O237" s="6"/>
      <c r="P237" s="17">
        <f>IFERROR(__xludf.DUMMYFUNCTION("""COMPUTED_VALUE"""),46260.31489583333)</f>
        <v>46260.3149</v>
      </c>
      <c r="Q237" s="6"/>
      <c r="R237" s="6" t="str">
        <f>IFERROR(__xludf.DUMMYFUNCTION("""COMPUTED_VALUE"""),"Cita médico general")</f>
        <v>Cita médico general</v>
      </c>
      <c r="S237" s="6" t="b">
        <f>IFERROR(__xludf.DUMMYFUNCTION("""COMPUTED_VALUE"""),FALSE)</f>
        <v>0</v>
      </c>
      <c r="T237" s="6"/>
      <c r="U237" s="6" t="str">
        <f>IFERROR(__xludf.DUMMYFUNCTION("""COMPUTED_VALUE"""),"Salida temprano")</f>
        <v>Salida temprano</v>
      </c>
      <c r="V237" s="6"/>
      <c r="W237" s="6"/>
      <c r="X237" s="6"/>
      <c r="Y237" s="6"/>
      <c r="Z237" s="6"/>
    </row>
    <row r="238">
      <c r="A238" s="6" t="str">
        <f>IFERROR(__xludf.DUMMYFUNCTION("""COMPUTED_VALUE"""),"2b9c179e")</f>
        <v>2b9c179e</v>
      </c>
      <c r="B238" s="7" t="str">
        <f>IFERROR(__xludf.DUMMYFUNCTION("""COMPUTED_VALUE"""),"1345282119")</f>
        <v>1345282119</v>
      </c>
      <c r="C238" s="6" t="str">
        <f>IFERROR(__xludf.DUMMYFUNCTION("""COMPUTED_VALUE"""),"Sale con la mamá")</f>
        <v>Sale con la mamá</v>
      </c>
      <c r="D238" s="6" t="str">
        <f>IFERROR(__xludf.DUMMYFUNCTION("""COMPUTED_VALUE"""),"Madre")</f>
        <v>Madre</v>
      </c>
      <c r="E238" s="6" t="str">
        <f>IFERROR(__xludf.DUMMYFUNCTION("""COMPUTED_VALUE"""),"Madre: Catalina  Lezama Velásquez")</f>
        <v>Madre: Catalina  Lezama Velásquez</v>
      </c>
      <c r="F238" s="6"/>
      <c r="G238" s="6" t="str">
        <f>IFERROR(__xludf.DUMMYFUNCTION("""COMPUTED_VALUE"""),"2")</f>
        <v>2</v>
      </c>
      <c r="H238" s="6" t="str">
        <f>IFERROR(__xludf.DUMMYFUNCTION("""COMPUTED_VALUE"""),"Ospina Lezama Simon")</f>
        <v>Ospina Lezama Simon</v>
      </c>
      <c r="I238" s="6" t="str">
        <f>IFERROR(__xludf.DUMMYFUNCTION("""COMPUTED_VALUE"""),"Demograficos_Images/1345282119.Foto_Estudiante.210302.jpg")</f>
        <v>Demograficos_Images/1345282119.Foto_Estudiante.210302.jpg</v>
      </c>
      <c r="J238" s="8">
        <f>IFERROR(__xludf.DUMMYFUNCTION("""COMPUTED_VALUE"""),46260.57638888889)</f>
        <v>46260.57639</v>
      </c>
      <c r="K238" s="6" t="str">
        <f>IFERROR(__xludf.DUMMYFUNCTION("""COMPUTED_VALUE"""),"primaria@gi.edu.co")</f>
        <v>primaria@gi.edu.co</v>
      </c>
      <c r="L238" s="6" t="str">
        <f>IFERROR(__xludf.DUMMYFUNCTION("""COMPUTED_VALUE"""),"1345282119")</f>
        <v>1345282119</v>
      </c>
      <c r="M238" s="9">
        <f>IFERROR(__xludf.DUMMYFUNCTION("""COMPUTED_VALUE"""),46260.316655092596)</f>
        <v>46260.31666</v>
      </c>
      <c r="N238" s="6" t="str">
        <f>IFERROR(__xludf.DUMMYFUNCTION("""COMPUTED_VALUE"""),"Pendiente")</f>
        <v>Pendiente</v>
      </c>
      <c r="O238" s="6"/>
      <c r="P238" s="17">
        <f>IFERROR(__xludf.DUMMYFUNCTION("""COMPUTED_VALUE"""),46260.316655092596)</f>
        <v>46260.31666</v>
      </c>
      <c r="Q238" s="6"/>
      <c r="R238" s="6" t="str">
        <f>IFERROR(__xludf.DUMMYFUNCTION("""COMPUTED_VALUE"""),"Asuntos Familiares")</f>
        <v>Asuntos Familiares</v>
      </c>
      <c r="S238" s="6" t="b">
        <f>IFERROR(__xludf.DUMMYFUNCTION("""COMPUTED_VALUE"""),FALSE)</f>
        <v>0</v>
      </c>
      <c r="T238" s="6"/>
      <c r="U238" s="6" t="str">
        <f>IFERROR(__xludf.DUMMYFUNCTION("""COMPUTED_VALUE"""),"Salida temprano")</f>
        <v>Salida temprano</v>
      </c>
      <c r="V238" s="6"/>
      <c r="W238" s="6"/>
      <c r="X238" s="6"/>
      <c r="Y238" s="6"/>
      <c r="Z238" s="6"/>
    </row>
    <row r="239">
      <c r="A239" s="6" t="str">
        <f>IFERROR(__xludf.DUMMYFUNCTION("""COMPUTED_VALUE"""),"0ab79364")</f>
        <v>0ab79364</v>
      </c>
      <c r="B239" s="7" t="str">
        <f>IFERROR(__xludf.DUMMYFUNCTION("""COMPUTED_VALUE"""),"1345281411")</f>
        <v>1345281411</v>
      </c>
      <c r="C239" s="6" t="str">
        <f>IFERROR(__xludf.DUMMYFUNCTION("""COMPUTED_VALUE"""),"Estará trabajando con Gemay en su plan de recuperación hasta las 12:00pm")</f>
        <v>Estará trabajando con Gemay en su plan de recuperación hasta las 12:00pm</v>
      </c>
      <c r="D239" s="6"/>
      <c r="E239" s="6"/>
      <c r="F239" s="6"/>
      <c r="G239" s="6" t="str">
        <f>IFERROR(__xludf.DUMMYFUNCTION("""COMPUTED_VALUE"""),"11")</f>
        <v>11</v>
      </c>
      <c r="H239" s="6" t="str">
        <f>IFERROR(__xludf.DUMMYFUNCTION("""COMPUTED_VALUE"""),"Cuadrado Madrid Jacobo")</f>
        <v>Cuadrado Madrid Jacobo</v>
      </c>
      <c r="I239" s="6" t="str">
        <f>IFERROR(__xludf.DUMMYFUNCTION("""COMPUTED_VALUE"""),"Demograficos_Images/1345281411.Foto_Estudiante.182452.jpg")</f>
        <v>Demograficos_Images/1345281411.Foto_Estudiante.182452.jpg</v>
      </c>
      <c r="J239" s="8">
        <f>IFERROR(__xludf.DUMMYFUNCTION("""COMPUTED_VALUE"""),46260.416666666664)</f>
        <v>46260.41667</v>
      </c>
      <c r="K239" s="6" t="str">
        <f>IFERROR(__xludf.DUMMYFUNCTION("""COMPUTED_VALUE"""),"secundaria@gi.edu.co")</f>
        <v>secundaria@gi.edu.co</v>
      </c>
      <c r="L239" s="6" t="str">
        <f>IFERROR(__xludf.DUMMYFUNCTION("""COMPUTED_VALUE"""),"1345281411")</f>
        <v>1345281411</v>
      </c>
      <c r="M239" s="9">
        <f>IFERROR(__xludf.DUMMYFUNCTION("""COMPUTED_VALUE"""),46260.32104166667)</f>
        <v>46260.32104</v>
      </c>
      <c r="N239" s="6" t="str">
        <f>IFERROR(__xludf.DUMMYFUNCTION("""COMPUTED_VALUE"""),"Pendiente")</f>
        <v>Pendiente</v>
      </c>
      <c r="O239" s="6"/>
      <c r="P239" s="17">
        <f>IFERROR(__xludf.DUMMYFUNCTION("""COMPUTED_VALUE"""),46260.32104166667)</f>
        <v>46260.32104</v>
      </c>
      <c r="Q239" s="6"/>
      <c r="R239" s="6" t="str">
        <f>IFERROR(__xludf.DUMMYFUNCTION("""COMPUTED_VALUE"""),"Coordinación")</f>
        <v>Coordinación</v>
      </c>
      <c r="S239" s="6"/>
      <c r="T239" s="6"/>
      <c r="U239" s="6" t="str">
        <f>IFERROR(__xludf.DUMMYFUNCTION("""COMPUTED_VALUE"""),"Apoyo Escolar")</f>
        <v>Apoyo Escolar</v>
      </c>
      <c r="V239" s="6"/>
      <c r="W239" s="6"/>
      <c r="X239" s="6"/>
      <c r="Y239" s="6"/>
      <c r="Z239" s="6"/>
    </row>
    <row r="240">
      <c r="A240" s="6" t="str">
        <f>IFERROR(__xludf.DUMMYFUNCTION("""COMPUTED_VALUE"""),"6fec5583")</f>
        <v>6fec5583</v>
      </c>
      <c r="B240" s="7" t="str">
        <f>IFERROR(__xludf.DUMMYFUNCTION("""COMPUTED_VALUE"""),"1345281411")</f>
        <v>1345281411</v>
      </c>
      <c r="C240" s="6" t="str">
        <f>IFERROR(__xludf.DUMMYFUNCTION("""COMPUTED_VALUE"""),"Estará trabajando con Gemay en su plan de recuperación hasta las 3:05")</f>
        <v>Estará trabajando con Gemay en su plan de recuperación hasta las 3:05</v>
      </c>
      <c r="D240" s="6"/>
      <c r="E240" s="6"/>
      <c r="F240" s="6"/>
      <c r="G240" s="6" t="str">
        <f>IFERROR(__xludf.DUMMYFUNCTION("""COMPUTED_VALUE"""),"11")</f>
        <v>11</v>
      </c>
      <c r="H240" s="6" t="str">
        <f>IFERROR(__xludf.DUMMYFUNCTION("""COMPUTED_VALUE"""),"Cuadrado Madrid Jacobo")</f>
        <v>Cuadrado Madrid Jacobo</v>
      </c>
      <c r="I240" s="6" t="str">
        <f>IFERROR(__xludf.DUMMYFUNCTION("""COMPUTED_VALUE"""),"Demograficos_Images/1345281411.Foto_Estudiante.182452.jpg")</f>
        <v>Demograficos_Images/1345281411.Foto_Estudiante.182452.jpg</v>
      </c>
      <c r="J240" s="8">
        <f>IFERROR(__xludf.DUMMYFUNCTION("""COMPUTED_VALUE"""),46261.583333333336)</f>
        <v>46261.58333</v>
      </c>
      <c r="K240" s="6" t="str">
        <f>IFERROR(__xludf.DUMMYFUNCTION("""COMPUTED_VALUE"""),"secundaria@gi.edu.co")</f>
        <v>secundaria@gi.edu.co</v>
      </c>
      <c r="L240" s="6" t="str">
        <f>IFERROR(__xludf.DUMMYFUNCTION("""COMPUTED_VALUE"""),"1345281411")</f>
        <v>1345281411</v>
      </c>
      <c r="M240" s="9">
        <f>IFERROR(__xludf.DUMMYFUNCTION("""COMPUTED_VALUE"""),46260.3253125)</f>
        <v>46260.32531</v>
      </c>
      <c r="N240" s="6" t="str">
        <f>IFERROR(__xludf.DUMMYFUNCTION("""COMPUTED_VALUE"""),"Pendiente")</f>
        <v>Pendiente</v>
      </c>
      <c r="O240" s="6"/>
      <c r="P240" s="17">
        <f>IFERROR(__xludf.DUMMYFUNCTION("""COMPUTED_VALUE"""),46260.3253125)</f>
        <v>46260.32531</v>
      </c>
      <c r="Q240" s="6"/>
      <c r="R240" s="6" t="str">
        <f>IFERROR(__xludf.DUMMYFUNCTION("""COMPUTED_VALUE"""),"Coordinación")</f>
        <v>Coordinación</v>
      </c>
      <c r="S240" s="6"/>
      <c r="T240" s="6"/>
      <c r="U240" s="6" t="str">
        <f>IFERROR(__xludf.DUMMYFUNCTION("""COMPUTED_VALUE"""),"Apoyo Escolar")</f>
        <v>Apoyo Escolar</v>
      </c>
      <c r="V240" s="6"/>
      <c r="W240" s="6"/>
      <c r="X240" s="6"/>
      <c r="Y240" s="6"/>
      <c r="Z240" s="6"/>
    </row>
    <row r="241">
      <c r="A241" s="6" t="str">
        <f>IFERROR(__xludf.DUMMYFUNCTION("""COMPUTED_VALUE"""),"a954c0c5")</f>
        <v>a954c0c5</v>
      </c>
      <c r="B241" s="7" t="str">
        <f>IFERROR(__xludf.DUMMYFUNCTION("""COMPUTED_VALUE"""),"1345281411")</f>
        <v>1345281411</v>
      </c>
      <c r="C241" s="6" t="str">
        <f>IFERROR(__xludf.DUMMYFUNCTION("""COMPUTED_VALUE"""),"Estará trabajando con Gemay en su plan de recuperación hasta las 3:05")</f>
        <v>Estará trabajando con Gemay en su plan de recuperación hasta las 3:05</v>
      </c>
      <c r="D241" s="6"/>
      <c r="E241" s="6"/>
      <c r="F241" s="6"/>
      <c r="G241" s="6" t="str">
        <f>IFERROR(__xludf.DUMMYFUNCTION("""COMPUTED_VALUE"""),"11")</f>
        <v>11</v>
      </c>
      <c r="H241" s="6" t="str">
        <f>IFERROR(__xludf.DUMMYFUNCTION("""COMPUTED_VALUE"""),"Cuadrado Madrid Jacobo")</f>
        <v>Cuadrado Madrid Jacobo</v>
      </c>
      <c r="I241" s="6" t="str">
        <f>IFERROR(__xludf.DUMMYFUNCTION("""COMPUTED_VALUE"""),"Demograficos_Images/1345281411.Foto_Estudiante.182452.jpg")</f>
        <v>Demograficos_Images/1345281411.Foto_Estudiante.182452.jpg</v>
      </c>
      <c r="J241" s="8">
        <f>IFERROR(__xludf.DUMMYFUNCTION("""COMPUTED_VALUE"""),46267.583333333336)</f>
        <v>46267.58333</v>
      </c>
      <c r="K241" s="6" t="str">
        <f>IFERROR(__xludf.DUMMYFUNCTION("""COMPUTED_VALUE"""),"secundaria@gi.edu.co")</f>
        <v>secundaria@gi.edu.co</v>
      </c>
      <c r="L241" s="6" t="str">
        <f>IFERROR(__xludf.DUMMYFUNCTION("""COMPUTED_VALUE"""),"1345281411")</f>
        <v>1345281411</v>
      </c>
      <c r="M241" s="9">
        <f>IFERROR(__xludf.DUMMYFUNCTION("""COMPUTED_VALUE"""),46260.32613425926)</f>
        <v>46260.32613</v>
      </c>
      <c r="N241" s="6" t="str">
        <f>IFERROR(__xludf.DUMMYFUNCTION("""COMPUTED_VALUE"""),"Pendiente")</f>
        <v>Pendiente</v>
      </c>
      <c r="O241" s="6"/>
      <c r="P241" s="17">
        <f>IFERROR(__xludf.DUMMYFUNCTION("""COMPUTED_VALUE"""),46260.32613425926)</f>
        <v>46260.32613</v>
      </c>
      <c r="Q241" s="6"/>
      <c r="R241" s="6" t="str">
        <f>IFERROR(__xludf.DUMMYFUNCTION("""COMPUTED_VALUE"""),"Coordinación")</f>
        <v>Coordinación</v>
      </c>
      <c r="S241" s="6"/>
      <c r="T241" s="6"/>
      <c r="U241" s="6" t="str">
        <f>IFERROR(__xludf.DUMMYFUNCTION("""COMPUTED_VALUE"""),"Apoyo Escolar")</f>
        <v>Apoyo Escolar</v>
      </c>
      <c r="V241" s="6"/>
      <c r="W241" s="6"/>
      <c r="X241" s="6"/>
      <c r="Y241" s="6"/>
      <c r="Z241" s="6"/>
    </row>
    <row r="242">
      <c r="A242" s="6" t="str">
        <f>IFERROR(__xludf.DUMMYFUNCTION("""COMPUTED_VALUE"""),"723929b6")</f>
        <v>723929b6</v>
      </c>
      <c r="B242" s="7" t="str">
        <f>IFERROR(__xludf.DUMMYFUNCTION("""COMPUTED_VALUE"""),"1345281411")</f>
        <v>1345281411</v>
      </c>
      <c r="C242" s="6" t="str">
        <f>IFERROR(__xludf.DUMMYFUNCTION("""COMPUTED_VALUE"""),"Estará trabajando con Gemay en su plan de recuperación hasta las 9:00am")</f>
        <v>Estará trabajando con Gemay en su plan de recuperación hasta las 9:00am</v>
      </c>
      <c r="D242" s="6"/>
      <c r="E242" s="6"/>
      <c r="F242" s="6"/>
      <c r="G242" s="6" t="str">
        <f>IFERROR(__xludf.DUMMYFUNCTION("""COMPUTED_VALUE"""),"11")</f>
        <v>11</v>
      </c>
      <c r="H242" s="6" t="str">
        <f>IFERROR(__xludf.DUMMYFUNCTION("""COMPUTED_VALUE"""),"Cuadrado Madrid Jacobo")</f>
        <v>Cuadrado Madrid Jacobo</v>
      </c>
      <c r="I242" s="6" t="str">
        <f>IFERROR(__xludf.DUMMYFUNCTION("""COMPUTED_VALUE"""),"Demograficos_Images/1345281411.Foto_Estudiante.182452.jpg")</f>
        <v>Demograficos_Images/1345281411.Foto_Estudiante.182452.jpg</v>
      </c>
      <c r="J242" s="8">
        <f>IFERROR(__xludf.DUMMYFUNCTION("""COMPUTED_VALUE"""),46268.3125)</f>
        <v>46268.3125</v>
      </c>
      <c r="K242" s="6" t="str">
        <f>IFERROR(__xludf.DUMMYFUNCTION("""COMPUTED_VALUE"""),"secundaria@gi.edu.co")</f>
        <v>secundaria@gi.edu.co</v>
      </c>
      <c r="L242" s="6" t="str">
        <f>IFERROR(__xludf.DUMMYFUNCTION("""COMPUTED_VALUE"""),"1345281411")</f>
        <v>1345281411</v>
      </c>
      <c r="M242" s="9">
        <f>IFERROR(__xludf.DUMMYFUNCTION("""COMPUTED_VALUE"""),46260.326736111114)</f>
        <v>46260.32674</v>
      </c>
      <c r="N242" s="6" t="str">
        <f>IFERROR(__xludf.DUMMYFUNCTION("""COMPUTED_VALUE"""),"Pendiente")</f>
        <v>Pendiente</v>
      </c>
      <c r="O242" s="6"/>
      <c r="P242" s="17">
        <f>IFERROR(__xludf.DUMMYFUNCTION("""COMPUTED_VALUE"""),46260.326736111114)</f>
        <v>46260.32674</v>
      </c>
      <c r="Q242" s="6"/>
      <c r="R242" s="6" t="str">
        <f>IFERROR(__xludf.DUMMYFUNCTION("""COMPUTED_VALUE"""),"Coordinación")</f>
        <v>Coordinación</v>
      </c>
      <c r="S242" s="6"/>
      <c r="T242" s="6"/>
      <c r="U242" s="6" t="str">
        <f>IFERROR(__xludf.DUMMYFUNCTION("""COMPUTED_VALUE"""),"Apoyo Escolar")</f>
        <v>Apoyo Escolar</v>
      </c>
      <c r="V242" s="6"/>
      <c r="W242" s="6"/>
      <c r="X242" s="6"/>
      <c r="Y242" s="6"/>
      <c r="Z242" s="6"/>
    </row>
    <row r="243">
      <c r="A243" s="6" t="str">
        <f>IFERROR(__xludf.DUMMYFUNCTION("""COMPUTED_VALUE"""),"3760a0cd")</f>
        <v>3760a0cd</v>
      </c>
      <c r="B243" s="7" t="str">
        <f>IFERROR(__xludf.DUMMYFUNCTION("""COMPUTED_VALUE"""),"1345281746")</f>
        <v>1345281746</v>
      </c>
      <c r="C243" s="6" t="str">
        <f>IFERROR(__xludf.DUMMYFUNCTION("""COMPUTED_VALUE"""),"Sale con el papá de Maria Alejandra Silva")</f>
        <v>Sale con el papá de Maria Alejandra Silva</v>
      </c>
      <c r="D243" s="6" t="str">
        <f>IFERROR(__xludf.DUMMYFUNCTION("""COMPUTED_VALUE"""),"Otro")</f>
        <v>Otro</v>
      </c>
      <c r="E243" s="6"/>
      <c r="F243" s="6" t="str">
        <f>IFERROR(__xludf.DUMMYFUNCTION("""COMPUTED_VALUE"""),"Oscar Hernán Silva papá de Maria Alejandra Silva")</f>
        <v>Oscar Hernán Silva papá de Maria Alejandra Silva</v>
      </c>
      <c r="G243" s="6" t="str">
        <f>IFERROR(__xludf.DUMMYFUNCTION("""COMPUTED_VALUE"""),"9")</f>
        <v>9</v>
      </c>
      <c r="H243" s="6" t="str">
        <f>IFERROR(__xludf.DUMMYFUNCTION("""COMPUTED_VALUE"""),"Ortíz Castillo Emilia")</f>
        <v>Ortíz Castillo Emilia</v>
      </c>
      <c r="I243" s="6" t="str">
        <f>IFERROR(__xludf.DUMMYFUNCTION("""COMPUTED_VALUE"""),"Demograficos_Images/1345281746.Foto_Estudiante.185449.jpg")</f>
        <v>Demograficos_Images/1345281746.Foto_Estudiante.185449.jpg</v>
      </c>
      <c r="J243" s="8">
        <f>IFERROR(__xludf.DUMMYFUNCTION("""COMPUTED_VALUE"""),46260.583333333336)</f>
        <v>46260.58333</v>
      </c>
      <c r="K243" s="6" t="str">
        <f>IFERROR(__xludf.DUMMYFUNCTION("""COMPUTED_VALUE"""),"secundaria@gi.edu.co")</f>
        <v>secundaria@gi.edu.co</v>
      </c>
      <c r="L243" s="6" t="str">
        <f>IFERROR(__xludf.DUMMYFUNCTION("""COMPUTED_VALUE"""),"1345281746")</f>
        <v>1345281746</v>
      </c>
      <c r="M243" s="9">
        <f>IFERROR(__xludf.DUMMYFUNCTION("""COMPUTED_VALUE"""),46260.33047453704)</f>
        <v>46260.33047</v>
      </c>
      <c r="N243" s="6" t="str">
        <f>IFERROR(__xludf.DUMMYFUNCTION("""COMPUTED_VALUE"""),"Pendiente")</f>
        <v>Pendiente</v>
      </c>
      <c r="O243" s="6"/>
      <c r="P243" s="17">
        <f>IFERROR(__xludf.DUMMYFUNCTION("""COMPUTED_VALUE"""),46260.33047453704)</f>
        <v>46260.33047</v>
      </c>
      <c r="Q243" s="6"/>
      <c r="R243" s="6"/>
      <c r="S243" s="6"/>
      <c r="T243" s="6"/>
      <c r="U243" s="6" t="str">
        <f>IFERROR(__xludf.DUMMYFUNCTION("""COMPUTED_VALUE"""),"Otras Novedades")</f>
        <v>Otras Novedades</v>
      </c>
      <c r="V243" s="6"/>
      <c r="W243" s="6"/>
      <c r="X243" s="6"/>
      <c r="Y243" s="6"/>
      <c r="Z243" s="6"/>
    </row>
    <row r="244">
      <c r="A244" s="6" t="str">
        <f>IFERROR(__xludf.DUMMYFUNCTION("""COMPUTED_VALUE"""),"18b9c761")</f>
        <v>18b9c761</v>
      </c>
      <c r="B244" s="7" t="str">
        <f>IFERROR(__xludf.DUMMYFUNCTION("""COMPUTED_VALUE"""),"1345281720")</f>
        <v>1345281720</v>
      </c>
      <c r="C244" s="6" t="str">
        <f>IFERROR(__xludf.DUMMYFUNCTION("""COMPUTED_VALUE"""),"la mamá informa que debe salir temprano por cita medica")</f>
        <v>la mamá informa que debe salir temprano por cita medica</v>
      </c>
      <c r="D244" s="6" t="str">
        <f>IFERROR(__xludf.DUMMYFUNCTION("""COMPUTED_VALUE"""),"Madre")</f>
        <v>Madre</v>
      </c>
      <c r="E244" s="6" t="str">
        <f>IFERROR(__xludf.DUMMYFUNCTION("""COMPUTED_VALUE"""),"Madre: Karen Viviana Aguirre Calderón")</f>
        <v>Madre: Karen Viviana Aguirre Calderón</v>
      </c>
      <c r="F244" s="6"/>
      <c r="G244" s="6" t="str">
        <f>IFERROR(__xludf.DUMMYFUNCTION("""COMPUTED_VALUE"""),"7")</f>
        <v>7</v>
      </c>
      <c r="H244" s="6" t="str">
        <f>IFERROR(__xludf.DUMMYFUNCTION("""COMPUTED_VALUE"""),"Diago Aguirre Valentina")</f>
        <v>Diago Aguirre Valentina</v>
      </c>
      <c r="I244" s="6" t="str">
        <f>IFERROR(__xludf.DUMMYFUNCTION("""COMPUTED_VALUE"""),"Demograficos_Images/1345281720.Foto_Estudiante.182406.jpg")</f>
        <v>Demograficos_Images/1345281720.Foto_Estudiante.182406.jpg</v>
      </c>
      <c r="J244" s="8">
        <f>IFERROR(__xludf.DUMMYFUNCTION("""COMPUTED_VALUE"""),46260.57986111111)</f>
        <v>46260.57986</v>
      </c>
      <c r="K244" s="6" t="str">
        <f>IFERROR(__xludf.DUMMYFUNCTION("""COMPUTED_VALUE"""),"secundaria@gi.edu.co")</f>
        <v>secundaria@gi.edu.co</v>
      </c>
      <c r="L244" s="6" t="str">
        <f>IFERROR(__xludf.DUMMYFUNCTION("""COMPUTED_VALUE"""),"1345281720")</f>
        <v>1345281720</v>
      </c>
      <c r="M244" s="9">
        <f>IFERROR(__xludf.DUMMYFUNCTION("""COMPUTED_VALUE"""),46260.34347222222)</f>
        <v>46260.34347</v>
      </c>
      <c r="N244" s="6" t="str">
        <f>IFERROR(__xludf.DUMMYFUNCTION("""COMPUTED_VALUE"""),"Pendiente")</f>
        <v>Pendiente</v>
      </c>
      <c r="O244" s="6"/>
      <c r="P244" s="17">
        <f>IFERROR(__xludf.DUMMYFUNCTION("""COMPUTED_VALUE"""),46260.34347222222)</f>
        <v>46260.34347</v>
      </c>
      <c r="Q244" s="6"/>
      <c r="R244" s="6" t="str">
        <f>IFERROR(__xludf.DUMMYFUNCTION("""COMPUTED_VALUE"""),"Cita médica")</f>
        <v>Cita médica</v>
      </c>
      <c r="S244" s="6"/>
      <c r="T244" s="6"/>
      <c r="U244" s="6" t="str">
        <f>IFERROR(__xludf.DUMMYFUNCTION("""COMPUTED_VALUE"""),"Salida temprano")</f>
        <v>Salida temprano</v>
      </c>
      <c r="V244" s="6"/>
      <c r="W244" s="6"/>
      <c r="X244" s="6"/>
      <c r="Y244" s="6"/>
      <c r="Z244" s="6"/>
    </row>
    <row r="245">
      <c r="A245" s="6" t="str">
        <f>IFERROR(__xludf.DUMMYFUNCTION("""COMPUTED_VALUE"""),"9ea4bb27")</f>
        <v>9ea4bb27</v>
      </c>
      <c r="B245" s="7" t="str">
        <f>IFERROR(__xludf.DUMMYFUNCTION("""COMPUTED_VALUE"""),"1345282194")</f>
        <v>1345282194</v>
      </c>
      <c r="C245" s="6" t="str">
        <f>IFERROR(__xludf.DUMMYFUNCTION("""COMPUTED_VALUE"""),"sale con Karen Viviana mamá de Valentina Diago")</f>
        <v>sale con Karen Viviana mamá de Valentina Diago</v>
      </c>
      <c r="D245" s="6" t="str">
        <f>IFERROR(__xludf.DUMMYFUNCTION("""COMPUTED_VALUE"""),"Otro")</f>
        <v>Otro</v>
      </c>
      <c r="E245" s="6"/>
      <c r="F245" s="6" t="str">
        <f>IFERROR(__xludf.DUMMYFUNCTION("""COMPUTED_VALUE"""),"sale con Karen Viviana mamá de Valentina Diago")</f>
        <v>sale con Karen Viviana mamá de Valentina Diago</v>
      </c>
      <c r="G245" s="6" t="str">
        <f>IFERROR(__xludf.DUMMYFUNCTION("""COMPUTED_VALUE"""),"7")</f>
        <v>7</v>
      </c>
      <c r="H245" s="6" t="str">
        <f>IFERROR(__xludf.DUMMYFUNCTION("""COMPUTED_VALUE"""),"Muñoz Gómez Sofía")</f>
        <v>Muñoz Gómez Sofía</v>
      </c>
      <c r="I245" s="6" t="str">
        <f>IFERROR(__xludf.DUMMYFUNCTION("""COMPUTED_VALUE"""),"Demograficos_Images/1345282194.Foto_Estudiante.193630.jpg")</f>
        <v>Demograficos_Images/1345282194.Foto_Estudiante.193630.jpg</v>
      </c>
      <c r="J245" s="8">
        <f>IFERROR(__xludf.DUMMYFUNCTION("""COMPUTED_VALUE"""),46260.57986111111)</f>
        <v>46260.57986</v>
      </c>
      <c r="K245" s="6" t="str">
        <f>IFERROR(__xludf.DUMMYFUNCTION("""COMPUTED_VALUE"""),"secundaria@gi.edu.co")</f>
        <v>secundaria@gi.edu.co</v>
      </c>
      <c r="L245" s="6" t="str">
        <f>IFERROR(__xludf.DUMMYFUNCTION("""COMPUTED_VALUE"""),"1345282194")</f>
        <v>1345282194</v>
      </c>
      <c r="M245" s="9">
        <f>IFERROR(__xludf.DUMMYFUNCTION("""COMPUTED_VALUE"""),46260.3443287037)</f>
        <v>46260.34433</v>
      </c>
      <c r="N245" s="6" t="str">
        <f>IFERROR(__xludf.DUMMYFUNCTION("""COMPUTED_VALUE"""),"Pendiente")</f>
        <v>Pendiente</v>
      </c>
      <c r="O245" s="6"/>
      <c r="P245" s="17">
        <f>IFERROR(__xludf.DUMMYFUNCTION("""COMPUTED_VALUE"""),46260.3443287037)</f>
        <v>46260.34433</v>
      </c>
      <c r="Q245" s="6"/>
      <c r="R245" s="6" t="str">
        <f>IFERROR(__xludf.DUMMYFUNCTION("""COMPUTED_VALUE"""),"Cita médica")</f>
        <v>Cita médica</v>
      </c>
      <c r="S245" s="6" t="b">
        <f>IFERROR(__xludf.DUMMYFUNCTION("""COMPUTED_VALUE"""),FALSE)</f>
        <v>0</v>
      </c>
      <c r="T245" s="6"/>
      <c r="U245" s="6" t="str">
        <f>IFERROR(__xludf.DUMMYFUNCTION("""COMPUTED_VALUE"""),"Salida temprano")</f>
        <v>Salida temprano</v>
      </c>
      <c r="V245" s="6"/>
      <c r="W245" s="6"/>
      <c r="X245" s="6"/>
      <c r="Y245" s="6"/>
      <c r="Z245" s="6"/>
    </row>
    <row r="246">
      <c r="A246" s="6" t="str">
        <f>IFERROR(__xludf.DUMMYFUNCTION("""COMPUTED_VALUE"""),"feb3ec36")</f>
        <v>feb3ec36</v>
      </c>
      <c r="B246" s="7" t="str">
        <f>IFERROR(__xludf.DUMMYFUNCTION("""COMPUTED_VALUE"""),"1345282119")</f>
        <v>1345282119</v>
      </c>
      <c r="C246" s="6" t="str">
        <f>IFERROR(__xludf.DUMMYFUNCTION("""COMPUTED_VALUE"""),"No extra hoy")</f>
        <v>No extra hoy</v>
      </c>
      <c r="D246" s="6"/>
      <c r="E246" s="6"/>
      <c r="F246" s="6"/>
      <c r="G246" s="6" t="str">
        <f>IFERROR(__xludf.DUMMYFUNCTION("""COMPUTED_VALUE"""),"2")</f>
        <v>2</v>
      </c>
      <c r="H246" s="6" t="str">
        <f>IFERROR(__xludf.DUMMYFUNCTION("""COMPUTED_VALUE"""),"Ospina Lezama Simon")</f>
        <v>Ospina Lezama Simon</v>
      </c>
      <c r="I246" s="6" t="str">
        <f>IFERROR(__xludf.DUMMYFUNCTION("""COMPUTED_VALUE"""),"Demograficos_Images/1345282119.Foto_Estudiante.210302.jpg")</f>
        <v>Demograficos_Images/1345282119.Foto_Estudiante.210302.jpg</v>
      </c>
      <c r="J246" s="8">
        <f>IFERROR(__xludf.DUMMYFUNCTION("""COMPUTED_VALUE"""),46260.57638888889)</f>
        <v>46260.57639</v>
      </c>
      <c r="K246" s="6" t="str">
        <f>IFERROR(__xludf.DUMMYFUNCTION("""COMPUTED_VALUE"""),"primaria@gi.edu.co")</f>
        <v>primaria@gi.edu.co</v>
      </c>
      <c r="L246" s="6" t="str">
        <f>IFERROR(__xludf.DUMMYFUNCTION("""COMPUTED_VALUE"""),"1345282119")</f>
        <v>1345282119</v>
      </c>
      <c r="M246" s="9">
        <f>IFERROR(__xludf.DUMMYFUNCTION("""COMPUTED_VALUE"""),46260.39202546296)</f>
        <v>46260.39203</v>
      </c>
      <c r="N246" s="6" t="str">
        <f>IFERROR(__xludf.DUMMYFUNCTION("""COMPUTED_VALUE"""),"Pendiente")</f>
        <v>Pendiente</v>
      </c>
      <c r="O246" s="6"/>
      <c r="P246" s="17">
        <f>IFERROR(__xludf.DUMMYFUNCTION("""COMPUTED_VALUE"""),46260.39202546296)</f>
        <v>46260.39203</v>
      </c>
      <c r="Q246" s="6"/>
      <c r="R246" s="6" t="str">
        <f>IFERROR(__xludf.DUMMYFUNCTION("""COMPUTED_VALUE"""),"Familiar (celebraciones, encuentros, despedidas, eucaristias)")</f>
        <v>Familiar (celebraciones, encuentros, despedidas, eucaristias)</v>
      </c>
      <c r="S246" s="6" t="b">
        <f>IFERROR(__xludf.DUMMYFUNCTION("""COMPUTED_VALUE"""),FALSE)</f>
        <v>0</v>
      </c>
      <c r="T246" s="6"/>
      <c r="U246" s="6" t="str">
        <f>IFERROR(__xludf.DUMMYFUNCTION("""COMPUTED_VALUE"""),"Salida temprano")</f>
        <v>Salida temprano</v>
      </c>
      <c r="V246" s="6"/>
      <c r="W246" s="6"/>
      <c r="X246" s="6"/>
      <c r="Y246" s="6"/>
      <c r="Z246" s="6"/>
    </row>
    <row r="247">
      <c r="A247" s="6" t="str">
        <f>IFERROR(__xludf.DUMMYFUNCTION("""COMPUTED_VALUE"""),"ba84b5a1")</f>
        <v>ba84b5a1</v>
      </c>
      <c r="B247" s="7" t="str">
        <f>IFERROR(__xludf.DUMMYFUNCTION("""COMPUTED_VALUE"""),"1345281535")</f>
        <v>1345281535</v>
      </c>
      <c r="C247" s="6" t="str">
        <f>IFERROR(__xludf.DUMMYFUNCTION("""COMPUTED_VALUE"""),"sale en el vehiculo Mazda placa GFT850 (AUTORIZADO porque el que trajo en la mañana estaba botando aceite y la mamá vino a cambiarlo)")</f>
        <v>sale en el vehiculo Mazda placa GFT850 (AUTORIZADO porque el que trajo en la mañana estaba botando aceite y la mamá vino a cambiarlo)</v>
      </c>
      <c r="D247" s="6"/>
      <c r="E247" s="6"/>
      <c r="F247" s="6"/>
      <c r="G247" s="6" t="str">
        <f>IFERROR(__xludf.DUMMYFUNCTION("""COMPUTED_VALUE"""),"12")</f>
        <v>12</v>
      </c>
      <c r="H247" s="6" t="str">
        <f>IFERROR(__xludf.DUMMYFUNCTION("""COMPUTED_VALUE"""),"Garcera Valencia María Kamila")</f>
        <v>Garcera Valencia María Kamila</v>
      </c>
      <c r="I247" s="6" t="str">
        <f>IFERROR(__xludf.DUMMYFUNCTION("""COMPUTED_VALUE"""),"Demograficos_Images/1345281535.Foto_Estudiante.181019.jpg")</f>
        <v>Demograficos_Images/1345281535.Foto_Estudiante.181019.jpg</v>
      </c>
      <c r="J247" s="8">
        <f>IFERROR(__xludf.DUMMYFUNCTION("""COMPUTED_VALUE"""),46260.583333333336)</f>
        <v>46260.58333</v>
      </c>
      <c r="K247" s="6" t="str">
        <f>IFERROR(__xludf.DUMMYFUNCTION("""COMPUTED_VALUE"""),"secundaria@gi.edu.co")</f>
        <v>secundaria@gi.edu.co</v>
      </c>
      <c r="L247" s="6" t="str">
        <f>IFERROR(__xludf.DUMMYFUNCTION("""COMPUTED_VALUE"""),"1345281535")</f>
        <v>1345281535</v>
      </c>
      <c r="M247" s="9">
        <f>IFERROR(__xludf.DUMMYFUNCTION("""COMPUTED_VALUE"""),46260.37732638889)</f>
        <v>46260.37733</v>
      </c>
      <c r="N247" s="6" t="str">
        <f>IFERROR(__xludf.DUMMYFUNCTION("""COMPUTED_VALUE"""),"Pendiente")</f>
        <v>Pendiente</v>
      </c>
      <c r="O247" s="6"/>
      <c r="P247" s="17">
        <f>IFERROR(__xludf.DUMMYFUNCTION("""COMPUTED_VALUE"""),46260.37732638889)</f>
        <v>46260.37733</v>
      </c>
      <c r="Q247" s="6"/>
      <c r="R247" s="6"/>
      <c r="S247" s="6"/>
      <c r="T247" s="6"/>
      <c r="U247" s="6" t="str">
        <f>IFERROR(__xludf.DUMMYFUNCTION("""COMPUTED_VALUE"""),"Otras Novedades")</f>
        <v>Otras Novedades</v>
      </c>
      <c r="V247" s="6"/>
      <c r="W247" s="6"/>
      <c r="X247" s="6"/>
      <c r="Y247" s="6"/>
      <c r="Z247" s="6"/>
    </row>
    <row r="248">
      <c r="A248" s="6" t="str">
        <f>IFERROR(__xludf.DUMMYFUNCTION("""COMPUTED_VALUE"""),"acf8f7ee")</f>
        <v>acf8f7ee</v>
      </c>
      <c r="B248" s="7" t="str">
        <f>IFERROR(__xludf.DUMMYFUNCTION("""COMPUTED_VALUE"""),"1345282517")</f>
        <v>1345282517</v>
      </c>
      <c r="C248" s="6" t="str">
        <f>IFERROR(__xludf.DUMMYFUNCTION("""COMPUTED_VALUE"""),"Estudiante estaba con Nubia hasta las 9:40")</f>
        <v>Estudiante estaba con Nubia hasta las 9:40</v>
      </c>
      <c r="D248" s="6"/>
      <c r="E248" s="6"/>
      <c r="F248" s="6"/>
      <c r="G248" s="6" t="str">
        <f>IFERROR(__xludf.DUMMYFUNCTION("""COMPUTED_VALUE"""),"8")</f>
        <v>8</v>
      </c>
      <c r="H248" s="6" t="str">
        <f>IFERROR(__xludf.DUMMYFUNCTION("""COMPUTED_VALUE"""),"Gutiérrez Montoya Vicente")</f>
        <v>Gutiérrez Montoya Vicente</v>
      </c>
      <c r="I248" s="6" t="str">
        <f>IFERROR(__xludf.DUMMYFUNCTION("""COMPUTED_VALUE"""),"Demograficos_Images/1345282517.Foto_Estudiante.192037.jpg")</f>
        <v>Demograficos_Images/1345282517.Foto_Estudiante.192037.jpg</v>
      </c>
      <c r="J248" s="8">
        <f>IFERROR(__xludf.DUMMYFUNCTION("""COMPUTED_VALUE"""),46260.375)</f>
        <v>46260.375</v>
      </c>
      <c r="K248" s="6" t="str">
        <f>IFERROR(__xludf.DUMMYFUNCTION("""COMPUTED_VALUE"""),"secundaria@gi.edu.co")</f>
        <v>secundaria@gi.edu.co</v>
      </c>
      <c r="L248" s="6" t="str">
        <f>IFERROR(__xludf.DUMMYFUNCTION("""COMPUTED_VALUE"""),"1345282517")</f>
        <v>1345282517</v>
      </c>
      <c r="M248" s="9">
        <f>IFERROR(__xludf.DUMMYFUNCTION("""COMPUTED_VALUE"""),46260.40479166667)</f>
        <v>46260.40479</v>
      </c>
      <c r="N248" s="6" t="str">
        <f>IFERROR(__xludf.DUMMYFUNCTION("""COMPUTED_VALUE"""),"Pendiente")</f>
        <v>Pendiente</v>
      </c>
      <c r="O248" s="6"/>
      <c r="P248" s="17">
        <f>IFERROR(__xludf.DUMMYFUNCTION("""COMPUTED_VALUE"""),46260.40479166667)</f>
        <v>46260.40479</v>
      </c>
      <c r="Q248" s="6"/>
      <c r="R248" s="6" t="str">
        <f>IFERROR(__xludf.DUMMYFUNCTION("""COMPUTED_VALUE"""),"Consejería / Equipo de Apoyo")</f>
        <v>Consejería / Equipo de Apoyo</v>
      </c>
      <c r="S248" s="6"/>
      <c r="T248" s="6"/>
      <c r="U248" s="6" t="str">
        <f>IFERROR(__xludf.DUMMYFUNCTION("""COMPUTED_VALUE"""),"Apoyo Escolar")</f>
        <v>Apoyo Escolar</v>
      </c>
      <c r="V248" s="6"/>
      <c r="W248" s="6"/>
      <c r="X248" s="6"/>
      <c r="Y248" s="6"/>
      <c r="Z248" s="6"/>
    </row>
    <row r="249">
      <c r="A249" s="6" t="str">
        <f>IFERROR(__xludf.DUMMYFUNCTION("""COMPUTED_VALUE"""),"c926981a")</f>
        <v>c926981a</v>
      </c>
      <c r="B249" s="7" t="str">
        <f>IFERROR(__xludf.DUMMYFUNCTION("""COMPUTED_VALUE"""),"1345282559")</f>
        <v>1345282559</v>
      </c>
      <c r="C249" s="6" t="str">
        <f>IFERROR(__xludf.DUMMYFUNCTION("""COMPUTED_VALUE"""),"enfermedad")</f>
        <v>enfermedad</v>
      </c>
      <c r="D249" s="6" t="str">
        <f>IFERROR(__xludf.DUMMYFUNCTION("""COMPUTED_VALUE"""),"Madre")</f>
        <v>Madre</v>
      </c>
      <c r="E249" s="6" t="str">
        <f>IFERROR(__xludf.DUMMYFUNCTION("""COMPUTED_VALUE"""),"Madre: Liliana  Duarte Rozo")</f>
        <v>Madre: Liliana  Duarte Rozo</v>
      </c>
      <c r="F249" s="6"/>
      <c r="G249" s="6" t="str">
        <f>IFERROR(__xludf.DUMMYFUNCTION("""COMPUTED_VALUE"""),"K5")</f>
        <v>K5</v>
      </c>
      <c r="H249" s="6" t="str">
        <f>IFERROR(__xludf.DUMMYFUNCTION("""COMPUTED_VALUE"""),"Ballesteros Duarte Alisson")</f>
        <v>Ballesteros Duarte Alisson</v>
      </c>
      <c r="I249" s="6" t="str">
        <f>IFERROR(__xludf.DUMMYFUNCTION("""COMPUTED_VALUE"""),"Demograficos_Images/1345282559.Foto_Estudiante.181823.jpg")</f>
        <v>Demograficos_Images/1345282559.Foto_Estudiante.181823.jpg</v>
      </c>
      <c r="J249" s="8">
        <f>IFERROR(__xludf.DUMMYFUNCTION("""COMPUTED_VALUE"""),46260.40972222222)</f>
        <v>46260.40972</v>
      </c>
      <c r="K249" s="6" t="str">
        <f>IFERROR(__xludf.DUMMYFUNCTION("""COMPUTED_VALUE"""),"enfermeria@gi.edu.co")</f>
        <v>enfermeria@gi.edu.co</v>
      </c>
      <c r="L249" s="6" t="str">
        <f>IFERROR(__xludf.DUMMYFUNCTION("""COMPUTED_VALUE"""),"1345282559")</f>
        <v>1345282559</v>
      </c>
      <c r="M249" s="9">
        <f>IFERROR(__xludf.DUMMYFUNCTION("""COMPUTED_VALUE"""),46260.40997685185)</f>
        <v>46260.40998</v>
      </c>
      <c r="N249" s="6" t="str">
        <f>IFERROR(__xludf.DUMMYFUNCTION("""COMPUTED_VALUE"""),"Pendiente")</f>
        <v>Pendiente</v>
      </c>
      <c r="O249" s="6"/>
      <c r="P249" s="17">
        <f>IFERROR(__xludf.DUMMYFUNCTION("""COMPUTED_VALUE"""),46260.40997685185)</f>
        <v>46260.40998</v>
      </c>
      <c r="Q249" s="6"/>
      <c r="R249" s="6" t="str">
        <f>IFERROR(__xludf.DUMMYFUNCTION("""COMPUTED_VALUE"""),"En la enfermería")</f>
        <v>En la enfermería</v>
      </c>
      <c r="S249" s="6"/>
      <c r="T249" s="6"/>
      <c r="U249" s="6" t="str">
        <f>IFERROR(__xludf.DUMMYFUNCTION("""COMPUTED_VALUE"""),"Salida temprano")</f>
        <v>Salida temprano</v>
      </c>
      <c r="V249" s="6"/>
      <c r="W249" s="6"/>
      <c r="X249" s="6"/>
      <c r="Y249" s="6"/>
      <c r="Z249" s="6"/>
    </row>
    <row r="250">
      <c r="A250" s="6" t="str">
        <f>IFERROR(__xludf.DUMMYFUNCTION("""COMPUTED_VALUE"""),"34136d98")</f>
        <v>34136d98</v>
      </c>
      <c r="B250" s="7" t="str">
        <f>IFERROR(__xludf.DUMMYFUNCTION("""COMPUTED_VALUE"""),"1345281428")</f>
        <v>1345281428</v>
      </c>
      <c r="C250" s="6" t="str">
        <f>IFERROR(__xludf.DUMMYFUNCTION("""COMPUTED_VALUE"""),"sale caminando porque se va con José Pablo Florez")</f>
        <v>sale caminando porque se va con José Pablo Florez</v>
      </c>
      <c r="D250" s="6"/>
      <c r="E250" s="6"/>
      <c r="F250" s="6"/>
      <c r="G250" s="6" t="str">
        <f>IFERROR(__xludf.DUMMYFUNCTION("""COMPUTED_VALUE"""),"10")</f>
        <v>10</v>
      </c>
      <c r="H250" s="6" t="str">
        <f>IFERROR(__xludf.DUMMYFUNCTION("""COMPUTED_VALUE"""),"Tamayo Arias Julio César")</f>
        <v>Tamayo Arias Julio César</v>
      </c>
      <c r="I250" s="6" t="str">
        <f>IFERROR(__xludf.DUMMYFUNCTION("""COMPUTED_VALUE"""),"Demograficos_Images/1345281428.Foto_Estudiante.183715.jpg")</f>
        <v>Demograficos_Images/1345281428.Foto_Estudiante.183715.jpg</v>
      </c>
      <c r="J250" s="8">
        <f>IFERROR(__xludf.DUMMYFUNCTION("""COMPUTED_VALUE"""),46260.083333333336)</f>
        <v>46260.08333</v>
      </c>
      <c r="K250" s="6" t="str">
        <f>IFERROR(__xludf.DUMMYFUNCTION("""COMPUTED_VALUE"""),"secundaria@gi.edu.co")</f>
        <v>secundaria@gi.edu.co</v>
      </c>
      <c r="L250" s="6" t="str">
        <f>IFERROR(__xludf.DUMMYFUNCTION("""COMPUTED_VALUE"""),"1345281428")</f>
        <v>1345281428</v>
      </c>
      <c r="M250" s="9">
        <f>IFERROR(__xludf.DUMMYFUNCTION("""COMPUTED_VALUE"""),46260.414039351854)</f>
        <v>46260.41404</v>
      </c>
      <c r="N250" s="6" t="str">
        <f>IFERROR(__xludf.DUMMYFUNCTION("""COMPUTED_VALUE"""),"Pendiente")</f>
        <v>Pendiente</v>
      </c>
      <c r="O250" s="6"/>
      <c r="P250" s="17">
        <f>IFERROR(__xludf.DUMMYFUNCTION("""COMPUTED_VALUE"""),46260.414039351854)</f>
        <v>46260.41404</v>
      </c>
      <c r="Q250" s="6"/>
      <c r="R250" s="6"/>
      <c r="S250" s="6"/>
      <c r="T250" s="6"/>
      <c r="U250" s="6" t="str">
        <f>IFERROR(__xludf.DUMMYFUNCTION("""COMPUTED_VALUE"""),"Otras Novedades")</f>
        <v>Otras Novedades</v>
      </c>
      <c r="V250" s="6"/>
      <c r="W250" s="6"/>
      <c r="X250" s="6"/>
      <c r="Y250" s="6"/>
      <c r="Z250" s="6"/>
    </row>
    <row r="251">
      <c r="A251" s="6" t="str">
        <f>IFERROR(__xludf.DUMMYFUNCTION("""COMPUTED_VALUE"""),"cdab00f8")</f>
        <v>cdab00f8</v>
      </c>
      <c r="B251" s="7" t="str">
        <f>IFERROR(__xludf.DUMMYFUNCTION("""COMPUTED_VALUE"""),"1345282575")</f>
        <v>1345282575</v>
      </c>
      <c r="C251" s="6" t="str">
        <f>IFERROR(__xludf.DUMMYFUNCTION("""COMPUTED_VALUE"""),"Salida temprano por cita médica")</f>
        <v>Salida temprano por cita médica</v>
      </c>
      <c r="D251" s="6" t="str">
        <f>IFERROR(__xludf.DUMMYFUNCTION("""COMPUTED_VALUE"""),"Madre")</f>
        <v>Madre</v>
      </c>
      <c r="E251" s="6" t="str">
        <f>IFERROR(__xludf.DUMMYFUNCTION("""COMPUTED_VALUE"""),"Madre: Mayra Alejandra Ruíz Oliveros")</f>
        <v>Madre: Mayra Alejandra Ruíz Oliveros</v>
      </c>
      <c r="F251" s="6"/>
      <c r="G251" s="6" t="str">
        <f>IFERROR(__xludf.DUMMYFUNCTION("""COMPUTED_VALUE"""),"K5")</f>
        <v>K5</v>
      </c>
      <c r="H251" s="6" t="str">
        <f>IFERROR(__xludf.DUMMYFUNCTION("""COMPUTED_VALUE"""),"Rodríguez Ruíz Emiliano")</f>
        <v>Rodríguez Ruíz Emiliano</v>
      </c>
      <c r="I251" s="6" t="str">
        <f>IFERROR(__xludf.DUMMYFUNCTION("""COMPUTED_VALUE"""),"Demograficos_Images/1345282575.Foto_Estudiante.121155.jpg")</f>
        <v>Demograficos_Images/1345282575.Foto_Estudiante.121155.jpg</v>
      </c>
      <c r="J251" s="8">
        <f>IFERROR(__xludf.DUMMYFUNCTION("""COMPUTED_VALUE"""),46260.458333333336)</f>
        <v>46260.45833</v>
      </c>
      <c r="K251" s="6" t="str">
        <f>IFERROR(__xludf.DUMMYFUNCTION("""COMPUTED_VALUE"""),"kinder@gi.edu.co")</f>
        <v>kinder@gi.edu.co</v>
      </c>
      <c r="L251" s="6" t="str">
        <f>IFERROR(__xludf.DUMMYFUNCTION("""COMPUTED_VALUE"""),"1345282575")</f>
        <v>1345282575</v>
      </c>
      <c r="M251" s="9">
        <f>IFERROR(__xludf.DUMMYFUNCTION("""COMPUTED_VALUE"""),46260.4278587963)</f>
        <v>46260.42786</v>
      </c>
      <c r="N251" s="6" t="str">
        <f>IFERROR(__xludf.DUMMYFUNCTION("""COMPUTED_VALUE"""),"Pendiente")</f>
        <v>Pendiente</v>
      </c>
      <c r="O251" s="6"/>
      <c r="P251" s="17">
        <f>IFERROR(__xludf.DUMMYFUNCTION("""COMPUTED_VALUE"""),46260.4278587963)</f>
        <v>46260.42786</v>
      </c>
      <c r="Q251" s="6"/>
      <c r="R251" s="6" t="str">
        <f>IFERROR(__xludf.DUMMYFUNCTION("""COMPUTED_VALUE"""),"Citas médicas / odontologicas")</f>
        <v>Citas médicas / odontologicas</v>
      </c>
      <c r="S251" s="6" t="b">
        <f>IFERROR(__xludf.DUMMYFUNCTION("""COMPUTED_VALUE"""),FALSE)</f>
        <v>0</v>
      </c>
      <c r="T251" s="6"/>
      <c r="U251" s="6" t="str">
        <f>IFERROR(__xludf.DUMMYFUNCTION("""COMPUTED_VALUE"""),"Salida temprano")</f>
        <v>Salida temprano</v>
      </c>
      <c r="V251" s="6"/>
      <c r="W251" s="6"/>
      <c r="X251" s="6"/>
      <c r="Y251" s="6"/>
      <c r="Z251" s="6"/>
    </row>
    <row r="252">
      <c r="A252" s="6" t="str">
        <f>IFERROR(__xludf.DUMMYFUNCTION("""COMPUTED_VALUE"""),"c43c0569")</f>
        <v>c43c0569</v>
      </c>
      <c r="B252" s="7" t="str">
        <f>IFERROR(__xludf.DUMMYFUNCTION("""COMPUTED_VALUE"""),"1345282477")</f>
        <v>1345282477</v>
      </c>
      <c r="C252" s="6" t="str">
        <f>IFERROR(__xludf.DUMMYFUNCTION("""COMPUTED_VALUE"""),"Sale con tercero autorizado por mamá")</f>
        <v>Sale con tercero autorizado por mamá</v>
      </c>
      <c r="D252" s="6" t="str">
        <f>IFERROR(__xludf.DUMMYFUNCTION("""COMPUTED_VALUE"""),"Otro")</f>
        <v>Otro</v>
      </c>
      <c r="E252" s="6"/>
      <c r="F252" s="6" t="str">
        <f>IFERROR(__xludf.DUMMYFUNCTION("""COMPUTED_VALUE"""),"ana Lucila Giraldo…")</f>
        <v>ana Lucila Giraldo…</v>
      </c>
      <c r="G252" s="6" t="str">
        <f>IFERROR(__xludf.DUMMYFUNCTION("""COMPUTED_VALUE"""),"K4")</f>
        <v>K4</v>
      </c>
      <c r="H252" s="6" t="str">
        <f>IFERROR(__xludf.DUMMYFUNCTION("""COMPUTED_VALUE"""),"Arango Murillas Irene")</f>
        <v>Arango Murillas Irene</v>
      </c>
      <c r="I252" s="6" t="str">
        <f>IFERROR(__xludf.DUMMYFUNCTION("""COMPUTED_VALUE"""),"Demograficos_Images/1345282477.Foto_Estudiante.194121.jpg")</f>
        <v>Demograficos_Images/1345282477.Foto_Estudiante.194121.jpg</v>
      </c>
      <c r="J252" s="8">
        <f>IFERROR(__xludf.DUMMYFUNCTION("""COMPUTED_VALUE"""),46260.541666666664)</f>
        <v>46260.54167</v>
      </c>
      <c r="K252" s="6" t="str">
        <f>IFERROR(__xludf.DUMMYFUNCTION("""COMPUTED_VALUE"""),"kinder@gi.edu.co")</f>
        <v>kinder@gi.edu.co</v>
      </c>
      <c r="L252" s="6" t="str">
        <f>IFERROR(__xludf.DUMMYFUNCTION("""COMPUTED_VALUE"""),"1345282477")</f>
        <v>1345282477</v>
      </c>
      <c r="M252" s="9">
        <f>IFERROR(__xludf.DUMMYFUNCTION("""COMPUTED_VALUE"""),46260.428252314814)</f>
        <v>46260.42825</v>
      </c>
      <c r="N252" s="6" t="str">
        <f>IFERROR(__xludf.DUMMYFUNCTION("""COMPUTED_VALUE"""),"Pendiente")</f>
        <v>Pendiente</v>
      </c>
      <c r="O252" s="6"/>
      <c r="P252" s="17">
        <f>IFERROR(__xludf.DUMMYFUNCTION("""COMPUTED_VALUE"""),46260.428252314814)</f>
        <v>46260.42825</v>
      </c>
      <c r="Q252" s="6"/>
      <c r="R252" s="6"/>
      <c r="S252" s="6"/>
      <c r="T252" s="6"/>
      <c r="U252" s="6" t="str">
        <f>IFERROR(__xludf.DUMMYFUNCTION("""COMPUTED_VALUE"""),"Otras Novedades")</f>
        <v>Otras Novedades</v>
      </c>
      <c r="V252" s="6"/>
      <c r="W252" s="6"/>
      <c r="X252" s="6"/>
      <c r="Y252" s="6"/>
      <c r="Z252" s="6"/>
    </row>
    <row r="253">
      <c r="A253" s="6" t="str">
        <f>IFERROR(__xludf.DUMMYFUNCTION("""COMPUTED_VALUE"""),"a410d4e5")</f>
        <v>a410d4e5</v>
      </c>
      <c r="B253" s="7" t="str">
        <f>IFERROR(__xludf.DUMMYFUNCTION("""COMPUTED_VALUE"""),"1345282586")</f>
        <v>1345282586</v>
      </c>
      <c r="C253" s="6" t="str">
        <f>IFERROR(__xludf.DUMMYFUNCTION("""COMPUTED_VALUE"""),"Fiebre toda la noche")</f>
        <v>Fiebre toda la noche</v>
      </c>
      <c r="D253" s="6"/>
      <c r="E253" s="6"/>
      <c r="F253" s="6"/>
      <c r="G253" s="6" t="str">
        <f>IFERROR(__xludf.DUMMYFUNCTION("""COMPUTED_VALUE"""),"PV")</f>
        <v>PV</v>
      </c>
      <c r="H253" s="6" t="str">
        <f>IFERROR(__xludf.DUMMYFUNCTION("""COMPUTED_VALUE"""),"Alzate González Gabriel")</f>
        <v>Alzate González Gabriel</v>
      </c>
      <c r="I253" s="6"/>
      <c r="J253" s="6"/>
      <c r="K253" s="6" t="str">
        <f>IFERROR(__xludf.DUMMYFUNCTION("""COMPUTED_VALUE"""),"kinder@gi.edu.co")</f>
        <v>kinder@gi.edu.co</v>
      </c>
      <c r="L253" s="6" t="str">
        <f>IFERROR(__xludf.DUMMYFUNCTION("""COMPUTED_VALUE"""),"1345282586")</f>
        <v>1345282586</v>
      </c>
      <c r="M253" s="9">
        <f>IFERROR(__xludf.DUMMYFUNCTION("""COMPUTED_VALUE"""),46260.4296412037)</f>
        <v>46260.42964</v>
      </c>
      <c r="N253" s="6" t="str">
        <f>IFERROR(__xludf.DUMMYFUNCTION("""COMPUTED_VALUE"""),"Pendiente")</f>
        <v>Pendiente</v>
      </c>
      <c r="O253" s="6"/>
      <c r="P253" s="17">
        <f>IFERROR(__xludf.DUMMYFUNCTION("""COMPUTED_VALUE"""),46260.4296412037)</f>
        <v>46260.42964</v>
      </c>
      <c r="Q253" s="6"/>
      <c r="R253" s="6" t="str">
        <f>IFERROR(__xludf.DUMMYFUNCTION("""COMPUTED_VALUE"""),"Enfermo sin incapacidad médica- en casa")</f>
        <v>Enfermo sin incapacidad médica- en casa</v>
      </c>
      <c r="S253" s="6"/>
      <c r="T253" s="6"/>
      <c r="U253" s="6" t="str">
        <f>IFERROR(__xludf.DUMMYFUNCTION("""COMPUTED_VALUE"""),"Ausencia todo el dia")</f>
        <v>Ausencia todo el dia</v>
      </c>
      <c r="V253" s="18">
        <f>IFERROR(__xludf.DUMMYFUNCTION("""COMPUTED_VALUE"""),46260.0)</f>
        <v>46260</v>
      </c>
      <c r="W253" s="6"/>
      <c r="X253" s="6"/>
      <c r="Y253" s="6"/>
      <c r="Z253" s="6"/>
    </row>
    <row r="254">
      <c r="A254" s="6" t="str">
        <f>IFERROR(__xludf.DUMMYFUNCTION("""COMPUTED_VALUE"""),"6572fc97")</f>
        <v>6572fc97</v>
      </c>
      <c r="B254" s="7" t="str">
        <f>IFERROR(__xludf.DUMMYFUNCTION("""COMPUTED_VALUE"""),"1345282564")</f>
        <v>1345282564</v>
      </c>
      <c r="C254" s="6" t="str">
        <f>IFERROR(__xludf.DUMMYFUNCTION("""COMPUTED_VALUE"""),"Regresa el 01 de sep")</f>
        <v>Regresa el 01 de sep</v>
      </c>
      <c r="D254" s="6"/>
      <c r="E254" s="6"/>
      <c r="F254" s="6"/>
      <c r="G254" s="6" t="str">
        <f>IFERROR(__xludf.DUMMYFUNCTION("""COMPUTED_VALUE"""),"K5")</f>
        <v>K5</v>
      </c>
      <c r="H254" s="6" t="str">
        <f>IFERROR(__xludf.DUMMYFUNCTION("""COMPUTED_VALUE"""),"Velásquez Cárdenas Matías")</f>
        <v>Velásquez Cárdenas Matías</v>
      </c>
      <c r="I254" s="6" t="str">
        <f>IFERROR(__xludf.DUMMYFUNCTION("""COMPUTED_VALUE"""),"Demograficos_Images/1345282564.Foto_Estudiante.120545.jpg")</f>
        <v>Demograficos_Images/1345282564.Foto_Estudiante.120545.jpg</v>
      </c>
      <c r="J254" s="6"/>
      <c r="K254" s="6" t="str">
        <f>IFERROR(__xludf.DUMMYFUNCTION("""COMPUTED_VALUE"""),"kinder@gi.edu.co")</f>
        <v>kinder@gi.edu.co</v>
      </c>
      <c r="L254" s="6" t="str">
        <f>IFERROR(__xludf.DUMMYFUNCTION("""COMPUTED_VALUE"""),"1345282564")</f>
        <v>1345282564</v>
      </c>
      <c r="M254" s="9">
        <f>IFERROR(__xludf.DUMMYFUNCTION("""COMPUTED_VALUE"""),46260.4299537037)</f>
        <v>46260.42995</v>
      </c>
      <c r="N254" s="6" t="str">
        <f>IFERROR(__xludf.DUMMYFUNCTION("""COMPUTED_VALUE"""),"Pendiente")</f>
        <v>Pendiente</v>
      </c>
      <c r="O254" s="6"/>
      <c r="P254" s="17">
        <f>IFERROR(__xludf.DUMMYFUNCTION("""COMPUTED_VALUE"""),46260.4299537037)</f>
        <v>46260.42995</v>
      </c>
      <c r="Q254" s="6"/>
      <c r="R254" s="6" t="str">
        <f>IFERROR(__xludf.DUMMYFUNCTION("""COMPUTED_VALUE"""),"Viaje familiar")</f>
        <v>Viaje familiar</v>
      </c>
      <c r="S254" s="6"/>
      <c r="T254" s="6"/>
      <c r="U254" s="6" t="str">
        <f>IFERROR(__xludf.DUMMYFUNCTION("""COMPUTED_VALUE"""),"Ausencia todo el dia")</f>
        <v>Ausencia todo el dia</v>
      </c>
      <c r="V254" s="18">
        <f>IFERROR(__xludf.DUMMYFUNCTION("""COMPUTED_VALUE"""),46260.0)</f>
        <v>46260</v>
      </c>
      <c r="W254" s="6"/>
      <c r="X254" s="6"/>
      <c r="Y254" s="6"/>
      <c r="Z254" s="6"/>
    </row>
    <row r="255">
      <c r="A255" s="6" t="str">
        <f>IFERROR(__xludf.DUMMYFUNCTION("""COMPUTED_VALUE"""),"24277bc7")</f>
        <v>24277bc7</v>
      </c>
      <c r="B255" s="7" t="str">
        <f>IFERROR(__xludf.DUMMYFUNCTION("""COMPUTED_VALUE"""),"1345282594")</f>
        <v>1345282594</v>
      </c>
      <c r="C255" s="6" t="str">
        <f>IFERROR(__xludf.DUMMYFUNCTION("""COMPUTED_VALUE"""),"Regresa en dos semanas")</f>
        <v>Regresa en dos semanas</v>
      </c>
      <c r="D255" s="6"/>
      <c r="E255" s="6"/>
      <c r="F255" s="6"/>
      <c r="G255" s="6" t="str">
        <f>IFERROR(__xludf.DUMMYFUNCTION("""COMPUTED_VALUE"""),"PV")</f>
        <v>PV</v>
      </c>
      <c r="H255" s="6" t="str">
        <f>IFERROR(__xludf.DUMMYFUNCTION("""COMPUTED_VALUE"""),"Durán Hernández Matheo Santino")</f>
        <v>Durán Hernández Matheo Santino</v>
      </c>
      <c r="I255" s="6"/>
      <c r="J255" s="6"/>
      <c r="K255" s="6" t="str">
        <f>IFERROR(__xludf.DUMMYFUNCTION("""COMPUTED_VALUE"""),"kinder@gi.edu.co")</f>
        <v>kinder@gi.edu.co</v>
      </c>
      <c r="L255" s="6" t="str">
        <f>IFERROR(__xludf.DUMMYFUNCTION("""COMPUTED_VALUE"""),"1345282594")</f>
        <v>1345282594</v>
      </c>
      <c r="M255" s="9">
        <f>IFERROR(__xludf.DUMMYFUNCTION("""COMPUTED_VALUE"""),46260.43032407408)</f>
        <v>46260.43032</v>
      </c>
      <c r="N255" s="6" t="str">
        <f>IFERROR(__xludf.DUMMYFUNCTION("""COMPUTED_VALUE"""),"Pendiente")</f>
        <v>Pendiente</v>
      </c>
      <c r="O255" s="6"/>
      <c r="P255" s="17">
        <f>IFERROR(__xludf.DUMMYFUNCTION("""COMPUTED_VALUE"""),46260.43032407408)</f>
        <v>46260.43032</v>
      </c>
      <c r="Q255" s="6"/>
      <c r="R255" s="6" t="str">
        <f>IFERROR(__xludf.DUMMYFUNCTION("""COMPUTED_VALUE"""),"Viaje familiar")</f>
        <v>Viaje familiar</v>
      </c>
      <c r="S255" s="6"/>
      <c r="T255" s="6"/>
      <c r="U255" s="6" t="str">
        <f>IFERROR(__xludf.DUMMYFUNCTION("""COMPUTED_VALUE"""),"Ausencia todo el dia")</f>
        <v>Ausencia todo el dia</v>
      </c>
      <c r="V255" s="18">
        <f>IFERROR(__xludf.DUMMYFUNCTION("""COMPUTED_VALUE"""),46260.0)</f>
        <v>46260</v>
      </c>
      <c r="W255" s="6"/>
      <c r="X255" s="6"/>
      <c r="Y255" s="6"/>
      <c r="Z255" s="6"/>
    </row>
    <row r="256">
      <c r="A256" s="6" t="str">
        <f>IFERROR(__xludf.DUMMYFUNCTION("""COMPUTED_VALUE"""),"338a1193")</f>
        <v>338a1193</v>
      </c>
      <c r="B256" s="7" t="str">
        <f>IFERROR(__xludf.DUMMYFUNCTION("""COMPUTED_VALUE"""),"1345282502")</f>
        <v>1345282502</v>
      </c>
      <c r="C256" s="6" t="str">
        <f>IFERROR(__xludf.DUMMYFUNCTION("""COMPUTED_VALUE"""),"Sale con mamá")</f>
        <v>Sale con mamá</v>
      </c>
      <c r="D256" s="6" t="str">
        <f>IFERROR(__xludf.DUMMYFUNCTION("""COMPUTED_VALUE"""),"Madre")</f>
        <v>Madre</v>
      </c>
      <c r="E256" s="6" t="str">
        <f>IFERROR(__xludf.DUMMYFUNCTION("""COMPUTED_VALUE"""),"Madre: Sara  Betancur Sánchez")</f>
        <v>Madre: Sara  Betancur Sánchez</v>
      </c>
      <c r="F256" s="6"/>
      <c r="G256" s="6" t="str">
        <f>IFERROR(__xludf.DUMMYFUNCTION("""COMPUTED_VALUE"""),"K4")</f>
        <v>K4</v>
      </c>
      <c r="H256" s="6" t="str">
        <f>IFERROR(__xludf.DUMMYFUNCTION("""COMPUTED_VALUE"""),"Godoy Betancur Miranda")</f>
        <v>Godoy Betancur Miranda</v>
      </c>
      <c r="I256" s="6" t="str">
        <f>IFERROR(__xludf.DUMMYFUNCTION("""COMPUTED_VALUE"""),"Demograficos_Images/1345282502.Foto_Estudiante.182733.jpg")</f>
        <v>Demograficos_Images/1345282502.Foto_Estudiante.182733.jpg</v>
      </c>
      <c r="J256" s="8">
        <f>IFERROR(__xludf.DUMMYFUNCTION("""COMPUTED_VALUE"""),46260.5)</f>
        <v>46260.5</v>
      </c>
      <c r="K256" s="6" t="str">
        <f>IFERROR(__xludf.DUMMYFUNCTION("""COMPUTED_VALUE"""),"kinder@gi.edu.co")</f>
        <v>kinder@gi.edu.co</v>
      </c>
      <c r="L256" s="6" t="str">
        <f>IFERROR(__xludf.DUMMYFUNCTION("""COMPUTED_VALUE"""),"1345282502")</f>
        <v>1345282502</v>
      </c>
      <c r="M256" s="9">
        <f>IFERROR(__xludf.DUMMYFUNCTION("""COMPUTED_VALUE"""),46260.43278935185)</f>
        <v>46260.43279</v>
      </c>
      <c r="N256" s="6" t="str">
        <f>IFERROR(__xludf.DUMMYFUNCTION("""COMPUTED_VALUE"""),"Pendiente")</f>
        <v>Pendiente</v>
      </c>
      <c r="O256" s="6"/>
      <c r="P256" s="17">
        <f>IFERROR(__xludf.DUMMYFUNCTION("""COMPUTED_VALUE"""),46260.43278935185)</f>
        <v>46260.43279</v>
      </c>
      <c r="Q256" s="6"/>
      <c r="R256" s="6" t="str">
        <f>IFERROR(__xludf.DUMMYFUNCTION("""COMPUTED_VALUE"""),"No hay reporte sobre el motivo de la ausencia")</f>
        <v>No hay reporte sobre el motivo de la ausencia</v>
      </c>
      <c r="S256" s="6" t="b">
        <f>IFERROR(__xludf.DUMMYFUNCTION("""COMPUTED_VALUE"""),FALSE)</f>
        <v>0</v>
      </c>
      <c r="T256" s="6"/>
      <c r="U256" s="6" t="str">
        <f>IFERROR(__xludf.DUMMYFUNCTION("""COMPUTED_VALUE"""),"Salida temprano")</f>
        <v>Salida temprano</v>
      </c>
      <c r="V256" s="6"/>
      <c r="W256" s="6"/>
      <c r="X256" s="6"/>
      <c r="Y256" s="6"/>
      <c r="Z256" s="6"/>
    </row>
    <row r="257">
      <c r="A257" s="6" t="str">
        <f>IFERROR(__xludf.DUMMYFUNCTION("""COMPUTED_VALUE"""),"c07cbecd")</f>
        <v>c07cbecd</v>
      </c>
      <c r="B257" s="7" t="str">
        <f>IFERROR(__xludf.DUMMYFUNCTION("""COMPUTED_VALUE"""),"1345282579")</f>
        <v>1345282579</v>
      </c>
      <c r="C257" s="6" t="str">
        <f>IFERROR(__xludf.DUMMYFUNCTION("""COMPUTED_VALUE"""),"Se queda en extra media hora")</f>
        <v>Se queda en extra media hora</v>
      </c>
      <c r="D257" s="6" t="str">
        <f>IFERROR(__xludf.DUMMYFUNCTION("""COMPUTED_VALUE"""),"Madre")</f>
        <v>Madre</v>
      </c>
      <c r="E257" s="6" t="str">
        <f>IFERROR(__xludf.DUMMYFUNCTION("""COMPUTED_VALUE"""),"Madre: Emiliana Marín Cantor")</f>
        <v>Madre: Emiliana Marín Cantor</v>
      </c>
      <c r="F257" s="6"/>
      <c r="G257" s="6" t="str">
        <f>IFERROR(__xludf.DUMMYFUNCTION("""COMPUTED_VALUE"""),"K4")</f>
        <v>K4</v>
      </c>
      <c r="H257" s="6" t="str">
        <f>IFERROR(__xludf.DUMMYFUNCTION("""COMPUTED_VALUE"""),"Marín Cantor Emiliana")</f>
        <v>Marín Cantor Emiliana</v>
      </c>
      <c r="I257" s="6" t="str">
        <f>IFERROR(__xludf.DUMMYFUNCTION("""COMPUTED_VALUE"""),"Demograficos_Images/1345282579.Foto_Estudiante.165233.jpg")</f>
        <v>Demograficos_Images/1345282579.Foto_Estudiante.165233.jpg</v>
      </c>
      <c r="J257" s="8">
        <f>IFERROR(__xludf.DUMMYFUNCTION("""COMPUTED_VALUE"""),46260.5625)</f>
        <v>46260.5625</v>
      </c>
      <c r="K257" s="6" t="str">
        <f>IFERROR(__xludf.DUMMYFUNCTION("""COMPUTED_VALUE"""),"kinder@gi.edu.co")</f>
        <v>kinder@gi.edu.co</v>
      </c>
      <c r="L257" s="6" t="str">
        <f>IFERROR(__xludf.DUMMYFUNCTION("""COMPUTED_VALUE"""),"1345282579")</f>
        <v>1345282579</v>
      </c>
      <c r="M257" s="9">
        <f>IFERROR(__xludf.DUMMYFUNCTION("""COMPUTED_VALUE"""),46260.43430555556)</f>
        <v>46260.43431</v>
      </c>
      <c r="N257" s="6" t="str">
        <f>IFERROR(__xludf.DUMMYFUNCTION("""COMPUTED_VALUE"""),"Pendiente")</f>
        <v>Pendiente</v>
      </c>
      <c r="O257" s="6"/>
      <c r="P257" s="17">
        <f>IFERROR(__xludf.DUMMYFUNCTION("""COMPUTED_VALUE"""),46260.43430555556)</f>
        <v>46260.43431</v>
      </c>
      <c r="Q257" s="6"/>
      <c r="R257" s="6" t="str">
        <f>IFERROR(__xludf.DUMMYFUNCTION("""COMPUTED_VALUE"""),"Citas médicas / odontologicas")</f>
        <v>Citas médicas / odontologicas</v>
      </c>
      <c r="S257" s="6" t="b">
        <f>IFERROR(__xludf.DUMMYFUNCTION("""COMPUTED_VALUE"""),FALSE)</f>
        <v>0</v>
      </c>
      <c r="T257" s="6"/>
      <c r="U257" s="6" t="str">
        <f>IFERROR(__xludf.DUMMYFUNCTION("""COMPUTED_VALUE"""),"Salida temprano")</f>
        <v>Salida temprano</v>
      </c>
      <c r="V257" s="6"/>
      <c r="W257" s="6"/>
      <c r="X257" s="6"/>
      <c r="Y257" s="6"/>
      <c r="Z257" s="6"/>
    </row>
    <row r="258">
      <c r="A258" s="6" t="str">
        <f>IFERROR(__xludf.DUMMYFUNCTION("""COMPUTED_VALUE"""),"d54187d9")</f>
        <v>d54187d9</v>
      </c>
      <c r="B258" s="7" t="str">
        <f>IFERROR(__xludf.DUMMYFUNCTION("""COMPUTED_VALUE"""),"1345282605")</f>
        <v>1345282605</v>
      </c>
      <c r="C258" s="6" t="str">
        <f>IFERROR(__xludf.DUMMYFUNCTION("""COMPUTED_VALUE"""),"Carpa hermanos, lo recoge la abuela")</f>
        <v>Carpa hermanos, lo recoge la abuela</v>
      </c>
      <c r="D258" s="6" t="str">
        <f>IFERROR(__xludf.DUMMYFUNCTION("""COMPUTED_VALUE"""),"Otro")</f>
        <v>Otro</v>
      </c>
      <c r="E258" s="6"/>
      <c r="F258" s="6" t="str">
        <f>IFERROR(__xludf.DUMMYFUNCTION("""COMPUTED_VALUE"""),"abuela")</f>
        <v>abuela</v>
      </c>
      <c r="G258" s="6" t="str">
        <f>IFERROR(__xludf.DUMMYFUNCTION("""COMPUTED_VALUE"""),"K3")</f>
        <v>K3</v>
      </c>
      <c r="H258" s="6" t="str">
        <f>IFERROR(__xludf.DUMMYFUNCTION("""COMPUTED_VALUE"""),"Barros Jaramillo Tomás")</f>
        <v>Barros Jaramillo Tomás</v>
      </c>
      <c r="I258" s="6"/>
      <c r="J258" s="8">
        <f>IFERROR(__xludf.DUMMYFUNCTION("""COMPUTED_VALUE"""),46260.57638888889)</f>
        <v>46260.57639</v>
      </c>
      <c r="K258" s="6" t="str">
        <f>IFERROR(__xludf.DUMMYFUNCTION("""COMPUTED_VALUE"""),"kinder@gi.edu.co")</f>
        <v>kinder@gi.edu.co</v>
      </c>
      <c r="L258" s="6" t="str">
        <f>IFERROR(__xludf.DUMMYFUNCTION("""COMPUTED_VALUE"""),"1345282605")</f>
        <v>1345282605</v>
      </c>
      <c r="M258" s="9">
        <f>IFERROR(__xludf.DUMMYFUNCTION("""COMPUTED_VALUE"""),46260.435277777775)</f>
        <v>46260.43528</v>
      </c>
      <c r="N258" s="6" t="str">
        <f>IFERROR(__xludf.DUMMYFUNCTION("""COMPUTED_VALUE"""),"Pendiente")</f>
        <v>Pendiente</v>
      </c>
      <c r="O258" s="6"/>
      <c r="P258" s="17">
        <f>IFERROR(__xludf.DUMMYFUNCTION("""COMPUTED_VALUE"""),46260.435277777775)</f>
        <v>46260.43528</v>
      </c>
      <c r="Q258" s="6"/>
      <c r="R258" s="6"/>
      <c r="S258" s="6"/>
      <c r="T258" s="6"/>
      <c r="U258" s="6" t="str">
        <f>IFERROR(__xludf.DUMMYFUNCTION("""COMPUTED_VALUE"""),"Otras Novedades")</f>
        <v>Otras Novedades</v>
      </c>
      <c r="V258" s="6"/>
      <c r="W258" s="6"/>
      <c r="X258" s="6"/>
      <c r="Y258" s="6"/>
      <c r="Z258" s="6"/>
    </row>
    <row r="259">
      <c r="A259" s="6" t="str">
        <f>IFERROR(__xludf.DUMMYFUNCTION("""COMPUTED_VALUE"""),"9e3c7050")</f>
        <v>9e3c7050</v>
      </c>
      <c r="B259" s="7" t="str">
        <f>IFERROR(__xludf.DUMMYFUNCTION("""COMPUTED_VALUE"""),"1345282516")</f>
        <v>1345282516</v>
      </c>
      <c r="C259" s="6" t="str">
        <f>IFERROR(__xludf.DUMMYFUNCTION("""COMPUTED_VALUE"""),"Hermano mayor enfermo, se llevan la estudiante de una vez")</f>
        <v>Hermano mayor enfermo, se llevan la estudiante de una vez</v>
      </c>
      <c r="D259" s="6" t="str">
        <f>IFERROR(__xludf.DUMMYFUNCTION("""COMPUTED_VALUE"""),"Madre")</f>
        <v>Madre</v>
      </c>
      <c r="E259" s="6" t="str">
        <f>IFERROR(__xludf.DUMMYFUNCTION("""COMPUTED_VALUE"""),"Madre: Laura  Montoya Carioso")</f>
        <v>Madre: Laura  Montoya Carioso</v>
      </c>
      <c r="F259" s="6"/>
      <c r="G259" s="6" t="str">
        <f>IFERROR(__xludf.DUMMYFUNCTION("""COMPUTED_VALUE"""),"K5")</f>
        <v>K5</v>
      </c>
      <c r="H259" s="6" t="str">
        <f>IFERROR(__xludf.DUMMYFUNCTION("""COMPUTED_VALUE"""),"Gutiérrez Montoya Valentina")</f>
        <v>Gutiérrez Montoya Valentina</v>
      </c>
      <c r="I259" s="6" t="str">
        <f>IFERROR(__xludf.DUMMYFUNCTION("""COMPUTED_VALUE"""),"Demograficos_Images/1345282516.Foto_Estudiante.183027.jpg")</f>
        <v>Demograficos_Images/1345282516.Foto_Estudiante.183027.jpg</v>
      </c>
      <c r="J259" s="8">
        <f>IFERROR(__xludf.DUMMYFUNCTION("""COMPUTED_VALUE"""),46260.479166666664)</f>
        <v>46260.47917</v>
      </c>
      <c r="K259" s="6" t="str">
        <f>IFERROR(__xludf.DUMMYFUNCTION("""COMPUTED_VALUE"""),"kinder@gi.edu.co")</f>
        <v>kinder@gi.edu.co</v>
      </c>
      <c r="L259" s="6" t="str">
        <f>IFERROR(__xludf.DUMMYFUNCTION("""COMPUTED_VALUE"""),"1345282516")</f>
        <v>1345282516</v>
      </c>
      <c r="M259" s="9">
        <f>IFERROR(__xludf.DUMMYFUNCTION("""COMPUTED_VALUE"""),46260.44495370371)</f>
        <v>46260.44495</v>
      </c>
      <c r="N259" s="6" t="str">
        <f>IFERROR(__xludf.DUMMYFUNCTION("""COMPUTED_VALUE"""),"Pendiente")</f>
        <v>Pendiente</v>
      </c>
      <c r="O259" s="6"/>
      <c r="P259" s="17">
        <f>IFERROR(__xludf.DUMMYFUNCTION("""COMPUTED_VALUE"""),46260.44495370371)</f>
        <v>46260.44495</v>
      </c>
      <c r="Q259" s="6"/>
      <c r="R259" s="6" t="str">
        <f>IFERROR(__xludf.DUMMYFUNCTION("""COMPUTED_VALUE"""),"Asuntos Familiares")</f>
        <v>Asuntos Familiares</v>
      </c>
      <c r="S259" s="6" t="b">
        <f>IFERROR(__xludf.DUMMYFUNCTION("""COMPUTED_VALUE"""),FALSE)</f>
        <v>0</v>
      </c>
      <c r="T259" s="6"/>
      <c r="U259" s="6" t="str">
        <f>IFERROR(__xludf.DUMMYFUNCTION("""COMPUTED_VALUE"""),"Salida temprano")</f>
        <v>Salida temprano</v>
      </c>
      <c r="V259" s="6"/>
      <c r="W259" s="6"/>
      <c r="X259" s="6"/>
      <c r="Y259" s="6"/>
      <c r="Z259" s="6"/>
    </row>
    <row r="260">
      <c r="A260" s="6" t="str">
        <f>IFERROR(__xludf.DUMMYFUNCTION("""COMPUTED_VALUE"""),"45f54684")</f>
        <v>45f54684</v>
      </c>
      <c r="B260" s="7" t="str">
        <f>IFERROR(__xludf.DUMMYFUNCTION("""COMPUTED_VALUE"""),"1345282517")</f>
        <v>1345282517</v>
      </c>
      <c r="C260" s="6" t="str">
        <f>IFERROR(__xludf.DUMMYFUNCTION("""COMPUTED_VALUE"""),"enfermedad")</f>
        <v>enfermedad</v>
      </c>
      <c r="D260" s="6"/>
      <c r="E260" s="6"/>
      <c r="F260" s="6"/>
      <c r="G260" s="6" t="str">
        <f>IFERROR(__xludf.DUMMYFUNCTION("""COMPUTED_VALUE"""),"8")</f>
        <v>8</v>
      </c>
      <c r="H260" s="6" t="str">
        <f>IFERROR(__xludf.DUMMYFUNCTION("""COMPUTED_VALUE"""),"Gutiérrez Montoya Vicente")</f>
        <v>Gutiérrez Montoya Vicente</v>
      </c>
      <c r="I260" s="6" t="str">
        <f>IFERROR(__xludf.DUMMYFUNCTION("""COMPUTED_VALUE"""),"Demograficos_Images/1345282517.Foto_Estudiante.192037.jpg")</f>
        <v>Demograficos_Images/1345282517.Foto_Estudiante.192037.jpg</v>
      </c>
      <c r="J260" s="8">
        <f>IFERROR(__xludf.DUMMYFUNCTION("""COMPUTED_VALUE"""),46260.45277777778)</f>
        <v>46260.45278</v>
      </c>
      <c r="K260" s="6" t="str">
        <f>IFERROR(__xludf.DUMMYFUNCTION("""COMPUTED_VALUE"""),"enfermeria@gi.edu.co")</f>
        <v>enfermeria@gi.edu.co</v>
      </c>
      <c r="L260" s="6" t="str">
        <f>IFERROR(__xludf.DUMMYFUNCTION("""COMPUTED_VALUE"""),"1345282517")</f>
        <v>1345282517</v>
      </c>
      <c r="M260" s="9">
        <f>IFERROR(__xludf.DUMMYFUNCTION("""COMPUTED_VALUE"""),46260.44826388889)</f>
        <v>46260.44826</v>
      </c>
      <c r="N260" s="6" t="str">
        <f>IFERROR(__xludf.DUMMYFUNCTION("""COMPUTED_VALUE"""),"Pendiente")</f>
        <v>Pendiente</v>
      </c>
      <c r="O260" s="6"/>
      <c r="P260" s="17">
        <f>IFERROR(__xludf.DUMMYFUNCTION("""COMPUTED_VALUE"""),46260.44826388889)</f>
        <v>46260.44826</v>
      </c>
      <c r="Q260" s="6"/>
      <c r="R260" s="6"/>
      <c r="S260" s="6"/>
      <c r="T260" s="6"/>
      <c r="U260" s="6" t="str">
        <f>IFERROR(__xludf.DUMMYFUNCTION("""COMPUTED_VALUE"""),"Otras Novedades")</f>
        <v>Otras Novedades</v>
      </c>
      <c r="V260" s="6"/>
      <c r="W260" s="6"/>
      <c r="X260" s="6"/>
      <c r="Y260" s="6"/>
      <c r="Z260" s="6"/>
    </row>
    <row r="261">
      <c r="A261" s="6" t="str">
        <f>IFERROR(__xludf.DUMMYFUNCTION("""COMPUTED_VALUE"""),"307e490e")</f>
        <v>307e490e</v>
      </c>
      <c r="B261" s="7" t="str">
        <f>IFERROR(__xludf.DUMMYFUNCTION("""COMPUTED_VALUE"""),"1345282621")</f>
        <v>1345282621</v>
      </c>
      <c r="C261" s="6" t="str">
        <f>IFERROR(__xludf.DUMMYFUNCTION("""COMPUTED_VALUE"""),"Salida con tercero autoriza la mamá")</f>
        <v>Salida con tercero autoriza la mamá</v>
      </c>
      <c r="D261" s="6" t="str">
        <f>IFERROR(__xludf.DUMMYFUNCTION("""COMPUTED_VALUE"""),"Otro")</f>
        <v>Otro</v>
      </c>
      <c r="E261" s="6"/>
      <c r="F261" s="6" t="str">
        <f>IFERROR(__xludf.DUMMYFUNCTION("""COMPUTED_VALUE"""),"abuela Luz Dary Villegas.")</f>
        <v>abuela Luz Dary Villegas.</v>
      </c>
      <c r="G261" s="6" t="str">
        <f>IFERROR(__xludf.DUMMYFUNCTION("""COMPUTED_VALUE"""),"PV")</f>
        <v>PV</v>
      </c>
      <c r="H261" s="6" t="str">
        <f>IFERROR(__xludf.DUMMYFUNCTION("""COMPUTED_VALUE"""),"Suárez Merchán Milagros")</f>
        <v>Suárez Merchán Milagros</v>
      </c>
      <c r="I261" s="6"/>
      <c r="J261" s="8">
        <f>IFERROR(__xludf.DUMMYFUNCTION("""COMPUTED_VALUE"""),46260.541666666664)</f>
        <v>46260.54167</v>
      </c>
      <c r="K261" s="6" t="str">
        <f>IFERROR(__xludf.DUMMYFUNCTION("""COMPUTED_VALUE"""),"kinder@gi.edu.co")</f>
        <v>kinder@gi.edu.co</v>
      </c>
      <c r="L261" s="6" t="str">
        <f>IFERROR(__xludf.DUMMYFUNCTION("""COMPUTED_VALUE"""),"1345282621")</f>
        <v>1345282621</v>
      </c>
      <c r="M261" s="9">
        <f>IFERROR(__xludf.DUMMYFUNCTION("""COMPUTED_VALUE"""),46260.46796296296)</f>
        <v>46260.46796</v>
      </c>
      <c r="N261" s="6" t="str">
        <f>IFERROR(__xludf.DUMMYFUNCTION("""COMPUTED_VALUE"""),"Pendiente")</f>
        <v>Pendiente</v>
      </c>
      <c r="O261" s="6"/>
      <c r="P261" s="17">
        <f>IFERROR(__xludf.DUMMYFUNCTION("""COMPUTED_VALUE"""),46260.46796296296)</f>
        <v>46260.46796</v>
      </c>
      <c r="Q261" s="6"/>
      <c r="R261" s="6"/>
      <c r="S261" s="6"/>
      <c r="T261" s="6"/>
      <c r="U261" s="6" t="str">
        <f>IFERROR(__xludf.DUMMYFUNCTION("""COMPUTED_VALUE"""),"Otras Novedades")</f>
        <v>Otras Novedades</v>
      </c>
      <c r="V261" s="6"/>
      <c r="W261" s="6"/>
      <c r="X261" s="6"/>
      <c r="Y261" s="6"/>
      <c r="Z261" s="6"/>
    </row>
    <row r="262">
      <c r="A262" s="6" t="str">
        <f>IFERROR(__xludf.DUMMYFUNCTION("""COMPUTED_VALUE"""),"753b32fb")</f>
        <v>753b32fb</v>
      </c>
      <c r="B262" s="7" t="str">
        <f>IFERROR(__xludf.DUMMYFUNCTION("""COMPUTED_VALUE"""),"1345282248")</f>
        <v>1345282248</v>
      </c>
      <c r="C262" s="6" t="str">
        <f>IFERROR(__xludf.DUMMYFUNCTION("""COMPUTED_VALUE"""),"la mamá informa que estará ausente por cita con PSIQUIATRIA EN BOGOTÁ")</f>
        <v>la mamá informa que estará ausente por cita con PSIQUIATRIA EN BOGOTÁ</v>
      </c>
      <c r="D262" s="6"/>
      <c r="E262" s="6"/>
      <c r="F262" s="6"/>
      <c r="G262" s="6" t="str">
        <f>IFERROR(__xludf.DUMMYFUNCTION("""COMPUTED_VALUE"""),"11")</f>
        <v>11</v>
      </c>
      <c r="H262" s="6" t="str">
        <f>IFERROR(__xludf.DUMMYFUNCTION("""COMPUTED_VALUE"""),"Poveda Hernández Lolita")</f>
        <v>Poveda Hernández Lolita</v>
      </c>
      <c r="I262" s="6" t="str">
        <f>IFERROR(__xludf.DUMMYFUNCTION("""COMPUTED_VALUE"""),"Demograficos_Images/1345282248.Foto_Estudiante.181930.jpg")</f>
        <v>Demograficos_Images/1345282248.Foto_Estudiante.181930.jpg</v>
      </c>
      <c r="J262" s="6"/>
      <c r="K262" s="6" t="str">
        <f>IFERROR(__xludf.DUMMYFUNCTION("""COMPUTED_VALUE"""),"secundaria@gi.edu.co")</f>
        <v>secundaria@gi.edu.co</v>
      </c>
      <c r="L262" s="6" t="str">
        <f>IFERROR(__xludf.DUMMYFUNCTION("""COMPUTED_VALUE"""),"1345282248")</f>
        <v>1345282248</v>
      </c>
      <c r="M262" s="9">
        <f>IFERROR(__xludf.DUMMYFUNCTION("""COMPUTED_VALUE"""),46260.480717592596)</f>
        <v>46260.48072</v>
      </c>
      <c r="N262" s="6" t="str">
        <f>IFERROR(__xludf.DUMMYFUNCTION("""COMPUTED_VALUE"""),"Pendiente")</f>
        <v>Pendiente</v>
      </c>
      <c r="O262" s="6"/>
      <c r="P262" s="17">
        <f>IFERROR(__xludf.DUMMYFUNCTION("""COMPUTED_VALUE"""),46260.480717592596)</f>
        <v>46260.48072</v>
      </c>
      <c r="Q262" s="6"/>
      <c r="R262" s="6" t="str">
        <f>IFERROR(__xludf.DUMMYFUNCTION("""COMPUTED_VALUE"""),"Citas médicas / odontologicas")</f>
        <v>Citas médicas / odontologicas</v>
      </c>
      <c r="S262" s="6"/>
      <c r="T262" s="6"/>
      <c r="U262" s="6" t="str">
        <f>IFERROR(__xludf.DUMMYFUNCTION("""COMPUTED_VALUE"""),"Ausencia todo el dia")</f>
        <v>Ausencia todo el dia</v>
      </c>
      <c r="V262" s="18">
        <f>IFERROR(__xludf.DUMMYFUNCTION("""COMPUTED_VALUE"""),46266.0)</f>
        <v>46266</v>
      </c>
      <c r="W262" s="6"/>
      <c r="X262" s="6"/>
      <c r="Y262" s="6"/>
      <c r="Z262" s="6"/>
    </row>
    <row r="263">
      <c r="A263" s="6" t="str">
        <f>IFERROR(__xludf.DUMMYFUNCTION("""COMPUTED_VALUE"""),"9f19e918")</f>
        <v>9f19e918</v>
      </c>
      <c r="B263" s="7" t="str">
        <f>IFERROR(__xludf.DUMMYFUNCTION("""COMPUTED_VALUE"""),"1345281681")</f>
        <v>1345281681</v>
      </c>
      <c r="C263" s="6" t="str">
        <f>IFERROR(__xludf.DUMMYFUNCTION("""COMPUTED_VALUE"""),"El papá envio correo autorizando toda la semana salir en su carro por entrenamiento")</f>
        <v>El papá envio correo autorizando toda la semana salir en su carro por entrenamiento</v>
      </c>
      <c r="D263" s="6"/>
      <c r="E263" s="6"/>
      <c r="F263" s="6"/>
      <c r="G263" s="6" t="str">
        <f>IFERROR(__xludf.DUMMYFUNCTION("""COMPUTED_VALUE"""),"12")</f>
        <v>12</v>
      </c>
      <c r="H263" s="6" t="str">
        <f>IFERROR(__xludf.DUMMYFUNCTION("""COMPUTED_VALUE"""),"Ospina Chica Juan Manuel")</f>
        <v>Ospina Chica Juan Manuel</v>
      </c>
      <c r="I263" s="6" t="str">
        <f>IFERROR(__xludf.DUMMYFUNCTION("""COMPUTED_VALUE"""),"Demograficos_Images/1345281681.Foto_Estudiante.133642.jpg")</f>
        <v>Demograficos_Images/1345281681.Foto_Estudiante.133642.jpg</v>
      </c>
      <c r="J263" s="8">
        <f>IFERROR(__xludf.DUMMYFUNCTION("""COMPUTED_VALUE"""),46260.53125)</f>
        <v>46260.53125</v>
      </c>
      <c r="K263" s="6" t="str">
        <f>IFERROR(__xludf.DUMMYFUNCTION("""COMPUTED_VALUE"""),"secundaria@gi.edu.co")</f>
        <v>secundaria@gi.edu.co</v>
      </c>
      <c r="L263" s="6" t="str">
        <f>IFERROR(__xludf.DUMMYFUNCTION("""COMPUTED_VALUE"""),"1345281681")</f>
        <v>1345281681</v>
      </c>
      <c r="M263" s="9">
        <f>IFERROR(__xludf.DUMMYFUNCTION("""COMPUTED_VALUE"""),46260.48327546296)</f>
        <v>46260.48328</v>
      </c>
      <c r="N263" s="6" t="str">
        <f>IFERROR(__xludf.DUMMYFUNCTION("""COMPUTED_VALUE"""),"Pendiente")</f>
        <v>Pendiente</v>
      </c>
      <c r="O263" s="6"/>
      <c r="P263" s="17">
        <f>IFERROR(__xludf.DUMMYFUNCTION("""COMPUTED_VALUE"""),46260.48327546296)</f>
        <v>46260.48328</v>
      </c>
      <c r="Q263" s="6"/>
      <c r="R263" s="6" t="str">
        <f>IFERROR(__xludf.DUMMYFUNCTION("""COMPUTED_VALUE"""),"Entrenamiento deportivo (Talento excepcional)")</f>
        <v>Entrenamiento deportivo (Talento excepcional)</v>
      </c>
      <c r="S263" s="6" t="b">
        <f>IFERROR(__xludf.DUMMYFUNCTION("""COMPUTED_VALUE"""),FALSE)</f>
        <v>0</v>
      </c>
      <c r="T263" s="6"/>
      <c r="U263" s="6" t="str">
        <f>IFERROR(__xludf.DUMMYFUNCTION("""COMPUTED_VALUE"""),"Salida temprano")</f>
        <v>Salida temprano</v>
      </c>
      <c r="V263" s="6"/>
      <c r="W263" s="6"/>
      <c r="X263" s="6"/>
      <c r="Y263" s="6"/>
      <c r="Z263" s="6"/>
    </row>
    <row r="264">
      <c r="A264" s="6" t="str">
        <f>IFERROR(__xludf.DUMMYFUNCTION("""COMPUTED_VALUE"""),"a0f9b1f2")</f>
        <v>a0f9b1f2</v>
      </c>
      <c r="B264" s="7" t="str">
        <f>IFERROR(__xludf.DUMMYFUNCTION("""COMPUTED_VALUE"""),"1345282619")</f>
        <v>1345282619</v>
      </c>
      <c r="C264" s="6" t="str">
        <f>IFERROR(__xludf.DUMMYFUNCTION("""COMPUTED_VALUE"""),"enfermedad")</f>
        <v>enfermedad</v>
      </c>
      <c r="D264" s="6" t="str">
        <f>IFERROR(__xludf.DUMMYFUNCTION("""COMPUTED_VALUE"""),"Madre")</f>
        <v>Madre</v>
      </c>
      <c r="E264" s="6" t="str">
        <f>IFERROR(__xludf.DUMMYFUNCTION("""COMPUTED_VALUE"""),"Madre: Diana María Giraldo Aguirre")</f>
        <v>Madre: Diana María Giraldo Aguirre</v>
      </c>
      <c r="F264" s="6"/>
      <c r="G264" s="6" t="str">
        <f>IFERROR(__xludf.DUMMYFUNCTION("""COMPUTED_VALUE"""),"PV")</f>
        <v>PV</v>
      </c>
      <c r="H264" s="6" t="str">
        <f>IFERROR(__xludf.DUMMYFUNCTION("""COMPUTED_VALUE"""),"Gaitán Arianna")</f>
        <v>Gaitán Arianna</v>
      </c>
      <c r="I264" s="6"/>
      <c r="J264" s="8">
        <f>IFERROR(__xludf.DUMMYFUNCTION("""COMPUTED_VALUE"""),46260.490277777775)</f>
        <v>46260.49028</v>
      </c>
      <c r="K264" s="6" t="str">
        <f>IFERROR(__xludf.DUMMYFUNCTION("""COMPUTED_VALUE"""),"enfermeria@gi.edu.co")</f>
        <v>enfermeria@gi.edu.co</v>
      </c>
      <c r="L264" s="6" t="str">
        <f>IFERROR(__xludf.DUMMYFUNCTION("""COMPUTED_VALUE"""),"1345282619")</f>
        <v>1345282619</v>
      </c>
      <c r="M264" s="9">
        <f>IFERROR(__xludf.DUMMYFUNCTION("""COMPUTED_VALUE"""),46260.49072916667)</f>
        <v>46260.49073</v>
      </c>
      <c r="N264" s="6" t="str">
        <f>IFERROR(__xludf.DUMMYFUNCTION("""COMPUTED_VALUE"""),"Pendiente")</f>
        <v>Pendiente</v>
      </c>
      <c r="O264" s="6"/>
      <c r="P264" s="17">
        <f>IFERROR(__xludf.DUMMYFUNCTION("""COMPUTED_VALUE"""),46260.49072916667)</f>
        <v>46260.49073</v>
      </c>
      <c r="Q264" s="6"/>
      <c r="R264" s="6" t="str">
        <f>IFERROR(__xludf.DUMMYFUNCTION("""COMPUTED_VALUE"""),"Enfermo problema digestivo")</f>
        <v>Enfermo problema digestivo</v>
      </c>
      <c r="S264" s="6"/>
      <c r="T264" s="6"/>
      <c r="U264" s="6" t="str">
        <f>IFERROR(__xludf.DUMMYFUNCTION("""COMPUTED_VALUE"""),"Salida temprano")</f>
        <v>Salida temprano</v>
      </c>
      <c r="V264" s="6"/>
      <c r="W264" s="6"/>
      <c r="X264" s="6"/>
      <c r="Y264" s="6"/>
      <c r="Z264" s="6"/>
    </row>
    <row r="265">
      <c r="A265" s="6" t="str">
        <f>IFERROR(__xludf.DUMMYFUNCTION("""COMPUTED_VALUE"""),"42bfae19")</f>
        <v>42bfae19</v>
      </c>
      <c r="B265" s="7" t="str">
        <f>IFERROR(__xludf.DUMMYFUNCTION("""COMPUTED_VALUE"""),"1345281658")</f>
        <v>1345281658</v>
      </c>
      <c r="C265" s="6" t="str">
        <f>IFERROR(__xludf.DUMMYFUNCTION("""COMPUTED_VALUE"""),"la mmaá informa que debe venir por el temprano")</f>
        <v>la mmaá informa que debe venir por el temprano</v>
      </c>
      <c r="D265" s="6" t="str">
        <f>IFERROR(__xludf.DUMMYFUNCTION("""COMPUTED_VALUE"""),"Madre")</f>
        <v>Madre</v>
      </c>
      <c r="E265" s="6" t="str">
        <f>IFERROR(__xludf.DUMMYFUNCTION("""COMPUTED_VALUE"""),"Madre: Nathalia Marcela Pachón Ocampo")</f>
        <v>Madre: Nathalia Marcela Pachón Ocampo</v>
      </c>
      <c r="F265" s="6"/>
      <c r="G265" s="6" t="str">
        <f>IFERROR(__xludf.DUMMYFUNCTION("""COMPUTED_VALUE"""),"11")</f>
        <v>11</v>
      </c>
      <c r="H265" s="6" t="str">
        <f>IFERROR(__xludf.DUMMYFUNCTION("""COMPUTED_VALUE"""),"Tisnés Pachón Juan Sebastián")</f>
        <v>Tisnés Pachón Juan Sebastián</v>
      </c>
      <c r="I265" s="6" t="str">
        <f>IFERROR(__xludf.DUMMYFUNCTION("""COMPUTED_VALUE"""),"Demograficos_Images/1345281658.Foto_Estudiante.181626.jpg")</f>
        <v>Demograficos_Images/1345281658.Foto_Estudiante.181626.jpg</v>
      </c>
      <c r="J265" s="8">
        <f>IFERROR(__xludf.DUMMYFUNCTION("""COMPUTED_VALUE"""),46260.569444444445)</f>
        <v>46260.56944</v>
      </c>
      <c r="K265" s="6" t="str">
        <f>IFERROR(__xludf.DUMMYFUNCTION("""COMPUTED_VALUE"""),"secundaria@gi.edu.co")</f>
        <v>secundaria@gi.edu.co</v>
      </c>
      <c r="L265" s="6" t="str">
        <f>IFERROR(__xludf.DUMMYFUNCTION("""COMPUTED_VALUE"""),"1345281658")</f>
        <v>1345281658</v>
      </c>
      <c r="M265" s="9">
        <f>IFERROR(__xludf.DUMMYFUNCTION("""COMPUTED_VALUE"""),46260.48936342593)</f>
        <v>46260.48936</v>
      </c>
      <c r="N265" s="6" t="str">
        <f>IFERROR(__xludf.DUMMYFUNCTION("""COMPUTED_VALUE"""),"Pendiente")</f>
        <v>Pendiente</v>
      </c>
      <c r="O265" s="6"/>
      <c r="P265" s="17">
        <f>IFERROR(__xludf.DUMMYFUNCTION("""COMPUTED_VALUE"""),46260.48936342593)</f>
        <v>46260.48936</v>
      </c>
      <c r="Q265" s="6"/>
      <c r="R265" s="6" t="str">
        <f>IFERROR(__xludf.DUMMYFUNCTION("""COMPUTED_VALUE"""),"Asuntos Familiares")</f>
        <v>Asuntos Familiares</v>
      </c>
      <c r="S265" s="6" t="b">
        <f>IFERROR(__xludf.DUMMYFUNCTION("""COMPUTED_VALUE"""),FALSE)</f>
        <v>0</v>
      </c>
      <c r="T265" s="6"/>
      <c r="U265" s="6" t="str">
        <f>IFERROR(__xludf.DUMMYFUNCTION("""COMPUTED_VALUE"""),"Salida temprano")</f>
        <v>Salida temprano</v>
      </c>
      <c r="V265" s="6"/>
      <c r="W265" s="6"/>
      <c r="X265" s="6"/>
      <c r="Y265" s="6"/>
      <c r="Z265" s="6"/>
    </row>
    <row r="266">
      <c r="A266" s="6" t="str">
        <f>IFERROR(__xludf.DUMMYFUNCTION("""COMPUTED_VALUE"""),"e54aaa94")</f>
        <v>e54aaa94</v>
      </c>
      <c r="B266" s="7" t="str">
        <f>IFERROR(__xludf.DUMMYFUNCTION("""COMPUTED_VALUE"""),"1345281701")</f>
        <v>1345281701</v>
      </c>
      <c r="C266" s="6" t="str">
        <f>IFERROR(__xludf.DUMMYFUNCTION("""COMPUTED_VALUE"""),"sale con el tio Jairo Buritica despues de extras")</f>
        <v>sale con el tio Jairo Buritica despues de extras</v>
      </c>
      <c r="D266" s="6" t="str">
        <f>IFERROR(__xludf.DUMMYFUNCTION("""COMPUTED_VALUE"""),"Otro")</f>
        <v>Otro</v>
      </c>
      <c r="E266" s="6"/>
      <c r="F266" s="6" t="str">
        <f>IFERROR(__xludf.DUMMYFUNCTION("""COMPUTED_VALUE"""),"sale con el tio Jairo Buritica despues de extras")</f>
        <v>sale con el tio Jairo Buritica despues de extras</v>
      </c>
      <c r="G266" s="6" t="str">
        <f>IFERROR(__xludf.DUMMYFUNCTION("""COMPUTED_VALUE"""),"8")</f>
        <v>8</v>
      </c>
      <c r="H266" s="6" t="str">
        <f>IFERROR(__xludf.DUMMYFUNCTION("""COMPUTED_VALUE"""),"Londoño Matoma María Antonia")</f>
        <v>Londoño Matoma María Antonia</v>
      </c>
      <c r="I266" s="6" t="str">
        <f>IFERROR(__xludf.DUMMYFUNCTION("""COMPUTED_VALUE"""),"Demograficos_Images/1345281701.Foto_Estudiante.191728.jpg")</f>
        <v>Demograficos_Images/1345281701.Foto_Estudiante.191728.jpg</v>
      </c>
      <c r="J266" s="8">
        <f>IFERROR(__xludf.DUMMYFUNCTION("""COMPUTED_VALUE"""),46260.21875)</f>
        <v>46260.21875</v>
      </c>
      <c r="K266" s="6" t="str">
        <f>IFERROR(__xludf.DUMMYFUNCTION("""COMPUTED_VALUE"""),"secundaria@gi.edu.co")</f>
        <v>secundaria@gi.edu.co</v>
      </c>
      <c r="L266" s="6" t="str">
        <f>IFERROR(__xludf.DUMMYFUNCTION("""COMPUTED_VALUE"""),"1345281701")</f>
        <v>1345281701</v>
      </c>
      <c r="M266" s="9">
        <f>IFERROR(__xludf.DUMMYFUNCTION("""COMPUTED_VALUE"""),46260.496296296296)</f>
        <v>46260.4963</v>
      </c>
      <c r="N266" s="6" t="str">
        <f>IFERROR(__xludf.DUMMYFUNCTION("""COMPUTED_VALUE"""),"Pendiente")</f>
        <v>Pendiente</v>
      </c>
      <c r="O266" s="6"/>
      <c r="P266" s="17">
        <f>IFERROR(__xludf.DUMMYFUNCTION("""COMPUTED_VALUE"""),46260.496296296296)</f>
        <v>46260.4963</v>
      </c>
      <c r="Q266" s="6"/>
      <c r="R266" s="6"/>
      <c r="S266" s="6"/>
      <c r="T266" s="6"/>
      <c r="U266" s="6" t="str">
        <f>IFERROR(__xludf.DUMMYFUNCTION("""COMPUTED_VALUE"""),"Otras Novedades")</f>
        <v>Otras Novedades</v>
      </c>
      <c r="V266" s="6"/>
      <c r="W266" s="6"/>
      <c r="X266" s="6"/>
      <c r="Y266" s="6"/>
      <c r="Z266" s="6"/>
    </row>
    <row r="267">
      <c r="A267" s="6" t="str">
        <f>IFERROR(__xludf.DUMMYFUNCTION("""COMPUTED_VALUE"""),"d6053c93")</f>
        <v>d6053c93</v>
      </c>
      <c r="B267" s="7" t="str">
        <f>IFERROR(__xludf.DUMMYFUNCTION("""COMPUTED_VALUE"""),"1345282592")</f>
        <v>1345282592</v>
      </c>
      <c r="C267" s="6"/>
      <c r="D267" s="6" t="str">
        <f>IFERROR(__xludf.DUMMYFUNCTION("""COMPUTED_VALUE"""),"Padre")</f>
        <v>Padre</v>
      </c>
      <c r="E267" s="6" t="str">
        <f>IFERROR(__xludf.DUMMYFUNCTION("""COMPUTED_VALUE"""),"Padre: Juan Carlos Aguilar Aguilar")</f>
        <v>Padre: Juan Carlos Aguilar Aguilar</v>
      </c>
      <c r="F267" s="6"/>
      <c r="G267" s="6" t="str">
        <f>IFERROR(__xludf.DUMMYFUNCTION("""COMPUTED_VALUE"""),"PV")</f>
        <v>PV</v>
      </c>
      <c r="H267" s="6" t="str">
        <f>IFERROR(__xludf.DUMMYFUNCTION("""COMPUTED_VALUE"""),"Aguilar Sánchez Mariana")</f>
        <v>Aguilar Sánchez Mariana</v>
      </c>
      <c r="I267" s="6"/>
      <c r="J267" s="8">
        <f>IFERROR(__xludf.DUMMYFUNCTION("""COMPUTED_VALUE"""),46260.520833333336)</f>
        <v>46260.52083</v>
      </c>
      <c r="K267" s="6" t="str">
        <f>IFERROR(__xludf.DUMMYFUNCTION("""COMPUTED_VALUE"""),"kinder@gi.edu.co")</f>
        <v>kinder@gi.edu.co</v>
      </c>
      <c r="L267" s="6" t="str">
        <f>IFERROR(__xludf.DUMMYFUNCTION("""COMPUTED_VALUE"""),"1345282592")</f>
        <v>1345282592</v>
      </c>
      <c r="M267" s="9">
        <f>IFERROR(__xludf.DUMMYFUNCTION("""COMPUTED_VALUE"""),46260.48537037037)</f>
        <v>46260.48537</v>
      </c>
      <c r="N267" s="6" t="str">
        <f>IFERROR(__xludf.DUMMYFUNCTION("""COMPUTED_VALUE"""),"Pendiente")</f>
        <v>Pendiente</v>
      </c>
      <c r="O267" s="6"/>
      <c r="P267" s="17">
        <f>IFERROR(__xludf.DUMMYFUNCTION("""COMPUTED_VALUE"""),46260.48537037037)</f>
        <v>46260.48537</v>
      </c>
      <c r="Q267" s="6"/>
      <c r="R267" s="6" t="str">
        <f>IFERROR(__xludf.DUMMYFUNCTION("""COMPUTED_VALUE"""),"Asuntos Familiares")</f>
        <v>Asuntos Familiares</v>
      </c>
      <c r="S267" s="6" t="b">
        <f>IFERROR(__xludf.DUMMYFUNCTION("""COMPUTED_VALUE"""),FALSE)</f>
        <v>0</v>
      </c>
      <c r="T267" s="6"/>
      <c r="U267" s="6" t="str">
        <f>IFERROR(__xludf.DUMMYFUNCTION("""COMPUTED_VALUE"""),"Salida temprano")</f>
        <v>Salida temprano</v>
      </c>
      <c r="V267" s="6"/>
      <c r="W267" s="6"/>
      <c r="X267" s="6"/>
      <c r="Y267" s="6"/>
      <c r="Z267" s="6"/>
    </row>
    <row r="268">
      <c r="A268" s="6" t="str">
        <f>IFERROR(__xludf.DUMMYFUNCTION("""COMPUTED_VALUE"""),"5d63b76e")</f>
        <v>5d63b76e</v>
      </c>
      <c r="B268" s="7" t="str">
        <f>IFERROR(__xludf.DUMMYFUNCTION("""COMPUTED_VALUE"""),"1345282587")</f>
        <v>1345282587</v>
      </c>
      <c r="C268" s="6"/>
      <c r="D268" s="6" t="str">
        <f>IFERROR(__xludf.DUMMYFUNCTION("""COMPUTED_VALUE"""),"Madre")</f>
        <v>Madre</v>
      </c>
      <c r="E268" s="6" t="str">
        <f>IFERROR(__xludf.DUMMYFUNCTION("""COMPUTED_VALUE"""),"Madre: María Alejandra Botero Bueno")</f>
        <v>Madre: María Alejandra Botero Bueno</v>
      </c>
      <c r="F268" s="6"/>
      <c r="G268" s="6" t="str">
        <f>IFERROR(__xludf.DUMMYFUNCTION("""COMPUTED_VALUE"""),"PV")</f>
        <v>PV</v>
      </c>
      <c r="H268" s="6" t="str">
        <f>IFERROR(__xludf.DUMMYFUNCTION("""COMPUTED_VALUE"""),"Gutiérrez Botero Gabriel")</f>
        <v>Gutiérrez Botero Gabriel</v>
      </c>
      <c r="I268" s="6"/>
      <c r="J268" s="8">
        <f>IFERROR(__xludf.DUMMYFUNCTION("""COMPUTED_VALUE"""),46260.520833333336)</f>
        <v>46260.52083</v>
      </c>
      <c r="K268" s="6" t="str">
        <f>IFERROR(__xludf.DUMMYFUNCTION("""COMPUTED_VALUE"""),"kinder@gi.edu.co")</f>
        <v>kinder@gi.edu.co</v>
      </c>
      <c r="L268" s="6" t="str">
        <f>IFERROR(__xludf.DUMMYFUNCTION("""COMPUTED_VALUE"""),"1345282587")</f>
        <v>1345282587</v>
      </c>
      <c r="M268" s="9">
        <f>IFERROR(__xludf.DUMMYFUNCTION("""COMPUTED_VALUE"""),46260.51719907407)</f>
        <v>46260.5172</v>
      </c>
      <c r="N268" s="6" t="str">
        <f>IFERROR(__xludf.DUMMYFUNCTION("""COMPUTED_VALUE"""),"Pendiente")</f>
        <v>Pendiente</v>
      </c>
      <c r="O268" s="6"/>
      <c r="P268" s="17">
        <f>IFERROR(__xludf.DUMMYFUNCTION("""COMPUTED_VALUE"""),46260.51719907407)</f>
        <v>46260.5172</v>
      </c>
      <c r="Q268" s="6"/>
      <c r="R268" s="6" t="str">
        <f>IFERROR(__xludf.DUMMYFUNCTION("""COMPUTED_VALUE"""),"Asuntos Familiares")</f>
        <v>Asuntos Familiares</v>
      </c>
      <c r="S268" s="6" t="b">
        <f>IFERROR(__xludf.DUMMYFUNCTION("""COMPUTED_VALUE"""),FALSE)</f>
        <v>0</v>
      </c>
      <c r="T268" s="6"/>
      <c r="U268" s="6" t="str">
        <f>IFERROR(__xludf.DUMMYFUNCTION("""COMPUTED_VALUE"""),"Salida temprano")</f>
        <v>Salida temprano</v>
      </c>
      <c r="V268" s="6"/>
      <c r="W268" s="6"/>
      <c r="X268" s="6"/>
      <c r="Y268" s="6"/>
      <c r="Z268" s="6"/>
    </row>
    <row r="269">
      <c r="A269" s="6"/>
      <c r="B269" s="7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 t="str">
        <f>IFERROR(__xludf.DUMMYFUNCTION("""COMPUTED_VALUE"""),"961de370")</f>
        <v>961de370</v>
      </c>
      <c r="B270" s="7" t="str">
        <f>IFERROR(__xludf.DUMMYFUNCTION("""COMPUTED_VALUE"""),"1345282217")</f>
        <v>1345282217</v>
      </c>
      <c r="C270" s="6" t="str">
        <f>IFERROR(__xludf.DUMMYFUNCTION("""COMPUTED_VALUE"""),"sale con  Pilar Palacios mamá de Paz después de extras")</f>
        <v>sale con  Pilar Palacios mamá de Paz después de extras</v>
      </c>
      <c r="D270" s="6"/>
      <c r="E270" s="6"/>
      <c r="F270" s="6"/>
      <c r="G270" s="6" t="str">
        <f>IFERROR(__xludf.DUMMYFUNCTION("""COMPUTED_VALUE"""),"7")</f>
        <v>7</v>
      </c>
      <c r="H270" s="6" t="str">
        <f>IFERROR(__xludf.DUMMYFUNCTION("""COMPUTED_VALUE"""),"Lozano Casas Isaac")</f>
        <v>Lozano Casas Isaac</v>
      </c>
      <c r="I270" s="6" t="str">
        <f>IFERROR(__xludf.DUMMYFUNCTION("""COMPUTED_VALUE"""),"Demograficos_Images/1345282217.Foto_Estudiante.193753.jpg")</f>
        <v>Demograficos_Images/1345282217.Foto_Estudiante.193753.jpg</v>
      </c>
      <c r="J270" s="8">
        <f>IFERROR(__xludf.DUMMYFUNCTION("""COMPUTED_VALUE"""),46260.71875)</f>
        <v>46260.71875</v>
      </c>
      <c r="K270" s="6" t="str">
        <f>IFERROR(__xludf.DUMMYFUNCTION("""COMPUTED_VALUE"""),"secundaria@gi.edu.co")</f>
        <v>secundaria@gi.edu.co</v>
      </c>
      <c r="L270" s="6" t="str">
        <f>IFERROR(__xludf.DUMMYFUNCTION("""COMPUTED_VALUE"""),"1345282217")</f>
        <v>1345282217</v>
      </c>
      <c r="M270" s="9">
        <f>IFERROR(__xludf.DUMMYFUNCTION("""COMPUTED_VALUE"""),46260.53425925926)</f>
        <v>46260.53426</v>
      </c>
      <c r="N270" s="6" t="str">
        <f>IFERROR(__xludf.DUMMYFUNCTION("""COMPUTED_VALUE"""),"Pendiente")</f>
        <v>Pendiente</v>
      </c>
      <c r="O270" s="6"/>
      <c r="P270" s="17">
        <f>IFERROR(__xludf.DUMMYFUNCTION("""COMPUTED_VALUE"""),46260.53425925926)</f>
        <v>46260.53426</v>
      </c>
      <c r="Q270" s="6"/>
      <c r="R270" s="6"/>
      <c r="S270" s="6"/>
      <c r="T270" s="6"/>
      <c r="U270" s="6" t="str">
        <f>IFERROR(__xludf.DUMMYFUNCTION("""COMPUTED_VALUE"""),"Otras Novedades")</f>
        <v>Otras Novedades</v>
      </c>
      <c r="V270" s="6"/>
      <c r="W270" s="6"/>
      <c r="X270" s="6"/>
      <c r="Y270" s="6"/>
      <c r="Z270" s="6"/>
    </row>
    <row r="271">
      <c r="A271" s="6" t="str">
        <f>IFERROR(__xludf.DUMMYFUNCTION("""COMPUTED_VALUE"""),"3c73ad12")</f>
        <v>3c73ad12</v>
      </c>
      <c r="B271" s="7" t="str">
        <f>IFERROR(__xludf.DUMMYFUNCTION("""COMPUTED_VALUE"""),"1345281687")</f>
        <v>1345281687</v>
      </c>
      <c r="C271" s="6" t="str">
        <f>IFERROR(__xludf.DUMMYFUNCTION("""COMPUTED_VALUE"""),"sale con la mamá de Matías Fajardo")</f>
        <v>sale con la mamá de Matías Fajardo</v>
      </c>
      <c r="D271" s="6" t="str">
        <f>IFERROR(__xludf.DUMMYFUNCTION("""COMPUTED_VALUE"""),"Otro")</f>
        <v>Otro</v>
      </c>
      <c r="E271" s="6"/>
      <c r="F271" s="6" t="str">
        <f>IFERROR(__xludf.DUMMYFUNCTION("""COMPUTED_VALUE"""),"Viviana Camacho mamá de Matías Fajardo")</f>
        <v>Viviana Camacho mamá de Matías Fajardo</v>
      </c>
      <c r="G271" s="6" t="str">
        <f>IFERROR(__xludf.DUMMYFUNCTION("""COMPUTED_VALUE"""),"7")</f>
        <v>7</v>
      </c>
      <c r="H271" s="6" t="str">
        <f>IFERROR(__xludf.DUMMYFUNCTION("""COMPUTED_VALUE"""),"Algarra Urrea Juan Francisco")</f>
        <v>Algarra Urrea Juan Francisco</v>
      </c>
      <c r="I271" s="6" t="str">
        <f>IFERROR(__xludf.DUMMYFUNCTION("""COMPUTED_VALUE"""),"Demograficos_Images/1345281687.Foto_Estudiante.181902.jpg")</f>
        <v>Demograficos_Images/1345281687.Foto_Estudiante.181902.jpg</v>
      </c>
      <c r="J271" s="8">
        <f>IFERROR(__xludf.DUMMYFUNCTION("""COMPUTED_VALUE"""),46260.583333333336)</f>
        <v>46260.58333</v>
      </c>
      <c r="K271" s="6" t="str">
        <f>IFERROR(__xludf.DUMMYFUNCTION("""COMPUTED_VALUE"""),"secundaria@gi.edu.co")</f>
        <v>secundaria@gi.edu.co</v>
      </c>
      <c r="L271" s="6" t="str">
        <f>IFERROR(__xludf.DUMMYFUNCTION("""COMPUTED_VALUE"""),"1345281687")</f>
        <v>1345281687</v>
      </c>
      <c r="M271" s="9">
        <f>IFERROR(__xludf.DUMMYFUNCTION("""COMPUTED_VALUE"""),46260.53902777778)</f>
        <v>46260.53903</v>
      </c>
      <c r="N271" s="6" t="str">
        <f>IFERROR(__xludf.DUMMYFUNCTION("""COMPUTED_VALUE"""),"Pendiente")</f>
        <v>Pendiente</v>
      </c>
      <c r="O271" s="6"/>
      <c r="P271" s="17">
        <f>IFERROR(__xludf.DUMMYFUNCTION("""COMPUTED_VALUE"""),46260.53902777778)</f>
        <v>46260.53903</v>
      </c>
      <c r="Q271" s="6"/>
      <c r="R271" s="6"/>
      <c r="S271" s="6"/>
      <c r="T271" s="6"/>
      <c r="U271" s="6" t="str">
        <f>IFERROR(__xludf.DUMMYFUNCTION("""COMPUTED_VALUE"""),"Otras Novedades")</f>
        <v>Otras Novedades</v>
      </c>
      <c r="V271" s="6"/>
      <c r="W271" s="6"/>
      <c r="X271" s="6"/>
      <c r="Y271" s="6"/>
      <c r="Z271" s="6"/>
    </row>
    <row r="272">
      <c r="A272" s="6" t="str">
        <f>IFERROR(__xludf.DUMMYFUNCTION("""COMPUTED_VALUE"""),"7b66545a")</f>
        <v>7b66545a</v>
      </c>
      <c r="B272" s="7" t="str">
        <f>IFERROR(__xludf.DUMMYFUNCTION("""COMPUTED_VALUE"""),"1345282458")</f>
        <v>1345282458</v>
      </c>
      <c r="C272" s="6" t="str">
        <f>IFERROR(__xludf.DUMMYFUNCTION("""COMPUTED_VALUE"""),"Se va con tercero autorizado por mamá")</f>
        <v>Se va con tercero autorizado por mamá</v>
      </c>
      <c r="D272" s="6" t="str">
        <f>IFERROR(__xludf.DUMMYFUNCTION("""COMPUTED_VALUE"""),"Otro")</f>
        <v>Otro</v>
      </c>
      <c r="E272" s="6"/>
      <c r="F272" s="6" t="str">
        <f>IFERROR(__xludf.DUMMYFUNCTION("""COMPUTED_VALUE"""),"Diego fernando se va con su hermana manuela y la mama de luciana lopez")</f>
        <v>Diego fernando se va con su hermana manuela y la mama de luciana lopez</v>
      </c>
      <c r="G272" s="6" t="str">
        <f>IFERROR(__xludf.DUMMYFUNCTION("""COMPUTED_VALUE"""),"K4")</f>
        <v>K4</v>
      </c>
      <c r="H272" s="6" t="str">
        <f>IFERROR(__xludf.DUMMYFUNCTION("""COMPUTED_VALUE"""),"Montoya Molano Diego Fernando")</f>
        <v>Montoya Molano Diego Fernando</v>
      </c>
      <c r="I272" s="6" t="str">
        <f>IFERROR(__xludf.DUMMYFUNCTION("""COMPUTED_VALUE"""),"Demograficos_Images/1345282458.Foto_Estudiante.165027.jpg")</f>
        <v>Demograficos_Images/1345282458.Foto_Estudiante.165027.jpg</v>
      </c>
      <c r="J272" s="8">
        <f>IFERROR(__xludf.DUMMYFUNCTION("""COMPUTED_VALUE"""),46260.541666666664)</f>
        <v>46260.54167</v>
      </c>
      <c r="K272" s="6" t="str">
        <f>IFERROR(__xludf.DUMMYFUNCTION("""COMPUTED_VALUE"""),"kinder@gi.edu.co")</f>
        <v>kinder@gi.edu.co</v>
      </c>
      <c r="L272" s="6" t="str">
        <f>IFERROR(__xludf.DUMMYFUNCTION("""COMPUTED_VALUE"""),"1345282458")</f>
        <v>1345282458</v>
      </c>
      <c r="M272" s="9">
        <f>IFERROR(__xludf.DUMMYFUNCTION("""COMPUTED_VALUE"""),46260.521886574075)</f>
        <v>46260.52189</v>
      </c>
      <c r="N272" s="6" t="str">
        <f>IFERROR(__xludf.DUMMYFUNCTION("""COMPUTED_VALUE"""),"Pendiente")</f>
        <v>Pendiente</v>
      </c>
      <c r="O272" s="6"/>
      <c r="P272" s="17">
        <f>IFERROR(__xludf.DUMMYFUNCTION("""COMPUTED_VALUE"""),46260.521886574075)</f>
        <v>46260.52189</v>
      </c>
      <c r="Q272" s="6"/>
      <c r="R272" s="6"/>
      <c r="S272" s="6"/>
      <c r="T272" s="6"/>
      <c r="U272" s="6" t="str">
        <f>IFERROR(__xludf.DUMMYFUNCTION("""COMPUTED_VALUE"""),"Otras Novedades")</f>
        <v>Otras Novedades</v>
      </c>
      <c r="V272" s="6"/>
      <c r="W272" s="6"/>
      <c r="X272" s="6"/>
      <c r="Y272" s="6"/>
      <c r="Z272" s="6"/>
    </row>
    <row r="273">
      <c r="A273" s="6" t="str">
        <f>IFERROR(__xludf.DUMMYFUNCTION("""COMPUTED_VALUE"""),"31f9b9b9")</f>
        <v>31f9b9b9</v>
      </c>
      <c r="B273" s="7" t="str">
        <f>IFERROR(__xludf.DUMMYFUNCTION("""COMPUTED_VALUE"""),"1345282580")</f>
        <v>1345282580</v>
      </c>
      <c r="C273" s="6" t="str">
        <f>IFERROR(__xludf.DUMMYFUNCTION("""COMPUTED_VALUE"""),"sale con tercero")</f>
        <v>sale con tercero</v>
      </c>
      <c r="D273" s="6" t="str">
        <f>IFERROR(__xludf.DUMMYFUNCTION("""COMPUTED_VALUE"""),"Otro")</f>
        <v>Otro</v>
      </c>
      <c r="E273" s="6"/>
      <c r="F273" s="6" t="str">
        <f>IFERROR(__xludf.DUMMYFUNCTION("""COMPUTED_VALUE"""),"abuelo Mario")</f>
        <v>abuelo Mario</v>
      </c>
      <c r="G273" s="6" t="str">
        <f>IFERROR(__xludf.DUMMYFUNCTION("""COMPUTED_VALUE"""),"PV")</f>
        <v>PV</v>
      </c>
      <c r="H273" s="6" t="str">
        <f>IFERROR(__xludf.DUMMYFUNCTION("""COMPUTED_VALUE"""),"Vélez Fajardo Alicia")</f>
        <v>Vélez Fajardo Alicia</v>
      </c>
      <c r="I273" s="6"/>
      <c r="J273" s="8">
        <f>IFERROR(__xludf.DUMMYFUNCTION("""COMPUTED_VALUE"""),46260.541666666664)</f>
        <v>46260.54167</v>
      </c>
      <c r="K273" s="6" t="str">
        <f>IFERROR(__xludf.DUMMYFUNCTION("""COMPUTED_VALUE"""),"kinder@gi.edu.co")</f>
        <v>kinder@gi.edu.co</v>
      </c>
      <c r="L273" s="6" t="str">
        <f>IFERROR(__xludf.DUMMYFUNCTION("""COMPUTED_VALUE"""),"1345282580")</f>
        <v>1345282580</v>
      </c>
      <c r="M273" s="9">
        <f>IFERROR(__xludf.DUMMYFUNCTION("""COMPUTED_VALUE"""),46260.542546296296)</f>
        <v>46260.54255</v>
      </c>
      <c r="N273" s="6" t="str">
        <f>IFERROR(__xludf.DUMMYFUNCTION("""COMPUTED_VALUE"""),"Pendiente")</f>
        <v>Pendiente</v>
      </c>
      <c r="O273" s="6"/>
      <c r="P273" s="17">
        <f>IFERROR(__xludf.DUMMYFUNCTION("""COMPUTED_VALUE"""),46260.542546296296)</f>
        <v>46260.54255</v>
      </c>
      <c r="Q273" s="6"/>
      <c r="R273" s="6"/>
      <c r="S273" s="6"/>
      <c r="T273" s="6"/>
      <c r="U273" s="6" t="str">
        <f>IFERROR(__xludf.DUMMYFUNCTION("""COMPUTED_VALUE"""),"Otras Novedades")</f>
        <v>Otras Novedades</v>
      </c>
      <c r="V273" s="6"/>
      <c r="W273" s="6"/>
      <c r="X273" s="6"/>
      <c r="Y273" s="6"/>
      <c r="Z273" s="6"/>
    </row>
    <row r="274">
      <c r="A274" s="6" t="str">
        <f>IFERROR(__xludf.DUMMYFUNCTION("""COMPUTED_VALUE"""),"afd8df31")</f>
        <v>afd8df31</v>
      </c>
      <c r="B274" s="7" t="str">
        <f>IFERROR(__xludf.DUMMYFUNCTION("""COMPUTED_VALUE"""),"1345281490")</f>
        <v>1345281490</v>
      </c>
      <c r="C274" s="6" t="str">
        <f>IFERROR(__xludf.DUMMYFUNCTION("""COMPUTED_VALUE"""),"enfermedad")</f>
        <v>enfermedad</v>
      </c>
      <c r="D274" s="6"/>
      <c r="E274" s="6"/>
      <c r="F274" s="6"/>
      <c r="G274" s="6" t="str">
        <f>IFERROR(__xludf.DUMMYFUNCTION("""COMPUTED_VALUE"""),"12")</f>
        <v>12</v>
      </c>
      <c r="H274" s="6" t="str">
        <f>IFERROR(__xludf.DUMMYFUNCTION("""COMPUTED_VALUE"""),"Álvarez Osorio Paulina")</f>
        <v>Álvarez Osorio Paulina</v>
      </c>
      <c r="I274" s="6" t="str">
        <f>IFERROR(__xludf.DUMMYFUNCTION("""COMPUTED_VALUE"""),"Demograficos_Images/1345281490.Foto_Estudiante.181412.jpg")</f>
        <v>Demograficos_Images/1345281490.Foto_Estudiante.181412.jpg</v>
      </c>
      <c r="J274" s="8">
        <f>IFERROR(__xludf.DUMMYFUNCTION("""COMPUTED_VALUE"""),46260.549305555556)</f>
        <v>46260.54931</v>
      </c>
      <c r="K274" s="6" t="str">
        <f>IFERROR(__xludf.DUMMYFUNCTION("""COMPUTED_VALUE"""),"enfermeria@gi.edu.co")</f>
        <v>enfermeria@gi.edu.co</v>
      </c>
      <c r="L274" s="6" t="str">
        <f>IFERROR(__xludf.DUMMYFUNCTION("""COMPUTED_VALUE"""),"1345281490")</f>
        <v>1345281490</v>
      </c>
      <c r="M274" s="9">
        <f>IFERROR(__xludf.DUMMYFUNCTION("""COMPUTED_VALUE"""),46260.549675925926)</f>
        <v>46260.54968</v>
      </c>
      <c r="N274" s="6" t="str">
        <f>IFERROR(__xludf.DUMMYFUNCTION("""COMPUTED_VALUE"""),"Pendiente")</f>
        <v>Pendiente</v>
      </c>
      <c r="O274" s="6"/>
      <c r="P274" s="17">
        <f>IFERROR(__xludf.DUMMYFUNCTION("""COMPUTED_VALUE"""),46260.549675925926)</f>
        <v>46260.54968</v>
      </c>
      <c r="Q274" s="6"/>
      <c r="R274" s="6" t="str">
        <f>IFERROR(__xludf.DUMMYFUNCTION("""COMPUTED_VALUE"""),"Enfermo problema digestivo")</f>
        <v>Enfermo problema digestivo</v>
      </c>
      <c r="S274" s="6"/>
      <c r="T274" s="6"/>
      <c r="U274" s="6" t="str">
        <f>IFERROR(__xludf.DUMMYFUNCTION("""COMPUTED_VALUE"""),"Salida temprano")</f>
        <v>Salida temprano</v>
      </c>
      <c r="V274" s="6"/>
      <c r="W274" s="6"/>
      <c r="X274" s="6"/>
      <c r="Y274" s="6"/>
      <c r="Z274" s="6"/>
    </row>
    <row r="275">
      <c r="A275" s="6" t="str">
        <f>IFERROR(__xludf.DUMMYFUNCTION("""COMPUTED_VALUE"""),"0959d235")</f>
        <v>0959d235</v>
      </c>
      <c r="B275" s="7" t="str">
        <f>IFERROR(__xludf.DUMMYFUNCTION("""COMPUTED_VALUE"""),"1345282479")</f>
        <v>1345282479</v>
      </c>
      <c r="C275" s="6" t="str">
        <f>IFERROR(__xludf.DUMMYFUNCTION("""COMPUTED_VALUE"""),"Sale con Diomar cantor")</f>
        <v>Sale con Diomar cantor</v>
      </c>
      <c r="D275" s="6" t="str">
        <f>IFERROR(__xludf.DUMMYFUNCTION("""COMPUTED_VALUE"""),"Otro")</f>
        <v>Otro</v>
      </c>
      <c r="E275" s="6"/>
      <c r="F275" s="6"/>
      <c r="G275" s="6" t="str">
        <f>IFERROR(__xludf.DUMMYFUNCTION("""COMPUTED_VALUE"""),"K4")</f>
        <v>K4</v>
      </c>
      <c r="H275" s="6" t="str">
        <f>IFERROR(__xludf.DUMMYFUNCTION("""COMPUTED_VALUE"""),"Salazar Rojas Jerónimo")</f>
        <v>Salazar Rojas Jerónimo</v>
      </c>
      <c r="I275" s="6" t="str">
        <f>IFERROR(__xludf.DUMMYFUNCTION("""COMPUTED_VALUE"""),"Demograficos_Images/1345282479.Foto_Estudiante.185958.jpg")</f>
        <v>Demograficos_Images/1345282479.Foto_Estudiante.185958.jpg</v>
      </c>
      <c r="J275" s="8">
        <f>IFERROR(__xludf.DUMMYFUNCTION("""COMPUTED_VALUE"""),46260.55138888889)</f>
        <v>46260.55139</v>
      </c>
      <c r="K275" s="6" t="str">
        <f>IFERROR(__xludf.DUMMYFUNCTION("""COMPUTED_VALUE"""),"kinder@gi.edu.co")</f>
        <v>kinder@gi.edu.co</v>
      </c>
      <c r="L275" s="6" t="str">
        <f>IFERROR(__xludf.DUMMYFUNCTION("""COMPUTED_VALUE"""),"1345282479")</f>
        <v>1345282479</v>
      </c>
      <c r="M275" s="9">
        <f>IFERROR(__xludf.DUMMYFUNCTION("""COMPUTED_VALUE"""),46260.55170138889)</f>
        <v>46260.5517</v>
      </c>
      <c r="N275" s="6" t="str">
        <f>IFERROR(__xludf.DUMMYFUNCTION("""COMPUTED_VALUE"""),"Pendiente")</f>
        <v>Pendiente</v>
      </c>
      <c r="O275" s="6"/>
      <c r="P275" s="17">
        <f>IFERROR(__xludf.DUMMYFUNCTION("""COMPUTED_VALUE"""),46260.55170138889)</f>
        <v>46260.5517</v>
      </c>
      <c r="Q275" s="6"/>
      <c r="R275" s="6"/>
      <c r="S275" s="6"/>
      <c r="T275" s="6"/>
      <c r="U275" s="6" t="str">
        <f>IFERROR(__xludf.DUMMYFUNCTION("""COMPUTED_VALUE"""),"Otras Novedades")</f>
        <v>Otras Novedades</v>
      </c>
      <c r="V275" s="6"/>
      <c r="W275" s="6"/>
      <c r="X275" s="6"/>
      <c r="Y275" s="6"/>
      <c r="Z275" s="6"/>
    </row>
    <row r="276">
      <c r="A276" s="6" t="str">
        <f>IFERROR(__xludf.DUMMYFUNCTION("""COMPUTED_VALUE"""),"ac3dedc1")</f>
        <v>ac3dedc1</v>
      </c>
      <c r="B276" s="7" t="str">
        <f>IFERROR(__xludf.DUMMYFUNCTION("""COMPUTED_VALUE"""),"1345282268")</f>
        <v>1345282268</v>
      </c>
      <c r="C276" s="6" t="str">
        <f>IFERROR(__xludf.DUMMYFUNCTION("""COMPUTED_VALUE"""),"recoge Oscar el papá de María Alejandra Silva de octavo")</f>
        <v>recoge Oscar el papá de María Alejandra Silva de octavo</v>
      </c>
      <c r="D276" s="6" t="str">
        <f>IFERROR(__xludf.DUMMYFUNCTION("""COMPUTED_VALUE"""),"Otro")</f>
        <v>Otro</v>
      </c>
      <c r="E276" s="6"/>
      <c r="F276" s="6" t="str">
        <f>IFERROR(__xludf.DUMMYFUNCTION("""COMPUTED_VALUE"""),"sale con  Oscar el papá de María Alejandra Silva de octavo")</f>
        <v>sale con  Oscar el papá de María Alejandra Silva de octavo</v>
      </c>
      <c r="G276" s="6" t="str">
        <f>IFERROR(__xludf.DUMMYFUNCTION("""COMPUTED_VALUE"""),"7")</f>
        <v>7</v>
      </c>
      <c r="H276" s="6" t="str">
        <f>IFERROR(__xludf.DUMMYFUNCTION("""COMPUTED_VALUE"""),"Tamayo Caro Salomé")</f>
        <v>Tamayo Caro Salomé</v>
      </c>
      <c r="I276" s="6" t="str">
        <f>IFERROR(__xludf.DUMMYFUNCTION("""COMPUTED_VALUE"""),"Demograficos_Images/1345282268.Foto_Estudiante.193206.jpg")</f>
        <v>Demograficos_Images/1345282268.Foto_Estudiante.193206.jpg</v>
      </c>
      <c r="J276" s="8">
        <f>IFERROR(__xludf.DUMMYFUNCTION("""COMPUTED_VALUE"""),46260.583333333336)</f>
        <v>46260.58333</v>
      </c>
      <c r="K276" s="6" t="str">
        <f>IFERROR(__xludf.DUMMYFUNCTION("""COMPUTED_VALUE"""),"secundaria@gi.edu.co")</f>
        <v>secundaria@gi.edu.co</v>
      </c>
      <c r="L276" s="6" t="str">
        <f>IFERROR(__xludf.DUMMYFUNCTION("""COMPUTED_VALUE"""),"1345282268")</f>
        <v>1345282268</v>
      </c>
      <c r="M276" s="9">
        <f>IFERROR(__xludf.DUMMYFUNCTION("""COMPUTED_VALUE"""),46260.559965277775)</f>
        <v>46260.55997</v>
      </c>
      <c r="N276" s="6" t="str">
        <f>IFERROR(__xludf.DUMMYFUNCTION("""COMPUTED_VALUE"""),"Pendiente")</f>
        <v>Pendiente</v>
      </c>
      <c r="O276" s="6"/>
      <c r="P276" s="17">
        <f>IFERROR(__xludf.DUMMYFUNCTION("""COMPUTED_VALUE"""),46260.559965277775)</f>
        <v>46260.55997</v>
      </c>
      <c r="Q276" s="6"/>
      <c r="R276" s="6"/>
      <c r="S276" s="6"/>
      <c r="T276" s="6"/>
      <c r="U276" s="6" t="str">
        <f>IFERROR(__xludf.DUMMYFUNCTION("""COMPUTED_VALUE"""),"Otras Novedades")</f>
        <v>Otras Novedades</v>
      </c>
      <c r="V276" s="6"/>
      <c r="W276" s="6"/>
      <c r="X276" s="6"/>
      <c r="Y276" s="6"/>
      <c r="Z276" s="6"/>
    </row>
    <row r="277">
      <c r="A277" s="6" t="str">
        <f>IFERROR(__xludf.DUMMYFUNCTION("""COMPUTED_VALUE"""),"9d2768e4")</f>
        <v>9d2768e4</v>
      </c>
      <c r="B277" s="7" t="str">
        <f>IFERROR(__xludf.DUMMYFUNCTION("""COMPUTED_VALUE"""),"1345282278")</f>
        <v>1345282278</v>
      </c>
      <c r="C277" s="6" t="str">
        <f>IFERROR(__xludf.DUMMYFUNCTION("""COMPUTED_VALUE"""),"Sale con tercero Susana")</f>
        <v>Sale con tercero Susana</v>
      </c>
      <c r="D277" s="6"/>
      <c r="E277" s="6"/>
      <c r="F277" s="6"/>
      <c r="G277" s="6" t="str">
        <f>IFERROR(__xludf.DUMMYFUNCTION("""COMPUTED_VALUE"""),"K5")</f>
        <v>K5</v>
      </c>
      <c r="H277" s="6" t="str">
        <f>IFERROR(__xludf.DUMMYFUNCTION("""COMPUTED_VALUE"""),"Dorado Hincapié Salvador")</f>
        <v>Dorado Hincapié Salvador</v>
      </c>
      <c r="I277" s="6"/>
      <c r="J277" s="8">
        <f>IFERROR(__xludf.DUMMYFUNCTION("""COMPUTED_VALUE"""),46260.56319444445)</f>
        <v>46260.56319</v>
      </c>
      <c r="K277" s="6" t="str">
        <f>IFERROR(__xludf.DUMMYFUNCTION("""COMPUTED_VALUE"""),"kinder@gi.edu.co")</f>
        <v>kinder@gi.edu.co</v>
      </c>
      <c r="L277" s="6" t="str">
        <f>IFERROR(__xludf.DUMMYFUNCTION("""COMPUTED_VALUE"""),"1345282278")</f>
        <v>1345282278</v>
      </c>
      <c r="M277" s="9">
        <f>IFERROR(__xludf.DUMMYFUNCTION("""COMPUTED_VALUE"""),46260.56359953704)</f>
        <v>46260.5636</v>
      </c>
      <c r="N277" s="6" t="str">
        <f>IFERROR(__xludf.DUMMYFUNCTION("""COMPUTED_VALUE"""),"Pendiente")</f>
        <v>Pendiente</v>
      </c>
      <c r="O277" s="6"/>
      <c r="P277" s="17">
        <f>IFERROR(__xludf.DUMMYFUNCTION("""COMPUTED_VALUE"""),46260.56359953704)</f>
        <v>46260.5636</v>
      </c>
      <c r="Q277" s="6"/>
      <c r="R277" s="6"/>
      <c r="S277" s="6"/>
      <c r="T277" s="6"/>
      <c r="U277" s="6" t="str">
        <f>IFERROR(__xludf.DUMMYFUNCTION("""COMPUTED_VALUE"""),"Otras Novedades")</f>
        <v>Otras Novedades</v>
      </c>
      <c r="V277" s="6"/>
      <c r="W277" s="6"/>
      <c r="X277" s="6"/>
      <c r="Y277" s="6"/>
      <c r="Z277" s="6"/>
    </row>
    <row r="278">
      <c r="A278" s="6" t="str">
        <f>IFERROR(__xludf.DUMMYFUNCTION("""COMPUTED_VALUE"""),"4e811aa5")</f>
        <v>4e811aa5</v>
      </c>
      <c r="B278" s="7" t="str">
        <f>IFERROR(__xludf.DUMMYFUNCTION("""COMPUTED_VALUE"""),"1345281992")</f>
        <v>1345281992</v>
      </c>
      <c r="C278" s="6" t="str">
        <f>IFERROR(__xludf.DUMMYFUNCTION("""COMPUTED_VALUE"""),"se va hoy a la salida de fútbol, con la señora Carolina Cortez")</f>
        <v>se va hoy a la salida de fútbol, con la señora Carolina Cortez</v>
      </c>
      <c r="D278" s="6" t="str">
        <f>IFERROR(__xludf.DUMMYFUNCTION("""COMPUTED_VALUE"""),"Otro")</f>
        <v>Otro</v>
      </c>
      <c r="E278" s="6"/>
      <c r="F278" s="6" t="str">
        <f>IFERROR(__xludf.DUMMYFUNCTION("""COMPUTED_VALUE"""),"Carolina Cortez")</f>
        <v>Carolina Cortez</v>
      </c>
      <c r="G278" s="6" t="str">
        <f>IFERROR(__xludf.DUMMYFUNCTION("""COMPUTED_VALUE"""),"8")</f>
        <v>8</v>
      </c>
      <c r="H278" s="6" t="str">
        <f>IFERROR(__xludf.DUMMYFUNCTION("""COMPUTED_VALUE"""),"Amador Rincón Silvia Juliana")</f>
        <v>Amador Rincón Silvia Juliana</v>
      </c>
      <c r="I278" s="6"/>
      <c r="J278" s="8">
        <f>IFERROR(__xludf.DUMMYFUNCTION("""COMPUTED_VALUE"""),46260.666666666664)</f>
        <v>46260.66667</v>
      </c>
      <c r="K278" s="6" t="str">
        <f>IFERROR(__xludf.DUMMYFUNCTION("""COMPUTED_VALUE"""),"secundaria@gi.edu.co")</f>
        <v>secundaria@gi.edu.co</v>
      </c>
      <c r="L278" s="6" t="str">
        <f>IFERROR(__xludf.DUMMYFUNCTION("""COMPUTED_VALUE"""),"1345281992")</f>
        <v>1345281992</v>
      </c>
      <c r="M278" s="9">
        <f>IFERROR(__xludf.DUMMYFUNCTION("""COMPUTED_VALUE"""),46260.565358796295)</f>
        <v>46260.56536</v>
      </c>
      <c r="N278" s="6" t="str">
        <f>IFERROR(__xludf.DUMMYFUNCTION("""COMPUTED_VALUE"""),"Pendiente")</f>
        <v>Pendiente</v>
      </c>
      <c r="O278" s="6"/>
      <c r="P278" s="17">
        <f>IFERROR(__xludf.DUMMYFUNCTION("""COMPUTED_VALUE"""),46260.565358796295)</f>
        <v>46260.56536</v>
      </c>
      <c r="Q278" s="6"/>
      <c r="R278" s="6"/>
      <c r="S278" s="6"/>
      <c r="T278" s="6"/>
      <c r="U278" s="6" t="str">
        <f>IFERROR(__xludf.DUMMYFUNCTION("""COMPUTED_VALUE"""),"Otras Novedades")</f>
        <v>Otras Novedades</v>
      </c>
      <c r="V278" s="6"/>
      <c r="W278" s="6"/>
      <c r="X278" s="6"/>
      <c r="Y278" s="6"/>
      <c r="Z278" s="6"/>
    </row>
    <row r="279">
      <c r="A279" s="6" t="str">
        <f>IFERROR(__xludf.DUMMYFUNCTION("""COMPUTED_VALUE"""),"ab219375")</f>
        <v>ab219375</v>
      </c>
      <c r="B279" s="7" t="str">
        <f>IFERROR(__xludf.DUMMYFUNCTION("""COMPUTED_VALUE"""),"1345282437")</f>
        <v>1345282437</v>
      </c>
      <c r="C279" s="6" t="str">
        <f>IFERROR(__xludf.DUMMYFUNCTION("""COMPUTED_VALUE"""),"SALE CON TERCERO")</f>
        <v>SALE CON TERCERO</v>
      </c>
      <c r="D279" s="6" t="str">
        <f>IFERROR(__xludf.DUMMYFUNCTION("""COMPUTED_VALUE"""),"Otro")</f>
        <v>Otro</v>
      </c>
      <c r="E279" s="6"/>
      <c r="F279" s="6" t="str">
        <f>IFERROR(__xludf.DUMMYFUNCTION("""COMPUTED_VALUE"""),"Natalia la mamá de Joaquín")</f>
        <v>Natalia la mamá de Joaquín</v>
      </c>
      <c r="G279" s="6" t="str">
        <f>IFERROR(__xludf.DUMMYFUNCTION("""COMPUTED_VALUE"""),"K4")</f>
        <v>K4</v>
      </c>
      <c r="H279" s="6" t="str">
        <f>IFERROR(__xludf.DUMMYFUNCTION("""COMPUTED_VALUE"""),"Corredor Botía María Lucía")</f>
        <v>Corredor Botía María Lucía</v>
      </c>
      <c r="I279" s="6" t="str">
        <f>IFERROR(__xludf.DUMMYFUNCTION("""COMPUTED_VALUE"""),"Demograficos_Images/1345282437.Foto_Estudiante.184202.jpg")</f>
        <v>Demograficos_Images/1345282437.Foto_Estudiante.184202.jpg</v>
      </c>
      <c r="J279" s="8">
        <f>IFERROR(__xludf.DUMMYFUNCTION("""COMPUTED_VALUE"""),46260.604166666664)</f>
        <v>46260.60417</v>
      </c>
      <c r="K279" s="6" t="str">
        <f>IFERROR(__xludf.DUMMYFUNCTION("""COMPUTED_VALUE"""),"kinder@gi.edu.co")</f>
        <v>kinder@gi.edu.co</v>
      </c>
      <c r="L279" s="6" t="str">
        <f>IFERROR(__xludf.DUMMYFUNCTION("""COMPUTED_VALUE"""),"1345282437")</f>
        <v>1345282437</v>
      </c>
      <c r="M279" s="9">
        <f>IFERROR(__xludf.DUMMYFUNCTION("""COMPUTED_VALUE"""),46260.5994212963)</f>
        <v>46260.59942</v>
      </c>
      <c r="N279" s="6" t="str">
        <f>IFERROR(__xludf.DUMMYFUNCTION("""COMPUTED_VALUE"""),"Pendiente")</f>
        <v>Pendiente</v>
      </c>
      <c r="O279" s="6"/>
      <c r="P279" s="17">
        <f>IFERROR(__xludf.DUMMYFUNCTION("""COMPUTED_VALUE"""),46260.5994212963)</f>
        <v>46260.59942</v>
      </c>
      <c r="Q279" s="6"/>
      <c r="R279" s="6"/>
      <c r="S279" s="6"/>
      <c r="T279" s="6"/>
      <c r="U279" s="6" t="str">
        <f>IFERROR(__xludf.DUMMYFUNCTION("""COMPUTED_VALUE"""),"Otras Novedades")</f>
        <v>Otras Novedades</v>
      </c>
      <c r="V279" s="6"/>
      <c r="W279" s="6"/>
      <c r="X279" s="6"/>
      <c r="Y279" s="6"/>
      <c r="Z279" s="6"/>
    </row>
    <row r="280">
      <c r="A280" s="6" t="str">
        <f>IFERROR(__xludf.DUMMYFUNCTION("""COMPUTED_VALUE"""),"d3c512b4")</f>
        <v>d3c512b4</v>
      </c>
      <c r="B280" s="7" t="str">
        <f>IFERROR(__xludf.DUMMYFUNCTION("""COMPUTED_VALUE"""),"1345282606")</f>
        <v>1345282606</v>
      </c>
      <c r="C280" s="6" t="str">
        <f>IFERROR(__xludf.DUMMYFUNCTION("""COMPUTED_VALUE"""),"sale con tercero autorizado por mamá")</f>
        <v>sale con tercero autorizado por mamá</v>
      </c>
      <c r="D280" s="6" t="str">
        <f>IFERROR(__xludf.DUMMYFUNCTION("""COMPUTED_VALUE"""),"Otro")</f>
        <v>Otro</v>
      </c>
      <c r="E280" s="6"/>
      <c r="F280" s="6" t="str">
        <f>IFERROR(__xludf.DUMMYFUNCTION("""COMPUTED_VALUE"""),"Manuela Jaramillo la mamá de Elena Ospina")</f>
        <v>Manuela Jaramillo la mamá de Elena Ospina</v>
      </c>
      <c r="G280" s="6" t="str">
        <f>IFERROR(__xludf.DUMMYFUNCTION("""COMPUTED_VALUE"""),"K4")</f>
        <v>K4</v>
      </c>
      <c r="H280" s="6" t="str">
        <f>IFERROR(__xludf.DUMMYFUNCTION("""COMPUTED_VALUE"""),"Urrea Cano Amalia")</f>
        <v>Urrea Cano Amalia</v>
      </c>
      <c r="I280" s="6"/>
      <c r="J280" s="8">
        <f>IFERROR(__xludf.DUMMYFUNCTION("""COMPUTED_VALUE"""),46260.604166666664)</f>
        <v>46260.60417</v>
      </c>
      <c r="K280" s="6" t="str">
        <f>IFERROR(__xludf.DUMMYFUNCTION("""COMPUTED_VALUE"""),"kinder@gi.edu.co")</f>
        <v>kinder@gi.edu.co</v>
      </c>
      <c r="L280" s="6" t="str">
        <f>IFERROR(__xludf.DUMMYFUNCTION("""COMPUTED_VALUE"""),"1345282606")</f>
        <v>1345282606</v>
      </c>
      <c r="M280" s="9">
        <f>IFERROR(__xludf.DUMMYFUNCTION("""COMPUTED_VALUE"""),46260.60107638889)</f>
        <v>46260.60108</v>
      </c>
      <c r="N280" s="6" t="str">
        <f>IFERROR(__xludf.DUMMYFUNCTION("""COMPUTED_VALUE"""),"Pendiente")</f>
        <v>Pendiente</v>
      </c>
      <c r="O280" s="6"/>
      <c r="P280" s="17">
        <f>IFERROR(__xludf.DUMMYFUNCTION("""COMPUTED_VALUE"""),46260.60107638889)</f>
        <v>46260.60108</v>
      </c>
      <c r="Q280" s="6"/>
      <c r="R280" s="6"/>
      <c r="S280" s="6"/>
      <c r="T280" s="6"/>
      <c r="U280" s="6" t="str">
        <f>IFERROR(__xludf.DUMMYFUNCTION("""COMPUTED_VALUE"""),"Otras Novedades")</f>
        <v>Otras Novedades</v>
      </c>
      <c r="V280" s="6"/>
      <c r="W280" s="6"/>
      <c r="X280" s="6"/>
      <c r="Y280" s="6"/>
      <c r="Z280" s="6"/>
    </row>
    <row r="281">
      <c r="A281" s="6"/>
      <c r="B281" s="7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7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7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7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7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7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7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7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7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7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7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7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7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7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7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7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7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7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7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7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7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7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7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7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7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7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7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7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7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7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7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7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7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7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7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7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7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7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7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7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7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7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7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7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7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7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7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7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7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7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7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7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7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7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7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7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7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7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7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7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7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7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7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7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7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7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7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7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7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7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7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7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7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7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7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7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7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7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7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7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7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7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7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7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7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7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7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7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7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7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7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7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7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7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7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7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7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7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7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7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7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7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7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7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7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7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7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7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7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7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7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7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7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7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7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7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7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7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7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7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7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7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7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7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7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7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7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7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7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7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7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7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7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7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7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7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7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7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7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7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7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7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7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7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7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7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7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7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7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7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7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7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7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7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7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7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7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7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7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7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7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7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7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7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7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7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7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7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7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7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7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7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7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7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7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7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7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7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7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7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7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7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7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7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7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7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7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7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7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7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7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7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7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7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7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7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7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7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7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7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7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7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7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7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7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7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7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7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7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7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7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7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7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7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7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7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7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7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7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7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7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7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7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7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7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7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7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7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7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7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7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7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7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7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7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7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7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7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7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7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7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7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7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7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7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7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7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7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7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7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7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7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7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7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7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7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7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7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7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7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7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7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7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7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7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7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7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7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7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7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7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7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7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7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7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7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7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7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7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7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7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7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7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7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7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7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7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7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7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7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7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7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7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7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7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7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7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7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7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7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7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7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7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7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7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7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7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7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7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7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7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7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7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7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7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7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7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7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7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7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7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7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7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7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7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7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7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7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7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7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7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7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7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7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7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7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7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7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7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7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7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7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7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7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7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7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7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7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7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7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7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7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7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7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7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7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7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7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7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7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7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7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7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7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7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7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7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7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7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7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7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7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7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7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7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7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7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7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7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7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7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7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7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7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7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7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7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7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7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7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7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7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7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7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7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7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7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7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7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7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7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7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7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7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7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7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7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7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7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7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7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7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7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7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7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7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7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7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7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7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7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7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7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7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7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7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7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7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7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7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7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7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7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7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7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7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7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7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7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7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7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7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7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7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7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7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7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7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7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7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7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7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7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7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7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7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7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7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7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7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7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7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7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7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7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7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7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7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7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7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7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7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7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7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7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7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7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7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7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7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7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7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7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7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7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7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7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7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7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7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7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7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7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7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7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7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7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7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7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7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7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7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7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7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7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7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7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7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7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7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7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7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7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7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7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7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7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7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7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7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7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7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7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7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7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7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7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7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7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7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7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7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7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7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7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7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7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7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7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7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7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7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7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7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7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7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7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7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7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7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7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7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7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7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7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7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7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7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7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7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7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7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7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7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7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7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7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7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7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7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7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7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7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7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7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7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7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7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7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7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7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7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7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7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7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7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7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7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7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7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7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7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7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7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7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7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7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7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7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7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7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7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7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7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7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7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7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7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7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7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7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7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7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7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7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7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7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7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7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7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7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7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7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7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7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7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7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7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7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7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7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7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7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7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7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7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7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7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7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7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7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7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7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7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7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7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7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7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7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7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7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7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7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7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7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7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7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7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7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7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7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7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7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7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7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7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7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7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7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7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7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7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7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7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7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7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7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7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7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7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7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7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7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7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7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7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7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7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7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7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7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7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7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7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7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7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7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7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7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7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7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7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7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7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7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7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7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7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7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7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7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7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7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7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7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7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7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B998" s="7"/>
    </row>
    <row r="999">
      <c r="B999" s="7"/>
    </row>
    <row r="1000">
      <c r="B1000" s="7"/>
    </row>
  </sheetData>
  <hyperlinks>
    <hyperlink r:id="rId1" ref="I5"/>
    <hyperlink r:id="rId2" ref="I6"/>
    <hyperlink r:id="rId3" ref="I7"/>
    <hyperlink r:id="rId4" ref="I38"/>
    <hyperlink r:id="rId5" ref="I39"/>
    <hyperlink r:id="rId6" ref="I40"/>
    <hyperlink r:id="rId7" ref="I41"/>
    <hyperlink r:id="rId8" ref="I75"/>
    <hyperlink r:id="rId9" ref="I76"/>
    <hyperlink r:id="rId10" ref="I77"/>
    <hyperlink r:id="rId11" ref="I78"/>
    <hyperlink r:id="rId12" ref="I79"/>
    <hyperlink r:id="rId13" ref="I80"/>
    <hyperlink r:id="rId14" ref="I81"/>
    <hyperlink r:id="rId15" ref="I82"/>
  </hyperlinks>
  <drawing r:id="rId16"/>
</worksheet>
</file>